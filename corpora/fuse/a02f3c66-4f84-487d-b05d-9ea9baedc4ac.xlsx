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28" windowWidth="11616" windowHeight="9636" activeTab="1"/>
  </bookViews>
  <sheets>
    <sheet name="enter data" sheetId="1" r:id="rId1"/>
    <sheet name="Tble 12" sheetId="5" r:id="rId2"/>
    <sheet name="copy data" sheetId="2" r:id="rId3"/>
    <sheet name="copy data2" sheetId="7" r:id="rId4"/>
    <sheet name="copy data3" sheetId="10" r:id="rId5"/>
    <sheet name="Chart1" sheetId="8" r:id="rId6"/>
    <sheet name="Chart2" sheetId="9" r:id="rId7"/>
  </sheets>
  <definedNames>
    <definedName name="FASEXPT">#REF!</definedName>
    <definedName name="FASEXPT2">#REF!</definedName>
    <definedName name="_xlnm.Print_Area">#REF!</definedName>
    <definedName name="_xlnm.Print_Titles" localSheetId="2">'copy data'!$1:$5</definedName>
    <definedName name="_xlnm.Print_Titles" localSheetId="3">'copy data2'!$2:$6</definedName>
    <definedName name="_xlnm.Print_Titles" localSheetId="4">'copy data3'!$1:$7</definedName>
  </definedNames>
  <calcPr calcId="145621" fullCalcOnLoad="1"/>
</workbook>
</file>

<file path=xl/calcChain.xml><?xml version="1.0" encoding="utf-8"?>
<calcChain xmlns="http://schemas.openxmlformats.org/spreadsheetml/2006/main">
  <c r="S704" i="10" l="1"/>
  <c r="R704" i="10"/>
  <c r="R1292" i="7"/>
  <c r="R1291" i="7"/>
  <c r="R1295" i="2"/>
  <c r="R1294" i="2"/>
  <c r="U651" i="2"/>
  <c r="V651" i="2"/>
  <c r="W651" i="2"/>
  <c r="X651" i="2"/>
  <c r="AA651" i="2"/>
  <c r="AB651" i="2"/>
  <c r="AC651" i="2"/>
  <c r="AD651" i="2"/>
  <c r="AE651" i="2"/>
  <c r="AF651" i="2"/>
  <c r="AG651" i="2"/>
  <c r="AJ651" i="2"/>
  <c r="AK651" i="2"/>
  <c r="AL651" i="2"/>
  <c r="AM651" i="2"/>
  <c r="AP651" i="2"/>
  <c r="AQ651" i="2"/>
  <c r="AR651" i="2"/>
  <c r="AS651" i="2"/>
  <c r="F12" i="5"/>
  <c r="R7" i="1"/>
  <c r="U650" i="2"/>
  <c r="V650" i="2"/>
  <c r="W650" i="2"/>
  <c r="B12" i="5"/>
  <c r="X650" i="2"/>
  <c r="Y650" i="2"/>
  <c r="Z650" i="2"/>
  <c r="C12" i="5"/>
  <c r="AA650" i="2"/>
  <c r="AB650" i="2"/>
  <c r="AC650" i="2"/>
  <c r="D12" i="5"/>
  <c r="AD650" i="2"/>
  <c r="AE650" i="2"/>
  <c r="AF650" i="2"/>
  <c r="E12" i="5"/>
  <c r="AG650" i="2"/>
  <c r="AH651" i="2"/>
  <c r="AI651" i="2"/>
  <c r="AH650" i="2"/>
  <c r="AI650" i="2"/>
  <c r="AJ650" i="2"/>
  <c r="AK650" i="2"/>
  <c r="AL650" i="2"/>
  <c r="G12" i="5"/>
  <c r="AM650" i="2"/>
  <c r="AN650" i="2"/>
  <c r="AO650" i="2"/>
  <c r="H12" i="5"/>
  <c r="AP650" i="2"/>
  <c r="AQ650" i="2"/>
  <c r="AR650" i="2"/>
  <c r="I12" i="5"/>
  <c r="AS650" i="2"/>
  <c r="AT651" i="2"/>
  <c r="AU651" i="2"/>
  <c r="AT650" i="2"/>
  <c r="AU650" i="2"/>
  <c r="J12" i="5"/>
  <c r="S703" i="10"/>
  <c r="R703" i="10"/>
  <c r="R1290" i="7"/>
  <c r="R1293" i="2"/>
  <c r="S701" i="10"/>
  <c r="S702" i="10"/>
  <c r="R702" i="10"/>
  <c r="R1288" i="7"/>
  <c r="R1291" i="2"/>
  <c r="U649" i="2"/>
  <c r="V649" i="2"/>
  <c r="W649" i="2"/>
  <c r="X649" i="2"/>
  <c r="Y649" i="2"/>
  <c r="Z649" i="2"/>
  <c r="AA649" i="2"/>
  <c r="AB649" i="2"/>
  <c r="AC649" i="2"/>
  <c r="AD649" i="2"/>
  <c r="AG649" i="2"/>
  <c r="AJ649" i="2"/>
  <c r="AK649" i="2"/>
  <c r="AL649" i="2"/>
  <c r="AM649" i="2"/>
  <c r="AN649" i="2"/>
  <c r="AO649" i="2"/>
  <c r="AP649" i="2"/>
  <c r="AQ649" i="2"/>
  <c r="AR649" i="2"/>
  <c r="AS649" i="2"/>
  <c r="AT649" i="2"/>
  <c r="AU649" i="2"/>
  <c r="R701" i="10"/>
  <c r="R1286" i="7"/>
  <c r="R1285" i="7"/>
  <c r="R1289" i="2"/>
  <c r="R1288" i="2"/>
  <c r="S700" i="10"/>
  <c r="R700" i="10"/>
  <c r="U646" i="2"/>
  <c r="V646" i="2"/>
  <c r="W646" i="2"/>
  <c r="X646" i="2"/>
  <c r="Y646" i="2"/>
  <c r="Z646" i="2"/>
  <c r="AA646" i="2"/>
  <c r="AB647" i="2"/>
  <c r="AC647" i="2"/>
  <c r="AB646" i="2"/>
  <c r="AC646" i="2"/>
  <c r="AD646" i="2"/>
  <c r="AE646" i="2"/>
  <c r="AF646" i="2"/>
  <c r="AG646" i="2"/>
  <c r="AJ646" i="2"/>
  <c r="AK646" i="2"/>
  <c r="AL646" i="2"/>
  <c r="AM646" i="2"/>
  <c r="AN646" i="2"/>
  <c r="AO646" i="2"/>
  <c r="AP646" i="2"/>
  <c r="AQ647" i="2"/>
  <c r="AR647" i="2"/>
  <c r="AS646" i="2"/>
  <c r="AT646" i="2"/>
  <c r="AU646" i="2"/>
  <c r="U647" i="2"/>
  <c r="V647" i="2"/>
  <c r="W647" i="2"/>
  <c r="X647" i="2"/>
  <c r="AA647" i="2"/>
  <c r="AD647" i="2"/>
  <c r="AG647" i="2"/>
  <c r="AH647" i="2"/>
  <c r="AI647" i="2"/>
  <c r="AJ647" i="2"/>
  <c r="AK647" i="2"/>
  <c r="AL647" i="2"/>
  <c r="AM647" i="2"/>
  <c r="AP647" i="2"/>
  <c r="AS647" i="2"/>
  <c r="U648" i="2"/>
  <c r="V648" i="2"/>
  <c r="W648" i="2"/>
  <c r="X648" i="2"/>
  <c r="Y648" i="2"/>
  <c r="Z648" i="2"/>
  <c r="AA648" i="2"/>
  <c r="AD648" i="2"/>
  <c r="AG648" i="2"/>
  <c r="AH649" i="2"/>
  <c r="AI649" i="2"/>
  <c r="AJ648" i="2"/>
  <c r="AK648" i="2"/>
  <c r="AL648" i="2"/>
  <c r="AM648" i="2"/>
  <c r="AN648" i="2"/>
  <c r="AO648" i="2"/>
  <c r="AP648" i="2"/>
  <c r="AS648" i="2"/>
  <c r="R1287" i="2"/>
  <c r="R1286" i="2"/>
  <c r="R1284" i="7"/>
  <c r="R1283" i="7"/>
  <c r="R1285" i="2"/>
  <c r="R1284" i="2"/>
  <c r="S698" i="10"/>
  <c r="S699" i="10"/>
  <c r="U645" i="2"/>
  <c r="V645" i="2"/>
  <c r="W645" i="2"/>
  <c r="X645" i="2"/>
  <c r="Y645" i="2"/>
  <c r="Z645" i="2"/>
  <c r="AA645" i="2"/>
  <c r="AB645" i="2"/>
  <c r="AC645" i="2"/>
  <c r="AD645" i="2"/>
  <c r="AE645" i="2"/>
  <c r="AF645" i="2"/>
  <c r="AG645" i="2"/>
  <c r="AH645" i="2"/>
  <c r="AI645" i="2"/>
  <c r="AJ645" i="2"/>
  <c r="AK645" i="2"/>
  <c r="AL645" i="2"/>
  <c r="AM645" i="2"/>
  <c r="AN645" i="2"/>
  <c r="AO645" i="2"/>
  <c r="AP645" i="2"/>
  <c r="AQ645" i="2"/>
  <c r="AR645" i="2"/>
  <c r="AS645" i="2"/>
  <c r="AT645" i="2"/>
  <c r="AU645" i="2"/>
  <c r="U644" i="2"/>
  <c r="V644" i="2"/>
  <c r="W644" i="2"/>
  <c r="X644" i="2"/>
  <c r="Y644" i="2"/>
  <c r="Z644" i="2"/>
  <c r="AA644" i="2"/>
  <c r="AB644" i="2"/>
  <c r="AC644" i="2"/>
  <c r="AD644" i="2"/>
  <c r="AE644" i="2"/>
  <c r="AF644" i="2"/>
  <c r="AG644" i="2"/>
  <c r="AH644" i="2"/>
  <c r="AI644" i="2"/>
  <c r="AJ644" i="2"/>
  <c r="AK644" i="2"/>
  <c r="AL644" i="2"/>
  <c r="AM644" i="2"/>
  <c r="AN644" i="2"/>
  <c r="AO644" i="2"/>
  <c r="AP644" i="2"/>
  <c r="AQ644" i="2"/>
  <c r="AR644" i="2"/>
  <c r="AS644" i="2"/>
  <c r="AT644" i="2"/>
  <c r="AU644" i="2"/>
  <c r="R698" i="10"/>
  <c r="R1282" i="7"/>
  <c r="R1281" i="7"/>
  <c r="R1283" i="2"/>
  <c r="R1282" i="2"/>
  <c r="S697" i="10"/>
  <c r="R697" i="10"/>
  <c r="R1280" i="7"/>
  <c r="R1279" i="7"/>
  <c r="R1281" i="2"/>
  <c r="R1280" i="2"/>
  <c r="U643" i="2"/>
  <c r="V643" i="2"/>
  <c r="W643" i="2"/>
  <c r="X643" i="2"/>
  <c r="Y643" i="2"/>
  <c r="Z643" i="2"/>
  <c r="AA643" i="2"/>
  <c r="AB643" i="2"/>
  <c r="AC643" i="2"/>
  <c r="AD643" i="2"/>
  <c r="AE643" i="2"/>
  <c r="AF643" i="2"/>
  <c r="AG643" i="2"/>
  <c r="AH643" i="2"/>
  <c r="AI643" i="2"/>
  <c r="AJ643" i="2"/>
  <c r="AK643" i="2"/>
  <c r="AL643" i="2"/>
  <c r="AM643" i="2"/>
  <c r="AN643" i="2"/>
  <c r="AO643" i="2"/>
  <c r="AP643" i="2"/>
  <c r="AQ643" i="2"/>
  <c r="AR643" i="2"/>
  <c r="AS643" i="2"/>
  <c r="AT643" i="2"/>
  <c r="AU643" i="2"/>
  <c r="S696" i="10"/>
  <c r="R696" i="10"/>
  <c r="R1278" i="7"/>
  <c r="R1277" i="7"/>
  <c r="R1279" i="2"/>
  <c r="R1278" i="2"/>
  <c r="U642" i="2"/>
  <c r="V642" i="2"/>
  <c r="W642" i="2"/>
  <c r="X642" i="2"/>
  <c r="Y642" i="2"/>
  <c r="Z642" i="2"/>
  <c r="AA642" i="2"/>
  <c r="AB642" i="2"/>
  <c r="AC642" i="2"/>
  <c r="AD642" i="2"/>
  <c r="AE642" i="2"/>
  <c r="AF642" i="2"/>
  <c r="AG642" i="2"/>
  <c r="AH642" i="2"/>
  <c r="AI642" i="2"/>
  <c r="AJ642" i="2"/>
  <c r="AK642" i="2"/>
  <c r="AL642" i="2"/>
  <c r="AM642" i="2"/>
  <c r="AN642" i="2"/>
  <c r="AO642" i="2"/>
  <c r="AP642" i="2"/>
  <c r="AQ642" i="2"/>
  <c r="AR642" i="2"/>
  <c r="AS642" i="2"/>
  <c r="AT642" i="2"/>
  <c r="AU642" i="2"/>
  <c r="U641" i="2"/>
  <c r="V641" i="2"/>
  <c r="W641" i="2"/>
  <c r="X641" i="2"/>
  <c r="Y641" i="2"/>
  <c r="Z641" i="2"/>
  <c r="AA641" i="2"/>
  <c r="AB641" i="2"/>
  <c r="AC641" i="2"/>
  <c r="AD641" i="2"/>
  <c r="AE641" i="2"/>
  <c r="AF641" i="2"/>
  <c r="AG641" i="2"/>
  <c r="AH641" i="2"/>
  <c r="AI641" i="2"/>
  <c r="AJ641" i="2"/>
  <c r="AK641" i="2"/>
  <c r="AL641" i="2"/>
  <c r="AM641" i="2"/>
  <c r="AN641" i="2"/>
  <c r="AO641" i="2"/>
  <c r="AP641" i="2"/>
  <c r="AQ641" i="2"/>
  <c r="AR641" i="2"/>
  <c r="AS641" i="2"/>
  <c r="AT641" i="2"/>
  <c r="AU641" i="2"/>
  <c r="R1277" i="2"/>
  <c r="R1276" i="2"/>
  <c r="S695" i="10"/>
  <c r="R695" i="10"/>
  <c r="R1276" i="7"/>
  <c r="R1275" i="7"/>
  <c r="U640" i="2"/>
  <c r="V640" i="2"/>
  <c r="W640" i="2"/>
  <c r="X640" i="2"/>
  <c r="Y640" i="2"/>
  <c r="Z640" i="2"/>
  <c r="AA640" i="2"/>
  <c r="AB640" i="2"/>
  <c r="AC640" i="2"/>
  <c r="AD640" i="2"/>
  <c r="AE640" i="2"/>
  <c r="AF640" i="2"/>
  <c r="AG640" i="2"/>
  <c r="AH640" i="2"/>
  <c r="AI640" i="2"/>
  <c r="AJ640" i="2"/>
  <c r="AK640" i="2"/>
  <c r="AL640" i="2"/>
  <c r="AM640" i="2"/>
  <c r="AN640" i="2"/>
  <c r="AO640" i="2"/>
  <c r="AP640" i="2"/>
  <c r="AQ640" i="2"/>
  <c r="AR640" i="2"/>
  <c r="AS640" i="2"/>
  <c r="AT640" i="2"/>
  <c r="AU640" i="2"/>
  <c r="S694" i="10"/>
  <c r="R694" i="10"/>
  <c r="R1275" i="2"/>
  <c r="R1274" i="2"/>
  <c r="R1273" i="2"/>
  <c r="R1272" i="2"/>
  <c r="R693" i="10"/>
  <c r="R1274" i="7"/>
  <c r="R1273" i="7"/>
  <c r="U639" i="2"/>
  <c r="V639" i="2"/>
  <c r="W639" i="2"/>
  <c r="X639" i="2"/>
  <c r="Y639" i="2"/>
  <c r="Z639" i="2"/>
  <c r="AA639" i="2"/>
  <c r="AB639" i="2"/>
  <c r="AC639" i="2"/>
  <c r="AD639" i="2"/>
  <c r="AE639" i="2"/>
  <c r="AF639" i="2"/>
  <c r="AG639" i="2"/>
  <c r="AH639" i="2"/>
  <c r="AI639" i="2"/>
  <c r="AJ639" i="2"/>
  <c r="AK639" i="2"/>
  <c r="AL639" i="2"/>
  <c r="AM639" i="2"/>
  <c r="AN639" i="2"/>
  <c r="AO639" i="2"/>
  <c r="AP639" i="2"/>
  <c r="AQ639" i="2"/>
  <c r="AR639" i="2"/>
  <c r="AS639" i="2"/>
  <c r="AT639" i="2"/>
  <c r="AU639" i="2"/>
  <c r="S693" i="10"/>
  <c r="S692" i="10"/>
  <c r="R692" i="10"/>
  <c r="R1271" i="2"/>
  <c r="R1272" i="7"/>
  <c r="G6" i="5"/>
  <c r="S691" i="10"/>
  <c r="R691" i="10"/>
  <c r="R1270" i="7"/>
  <c r="R1269" i="7"/>
  <c r="R1269" i="2"/>
  <c r="R1268" i="2"/>
  <c r="S690" i="10"/>
  <c r="R690" i="10"/>
  <c r="R1268" i="7"/>
  <c r="R1267" i="7"/>
  <c r="R1267" i="2"/>
  <c r="R1266" i="2"/>
  <c r="S689" i="10"/>
  <c r="R689" i="10"/>
  <c r="R1266" i="7"/>
  <c r="R1265" i="7"/>
  <c r="R1265" i="2"/>
  <c r="R1264" i="2"/>
  <c r="U635" i="2"/>
  <c r="X635" i="2"/>
  <c r="Y637" i="2"/>
  <c r="Z637" i="2"/>
  <c r="Y635" i="2"/>
  <c r="Z635" i="2"/>
  <c r="AA635" i="2"/>
  <c r="AB635" i="2"/>
  <c r="AC635" i="2"/>
  <c r="AD635" i="2"/>
  <c r="AE637" i="2"/>
  <c r="AF637" i="2"/>
  <c r="AE635" i="2"/>
  <c r="AF635" i="2"/>
  <c r="AG635" i="2"/>
  <c r="AH635" i="2"/>
  <c r="AI635" i="2"/>
  <c r="AJ635" i="2"/>
  <c r="AM635" i="2"/>
  <c r="AN635" i="2"/>
  <c r="AO635" i="2"/>
  <c r="AP635" i="2"/>
  <c r="AS635" i="2"/>
  <c r="AT635" i="2"/>
  <c r="AU635" i="2"/>
  <c r="U636" i="2"/>
  <c r="V637" i="2"/>
  <c r="W637" i="2"/>
  <c r="X636" i="2"/>
  <c r="AA636" i="2"/>
  <c r="AD636" i="2"/>
  <c r="AE638" i="2"/>
  <c r="AF638" i="2"/>
  <c r="AE636" i="2"/>
  <c r="AF636" i="2"/>
  <c r="AG636" i="2"/>
  <c r="AJ636" i="2"/>
  <c r="AM636" i="2"/>
  <c r="AP636" i="2"/>
  <c r="AQ638" i="2"/>
  <c r="AR638" i="2"/>
  <c r="AS636" i="2"/>
  <c r="AT637" i="2"/>
  <c r="AU637" i="2"/>
  <c r="U637" i="2"/>
  <c r="X637" i="2"/>
  <c r="AA637" i="2"/>
  <c r="AB638" i="2"/>
  <c r="AC638" i="2"/>
  <c r="AD637" i="2"/>
  <c r="AG637" i="2"/>
  <c r="AJ637" i="2"/>
  <c r="AK637" i="2"/>
  <c r="AL637" i="2"/>
  <c r="AM637" i="2"/>
  <c r="AP637" i="2"/>
  <c r="AS637" i="2"/>
  <c r="U638" i="2"/>
  <c r="X638" i="2"/>
  <c r="Y638" i="2"/>
  <c r="Z638" i="2"/>
  <c r="AA638" i="2"/>
  <c r="AD638" i="2"/>
  <c r="AG638" i="2"/>
  <c r="AH638" i="2"/>
  <c r="AI638" i="2"/>
  <c r="AJ638" i="2"/>
  <c r="AM638" i="2"/>
  <c r="AN638" i="2"/>
  <c r="AO638" i="2"/>
  <c r="AP638" i="2"/>
  <c r="AS638" i="2"/>
  <c r="AT638" i="2"/>
  <c r="AU638" i="2"/>
  <c r="S688" i="10"/>
  <c r="R688" i="10"/>
  <c r="R1264" i="7"/>
  <c r="R1263" i="7"/>
  <c r="R1263" i="2"/>
  <c r="R1262" i="2"/>
  <c r="R1262" i="7"/>
  <c r="R1261" i="2"/>
  <c r="S687" i="10"/>
  <c r="R687" i="10"/>
  <c r="AS633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S686" i="10"/>
  <c r="R686" i="10"/>
  <c r="R1260" i="7"/>
  <c r="R1259" i="7"/>
  <c r="R1259" i="2"/>
  <c r="R1258" i="2"/>
  <c r="R1258" i="7"/>
  <c r="R1257" i="7"/>
  <c r="R685" i="10"/>
  <c r="S685" i="10"/>
  <c r="R684" i="10"/>
  <c r="S684" i="10"/>
  <c r="R1257" i="2"/>
  <c r="R1256" i="2"/>
  <c r="U632" i="2"/>
  <c r="X632" i="2"/>
  <c r="AA632" i="2"/>
  <c r="AD632" i="2"/>
  <c r="AG632" i="2"/>
  <c r="AJ632" i="2"/>
  <c r="AM632" i="2"/>
  <c r="AN632" i="2"/>
  <c r="AP632" i="2"/>
  <c r="AS632" i="2"/>
  <c r="U633" i="2"/>
  <c r="X633" i="2"/>
  <c r="Y633" i="2"/>
  <c r="Z633" i="2"/>
  <c r="AA633" i="2"/>
  <c r="AD633" i="2"/>
  <c r="AE633" i="2"/>
  <c r="AF633" i="2"/>
  <c r="AG633" i="2"/>
  <c r="AJ633" i="2"/>
  <c r="AM633" i="2"/>
  <c r="AP633" i="2"/>
  <c r="U634" i="2"/>
  <c r="X634" i="2"/>
  <c r="AA634" i="2"/>
  <c r="AD634" i="2"/>
  <c r="AE634" i="2"/>
  <c r="AF634" i="2"/>
  <c r="AG634" i="2"/>
  <c r="AH634" i="2"/>
  <c r="AI634" i="2"/>
  <c r="AJ634" i="2"/>
  <c r="AK634" i="2"/>
  <c r="AL634" i="2"/>
  <c r="AM634" i="2"/>
  <c r="AN634" i="2"/>
  <c r="AO634" i="2"/>
  <c r="AP634" i="2"/>
  <c r="AS634" i="2"/>
  <c r="U630" i="2"/>
  <c r="X630" i="2"/>
  <c r="AA630" i="2"/>
  <c r="AB630" i="2"/>
  <c r="AD630" i="2"/>
  <c r="AG630" i="2"/>
  <c r="AJ630" i="2"/>
  <c r="AM630" i="2"/>
  <c r="AN631" i="2"/>
  <c r="AO631" i="2"/>
  <c r="AN630" i="2"/>
  <c r="AO630" i="2"/>
  <c r="AP630" i="2"/>
  <c r="AS630" i="2"/>
  <c r="U631" i="2"/>
  <c r="X631" i="2"/>
  <c r="AA631" i="2"/>
  <c r="AD631" i="2"/>
  <c r="AG631" i="2"/>
  <c r="AJ631" i="2"/>
  <c r="AM631" i="2"/>
  <c r="AP631" i="2"/>
  <c r="AS631" i="2"/>
  <c r="R1256" i="7"/>
  <c r="R1255" i="2"/>
  <c r="S683" i="10"/>
  <c r="R683" i="10"/>
  <c r="AS629" i="2"/>
  <c r="R1254" i="7"/>
  <c r="R1253" i="2"/>
  <c r="S682" i="10"/>
  <c r="R682" i="10"/>
  <c r="R1252" i="7"/>
  <c r="R1251" i="2"/>
  <c r="S681" i="10"/>
  <c r="R681" i="10"/>
  <c r="R1250" i="7"/>
  <c r="R1246" i="2"/>
  <c r="R1247" i="2"/>
  <c r="R1249" i="2"/>
  <c r="R680" i="10"/>
  <c r="R1247" i="7"/>
  <c r="R1248" i="7"/>
  <c r="R679" i="10"/>
  <c r="R1246" i="7"/>
  <c r="R1245" i="7"/>
  <c r="R1245" i="2"/>
  <c r="R1244" i="2"/>
  <c r="R678" i="10"/>
  <c r="AS624" i="2"/>
  <c r="R1244" i="7"/>
  <c r="R1243" i="7"/>
  <c r="R1243" i="2"/>
  <c r="R1242" i="2"/>
  <c r="U624" i="2"/>
  <c r="X624" i="2"/>
  <c r="AA624" i="2"/>
  <c r="AD624" i="2"/>
  <c r="AE627" i="2"/>
  <c r="AF627" i="2"/>
  <c r="AG624" i="2"/>
  <c r="AJ624" i="2"/>
  <c r="AK624" i="2"/>
  <c r="AL624" i="2"/>
  <c r="AM624" i="2"/>
  <c r="AP624" i="2"/>
  <c r="U625" i="2"/>
  <c r="X625" i="2"/>
  <c r="AA625" i="2"/>
  <c r="AD625" i="2"/>
  <c r="AG625" i="2"/>
  <c r="AH627" i="2"/>
  <c r="AI627" i="2"/>
  <c r="AJ625" i="2"/>
  <c r="AM625" i="2"/>
  <c r="AP625" i="2"/>
  <c r="AS625" i="2"/>
  <c r="U626" i="2"/>
  <c r="X626" i="2"/>
  <c r="AA626" i="2"/>
  <c r="AD626" i="2"/>
  <c r="AG626" i="2"/>
  <c r="AJ626" i="2"/>
  <c r="AM626" i="2"/>
  <c r="AP626" i="2"/>
  <c r="AQ629" i="2"/>
  <c r="AR629" i="2"/>
  <c r="AS626" i="2"/>
  <c r="U627" i="2"/>
  <c r="X627" i="2"/>
  <c r="AA627" i="2"/>
  <c r="AB629" i="2"/>
  <c r="AC629" i="2"/>
  <c r="AD627" i="2"/>
  <c r="AG627" i="2"/>
  <c r="AJ627" i="2"/>
  <c r="AM627" i="2"/>
  <c r="AN629" i="2"/>
  <c r="AP627" i="2"/>
  <c r="AS627" i="2"/>
  <c r="U628" i="2"/>
  <c r="X628" i="2"/>
  <c r="AA628" i="2"/>
  <c r="AD628" i="2"/>
  <c r="AG628" i="2"/>
  <c r="AJ628" i="2"/>
  <c r="AM628" i="2"/>
  <c r="AP628" i="2"/>
  <c r="AS628" i="2"/>
  <c r="U629" i="2"/>
  <c r="X629" i="2"/>
  <c r="Y631" i="2"/>
  <c r="Z631" i="2"/>
  <c r="Y629" i="2"/>
  <c r="Z629" i="2"/>
  <c r="AA629" i="2"/>
  <c r="AB632" i="2"/>
  <c r="AD629" i="2"/>
  <c r="AG629" i="2"/>
  <c r="AJ629" i="2"/>
  <c r="AM629" i="2"/>
  <c r="AP629" i="2"/>
  <c r="U623" i="2"/>
  <c r="V623" i="2"/>
  <c r="X623" i="2"/>
  <c r="AA623" i="2"/>
  <c r="AD623" i="2"/>
  <c r="AG623" i="2"/>
  <c r="AJ623" i="2"/>
  <c r="AL623" i="2"/>
  <c r="AM623" i="2"/>
  <c r="AN626" i="2"/>
  <c r="AO626" i="2"/>
  <c r="AP623" i="2"/>
  <c r="R677" i="10"/>
  <c r="S680" i="10"/>
  <c r="AS623" i="2"/>
  <c r="R1242" i="7"/>
  <c r="R1241" i="7"/>
  <c r="R1241" i="2"/>
  <c r="R1240" i="2"/>
  <c r="R676" i="10"/>
  <c r="S679" i="10"/>
  <c r="R1240" i="7"/>
  <c r="R1239" i="7"/>
  <c r="R1239" i="2"/>
  <c r="R1238" i="2"/>
  <c r="U622" i="2"/>
  <c r="X622" i="2"/>
  <c r="AA622" i="2"/>
  <c r="AB625" i="2"/>
  <c r="AC625" i="2"/>
  <c r="AD622" i="2"/>
  <c r="AE622" i="2"/>
  <c r="AG622" i="2"/>
  <c r="AJ622" i="2"/>
  <c r="AM622" i="2"/>
  <c r="AP622" i="2"/>
  <c r="AQ623" i="2"/>
  <c r="R675" i="10"/>
  <c r="R1238" i="7"/>
  <c r="R1237" i="2"/>
  <c r="U621" i="2"/>
  <c r="X621" i="2"/>
  <c r="AA621" i="2"/>
  <c r="AB624" i="2"/>
  <c r="AD621" i="2"/>
  <c r="AG621" i="2"/>
  <c r="AJ621" i="2"/>
  <c r="AM621" i="2"/>
  <c r="AP621" i="2"/>
  <c r="R674" i="10"/>
  <c r="R1236" i="7"/>
  <c r="R1235" i="2"/>
  <c r="U620" i="2"/>
  <c r="X620" i="2"/>
  <c r="AA620" i="2"/>
  <c r="AB623" i="2"/>
  <c r="AC623" i="2"/>
  <c r="AD620" i="2"/>
  <c r="AG620" i="2"/>
  <c r="AJ620" i="2"/>
  <c r="AK623" i="2"/>
  <c r="AM620" i="2"/>
  <c r="AP620" i="2"/>
  <c r="R673" i="10"/>
  <c r="R1234" i="7"/>
  <c r="R1233" i="7"/>
  <c r="R1233" i="2"/>
  <c r="R1232" i="2"/>
  <c r="R672" i="10"/>
  <c r="R1232" i="7"/>
  <c r="R1231" i="7"/>
  <c r="R1231" i="2"/>
  <c r="R1230" i="2"/>
  <c r="R671" i="10"/>
  <c r="AS617" i="2"/>
  <c r="R1230" i="7"/>
  <c r="R1229" i="2"/>
  <c r="G14" i="5"/>
  <c r="J14" i="5"/>
  <c r="G13" i="5"/>
  <c r="J13" i="5"/>
  <c r="U617" i="2"/>
  <c r="X617" i="2"/>
  <c r="AA617" i="2"/>
  <c r="AD617" i="2"/>
  <c r="AG617" i="2"/>
  <c r="AJ617" i="2"/>
  <c r="AM617" i="2"/>
  <c r="AP617" i="2"/>
  <c r="U618" i="2"/>
  <c r="X618" i="2"/>
  <c r="AA618" i="2"/>
  <c r="AD618" i="2"/>
  <c r="AG618" i="2"/>
  <c r="AJ618" i="2"/>
  <c r="AM618" i="2"/>
  <c r="AP618" i="2"/>
  <c r="U619" i="2"/>
  <c r="X619" i="2"/>
  <c r="AA619" i="2"/>
  <c r="AB622" i="2"/>
  <c r="AC622" i="2"/>
  <c r="AD619" i="2"/>
  <c r="AG619" i="2"/>
  <c r="AJ619" i="2"/>
  <c r="AK622" i="2"/>
  <c r="AL622" i="2"/>
  <c r="AM619" i="2"/>
  <c r="AP619" i="2"/>
  <c r="R670" i="10"/>
  <c r="R1228" i="7"/>
  <c r="R1227" i="7"/>
  <c r="R1227" i="2"/>
  <c r="R1226" i="2"/>
  <c r="R669" i="10"/>
  <c r="R1226" i="7"/>
  <c r="R1225" i="2"/>
  <c r="U616" i="2"/>
  <c r="X616" i="2"/>
  <c r="Y619" i="2"/>
  <c r="AA616" i="2"/>
  <c r="AD616" i="2"/>
  <c r="AG616" i="2"/>
  <c r="AJ616" i="2"/>
  <c r="AM616" i="2"/>
  <c r="AP616" i="2"/>
  <c r="AS616" i="2"/>
  <c r="U615" i="2"/>
  <c r="X615" i="2"/>
  <c r="AA615" i="2"/>
  <c r="AD615" i="2"/>
  <c r="AE615" i="2"/>
  <c r="AG615" i="2"/>
  <c r="AH618" i="2"/>
  <c r="AI618" i="2"/>
  <c r="AJ615" i="2"/>
  <c r="AK616" i="2"/>
  <c r="AL616" i="2"/>
  <c r="AL615" i="2"/>
  <c r="AM615" i="2"/>
  <c r="AN618" i="2"/>
  <c r="AP615" i="2"/>
  <c r="AS615" i="2"/>
  <c r="R668" i="10"/>
  <c r="R1224" i="7"/>
  <c r="R1223" i="2"/>
  <c r="R667" i="10"/>
  <c r="R1222" i="7"/>
  <c r="R1221" i="7"/>
  <c r="R1221" i="2"/>
  <c r="R1220" i="2"/>
  <c r="U614" i="2"/>
  <c r="V617" i="2"/>
  <c r="X614" i="2"/>
  <c r="Y617" i="2"/>
  <c r="AA614" i="2"/>
  <c r="AD614" i="2"/>
  <c r="AG614" i="2"/>
  <c r="AJ614" i="2"/>
  <c r="AK617" i="2"/>
  <c r="AM614" i="2"/>
  <c r="AP614" i="2"/>
  <c r="AS614" i="2"/>
  <c r="U613" i="2"/>
  <c r="X613" i="2"/>
  <c r="AA613" i="2"/>
  <c r="AD613" i="2"/>
  <c r="AG613" i="2"/>
  <c r="AJ613" i="2"/>
  <c r="AM613" i="2"/>
  <c r="AP613" i="2"/>
  <c r="R666" i="10"/>
  <c r="AS612" i="2"/>
  <c r="R1220" i="7"/>
  <c r="R1219" i="7"/>
  <c r="R1219" i="2"/>
  <c r="R1218" i="2"/>
  <c r="R665" i="10"/>
  <c r="R1217" i="2"/>
  <c r="R1218" i="7"/>
  <c r="U611" i="2"/>
  <c r="V614" i="2"/>
  <c r="W614" i="2"/>
  <c r="X611" i="2"/>
  <c r="AA611" i="2"/>
  <c r="AB611" i="2"/>
  <c r="AD611" i="2"/>
  <c r="AG611" i="2"/>
  <c r="AJ611" i="2"/>
  <c r="AM611" i="2"/>
  <c r="AP611" i="2"/>
  <c r="U612" i="2"/>
  <c r="X612" i="2"/>
  <c r="AA612" i="2"/>
  <c r="AB615" i="2"/>
  <c r="AD612" i="2"/>
  <c r="AE614" i="2"/>
  <c r="AG612" i="2"/>
  <c r="AJ612" i="2"/>
  <c r="AK615" i="2"/>
  <c r="AM612" i="2"/>
  <c r="AP612" i="2"/>
  <c r="AQ615" i="2"/>
  <c r="R664" i="10"/>
  <c r="R1216" i="7"/>
  <c r="R1215" i="2"/>
  <c r="U610" i="2"/>
  <c r="X610" i="2"/>
  <c r="AA610" i="2"/>
  <c r="AB613" i="2"/>
  <c r="AD610" i="2"/>
  <c r="AG610" i="2"/>
  <c r="AJ610" i="2"/>
  <c r="AM610" i="2"/>
  <c r="AP610" i="2"/>
  <c r="AS610" i="2"/>
  <c r="R663" i="10"/>
  <c r="R1214" i="7"/>
  <c r="R1213" i="7"/>
  <c r="R1213" i="2"/>
  <c r="R1212" i="2"/>
  <c r="U609" i="2"/>
  <c r="X609" i="2"/>
  <c r="AA609" i="2"/>
  <c r="AB612" i="2"/>
  <c r="AD609" i="2"/>
  <c r="AG609" i="2"/>
  <c r="AH612" i="2"/>
  <c r="AJ609" i="2"/>
  <c r="AM609" i="2"/>
  <c r="AN610" i="2"/>
  <c r="AP609" i="2"/>
  <c r="AS609" i="2"/>
  <c r="R662" i="10"/>
  <c r="AS608" i="2"/>
  <c r="R1212" i="7"/>
  <c r="R1211" i="7"/>
  <c r="R1211" i="2"/>
  <c r="R1210" i="2"/>
  <c r="R661" i="10"/>
  <c r="AS607" i="2"/>
  <c r="R1210" i="7"/>
  <c r="R1209" i="2"/>
  <c r="U608" i="2"/>
  <c r="X608" i="2"/>
  <c r="AA608" i="2"/>
  <c r="AD608" i="2"/>
  <c r="AG608" i="2"/>
  <c r="AJ608" i="2"/>
  <c r="AK611" i="2"/>
  <c r="AK609" i="2"/>
  <c r="AM608" i="2"/>
  <c r="AP608" i="2"/>
  <c r="R660" i="10"/>
  <c r="U606" i="2"/>
  <c r="X606" i="2"/>
  <c r="AA606" i="2"/>
  <c r="AD606" i="2"/>
  <c r="AG606" i="2"/>
  <c r="AJ606" i="2"/>
  <c r="AM606" i="2"/>
  <c r="AP606" i="2"/>
  <c r="U607" i="2"/>
  <c r="X607" i="2"/>
  <c r="AA607" i="2"/>
  <c r="AB610" i="2"/>
  <c r="AD607" i="2"/>
  <c r="AG607" i="2"/>
  <c r="AJ607" i="2"/>
  <c r="AM607" i="2"/>
  <c r="AP607" i="2"/>
  <c r="AQ610" i="2"/>
  <c r="R1208" i="7"/>
  <c r="R1207" i="7"/>
  <c r="R1207" i="2"/>
  <c r="R1206" i="2"/>
  <c r="U605" i="2"/>
  <c r="X605" i="2"/>
  <c r="AA605" i="2"/>
  <c r="AD605" i="2"/>
  <c r="AG605" i="2"/>
  <c r="AJ605" i="2"/>
  <c r="AM605" i="2"/>
  <c r="AP605" i="2"/>
  <c r="R659" i="10"/>
  <c r="S660" i="10"/>
  <c r="R1206" i="7"/>
  <c r="R1205" i="7"/>
  <c r="R1205" i="2"/>
  <c r="R1204" i="2"/>
  <c r="U604" i="2"/>
  <c r="V604" i="2"/>
  <c r="X604" i="2"/>
  <c r="Y607" i="2"/>
  <c r="AA604" i="2"/>
  <c r="AD604" i="2"/>
  <c r="AG604" i="2"/>
  <c r="AH607" i="2"/>
  <c r="AJ604" i="2"/>
  <c r="AM604" i="2"/>
  <c r="AN607" i="2"/>
  <c r="AP604" i="2"/>
  <c r="R658" i="10"/>
  <c r="AS604" i="2"/>
  <c r="R1204" i="7"/>
  <c r="R1203" i="7"/>
  <c r="R1203" i="2"/>
  <c r="R1202" i="2"/>
  <c r="U603" i="2"/>
  <c r="X603" i="2"/>
  <c r="Y606" i="2"/>
  <c r="AA603" i="2"/>
  <c r="AD603" i="2"/>
  <c r="AG603" i="2"/>
  <c r="AJ603" i="2"/>
  <c r="AK606" i="2"/>
  <c r="AM603" i="2"/>
  <c r="AP603" i="2"/>
  <c r="R657" i="10"/>
  <c r="AS603" i="2"/>
  <c r="R1202" i="7"/>
  <c r="R1201" i="7"/>
  <c r="R1201" i="2"/>
  <c r="R1200" i="2"/>
  <c r="R656" i="10"/>
  <c r="AS602" i="2"/>
  <c r="R1200" i="7"/>
  <c r="R1199" i="7"/>
  <c r="R1199" i="2"/>
  <c r="R1198" i="2"/>
  <c r="U602" i="2"/>
  <c r="V605" i="2"/>
  <c r="X602" i="2"/>
  <c r="Y604" i="2"/>
  <c r="Y605" i="2"/>
  <c r="AA602" i="2"/>
  <c r="AD602" i="2"/>
  <c r="AG602" i="2"/>
  <c r="AH605" i="2"/>
  <c r="AJ602" i="2"/>
  <c r="AK605" i="2"/>
  <c r="AM602" i="2"/>
  <c r="AN604" i="2"/>
  <c r="AP602" i="2"/>
  <c r="R655" i="10"/>
  <c r="R1198" i="7"/>
  <c r="R1197" i="7"/>
  <c r="R1197" i="2"/>
  <c r="R1196" i="2"/>
  <c r="U600" i="2"/>
  <c r="V603" i="2"/>
  <c r="X600" i="2"/>
  <c r="AA600" i="2"/>
  <c r="AB603" i="2"/>
  <c r="AD600" i="2"/>
  <c r="AG600" i="2"/>
  <c r="AJ600" i="2"/>
  <c r="AM600" i="2"/>
  <c r="AP600" i="2"/>
  <c r="AQ603" i="2"/>
  <c r="U601" i="2"/>
  <c r="X601" i="2"/>
  <c r="AA601" i="2"/>
  <c r="AB604" i="2"/>
  <c r="AD601" i="2"/>
  <c r="AG601" i="2"/>
  <c r="AJ601" i="2"/>
  <c r="AM601" i="2"/>
  <c r="AP601" i="2"/>
  <c r="R654" i="10"/>
  <c r="R1196" i="7"/>
  <c r="R1195" i="7"/>
  <c r="R1195" i="2"/>
  <c r="R1194" i="2"/>
  <c r="U599" i="2"/>
  <c r="X599" i="2"/>
  <c r="AA599" i="2"/>
  <c r="AB602" i="2"/>
  <c r="AD599" i="2"/>
  <c r="AG599" i="2"/>
  <c r="AJ599" i="2"/>
  <c r="AM599" i="2"/>
  <c r="AP599" i="2"/>
  <c r="R653" i="10"/>
  <c r="R1193" i="2"/>
  <c r="R1192" i="2"/>
  <c r="R1194" i="7"/>
  <c r="R1193" i="7"/>
  <c r="U598" i="2"/>
  <c r="X598" i="2"/>
  <c r="AA598" i="2"/>
  <c r="AB601" i="2"/>
  <c r="AD598" i="2"/>
  <c r="AG598" i="2"/>
  <c r="AJ598" i="2"/>
  <c r="AM598" i="2"/>
  <c r="AP598" i="2"/>
  <c r="AS598" i="2"/>
  <c r="R652" i="10"/>
  <c r="R1192" i="7"/>
  <c r="R1191" i="7"/>
  <c r="R1191" i="2"/>
  <c r="R1190" i="2"/>
  <c r="R651" i="10"/>
  <c r="AS597" i="2"/>
  <c r="U597" i="2"/>
  <c r="X597" i="2"/>
  <c r="AA597" i="2"/>
  <c r="AD597" i="2"/>
  <c r="AG597" i="2"/>
  <c r="AJ597" i="2"/>
  <c r="AK600" i="2"/>
  <c r="AM597" i="2"/>
  <c r="AP597" i="2"/>
  <c r="R1190" i="7"/>
  <c r="R1189" i="7"/>
  <c r="R1189" i="2"/>
  <c r="R1188" i="2"/>
  <c r="R650" i="10"/>
  <c r="R1188" i="7"/>
  <c r="R1187" i="7"/>
  <c r="R1187" i="2"/>
  <c r="R1186" i="2"/>
  <c r="R649" i="10"/>
  <c r="R1185" i="2"/>
  <c r="R1184" i="2"/>
  <c r="R1186" i="7"/>
  <c r="R1185" i="7"/>
  <c r="U595" i="2"/>
  <c r="V597" i="2"/>
  <c r="X595" i="2"/>
  <c r="AA595" i="2"/>
  <c r="AD595" i="2"/>
  <c r="AG595" i="2"/>
  <c r="AJ595" i="2"/>
  <c r="AK597" i="2"/>
  <c r="AM595" i="2"/>
  <c r="AP595" i="2"/>
  <c r="U596" i="2"/>
  <c r="V599" i="2"/>
  <c r="X596" i="2"/>
  <c r="AA596" i="2"/>
  <c r="AD596" i="2"/>
  <c r="AE599" i="2"/>
  <c r="AG596" i="2"/>
  <c r="AJ596" i="2"/>
  <c r="AM596" i="2"/>
  <c r="AP596" i="2"/>
  <c r="U594" i="2"/>
  <c r="X594" i="2"/>
  <c r="AA594" i="2"/>
  <c r="AD594" i="2"/>
  <c r="AG594" i="2"/>
  <c r="AJ594" i="2"/>
  <c r="AM594" i="2"/>
  <c r="AP594" i="2"/>
  <c r="R648" i="10"/>
  <c r="AS594" i="2"/>
  <c r="R1184" i="7"/>
  <c r="R1183" i="2"/>
  <c r="R647" i="10"/>
  <c r="AS593" i="2"/>
  <c r="R1182" i="7"/>
  <c r="R1181" i="7"/>
  <c r="R1181" i="2"/>
  <c r="R1180" i="2"/>
  <c r="R646" i="10"/>
  <c r="AS592" i="2"/>
  <c r="R1179" i="2"/>
  <c r="R1178" i="2"/>
  <c r="R1180" i="7"/>
  <c r="R1179" i="7"/>
  <c r="U593" i="2"/>
  <c r="X593" i="2"/>
  <c r="AA593" i="2"/>
  <c r="AD593" i="2"/>
  <c r="AE594" i="2"/>
  <c r="AG593" i="2"/>
  <c r="AJ593" i="2"/>
  <c r="AK596" i="2"/>
  <c r="AM593" i="2"/>
  <c r="AP593" i="2"/>
  <c r="U592" i="2"/>
  <c r="X592" i="2"/>
  <c r="Y595" i="2"/>
  <c r="AA592" i="2"/>
  <c r="AD592" i="2"/>
  <c r="AG592" i="2"/>
  <c r="AJ592" i="2"/>
  <c r="AM592" i="2"/>
  <c r="AN595" i="2"/>
  <c r="AP592" i="2"/>
  <c r="R645" i="10"/>
  <c r="R1178" i="7"/>
  <c r="R1177" i="7"/>
  <c r="R1177" i="2"/>
  <c r="R1176" i="2"/>
  <c r="U591" i="2"/>
  <c r="V594" i="2"/>
  <c r="X591" i="2"/>
  <c r="AA591" i="2"/>
  <c r="AB592" i="2"/>
  <c r="AD591" i="2"/>
  <c r="AG591" i="2"/>
  <c r="AJ591" i="2"/>
  <c r="AK594" i="2"/>
  <c r="AM591" i="2"/>
  <c r="AP591" i="2"/>
  <c r="R644" i="10"/>
  <c r="AS590" i="2"/>
  <c r="R1176" i="7"/>
  <c r="R1175" i="7"/>
  <c r="R1175" i="2"/>
  <c r="R1174" i="2"/>
  <c r="R643" i="10"/>
  <c r="R1174" i="7"/>
  <c r="R1173" i="7"/>
  <c r="R1172" i="7"/>
  <c r="R1171" i="7"/>
  <c r="R1173" i="2"/>
  <c r="R1172" i="2"/>
  <c r="U590" i="2"/>
  <c r="X590" i="2"/>
  <c r="AA590" i="2"/>
  <c r="AD590" i="2"/>
  <c r="AG590" i="2"/>
  <c r="AJ590" i="2"/>
  <c r="AM590" i="2"/>
  <c r="AP590" i="2"/>
  <c r="AQ593" i="2"/>
  <c r="R642" i="10"/>
  <c r="R1171" i="2"/>
  <c r="R1170" i="2"/>
  <c r="U589" i="2"/>
  <c r="X589" i="2"/>
  <c r="Y592" i="2"/>
  <c r="Y590" i="2"/>
  <c r="AA589" i="2"/>
  <c r="AD589" i="2"/>
  <c r="AG589" i="2"/>
  <c r="AH589" i="2"/>
  <c r="AJ589" i="2"/>
  <c r="AM589" i="2"/>
  <c r="AN592" i="2"/>
  <c r="AP589" i="2"/>
  <c r="AS589" i="2"/>
  <c r="R641" i="10"/>
  <c r="R1170" i="7"/>
  <c r="R1169" i="7"/>
  <c r="R1169" i="2"/>
  <c r="R1168" i="2"/>
  <c r="U587" i="2"/>
  <c r="X587" i="2"/>
  <c r="AA587" i="2"/>
  <c r="AD587" i="2"/>
  <c r="AE587" i="2"/>
  <c r="AG587" i="2"/>
  <c r="AJ587" i="2"/>
  <c r="AK589" i="2"/>
  <c r="AM587" i="2"/>
  <c r="AP587" i="2"/>
  <c r="U588" i="2"/>
  <c r="X588" i="2"/>
  <c r="Y591" i="2"/>
  <c r="AA588" i="2"/>
  <c r="AB591" i="2"/>
  <c r="AD588" i="2"/>
  <c r="AG588" i="2"/>
  <c r="AJ588" i="2"/>
  <c r="AM588" i="2"/>
  <c r="AP588" i="2"/>
  <c r="AQ591" i="2"/>
  <c r="AS588" i="2"/>
  <c r="R640" i="10"/>
  <c r="R1168" i="7"/>
  <c r="R1167" i="7"/>
  <c r="R1167" i="2"/>
  <c r="R1166" i="2"/>
  <c r="R639" i="10"/>
  <c r="R1166" i="7"/>
  <c r="R1165" i="7"/>
  <c r="R1165" i="2"/>
  <c r="R1164" i="2"/>
  <c r="U585" i="2"/>
  <c r="X585" i="2"/>
  <c r="AA585" i="2"/>
  <c r="AD585" i="2"/>
  <c r="AG585" i="2"/>
  <c r="AJ585" i="2"/>
  <c r="AM585" i="2"/>
  <c r="AP585" i="2"/>
  <c r="AS585" i="2"/>
  <c r="U586" i="2"/>
  <c r="X586" i="2"/>
  <c r="Y589" i="2"/>
  <c r="AA586" i="2"/>
  <c r="AD586" i="2"/>
  <c r="AG586" i="2"/>
  <c r="AJ586" i="2"/>
  <c r="AM586" i="2"/>
  <c r="AN589" i="2"/>
  <c r="AP586" i="2"/>
  <c r="R638" i="10"/>
  <c r="R1164" i="7"/>
  <c r="R1163" i="7"/>
  <c r="R1163" i="2"/>
  <c r="R1162" i="2"/>
  <c r="U583" i="2"/>
  <c r="X583" i="2"/>
  <c r="AA583" i="2"/>
  <c r="AD583" i="2"/>
  <c r="AE586" i="2"/>
  <c r="AG583" i="2"/>
  <c r="AJ583" i="2"/>
  <c r="AK586" i="2"/>
  <c r="AM583" i="2"/>
  <c r="AP583" i="2"/>
  <c r="U584" i="2"/>
  <c r="V587" i="2"/>
  <c r="X584" i="2"/>
  <c r="AA584" i="2"/>
  <c r="AB587" i="2"/>
  <c r="AD584" i="2"/>
  <c r="AG584" i="2"/>
  <c r="AH587" i="2"/>
  <c r="AJ584" i="2"/>
  <c r="AM584" i="2"/>
  <c r="AN585" i="2"/>
  <c r="AP584" i="2"/>
  <c r="AS584" i="2"/>
  <c r="R637" i="10"/>
  <c r="AS583" i="2"/>
  <c r="R1161" i="7"/>
  <c r="R1162" i="7"/>
  <c r="R1160" i="2"/>
  <c r="R1161" i="2"/>
  <c r="R636" i="10"/>
  <c r="R1159" i="2"/>
  <c r="R1158" i="2"/>
  <c r="R1160" i="7"/>
  <c r="R1159" i="7"/>
  <c r="R635" i="10"/>
  <c r="R1157" i="2"/>
  <c r="R1156" i="2"/>
  <c r="R1158" i="7"/>
  <c r="R1157" i="7"/>
  <c r="U581" i="2"/>
  <c r="X581" i="2"/>
  <c r="AA581" i="2"/>
  <c r="AD581" i="2"/>
  <c r="AG581" i="2"/>
  <c r="AJ581" i="2"/>
  <c r="AM581" i="2"/>
  <c r="AP581" i="2"/>
  <c r="U582" i="2"/>
  <c r="X582" i="2"/>
  <c r="AA582" i="2"/>
  <c r="AB585" i="2"/>
  <c r="AD582" i="2"/>
  <c r="AG582" i="2"/>
  <c r="AJ582" i="2"/>
  <c r="AM582" i="2"/>
  <c r="AP582" i="2"/>
  <c r="R634" i="10"/>
  <c r="R1156" i="7"/>
  <c r="R1155" i="7"/>
  <c r="R1155" i="2"/>
  <c r="R1154" i="2"/>
  <c r="U579" i="2"/>
  <c r="X579" i="2"/>
  <c r="AA579" i="2"/>
  <c r="AD579" i="2"/>
  <c r="AE581" i="2"/>
  <c r="AG579" i="2"/>
  <c r="AJ579" i="2"/>
  <c r="AM579" i="2"/>
  <c r="AP579" i="2"/>
  <c r="U580" i="2"/>
  <c r="X580" i="2"/>
  <c r="AA580" i="2"/>
  <c r="AD580" i="2"/>
  <c r="AG580" i="2"/>
  <c r="AH582" i="2"/>
  <c r="AJ580" i="2"/>
  <c r="AM580" i="2"/>
  <c r="AP580" i="2"/>
  <c r="R633" i="10"/>
  <c r="AS579" i="2"/>
  <c r="R1145" i="7"/>
  <c r="R1146" i="7"/>
  <c r="R1147" i="7"/>
  <c r="R1148" i="7"/>
  <c r="R1149" i="7"/>
  <c r="R1150" i="7"/>
  <c r="R1151" i="7"/>
  <c r="R1152" i="7"/>
  <c r="R1153" i="7"/>
  <c r="R1154" i="7"/>
  <c r="R1146" i="2"/>
  <c r="R1147" i="2"/>
  <c r="R1148" i="2"/>
  <c r="R1149" i="2"/>
  <c r="R1150" i="2"/>
  <c r="R1151" i="2"/>
  <c r="R1152" i="2"/>
  <c r="R1153" i="2"/>
  <c r="AS578" i="2"/>
  <c r="AP578" i="2"/>
  <c r="AM578" i="2"/>
  <c r="AJ578" i="2"/>
  <c r="AG578" i="2"/>
  <c r="AD578" i="2"/>
  <c r="AA578" i="2"/>
  <c r="X578" i="2"/>
  <c r="U578" i="2"/>
  <c r="R632" i="10"/>
  <c r="R631" i="10"/>
  <c r="S631" i="10"/>
  <c r="R630" i="10"/>
  <c r="AS576" i="2"/>
  <c r="U577" i="2"/>
  <c r="X577" i="2"/>
  <c r="AA577" i="2"/>
  <c r="AD577" i="2"/>
  <c r="AG577" i="2"/>
  <c r="AH579" i="2"/>
  <c r="AJ577" i="2"/>
  <c r="AM577" i="2"/>
  <c r="AN580" i="2"/>
  <c r="AP577" i="2"/>
  <c r="R629" i="10"/>
  <c r="AS575" i="2"/>
  <c r="U575" i="2"/>
  <c r="X575" i="2"/>
  <c r="Y578" i="2"/>
  <c r="AA575" i="2"/>
  <c r="AD575" i="2"/>
  <c r="AG575" i="2"/>
  <c r="AJ575" i="2"/>
  <c r="AM575" i="2"/>
  <c r="AN577" i="2"/>
  <c r="AP575" i="2"/>
  <c r="U576" i="2"/>
  <c r="X576" i="2"/>
  <c r="AA576" i="2"/>
  <c r="AB576" i="2"/>
  <c r="AD576" i="2"/>
  <c r="AG576" i="2"/>
  <c r="AJ576" i="2"/>
  <c r="AM576" i="2"/>
  <c r="AN579" i="2"/>
  <c r="AP576" i="2"/>
  <c r="R1145" i="2"/>
  <c r="R1144" i="2"/>
  <c r="R628" i="10"/>
  <c r="R1143" i="2"/>
  <c r="R1142" i="2"/>
  <c r="R1144" i="7"/>
  <c r="R1143" i="7"/>
  <c r="U573" i="2"/>
  <c r="R627" i="10"/>
  <c r="S630" i="10"/>
  <c r="R1142" i="7"/>
  <c r="R1141" i="7"/>
  <c r="R1141" i="2"/>
  <c r="R1140" i="2"/>
  <c r="X573" i="2"/>
  <c r="Y576" i="2"/>
  <c r="AA573" i="2"/>
  <c r="AD573" i="2"/>
  <c r="AG573" i="2"/>
  <c r="AJ573" i="2"/>
  <c r="AM573" i="2"/>
  <c r="AN576" i="2"/>
  <c r="AP573" i="2"/>
  <c r="AS573" i="2"/>
  <c r="U574" i="2"/>
  <c r="X574" i="2"/>
  <c r="Y577" i="2"/>
  <c r="AA574" i="2"/>
  <c r="AD574" i="2"/>
  <c r="AG574" i="2"/>
  <c r="AJ574" i="2"/>
  <c r="AM574" i="2"/>
  <c r="AP574" i="2"/>
  <c r="R626" i="10"/>
  <c r="AS572" i="2"/>
  <c r="R1140" i="7"/>
  <c r="R1139" i="7"/>
  <c r="R1139" i="2"/>
  <c r="R1138" i="2"/>
  <c r="U572" i="2"/>
  <c r="V575" i="2"/>
  <c r="X572" i="2"/>
  <c r="Y575" i="2"/>
  <c r="AA572" i="2"/>
  <c r="AB574" i="2"/>
  <c r="AD572" i="2"/>
  <c r="AG572" i="2"/>
  <c r="AH572" i="2"/>
  <c r="AJ572" i="2"/>
  <c r="AM572" i="2"/>
  <c r="AP572" i="2"/>
  <c r="R625" i="10"/>
  <c r="R1138" i="7"/>
  <c r="R1137" i="7"/>
  <c r="R1137" i="2"/>
  <c r="R1136" i="2"/>
  <c r="U571" i="2"/>
  <c r="X571" i="2"/>
  <c r="Y574" i="2"/>
  <c r="AA571" i="2"/>
  <c r="AD571" i="2"/>
  <c r="AG571" i="2"/>
  <c r="AJ571" i="2"/>
  <c r="AM571" i="2"/>
  <c r="AP571" i="2"/>
  <c r="AQ574" i="2"/>
  <c r="R624" i="10"/>
  <c r="AS570" i="2"/>
  <c r="R1135" i="2"/>
  <c r="R1134" i="2"/>
  <c r="R8" i="1"/>
  <c r="R1136" i="7"/>
  <c r="R1135" i="7"/>
  <c r="U570" i="2"/>
  <c r="X570" i="2"/>
  <c r="Y573" i="2"/>
  <c r="AA570" i="2"/>
  <c r="AD570" i="2"/>
  <c r="AE571" i="2"/>
  <c r="AG570" i="2"/>
  <c r="AJ570" i="2"/>
  <c r="AM570" i="2"/>
  <c r="AP570" i="2"/>
  <c r="R1134" i="7"/>
  <c r="R1133" i="7"/>
  <c r="R623" i="10"/>
  <c r="AS569" i="2"/>
  <c r="R1133" i="2"/>
  <c r="R1132" i="2"/>
  <c r="R622" i="10"/>
  <c r="AS568" i="2"/>
  <c r="R1132" i="7"/>
  <c r="R1131" i="7"/>
  <c r="R1131" i="2"/>
  <c r="R1130" i="2"/>
  <c r="AP568" i="2"/>
  <c r="U568" i="2"/>
  <c r="X568" i="2"/>
  <c r="AA568" i="2"/>
  <c r="AD568" i="2"/>
  <c r="AG568" i="2"/>
  <c r="AJ568" i="2"/>
  <c r="AM568" i="2"/>
  <c r="U569" i="2"/>
  <c r="X569" i="2"/>
  <c r="AA569" i="2"/>
  <c r="AD569" i="2"/>
  <c r="AG569" i="2"/>
  <c r="AJ569" i="2"/>
  <c r="AM569" i="2"/>
  <c r="AP569" i="2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R621" i="10"/>
  <c r="R1130" i="7"/>
  <c r="R1129" i="7"/>
  <c r="R1129" i="2"/>
  <c r="R1128" i="2"/>
  <c r="R620" i="10"/>
  <c r="R1128" i="7"/>
  <c r="R1127" i="7"/>
  <c r="R1127" i="2"/>
  <c r="R1126" i="2"/>
  <c r="R619" i="10"/>
  <c r="R1126" i="7"/>
  <c r="R1125" i="7"/>
  <c r="R1125" i="2"/>
  <c r="R1124" i="2"/>
  <c r="U565" i="2"/>
  <c r="X565" i="2"/>
  <c r="AA565" i="2"/>
  <c r="AD565" i="2"/>
  <c r="AG565" i="2"/>
  <c r="AJ565" i="2"/>
  <c r="AM565" i="2"/>
  <c r="AP565" i="2"/>
  <c r="U566" i="2"/>
  <c r="X566" i="2"/>
  <c r="AA566" i="2"/>
  <c r="AD566" i="2"/>
  <c r="AG566" i="2"/>
  <c r="AJ566" i="2"/>
  <c r="AM566" i="2"/>
  <c r="AP566" i="2"/>
  <c r="U567" i="2"/>
  <c r="V570" i="2"/>
  <c r="X567" i="2"/>
  <c r="AA567" i="2"/>
  <c r="AD567" i="2"/>
  <c r="AE570" i="2"/>
  <c r="AG567" i="2"/>
  <c r="AJ567" i="2"/>
  <c r="AM567" i="2"/>
  <c r="AP567" i="2"/>
  <c r="AQ570" i="2"/>
  <c r="AS567" i="2"/>
  <c r="R618" i="10"/>
  <c r="AS564" i="2"/>
  <c r="U564" i="2"/>
  <c r="X564" i="2"/>
  <c r="AA564" i="2"/>
  <c r="AD564" i="2"/>
  <c r="AG564" i="2"/>
  <c r="AH566" i="2"/>
  <c r="AJ564" i="2"/>
  <c r="AM564" i="2"/>
  <c r="AP564" i="2"/>
  <c r="R1123" i="2"/>
  <c r="R1122" i="2"/>
  <c r="R1124" i="7"/>
  <c r="R1123" i="7"/>
  <c r="R617" i="10"/>
  <c r="R1122" i="7"/>
  <c r="R1121" i="7"/>
  <c r="R1121" i="2"/>
  <c r="R1120" i="2"/>
  <c r="U563" i="2"/>
  <c r="X563" i="2"/>
  <c r="AA563" i="2"/>
  <c r="AD563" i="2"/>
  <c r="AG563" i="2"/>
  <c r="AJ563" i="2"/>
  <c r="AM563" i="2"/>
  <c r="AP563" i="2"/>
  <c r="AQ565" i="2"/>
  <c r="R616" i="10"/>
  <c r="R1120" i="7"/>
  <c r="R1119" i="7"/>
  <c r="R1119" i="2"/>
  <c r="R1118" i="2"/>
  <c r="U562" i="2"/>
  <c r="X562" i="2"/>
  <c r="AA562" i="2"/>
  <c r="AD562" i="2"/>
  <c r="AG562" i="2"/>
  <c r="AJ562" i="2"/>
  <c r="AM562" i="2"/>
  <c r="AP562" i="2"/>
  <c r="R615" i="10"/>
  <c r="AS561" i="2"/>
  <c r="R1117" i="2"/>
  <c r="R1116" i="2"/>
  <c r="R1118" i="7"/>
  <c r="R1117" i="7"/>
  <c r="R614" i="10"/>
  <c r="R1115" i="2"/>
  <c r="R1114" i="2"/>
  <c r="R1116" i="7"/>
  <c r="R1115" i="7"/>
  <c r="U560" i="2"/>
  <c r="X560" i="2"/>
  <c r="Y563" i="2"/>
  <c r="AA560" i="2"/>
  <c r="AD560" i="2"/>
  <c r="AG560" i="2"/>
  <c r="AI612" i="2"/>
  <c r="AJ560" i="2"/>
  <c r="AM560" i="2"/>
  <c r="AP560" i="2"/>
  <c r="U561" i="2"/>
  <c r="V561" i="2"/>
  <c r="X561" i="2"/>
  <c r="AA561" i="2"/>
  <c r="AD561" i="2"/>
  <c r="AG561" i="2"/>
  <c r="AJ561" i="2"/>
  <c r="AM561" i="2"/>
  <c r="AP561" i="2"/>
  <c r="R613" i="10"/>
  <c r="AS559" i="2"/>
  <c r="R1113" i="2"/>
  <c r="R1112" i="2"/>
  <c r="R1114" i="7"/>
  <c r="R1113" i="7"/>
  <c r="R612" i="10"/>
  <c r="R1112" i="7"/>
  <c r="R1111" i="7"/>
  <c r="R1111" i="2"/>
  <c r="R1110" i="2"/>
  <c r="R611" i="10"/>
  <c r="R1109" i="2"/>
  <c r="R1108" i="2"/>
  <c r="R1110" i="7"/>
  <c r="R1109" i="7"/>
  <c r="U558" i="2"/>
  <c r="X558" i="2"/>
  <c r="AA558" i="2"/>
  <c r="AD558" i="2"/>
  <c r="AG558" i="2"/>
  <c r="AJ558" i="2"/>
  <c r="AM558" i="2"/>
  <c r="AP558" i="2"/>
  <c r="U559" i="2"/>
  <c r="X559" i="2"/>
  <c r="AA559" i="2"/>
  <c r="AC611" i="2"/>
  <c r="AD559" i="2"/>
  <c r="AG559" i="2"/>
  <c r="AJ559" i="2"/>
  <c r="AM559" i="2"/>
  <c r="AP559" i="2"/>
  <c r="R610" i="10"/>
  <c r="R1108" i="7"/>
  <c r="R1107" i="7"/>
  <c r="R1107" i="2"/>
  <c r="R1106" i="2"/>
  <c r="U556" i="2"/>
  <c r="X556" i="2"/>
  <c r="AA556" i="2"/>
  <c r="AD556" i="2"/>
  <c r="AG556" i="2"/>
  <c r="AH559" i="2"/>
  <c r="AJ556" i="2"/>
  <c r="AM556" i="2"/>
  <c r="AP556" i="2"/>
  <c r="U557" i="2"/>
  <c r="X557" i="2"/>
  <c r="AA557" i="2"/>
  <c r="AD557" i="2"/>
  <c r="AG557" i="2"/>
  <c r="AJ557" i="2"/>
  <c r="AM557" i="2"/>
  <c r="AP557" i="2"/>
  <c r="R609" i="10"/>
  <c r="AS555" i="2"/>
  <c r="R1106" i="7"/>
  <c r="R1105" i="7"/>
  <c r="R1105" i="2"/>
  <c r="R1104" i="2"/>
  <c r="R608" i="10"/>
  <c r="AS554" i="2"/>
  <c r="R1104" i="7"/>
  <c r="R1103" i="7"/>
  <c r="R1103" i="2"/>
  <c r="R1102" i="2"/>
  <c r="R607" i="10"/>
  <c r="AS553" i="2"/>
  <c r="R1102" i="7"/>
  <c r="R1101" i="7"/>
  <c r="R1101" i="2"/>
  <c r="R1100" i="2"/>
  <c r="R606" i="10"/>
  <c r="R1100" i="7"/>
  <c r="R1099" i="7"/>
  <c r="R1099" i="2"/>
  <c r="R1098" i="2"/>
  <c r="U553" i="2"/>
  <c r="X553" i="2"/>
  <c r="AA553" i="2"/>
  <c r="AD553" i="2"/>
  <c r="AG553" i="2"/>
  <c r="AJ553" i="2"/>
  <c r="AK556" i="2"/>
  <c r="AM553" i="2"/>
  <c r="AN556" i="2"/>
  <c r="AP553" i="2"/>
  <c r="U554" i="2"/>
  <c r="X554" i="2"/>
  <c r="AA554" i="2"/>
  <c r="AD554" i="2"/>
  <c r="AG554" i="2"/>
  <c r="AJ554" i="2"/>
  <c r="AL606" i="2"/>
  <c r="AM554" i="2"/>
  <c r="AP554" i="2"/>
  <c r="U555" i="2"/>
  <c r="X555" i="2"/>
  <c r="AA555" i="2"/>
  <c r="AB558" i="2"/>
  <c r="AD555" i="2"/>
  <c r="AG555" i="2"/>
  <c r="AH558" i="2"/>
  <c r="AJ555" i="2"/>
  <c r="AM555" i="2"/>
  <c r="AP555" i="2"/>
  <c r="R605" i="10"/>
  <c r="AS551" i="2"/>
  <c r="R1098" i="7"/>
  <c r="R1097" i="7"/>
  <c r="R1097" i="2"/>
  <c r="R1096" i="2"/>
  <c r="R1095" i="2"/>
  <c r="R1094" i="2"/>
  <c r="R604" i="10"/>
  <c r="R1095" i="7"/>
  <c r="R1096" i="7"/>
  <c r="U551" i="2"/>
  <c r="X551" i="2"/>
  <c r="AA551" i="2"/>
  <c r="AD551" i="2"/>
  <c r="AG551" i="2"/>
  <c r="AJ551" i="2"/>
  <c r="AM551" i="2"/>
  <c r="AP551" i="2"/>
  <c r="U552" i="2"/>
  <c r="W604" i="2"/>
  <c r="X552" i="2"/>
  <c r="AA552" i="2"/>
  <c r="AD552" i="2"/>
  <c r="AG552" i="2"/>
  <c r="AJ552" i="2"/>
  <c r="AM552" i="2"/>
  <c r="AP552" i="2"/>
  <c r="AQ555" i="2"/>
  <c r="R603" i="10"/>
  <c r="R1094" i="7"/>
  <c r="R1093" i="7"/>
  <c r="R1093" i="2"/>
  <c r="R1092" i="2"/>
  <c r="R8" i="10"/>
  <c r="R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R10" i="10"/>
  <c r="R11" i="10"/>
  <c r="R12" i="10"/>
  <c r="R13" i="10"/>
  <c r="R14" i="10"/>
  <c r="R15" i="10"/>
  <c r="R16" i="10"/>
  <c r="R17" i="10"/>
  <c r="R18" i="10"/>
  <c r="S21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S59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S84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S152" i="10"/>
  <c r="R151" i="10"/>
  <c r="R152" i="10"/>
  <c r="R153" i="10"/>
  <c r="R154" i="10"/>
  <c r="R155" i="10"/>
  <c r="R156" i="10"/>
  <c r="R157" i="10"/>
  <c r="R158" i="10"/>
  <c r="S161" i="10"/>
  <c r="R159" i="10"/>
  <c r="R160" i="10"/>
  <c r="R161" i="10"/>
  <c r="R162" i="10"/>
  <c r="R163" i="10"/>
  <c r="R164" i="10"/>
  <c r="R165" i="10"/>
  <c r="R166" i="10"/>
  <c r="S167" i="10"/>
  <c r="R167" i="10"/>
  <c r="R168" i="10"/>
  <c r="R169" i="10"/>
  <c r="R170" i="10"/>
  <c r="R171" i="10"/>
  <c r="R172" i="10"/>
  <c r="R173" i="10"/>
  <c r="R174" i="10"/>
  <c r="S176" i="10"/>
  <c r="R175" i="10"/>
  <c r="R176" i="10"/>
  <c r="R177" i="10"/>
  <c r="R178" i="10"/>
  <c r="R179" i="10"/>
  <c r="R180" i="10"/>
  <c r="R181" i="10"/>
  <c r="R182" i="10"/>
  <c r="S185" i="10"/>
  <c r="R183" i="10"/>
  <c r="R184" i="10"/>
  <c r="R185" i="10"/>
  <c r="R186" i="10"/>
  <c r="S189" i="10"/>
  <c r="R187" i="10"/>
  <c r="R188" i="10"/>
  <c r="R189" i="10"/>
  <c r="R190" i="10"/>
  <c r="S192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S205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S233" i="10"/>
  <c r="R231" i="10"/>
  <c r="R232" i="10"/>
  <c r="R233" i="10"/>
  <c r="R234" i="10"/>
  <c r="S235" i="10"/>
  <c r="R235" i="10"/>
  <c r="R236" i="10"/>
  <c r="R237" i="10"/>
  <c r="R238" i="10"/>
  <c r="S241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AS219" i="2"/>
  <c r="R274" i="10"/>
  <c r="AS220" i="2"/>
  <c r="AT222" i="2"/>
  <c r="AU222" i="2"/>
  <c r="R275" i="10"/>
  <c r="R276" i="10"/>
  <c r="AS222" i="2"/>
  <c r="R277" i="10"/>
  <c r="AS223" i="2"/>
  <c r="R278" i="10"/>
  <c r="R279" i="10"/>
  <c r="AS225" i="2"/>
  <c r="R280" i="10"/>
  <c r="R281" i="10"/>
  <c r="R282" i="10"/>
  <c r="AS228" i="2"/>
  <c r="R283" i="10"/>
  <c r="R284" i="10"/>
  <c r="AS230" i="2"/>
  <c r="R285" i="10"/>
  <c r="R286" i="10"/>
  <c r="R287" i="10"/>
  <c r="R288" i="10"/>
  <c r="R289" i="10"/>
  <c r="AS235" i="2"/>
  <c r="R290" i="10"/>
  <c r="R291" i="10"/>
  <c r="R292" i="10"/>
  <c r="AS238" i="2"/>
  <c r="R293" i="10"/>
  <c r="R294" i="10"/>
  <c r="R295" i="10"/>
  <c r="R296" i="10"/>
  <c r="R297" i="10"/>
  <c r="R298" i="10"/>
  <c r="R299" i="10"/>
  <c r="AS245" i="2"/>
  <c r="R300" i="10"/>
  <c r="AS246" i="2"/>
  <c r="R301" i="10"/>
  <c r="R302" i="10"/>
  <c r="AS248" i="2"/>
  <c r="R303" i="10"/>
  <c r="R304" i="10"/>
  <c r="R305" i="10"/>
  <c r="R306" i="10"/>
  <c r="R307" i="10"/>
  <c r="AS253" i="2"/>
  <c r="R308" i="10"/>
  <c r="AS254" i="2"/>
  <c r="R309" i="10"/>
  <c r="R310" i="10"/>
  <c r="R311" i="10"/>
  <c r="R312" i="10"/>
  <c r="R313" i="10"/>
  <c r="R314" i="10"/>
  <c r="R315" i="10"/>
  <c r="AS261" i="2"/>
  <c r="R316" i="10"/>
  <c r="AS262" i="2"/>
  <c r="R317" i="10"/>
  <c r="R318" i="10"/>
  <c r="R319" i="10"/>
  <c r="AS265" i="2"/>
  <c r="R320" i="10"/>
  <c r="R321" i="10"/>
  <c r="R322" i="10"/>
  <c r="R323" i="10"/>
  <c r="AS269" i="2"/>
  <c r="R324" i="10"/>
  <c r="R325" i="10"/>
  <c r="R326" i="10"/>
  <c r="AS272" i="2"/>
  <c r="R327" i="10"/>
  <c r="R328" i="10"/>
  <c r="R329" i="10"/>
  <c r="R330" i="10"/>
  <c r="R331" i="10"/>
  <c r="AS277" i="2"/>
  <c r="R332" i="10"/>
  <c r="R333" i="10"/>
  <c r="R334" i="10"/>
  <c r="S337" i="10"/>
  <c r="R335" i="10"/>
  <c r="R336" i="10"/>
  <c r="AS282" i="2"/>
  <c r="R337" i="10"/>
  <c r="R338" i="10"/>
  <c r="R339" i="10"/>
  <c r="AS285" i="2"/>
  <c r="R340" i="10"/>
  <c r="R341" i="10"/>
  <c r="AS287" i="2"/>
  <c r="R342" i="10"/>
  <c r="R343" i="10"/>
  <c r="AS289" i="2"/>
  <c r="R344" i="10"/>
  <c r="R345" i="10"/>
  <c r="R346" i="10"/>
  <c r="AS292" i="2"/>
  <c r="R347" i="10"/>
  <c r="R348" i="10"/>
  <c r="R349" i="10"/>
  <c r="R350" i="10"/>
  <c r="R351" i="10"/>
  <c r="R352" i="10"/>
  <c r="AS298" i="2"/>
  <c r="R353" i="10"/>
  <c r="R354" i="10"/>
  <c r="R355" i="10"/>
  <c r="AS301" i="2"/>
  <c r="R356" i="10"/>
  <c r="AS302" i="2"/>
  <c r="R357" i="10"/>
  <c r="R358" i="10"/>
  <c r="R359" i="10"/>
  <c r="R360" i="10"/>
  <c r="AS306" i="2"/>
  <c r="R361" i="10"/>
  <c r="R362" i="10"/>
  <c r="R363" i="10"/>
  <c r="R364" i="10"/>
  <c r="AS310" i="2"/>
  <c r="R365" i="10"/>
  <c r="R366" i="10"/>
  <c r="R367" i="10"/>
  <c r="R368" i="10"/>
  <c r="AS314" i="2"/>
  <c r="R369" i="10"/>
  <c r="S372" i="10"/>
  <c r="R370" i="10"/>
  <c r="R371" i="10"/>
  <c r="AS317" i="2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AS329" i="2"/>
  <c r="R384" i="10"/>
  <c r="R385" i="10"/>
  <c r="R386" i="10"/>
  <c r="R387" i="10"/>
  <c r="S387" i="10"/>
  <c r="R388" i="10"/>
  <c r="R389" i="10"/>
  <c r="R390" i="10"/>
  <c r="AS336" i="2"/>
  <c r="R391" i="10"/>
  <c r="R392" i="10"/>
  <c r="AS338" i="2"/>
  <c r="R393" i="10"/>
  <c r="R394" i="10"/>
  <c r="R395" i="10"/>
  <c r="R396" i="10"/>
  <c r="R397" i="10"/>
  <c r="R398" i="10"/>
  <c r="R399" i="10"/>
  <c r="R400" i="10"/>
  <c r="AS346" i="2"/>
  <c r="R401" i="10"/>
  <c r="R402" i="10"/>
  <c r="R403" i="10"/>
  <c r="R404" i="10"/>
  <c r="S406" i="10"/>
  <c r="R405" i="10"/>
  <c r="AS351" i="2"/>
  <c r="R406" i="10"/>
  <c r="R407" i="10"/>
  <c r="R408" i="10"/>
  <c r="R409" i="10"/>
  <c r="R410" i="10"/>
  <c r="R411" i="10"/>
  <c r="R412" i="10"/>
  <c r="AS358" i="2"/>
  <c r="R413" i="10"/>
  <c r="R414" i="10"/>
  <c r="R415" i="10"/>
  <c r="R416" i="10"/>
  <c r="R417" i="10"/>
  <c r="R418" i="10"/>
  <c r="R419" i="10"/>
  <c r="AS365" i="2"/>
  <c r="R420" i="10"/>
  <c r="R421" i="10"/>
  <c r="R422" i="10"/>
  <c r="R423" i="10"/>
  <c r="AS369" i="2"/>
  <c r="R424" i="10"/>
  <c r="R425" i="10"/>
  <c r="R426" i="10"/>
  <c r="AS372" i="2"/>
  <c r="R427" i="10"/>
  <c r="R428" i="10"/>
  <c r="R429" i="10"/>
  <c r="R430" i="10"/>
  <c r="AS376" i="2"/>
  <c r="R431" i="10"/>
  <c r="AS377" i="2"/>
  <c r="R432" i="10"/>
  <c r="R433" i="10"/>
  <c r="R434" i="10"/>
  <c r="R435" i="10"/>
  <c r="AS381" i="2"/>
  <c r="R436" i="10"/>
  <c r="AS382" i="2"/>
  <c r="R437" i="10"/>
  <c r="R438" i="10"/>
  <c r="AS384" i="2"/>
  <c r="R439" i="10"/>
  <c r="AS385" i="2"/>
  <c r="AT388" i="2"/>
  <c r="AU388" i="2"/>
  <c r="R440" i="10"/>
  <c r="R441" i="10"/>
  <c r="R442" i="10"/>
  <c r="R443" i="10"/>
  <c r="AS389" i="2"/>
  <c r="R444" i="10"/>
  <c r="AS390" i="2"/>
  <c r="AT392" i="2"/>
  <c r="R445" i="10"/>
  <c r="AS391" i="2"/>
  <c r="R446" i="10"/>
  <c r="AS392" i="2"/>
  <c r="R447" i="10"/>
  <c r="R448" i="10"/>
  <c r="R449" i="10"/>
  <c r="R450" i="10"/>
  <c r="R451" i="10"/>
  <c r="R452" i="10"/>
  <c r="AS398" i="2"/>
  <c r="R453" i="10"/>
  <c r="R454" i="10"/>
  <c r="AS400" i="2"/>
  <c r="R455" i="10"/>
  <c r="R456" i="10"/>
  <c r="R457" i="10"/>
  <c r="AS403" i="2"/>
  <c r="R458" i="10"/>
  <c r="R459" i="10"/>
  <c r="R460" i="10"/>
  <c r="AS406" i="2"/>
  <c r="R461" i="10"/>
  <c r="R462" i="10"/>
  <c r="R463" i="10"/>
  <c r="AS409" i="2"/>
  <c r="R464" i="10"/>
  <c r="R465" i="10"/>
  <c r="AS411" i="2"/>
  <c r="R466" i="10"/>
  <c r="AS412" i="2"/>
  <c r="R467" i="10"/>
  <c r="R468" i="10"/>
  <c r="AS414" i="2"/>
  <c r="R469" i="10"/>
  <c r="AS415" i="2"/>
  <c r="R470" i="10"/>
  <c r="R471" i="10"/>
  <c r="AS417" i="2"/>
  <c r="R472" i="10"/>
  <c r="R473" i="10"/>
  <c r="AS419" i="2"/>
  <c r="R474" i="10"/>
  <c r="R475" i="10"/>
  <c r="R476" i="10"/>
  <c r="AS422" i="2"/>
  <c r="R477" i="10"/>
  <c r="R478" i="10"/>
  <c r="R479" i="10"/>
  <c r="R480" i="10"/>
  <c r="S481" i="10"/>
  <c r="R481" i="10"/>
  <c r="R482" i="10"/>
  <c r="AS428" i="2"/>
  <c r="R483" i="10"/>
  <c r="R484" i="10"/>
  <c r="AS430" i="2"/>
  <c r="R485" i="10"/>
  <c r="AS431" i="2"/>
  <c r="R486" i="10"/>
  <c r="AS432" i="2"/>
  <c r="R487" i="10"/>
  <c r="R488" i="10"/>
  <c r="R489" i="10"/>
  <c r="R490" i="10"/>
  <c r="R491" i="10"/>
  <c r="AS437" i="2"/>
  <c r="R492" i="10"/>
  <c r="AS438" i="2"/>
  <c r="R493" i="10"/>
  <c r="AS439" i="2"/>
  <c r="R494" i="10"/>
  <c r="R495" i="10"/>
  <c r="AS441" i="2"/>
  <c r="R496" i="10"/>
  <c r="R497" i="10"/>
  <c r="R498" i="10"/>
  <c r="R499" i="10"/>
  <c r="AS445" i="2"/>
  <c r="R500" i="10"/>
  <c r="AS446" i="2"/>
  <c r="R501" i="10"/>
  <c r="AS447" i="2"/>
  <c r="R502" i="10"/>
  <c r="AS448" i="2"/>
  <c r="R503" i="10"/>
  <c r="R504" i="10"/>
  <c r="R505" i="10"/>
  <c r="R506" i="10"/>
  <c r="R507" i="10"/>
  <c r="R508" i="10"/>
  <c r="R509" i="10"/>
  <c r="R510" i="10"/>
  <c r="R511" i="10"/>
  <c r="AS457" i="2"/>
  <c r="R512" i="10"/>
  <c r="R513" i="10"/>
  <c r="AS459" i="2"/>
  <c r="R514" i="10"/>
  <c r="R515" i="10"/>
  <c r="R516" i="10"/>
  <c r="AS462" i="2"/>
  <c r="R517" i="10"/>
  <c r="AS463" i="2"/>
  <c r="R518" i="10"/>
  <c r="R519" i="10"/>
  <c r="R520" i="10"/>
  <c r="R521" i="10"/>
  <c r="R522" i="10"/>
  <c r="AS468" i="2"/>
  <c r="R523" i="10"/>
  <c r="AS469" i="2"/>
  <c r="R524" i="10"/>
  <c r="R525" i="10"/>
  <c r="R526" i="10"/>
  <c r="R527" i="10"/>
  <c r="R528" i="10"/>
  <c r="R529" i="10"/>
  <c r="R530" i="10"/>
  <c r="S530" i="10"/>
  <c r="R531" i="10"/>
  <c r="R532" i="10"/>
  <c r="R533" i="10"/>
  <c r="R534" i="10"/>
  <c r="R535" i="10"/>
  <c r="R536" i="10"/>
  <c r="AS482" i="2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AS495" i="2"/>
  <c r="R550" i="10"/>
  <c r="R551" i="10"/>
  <c r="R552" i="10"/>
  <c r="R553" i="10"/>
  <c r="R554" i="10"/>
  <c r="R555" i="10"/>
  <c r="AS501" i="2"/>
  <c r="R556" i="10"/>
  <c r="R557" i="10"/>
  <c r="R558" i="10"/>
  <c r="S558" i="10"/>
  <c r="R559" i="10"/>
  <c r="R560" i="10"/>
  <c r="AS506" i="2"/>
  <c r="R561" i="10"/>
  <c r="R562" i="10"/>
  <c r="R563" i="10"/>
  <c r="AS509" i="2"/>
  <c r="R564" i="10"/>
  <c r="AS510" i="2"/>
  <c r="R565" i="10"/>
  <c r="R566" i="10"/>
  <c r="R567" i="10"/>
  <c r="R568" i="10"/>
  <c r="R569" i="10"/>
  <c r="R570" i="10"/>
  <c r="R571" i="10"/>
  <c r="AS517" i="2"/>
  <c r="R572" i="10"/>
  <c r="R573" i="10"/>
  <c r="R574" i="10"/>
  <c r="AS520" i="2"/>
  <c r="R575" i="10"/>
  <c r="AS521" i="2"/>
  <c r="R576" i="10"/>
  <c r="R577" i="10"/>
  <c r="R578" i="10"/>
  <c r="AS524" i="2"/>
  <c r="R579" i="10"/>
  <c r="AS525" i="2"/>
  <c r="R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R581" i="10"/>
  <c r="R582" i="10"/>
  <c r="S585" i="10"/>
  <c r="R583" i="10"/>
  <c r="R584" i="10"/>
  <c r="R585" i="10"/>
  <c r="R586" i="10"/>
  <c r="AS532" i="2"/>
  <c r="R587" i="10"/>
  <c r="R588" i="10"/>
  <c r="AS534" i="2"/>
  <c r="R589" i="10"/>
  <c r="R590" i="10"/>
  <c r="AS536" i="2"/>
  <c r="R591" i="10"/>
  <c r="S593" i="10"/>
  <c r="R592" i="10"/>
  <c r="AS538" i="2"/>
  <c r="R593" i="10"/>
  <c r="R594" i="10"/>
  <c r="R595" i="10"/>
  <c r="AS541" i="2"/>
  <c r="R596" i="10"/>
  <c r="R597" i="10"/>
  <c r="R598" i="10"/>
  <c r="AS544" i="2"/>
  <c r="R599" i="10"/>
  <c r="R600" i="10"/>
  <c r="R601" i="10"/>
  <c r="R602" i="10"/>
  <c r="R7" i="7"/>
  <c r="S7" i="7"/>
  <c r="R8" i="7"/>
  <c r="S8" i="7"/>
  <c r="R9" i="7"/>
  <c r="S9" i="7"/>
  <c r="R10" i="7"/>
  <c r="S10" i="7"/>
  <c r="V10" i="7"/>
  <c r="R11" i="7"/>
  <c r="S11" i="7"/>
  <c r="W14" i="7"/>
  <c r="V11" i="7"/>
  <c r="AM11" i="7"/>
  <c r="R12" i="7"/>
  <c r="S12" i="7"/>
  <c r="V12" i="7"/>
  <c r="R13" i="7"/>
  <c r="S13" i="7"/>
  <c r="V13" i="7"/>
  <c r="R14" i="7"/>
  <c r="S14" i="7"/>
  <c r="V14" i="7"/>
  <c r="R15" i="7"/>
  <c r="S15" i="7"/>
  <c r="V15" i="7"/>
  <c r="R16" i="7"/>
  <c r="S16" i="7"/>
  <c r="V16" i="7"/>
  <c r="R17" i="7"/>
  <c r="S17" i="7"/>
  <c r="V17" i="7"/>
  <c r="R18" i="7"/>
  <c r="S18" i="7"/>
  <c r="V18" i="7"/>
  <c r="R19" i="7"/>
  <c r="S19" i="7"/>
  <c r="V19" i="7"/>
  <c r="R20" i="7"/>
  <c r="S20" i="7"/>
  <c r="V20" i="7"/>
  <c r="R21" i="7"/>
  <c r="S21" i="7"/>
  <c r="V21" i="7"/>
  <c r="R22" i="7"/>
  <c r="S22" i="7"/>
  <c r="W23" i="7"/>
  <c r="V22" i="7"/>
  <c r="R23" i="7"/>
  <c r="S23" i="7"/>
  <c r="V23" i="7"/>
  <c r="R24" i="7"/>
  <c r="S24" i="7"/>
  <c r="V24" i="7"/>
  <c r="R25" i="7"/>
  <c r="S25" i="7"/>
  <c r="V25" i="7"/>
  <c r="R26" i="7"/>
  <c r="S26" i="7"/>
  <c r="V26" i="7"/>
  <c r="R27" i="7"/>
  <c r="S27" i="7"/>
  <c r="V27" i="7"/>
  <c r="R28" i="7"/>
  <c r="S28" i="7"/>
  <c r="W28" i="7"/>
  <c r="V28" i="7"/>
  <c r="R29" i="7"/>
  <c r="S29" i="7"/>
  <c r="V29" i="7"/>
  <c r="R30" i="7"/>
  <c r="S30" i="7"/>
  <c r="V30" i="7"/>
  <c r="R31" i="7"/>
  <c r="S31" i="7"/>
  <c r="V31" i="7"/>
  <c r="R32" i="7"/>
  <c r="S32" i="7"/>
  <c r="W35" i="7"/>
  <c r="V32" i="7"/>
  <c r="R33" i="7"/>
  <c r="S33" i="7"/>
  <c r="V33" i="7"/>
  <c r="R34" i="7"/>
  <c r="S34" i="7"/>
  <c r="V34" i="7"/>
  <c r="R35" i="7"/>
  <c r="S35" i="7"/>
  <c r="V35" i="7"/>
  <c r="R36" i="7"/>
  <c r="S36" i="7"/>
  <c r="W39" i="7"/>
  <c r="V36" i="7"/>
  <c r="R37" i="7"/>
  <c r="S37" i="7"/>
  <c r="V37" i="7"/>
  <c r="R38" i="7"/>
  <c r="S38" i="7"/>
  <c r="V38" i="7"/>
  <c r="R39" i="7"/>
  <c r="S39" i="7"/>
  <c r="V39" i="7"/>
  <c r="R40" i="7"/>
  <c r="S40" i="7"/>
  <c r="W41" i="7"/>
  <c r="V40" i="7"/>
  <c r="R41" i="7"/>
  <c r="S41" i="7"/>
  <c r="V41" i="7"/>
  <c r="R42" i="7"/>
  <c r="S42" i="7"/>
  <c r="V42" i="7"/>
  <c r="R43" i="7"/>
  <c r="S43" i="7"/>
  <c r="V43" i="7"/>
  <c r="R44" i="7"/>
  <c r="S44" i="7"/>
  <c r="V44" i="7"/>
  <c r="R45" i="7"/>
  <c r="S45" i="7"/>
  <c r="V45" i="7"/>
  <c r="R46" i="7"/>
  <c r="S46" i="7"/>
  <c r="V46" i="7"/>
  <c r="R47" i="7"/>
  <c r="S47" i="7"/>
  <c r="V47" i="7"/>
  <c r="R48" i="7"/>
  <c r="S48" i="7"/>
  <c r="V48" i="7"/>
  <c r="R49" i="7"/>
  <c r="S49" i="7"/>
  <c r="V49" i="7"/>
  <c r="R50" i="7"/>
  <c r="S50" i="7"/>
  <c r="V50" i="7"/>
  <c r="R51" i="7"/>
  <c r="S51" i="7"/>
  <c r="V51" i="7"/>
  <c r="R52" i="7"/>
  <c r="S52" i="7"/>
  <c r="V52" i="7"/>
  <c r="R53" i="7"/>
  <c r="S53" i="7"/>
  <c r="V53" i="7"/>
  <c r="R54" i="7"/>
  <c r="S54" i="7"/>
  <c r="V54" i="7"/>
  <c r="R55" i="7"/>
  <c r="S55" i="7"/>
  <c r="V55" i="7"/>
  <c r="R56" i="7"/>
  <c r="S56" i="7"/>
  <c r="V56" i="7"/>
  <c r="R57" i="7"/>
  <c r="S57" i="7"/>
  <c r="W60" i="7"/>
  <c r="V57" i="7"/>
  <c r="R58" i="7"/>
  <c r="S58" i="7"/>
  <c r="V58" i="7"/>
  <c r="R59" i="7"/>
  <c r="S59" i="7"/>
  <c r="V59" i="7"/>
  <c r="R60" i="7"/>
  <c r="S60" i="7"/>
  <c r="V60" i="7"/>
  <c r="R61" i="7"/>
  <c r="S61" i="7"/>
  <c r="W61" i="7"/>
  <c r="V61" i="7"/>
  <c r="R62" i="7"/>
  <c r="S62" i="7"/>
  <c r="V62" i="7"/>
  <c r="R63" i="7"/>
  <c r="S63" i="7"/>
  <c r="V63" i="7"/>
  <c r="R64" i="7"/>
  <c r="S64" i="7"/>
  <c r="V64" i="7"/>
  <c r="R65" i="7"/>
  <c r="S65" i="7"/>
  <c r="V65" i="7"/>
  <c r="R66" i="7"/>
  <c r="S66" i="7"/>
  <c r="V66" i="7"/>
  <c r="R67" i="7"/>
  <c r="S67" i="7"/>
  <c r="V67" i="7"/>
  <c r="R68" i="7"/>
  <c r="S68" i="7"/>
  <c r="V68" i="7"/>
  <c r="R69" i="7"/>
  <c r="S69" i="7"/>
  <c r="V69" i="7"/>
  <c r="R70" i="7"/>
  <c r="S70" i="7"/>
  <c r="V70" i="7"/>
  <c r="R71" i="7"/>
  <c r="S71" i="7"/>
  <c r="V71" i="7"/>
  <c r="R72" i="7"/>
  <c r="S72" i="7"/>
  <c r="V72" i="7"/>
  <c r="R73" i="7"/>
  <c r="S73" i="7"/>
  <c r="V73" i="7"/>
  <c r="R74" i="7"/>
  <c r="S74" i="7"/>
  <c r="V74" i="7"/>
  <c r="R75" i="7"/>
  <c r="S75" i="7"/>
  <c r="V75" i="7"/>
  <c r="R76" i="7"/>
  <c r="S76" i="7"/>
  <c r="V76" i="7"/>
  <c r="R77" i="7"/>
  <c r="S77" i="7"/>
  <c r="V77" i="7"/>
  <c r="R78" i="7"/>
  <c r="S78" i="7"/>
  <c r="V78" i="7"/>
  <c r="R79" i="7"/>
  <c r="S79" i="7"/>
  <c r="V79" i="7"/>
  <c r="R80" i="7"/>
  <c r="S80" i="7"/>
  <c r="V80" i="7"/>
  <c r="R81" i="7"/>
  <c r="S81" i="7"/>
  <c r="V81" i="7"/>
  <c r="R82" i="7"/>
  <c r="S82" i="7"/>
  <c r="V82" i="7"/>
  <c r="R83" i="7"/>
  <c r="S83" i="7"/>
  <c r="V83" i="7"/>
  <c r="R84" i="7"/>
  <c r="S84" i="7"/>
  <c r="V84" i="7"/>
  <c r="R85" i="7"/>
  <c r="S85" i="7"/>
  <c r="V85" i="7"/>
  <c r="R86" i="7"/>
  <c r="S86" i="7"/>
  <c r="V86" i="7"/>
  <c r="R87" i="7"/>
  <c r="S87" i="7"/>
  <c r="W88" i="7"/>
  <c r="V87" i="7"/>
  <c r="R88" i="7"/>
  <c r="S88" i="7"/>
  <c r="V88" i="7"/>
  <c r="R89" i="7"/>
  <c r="S89" i="7"/>
  <c r="V89" i="7"/>
  <c r="R90" i="7"/>
  <c r="S90" i="7"/>
  <c r="V90" i="7"/>
  <c r="R91" i="7"/>
  <c r="S91" i="7"/>
  <c r="V91" i="7"/>
  <c r="R92" i="7"/>
  <c r="S92" i="7"/>
  <c r="V92" i="7"/>
  <c r="R93" i="7"/>
  <c r="S93" i="7"/>
  <c r="V93" i="7"/>
  <c r="R94" i="7"/>
  <c r="S94" i="7"/>
  <c r="V94" i="7"/>
  <c r="R95" i="7"/>
  <c r="S95" i="7"/>
  <c r="V95" i="7"/>
  <c r="R96" i="7"/>
  <c r="S96" i="7"/>
  <c r="V96" i="7"/>
  <c r="R97" i="7"/>
  <c r="S97" i="7"/>
  <c r="V97" i="7"/>
  <c r="R98" i="7"/>
  <c r="S98" i="7"/>
  <c r="V98" i="7"/>
  <c r="R99" i="7"/>
  <c r="S99" i="7"/>
  <c r="V99" i="7"/>
  <c r="R100" i="7"/>
  <c r="S100" i="7"/>
  <c r="V100" i="7"/>
  <c r="R101" i="7"/>
  <c r="S101" i="7"/>
  <c r="V101" i="7"/>
  <c r="R102" i="7"/>
  <c r="S102" i="7"/>
  <c r="V102" i="7"/>
  <c r="R103" i="7"/>
  <c r="S103" i="7"/>
  <c r="V103" i="7"/>
  <c r="R104" i="7"/>
  <c r="S104" i="7"/>
  <c r="V104" i="7"/>
  <c r="R105" i="7"/>
  <c r="S105" i="7"/>
  <c r="V105" i="7"/>
  <c r="R106" i="7"/>
  <c r="S106" i="7"/>
  <c r="V106" i="7"/>
  <c r="R107" i="7"/>
  <c r="S107" i="7"/>
  <c r="V107" i="7"/>
  <c r="R108" i="7"/>
  <c r="S108" i="7"/>
  <c r="W111" i="7"/>
  <c r="V108" i="7"/>
  <c r="R109" i="7"/>
  <c r="S109" i="7"/>
  <c r="V109" i="7"/>
  <c r="R110" i="7"/>
  <c r="S110" i="7"/>
  <c r="V110" i="7"/>
  <c r="R111" i="7"/>
  <c r="S111" i="7"/>
  <c r="V111" i="7"/>
  <c r="R112" i="7"/>
  <c r="S112" i="7"/>
  <c r="V112" i="7"/>
  <c r="R113" i="7"/>
  <c r="S113" i="7"/>
  <c r="V113" i="7"/>
  <c r="R114" i="7"/>
  <c r="S114" i="7"/>
  <c r="V114" i="7"/>
  <c r="R115" i="7"/>
  <c r="S115" i="7"/>
  <c r="V115" i="7"/>
  <c r="R116" i="7"/>
  <c r="S116" i="7"/>
  <c r="V116" i="7"/>
  <c r="R117" i="7"/>
  <c r="S117" i="7"/>
  <c r="V117" i="7"/>
  <c r="R118" i="7"/>
  <c r="S118" i="7"/>
  <c r="V118" i="7"/>
  <c r="R119" i="7"/>
  <c r="S119" i="7"/>
  <c r="V119" i="7"/>
  <c r="R120" i="7"/>
  <c r="S120" i="7"/>
  <c r="W123" i="7"/>
  <c r="V120" i="7"/>
  <c r="R121" i="7"/>
  <c r="S121" i="7"/>
  <c r="V121" i="7"/>
  <c r="R122" i="7"/>
  <c r="S122" i="7"/>
  <c r="V122" i="7"/>
  <c r="R123" i="7"/>
  <c r="S123" i="7"/>
  <c r="V123" i="7"/>
  <c r="R124" i="7"/>
  <c r="S124" i="7"/>
  <c r="V124" i="7"/>
  <c r="R125" i="7"/>
  <c r="S125" i="7"/>
  <c r="V125" i="7"/>
  <c r="R126" i="7"/>
  <c r="S126" i="7"/>
  <c r="V126" i="7"/>
  <c r="R127" i="7"/>
  <c r="S127" i="7"/>
  <c r="V127" i="7"/>
  <c r="R128" i="7"/>
  <c r="S128" i="7"/>
  <c r="V128" i="7"/>
  <c r="R129" i="7"/>
  <c r="S129" i="7"/>
  <c r="V129" i="7"/>
  <c r="R130" i="7"/>
  <c r="S130" i="7"/>
  <c r="V130" i="7"/>
  <c r="R131" i="7"/>
  <c r="S131" i="7"/>
  <c r="V131" i="7"/>
  <c r="R132" i="7"/>
  <c r="S132" i="7"/>
  <c r="V132" i="7"/>
  <c r="R133" i="7"/>
  <c r="S133" i="7"/>
  <c r="V133" i="7"/>
  <c r="R134" i="7"/>
  <c r="S134" i="7"/>
  <c r="V134" i="7"/>
  <c r="R135" i="7"/>
  <c r="S135" i="7"/>
  <c r="V135" i="7"/>
  <c r="R136" i="7"/>
  <c r="S136" i="7"/>
  <c r="V136" i="7"/>
  <c r="R137" i="7"/>
  <c r="S137" i="7"/>
  <c r="V137" i="7"/>
  <c r="R138" i="7"/>
  <c r="S138" i="7"/>
  <c r="V138" i="7"/>
  <c r="R139" i="7"/>
  <c r="S139" i="7"/>
  <c r="V139" i="7"/>
  <c r="R140" i="7"/>
  <c r="S140" i="7"/>
  <c r="V140" i="7"/>
  <c r="R141" i="7"/>
  <c r="S141" i="7"/>
  <c r="V141" i="7"/>
  <c r="R142" i="7"/>
  <c r="S142" i="7"/>
  <c r="V142" i="7"/>
  <c r="R143" i="7"/>
  <c r="S143" i="7"/>
  <c r="V143" i="7"/>
  <c r="R144" i="7"/>
  <c r="S144" i="7"/>
  <c r="V144" i="7"/>
  <c r="R145" i="7"/>
  <c r="S145" i="7"/>
  <c r="W147" i="7"/>
  <c r="V145" i="7"/>
  <c r="R146" i="7"/>
  <c r="S146" i="7"/>
  <c r="V146" i="7"/>
  <c r="R147" i="7"/>
  <c r="S147" i="7"/>
  <c r="V147" i="7"/>
  <c r="R148" i="7"/>
  <c r="S148" i="7"/>
  <c r="V148" i="7"/>
  <c r="R149" i="7"/>
  <c r="S149" i="7"/>
  <c r="W152" i="7"/>
  <c r="V149" i="7"/>
  <c r="R150" i="7"/>
  <c r="S150" i="7"/>
  <c r="V150" i="7"/>
  <c r="R151" i="7"/>
  <c r="S151" i="7"/>
  <c r="V151" i="7"/>
  <c r="R152" i="7"/>
  <c r="S152" i="7"/>
  <c r="V152" i="7"/>
  <c r="R153" i="7"/>
  <c r="S153" i="7"/>
  <c r="W153" i="7"/>
  <c r="V153" i="7"/>
  <c r="R154" i="7"/>
  <c r="S154" i="7"/>
  <c r="V154" i="7"/>
  <c r="R155" i="7"/>
  <c r="S155" i="7"/>
  <c r="V155" i="7"/>
  <c r="R156" i="7"/>
  <c r="S156" i="7"/>
  <c r="V156" i="7"/>
  <c r="R157" i="7"/>
  <c r="S157" i="7"/>
  <c r="V157" i="7"/>
  <c r="R158" i="7"/>
  <c r="S158" i="7"/>
  <c r="V158" i="7"/>
  <c r="R159" i="7"/>
  <c r="S159" i="7"/>
  <c r="V159" i="7"/>
  <c r="R160" i="7"/>
  <c r="S160" i="7"/>
  <c r="V160" i="7"/>
  <c r="R161" i="7"/>
  <c r="S161" i="7"/>
  <c r="V161" i="7"/>
  <c r="R162" i="7"/>
  <c r="S162" i="7"/>
  <c r="V162" i="7"/>
  <c r="R163" i="7"/>
  <c r="S163" i="7"/>
  <c r="V163" i="7"/>
  <c r="R164" i="7"/>
  <c r="S164" i="7"/>
  <c r="V164" i="7"/>
  <c r="R165" i="7"/>
  <c r="S165" i="7"/>
  <c r="V165" i="7"/>
  <c r="R166" i="7"/>
  <c r="S166" i="7"/>
  <c r="V166" i="7"/>
  <c r="R167" i="7"/>
  <c r="S167" i="7"/>
  <c r="V167" i="7"/>
  <c r="R168" i="7"/>
  <c r="S168" i="7"/>
  <c r="V168" i="7"/>
  <c r="R169" i="7"/>
  <c r="S169" i="7"/>
  <c r="V169" i="7"/>
  <c r="R170" i="7"/>
  <c r="S170" i="7"/>
  <c r="V170" i="7"/>
  <c r="R171" i="7"/>
  <c r="S171" i="7"/>
  <c r="V171" i="7"/>
  <c r="R172" i="7"/>
  <c r="S172" i="7"/>
  <c r="V172" i="7"/>
  <c r="R173" i="7"/>
  <c r="S173" i="7"/>
  <c r="V173" i="7"/>
  <c r="R174" i="7"/>
  <c r="S174" i="7"/>
  <c r="V174" i="7"/>
  <c r="R175" i="7"/>
  <c r="S175" i="7"/>
  <c r="V175" i="7"/>
  <c r="R176" i="7"/>
  <c r="S176" i="7"/>
  <c r="V176" i="7"/>
  <c r="R177" i="7"/>
  <c r="S177" i="7"/>
  <c r="V177" i="7"/>
  <c r="R178" i="7"/>
  <c r="S178" i="7"/>
  <c r="W181" i="7"/>
  <c r="V178" i="7"/>
  <c r="R179" i="7"/>
  <c r="S179" i="7"/>
  <c r="V179" i="7"/>
  <c r="R180" i="7"/>
  <c r="S180" i="7"/>
  <c r="V180" i="7"/>
  <c r="R181" i="7"/>
  <c r="S181" i="7"/>
  <c r="V181" i="7"/>
  <c r="R182" i="7"/>
  <c r="S182" i="7"/>
  <c r="V182" i="7"/>
  <c r="R183" i="7"/>
  <c r="S183" i="7"/>
  <c r="V183" i="7"/>
  <c r="R184" i="7"/>
  <c r="S184" i="7"/>
  <c r="V184" i="7"/>
  <c r="R185" i="7"/>
  <c r="S185" i="7"/>
  <c r="V185" i="7"/>
  <c r="X185" i="7"/>
  <c r="R186" i="7"/>
  <c r="S186" i="7"/>
  <c r="V186" i="7"/>
  <c r="X186" i="7"/>
  <c r="R187" i="7"/>
  <c r="S187" i="7"/>
  <c r="V187" i="7"/>
  <c r="X187" i="7"/>
  <c r="R188" i="7"/>
  <c r="S188" i="7"/>
  <c r="V188" i="7"/>
  <c r="X188" i="7"/>
  <c r="R189" i="7"/>
  <c r="S189" i="7"/>
  <c r="V189" i="7"/>
  <c r="X189" i="7"/>
  <c r="R190" i="7"/>
  <c r="S190" i="7"/>
  <c r="V190" i="7"/>
  <c r="X190" i="7"/>
  <c r="R191" i="7"/>
  <c r="S191" i="7"/>
  <c r="V191" i="7"/>
  <c r="X191" i="7"/>
  <c r="R192" i="7"/>
  <c r="S192" i="7"/>
  <c r="V192" i="7"/>
  <c r="X192" i="7"/>
  <c r="R193" i="7"/>
  <c r="S193" i="7"/>
  <c r="V193" i="7"/>
  <c r="X193" i="7"/>
  <c r="R194" i="7"/>
  <c r="S194" i="7"/>
  <c r="V194" i="7"/>
  <c r="X194" i="7"/>
  <c r="R195" i="7"/>
  <c r="S195" i="7"/>
  <c r="V195" i="7"/>
  <c r="X195" i="7"/>
  <c r="R196" i="7"/>
  <c r="S196" i="7"/>
  <c r="V196" i="7"/>
  <c r="X196" i="7"/>
  <c r="R197" i="7"/>
  <c r="S197" i="7"/>
  <c r="V197" i="7"/>
  <c r="X197" i="7"/>
  <c r="R198" i="7"/>
  <c r="S198" i="7"/>
  <c r="V198" i="7"/>
  <c r="X198" i="7"/>
  <c r="R199" i="7"/>
  <c r="S199" i="7"/>
  <c r="V199" i="7"/>
  <c r="X199" i="7"/>
  <c r="R200" i="7"/>
  <c r="S200" i="7"/>
  <c r="V200" i="7"/>
  <c r="X200" i="7"/>
  <c r="R201" i="7"/>
  <c r="S201" i="7"/>
  <c r="V201" i="7"/>
  <c r="X201" i="7"/>
  <c r="R202" i="7"/>
  <c r="S202" i="7"/>
  <c r="V202" i="7"/>
  <c r="X202" i="7"/>
  <c r="R203" i="7"/>
  <c r="S203" i="7"/>
  <c r="V203" i="7"/>
  <c r="X203" i="7"/>
  <c r="R204" i="7"/>
  <c r="S204" i="7"/>
  <c r="V204" i="7"/>
  <c r="X204" i="7"/>
  <c r="R205" i="7"/>
  <c r="S205" i="7"/>
  <c r="V205" i="7"/>
  <c r="X205" i="7"/>
  <c r="R206" i="7"/>
  <c r="S206" i="7"/>
  <c r="V206" i="7"/>
  <c r="X206" i="7"/>
  <c r="R207" i="7"/>
  <c r="S207" i="7"/>
  <c r="V207" i="7"/>
  <c r="X207" i="7"/>
  <c r="R208" i="7"/>
  <c r="S208" i="7"/>
  <c r="V208" i="7"/>
  <c r="X208" i="7"/>
  <c r="R209" i="7"/>
  <c r="S209" i="7"/>
  <c r="V209" i="7"/>
  <c r="X209" i="7"/>
  <c r="R210" i="7"/>
  <c r="S210" i="7"/>
  <c r="V210" i="7"/>
  <c r="X210" i="7"/>
  <c r="R211" i="7"/>
  <c r="S211" i="7"/>
  <c r="V211" i="7"/>
  <c r="X211" i="7"/>
  <c r="R212" i="7"/>
  <c r="S212" i="7"/>
  <c r="V212" i="7"/>
  <c r="X212" i="7"/>
  <c r="R213" i="7"/>
  <c r="S213" i="7"/>
  <c r="V213" i="7"/>
  <c r="X213" i="7"/>
  <c r="R214" i="7"/>
  <c r="S214" i="7"/>
  <c r="V214" i="7"/>
  <c r="X214" i="7"/>
  <c r="R215" i="7"/>
  <c r="S215" i="7"/>
  <c r="V215" i="7"/>
  <c r="X215" i="7"/>
  <c r="R216" i="7"/>
  <c r="S216" i="7"/>
  <c r="V216" i="7"/>
  <c r="X216" i="7"/>
  <c r="R217" i="7"/>
  <c r="S217" i="7"/>
  <c r="V217" i="7"/>
  <c r="X217" i="7"/>
  <c r="Y217" i="7"/>
  <c r="Z217" i="7"/>
  <c r="R218" i="7"/>
  <c r="S218" i="7"/>
  <c r="V218" i="7"/>
  <c r="X218" i="7"/>
  <c r="Y218" i="7"/>
  <c r="Z218" i="7"/>
  <c r="R219" i="7"/>
  <c r="S219" i="7"/>
  <c r="V219" i="7"/>
  <c r="X219" i="7"/>
  <c r="Y219" i="7"/>
  <c r="Z219" i="7"/>
  <c r="R220" i="7"/>
  <c r="S220" i="7"/>
  <c r="V220" i="7"/>
  <c r="X220" i="7"/>
  <c r="Y220" i="7"/>
  <c r="Z220" i="7"/>
  <c r="R221" i="7"/>
  <c r="S221" i="7"/>
  <c r="V221" i="7"/>
  <c r="X221" i="7"/>
  <c r="Y221" i="7"/>
  <c r="Z221" i="7"/>
  <c r="R222" i="7"/>
  <c r="S222" i="7"/>
  <c r="V222" i="7"/>
  <c r="X222" i="7"/>
  <c r="Y222" i="7"/>
  <c r="Z222" i="7"/>
  <c r="R223" i="7"/>
  <c r="S223" i="7"/>
  <c r="V223" i="7"/>
  <c r="X223" i="7"/>
  <c r="Y223" i="7"/>
  <c r="Z223" i="7"/>
  <c r="R224" i="7"/>
  <c r="S224" i="7"/>
  <c r="V224" i="7"/>
  <c r="X224" i="7"/>
  <c r="Y224" i="7"/>
  <c r="Z224" i="7"/>
  <c r="R225" i="7"/>
  <c r="S225" i="7"/>
  <c r="V225" i="7"/>
  <c r="X225" i="7"/>
  <c r="Y225" i="7"/>
  <c r="Z225" i="7"/>
  <c r="R226" i="7"/>
  <c r="S226" i="7"/>
  <c r="V226" i="7"/>
  <c r="X226" i="7"/>
  <c r="Y226" i="7"/>
  <c r="Z226" i="7"/>
  <c r="R227" i="7"/>
  <c r="S227" i="7"/>
  <c r="V227" i="7"/>
  <c r="X227" i="7"/>
  <c r="Y227" i="7"/>
  <c r="Z227" i="7"/>
  <c r="R228" i="7"/>
  <c r="S228" i="7"/>
  <c r="V228" i="7"/>
  <c r="X228" i="7"/>
  <c r="Y228" i="7"/>
  <c r="Z228" i="7"/>
  <c r="R229" i="7"/>
  <c r="S229" i="7"/>
  <c r="V229" i="7"/>
  <c r="X229" i="7"/>
  <c r="Y229" i="7"/>
  <c r="Z229" i="7"/>
  <c r="R230" i="7"/>
  <c r="S230" i="7"/>
  <c r="V230" i="7"/>
  <c r="X230" i="7"/>
  <c r="Y230" i="7"/>
  <c r="Z230" i="7"/>
  <c r="R231" i="7"/>
  <c r="S231" i="7"/>
  <c r="V231" i="7"/>
  <c r="X231" i="7"/>
  <c r="Y231" i="7"/>
  <c r="Z231" i="7"/>
  <c r="R232" i="7"/>
  <c r="S232" i="7"/>
  <c r="V232" i="7"/>
  <c r="X232" i="7"/>
  <c r="Y232" i="7"/>
  <c r="Z232" i="7"/>
  <c r="R233" i="7"/>
  <c r="S233" i="7"/>
  <c r="V233" i="7"/>
  <c r="X233" i="7"/>
  <c r="Y233" i="7"/>
  <c r="Z233" i="7"/>
  <c r="R234" i="7"/>
  <c r="S234" i="7"/>
  <c r="V234" i="7"/>
  <c r="X234" i="7"/>
  <c r="Y234" i="7"/>
  <c r="Z234" i="7"/>
  <c r="R235" i="7"/>
  <c r="S235" i="7"/>
  <c r="W238" i="7"/>
  <c r="V235" i="7"/>
  <c r="X235" i="7"/>
  <c r="Y235" i="7"/>
  <c r="Z235" i="7"/>
  <c r="R236" i="7"/>
  <c r="S236" i="7"/>
  <c r="V236" i="7"/>
  <c r="X236" i="7"/>
  <c r="Y236" i="7"/>
  <c r="Z236" i="7"/>
  <c r="R237" i="7"/>
  <c r="S237" i="7"/>
  <c r="V237" i="7"/>
  <c r="X237" i="7"/>
  <c r="Y237" i="7"/>
  <c r="Z237" i="7"/>
  <c r="R238" i="7"/>
  <c r="S238" i="7"/>
  <c r="V238" i="7"/>
  <c r="X238" i="7"/>
  <c r="Y238" i="7"/>
  <c r="Z238" i="7"/>
  <c r="AA238" i="7"/>
  <c r="AB238" i="7"/>
  <c r="AC238" i="7"/>
  <c r="R239" i="7"/>
  <c r="S239" i="7"/>
  <c r="V239" i="7"/>
  <c r="X239" i="7"/>
  <c r="Y239" i="7"/>
  <c r="Z239" i="7"/>
  <c r="AA239" i="7"/>
  <c r="AB239" i="7"/>
  <c r="AC239" i="7"/>
  <c r="R240" i="7"/>
  <c r="S240" i="7"/>
  <c r="V240" i="7"/>
  <c r="X240" i="7"/>
  <c r="Y240" i="7"/>
  <c r="Z240" i="7"/>
  <c r="AA240" i="7"/>
  <c r="AB240" i="7"/>
  <c r="AC240" i="7"/>
  <c r="R241" i="7"/>
  <c r="S241" i="7"/>
  <c r="V241" i="7"/>
  <c r="X241" i="7"/>
  <c r="Y241" i="7"/>
  <c r="Z241" i="7"/>
  <c r="AA241" i="7"/>
  <c r="AB241" i="7"/>
  <c r="AC241" i="7"/>
  <c r="R242" i="7"/>
  <c r="S242" i="7"/>
  <c r="V242" i="7"/>
  <c r="X242" i="7"/>
  <c r="Y242" i="7"/>
  <c r="Z242" i="7"/>
  <c r="AA242" i="7"/>
  <c r="AB242" i="7"/>
  <c r="AC242" i="7"/>
  <c r="R243" i="7"/>
  <c r="S243" i="7"/>
  <c r="V243" i="7"/>
  <c r="X243" i="7"/>
  <c r="Y243" i="7"/>
  <c r="Z243" i="7"/>
  <c r="AA243" i="7"/>
  <c r="AB243" i="7"/>
  <c r="AC243" i="7"/>
  <c r="R244" i="7"/>
  <c r="S244" i="7"/>
  <c r="V244" i="7"/>
  <c r="X244" i="7"/>
  <c r="Y244" i="7"/>
  <c r="Z244" i="7"/>
  <c r="AA244" i="7"/>
  <c r="AB244" i="7"/>
  <c r="AC244" i="7"/>
  <c r="R245" i="7"/>
  <c r="S245" i="7"/>
  <c r="V245" i="7"/>
  <c r="X245" i="7"/>
  <c r="Y245" i="7"/>
  <c r="Z245" i="7"/>
  <c r="AA245" i="7"/>
  <c r="AB245" i="7"/>
  <c r="AC245" i="7"/>
  <c r="R246" i="7"/>
  <c r="S246" i="7"/>
  <c r="W249" i="7"/>
  <c r="V246" i="7"/>
  <c r="X246" i="7"/>
  <c r="Y246" i="7"/>
  <c r="Z246" i="7"/>
  <c r="AA246" i="7"/>
  <c r="AB246" i="7"/>
  <c r="AC246" i="7"/>
  <c r="R247" i="7"/>
  <c r="S247" i="7"/>
  <c r="V247" i="7"/>
  <c r="X247" i="7"/>
  <c r="Y247" i="7"/>
  <c r="Z247" i="7"/>
  <c r="AA247" i="7"/>
  <c r="AB247" i="7"/>
  <c r="AC247" i="7"/>
  <c r="R248" i="7"/>
  <c r="S248" i="7"/>
  <c r="V248" i="7"/>
  <c r="X248" i="7"/>
  <c r="Y248" i="7"/>
  <c r="Z248" i="7"/>
  <c r="AA248" i="7"/>
  <c r="AB248" i="7"/>
  <c r="AC248" i="7"/>
  <c r="R249" i="7"/>
  <c r="S249" i="7"/>
  <c r="V249" i="7"/>
  <c r="X249" i="7"/>
  <c r="Y249" i="7"/>
  <c r="Z249" i="7"/>
  <c r="AA249" i="7"/>
  <c r="AB249" i="7"/>
  <c r="AC249" i="7"/>
  <c r="R250" i="7"/>
  <c r="S250" i="7"/>
  <c r="V250" i="7"/>
  <c r="X250" i="7"/>
  <c r="Y250" i="7"/>
  <c r="Z250" i="7"/>
  <c r="AA250" i="7"/>
  <c r="AB250" i="7"/>
  <c r="AC250" i="7"/>
  <c r="R251" i="7"/>
  <c r="S251" i="7"/>
  <c r="V251" i="7"/>
  <c r="X251" i="7"/>
  <c r="Y251" i="7"/>
  <c r="Z251" i="7"/>
  <c r="AA251" i="7"/>
  <c r="AB251" i="7"/>
  <c r="AC251" i="7"/>
  <c r="R252" i="7"/>
  <c r="S252" i="7"/>
  <c r="V252" i="7"/>
  <c r="X252" i="7"/>
  <c r="Y252" i="7"/>
  <c r="Z252" i="7"/>
  <c r="AA252" i="7"/>
  <c r="AB252" i="7"/>
  <c r="AC252" i="7"/>
  <c r="R253" i="7"/>
  <c r="S253" i="7"/>
  <c r="V253" i="7"/>
  <c r="X253" i="7"/>
  <c r="Y253" i="7"/>
  <c r="Z253" i="7"/>
  <c r="AA253" i="7"/>
  <c r="AB253" i="7"/>
  <c r="AC253" i="7"/>
  <c r="R254" i="7"/>
  <c r="S254" i="7"/>
  <c r="W256" i="7"/>
  <c r="V254" i="7"/>
  <c r="X254" i="7"/>
  <c r="Y254" i="7"/>
  <c r="Z254" i="7"/>
  <c r="AA254" i="7"/>
  <c r="AB254" i="7"/>
  <c r="AC254" i="7"/>
  <c r="R255" i="7"/>
  <c r="S255" i="7"/>
  <c r="V255" i="7"/>
  <c r="X255" i="7"/>
  <c r="Y255" i="7"/>
  <c r="Z255" i="7"/>
  <c r="AA255" i="7"/>
  <c r="AB255" i="7"/>
  <c r="AC255" i="7"/>
  <c r="R256" i="7"/>
  <c r="S256" i="7"/>
  <c r="V256" i="7"/>
  <c r="X256" i="7"/>
  <c r="Y256" i="7"/>
  <c r="Z256" i="7"/>
  <c r="AA256" i="7"/>
  <c r="AB256" i="7"/>
  <c r="AC256" i="7"/>
  <c r="R257" i="7"/>
  <c r="S257" i="7"/>
  <c r="V257" i="7"/>
  <c r="X257" i="7"/>
  <c r="Y257" i="7"/>
  <c r="Z257" i="7"/>
  <c r="AA257" i="7"/>
  <c r="AB257" i="7"/>
  <c r="AC257" i="7"/>
  <c r="R258" i="7"/>
  <c r="S258" i="7"/>
  <c r="V258" i="7"/>
  <c r="X258" i="7"/>
  <c r="Y258" i="7"/>
  <c r="Z258" i="7"/>
  <c r="AA258" i="7"/>
  <c r="AB258" i="7"/>
  <c r="AC258" i="7"/>
  <c r="R259" i="7"/>
  <c r="S259" i="7"/>
  <c r="V259" i="7"/>
  <c r="X259" i="7"/>
  <c r="Y259" i="7"/>
  <c r="Z259" i="7"/>
  <c r="AA259" i="7"/>
  <c r="AB259" i="7"/>
  <c r="AC259" i="7"/>
  <c r="R260" i="7"/>
  <c r="S260" i="7"/>
  <c r="V260" i="7"/>
  <c r="X260" i="7"/>
  <c r="Y260" i="7"/>
  <c r="Z260" i="7"/>
  <c r="AA260" i="7"/>
  <c r="AB260" i="7"/>
  <c r="AC260" i="7"/>
  <c r="R261" i="7"/>
  <c r="S261" i="7"/>
  <c r="V261" i="7"/>
  <c r="X261" i="7"/>
  <c r="Y261" i="7"/>
  <c r="Z261" i="7"/>
  <c r="AA261" i="7"/>
  <c r="AB261" i="7"/>
  <c r="AC261" i="7"/>
  <c r="R262" i="7"/>
  <c r="S262" i="7"/>
  <c r="V262" i="7"/>
  <c r="X262" i="7"/>
  <c r="Y262" i="7"/>
  <c r="Z262" i="7"/>
  <c r="AA262" i="7"/>
  <c r="AB262" i="7"/>
  <c r="AC262" i="7"/>
  <c r="R263" i="7"/>
  <c r="S263" i="7"/>
  <c r="V263" i="7"/>
  <c r="X263" i="7"/>
  <c r="Y263" i="7"/>
  <c r="Z263" i="7"/>
  <c r="AA263" i="7"/>
  <c r="AB263" i="7"/>
  <c r="AC263" i="7"/>
  <c r="R264" i="7"/>
  <c r="S264" i="7"/>
  <c r="V264" i="7"/>
  <c r="X264" i="7"/>
  <c r="Y264" i="7"/>
  <c r="Z264" i="7"/>
  <c r="AA264" i="7"/>
  <c r="AB264" i="7"/>
  <c r="AC264" i="7"/>
  <c r="R265" i="7"/>
  <c r="S265" i="7"/>
  <c r="V265" i="7"/>
  <c r="X265" i="7"/>
  <c r="Y265" i="7"/>
  <c r="Z265" i="7"/>
  <c r="AA265" i="7"/>
  <c r="AB265" i="7"/>
  <c r="AC265" i="7"/>
  <c r="R266" i="7"/>
  <c r="S266" i="7"/>
  <c r="V266" i="7"/>
  <c r="X266" i="7"/>
  <c r="Y266" i="7"/>
  <c r="Z266" i="7"/>
  <c r="AA266" i="7"/>
  <c r="AB266" i="7"/>
  <c r="AC266" i="7"/>
  <c r="R267" i="7"/>
  <c r="S267" i="7"/>
  <c r="V267" i="7"/>
  <c r="X267" i="7"/>
  <c r="Y267" i="7"/>
  <c r="Z267" i="7"/>
  <c r="AA267" i="7"/>
  <c r="AB267" i="7"/>
  <c r="AC267" i="7"/>
  <c r="R268" i="7"/>
  <c r="S268" i="7"/>
  <c r="V268" i="7"/>
  <c r="X268" i="7"/>
  <c r="Y268" i="7"/>
  <c r="Z268" i="7"/>
  <c r="AA268" i="7"/>
  <c r="AB268" i="7"/>
  <c r="AC268" i="7"/>
  <c r="R269" i="7"/>
  <c r="S269" i="7"/>
  <c r="V269" i="7"/>
  <c r="X269" i="7"/>
  <c r="Y269" i="7"/>
  <c r="Z269" i="7"/>
  <c r="AA269" i="7"/>
  <c r="AB269" i="7"/>
  <c r="AC269" i="7"/>
  <c r="R270" i="7"/>
  <c r="S270" i="7"/>
  <c r="V270" i="7"/>
  <c r="X270" i="7"/>
  <c r="Y270" i="7"/>
  <c r="Z270" i="7"/>
  <c r="AA270" i="7"/>
  <c r="AB270" i="7"/>
  <c r="AC270" i="7"/>
  <c r="R271" i="7"/>
  <c r="S271" i="7"/>
  <c r="V271" i="7"/>
  <c r="X271" i="7"/>
  <c r="Y271" i="7"/>
  <c r="Z271" i="7"/>
  <c r="AA271" i="7"/>
  <c r="AB271" i="7"/>
  <c r="AC271" i="7"/>
  <c r="R272" i="7"/>
  <c r="S272" i="7"/>
  <c r="W272" i="7"/>
  <c r="V272" i="7"/>
  <c r="X272" i="7"/>
  <c r="Y272" i="7"/>
  <c r="Z272" i="7"/>
  <c r="AA272" i="7"/>
  <c r="AB272" i="7"/>
  <c r="AC272" i="7"/>
  <c r="R273" i="7"/>
  <c r="S273" i="7"/>
  <c r="V273" i="7"/>
  <c r="X273" i="7"/>
  <c r="Y273" i="7"/>
  <c r="Z273" i="7"/>
  <c r="AA273" i="7"/>
  <c r="AB273" i="7"/>
  <c r="AC273" i="7"/>
  <c r="R274" i="7"/>
  <c r="S274" i="7"/>
  <c r="V274" i="7"/>
  <c r="X274" i="7"/>
  <c r="Y274" i="7"/>
  <c r="Z274" i="7"/>
  <c r="AA274" i="7"/>
  <c r="AB274" i="7"/>
  <c r="AC274" i="7"/>
  <c r="R275" i="7"/>
  <c r="S275" i="7"/>
  <c r="V275" i="7"/>
  <c r="X275" i="7"/>
  <c r="Y275" i="7"/>
  <c r="Z275" i="7"/>
  <c r="AA275" i="7"/>
  <c r="AB275" i="7"/>
  <c r="AC275" i="7"/>
  <c r="R276" i="7"/>
  <c r="S276" i="7"/>
  <c r="W276" i="7"/>
  <c r="V276" i="7"/>
  <c r="X276" i="7"/>
  <c r="Y276" i="7"/>
  <c r="Z276" i="7"/>
  <c r="AA276" i="7"/>
  <c r="AB276" i="7"/>
  <c r="AC276" i="7"/>
  <c r="R277" i="7"/>
  <c r="S277" i="7"/>
  <c r="V277" i="7"/>
  <c r="X277" i="7"/>
  <c r="Y277" i="7"/>
  <c r="Z277" i="7"/>
  <c r="AA277" i="7"/>
  <c r="AB277" i="7"/>
  <c r="AC277" i="7"/>
  <c r="R278" i="7"/>
  <c r="S278" i="7"/>
  <c r="V278" i="7"/>
  <c r="X278" i="7"/>
  <c r="Y278" i="7"/>
  <c r="Z278" i="7"/>
  <c r="AA278" i="7"/>
  <c r="AB278" i="7"/>
  <c r="AC278" i="7"/>
  <c r="R279" i="7"/>
  <c r="S279" i="7"/>
  <c r="V279" i="7"/>
  <c r="X279" i="7"/>
  <c r="Y279" i="7"/>
  <c r="Z279" i="7"/>
  <c r="AA279" i="7"/>
  <c r="AB279" i="7"/>
  <c r="AC279" i="7"/>
  <c r="R280" i="7"/>
  <c r="S280" i="7"/>
  <c r="V280" i="7"/>
  <c r="X280" i="7"/>
  <c r="Y280" i="7"/>
  <c r="Z280" i="7"/>
  <c r="AA280" i="7"/>
  <c r="AB280" i="7"/>
  <c r="AC280" i="7"/>
  <c r="R281" i="7"/>
  <c r="S281" i="7"/>
  <c r="V281" i="7"/>
  <c r="X281" i="7"/>
  <c r="Y281" i="7"/>
  <c r="Z281" i="7"/>
  <c r="AA281" i="7"/>
  <c r="AB281" i="7"/>
  <c r="AC281" i="7"/>
  <c r="R282" i="7"/>
  <c r="S282" i="7"/>
  <c r="V282" i="7"/>
  <c r="X282" i="7"/>
  <c r="Y282" i="7"/>
  <c r="Z282" i="7"/>
  <c r="AA282" i="7"/>
  <c r="AB282" i="7"/>
  <c r="AC282" i="7"/>
  <c r="R283" i="7"/>
  <c r="S283" i="7"/>
  <c r="V283" i="7"/>
  <c r="X283" i="7"/>
  <c r="Y283" i="7"/>
  <c r="Z283" i="7"/>
  <c r="AA283" i="7"/>
  <c r="AB283" i="7"/>
  <c r="AC283" i="7"/>
  <c r="R284" i="7"/>
  <c r="S284" i="7"/>
  <c r="V284" i="7"/>
  <c r="X284" i="7"/>
  <c r="Y284" i="7"/>
  <c r="Z284" i="7"/>
  <c r="AA284" i="7"/>
  <c r="AB284" i="7"/>
  <c r="AC284" i="7"/>
  <c r="R285" i="7"/>
  <c r="S285" i="7"/>
  <c r="V285" i="7"/>
  <c r="X285" i="7"/>
  <c r="Y285" i="7"/>
  <c r="Z285" i="7"/>
  <c r="AA285" i="7"/>
  <c r="AB285" i="7"/>
  <c r="AC285" i="7"/>
  <c r="R286" i="7"/>
  <c r="S286" i="7"/>
  <c r="V286" i="7"/>
  <c r="X286" i="7"/>
  <c r="Y286" i="7"/>
  <c r="Z286" i="7"/>
  <c r="AA286" i="7"/>
  <c r="AB286" i="7"/>
  <c r="AC286" i="7"/>
  <c r="R287" i="7"/>
  <c r="S287" i="7"/>
  <c r="W287" i="7"/>
  <c r="V287" i="7"/>
  <c r="X287" i="7"/>
  <c r="Y287" i="7"/>
  <c r="Z287" i="7"/>
  <c r="AA287" i="7"/>
  <c r="AB287" i="7"/>
  <c r="AC287" i="7"/>
  <c r="R288" i="7"/>
  <c r="S288" i="7"/>
  <c r="V288" i="7"/>
  <c r="X288" i="7"/>
  <c r="Y288" i="7"/>
  <c r="Z288" i="7"/>
  <c r="AA288" i="7"/>
  <c r="AB288" i="7"/>
  <c r="AC288" i="7"/>
  <c r="R289" i="7"/>
  <c r="S289" i="7"/>
  <c r="V289" i="7"/>
  <c r="X289" i="7"/>
  <c r="Y289" i="7"/>
  <c r="Z289" i="7"/>
  <c r="AA289" i="7"/>
  <c r="AB289" i="7"/>
  <c r="AC289" i="7"/>
  <c r="R290" i="7"/>
  <c r="S290" i="7"/>
  <c r="V290" i="7"/>
  <c r="X290" i="7"/>
  <c r="Y290" i="7"/>
  <c r="Z290" i="7"/>
  <c r="AA290" i="7"/>
  <c r="AB290" i="7"/>
  <c r="AC290" i="7"/>
  <c r="R291" i="7"/>
  <c r="S291" i="7"/>
  <c r="V291" i="7"/>
  <c r="X291" i="7"/>
  <c r="Y291" i="7"/>
  <c r="Z291" i="7"/>
  <c r="AA291" i="7"/>
  <c r="AB291" i="7"/>
  <c r="AC291" i="7"/>
  <c r="R292" i="7"/>
  <c r="S292" i="7"/>
  <c r="V292" i="7"/>
  <c r="X292" i="7"/>
  <c r="Y292" i="7"/>
  <c r="Z292" i="7"/>
  <c r="AA292" i="7"/>
  <c r="AB292" i="7"/>
  <c r="AC292" i="7"/>
  <c r="R293" i="7"/>
  <c r="S293" i="7"/>
  <c r="V293" i="7"/>
  <c r="X293" i="7"/>
  <c r="Y293" i="7"/>
  <c r="Z293" i="7"/>
  <c r="AA293" i="7"/>
  <c r="AB293" i="7"/>
  <c r="AC293" i="7"/>
  <c r="R294" i="7"/>
  <c r="S294" i="7"/>
  <c r="V294" i="7"/>
  <c r="X294" i="7"/>
  <c r="Y294" i="7"/>
  <c r="Z294" i="7"/>
  <c r="AA294" i="7"/>
  <c r="AB294" i="7"/>
  <c r="AC294" i="7"/>
  <c r="R295" i="7"/>
  <c r="S295" i="7"/>
  <c r="W298" i="7"/>
  <c r="V295" i="7"/>
  <c r="X295" i="7"/>
  <c r="Y295" i="7"/>
  <c r="Z295" i="7"/>
  <c r="AA295" i="7"/>
  <c r="AB295" i="7"/>
  <c r="AC295" i="7"/>
  <c r="R296" i="7"/>
  <c r="S296" i="7"/>
  <c r="V296" i="7"/>
  <c r="X296" i="7"/>
  <c r="Y296" i="7"/>
  <c r="Z296" i="7"/>
  <c r="AA296" i="7"/>
  <c r="AB296" i="7"/>
  <c r="AC296" i="7"/>
  <c r="R297" i="7"/>
  <c r="S297" i="7"/>
  <c r="V297" i="7"/>
  <c r="X297" i="7"/>
  <c r="Y297" i="7"/>
  <c r="Z297" i="7"/>
  <c r="AA297" i="7"/>
  <c r="AB297" i="7"/>
  <c r="AC297" i="7"/>
  <c r="R298" i="7"/>
  <c r="S298" i="7"/>
  <c r="V298" i="7"/>
  <c r="X298" i="7"/>
  <c r="Y298" i="7"/>
  <c r="Z298" i="7"/>
  <c r="AA298" i="7"/>
  <c r="AB298" i="7"/>
  <c r="AC298" i="7"/>
  <c r="R299" i="7"/>
  <c r="S299" i="7"/>
  <c r="V299" i="7"/>
  <c r="X299" i="7"/>
  <c r="Y299" i="7"/>
  <c r="Z299" i="7"/>
  <c r="AA299" i="7"/>
  <c r="AB299" i="7"/>
  <c r="AC299" i="7"/>
  <c r="R300" i="7"/>
  <c r="S300" i="7"/>
  <c r="V300" i="7"/>
  <c r="X300" i="7"/>
  <c r="Y300" i="7"/>
  <c r="Z300" i="7"/>
  <c r="AA300" i="7"/>
  <c r="AB300" i="7"/>
  <c r="AC300" i="7"/>
  <c r="R301" i="7"/>
  <c r="S301" i="7"/>
  <c r="V301" i="7"/>
  <c r="X301" i="7"/>
  <c r="Y301" i="7"/>
  <c r="Z301" i="7"/>
  <c r="AA301" i="7"/>
  <c r="AB301" i="7"/>
  <c r="AC301" i="7"/>
  <c r="R302" i="7"/>
  <c r="S302" i="7"/>
  <c r="V302" i="7"/>
  <c r="X302" i="7"/>
  <c r="Y302" i="7"/>
  <c r="Z302" i="7"/>
  <c r="AA302" i="7"/>
  <c r="AB302" i="7"/>
  <c r="AC302" i="7"/>
  <c r="R303" i="7"/>
  <c r="S303" i="7"/>
  <c r="V303" i="7"/>
  <c r="X303" i="7"/>
  <c r="Y303" i="7"/>
  <c r="Z303" i="7"/>
  <c r="AA303" i="7"/>
  <c r="AB303" i="7"/>
  <c r="AC303" i="7"/>
  <c r="R304" i="7"/>
  <c r="S304" i="7"/>
  <c r="V304" i="7"/>
  <c r="X304" i="7"/>
  <c r="Y304" i="7"/>
  <c r="Z304" i="7"/>
  <c r="AA304" i="7"/>
  <c r="AB304" i="7"/>
  <c r="AC304" i="7"/>
  <c r="R305" i="7"/>
  <c r="S305" i="7"/>
  <c r="V305" i="7"/>
  <c r="X305" i="7"/>
  <c r="Y305" i="7"/>
  <c r="Z305" i="7"/>
  <c r="AA305" i="7"/>
  <c r="AB305" i="7"/>
  <c r="AC305" i="7"/>
  <c r="R306" i="7"/>
  <c r="S306" i="7"/>
  <c r="V306" i="7"/>
  <c r="X306" i="7"/>
  <c r="Y306" i="7"/>
  <c r="Z306" i="7"/>
  <c r="AA306" i="7"/>
  <c r="AB306" i="7"/>
  <c r="AC306" i="7"/>
  <c r="R307" i="7"/>
  <c r="S307" i="7"/>
  <c r="V307" i="7"/>
  <c r="X307" i="7"/>
  <c r="Y307" i="7"/>
  <c r="Z307" i="7"/>
  <c r="AA307" i="7"/>
  <c r="AB307" i="7"/>
  <c r="AC307" i="7"/>
  <c r="R308" i="7"/>
  <c r="S308" i="7"/>
  <c r="V308" i="7"/>
  <c r="X308" i="7"/>
  <c r="Y308" i="7"/>
  <c r="Z308" i="7"/>
  <c r="AA308" i="7"/>
  <c r="AB308" i="7"/>
  <c r="AC308" i="7"/>
  <c r="R309" i="7"/>
  <c r="S309" i="7"/>
  <c r="V309" i="7"/>
  <c r="X309" i="7"/>
  <c r="Y309" i="7"/>
  <c r="Z309" i="7"/>
  <c r="AA309" i="7"/>
  <c r="AB309" i="7"/>
  <c r="AC309" i="7"/>
  <c r="R310" i="7"/>
  <c r="S310" i="7"/>
  <c r="V310" i="7"/>
  <c r="X310" i="7"/>
  <c r="Y310" i="7"/>
  <c r="Z310" i="7"/>
  <c r="AA310" i="7"/>
  <c r="AB310" i="7"/>
  <c r="AC310" i="7"/>
  <c r="R311" i="7"/>
  <c r="S311" i="7"/>
  <c r="V311" i="7"/>
  <c r="X311" i="7"/>
  <c r="Y311" i="7"/>
  <c r="Z311" i="7"/>
  <c r="AA311" i="7"/>
  <c r="AB311" i="7"/>
  <c r="AC311" i="7"/>
  <c r="R312" i="7"/>
  <c r="S312" i="7"/>
  <c r="V312" i="7"/>
  <c r="X312" i="7"/>
  <c r="Y312" i="7"/>
  <c r="Z312" i="7"/>
  <c r="AA312" i="7"/>
  <c r="AB312" i="7"/>
  <c r="AC312" i="7"/>
  <c r="R313" i="7"/>
  <c r="S313" i="7"/>
  <c r="V313" i="7"/>
  <c r="X313" i="7"/>
  <c r="Y313" i="7"/>
  <c r="Z313" i="7"/>
  <c r="AA313" i="7"/>
  <c r="AB313" i="7"/>
  <c r="AC313" i="7"/>
  <c r="R314" i="7"/>
  <c r="S314" i="7"/>
  <c r="V314" i="7"/>
  <c r="X314" i="7"/>
  <c r="Y314" i="7"/>
  <c r="Z314" i="7"/>
  <c r="AA314" i="7"/>
  <c r="AB314" i="7"/>
  <c r="AC314" i="7"/>
  <c r="R315" i="7"/>
  <c r="S315" i="7"/>
  <c r="V315" i="7"/>
  <c r="X315" i="7"/>
  <c r="Y315" i="7"/>
  <c r="Z315" i="7"/>
  <c r="AA315" i="7"/>
  <c r="AB315" i="7"/>
  <c r="AC315" i="7"/>
  <c r="R316" i="7"/>
  <c r="S316" i="7"/>
  <c r="V316" i="7"/>
  <c r="X316" i="7"/>
  <c r="Y316" i="7"/>
  <c r="Z316" i="7"/>
  <c r="AA316" i="7"/>
  <c r="AB316" i="7"/>
  <c r="AC316" i="7"/>
  <c r="R317" i="7"/>
  <c r="S317" i="7"/>
  <c r="W320" i="7"/>
  <c r="V317" i="7"/>
  <c r="X317" i="7"/>
  <c r="Y317" i="7"/>
  <c r="Z317" i="7"/>
  <c r="AA317" i="7"/>
  <c r="AB317" i="7"/>
  <c r="AC317" i="7"/>
  <c r="R318" i="7"/>
  <c r="S318" i="7"/>
  <c r="V318" i="7"/>
  <c r="X318" i="7"/>
  <c r="Y318" i="7"/>
  <c r="Z318" i="7"/>
  <c r="AA318" i="7"/>
  <c r="AB318" i="7"/>
  <c r="AC318" i="7"/>
  <c r="R319" i="7"/>
  <c r="S319" i="7"/>
  <c r="V319" i="7"/>
  <c r="X319" i="7"/>
  <c r="Y319" i="7"/>
  <c r="Z319" i="7"/>
  <c r="AA319" i="7"/>
  <c r="AB319" i="7"/>
  <c r="AC319" i="7"/>
  <c r="R320" i="7"/>
  <c r="S320" i="7"/>
  <c r="V320" i="7"/>
  <c r="X320" i="7"/>
  <c r="Y320" i="7"/>
  <c r="Z320" i="7"/>
  <c r="AA320" i="7"/>
  <c r="AB320" i="7"/>
  <c r="AC320" i="7"/>
  <c r="R321" i="7"/>
  <c r="S321" i="7"/>
  <c r="V321" i="7"/>
  <c r="X321" i="7"/>
  <c r="Y321" i="7"/>
  <c r="Z321" i="7"/>
  <c r="AA321" i="7"/>
  <c r="AB321" i="7"/>
  <c r="AC321" i="7"/>
  <c r="R322" i="7"/>
  <c r="S322" i="7"/>
  <c r="V322" i="7"/>
  <c r="X322" i="7"/>
  <c r="Y322" i="7"/>
  <c r="Z322" i="7"/>
  <c r="AA322" i="7"/>
  <c r="AB322" i="7"/>
  <c r="AC322" i="7"/>
  <c r="R323" i="7"/>
  <c r="S323" i="7"/>
  <c r="V323" i="7"/>
  <c r="X323" i="7"/>
  <c r="Y323" i="7"/>
  <c r="Z323" i="7"/>
  <c r="AA323" i="7"/>
  <c r="AB323" i="7"/>
  <c r="AC323" i="7"/>
  <c r="R324" i="7"/>
  <c r="S324" i="7"/>
  <c r="V324" i="7"/>
  <c r="X324" i="7"/>
  <c r="Y324" i="7"/>
  <c r="Z324" i="7"/>
  <c r="AA324" i="7"/>
  <c r="AB324" i="7"/>
  <c r="AC324" i="7"/>
  <c r="R325" i="7"/>
  <c r="S325" i="7"/>
  <c r="V325" i="7"/>
  <c r="X325" i="7"/>
  <c r="Y325" i="7"/>
  <c r="Z325" i="7"/>
  <c r="AA325" i="7"/>
  <c r="AB325" i="7"/>
  <c r="AC325" i="7"/>
  <c r="R326" i="7"/>
  <c r="S326" i="7"/>
  <c r="V326" i="7"/>
  <c r="X326" i="7"/>
  <c r="Y326" i="7"/>
  <c r="Z326" i="7"/>
  <c r="AA326" i="7"/>
  <c r="AB326" i="7"/>
  <c r="AC326" i="7"/>
  <c r="R327" i="7"/>
  <c r="S327" i="7"/>
  <c r="V327" i="7"/>
  <c r="X327" i="7"/>
  <c r="Y327" i="7"/>
  <c r="Z327" i="7"/>
  <c r="AA327" i="7"/>
  <c r="AB327" i="7"/>
  <c r="AC327" i="7"/>
  <c r="R328" i="7"/>
  <c r="S328" i="7"/>
  <c r="V328" i="7"/>
  <c r="X328" i="7"/>
  <c r="Y328" i="7"/>
  <c r="Z328" i="7"/>
  <c r="AA328" i="7"/>
  <c r="AB328" i="7"/>
  <c r="AC328" i="7"/>
  <c r="R329" i="7"/>
  <c r="S329" i="7"/>
  <c r="V329" i="7"/>
  <c r="X329" i="7"/>
  <c r="Y329" i="7"/>
  <c r="Z329" i="7"/>
  <c r="AA329" i="7"/>
  <c r="AB329" i="7"/>
  <c r="AC329" i="7"/>
  <c r="R330" i="7"/>
  <c r="S330" i="7"/>
  <c r="V330" i="7"/>
  <c r="X330" i="7"/>
  <c r="Y330" i="7"/>
  <c r="Z330" i="7"/>
  <c r="AA330" i="7"/>
  <c r="AB330" i="7"/>
  <c r="AC330" i="7"/>
  <c r="R331" i="7"/>
  <c r="S331" i="7"/>
  <c r="V331" i="7"/>
  <c r="X331" i="7"/>
  <c r="Y331" i="7"/>
  <c r="Z331" i="7"/>
  <c r="AA331" i="7"/>
  <c r="AB331" i="7"/>
  <c r="AC331" i="7"/>
  <c r="R332" i="7"/>
  <c r="S332" i="7"/>
  <c r="V332" i="7"/>
  <c r="X332" i="7"/>
  <c r="Y332" i="7"/>
  <c r="Z332" i="7"/>
  <c r="AA332" i="7"/>
  <c r="AB332" i="7"/>
  <c r="AC332" i="7"/>
  <c r="R333" i="7"/>
  <c r="S333" i="7"/>
  <c r="W336" i="7"/>
  <c r="V333" i="7"/>
  <c r="X333" i="7"/>
  <c r="Y333" i="7"/>
  <c r="Z333" i="7"/>
  <c r="AA333" i="7"/>
  <c r="AB333" i="7"/>
  <c r="AC333" i="7"/>
  <c r="R334" i="7"/>
  <c r="S334" i="7"/>
  <c r="V334" i="7"/>
  <c r="X334" i="7"/>
  <c r="Y334" i="7"/>
  <c r="Z334" i="7"/>
  <c r="AA334" i="7"/>
  <c r="AB334" i="7"/>
  <c r="AC334" i="7"/>
  <c r="R335" i="7"/>
  <c r="S335" i="7"/>
  <c r="V335" i="7"/>
  <c r="X335" i="7"/>
  <c r="Y335" i="7"/>
  <c r="Z335" i="7"/>
  <c r="AA335" i="7"/>
  <c r="AB335" i="7"/>
  <c r="AC335" i="7"/>
  <c r="R336" i="7"/>
  <c r="S336" i="7"/>
  <c r="V336" i="7"/>
  <c r="X336" i="7"/>
  <c r="Y336" i="7"/>
  <c r="Z336" i="7"/>
  <c r="AA336" i="7"/>
  <c r="AB336" i="7"/>
  <c r="AC336" i="7"/>
  <c r="R337" i="7"/>
  <c r="S337" i="7"/>
  <c r="V337" i="7"/>
  <c r="X337" i="7"/>
  <c r="Y337" i="7"/>
  <c r="Z337" i="7"/>
  <c r="AA337" i="7"/>
  <c r="AB337" i="7"/>
  <c r="AC337" i="7"/>
  <c r="R338" i="7"/>
  <c r="S338" i="7"/>
  <c r="V338" i="7"/>
  <c r="X338" i="7"/>
  <c r="Y338" i="7"/>
  <c r="Z338" i="7"/>
  <c r="AA338" i="7"/>
  <c r="AB338" i="7"/>
  <c r="AC338" i="7"/>
  <c r="R339" i="7"/>
  <c r="S339" i="7"/>
  <c r="V339" i="7"/>
  <c r="X339" i="7"/>
  <c r="Y339" i="7"/>
  <c r="Z339" i="7"/>
  <c r="AA339" i="7"/>
  <c r="AB339" i="7"/>
  <c r="AC339" i="7"/>
  <c r="R340" i="7"/>
  <c r="S340" i="7"/>
  <c r="W343" i="7"/>
  <c r="V340" i="7"/>
  <c r="X340" i="7"/>
  <c r="Y340" i="7"/>
  <c r="Z340" i="7"/>
  <c r="AA340" i="7"/>
  <c r="AB340" i="7"/>
  <c r="AC340" i="7"/>
  <c r="R341" i="7"/>
  <c r="S341" i="7"/>
  <c r="V341" i="7"/>
  <c r="X341" i="7"/>
  <c r="Y341" i="7"/>
  <c r="Z341" i="7"/>
  <c r="AA341" i="7"/>
  <c r="AB341" i="7"/>
  <c r="AC341" i="7"/>
  <c r="R342" i="7"/>
  <c r="S342" i="7"/>
  <c r="V342" i="7"/>
  <c r="X342" i="7"/>
  <c r="Y342" i="7"/>
  <c r="Z342" i="7"/>
  <c r="AA342" i="7"/>
  <c r="AB342" i="7"/>
  <c r="AC342" i="7"/>
  <c r="R343" i="7"/>
  <c r="S343" i="7"/>
  <c r="V343" i="7"/>
  <c r="X343" i="7"/>
  <c r="Y343" i="7"/>
  <c r="Z343" i="7"/>
  <c r="AA343" i="7"/>
  <c r="AB343" i="7"/>
  <c r="AC343" i="7"/>
  <c r="R344" i="7"/>
  <c r="S344" i="7"/>
  <c r="W345" i="7"/>
  <c r="V344" i="7"/>
  <c r="X344" i="7"/>
  <c r="Y344" i="7"/>
  <c r="Z344" i="7"/>
  <c r="AA344" i="7"/>
  <c r="AB344" i="7"/>
  <c r="AC344" i="7"/>
  <c r="R345" i="7"/>
  <c r="S345" i="7"/>
  <c r="V345" i="7"/>
  <c r="X345" i="7"/>
  <c r="Y345" i="7"/>
  <c r="Z345" i="7"/>
  <c r="AA345" i="7"/>
  <c r="AB345" i="7"/>
  <c r="AC345" i="7"/>
  <c r="R346" i="7"/>
  <c r="S346" i="7"/>
  <c r="V346" i="7"/>
  <c r="X346" i="7"/>
  <c r="Y346" i="7"/>
  <c r="Z346" i="7"/>
  <c r="AA346" i="7"/>
  <c r="AB346" i="7"/>
  <c r="AC346" i="7"/>
  <c r="R347" i="7"/>
  <c r="S347" i="7"/>
  <c r="V347" i="7"/>
  <c r="X347" i="7"/>
  <c r="Y347" i="7"/>
  <c r="Z347" i="7"/>
  <c r="AA347" i="7"/>
  <c r="AB347" i="7"/>
  <c r="AC347" i="7"/>
  <c r="R348" i="7"/>
  <c r="S348" i="7"/>
  <c r="V348" i="7"/>
  <c r="X348" i="7"/>
  <c r="Y348" i="7"/>
  <c r="Z348" i="7"/>
  <c r="AA348" i="7"/>
  <c r="AB348" i="7"/>
  <c r="AC348" i="7"/>
  <c r="R349" i="7"/>
  <c r="S349" i="7"/>
  <c r="V349" i="7"/>
  <c r="X349" i="7"/>
  <c r="Y349" i="7"/>
  <c r="Z349" i="7"/>
  <c r="AA349" i="7"/>
  <c r="AB349" i="7"/>
  <c r="AC349" i="7"/>
  <c r="R350" i="7"/>
  <c r="S350" i="7"/>
  <c r="V350" i="7"/>
  <c r="X350" i="7"/>
  <c r="Y350" i="7"/>
  <c r="Z350" i="7"/>
  <c r="AA350" i="7"/>
  <c r="AB350" i="7"/>
  <c r="AC350" i="7"/>
  <c r="R351" i="7"/>
  <c r="S351" i="7"/>
  <c r="W352" i="7"/>
  <c r="V351" i="7"/>
  <c r="X351" i="7"/>
  <c r="Y351" i="7"/>
  <c r="Z351" i="7"/>
  <c r="AA351" i="7"/>
  <c r="AB351" i="7"/>
  <c r="AC351" i="7"/>
  <c r="R352" i="7"/>
  <c r="S352" i="7"/>
  <c r="V352" i="7"/>
  <c r="X352" i="7"/>
  <c r="Y352" i="7"/>
  <c r="Z352" i="7"/>
  <c r="AA352" i="7"/>
  <c r="AB352" i="7"/>
  <c r="AC352" i="7"/>
  <c r="R353" i="7"/>
  <c r="S353" i="7"/>
  <c r="V353" i="7"/>
  <c r="X353" i="7"/>
  <c r="Y353" i="7"/>
  <c r="Z353" i="7"/>
  <c r="AA353" i="7"/>
  <c r="AB353" i="7"/>
  <c r="AC353" i="7"/>
  <c r="R354" i="7"/>
  <c r="S354" i="7"/>
  <c r="V354" i="7"/>
  <c r="X354" i="7"/>
  <c r="Y354" i="7"/>
  <c r="Z354" i="7"/>
  <c r="AA354" i="7"/>
  <c r="AB354" i="7"/>
  <c r="AC354" i="7"/>
  <c r="R355" i="7"/>
  <c r="S355" i="7"/>
  <c r="V355" i="7"/>
  <c r="X355" i="7"/>
  <c r="Y355" i="7"/>
  <c r="Z355" i="7"/>
  <c r="AA355" i="7"/>
  <c r="AB355" i="7"/>
  <c r="AC355" i="7"/>
  <c r="R356" i="7"/>
  <c r="S356" i="7"/>
  <c r="V356" i="7"/>
  <c r="X356" i="7"/>
  <c r="Y356" i="7"/>
  <c r="Z356" i="7"/>
  <c r="AA356" i="7"/>
  <c r="AB356" i="7"/>
  <c r="AC356" i="7"/>
  <c r="R357" i="7"/>
  <c r="S357" i="7"/>
  <c r="V357" i="7"/>
  <c r="X357" i="7"/>
  <c r="Y357" i="7"/>
  <c r="Z357" i="7"/>
  <c r="AA357" i="7"/>
  <c r="AB357" i="7"/>
  <c r="AC357" i="7"/>
  <c r="R358" i="7"/>
  <c r="S358" i="7"/>
  <c r="V358" i="7"/>
  <c r="X358" i="7"/>
  <c r="Y358" i="7"/>
  <c r="Z358" i="7"/>
  <c r="AA358" i="7"/>
  <c r="AB358" i="7"/>
  <c r="AC358" i="7"/>
  <c r="R359" i="7"/>
  <c r="S359" i="7"/>
  <c r="W360" i="7"/>
  <c r="V359" i="7"/>
  <c r="X359" i="7"/>
  <c r="Y359" i="7"/>
  <c r="Z359" i="7"/>
  <c r="AA359" i="7"/>
  <c r="AB359" i="7"/>
  <c r="AC359" i="7"/>
  <c r="R360" i="7"/>
  <c r="S360" i="7"/>
  <c r="V360" i="7"/>
  <c r="X360" i="7"/>
  <c r="Y360" i="7"/>
  <c r="Z360" i="7"/>
  <c r="AA360" i="7"/>
  <c r="AB360" i="7"/>
  <c r="AC360" i="7"/>
  <c r="R361" i="7"/>
  <c r="S361" i="7"/>
  <c r="V361" i="7"/>
  <c r="X361" i="7"/>
  <c r="Y361" i="7"/>
  <c r="Z361" i="7"/>
  <c r="AA361" i="7"/>
  <c r="AB361" i="7"/>
  <c r="AC361" i="7"/>
  <c r="R362" i="7"/>
  <c r="S362" i="7"/>
  <c r="V362" i="7"/>
  <c r="X362" i="7"/>
  <c r="Y362" i="7"/>
  <c r="Z362" i="7"/>
  <c r="AA362" i="7"/>
  <c r="AB362" i="7"/>
  <c r="AC362" i="7"/>
  <c r="R363" i="7"/>
  <c r="S363" i="7"/>
  <c r="V363" i="7"/>
  <c r="X363" i="7"/>
  <c r="Y363" i="7"/>
  <c r="Z363" i="7"/>
  <c r="AA363" i="7"/>
  <c r="AB363" i="7"/>
  <c r="AC363" i="7"/>
  <c r="R364" i="7"/>
  <c r="S364" i="7"/>
  <c r="W367" i="7"/>
  <c r="V364" i="7"/>
  <c r="X364" i="7"/>
  <c r="Y364" i="7"/>
  <c r="Z364" i="7"/>
  <c r="AA364" i="7"/>
  <c r="AB364" i="7"/>
  <c r="AC364" i="7"/>
  <c r="R365" i="7"/>
  <c r="S365" i="7"/>
  <c r="V365" i="7"/>
  <c r="X365" i="7"/>
  <c r="Y365" i="7"/>
  <c r="Z365" i="7"/>
  <c r="AA365" i="7"/>
  <c r="AB365" i="7"/>
  <c r="AC365" i="7"/>
  <c r="R366" i="7"/>
  <c r="S366" i="7"/>
  <c r="V366" i="7"/>
  <c r="X366" i="7"/>
  <c r="Y366" i="7"/>
  <c r="Z366" i="7"/>
  <c r="AA366" i="7"/>
  <c r="AB366" i="7"/>
  <c r="AC366" i="7"/>
  <c r="R367" i="7"/>
  <c r="S367" i="7"/>
  <c r="V367" i="7"/>
  <c r="X367" i="7"/>
  <c r="Y367" i="7"/>
  <c r="Z367" i="7"/>
  <c r="AA367" i="7"/>
  <c r="AB367" i="7"/>
  <c r="AC367" i="7"/>
  <c r="R368" i="7"/>
  <c r="S368" i="7"/>
  <c r="V368" i="7"/>
  <c r="X368" i="7"/>
  <c r="Y368" i="7"/>
  <c r="Z368" i="7"/>
  <c r="AA368" i="7"/>
  <c r="AB368" i="7"/>
  <c r="AC368" i="7"/>
  <c r="R369" i="7"/>
  <c r="S369" i="7"/>
  <c r="V369" i="7"/>
  <c r="X369" i="7"/>
  <c r="Y369" i="7"/>
  <c r="Z369" i="7"/>
  <c r="AA369" i="7"/>
  <c r="AB369" i="7"/>
  <c r="AC369" i="7"/>
  <c r="R370" i="7"/>
  <c r="S370" i="7"/>
  <c r="V370" i="7"/>
  <c r="X370" i="7"/>
  <c r="Y370" i="7"/>
  <c r="Z370" i="7"/>
  <c r="AA370" i="7"/>
  <c r="AB370" i="7"/>
  <c r="AC370" i="7"/>
  <c r="R371" i="7"/>
  <c r="S371" i="7"/>
  <c r="W374" i="7"/>
  <c r="V371" i="7"/>
  <c r="X371" i="7"/>
  <c r="Y371" i="7"/>
  <c r="Z371" i="7"/>
  <c r="AA371" i="7"/>
  <c r="AB371" i="7"/>
  <c r="AC371" i="7"/>
  <c r="R372" i="7"/>
  <c r="S372" i="7"/>
  <c r="V372" i="7"/>
  <c r="X372" i="7"/>
  <c r="Y372" i="7"/>
  <c r="Z372" i="7"/>
  <c r="AA372" i="7"/>
  <c r="AB372" i="7"/>
  <c r="AC372" i="7"/>
  <c r="R373" i="7"/>
  <c r="S373" i="7"/>
  <c r="V373" i="7"/>
  <c r="X373" i="7"/>
  <c r="Y373" i="7"/>
  <c r="Z373" i="7"/>
  <c r="AA373" i="7"/>
  <c r="AB373" i="7"/>
  <c r="AC373" i="7"/>
  <c r="R374" i="7"/>
  <c r="S374" i="7"/>
  <c r="V374" i="7"/>
  <c r="X374" i="7"/>
  <c r="Y374" i="7"/>
  <c r="Z374" i="7"/>
  <c r="AA374" i="7"/>
  <c r="AB374" i="7"/>
  <c r="AC374" i="7"/>
  <c r="R375" i="7"/>
  <c r="S375" i="7"/>
  <c r="V375" i="7"/>
  <c r="X375" i="7"/>
  <c r="Y375" i="7"/>
  <c r="Z375" i="7"/>
  <c r="AA375" i="7"/>
  <c r="AB375" i="7"/>
  <c r="AC375" i="7"/>
  <c r="R376" i="7"/>
  <c r="S376" i="7"/>
  <c r="V376" i="7"/>
  <c r="X376" i="7"/>
  <c r="Y376" i="7"/>
  <c r="Z376" i="7"/>
  <c r="AA376" i="7"/>
  <c r="AB376" i="7"/>
  <c r="AC376" i="7"/>
  <c r="R377" i="7"/>
  <c r="S377" i="7"/>
  <c r="V377" i="7"/>
  <c r="X377" i="7"/>
  <c r="Y377" i="7"/>
  <c r="Z377" i="7"/>
  <c r="AA377" i="7"/>
  <c r="AB377" i="7"/>
  <c r="AC377" i="7"/>
  <c r="R378" i="7"/>
  <c r="S378" i="7"/>
  <c r="V378" i="7"/>
  <c r="X378" i="7"/>
  <c r="Y378" i="7"/>
  <c r="Z378" i="7"/>
  <c r="AA378" i="7"/>
  <c r="AB378" i="7"/>
  <c r="AC378" i="7"/>
  <c r="R379" i="7"/>
  <c r="S379" i="7"/>
  <c r="V379" i="7"/>
  <c r="Y379" i="7"/>
  <c r="AA379" i="7"/>
  <c r="AB379" i="7"/>
  <c r="R380" i="7"/>
  <c r="S380" i="7"/>
  <c r="V380" i="7"/>
  <c r="Y380" i="7"/>
  <c r="AA380" i="7"/>
  <c r="AB380" i="7"/>
  <c r="R381" i="7"/>
  <c r="S381" i="7"/>
  <c r="V381" i="7"/>
  <c r="Y381" i="7"/>
  <c r="AA381" i="7"/>
  <c r="AB381" i="7"/>
  <c r="R382" i="7"/>
  <c r="S382" i="7"/>
  <c r="V382" i="7"/>
  <c r="Y382" i="7"/>
  <c r="AA382" i="7"/>
  <c r="AB382" i="7"/>
  <c r="R383" i="7"/>
  <c r="S383" i="7"/>
  <c r="Y383" i="7"/>
  <c r="AB383" i="7"/>
  <c r="R384" i="7"/>
  <c r="S384" i="7"/>
  <c r="Y384" i="7"/>
  <c r="AB384" i="7"/>
  <c r="R385" i="7"/>
  <c r="S385" i="7"/>
  <c r="Y385" i="7"/>
  <c r="AB385" i="7"/>
  <c r="R386" i="7"/>
  <c r="S386" i="7"/>
  <c r="Y386" i="7"/>
  <c r="AB386" i="7"/>
  <c r="R387" i="7"/>
  <c r="S387" i="7"/>
  <c r="Y387" i="7"/>
  <c r="AB387" i="7"/>
  <c r="R388" i="7"/>
  <c r="S388" i="7"/>
  <c r="Y388" i="7"/>
  <c r="AB388" i="7"/>
  <c r="R389" i="7"/>
  <c r="S389" i="7"/>
  <c r="Y389" i="7"/>
  <c r="AB389" i="7"/>
  <c r="R390" i="7"/>
  <c r="S390" i="7"/>
  <c r="Y390" i="7"/>
  <c r="AB390" i="7"/>
  <c r="R391" i="7"/>
  <c r="S391" i="7"/>
  <c r="Y391" i="7"/>
  <c r="AB391" i="7"/>
  <c r="R392" i="7"/>
  <c r="S392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Y392" i="7"/>
  <c r="AB392" i="7"/>
  <c r="R393" i="7"/>
  <c r="S393" i="7"/>
  <c r="Y393" i="7"/>
  <c r="AB393" i="7"/>
  <c r="R394" i="7"/>
  <c r="S394" i="7"/>
  <c r="Y394" i="7"/>
  <c r="AB394" i="7"/>
  <c r="R395" i="7"/>
  <c r="S395" i="7"/>
  <c r="Y395" i="7"/>
  <c r="AB395" i="7"/>
  <c r="R396" i="7"/>
  <c r="S396" i="7"/>
  <c r="Y396" i="7"/>
  <c r="AB396" i="7"/>
  <c r="R397" i="7"/>
  <c r="S397" i="7"/>
  <c r="Y397" i="7"/>
  <c r="AB397" i="7"/>
  <c r="R398" i="7"/>
  <c r="S398" i="7"/>
  <c r="Y398" i="7"/>
  <c r="AB398" i="7"/>
  <c r="R399" i="7"/>
  <c r="S399" i="7"/>
  <c r="Y399" i="7"/>
  <c r="AB399" i="7"/>
  <c r="R400" i="7"/>
  <c r="S400" i="7"/>
  <c r="Y400" i="7"/>
  <c r="AB400" i="7"/>
  <c r="R401" i="7"/>
  <c r="S401" i="7"/>
  <c r="Y401" i="7"/>
  <c r="AB401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R402" i="7"/>
  <c r="S402" i="7"/>
  <c r="Y402" i="7"/>
  <c r="AB402" i="7"/>
  <c r="R403" i="7"/>
  <c r="S403" i="7"/>
  <c r="Y403" i="7"/>
  <c r="AB403" i="7"/>
  <c r="R404" i="7"/>
  <c r="S404" i="7"/>
  <c r="Y404" i="7"/>
  <c r="AB404" i="7"/>
  <c r="R405" i="7"/>
  <c r="S405" i="7"/>
  <c r="Y405" i="7"/>
  <c r="AB405" i="7"/>
  <c r="R406" i="7"/>
  <c r="S406" i="7"/>
  <c r="Y406" i="7"/>
  <c r="AB406" i="7"/>
  <c r="R407" i="7"/>
  <c r="S407" i="7"/>
  <c r="Y407" i="7"/>
  <c r="AB407" i="7"/>
  <c r="R408" i="7"/>
  <c r="S408" i="7"/>
  <c r="Y408" i="7"/>
  <c r="AB408" i="7"/>
  <c r="R409" i="7"/>
  <c r="S409" i="7"/>
  <c r="Y409" i="7"/>
  <c r="AB409" i="7"/>
  <c r="R410" i="7"/>
  <c r="S410" i="7"/>
  <c r="Y410" i="7"/>
  <c r="AB410" i="7"/>
  <c r="R411" i="7"/>
  <c r="S411" i="7"/>
  <c r="Y411" i="7"/>
  <c r="AB411" i="7"/>
  <c r="R412" i="7"/>
  <c r="S412" i="7"/>
  <c r="Y412" i="7"/>
  <c r="AB412" i="7"/>
  <c r="R413" i="7"/>
  <c r="S413" i="7"/>
  <c r="Y413" i="7"/>
  <c r="AB413" i="7"/>
  <c r="R414" i="7"/>
  <c r="S414" i="7"/>
  <c r="Y414" i="7"/>
  <c r="AB414" i="7"/>
  <c r="R415" i="7"/>
  <c r="S415" i="7"/>
  <c r="Y415" i="7"/>
  <c r="AB415" i="7"/>
  <c r="R416" i="7"/>
  <c r="S416" i="7"/>
  <c r="Y416" i="7"/>
  <c r="AB416" i="7"/>
  <c r="R417" i="7"/>
  <c r="S417" i="7"/>
  <c r="Y417" i="7"/>
  <c r="AB417" i="7"/>
  <c r="R418" i="7"/>
  <c r="S418" i="7"/>
  <c r="Y418" i="7"/>
  <c r="AB418" i="7"/>
  <c r="R419" i="7"/>
  <c r="S419" i="7"/>
  <c r="Y419" i="7"/>
  <c r="AB419" i="7"/>
  <c r="R420" i="7"/>
  <c r="S420" i="7"/>
  <c r="Y420" i="7"/>
  <c r="AB420" i="7"/>
  <c r="R421" i="7"/>
  <c r="S421" i="7"/>
  <c r="Y421" i="7"/>
  <c r="AB421" i="7"/>
  <c r="R422" i="7"/>
  <c r="S422" i="7"/>
  <c r="Y422" i="7"/>
  <c r="AB422" i="7"/>
  <c r="R423" i="7"/>
  <c r="S423" i="7"/>
  <c r="Y423" i="7"/>
  <c r="AB423" i="7"/>
  <c r="R424" i="7"/>
  <c r="S424" i="7"/>
  <c r="Y424" i="7"/>
  <c r="AB424" i="7"/>
  <c r="R425" i="7"/>
  <c r="S425" i="7"/>
  <c r="Y425" i="7"/>
  <c r="AB425" i="7"/>
  <c r="R426" i="7"/>
  <c r="S426" i="7"/>
  <c r="Y426" i="7"/>
  <c r="AB426" i="7"/>
  <c r="R427" i="7"/>
  <c r="S427" i="7"/>
  <c r="Y427" i="7"/>
  <c r="AB427" i="7"/>
  <c r="R428" i="7"/>
  <c r="S428" i="7"/>
  <c r="Y428" i="7"/>
  <c r="AB428" i="7"/>
  <c r="R429" i="7"/>
  <c r="S429" i="7"/>
  <c r="Y429" i="7"/>
  <c r="AB429" i="7"/>
  <c r="R430" i="7"/>
  <c r="S430" i="7"/>
  <c r="Y430" i="7"/>
  <c r="AB430" i="7"/>
  <c r="R431" i="7"/>
  <c r="S431" i="7"/>
  <c r="Y431" i="7"/>
  <c r="AB431" i="7"/>
  <c r="R432" i="7"/>
  <c r="S432" i="7"/>
  <c r="Y432" i="7"/>
  <c r="AB432" i="7"/>
  <c r="R433" i="7"/>
  <c r="S433" i="7"/>
  <c r="Y433" i="7"/>
  <c r="AB433" i="7"/>
  <c r="R434" i="7"/>
  <c r="S434" i="7"/>
  <c r="Y434" i="7"/>
  <c r="AB434" i="7"/>
  <c r="R435" i="7"/>
  <c r="S435" i="7"/>
  <c r="Y435" i="7"/>
  <c r="AB435" i="7"/>
  <c r="R436" i="7"/>
  <c r="S436" i="7"/>
  <c r="Y436" i="7"/>
  <c r="AB436" i="7"/>
  <c r="R437" i="7"/>
  <c r="S437" i="7"/>
  <c r="Y437" i="7"/>
  <c r="AB437" i="7"/>
  <c r="R438" i="7"/>
  <c r="S438" i="7"/>
  <c r="Y438" i="7"/>
  <c r="AB438" i="7"/>
  <c r="R439" i="7"/>
  <c r="S439" i="7"/>
  <c r="Y439" i="7"/>
  <c r="AB439" i="7"/>
  <c r="R440" i="7"/>
  <c r="S440" i="7"/>
  <c r="Y440" i="7"/>
  <c r="AB440" i="7"/>
  <c r="R441" i="7"/>
  <c r="S441" i="7"/>
  <c r="Y441" i="7"/>
  <c r="AB441" i="7"/>
  <c r="R442" i="7"/>
  <c r="S442" i="7"/>
  <c r="Y442" i="7"/>
  <c r="AB442" i="7"/>
  <c r="R443" i="7"/>
  <c r="S443" i="7"/>
  <c r="Y443" i="7"/>
  <c r="AB443" i="7"/>
  <c r="R444" i="7"/>
  <c r="S444" i="7"/>
  <c r="Y444" i="7"/>
  <c r="AB444" i="7"/>
  <c r="R445" i="7"/>
  <c r="S445" i="7"/>
  <c r="Y445" i="7"/>
  <c r="AB445" i="7"/>
  <c r="R446" i="7"/>
  <c r="S446" i="7"/>
  <c r="Y446" i="7"/>
  <c r="AB446" i="7"/>
  <c r="R447" i="7"/>
  <c r="S447" i="7"/>
  <c r="Y447" i="7"/>
  <c r="AB447" i="7"/>
  <c r="R448" i="7"/>
  <c r="S448" i="7"/>
  <c r="Y448" i="7"/>
  <c r="AB448" i="7"/>
  <c r="R449" i="7"/>
  <c r="S449" i="7"/>
  <c r="Y449" i="7"/>
  <c r="AB449" i="7"/>
  <c r="R450" i="7"/>
  <c r="S450" i="7"/>
  <c r="Y450" i="7"/>
  <c r="AB450" i="7"/>
  <c r="R451" i="7"/>
  <c r="S451" i="7"/>
  <c r="Y451" i="7"/>
  <c r="AB451" i="7"/>
  <c r="R452" i="7"/>
  <c r="S452" i="7"/>
  <c r="Y452" i="7"/>
  <c r="AB452" i="7"/>
  <c r="R453" i="7"/>
  <c r="S453" i="7"/>
  <c r="Y453" i="7"/>
  <c r="AB453" i="7"/>
  <c r="R454" i="7"/>
  <c r="S454" i="7"/>
  <c r="Y454" i="7"/>
  <c r="AB454" i="7"/>
  <c r="R455" i="7"/>
  <c r="S455" i="7"/>
  <c r="Y455" i="7"/>
  <c r="AB455" i="7"/>
  <c r="R456" i="7"/>
  <c r="S456" i="7"/>
  <c r="Y456" i="7"/>
  <c r="AB456" i="7"/>
  <c r="R457" i="7"/>
  <c r="S457" i="7"/>
  <c r="Y457" i="7"/>
  <c r="AB457" i="7"/>
  <c r="R458" i="7"/>
  <c r="S458" i="7"/>
  <c r="Y458" i="7"/>
  <c r="AB458" i="7"/>
  <c r="R459" i="7"/>
  <c r="S459" i="7"/>
  <c r="Y459" i="7"/>
  <c r="AB459" i="7"/>
  <c r="R460" i="7"/>
  <c r="S460" i="7"/>
  <c r="Y460" i="7"/>
  <c r="AB460" i="7"/>
  <c r="R461" i="7"/>
  <c r="S461" i="7"/>
  <c r="Y461" i="7"/>
  <c r="AB461" i="7"/>
  <c r="R462" i="7"/>
  <c r="S462" i="7"/>
  <c r="Y462" i="7"/>
  <c r="AB462" i="7"/>
  <c r="R463" i="7"/>
  <c r="S463" i="7"/>
  <c r="Y463" i="7"/>
  <c r="AB463" i="7"/>
  <c r="R464" i="7"/>
  <c r="S464" i="7"/>
  <c r="Y464" i="7"/>
  <c r="AB464" i="7"/>
  <c r="R465" i="7"/>
  <c r="S465" i="7"/>
  <c r="Y465" i="7"/>
  <c r="AB465" i="7"/>
  <c r="R466" i="7"/>
  <c r="S466" i="7"/>
  <c r="Y466" i="7"/>
  <c r="AB466" i="7"/>
  <c r="R467" i="7"/>
  <c r="S467" i="7"/>
  <c r="R468" i="7"/>
  <c r="S468" i="7"/>
  <c r="R469" i="7"/>
  <c r="S469" i="7"/>
  <c r="R470" i="7"/>
  <c r="S470" i="7"/>
  <c r="R471" i="7"/>
  <c r="S471" i="7"/>
  <c r="R472" i="7"/>
  <c r="S472" i="7"/>
  <c r="R473" i="7"/>
  <c r="S473" i="7"/>
  <c r="R474" i="7"/>
  <c r="S474" i="7"/>
  <c r="R475" i="7"/>
  <c r="S475" i="7"/>
  <c r="R476" i="7"/>
  <c r="S476" i="7"/>
  <c r="R477" i="7"/>
  <c r="S477" i="7"/>
  <c r="R478" i="7"/>
  <c r="S478" i="7"/>
  <c r="R479" i="7"/>
  <c r="S479" i="7"/>
  <c r="R480" i="7"/>
  <c r="S480" i="7"/>
  <c r="R481" i="7"/>
  <c r="S481" i="7"/>
  <c r="R482" i="7"/>
  <c r="S482" i="7"/>
  <c r="R483" i="7"/>
  <c r="S483" i="7"/>
  <c r="R484" i="7"/>
  <c r="S484" i="7"/>
  <c r="R485" i="7"/>
  <c r="S485" i="7"/>
  <c r="R486" i="7"/>
  <c r="S486" i="7"/>
  <c r="R487" i="7"/>
  <c r="S487" i="7"/>
  <c r="R488" i="7"/>
  <c r="S488" i="7"/>
  <c r="R489" i="7"/>
  <c r="S489" i="7"/>
  <c r="R490" i="7"/>
  <c r="S490" i="7"/>
  <c r="R491" i="7"/>
  <c r="S491" i="7"/>
  <c r="R492" i="7"/>
  <c r="S492" i="7"/>
  <c r="R493" i="7"/>
  <c r="S493" i="7"/>
  <c r="R494" i="7"/>
  <c r="S494" i="7"/>
  <c r="R495" i="7"/>
  <c r="S495" i="7"/>
  <c r="R496" i="7"/>
  <c r="S496" i="7"/>
  <c r="R497" i="7"/>
  <c r="S497" i="7"/>
  <c r="R498" i="7"/>
  <c r="S498" i="7"/>
  <c r="R499" i="7"/>
  <c r="S499" i="7"/>
  <c r="R500" i="7"/>
  <c r="S500" i="7"/>
  <c r="R501" i="7"/>
  <c r="S501" i="7"/>
  <c r="R502" i="7"/>
  <c r="S502" i="7"/>
  <c r="R503" i="7"/>
  <c r="S503" i="7"/>
  <c r="R504" i="7"/>
  <c r="S504" i="7"/>
  <c r="R505" i="7"/>
  <c r="S505" i="7"/>
  <c r="R506" i="7"/>
  <c r="S506" i="7"/>
  <c r="R507" i="7"/>
  <c r="S507" i="7"/>
  <c r="R508" i="7"/>
  <c r="S508" i="7"/>
  <c r="R509" i="7"/>
  <c r="S509" i="7"/>
  <c r="R510" i="7"/>
  <c r="S510" i="7"/>
  <c r="R511" i="7"/>
  <c r="S511" i="7"/>
  <c r="R512" i="7"/>
  <c r="S512" i="7"/>
  <c r="R513" i="7"/>
  <c r="S513" i="7"/>
  <c r="R514" i="7"/>
  <c r="S514" i="7"/>
  <c r="R515" i="7"/>
  <c r="S515" i="7"/>
  <c r="R516" i="7"/>
  <c r="S516" i="7"/>
  <c r="R517" i="7"/>
  <c r="S517" i="7"/>
  <c r="R518" i="7"/>
  <c r="S518" i="7"/>
  <c r="R519" i="7"/>
  <c r="S519" i="7"/>
  <c r="R520" i="7"/>
  <c r="S520" i="7"/>
  <c r="R521" i="7"/>
  <c r="S521" i="7"/>
  <c r="R522" i="7"/>
  <c r="S522" i="7"/>
  <c r="R523" i="7"/>
  <c r="S523" i="7"/>
  <c r="R524" i="7"/>
  <c r="S524" i="7"/>
  <c r="R525" i="7"/>
  <c r="S525" i="7"/>
  <c r="R526" i="7"/>
  <c r="S526" i="7"/>
  <c r="R527" i="7"/>
  <c r="S527" i="7"/>
  <c r="R528" i="7"/>
  <c r="S528" i="7"/>
  <c r="R529" i="7"/>
  <c r="S529" i="7"/>
  <c r="R530" i="7"/>
  <c r="S530" i="7"/>
  <c r="R531" i="7"/>
  <c r="S531" i="7"/>
  <c r="R532" i="7"/>
  <c r="S532" i="7"/>
  <c r="R533" i="7"/>
  <c r="S533" i="7"/>
  <c r="R534" i="7"/>
  <c r="S534" i="7"/>
  <c r="R535" i="7"/>
  <c r="S535" i="7"/>
  <c r="R536" i="7"/>
  <c r="S536" i="7"/>
  <c r="R537" i="7"/>
  <c r="S537" i="7"/>
  <c r="R538" i="7"/>
  <c r="S538" i="7"/>
  <c r="R539" i="7"/>
  <c r="S539" i="7"/>
  <c r="R540" i="7"/>
  <c r="S540" i="7"/>
  <c r="R541" i="7"/>
  <c r="S541" i="7"/>
  <c r="R542" i="7"/>
  <c r="S542" i="7"/>
  <c r="R543" i="7"/>
  <c r="S543" i="7"/>
  <c r="R544" i="7"/>
  <c r="S544" i="7"/>
  <c r="R545" i="7"/>
  <c r="S545" i="7"/>
  <c r="R546" i="7"/>
  <c r="S546" i="7"/>
  <c r="R547" i="7"/>
  <c r="S547" i="7"/>
  <c r="R548" i="7"/>
  <c r="S548" i="7"/>
  <c r="R549" i="7"/>
  <c r="S549" i="7"/>
  <c r="R550" i="7"/>
  <c r="S550" i="7"/>
  <c r="R551" i="7"/>
  <c r="S551" i="7"/>
  <c r="R552" i="7"/>
  <c r="S552" i="7"/>
  <c r="R553" i="7"/>
  <c r="S553" i="7"/>
  <c r="R554" i="7"/>
  <c r="S554" i="7"/>
  <c r="R555" i="7"/>
  <c r="S555" i="7"/>
  <c r="R556" i="7"/>
  <c r="S556" i="7"/>
  <c r="R557" i="7"/>
  <c r="S557" i="7"/>
  <c r="R558" i="7"/>
  <c r="S558" i="7"/>
  <c r="R559" i="7"/>
  <c r="S559" i="7"/>
  <c r="R560" i="7"/>
  <c r="S560" i="7"/>
  <c r="R561" i="7"/>
  <c r="S561" i="7"/>
  <c r="R562" i="7"/>
  <c r="S562" i="7"/>
  <c r="R563" i="7"/>
  <c r="S563" i="7"/>
  <c r="R564" i="7"/>
  <c r="S564" i="7"/>
  <c r="R565" i="7"/>
  <c r="S565" i="7"/>
  <c r="R566" i="7"/>
  <c r="S566" i="7"/>
  <c r="R567" i="7"/>
  <c r="S567" i="7"/>
  <c r="R568" i="7"/>
  <c r="S568" i="7"/>
  <c r="R569" i="7"/>
  <c r="S569" i="7"/>
  <c r="R570" i="7"/>
  <c r="S570" i="7"/>
  <c r="R571" i="7"/>
  <c r="S571" i="7"/>
  <c r="R572" i="7"/>
  <c r="S572" i="7"/>
  <c r="R573" i="7"/>
  <c r="S573" i="7"/>
  <c r="R574" i="7"/>
  <c r="S574" i="7"/>
  <c r="R575" i="7"/>
  <c r="S575" i="7"/>
  <c r="R576" i="7"/>
  <c r="S576" i="7"/>
  <c r="R577" i="7"/>
  <c r="S577" i="7"/>
  <c r="R578" i="7"/>
  <c r="S578" i="7"/>
  <c r="R579" i="7"/>
  <c r="S579" i="7"/>
  <c r="R580" i="7"/>
  <c r="S580" i="7"/>
  <c r="R581" i="7"/>
  <c r="S581" i="7"/>
  <c r="R582" i="7"/>
  <c r="S582" i="7"/>
  <c r="R583" i="7"/>
  <c r="S583" i="7"/>
  <c r="R584" i="7"/>
  <c r="S584" i="7"/>
  <c r="R585" i="7"/>
  <c r="S585" i="7"/>
  <c r="R586" i="7"/>
  <c r="S586" i="7"/>
  <c r="R587" i="7"/>
  <c r="S587" i="7"/>
  <c r="R588" i="7"/>
  <c r="S588" i="7"/>
  <c r="R589" i="7"/>
  <c r="S589" i="7"/>
  <c r="R590" i="7"/>
  <c r="S590" i="7"/>
  <c r="R591" i="7"/>
  <c r="S591" i="7"/>
  <c r="R592" i="7"/>
  <c r="S592" i="7"/>
  <c r="R593" i="7"/>
  <c r="S593" i="7"/>
  <c r="R594" i="7"/>
  <c r="S594" i="7"/>
  <c r="R595" i="7"/>
  <c r="S595" i="7"/>
  <c r="R596" i="7"/>
  <c r="S596" i="7"/>
  <c r="R597" i="7"/>
  <c r="S597" i="7"/>
  <c r="R598" i="7"/>
  <c r="S598" i="7"/>
  <c r="R599" i="7"/>
  <c r="S599" i="7"/>
  <c r="R600" i="7"/>
  <c r="S600" i="7"/>
  <c r="R601" i="7"/>
  <c r="S601" i="7"/>
  <c r="R602" i="7"/>
  <c r="S602" i="7"/>
  <c r="R603" i="7"/>
  <c r="S603" i="7"/>
  <c r="R604" i="7"/>
  <c r="S604" i="7"/>
  <c r="R605" i="7"/>
  <c r="S605" i="7"/>
  <c r="R606" i="7"/>
  <c r="S606" i="7"/>
  <c r="R607" i="7"/>
  <c r="S607" i="7"/>
  <c r="R608" i="7"/>
  <c r="S608" i="7"/>
  <c r="R609" i="7"/>
  <c r="S609" i="7"/>
  <c r="R610" i="7"/>
  <c r="S610" i="7"/>
  <c r="R611" i="7"/>
  <c r="S611" i="7"/>
  <c r="R612" i="7"/>
  <c r="S612" i="7"/>
  <c r="R613" i="7"/>
  <c r="S613" i="7"/>
  <c r="R614" i="7"/>
  <c r="S614" i="7"/>
  <c r="R615" i="7"/>
  <c r="S615" i="7"/>
  <c r="R616" i="7"/>
  <c r="S616" i="7"/>
  <c r="R617" i="7"/>
  <c r="S617" i="7"/>
  <c r="R618" i="7"/>
  <c r="S618" i="7"/>
  <c r="R619" i="7"/>
  <c r="S619" i="7"/>
  <c r="R620" i="7"/>
  <c r="S620" i="7"/>
  <c r="R621" i="7"/>
  <c r="S621" i="7"/>
  <c r="R622" i="7"/>
  <c r="S622" i="7"/>
  <c r="R623" i="7"/>
  <c r="S623" i="7"/>
  <c r="R624" i="7"/>
  <c r="S624" i="7"/>
  <c r="R625" i="7"/>
  <c r="S625" i="7"/>
  <c r="R626" i="7"/>
  <c r="S626" i="7"/>
  <c r="R627" i="7"/>
  <c r="S627" i="7"/>
  <c r="R628" i="7"/>
  <c r="S628" i="7"/>
  <c r="R629" i="7"/>
  <c r="S629" i="7"/>
  <c r="R630" i="7"/>
  <c r="S630" i="7"/>
  <c r="R631" i="7"/>
  <c r="S631" i="7"/>
  <c r="R632" i="7"/>
  <c r="S632" i="7"/>
  <c r="R633" i="7"/>
  <c r="S633" i="7"/>
  <c r="R634" i="7"/>
  <c r="S634" i="7"/>
  <c r="R635" i="7"/>
  <c r="S635" i="7"/>
  <c r="R636" i="7"/>
  <c r="S636" i="7"/>
  <c r="R637" i="7"/>
  <c r="S637" i="7"/>
  <c r="R638" i="7"/>
  <c r="S638" i="7"/>
  <c r="R639" i="7"/>
  <c r="S639" i="7"/>
  <c r="R640" i="7"/>
  <c r="S640" i="7"/>
  <c r="R641" i="7"/>
  <c r="S641" i="7"/>
  <c r="R642" i="7"/>
  <c r="S642" i="7"/>
  <c r="R643" i="7"/>
  <c r="S643" i="7"/>
  <c r="R644" i="7"/>
  <c r="S644" i="7"/>
  <c r="R645" i="7"/>
  <c r="S645" i="7"/>
  <c r="R646" i="7"/>
  <c r="S646" i="7"/>
  <c r="R647" i="7"/>
  <c r="S647" i="7"/>
  <c r="R648" i="7"/>
  <c r="S648" i="7"/>
  <c r="R649" i="7"/>
  <c r="S649" i="7"/>
  <c r="R650" i="7"/>
  <c r="S650" i="7"/>
  <c r="R651" i="7"/>
  <c r="S651" i="7"/>
  <c r="R652" i="7"/>
  <c r="S652" i="7"/>
  <c r="R653" i="7"/>
  <c r="S653" i="7"/>
  <c r="R654" i="7"/>
  <c r="S654" i="7"/>
  <c r="R655" i="7"/>
  <c r="S655" i="7"/>
  <c r="R656" i="7"/>
  <c r="S656" i="7"/>
  <c r="R657" i="7"/>
  <c r="S657" i="7"/>
  <c r="R658" i="7"/>
  <c r="S658" i="7"/>
  <c r="R659" i="7"/>
  <c r="S659" i="7"/>
  <c r="R660" i="7"/>
  <c r="S660" i="7"/>
  <c r="R661" i="7"/>
  <c r="S661" i="7"/>
  <c r="R662" i="7"/>
  <c r="S662" i="7"/>
  <c r="R663" i="7"/>
  <c r="S663" i="7"/>
  <c r="R664" i="7"/>
  <c r="S664" i="7"/>
  <c r="R665" i="7"/>
  <c r="S665" i="7"/>
  <c r="R666" i="7"/>
  <c r="S666" i="7"/>
  <c r="R667" i="7"/>
  <c r="S667" i="7"/>
  <c r="R668" i="7"/>
  <c r="S668" i="7"/>
  <c r="R669" i="7"/>
  <c r="S669" i="7"/>
  <c r="R670" i="7"/>
  <c r="S670" i="7"/>
  <c r="R671" i="7"/>
  <c r="S671" i="7"/>
  <c r="R672" i="7"/>
  <c r="S672" i="7"/>
  <c r="R673" i="7"/>
  <c r="S673" i="7"/>
  <c r="R674" i="7"/>
  <c r="S674" i="7"/>
  <c r="R675" i="7"/>
  <c r="S675" i="7"/>
  <c r="R676" i="7"/>
  <c r="S676" i="7"/>
  <c r="R677" i="7"/>
  <c r="S677" i="7"/>
  <c r="R678" i="7"/>
  <c r="S678" i="7"/>
  <c r="R679" i="7"/>
  <c r="S679" i="7"/>
  <c r="R680" i="7"/>
  <c r="S680" i="7"/>
  <c r="R681" i="7"/>
  <c r="S681" i="7"/>
  <c r="R682" i="7"/>
  <c r="S682" i="7"/>
  <c r="R683" i="7"/>
  <c r="S683" i="7"/>
  <c r="R684" i="7"/>
  <c r="S684" i="7"/>
  <c r="R685" i="7"/>
  <c r="S685" i="7"/>
  <c r="R686" i="7"/>
  <c r="S686" i="7"/>
  <c r="R687" i="7"/>
  <c r="S687" i="7"/>
  <c r="R688" i="7"/>
  <c r="S688" i="7"/>
  <c r="R689" i="7"/>
  <c r="S689" i="7"/>
  <c r="R690" i="7"/>
  <c r="S690" i="7"/>
  <c r="R691" i="7"/>
  <c r="S691" i="7"/>
  <c r="R692" i="7"/>
  <c r="S692" i="7"/>
  <c r="R693" i="7"/>
  <c r="S693" i="7"/>
  <c r="R694" i="7"/>
  <c r="S694" i="7"/>
  <c r="R695" i="7"/>
  <c r="S695" i="7"/>
  <c r="R696" i="7"/>
  <c r="S696" i="7"/>
  <c r="R697" i="7"/>
  <c r="S697" i="7"/>
  <c r="R698" i="7"/>
  <c r="S698" i="7"/>
  <c r="R699" i="7"/>
  <c r="S699" i="7"/>
  <c r="R700" i="7"/>
  <c r="S700" i="7"/>
  <c r="R701" i="7"/>
  <c r="S701" i="7"/>
  <c r="R702" i="7"/>
  <c r="S702" i="7"/>
  <c r="R703" i="7"/>
  <c r="S703" i="7"/>
  <c r="R704" i="7"/>
  <c r="S704" i="7"/>
  <c r="R705" i="7"/>
  <c r="S705" i="7"/>
  <c r="R706" i="7"/>
  <c r="S706" i="7"/>
  <c r="R707" i="7"/>
  <c r="S707" i="7"/>
  <c r="R708" i="7"/>
  <c r="S708" i="7"/>
  <c r="R709" i="7"/>
  <c r="S709" i="7"/>
  <c r="R710" i="7"/>
  <c r="S710" i="7"/>
  <c r="R711" i="7"/>
  <c r="S711" i="7"/>
  <c r="R712" i="7"/>
  <c r="S712" i="7"/>
  <c r="R713" i="7"/>
  <c r="S713" i="7"/>
  <c r="R714" i="7"/>
  <c r="S714" i="7"/>
  <c r="R715" i="7"/>
  <c r="S715" i="7"/>
  <c r="R716" i="7"/>
  <c r="S716" i="7"/>
  <c r="R717" i="7"/>
  <c r="S717" i="7"/>
  <c r="R718" i="7"/>
  <c r="S718" i="7"/>
  <c r="R719" i="7"/>
  <c r="S719" i="7"/>
  <c r="R720" i="7"/>
  <c r="S720" i="7"/>
  <c r="R721" i="7"/>
  <c r="S721" i="7"/>
  <c r="R722" i="7"/>
  <c r="S722" i="7"/>
  <c r="R723" i="7"/>
  <c r="S723" i="7"/>
  <c r="R724" i="7"/>
  <c r="S724" i="7"/>
  <c r="R725" i="7"/>
  <c r="S725" i="7"/>
  <c r="R726" i="7"/>
  <c r="S726" i="7"/>
  <c r="R727" i="7"/>
  <c r="S727" i="7"/>
  <c r="R728" i="7"/>
  <c r="S728" i="7"/>
  <c r="R729" i="7"/>
  <c r="S729" i="7"/>
  <c r="R730" i="7"/>
  <c r="S730" i="7"/>
  <c r="R731" i="7"/>
  <c r="S731" i="7"/>
  <c r="R732" i="7"/>
  <c r="S732" i="7"/>
  <c r="R733" i="7"/>
  <c r="S733" i="7"/>
  <c r="R734" i="7"/>
  <c r="S734" i="7"/>
  <c r="R735" i="7"/>
  <c r="S735" i="7"/>
  <c r="R736" i="7"/>
  <c r="S736" i="7"/>
  <c r="R737" i="7"/>
  <c r="S737" i="7"/>
  <c r="R738" i="7"/>
  <c r="S738" i="7"/>
  <c r="R739" i="7"/>
  <c r="S739" i="7"/>
  <c r="R740" i="7"/>
  <c r="S740" i="7"/>
  <c r="R741" i="7"/>
  <c r="S741" i="7"/>
  <c r="R742" i="7"/>
  <c r="S742" i="7"/>
  <c r="R743" i="7"/>
  <c r="S743" i="7"/>
  <c r="R744" i="7"/>
  <c r="S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6" i="2"/>
  <c r="R7" i="2"/>
  <c r="R8" i="2"/>
  <c r="R9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AT9" i="2"/>
  <c r="R10" i="2"/>
  <c r="AT10" i="2"/>
  <c r="R11" i="2"/>
  <c r="AT11" i="2"/>
  <c r="R12" i="2"/>
  <c r="AT12" i="2"/>
  <c r="R13" i="2"/>
  <c r="AT13" i="2"/>
  <c r="R14" i="2"/>
  <c r="AT14" i="2"/>
  <c r="R15" i="2"/>
  <c r="AT15" i="2"/>
  <c r="R16" i="2"/>
  <c r="AT16" i="2"/>
  <c r="R17" i="2"/>
  <c r="AT17" i="2"/>
  <c r="R18" i="2"/>
  <c r="AT18" i="2"/>
  <c r="R19" i="2"/>
  <c r="AT19" i="2"/>
  <c r="R20" i="2"/>
  <c r="AT20" i="2"/>
  <c r="R21" i="2"/>
  <c r="AT21" i="2"/>
  <c r="R22" i="2"/>
  <c r="AT22" i="2"/>
  <c r="R23" i="2"/>
  <c r="AT23" i="2"/>
  <c r="R24" i="2"/>
  <c r="AT24" i="2"/>
  <c r="R25" i="2"/>
  <c r="AT25" i="2"/>
  <c r="R26" i="2"/>
  <c r="AT26" i="2"/>
  <c r="R27" i="2"/>
  <c r="AT27" i="2"/>
  <c r="R28" i="2"/>
  <c r="AT28" i="2"/>
  <c r="R29" i="2"/>
  <c r="AT29" i="2"/>
  <c r="R30" i="2"/>
  <c r="AT30" i="2"/>
  <c r="R31" i="2"/>
  <c r="AT31" i="2"/>
  <c r="R32" i="2"/>
  <c r="AT32" i="2"/>
  <c r="R33" i="2"/>
  <c r="AT33" i="2"/>
  <c r="R34" i="2"/>
  <c r="AT34" i="2"/>
  <c r="R35" i="2"/>
  <c r="AT35" i="2"/>
  <c r="R36" i="2"/>
  <c r="AT36" i="2"/>
  <c r="R37" i="2"/>
  <c r="AT37" i="2"/>
  <c r="R38" i="2"/>
  <c r="AT38" i="2"/>
  <c r="R39" i="2"/>
  <c r="AT39" i="2"/>
  <c r="R40" i="2"/>
  <c r="AT40" i="2"/>
  <c r="R41" i="2"/>
  <c r="AT41" i="2"/>
  <c r="R42" i="2"/>
  <c r="AT42" i="2"/>
  <c r="R43" i="2"/>
  <c r="AT43" i="2"/>
  <c r="R44" i="2"/>
  <c r="AT44" i="2"/>
  <c r="R45" i="2"/>
  <c r="AT45" i="2"/>
  <c r="R46" i="2"/>
  <c r="AT46" i="2"/>
  <c r="R47" i="2"/>
  <c r="AT47" i="2"/>
  <c r="R48" i="2"/>
  <c r="AT48" i="2"/>
  <c r="R49" i="2"/>
  <c r="AT49" i="2"/>
  <c r="R50" i="2"/>
  <c r="AT50" i="2"/>
  <c r="R51" i="2"/>
  <c r="AT51" i="2"/>
  <c r="R52" i="2"/>
  <c r="AT52" i="2"/>
  <c r="R53" i="2"/>
  <c r="AT53" i="2"/>
  <c r="R54" i="2"/>
  <c r="AT54" i="2"/>
  <c r="R55" i="2"/>
  <c r="AT55" i="2"/>
  <c r="R56" i="2"/>
  <c r="AT56" i="2"/>
  <c r="R57" i="2"/>
  <c r="AT57" i="2"/>
  <c r="R58" i="2"/>
  <c r="AT58" i="2"/>
  <c r="R59" i="2"/>
  <c r="AT59" i="2"/>
  <c r="R60" i="2"/>
  <c r="AT60" i="2"/>
  <c r="R61" i="2"/>
  <c r="AT61" i="2"/>
  <c r="AU61" i="2"/>
  <c r="R62" i="2"/>
  <c r="AT62" i="2"/>
  <c r="AU62" i="2"/>
  <c r="R63" i="2"/>
  <c r="AT63" i="2"/>
  <c r="AU63" i="2"/>
  <c r="R64" i="2"/>
  <c r="AT64" i="2"/>
  <c r="AU64" i="2"/>
  <c r="R65" i="2"/>
  <c r="AT65" i="2"/>
  <c r="AU65" i="2"/>
  <c r="R66" i="2"/>
  <c r="AT66" i="2"/>
  <c r="AU66" i="2"/>
  <c r="R67" i="2"/>
  <c r="AT67" i="2"/>
  <c r="AU67" i="2"/>
  <c r="R68" i="2"/>
  <c r="AT68" i="2"/>
  <c r="AU68" i="2"/>
  <c r="R69" i="2"/>
  <c r="AT69" i="2"/>
  <c r="AU69" i="2"/>
  <c r="R70" i="2"/>
  <c r="AT70" i="2"/>
  <c r="AU70" i="2"/>
  <c r="R71" i="2"/>
  <c r="AT71" i="2"/>
  <c r="AU71" i="2"/>
  <c r="R72" i="2"/>
  <c r="AT72" i="2"/>
  <c r="AU72" i="2"/>
  <c r="R73" i="2"/>
  <c r="AT73" i="2"/>
  <c r="AU73" i="2"/>
  <c r="R74" i="2"/>
  <c r="AT74" i="2"/>
  <c r="AU74" i="2"/>
  <c r="R75" i="2"/>
  <c r="AT75" i="2"/>
  <c r="AU75" i="2"/>
  <c r="R76" i="2"/>
  <c r="AT76" i="2"/>
  <c r="AU76" i="2"/>
  <c r="R77" i="2"/>
  <c r="AT77" i="2"/>
  <c r="AU77" i="2"/>
  <c r="R78" i="2"/>
  <c r="AT78" i="2"/>
  <c r="AU78" i="2"/>
  <c r="R79" i="2"/>
  <c r="AT79" i="2"/>
  <c r="AU79" i="2"/>
  <c r="R80" i="2"/>
  <c r="AT80" i="2"/>
  <c r="AU80" i="2"/>
  <c r="R81" i="2"/>
  <c r="AT81" i="2"/>
  <c r="AU81" i="2"/>
  <c r="R82" i="2"/>
  <c r="AT82" i="2"/>
  <c r="AU82" i="2"/>
  <c r="R83" i="2"/>
  <c r="AT83" i="2"/>
  <c r="AU83" i="2"/>
  <c r="R84" i="2"/>
  <c r="AT84" i="2"/>
  <c r="AU84" i="2"/>
  <c r="R85" i="2"/>
  <c r="AT85" i="2"/>
  <c r="AU85" i="2"/>
  <c r="R86" i="2"/>
  <c r="AT86" i="2"/>
  <c r="AU86" i="2"/>
  <c r="R87" i="2"/>
  <c r="AT87" i="2"/>
  <c r="AU87" i="2"/>
  <c r="R88" i="2"/>
  <c r="AT88" i="2"/>
  <c r="AU88" i="2"/>
  <c r="R89" i="2"/>
  <c r="AT89" i="2"/>
  <c r="AU89" i="2"/>
  <c r="R90" i="2"/>
  <c r="AT90" i="2"/>
  <c r="AU90" i="2"/>
  <c r="R91" i="2"/>
  <c r="AT91" i="2"/>
  <c r="AU91" i="2"/>
  <c r="R92" i="2"/>
  <c r="AT92" i="2"/>
  <c r="AU92" i="2"/>
  <c r="R93" i="2"/>
  <c r="AT93" i="2"/>
  <c r="AU93" i="2"/>
  <c r="R94" i="2"/>
  <c r="AT94" i="2"/>
  <c r="AU94" i="2"/>
  <c r="R95" i="2"/>
  <c r="AT95" i="2"/>
  <c r="AU95" i="2"/>
  <c r="R96" i="2"/>
  <c r="AT96" i="2"/>
  <c r="AU96" i="2"/>
  <c r="R97" i="2"/>
  <c r="AT97" i="2"/>
  <c r="AU97" i="2"/>
  <c r="R98" i="2"/>
  <c r="AT98" i="2"/>
  <c r="AU98" i="2"/>
  <c r="R99" i="2"/>
  <c r="AT99" i="2"/>
  <c r="AU99" i="2"/>
  <c r="R100" i="2"/>
  <c r="AT100" i="2"/>
  <c r="AU100" i="2"/>
  <c r="R101" i="2"/>
  <c r="AT101" i="2"/>
  <c r="AU101" i="2"/>
  <c r="R102" i="2"/>
  <c r="AT102" i="2"/>
  <c r="AU102" i="2"/>
  <c r="R103" i="2"/>
  <c r="AT103" i="2"/>
  <c r="AU103" i="2"/>
  <c r="R104" i="2"/>
  <c r="AT104" i="2"/>
  <c r="AU104" i="2"/>
  <c r="R105" i="2"/>
  <c r="AT105" i="2"/>
  <c r="AU105" i="2"/>
  <c r="R106" i="2"/>
  <c r="AT106" i="2"/>
  <c r="AU106" i="2"/>
  <c r="R107" i="2"/>
  <c r="AT107" i="2"/>
  <c r="AU107" i="2"/>
  <c r="R108" i="2"/>
  <c r="AT108" i="2"/>
  <c r="AU108" i="2"/>
  <c r="R109" i="2"/>
  <c r="AT109" i="2"/>
  <c r="AU109" i="2"/>
  <c r="R110" i="2"/>
  <c r="AT110" i="2"/>
  <c r="AU110" i="2"/>
  <c r="R111" i="2"/>
  <c r="AT111" i="2"/>
  <c r="AU111" i="2"/>
  <c r="R112" i="2"/>
  <c r="AT112" i="2"/>
  <c r="AU112" i="2"/>
  <c r="R113" i="2"/>
  <c r="AT113" i="2"/>
  <c r="AU113" i="2"/>
  <c r="R114" i="2"/>
  <c r="AT114" i="2"/>
  <c r="AU114" i="2"/>
  <c r="R115" i="2"/>
  <c r="AT115" i="2"/>
  <c r="AU115" i="2"/>
  <c r="R116" i="2"/>
  <c r="AT116" i="2"/>
  <c r="AU116" i="2"/>
  <c r="R117" i="2"/>
  <c r="AT117" i="2"/>
  <c r="AU117" i="2"/>
  <c r="R118" i="2"/>
  <c r="AT118" i="2"/>
  <c r="AU118" i="2"/>
  <c r="R119" i="2"/>
  <c r="AT119" i="2"/>
  <c r="AU119" i="2"/>
  <c r="R120" i="2"/>
  <c r="AT120" i="2"/>
  <c r="AU120" i="2"/>
  <c r="R121" i="2"/>
  <c r="AT121" i="2"/>
  <c r="AU121" i="2"/>
  <c r="R122" i="2"/>
  <c r="AT122" i="2"/>
  <c r="AU122" i="2"/>
  <c r="R123" i="2"/>
  <c r="AT123" i="2"/>
  <c r="AU123" i="2"/>
  <c r="R124" i="2"/>
  <c r="AT124" i="2"/>
  <c r="AU124" i="2"/>
  <c r="R125" i="2"/>
  <c r="AT125" i="2"/>
  <c r="AU125" i="2"/>
  <c r="R126" i="2"/>
  <c r="AT126" i="2"/>
  <c r="AU126" i="2"/>
  <c r="R127" i="2"/>
  <c r="AT127" i="2"/>
  <c r="AU127" i="2"/>
  <c r="R128" i="2"/>
  <c r="AT128" i="2"/>
  <c r="AU128" i="2"/>
  <c r="R129" i="2"/>
  <c r="AT129" i="2"/>
  <c r="AU129" i="2"/>
  <c r="R130" i="2"/>
  <c r="AT130" i="2"/>
  <c r="AU130" i="2"/>
  <c r="R131" i="2"/>
  <c r="AT131" i="2"/>
  <c r="AU131" i="2"/>
  <c r="R132" i="2"/>
  <c r="AT132" i="2"/>
  <c r="AU132" i="2"/>
  <c r="R133" i="2"/>
  <c r="AT133" i="2"/>
  <c r="AU133" i="2"/>
  <c r="R134" i="2"/>
  <c r="AT134" i="2"/>
  <c r="AU134" i="2"/>
  <c r="R135" i="2"/>
  <c r="AT135" i="2"/>
  <c r="AU135" i="2"/>
  <c r="R136" i="2"/>
  <c r="AT136" i="2"/>
  <c r="AU136" i="2"/>
  <c r="R137" i="2"/>
  <c r="AT137" i="2"/>
  <c r="AU137" i="2"/>
  <c r="R138" i="2"/>
  <c r="AT138" i="2"/>
  <c r="AU138" i="2"/>
  <c r="R139" i="2"/>
  <c r="AT139" i="2"/>
  <c r="AU139" i="2"/>
  <c r="R140" i="2"/>
  <c r="AT140" i="2"/>
  <c r="AU140" i="2"/>
  <c r="R141" i="2"/>
  <c r="AT141" i="2"/>
  <c r="AU141" i="2"/>
  <c r="R142" i="2"/>
  <c r="AT142" i="2"/>
  <c r="AU142" i="2"/>
  <c r="R143" i="2"/>
  <c r="AT143" i="2"/>
  <c r="AU143" i="2"/>
  <c r="R144" i="2"/>
  <c r="AT144" i="2"/>
  <c r="AU144" i="2"/>
  <c r="R145" i="2"/>
  <c r="AT145" i="2"/>
  <c r="AU145" i="2"/>
  <c r="R146" i="2"/>
  <c r="AT146" i="2"/>
  <c r="AU146" i="2"/>
  <c r="R147" i="2"/>
  <c r="AT147" i="2"/>
  <c r="AU147" i="2"/>
  <c r="R148" i="2"/>
  <c r="AT148" i="2"/>
  <c r="AU148" i="2"/>
  <c r="R149" i="2"/>
  <c r="AT149" i="2"/>
  <c r="AU149" i="2"/>
  <c r="R150" i="2"/>
  <c r="AT150" i="2"/>
  <c r="AU150" i="2"/>
  <c r="R151" i="2"/>
  <c r="AT151" i="2"/>
  <c r="AU151" i="2"/>
  <c r="R152" i="2"/>
  <c r="AT152" i="2"/>
  <c r="AU152" i="2"/>
  <c r="R153" i="2"/>
  <c r="AT153" i="2"/>
  <c r="AU153" i="2"/>
  <c r="R154" i="2"/>
  <c r="AT154" i="2"/>
  <c r="AU154" i="2"/>
  <c r="R155" i="2"/>
  <c r="AT155" i="2"/>
  <c r="AU155" i="2"/>
  <c r="R156" i="2"/>
  <c r="AT156" i="2"/>
  <c r="AU156" i="2"/>
  <c r="R157" i="2"/>
  <c r="AT157" i="2"/>
  <c r="AU157" i="2"/>
  <c r="R158" i="2"/>
  <c r="AT158" i="2"/>
  <c r="AU158" i="2"/>
  <c r="R159" i="2"/>
  <c r="AT159" i="2"/>
  <c r="AU159" i="2"/>
  <c r="R160" i="2"/>
  <c r="AT160" i="2"/>
  <c r="AU160" i="2"/>
  <c r="R161" i="2"/>
  <c r="AT161" i="2"/>
  <c r="AU161" i="2"/>
  <c r="R162" i="2"/>
  <c r="AT162" i="2"/>
  <c r="AU162" i="2"/>
  <c r="R163" i="2"/>
  <c r="AT163" i="2"/>
  <c r="AU163" i="2"/>
  <c r="R164" i="2"/>
  <c r="AT164" i="2"/>
  <c r="AU164" i="2"/>
  <c r="R165" i="2"/>
  <c r="AT165" i="2"/>
  <c r="AU165" i="2"/>
  <c r="R166" i="2"/>
  <c r="AT166" i="2"/>
  <c r="AU166" i="2"/>
  <c r="R167" i="2"/>
  <c r="AT167" i="2"/>
  <c r="AU167" i="2"/>
  <c r="R168" i="2"/>
  <c r="AT168" i="2"/>
  <c r="AU168" i="2"/>
  <c r="R169" i="2"/>
  <c r="AT169" i="2"/>
  <c r="AU169" i="2"/>
  <c r="R170" i="2"/>
  <c r="AT170" i="2"/>
  <c r="AU170" i="2"/>
  <c r="R171" i="2"/>
  <c r="AT171" i="2"/>
  <c r="AU171" i="2"/>
  <c r="R172" i="2"/>
  <c r="AT172" i="2"/>
  <c r="AU172" i="2"/>
  <c r="R173" i="2"/>
  <c r="AT173" i="2"/>
  <c r="AU173" i="2"/>
  <c r="R174" i="2"/>
  <c r="AT174" i="2"/>
  <c r="AU174" i="2"/>
  <c r="R175" i="2"/>
  <c r="AT175" i="2"/>
  <c r="AU175" i="2"/>
  <c r="R176" i="2"/>
  <c r="AT176" i="2"/>
  <c r="AU176" i="2"/>
  <c r="R177" i="2"/>
  <c r="AT177" i="2"/>
  <c r="AU177" i="2"/>
  <c r="R178" i="2"/>
  <c r="AT178" i="2"/>
  <c r="AU178" i="2"/>
  <c r="R179" i="2"/>
  <c r="AT179" i="2"/>
  <c r="AU179" i="2"/>
  <c r="R180" i="2"/>
  <c r="AT180" i="2"/>
  <c r="AU180" i="2"/>
  <c r="R181" i="2"/>
  <c r="AT181" i="2"/>
  <c r="AU181" i="2"/>
  <c r="R182" i="2"/>
  <c r="AT182" i="2"/>
  <c r="AU182" i="2"/>
  <c r="R183" i="2"/>
  <c r="AT183" i="2"/>
  <c r="AU183" i="2"/>
  <c r="R184" i="2"/>
  <c r="AT184" i="2"/>
  <c r="AU184" i="2"/>
  <c r="R185" i="2"/>
  <c r="AT185" i="2"/>
  <c r="AU185" i="2"/>
  <c r="R186" i="2"/>
  <c r="AT186" i="2"/>
  <c r="AU186" i="2"/>
  <c r="R187" i="2"/>
  <c r="AT187" i="2"/>
  <c r="AU187" i="2"/>
  <c r="R188" i="2"/>
  <c r="AT188" i="2"/>
  <c r="AU188" i="2"/>
  <c r="R189" i="2"/>
  <c r="AT189" i="2"/>
  <c r="AU189" i="2"/>
  <c r="R190" i="2"/>
  <c r="AT190" i="2"/>
  <c r="AU190" i="2"/>
  <c r="R191" i="2"/>
  <c r="AT191" i="2"/>
  <c r="AU191" i="2"/>
  <c r="R192" i="2"/>
  <c r="AT192" i="2"/>
  <c r="AU192" i="2"/>
  <c r="R193" i="2"/>
  <c r="AT193" i="2"/>
  <c r="AU193" i="2"/>
  <c r="R194" i="2"/>
  <c r="AT194" i="2"/>
  <c r="AU194" i="2"/>
  <c r="R195" i="2"/>
  <c r="AT195" i="2"/>
  <c r="AU195" i="2"/>
  <c r="R196" i="2"/>
  <c r="AT196" i="2"/>
  <c r="AU196" i="2"/>
  <c r="R197" i="2"/>
  <c r="AT197" i="2"/>
  <c r="AU197" i="2"/>
  <c r="R198" i="2"/>
  <c r="AT198" i="2"/>
  <c r="AU198" i="2"/>
  <c r="R199" i="2"/>
  <c r="AT199" i="2"/>
  <c r="AU199" i="2"/>
  <c r="R200" i="2"/>
  <c r="AT200" i="2"/>
  <c r="AU200" i="2"/>
  <c r="R201" i="2"/>
  <c r="AT201" i="2"/>
  <c r="AU201" i="2"/>
  <c r="R202" i="2"/>
  <c r="AT202" i="2"/>
  <c r="AU202" i="2"/>
  <c r="R203" i="2"/>
  <c r="AT203" i="2"/>
  <c r="AU203" i="2"/>
  <c r="R204" i="2"/>
  <c r="AT204" i="2"/>
  <c r="AU204" i="2"/>
  <c r="R205" i="2"/>
  <c r="AT205" i="2"/>
  <c r="AU205" i="2"/>
  <c r="R206" i="2"/>
  <c r="AT206" i="2"/>
  <c r="AU206" i="2"/>
  <c r="R207" i="2"/>
  <c r="AT207" i="2"/>
  <c r="AU207" i="2"/>
  <c r="R208" i="2"/>
  <c r="AT208" i="2"/>
  <c r="AU208" i="2"/>
  <c r="R209" i="2"/>
  <c r="AT209" i="2"/>
  <c r="AU209" i="2"/>
  <c r="R210" i="2"/>
  <c r="AT210" i="2"/>
  <c r="AU210" i="2"/>
  <c r="R211" i="2"/>
  <c r="AT211" i="2"/>
  <c r="AU211" i="2"/>
  <c r="R212" i="2"/>
  <c r="AT212" i="2"/>
  <c r="AU212" i="2"/>
  <c r="R213" i="2"/>
  <c r="AT213" i="2"/>
  <c r="AU213" i="2"/>
  <c r="R214" i="2"/>
  <c r="AT214" i="2"/>
  <c r="AU214" i="2"/>
  <c r="R215" i="2"/>
  <c r="AT215" i="2"/>
  <c r="AU215" i="2"/>
  <c r="R216" i="2"/>
  <c r="U216" i="2"/>
  <c r="V216" i="2"/>
  <c r="X216" i="2"/>
  <c r="AA216" i="2"/>
  <c r="AD216" i="2"/>
  <c r="AE216" i="2"/>
  <c r="AF216" i="2"/>
  <c r="AG216" i="2"/>
  <c r="AJ216" i="2"/>
  <c r="AM216" i="2"/>
  <c r="AP216" i="2"/>
  <c r="R217" i="2"/>
  <c r="U217" i="2"/>
  <c r="X217" i="2"/>
  <c r="AA217" i="2"/>
  <c r="AD217" i="2"/>
  <c r="AG217" i="2"/>
  <c r="AJ217" i="2"/>
  <c r="AM217" i="2"/>
  <c r="AP217" i="2"/>
  <c r="R218" i="2"/>
  <c r="U218" i="2"/>
  <c r="X218" i="2"/>
  <c r="AA218" i="2"/>
  <c r="AD218" i="2"/>
  <c r="AG218" i="2"/>
  <c r="AJ218" i="2"/>
  <c r="AM218" i="2"/>
  <c r="AN218" i="2"/>
  <c r="AO218" i="2"/>
  <c r="AP218" i="2"/>
  <c r="R219" i="2"/>
  <c r="U219" i="2"/>
  <c r="V220" i="2"/>
  <c r="X219" i="2"/>
  <c r="AA219" i="2"/>
  <c r="AD219" i="2"/>
  <c r="AG219" i="2"/>
  <c r="AH220" i="2"/>
  <c r="AJ219" i="2"/>
  <c r="AM219" i="2"/>
  <c r="AP219" i="2"/>
  <c r="R220" i="2"/>
  <c r="U220" i="2"/>
  <c r="X220" i="2"/>
  <c r="AA220" i="2"/>
  <c r="AD220" i="2"/>
  <c r="AE222" i="2"/>
  <c r="AF222" i="2"/>
  <c r="AG220" i="2"/>
  <c r="AJ220" i="2"/>
  <c r="AM220" i="2"/>
  <c r="AP220" i="2"/>
  <c r="AQ221" i="2"/>
  <c r="R221" i="2"/>
  <c r="U221" i="2"/>
  <c r="V224" i="2"/>
  <c r="W224" i="2"/>
  <c r="X221" i="2"/>
  <c r="AA221" i="2"/>
  <c r="AD221" i="2"/>
  <c r="AG221" i="2"/>
  <c r="AJ221" i="2"/>
  <c r="AK224" i="2"/>
  <c r="AM221" i="2"/>
  <c r="AP221" i="2"/>
  <c r="R222" i="2"/>
  <c r="U222" i="2"/>
  <c r="X222" i="2"/>
  <c r="AA222" i="2"/>
  <c r="AD222" i="2"/>
  <c r="AE225" i="2"/>
  <c r="AG222" i="2"/>
  <c r="AJ222" i="2"/>
  <c r="AM222" i="2"/>
  <c r="AN224" i="2"/>
  <c r="AO224" i="2"/>
  <c r="AP222" i="2"/>
  <c r="R223" i="2"/>
  <c r="U223" i="2"/>
  <c r="X223" i="2"/>
  <c r="AA223" i="2"/>
  <c r="AD223" i="2"/>
  <c r="AG223" i="2"/>
  <c r="AJ223" i="2"/>
  <c r="AM223" i="2"/>
  <c r="AP223" i="2"/>
  <c r="R224" i="2"/>
  <c r="U224" i="2"/>
  <c r="X224" i="2"/>
  <c r="AA224" i="2"/>
  <c r="AD224" i="2"/>
  <c r="AG224" i="2"/>
  <c r="AJ224" i="2"/>
  <c r="AM224" i="2"/>
  <c r="AP224" i="2"/>
  <c r="R225" i="2"/>
  <c r="U225" i="2"/>
  <c r="X225" i="2"/>
  <c r="AA225" i="2"/>
  <c r="AD225" i="2"/>
  <c r="AG225" i="2"/>
  <c r="AJ225" i="2"/>
  <c r="AK227" i="2"/>
  <c r="AL227" i="2"/>
  <c r="AM225" i="2"/>
  <c r="AP225" i="2"/>
  <c r="R226" i="2"/>
  <c r="U226" i="2"/>
  <c r="V229" i="2"/>
  <c r="X226" i="2"/>
  <c r="AA226" i="2"/>
  <c r="AD226" i="2"/>
  <c r="AG226" i="2"/>
  <c r="AJ226" i="2"/>
  <c r="AM226" i="2"/>
  <c r="AP226" i="2"/>
  <c r="AQ227" i="2"/>
  <c r="R227" i="2"/>
  <c r="U227" i="2"/>
  <c r="X227" i="2"/>
  <c r="Y230" i="2"/>
  <c r="AA227" i="2"/>
  <c r="AD227" i="2"/>
  <c r="AG227" i="2"/>
  <c r="AJ227" i="2"/>
  <c r="AK229" i="2"/>
  <c r="AM227" i="2"/>
  <c r="AP227" i="2"/>
  <c r="AS227" i="2"/>
  <c r="R228" i="2"/>
  <c r="U228" i="2"/>
  <c r="X228" i="2"/>
  <c r="AA228" i="2"/>
  <c r="AB229" i="2"/>
  <c r="AC229" i="2"/>
  <c r="AD228" i="2"/>
  <c r="AG228" i="2"/>
  <c r="AJ228" i="2"/>
  <c r="AM228" i="2"/>
  <c r="AP228" i="2"/>
  <c r="R229" i="2"/>
  <c r="U229" i="2"/>
  <c r="X229" i="2"/>
  <c r="AA229" i="2"/>
  <c r="AD229" i="2"/>
  <c r="AG229" i="2"/>
  <c r="AJ229" i="2"/>
  <c r="AM229" i="2"/>
  <c r="AP229" i="2"/>
  <c r="R230" i="2"/>
  <c r="U230" i="2"/>
  <c r="X230" i="2"/>
  <c r="AA230" i="2"/>
  <c r="AD230" i="2"/>
  <c r="AG230" i="2"/>
  <c r="AJ230" i="2"/>
  <c r="AK230" i="2"/>
  <c r="AM230" i="2"/>
  <c r="AN231" i="2"/>
  <c r="AP230" i="2"/>
  <c r="R231" i="2"/>
  <c r="U231" i="2"/>
  <c r="X231" i="2"/>
  <c r="AA231" i="2"/>
  <c r="AD231" i="2"/>
  <c r="AG231" i="2"/>
  <c r="AH231" i="2"/>
  <c r="AJ231" i="2"/>
  <c r="AM231" i="2"/>
  <c r="AP231" i="2"/>
  <c r="R232" i="2"/>
  <c r="U232" i="2"/>
  <c r="X232" i="2"/>
  <c r="AA232" i="2"/>
  <c r="AD232" i="2"/>
  <c r="AG232" i="2"/>
  <c r="AJ232" i="2"/>
  <c r="AM232" i="2"/>
  <c r="AP232" i="2"/>
  <c r="R233" i="2"/>
  <c r="U233" i="2"/>
  <c r="X233" i="2"/>
  <c r="AA233" i="2"/>
  <c r="AD233" i="2"/>
  <c r="AG233" i="2"/>
  <c r="AJ233" i="2"/>
  <c r="AM233" i="2"/>
  <c r="AP233" i="2"/>
  <c r="AS233" i="2"/>
  <c r="R234" i="2"/>
  <c r="U234" i="2"/>
  <c r="X234" i="2"/>
  <c r="AA234" i="2"/>
  <c r="AD234" i="2"/>
  <c r="AG234" i="2"/>
  <c r="AJ234" i="2"/>
  <c r="AM234" i="2"/>
  <c r="AP234" i="2"/>
  <c r="R235" i="2"/>
  <c r="U235" i="2"/>
  <c r="X235" i="2"/>
  <c r="AA235" i="2"/>
  <c r="AD235" i="2"/>
  <c r="AG235" i="2"/>
  <c r="AJ235" i="2"/>
  <c r="AM235" i="2"/>
  <c r="AP235" i="2"/>
  <c r="AQ237" i="2"/>
  <c r="R236" i="2"/>
  <c r="U236" i="2"/>
  <c r="X236" i="2"/>
  <c r="AA236" i="2"/>
  <c r="AD236" i="2"/>
  <c r="AG236" i="2"/>
  <c r="AJ236" i="2"/>
  <c r="AM236" i="2"/>
  <c r="AP236" i="2"/>
  <c r="R237" i="2"/>
  <c r="U237" i="2"/>
  <c r="X237" i="2"/>
  <c r="AA237" i="2"/>
  <c r="AD237" i="2"/>
  <c r="AG237" i="2"/>
  <c r="AJ237" i="2"/>
  <c r="AM237" i="2"/>
  <c r="AP237" i="2"/>
  <c r="R238" i="2"/>
  <c r="U238" i="2"/>
  <c r="X238" i="2"/>
  <c r="AA238" i="2"/>
  <c r="AB241" i="2"/>
  <c r="AC241" i="2"/>
  <c r="AD238" i="2"/>
  <c r="AE240" i="2"/>
  <c r="AF240" i="2"/>
  <c r="AG238" i="2"/>
  <c r="AJ238" i="2"/>
  <c r="AM238" i="2"/>
  <c r="AP238" i="2"/>
  <c r="R239" i="2"/>
  <c r="U239" i="2"/>
  <c r="V242" i="2"/>
  <c r="W242" i="2"/>
  <c r="X239" i="2"/>
  <c r="AA239" i="2"/>
  <c r="AD239" i="2"/>
  <c r="AG239" i="2"/>
  <c r="AJ239" i="2"/>
  <c r="AM239" i="2"/>
  <c r="AP239" i="2"/>
  <c r="R240" i="2"/>
  <c r="U240" i="2"/>
  <c r="X240" i="2"/>
  <c r="AA240" i="2"/>
  <c r="AD240" i="2"/>
  <c r="AG240" i="2"/>
  <c r="AJ240" i="2"/>
  <c r="AM240" i="2"/>
  <c r="AP240" i="2"/>
  <c r="R241" i="2"/>
  <c r="U241" i="2"/>
  <c r="X241" i="2"/>
  <c r="AA241" i="2"/>
  <c r="AD241" i="2"/>
  <c r="AG241" i="2"/>
  <c r="AJ241" i="2"/>
  <c r="AM241" i="2"/>
  <c r="AP241" i="2"/>
  <c r="AS241" i="2"/>
  <c r="R242" i="2"/>
  <c r="U242" i="2"/>
  <c r="X242" i="2"/>
  <c r="AA242" i="2"/>
  <c r="AD242" i="2"/>
  <c r="AG242" i="2"/>
  <c r="AJ242" i="2"/>
  <c r="AM242" i="2"/>
  <c r="AP242" i="2"/>
  <c r="R243" i="2"/>
  <c r="U243" i="2"/>
  <c r="X243" i="2"/>
  <c r="AA243" i="2"/>
  <c r="AD243" i="2"/>
  <c r="AG243" i="2"/>
  <c r="AJ243" i="2"/>
  <c r="AM243" i="2"/>
  <c r="AP243" i="2"/>
  <c r="AS243" i="2"/>
  <c r="R244" i="2"/>
  <c r="U244" i="2"/>
  <c r="X244" i="2"/>
  <c r="AA244" i="2"/>
  <c r="AB244" i="2"/>
  <c r="AC244" i="2"/>
  <c r="AD244" i="2"/>
  <c r="AG244" i="2"/>
  <c r="AJ244" i="2"/>
  <c r="AM244" i="2"/>
  <c r="AN247" i="2"/>
  <c r="AP244" i="2"/>
  <c r="R245" i="2"/>
  <c r="U245" i="2"/>
  <c r="X245" i="2"/>
  <c r="AA245" i="2"/>
  <c r="AD245" i="2"/>
  <c r="AG245" i="2"/>
  <c r="AJ245" i="2"/>
  <c r="AK248" i="2"/>
  <c r="AM245" i="2"/>
  <c r="AP245" i="2"/>
  <c r="AQ246" i="2"/>
  <c r="R246" i="2"/>
  <c r="U246" i="2"/>
  <c r="X246" i="2"/>
  <c r="AA246" i="2"/>
  <c r="AD246" i="2"/>
  <c r="AG246" i="2"/>
  <c r="AJ246" i="2"/>
  <c r="AM246" i="2"/>
  <c r="AP246" i="2"/>
  <c r="R247" i="2"/>
  <c r="U247" i="2"/>
  <c r="V249" i="2"/>
  <c r="X247" i="2"/>
  <c r="AA247" i="2"/>
  <c r="AD247" i="2"/>
  <c r="AG247" i="2"/>
  <c r="AJ247" i="2"/>
  <c r="AM247" i="2"/>
  <c r="AP247" i="2"/>
  <c r="R248" i="2"/>
  <c r="U248" i="2"/>
  <c r="X248" i="2"/>
  <c r="AA248" i="2"/>
  <c r="AD248" i="2"/>
  <c r="AG248" i="2"/>
  <c r="AJ248" i="2"/>
  <c r="AM248" i="2"/>
  <c r="AP248" i="2"/>
  <c r="R249" i="2"/>
  <c r="U249" i="2"/>
  <c r="X249" i="2"/>
  <c r="AA249" i="2"/>
  <c r="AD249" i="2"/>
  <c r="AG249" i="2"/>
  <c r="AJ249" i="2"/>
  <c r="AM249" i="2"/>
  <c r="AP249" i="2"/>
  <c r="R250" i="2"/>
  <c r="U250" i="2"/>
  <c r="V253" i="2"/>
  <c r="W253" i="2"/>
  <c r="X250" i="2"/>
  <c r="AA250" i="2"/>
  <c r="AD250" i="2"/>
  <c r="AG250" i="2"/>
  <c r="AJ250" i="2"/>
  <c r="AM250" i="2"/>
  <c r="AP250" i="2"/>
  <c r="R251" i="2"/>
  <c r="U251" i="2"/>
  <c r="X251" i="2"/>
  <c r="AA251" i="2"/>
  <c r="AD251" i="2"/>
  <c r="AG251" i="2"/>
  <c r="AJ251" i="2"/>
  <c r="AM251" i="2"/>
  <c r="AP251" i="2"/>
  <c r="R252" i="2"/>
  <c r="U252" i="2"/>
  <c r="X252" i="2"/>
  <c r="AA252" i="2"/>
  <c r="AD252" i="2"/>
  <c r="AG252" i="2"/>
  <c r="AJ252" i="2"/>
  <c r="AM252" i="2"/>
  <c r="AP252" i="2"/>
  <c r="R253" i="2"/>
  <c r="U253" i="2"/>
  <c r="X253" i="2"/>
  <c r="AA253" i="2"/>
  <c r="AB256" i="2"/>
  <c r="AC256" i="2"/>
  <c r="AD253" i="2"/>
  <c r="AE255" i="2"/>
  <c r="AG253" i="2"/>
  <c r="AJ253" i="2"/>
  <c r="AM253" i="2"/>
  <c r="AP253" i="2"/>
  <c r="R254" i="2"/>
  <c r="U254" i="2"/>
  <c r="X254" i="2"/>
  <c r="AA254" i="2"/>
  <c r="AD254" i="2"/>
  <c r="AG254" i="2"/>
  <c r="AJ254" i="2"/>
  <c r="AM254" i="2"/>
  <c r="AP254" i="2"/>
  <c r="R255" i="2"/>
  <c r="U255" i="2"/>
  <c r="X255" i="2"/>
  <c r="AA255" i="2"/>
  <c r="AD255" i="2"/>
  <c r="AG255" i="2"/>
  <c r="AJ255" i="2"/>
  <c r="AM255" i="2"/>
  <c r="AP255" i="2"/>
  <c r="R256" i="2"/>
  <c r="U256" i="2"/>
  <c r="X256" i="2"/>
  <c r="AA256" i="2"/>
  <c r="AD256" i="2"/>
  <c r="AG256" i="2"/>
  <c r="AH258" i="2"/>
  <c r="AI258" i="2"/>
  <c r="AJ256" i="2"/>
  <c r="AM256" i="2"/>
  <c r="AP256" i="2"/>
  <c r="R257" i="2"/>
  <c r="U257" i="2"/>
  <c r="X257" i="2"/>
  <c r="AA257" i="2"/>
  <c r="AB257" i="2"/>
  <c r="AC257" i="2"/>
  <c r="AD257" i="2"/>
  <c r="AG257" i="2"/>
  <c r="AJ257" i="2"/>
  <c r="AM257" i="2"/>
  <c r="AP257" i="2"/>
  <c r="R258" i="2"/>
  <c r="U258" i="2"/>
  <c r="V261" i="2"/>
  <c r="W261" i="2"/>
  <c r="X258" i="2"/>
  <c r="AA258" i="2"/>
  <c r="AD258" i="2"/>
  <c r="AG258" i="2"/>
  <c r="AJ258" i="2"/>
  <c r="AM258" i="2"/>
  <c r="AP258" i="2"/>
  <c r="AR310" i="2"/>
  <c r="R259" i="2"/>
  <c r="U259" i="2"/>
  <c r="X259" i="2"/>
  <c r="AA259" i="2"/>
  <c r="AD259" i="2"/>
  <c r="AG259" i="2"/>
  <c r="AJ259" i="2"/>
  <c r="AL311" i="2"/>
  <c r="AM259" i="2"/>
  <c r="AP259" i="2"/>
  <c r="R260" i="2"/>
  <c r="U260" i="2"/>
  <c r="X260" i="2"/>
  <c r="AA260" i="2"/>
  <c r="AD260" i="2"/>
  <c r="AG260" i="2"/>
  <c r="AJ260" i="2"/>
  <c r="AK263" i="2"/>
  <c r="AM260" i="2"/>
  <c r="AP260" i="2"/>
  <c r="AQ262" i="2"/>
  <c r="R261" i="2"/>
  <c r="U261" i="2"/>
  <c r="X261" i="2"/>
  <c r="AA261" i="2"/>
  <c r="AD261" i="2"/>
  <c r="AG261" i="2"/>
  <c r="AJ261" i="2"/>
  <c r="AM261" i="2"/>
  <c r="AP261" i="2"/>
  <c r="R262" i="2"/>
  <c r="U262" i="2"/>
  <c r="X262" i="2"/>
  <c r="AA262" i="2"/>
  <c r="AD262" i="2"/>
  <c r="AG262" i="2"/>
  <c r="AJ262" i="2"/>
  <c r="AM262" i="2"/>
  <c r="AP262" i="2"/>
  <c r="R263" i="2"/>
  <c r="U263" i="2"/>
  <c r="X263" i="2"/>
  <c r="AA263" i="2"/>
  <c r="AD263" i="2"/>
  <c r="AG263" i="2"/>
  <c r="AJ263" i="2"/>
  <c r="AM263" i="2"/>
  <c r="AP263" i="2"/>
  <c r="R264" i="2"/>
  <c r="U264" i="2"/>
  <c r="X264" i="2"/>
  <c r="Y265" i="2"/>
  <c r="Z265" i="2"/>
  <c r="AA264" i="2"/>
  <c r="AD264" i="2"/>
  <c r="AG264" i="2"/>
  <c r="AJ264" i="2"/>
  <c r="AM264" i="2"/>
  <c r="AP264" i="2"/>
  <c r="R265" i="2"/>
  <c r="U265" i="2"/>
  <c r="X265" i="2"/>
  <c r="AA265" i="2"/>
  <c r="AD265" i="2"/>
  <c r="AG265" i="2"/>
  <c r="AJ265" i="2"/>
  <c r="AM265" i="2"/>
  <c r="AP265" i="2"/>
  <c r="R266" i="2"/>
  <c r="U266" i="2"/>
  <c r="X266" i="2"/>
  <c r="AA266" i="2"/>
  <c r="AD266" i="2"/>
  <c r="AG266" i="2"/>
  <c r="AJ266" i="2"/>
  <c r="AM266" i="2"/>
  <c r="AP266" i="2"/>
  <c r="AQ267" i="2"/>
  <c r="R267" i="2"/>
  <c r="U267" i="2"/>
  <c r="X267" i="2"/>
  <c r="AA267" i="2"/>
  <c r="AD267" i="2"/>
  <c r="AG267" i="2"/>
  <c r="AJ267" i="2"/>
  <c r="AM267" i="2"/>
  <c r="AP267" i="2"/>
  <c r="R268" i="2"/>
  <c r="U268" i="2"/>
  <c r="X268" i="2"/>
  <c r="AA268" i="2"/>
  <c r="AD268" i="2"/>
  <c r="AG268" i="2"/>
  <c r="AJ268" i="2"/>
  <c r="AM268" i="2"/>
  <c r="AP268" i="2"/>
  <c r="R269" i="2"/>
  <c r="U269" i="2"/>
  <c r="X269" i="2"/>
  <c r="AA269" i="2"/>
  <c r="AB271" i="2"/>
  <c r="AC271" i="2"/>
  <c r="AD269" i="2"/>
  <c r="AG269" i="2"/>
  <c r="AJ269" i="2"/>
  <c r="AM269" i="2"/>
  <c r="AP269" i="2"/>
  <c r="R270" i="2"/>
  <c r="U270" i="2"/>
  <c r="X270" i="2"/>
  <c r="AA270" i="2"/>
  <c r="AD270" i="2"/>
  <c r="AG270" i="2"/>
  <c r="AJ270" i="2"/>
  <c r="AM270" i="2"/>
  <c r="AP270" i="2"/>
  <c r="AQ270" i="2"/>
  <c r="AR270" i="2"/>
  <c r="R271" i="2"/>
  <c r="U271" i="2"/>
  <c r="X271" i="2"/>
  <c r="AA271" i="2"/>
  <c r="AD271" i="2"/>
  <c r="AG271" i="2"/>
  <c r="AJ271" i="2"/>
  <c r="AM271" i="2"/>
  <c r="AP271" i="2"/>
  <c r="R272" i="2"/>
  <c r="U272" i="2"/>
  <c r="X272" i="2"/>
  <c r="AA272" i="2"/>
  <c r="AD272" i="2"/>
  <c r="AG272" i="2"/>
  <c r="AJ272" i="2"/>
  <c r="AM272" i="2"/>
  <c r="AP272" i="2"/>
  <c r="R273" i="2"/>
  <c r="U273" i="2"/>
  <c r="X273" i="2"/>
  <c r="AA273" i="2"/>
  <c r="AD273" i="2"/>
  <c r="AG273" i="2"/>
  <c r="AJ273" i="2"/>
  <c r="AM273" i="2"/>
  <c r="AP273" i="2"/>
  <c r="R274" i="2"/>
  <c r="U274" i="2"/>
  <c r="X274" i="2"/>
  <c r="Y274" i="2"/>
  <c r="Z274" i="2"/>
  <c r="AA274" i="2"/>
  <c r="AD274" i="2"/>
  <c r="AG274" i="2"/>
  <c r="AJ274" i="2"/>
  <c r="AM274" i="2"/>
  <c r="AP274" i="2"/>
  <c r="R275" i="2"/>
  <c r="U275" i="2"/>
  <c r="X275" i="2"/>
  <c r="AA275" i="2"/>
  <c r="AD275" i="2"/>
  <c r="AE278" i="2"/>
  <c r="AF278" i="2"/>
  <c r="AG275" i="2"/>
  <c r="AJ275" i="2"/>
  <c r="AM275" i="2"/>
  <c r="AP275" i="2"/>
  <c r="AQ276" i="2"/>
  <c r="R276" i="2"/>
  <c r="U276" i="2"/>
  <c r="X276" i="2"/>
  <c r="AA276" i="2"/>
  <c r="AD276" i="2"/>
  <c r="AG276" i="2"/>
  <c r="AJ276" i="2"/>
  <c r="AM276" i="2"/>
  <c r="AP276" i="2"/>
  <c r="R277" i="2"/>
  <c r="U277" i="2"/>
  <c r="X277" i="2"/>
  <c r="AA277" i="2"/>
  <c r="AD277" i="2"/>
  <c r="AG277" i="2"/>
  <c r="AJ277" i="2"/>
  <c r="AM277" i="2"/>
  <c r="AP277" i="2"/>
  <c r="R278" i="2"/>
  <c r="U278" i="2"/>
  <c r="X278" i="2"/>
  <c r="AA278" i="2"/>
  <c r="AD278" i="2"/>
  <c r="AG278" i="2"/>
  <c r="AJ278" i="2"/>
  <c r="AM278" i="2"/>
  <c r="AP278" i="2"/>
  <c r="R279" i="2"/>
  <c r="U279" i="2"/>
  <c r="X279" i="2"/>
  <c r="AA279" i="2"/>
  <c r="AD279" i="2"/>
  <c r="AE280" i="2"/>
  <c r="AF280" i="2"/>
  <c r="AG279" i="2"/>
  <c r="AJ279" i="2"/>
  <c r="AM279" i="2"/>
  <c r="AP279" i="2"/>
  <c r="R280" i="2"/>
  <c r="U280" i="2"/>
  <c r="X280" i="2"/>
  <c r="AA280" i="2"/>
  <c r="AD280" i="2"/>
  <c r="AG280" i="2"/>
  <c r="AJ280" i="2"/>
  <c r="AM280" i="2"/>
  <c r="AP280" i="2"/>
  <c r="AS280" i="2"/>
  <c r="R281" i="2"/>
  <c r="U281" i="2"/>
  <c r="X281" i="2"/>
  <c r="AA281" i="2"/>
  <c r="AD281" i="2"/>
  <c r="AG281" i="2"/>
  <c r="AJ281" i="2"/>
  <c r="AM281" i="2"/>
  <c r="AP281" i="2"/>
  <c r="R282" i="2"/>
  <c r="U282" i="2"/>
  <c r="V285" i="2"/>
  <c r="W285" i="2"/>
  <c r="X282" i="2"/>
  <c r="AA282" i="2"/>
  <c r="AD282" i="2"/>
  <c r="AG282" i="2"/>
  <c r="AJ282" i="2"/>
  <c r="AM282" i="2"/>
  <c r="AP282" i="2"/>
  <c r="R283" i="2"/>
  <c r="U283" i="2"/>
  <c r="X283" i="2"/>
  <c r="AA283" i="2"/>
  <c r="AD283" i="2"/>
  <c r="AG283" i="2"/>
  <c r="AJ283" i="2"/>
  <c r="AM283" i="2"/>
  <c r="AP283" i="2"/>
  <c r="R284" i="2"/>
  <c r="U284" i="2"/>
  <c r="X284" i="2"/>
  <c r="AA284" i="2"/>
  <c r="AD284" i="2"/>
  <c r="AG284" i="2"/>
  <c r="AJ284" i="2"/>
  <c r="AM284" i="2"/>
  <c r="AP284" i="2"/>
  <c r="R285" i="2"/>
  <c r="U285" i="2"/>
  <c r="X285" i="2"/>
  <c r="AA285" i="2"/>
  <c r="AD285" i="2"/>
  <c r="AE288" i="2"/>
  <c r="AG285" i="2"/>
  <c r="AJ285" i="2"/>
  <c r="AM285" i="2"/>
  <c r="AP285" i="2"/>
  <c r="R286" i="2"/>
  <c r="U286" i="2"/>
  <c r="V289" i="2"/>
  <c r="W289" i="2"/>
  <c r="X286" i="2"/>
  <c r="AA286" i="2"/>
  <c r="AD286" i="2"/>
  <c r="AG286" i="2"/>
  <c r="AJ286" i="2"/>
  <c r="AM286" i="2"/>
  <c r="AP286" i="2"/>
  <c r="AQ287" i="2"/>
  <c r="R287" i="2"/>
  <c r="U287" i="2"/>
  <c r="X287" i="2"/>
  <c r="AA287" i="2"/>
  <c r="AB289" i="2"/>
  <c r="AD287" i="2"/>
  <c r="AG287" i="2"/>
  <c r="AH289" i="2"/>
  <c r="AJ287" i="2"/>
  <c r="AK289" i="2"/>
  <c r="AL289" i="2"/>
  <c r="AM287" i="2"/>
  <c r="AP287" i="2"/>
  <c r="R288" i="2"/>
  <c r="U288" i="2"/>
  <c r="X288" i="2"/>
  <c r="Y289" i="2"/>
  <c r="Z289" i="2"/>
  <c r="AA288" i="2"/>
  <c r="AD288" i="2"/>
  <c r="AG288" i="2"/>
  <c r="AJ288" i="2"/>
  <c r="AM288" i="2"/>
  <c r="AP288" i="2"/>
  <c r="R289" i="2"/>
  <c r="U289" i="2"/>
  <c r="V291" i="2"/>
  <c r="X289" i="2"/>
  <c r="AA289" i="2"/>
  <c r="AD289" i="2"/>
  <c r="AG289" i="2"/>
  <c r="AJ289" i="2"/>
  <c r="AM289" i="2"/>
  <c r="AP289" i="2"/>
  <c r="R290" i="2"/>
  <c r="U290" i="2"/>
  <c r="X290" i="2"/>
  <c r="AA290" i="2"/>
  <c r="AD290" i="2"/>
  <c r="AG290" i="2"/>
  <c r="AH291" i="2"/>
  <c r="AI291" i="2"/>
  <c r="AJ290" i="2"/>
  <c r="AM290" i="2"/>
  <c r="AP290" i="2"/>
  <c r="R291" i="2"/>
  <c r="U291" i="2"/>
  <c r="X291" i="2"/>
  <c r="AA291" i="2"/>
  <c r="AD291" i="2"/>
  <c r="AG291" i="2"/>
  <c r="AJ291" i="2"/>
  <c r="AM291" i="2"/>
  <c r="AP291" i="2"/>
  <c r="R292" i="2"/>
  <c r="U292" i="2"/>
  <c r="V294" i="2"/>
  <c r="W294" i="2"/>
  <c r="X292" i="2"/>
  <c r="AA292" i="2"/>
  <c r="AD292" i="2"/>
  <c r="AG292" i="2"/>
  <c r="AH292" i="2"/>
  <c r="AI292" i="2"/>
  <c r="AJ292" i="2"/>
  <c r="AM292" i="2"/>
  <c r="AP292" i="2"/>
  <c r="R293" i="2"/>
  <c r="U293" i="2"/>
  <c r="X293" i="2"/>
  <c r="AA293" i="2"/>
  <c r="AD293" i="2"/>
  <c r="AE294" i="2"/>
  <c r="AF294" i="2"/>
  <c r="AG293" i="2"/>
  <c r="AJ293" i="2"/>
  <c r="AM293" i="2"/>
  <c r="AP293" i="2"/>
  <c r="AS293" i="2"/>
  <c r="R294" i="2"/>
  <c r="U294" i="2"/>
  <c r="X294" i="2"/>
  <c r="Z346" i="2"/>
  <c r="AA294" i="2"/>
  <c r="AB296" i="2"/>
  <c r="AD294" i="2"/>
  <c r="AG294" i="2"/>
  <c r="AJ294" i="2"/>
  <c r="AM294" i="2"/>
  <c r="AP294" i="2"/>
  <c r="R295" i="2"/>
  <c r="U295" i="2"/>
  <c r="V297" i="2"/>
  <c r="X295" i="2"/>
  <c r="AA295" i="2"/>
  <c r="AD295" i="2"/>
  <c r="AG295" i="2"/>
  <c r="AJ295" i="2"/>
  <c r="AM295" i="2"/>
  <c r="AP295" i="2"/>
  <c r="R296" i="2"/>
  <c r="U296" i="2"/>
  <c r="X296" i="2"/>
  <c r="AA296" i="2"/>
  <c r="AD296" i="2"/>
  <c r="AG296" i="2"/>
  <c r="AJ296" i="2"/>
  <c r="AM296" i="2"/>
  <c r="AP296" i="2"/>
  <c r="R297" i="2"/>
  <c r="U297" i="2"/>
  <c r="X297" i="2"/>
  <c r="Y300" i="2"/>
  <c r="Z300" i="2"/>
  <c r="AA297" i="2"/>
  <c r="AD297" i="2"/>
  <c r="AG297" i="2"/>
  <c r="AJ297" i="2"/>
  <c r="AM297" i="2"/>
  <c r="AP297" i="2"/>
  <c r="R298" i="2"/>
  <c r="U298" i="2"/>
  <c r="X298" i="2"/>
  <c r="AA298" i="2"/>
  <c r="AD298" i="2"/>
  <c r="AE301" i="2"/>
  <c r="AG298" i="2"/>
  <c r="AJ298" i="2"/>
  <c r="AM298" i="2"/>
  <c r="AP298" i="2"/>
  <c r="R299" i="2"/>
  <c r="U299" i="2"/>
  <c r="X299" i="2"/>
  <c r="AA299" i="2"/>
  <c r="AB302" i="2"/>
  <c r="AD299" i="2"/>
  <c r="AG299" i="2"/>
  <c r="AJ299" i="2"/>
  <c r="AM299" i="2"/>
  <c r="AP299" i="2"/>
  <c r="R300" i="2"/>
  <c r="U300" i="2"/>
  <c r="X300" i="2"/>
  <c r="AA300" i="2"/>
  <c r="AC302" i="2"/>
  <c r="AD300" i="2"/>
  <c r="AG300" i="2"/>
  <c r="AJ300" i="2"/>
  <c r="AK302" i="2"/>
  <c r="AL302" i="2"/>
  <c r="AM300" i="2"/>
  <c r="AP300" i="2"/>
  <c r="R301" i="2"/>
  <c r="U301" i="2"/>
  <c r="X301" i="2"/>
  <c r="AA301" i="2"/>
  <c r="AD301" i="2"/>
  <c r="AG301" i="2"/>
  <c r="AJ301" i="2"/>
  <c r="AM301" i="2"/>
  <c r="AP301" i="2"/>
  <c r="R302" i="2"/>
  <c r="U302" i="2"/>
  <c r="X302" i="2"/>
  <c r="AA302" i="2"/>
  <c r="AD302" i="2"/>
  <c r="AG302" i="2"/>
  <c r="AJ302" i="2"/>
  <c r="AM302" i="2"/>
  <c r="AP302" i="2"/>
  <c r="R303" i="2"/>
  <c r="U303" i="2"/>
  <c r="X303" i="2"/>
  <c r="AA303" i="2"/>
  <c r="AD303" i="2"/>
  <c r="AG303" i="2"/>
  <c r="AJ303" i="2"/>
  <c r="AK306" i="2"/>
  <c r="AM303" i="2"/>
  <c r="AP303" i="2"/>
  <c r="R304" i="2"/>
  <c r="U304" i="2"/>
  <c r="X304" i="2"/>
  <c r="AA304" i="2"/>
  <c r="AD304" i="2"/>
  <c r="AG304" i="2"/>
  <c r="AH306" i="2"/>
  <c r="AJ304" i="2"/>
  <c r="AM304" i="2"/>
  <c r="AP304" i="2"/>
  <c r="R305" i="2"/>
  <c r="U305" i="2"/>
  <c r="X305" i="2"/>
  <c r="AA305" i="2"/>
  <c r="AD305" i="2"/>
  <c r="AG305" i="2"/>
  <c r="AJ305" i="2"/>
  <c r="AM305" i="2"/>
  <c r="AP305" i="2"/>
  <c r="R306" i="2"/>
  <c r="U306" i="2"/>
  <c r="X306" i="2"/>
  <c r="AA306" i="2"/>
  <c r="AB309" i="2"/>
  <c r="AD306" i="2"/>
  <c r="AG306" i="2"/>
  <c r="AJ306" i="2"/>
  <c r="AM306" i="2"/>
  <c r="AN307" i="2"/>
  <c r="AP306" i="2"/>
  <c r="R307" i="2"/>
  <c r="U307" i="2"/>
  <c r="V309" i="2"/>
  <c r="X307" i="2"/>
  <c r="AA307" i="2"/>
  <c r="AB310" i="2"/>
  <c r="AC310" i="2"/>
  <c r="AD307" i="2"/>
  <c r="AG307" i="2"/>
  <c r="AH307" i="2"/>
  <c r="AI307" i="2"/>
  <c r="AJ307" i="2"/>
  <c r="AM307" i="2"/>
  <c r="AP307" i="2"/>
  <c r="AQ310" i="2"/>
  <c r="R308" i="2"/>
  <c r="U308" i="2"/>
  <c r="X308" i="2"/>
  <c r="AA308" i="2"/>
  <c r="AD308" i="2"/>
  <c r="AE309" i="2"/>
  <c r="AF309" i="2"/>
  <c r="AG308" i="2"/>
  <c r="AJ308" i="2"/>
  <c r="AM308" i="2"/>
  <c r="AN310" i="2"/>
  <c r="AP308" i="2"/>
  <c r="R309" i="2"/>
  <c r="U309" i="2"/>
  <c r="V310" i="2"/>
  <c r="X309" i="2"/>
  <c r="AA309" i="2"/>
  <c r="AD309" i="2"/>
  <c r="AE312" i="2"/>
  <c r="AG309" i="2"/>
  <c r="AJ309" i="2"/>
  <c r="AM309" i="2"/>
  <c r="AP309" i="2"/>
  <c r="R310" i="2"/>
  <c r="U310" i="2"/>
  <c r="X310" i="2"/>
  <c r="AA310" i="2"/>
  <c r="AC362" i="2"/>
  <c r="AD310" i="2"/>
  <c r="AG310" i="2"/>
  <c r="AJ310" i="2"/>
  <c r="AM310" i="2"/>
  <c r="AP310" i="2"/>
  <c r="R311" i="2"/>
  <c r="U311" i="2"/>
  <c r="X311" i="2"/>
  <c r="AA311" i="2"/>
  <c r="AD311" i="2"/>
  <c r="AG311" i="2"/>
  <c r="AJ311" i="2"/>
  <c r="AM311" i="2"/>
  <c r="AP311" i="2"/>
  <c r="R312" i="2"/>
  <c r="U312" i="2"/>
  <c r="X312" i="2"/>
  <c r="AA312" i="2"/>
  <c r="AD312" i="2"/>
  <c r="AG312" i="2"/>
  <c r="AJ312" i="2"/>
  <c r="AM312" i="2"/>
  <c r="AP312" i="2"/>
  <c r="R313" i="2"/>
  <c r="U313" i="2"/>
  <c r="X313" i="2"/>
  <c r="AA313" i="2"/>
  <c r="AD313" i="2"/>
  <c r="AG313" i="2"/>
  <c r="AJ313" i="2"/>
  <c r="AM313" i="2"/>
  <c r="AP313" i="2"/>
  <c r="R314" i="2"/>
  <c r="U314" i="2"/>
  <c r="X314" i="2"/>
  <c r="AA314" i="2"/>
  <c r="AD314" i="2"/>
  <c r="AE314" i="2"/>
  <c r="AF314" i="2"/>
  <c r="AG314" i="2"/>
  <c r="AJ314" i="2"/>
  <c r="AM314" i="2"/>
  <c r="AP314" i="2"/>
  <c r="R315" i="2"/>
  <c r="U315" i="2"/>
  <c r="X315" i="2"/>
  <c r="Y318" i="2"/>
  <c r="AA315" i="2"/>
  <c r="AD315" i="2"/>
  <c r="AG315" i="2"/>
  <c r="AH316" i="2"/>
  <c r="AI316" i="2"/>
  <c r="AJ315" i="2"/>
  <c r="AM315" i="2"/>
  <c r="AP315" i="2"/>
  <c r="R316" i="2"/>
  <c r="U316" i="2"/>
  <c r="X316" i="2"/>
  <c r="AA316" i="2"/>
  <c r="AD316" i="2"/>
  <c r="AG316" i="2"/>
  <c r="AJ316" i="2"/>
  <c r="AM316" i="2"/>
  <c r="AP316" i="2"/>
  <c r="AS316" i="2"/>
  <c r="R317" i="2"/>
  <c r="U317" i="2"/>
  <c r="X317" i="2"/>
  <c r="AA317" i="2"/>
  <c r="AD317" i="2"/>
  <c r="AG317" i="2"/>
  <c r="AJ317" i="2"/>
  <c r="AM317" i="2"/>
  <c r="AP317" i="2"/>
  <c r="R318" i="2"/>
  <c r="U318" i="2"/>
  <c r="X318" i="2"/>
  <c r="AA318" i="2"/>
  <c r="AD318" i="2"/>
  <c r="AG318" i="2"/>
  <c r="AJ318" i="2"/>
  <c r="AM318" i="2"/>
  <c r="AP318" i="2"/>
  <c r="R319" i="2"/>
  <c r="U319" i="2"/>
  <c r="X319" i="2"/>
  <c r="AA319" i="2"/>
  <c r="AD319" i="2"/>
  <c r="AG319" i="2"/>
  <c r="AJ319" i="2"/>
  <c r="AM319" i="2"/>
  <c r="AP319" i="2"/>
  <c r="R320" i="2"/>
  <c r="U320" i="2"/>
  <c r="X320" i="2"/>
  <c r="AA320" i="2"/>
  <c r="AD320" i="2"/>
  <c r="AG320" i="2"/>
  <c r="AJ320" i="2"/>
  <c r="AM320" i="2"/>
  <c r="AP320" i="2"/>
  <c r="R321" i="2"/>
  <c r="U321" i="2"/>
  <c r="X321" i="2"/>
  <c r="Y323" i="2"/>
  <c r="Z323" i="2"/>
  <c r="AA321" i="2"/>
  <c r="AD321" i="2"/>
  <c r="AG321" i="2"/>
  <c r="AJ321" i="2"/>
  <c r="AM321" i="2"/>
  <c r="AN322" i="2"/>
  <c r="AP321" i="2"/>
  <c r="AS321" i="2"/>
  <c r="R322" i="2"/>
  <c r="U322" i="2"/>
  <c r="X322" i="2"/>
  <c r="AA322" i="2"/>
  <c r="AD322" i="2"/>
  <c r="AG322" i="2"/>
  <c r="AH322" i="2"/>
  <c r="AI322" i="2"/>
  <c r="AJ322" i="2"/>
  <c r="AM322" i="2"/>
  <c r="AP322" i="2"/>
  <c r="AS322" i="2"/>
  <c r="R323" i="2"/>
  <c r="U323" i="2"/>
  <c r="X323" i="2"/>
  <c r="AA323" i="2"/>
  <c r="AB326" i="2"/>
  <c r="AC326" i="2"/>
  <c r="AD323" i="2"/>
  <c r="AG323" i="2"/>
  <c r="AJ323" i="2"/>
  <c r="AM323" i="2"/>
  <c r="AP323" i="2"/>
  <c r="R324" i="2"/>
  <c r="U324" i="2"/>
  <c r="X324" i="2"/>
  <c r="AA324" i="2"/>
  <c r="AD324" i="2"/>
  <c r="AG324" i="2"/>
  <c r="AJ324" i="2"/>
  <c r="AM324" i="2"/>
  <c r="AP324" i="2"/>
  <c r="AS324" i="2"/>
  <c r="R325" i="2"/>
  <c r="U325" i="2"/>
  <c r="X325" i="2"/>
  <c r="AA325" i="2"/>
  <c r="AD325" i="2"/>
  <c r="AG325" i="2"/>
  <c r="AJ325" i="2"/>
  <c r="AM325" i="2"/>
  <c r="AP325" i="2"/>
  <c r="AS325" i="2"/>
  <c r="R326" i="2"/>
  <c r="U326" i="2"/>
  <c r="X326" i="2"/>
  <c r="AA326" i="2"/>
  <c r="AD326" i="2"/>
  <c r="AG326" i="2"/>
  <c r="AH329" i="2"/>
  <c r="AJ326" i="2"/>
  <c r="AM326" i="2"/>
  <c r="AP326" i="2"/>
  <c r="R327" i="2"/>
  <c r="U327" i="2"/>
  <c r="X327" i="2"/>
  <c r="AA327" i="2"/>
  <c r="AD327" i="2"/>
  <c r="AG327" i="2"/>
  <c r="AJ327" i="2"/>
  <c r="AM327" i="2"/>
  <c r="AP327" i="2"/>
  <c r="R328" i="2"/>
  <c r="U328" i="2"/>
  <c r="X328" i="2"/>
  <c r="AA328" i="2"/>
  <c r="AD328" i="2"/>
  <c r="AG328" i="2"/>
  <c r="AJ328" i="2"/>
  <c r="AM328" i="2"/>
  <c r="AP328" i="2"/>
  <c r="R329" i="2"/>
  <c r="U329" i="2"/>
  <c r="X329" i="2"/>
  <c r="AA329" i="2"/>
  <c r="AD329" i="2"/>
  <c r="AG329" i="2"/>
  <c r="AJ329" i="2"/>
  <c r="AM329" i="2"/>
  <c r="AP329" i="2"/>
  <c r="R330" i="2"/>
  <c r="U330" i="2"/>
  <c r="V333" i="2"/>
  <c r="X330" i="2"/>
  <c r="AA330" i="2"/>
  <c r="AD330" i="2"/>
  <c r="AG330" i="2"/>
  <c r="AJ330" i="2"/>
  <c r="AM330" i="2"/>
  <c r="AP330" i="2"/>
  <c r="AS330" i="2"/>
  <c r="R331" i="2"/>
  <c r="U331" i="2"/>
  <c r="X331" i="2"/>
  <c r="AA331" i="2"/>
  <c r="AD331" i="2"/>
  <c r="AG331" i="2"/>
  <c r="AJ331" i="2"/>
  <c r="AM331" i="2"/>
  <c r="AP331" i="2"/>
  <c r="R332" i="2"/>
  <c r="U332" i="2"/>
  <c r="X332" i="2"/>
  <c r="AA332" i="2"/>
  <c r="AD332" i="2"/>
  <c r="AG332" i="2"/>
  <c r="AJ332" i="2"/>
  <c r="AM332" i="2"/>
  <c r="AP332" i="2"/>
  <c r="AS332" i="2"/>
  <c r="R333" i="2"/>
  <c r="U333" i="2"/>
  <c r="X333" i="2"/>
  <c r="AA333" i="2"/>
  <c r="AD333" i="2"/>
  <c r="AG333" i="2"/>
  <c r="AJ333" i="2"/>
  <c r="AM333" i="2"/>
  <c r="AP333" i="2"/>
  <c r="R334" i="2"/>
  <c r="U334" i="2"/>
  <c r="X334" i="2"/>
  <c r="AA334" i="2"/>
  <c r="AD334" i="2"/>
  <c r="AG334" i="2"/>
  <c r="AJ334" i="2"/>
  <c r="AM334" i="2"/>
  <c r="AP334" i="2"/>
  <c r="AQ337" i="2"/>
  <c r="AR337" i="2"/>
  <c r="R335" i="2"/>
  <c r="U335" i="2"/>
  <c r="X335" i="2"/>
  <c r="AA335" i="2"/>
  <c r="AB338" i="2"/>
  <c r="AD335" i="2"/>
  <c r="AG335" i="2"/>
  <c r="AJ335" i="2"/>
  <c r="AM335" i="2"/>
  <c r="AP335" i="2"/>
  <c r="R336" i="2"/>
  <c r="U336" i="2"/>
  <c r="X336" i="2"/>
  <c r="AA336" i="2"/>
  <c r="AD336" i="2"/>
  <c r="AG336" i="2"/>
  <c r="AJ336" i="2"/>
  <c r="AK339" i="2"/>
  <c r="AL339" i="2"/>
  <c r="AM336" i="2"/>
  <c r="AP336" i="2"/>
  <c r="R337" i="2"/>
  <c r="U337" i="2"/>
  <c r="X337" i="2"/>
  <c r="AA337" i="2"/>
  <c r="AD337" i="2"/>
  <c r="AG337" i="2"/>
  <c r="AJ337" i="2"/>
  <c r="AM337" i="2"/>
  <c r="AP337" i="2"/>
  <c r="AQ339" i="2"/>
  <c r="AR339" i="2"/>
  <c r="R338" i="2"/>
  <c r="U338" i="2"/>
  <c r="X338" i="2"/>
  <c r="AA338" i="2"/>
  <c r="AD338" i="2"/>
  <c r="AG338" i="2"/>
  <c r="AJ338" i="2"/>
  <c r="AK341" i="2"/>
  <c r="AM338" i="2"/>
  <c r="AP338" i="2"/>
  <c r="R339" i="2"/>
  <c r="U339" i="2"/>
  <c r="X339" i="2"/>
  <c r="AA339" i="2"/>
  <c r="AD339" i="2"/>
  <c r="AE341" i="2"/>
  <c r="AG339" i="2"/>
  <c r="AJ339" i="2"/>
  <c r="AM339" i="2"/>
  <c r="AP339" i="2"/>
  <c r="R340" i="2"/>
  <c r="U340" i="2"/>
  <c r="X340" i="2"/>
  <c r="AA340" i="2"/>
  <c r="AD340" i="2"/>
  <c r="AG340" i="2"/>
  <c r="AJ340" i="2"/>
  <c r="AM340" i="2"/>
  <c r="AP340" i="2"/>
  <c r="R341" i="2"/>
  <c r="U341" i="2"/>
  <c r="X341" i="2"/>
  <c r="AA341" i="2"/>
  <c r="AB341" i="2"/>
  <c r="AC341" i="2"/>
  <c r="AD341" i="2"/>
  <c r="AG341" i="2"/>
  <c r="AJ341" i="2"/>
  <c r="AM341" i="2"/>
  <c r="AP341" i="2"/>
  <c r="R342" i="2"/>
  <c r="U342" i="2"/>
  <c r="X342" i="2"/>
  <c r="AA342" i="2"/>
  <c r="AD342" i="2"/>
  <c r="AG342" i="2"/>
  <c r="AJ342" i="2"/>
  <c r="AM342" i="2"/>
  <c r="AP342" i="2"/>
  <c r="R343" i="2"/>
  <c r="U343" i="2"/>
  <c r="X343" i="2"/>
  <c r="AA343" i="2"/>
  <c r="AD343" i="2"/>
  <c r="AG343" i="2"/>
  <c r="AH346" i="2"/>
  <c r="AI346" i="2"/>
  <c r="AJ343" i="2"/>
  <c r="AM343" i="2"/>
  <c r="AP343" i="2"/>
  <c r="R344" i="2"/>
  <c r="U344" i="2"/>
  <c r="X344" i="2"/>
  <c r="AA344" i="2"/>
  <c r="AD344" i="2"/>
  <c r="AG344" i="2"/>
  <c r="AJ344" i="2"/>
  <c r="AM344" i="2"/>
  <c r="AP344" i="2"/>
  <c r="AS344" i="2"/>
  <c r="R345" i="2"/>
  <c r="U345" i="2"/>
  <c r="X345" i="2"/>
  <c r="AA345" i="2"/>
  <c r="AD345" i="2"/>
  <c r="AG345" i="2"/>
  <c r="AJ345" i="2"/>
  <c r="AM345" i="2"/>
  <c r="AP345" i="2"/>
  <c r="R346" i="2"/>
  <c r="U346" i="2"/>
  <c r="X346" i="2"/>
  <c r="AA346" i="2"/>
  <c r="AB348" i="2"/>
  <c r="AC348" i="2"/>
  <c r="AD346" i="2"/>
  <c r="AG346" i="2"/>
  <c r="AJ346" i="2"/>
  <c r="AM346" i="2"/>
  <c r="AN348" i="2"/>
  <c r="AO348" i="2"/>
  <c r="AP346" i="2"/>
  <c r="R347" i="2"/>
  <c r="U347" i="2"/>
  <c r="X347" i="2"/>
  <c r="AA347" i="2"/>
  <c r="AD347" i="2"/>
  <c r="AG347" i="2"/>
  <c r="AJ347" i="2"/>
  <c r="AM347" i="2"/>
  <c r="AP347" i="2"/>
  <c r="R348" i="2"/>
  <c r="U348" i="2"/>
  <c r="X348" i="2"/>
  <c r="Y351" i="2"/>
  <c r="Z351" i="2"/>
  <c r="AA348" i="2"/>
  <c r="AD348" i="2"/>
  <c r="AG348" i="2"/>
  <c r="AJ348" i="2"/>
  <c r="AM348" i="2"/>
  <c r="AP348" i="2"/>
  <c r="R349" i="2"/>
  <c r="U349" i="2"/>
  <c r="X349" i="2"/>
  <c r="AA349" i="2"/>
  <c r="AD349" i="2"/>
  <c r="AG349" i="2"/>
  <c r="AJ349" i="2"/>
  <c r="AM349" i="2"/>
  <c r="AP349" i="2"/>
  <c r="AS349" i="2"/>
  <c r="R350" i="2"/>
  <c r="U350" i="2"/>
  <c r="X350" i="2"/>
  <c r="AA350" i="2"/>
  <c r="AD350" i="2"/>
  <c r="AG350" i="2"/>
  <c r="AJ350" i="2"/>
  <c r="AM350" i="2"/>
  <c r="AP350" i="2"/>
  <c r="R351" i="2"/>
  <c r="U351" i="2"/>
  <c r="X351" i="2"/>
  <c r="AA351" i="2"/>
  <c r="AD351" i="2"/>
  <c r="AG351" i="2"/>
  <c r="AJ351" i="2"/>
  <c r="AM351" i="2"/>
  <c r="AP351" i="2"/>
  <c r="R352" i="2"/>
  <c r="U352" i="2"/>
  <c r="X352" i="2"/>
  <c r="AA352" i="2"/>
  <c r="AD352" i="2"/>
  <c r="AG352" i="2"/>
  <c r="AJ352" i="2"/>
  <c r="AM352" i="2"/>
  <c r="AP352" i="2"/>
  <c r="AS352" i="2"/>
  <c r="R353" i="2"/>
  <c r="U353" i="2"/>
  <c r="X353" i="2"/>
  <c r="AA353" i="2"/>
  <c r="AD353" i="2"/>
  <c r="AG353" i="2"/>
  <c r="AJ353" i="2"/>
  <c r="AK354" i="2"/>
  <c r="AM353" i="2"/>
  <c r="AP353" i="2"/>
  <c r="R354" i="2"/>
  <c r="U354" i="2"/>
  <c r="X354" i="2"/>
  <c r="Y356" i="2"/>
  <c r="Z356" i="2"/>
  <c r="AA354" i="2"/>
  <c r="AD354" i="2"/>
  <c r="AG354" i="2"/>
  <c r="AJ354" i="2"/>
  <c r="AM354" i="2"/>
  <c r="AP354" i="2"/>
  <c r="AS354" i="2"/>
  <c r="R355" i="2"/>
  <c r="U355" i="2"/>
  <c r="X355" i="2"/>
  <c r="AA355" i="2"/>
  <c r="AD355" i="2"/>
  <c r="AE357" i="2"/>
  <c r="AG355" i="2"/>
  <c r="AJ355" i="2"/>
  <c r="AM355" i="2"/>
  <c r="AN356" i="2"/>
  <c r="AO356" i="2"/>
  <c r="AP355" i="2"/>
  <c r="AQ357" i="2"/>
  <c r="AR357" i="2"/>
  <c r="R356" i="2"/>
  <c r="U356" i="2"/>
  <c r="X356" i="2"/>
  <c r="AA356" i="2"/>
  <c r="AD356" i="2"/>
  <c r="AG356" i="2"/>
  <c r="AJ356" i="2"/>
  <c r="AK356" i="2"/>
  <c r="AL356" i="2"/>
  <c r="AK359" i="2"/>
  <c r="AL359" i="2"/>
  <c r="AM356" i="2"/>
  <c r="AP356" i="2"/>
  <c r="AQ359" i="2"/>
  <c r="AS356" i="2"/>
  <c r="R357" i="2"/>
  <c r="U357" i="2"/>
  <c r="X357" i="2"/>
  <c r="AA357" i="2"/>
  <c r="AD357" i="2"/>
  <c r="AG357" i="2"/>
  <c r="AJ357" i="2"/>
  <c r="AM357" i="2"/>
  <c r="AP357" i="2"/>
  <c r="R358" i="2"/>
  <c r="U358" i="2"/>
  <c r="X358" i="2"/>
  <c r="AA358" i="2"/>
  <c r="AB361" i="2"/>
  <c r="AC361" i="2"/>
  <c r="AD358" i="2"/>
  <c r="AE360" i="2"/>
  <c r="AF360" i="2"/>
  <c r="AG358" i="2"/>
  <c r="AJ358" i="2"/>
  <c r="AM358" i="2"/>
  <c r="AP358" i="2"/>
  <c r="R359" i="2"/>
  <c r="U359" i="2"/>
  <c r="X359" i="2"/>
  <c r="Y362" i="2"/>
  <c r="AA359" i="2"/>
  <c r="AB362" i="2"/>
  <c r="AD359" i="2"/>
  <c r="AG359" i="2"/>
  <c r="AJ359" i="2"/>
  <c r="AM359" i="2"/>
  <c r="AP359" i="2"/>
  <c r="AQ362" i="2"/>
  <c r="R360" i="2"/>
  <c r="U360" i="2"/>
  <c r="X360" i="2"/>
  <c r="AA360" i="2"/>
  <c r="AD360" i="2"/>
  <c r="AG360" i="2"/>
  <c r="AJ360" i="2"/>
  <c r="AK362" i="2"/>
  <c r="AM360" i="2"/>
  <c r="AP360" i="2"/>
  <c r="R361" i="2"/>
  <c r="U361" i="2"/>
  <c r="X361" i="2"/>
  <c r="AA361" i="2"/>
  <c r="AD361" i="2"/>
  <c r="AG361" i="2"/>
  <c r="AJ361" i="2"/>
  <c r="AM361" i="2"/>
  <c r="AP361" i="2"/>
  <c r="AS361" i="2"/>
  <c r="R362" i="2"/>
  <c r="U362" i="2"/>
  <c r="X362" i="2"/>
  <c r="AA362" i="2"/>
  <c r="AD362" i="2"/>
  <c r="AG362" i="2"/>
  <c r="AJ362" i="2"/>
  <c r="AM362" i="2"/>
  <c r="AP362" i="2"/>
  <c r="R363" i="2"/>
  <c r="U363" i="2"/>
  <c r="X363" i="2"/>
  <c r="AA363" i="2"/>
  <c r="AD363" i="2"/>
  <c r="AG363" i="2"/>
  <c r="AJ363" i="2"/>
  <c r="AM363" i="2"/>
  <c r="AP363" i="2"/>
  <c r="AQ364" i="2"/>
  <c r="AR364" i="2"/>
  <c r="R364" i="2"/>
  <c r="U364" i="2"/>
  <c r="X364" i="2"/>
  <c r="AA364" i="2"/>
  <c r="AD364" i="2"/>
  <c r="AE365" i="2"/>
  <c r="AG364" i="2"/>
  <c r="AJ364" i="2"/>
  <c r="AM364" i="2"/>
  <c r="AP364" i="2"/>
  <c r="R365" i="2"/>
  <c r="U365" i="2"/>
  <c r="X365" i="2"/>
  <c r="AA365" i="2"/>
  <c r="AD365" i="2"/>
  <c r="AG365" i="2"/>
  <c r="AJ365" i="2"/>
  <c r="AM365" i="2"/>
  <c r="AP365" i="2"/>
  <c r="R366" i="2"/>
  <c r="U366" i="2"/>
  <c r="X366" i="2"/>
  <c r="AA366" i="2"/>
  <c r="AD366" i="2"/>
  <c r="AG366" i="2"/>
  <c r="AJ366" i="2"/>
  <c r="AM366" i="2"/>
  <c r="AP366" i="2"/>
  <c r="AS366" i="2"/>
  <c r="R367" i="2"/>
  <c r="U367" i="2"/>
  <c r="X367" i="2"/>
  <c r="AA367" i="2"/>
  <c r="AB369" i="2"/>
  <c r="AC369" i="2"/>
  <c r="AD367" i="2"/>
  <c r="AG367" i="2"/>
  <c r="AJ367" i="2"/>
  <c r="AM367" i="2"/>
  <c r="AP367" i="2"/>
  <c r="R368" i="2"/>
  <c r="U368" i="2"/>
  <c r="X368" i="2"/>
  <c r="AA368" i="2"/>
  <c r="AD368" i="2"/>
  <c r="AE370" i="2"/>
  <c r="AF370" i="2"/>
  <c r="AG368" i="2"/>
  <c r="AJ368" i="2"/>
  <c r="AM368" i="2"/>
  <c r="AP368" i="2"/>
  <c r="AS368" i="2"/>
  <c r="R369" i="2"/>
  <c r="U369" i="2"/>
  <c r="X369" i="2"/>
  <c r="Y371" i="2"/>
  <c r="AA369" i="2"/>
  <c r="AD369" i="2"/>
  <c r="AE369" i="2"/>
  <c r="AG369" i="2"/>
  <c r="AJ369" i="2"/>
  <c r="AM369" i="2"/>
  <c r="AP369" i="2"/>
  <c r="R370" i="2"/>
  <c r="U370" i="2"/>
  <c r="X370" i="2"/>
  <c r="AA370" i="2"/>
  <c r="AD370" i="2"/>
  <c r="AG370" i="2"/>
  <c r="AJ370" i="2"/>
  <c r="AM370" i="2"/>
  <c r="AP370" i="2"/>
  <c r="R371" i="2"/>
  <c r="U371" i="2"/>
  <c r="X371" i="2"/>
  <c r="AA371" i="2"/>
  <c r="AD371" i="2"/>
  <c r="AG371" i="2"/>
  <c r="AJ371" i="2"/>
  <c r="AM371" i="2"/>
  <c r="AP371" i="2"/>
  <c r="R372" i="2"/>
  <c r="U372" i="2"/>
  <c r="X372" i="2"/>
  <c r="AA372" i="2"/>
  <c r="AD372" i="2"/>
  <c r="AE374" i="2"/>
  <c r="AG372" i="2"/>
  <c r="AJ372" i="2"/>
  <c r="AM372" i="2"/>
  <c r="AP372" i="2"/>
  <c r="R373" i="2"/>
  <c r="U373" i="2"/>
  <c r="X373" i="2"/>
  <c r="AA373" i="2"/>
  <c r="AD373" i="2"/>
  <c r="AG373" i="2"/>
  <c r="AJ373" i="2"/>
  <c r="AM373" i="2"/>
  <c r="AP373" i="2"/>
  <c r="R374" i="2"/>
  <c r="U374" i="2"/>
  <c r="X374" i="2"/>
  <c r="AA374" i="2"/>
  <c r="AD374" i="2"/>
  <c r="AG374" i="2"/>
  <c r="AJ374" i="2"/>
  <c r="AM374" i="2"/>
  <c r="AP374" i="2"/>
  <c r="AQ377" i="2"/>
  <c r="AR377" i="2"/>
  <c r="AS374" i="2"/>
  <c r="R375" i="2"/>
  <c r="U375" i="2"/>
  <c r="X375" i="2"/>
  <c r="AA375" i="2"/>
  <c r="AD375" i="2"/>
  <c r="AG375" i="2"/>
  <c r="AJ375" i="2"/>
  <c r="AK378" i="2"/>
  <c r="AM375" i="2"/>
  <c r="AP375" i="2"/>
  <c r="R376" i="2"/>
  <c r="U376" i="2"/>
  <c r="X376" i="2"/>
  <c r="AA376" i="2"/>
  <c r="AD376" i="2"/>
  <c r="AG376" i="2"/>
  <c r="AJ376" i="2"/>
  <c r="AM376" i="2"/>
  <c r="AP376" i="2"/>
  <c r="R377" i="2"/>
  <c r="U377" i="2"/>
  <c r="X377" i="2"/>
  <c r="AA377" i="2"/>
  <c r="AD377" i="2"/>
  <c r="AG377" i="2"/>
  <c r="AJ377" i="2"/>
  <c r="AM377" i="2"/>
  <c r="AP377" i="2"/>
  <c r="R378" i="2"/>
  <c r="U378" i="2"/>
  <c r="X378" i="2"/>
  <c r="AA378" i="2"/>
  <c r="AD378" i="2"/>
  <c r="AG378" i="2"/>
  <c r="AJ378" i="2"/>
  <c r="AM378" i="2"/>
  <c r="AN381" i="2"/>
  <c r="AO381" i="2"/>
  <c r="AP378" i="2"/>
  <c r="R379" i="2"/>
  <c r="U379" i="2"/>
  <c r="X379" i="2"/>
  <c r="AA379" i="2"/>
  <c r="AD379" i="2"/>
  <c r="AG379" i="2"/>
  <c r="AJ379" i="2"/>
  <c r="AM379" i="2"/>
  <c r="AP379" i="2"/>
  <c r="R380" i="2"/>
  <c r="U380" i="2"/>
  <c r="X380" i="2"/>
  <c r="AA380" i="2"/>
  <c r="AD380" i="2"/>
  <c r="AG380" i="2"/>
  <c r="AJ380" i="2"/>
  <c r="AM380" i="2"/>
  <c r="AP380" i="2"/>
  <c r="AS380" i="2"/>
  <c r="R381" i="2"/>
  <c r="U381" i="2"/>
  <c r="X381" i="2"/>
  <c r="AA381" i="2"/>
  <c r="AD381" i="2"/>
  <c r="AG381" i="2"/>
  <c r="AJ381" i="2"/>
  <c r="AM381" i="2"/>
  <c r="AP381" i="2"/>
  <c r="R382" i="2"/>
  <c r="U382" i="2"/>
  <c r="X382" i="2"/>
  <c r="AA382" i="2"/>
  <c r="AD382" i="2"/>
  <c r="AG382" i="2"/>
  <c r="AJ382" i="2"/>
  <c r="AM382" i="2"/>
  <c r="AP382" i="2"/>
  <c r="AQ385" i="2"/>
  <c r="R383" i="2"/>
  <c r="U383" i="2"/>
  <c r="X383" i="2"/>
  <c r="AA383" i="2"/>
  <c r="AD383" i="2"/>
  <c r="AG383" i="2"/>
  <c r="AJ383" i="2"/>
  <c r="AM383" i="2"/>
  <c r="AP383" i="2"/>
  <c r="R384" i="2"/>
  <c r="U384" i="2"/>
  <c r="V387" i="2"/>
  <c r="X384" i="2"/>
  <c r="AA384" i="2"/>
  <c r="AD384" i="2"/>
  <c r="AG384" i="2"/>
  <c r="AJ384" i="2"/>
  <c r="AM384" i="2"/>
  <c r="AP384" i="2"/>
  <c r="R385" i="2"/>
  <c r="U385" i="2"/>
  <c r="X385" i="2"/>
  <c r="AA385" i="2"/>
  <c r="AD385" i="2"/>
  <c r="AG385" i="2"/>
  <c r="AJ385" i="2"/>
  <c r="AM385" i="2"/>
  <c r="AP385" i="2"/>
  <c r="AQ387" i="2"/>
  <c r="R386" i="2"/>
  <c r="U386" i="2"/>
  <c r="X386" i="2"/>
  <c r="AA386" i="2"/>
  <c r="AD386" i="2"/>
  <c r="AG386" i="2"/>
  <c r="AJ386" i="2"/>
  <c r="AM386" i="2"/>
  <c r="AP386" i="2"/>
  <c r="R387" i="2"/>
  <c r="U387" i="2"/>
  <c r="X387" i="2"/>
  <c r="AA387" i="2"/>
  <c r="AD387" i="2"/>
  <c r="AG387" i="2"/>
  <c r="AJ387" i="2"/>
  <c r="AM387" i="2"/>
  <c r="AP387" i="2"/>
  <c r="R388" i="2"/>
  <c r="U388" i="2"/>
  <c r="X388" i="2"/>
  <c r="AA388" i="2"/>
  <c r="AD388" i="2"/>
  <c r="AG388" i="2"/>
  <c r="AH390" i="2"/>
  <c r="AJ388" i="2"/>
  <c r="AM388" i="2"/>
  <c r="AP388" i="2"/>
  <c r="AS388" i="2"/>
  <c r="R389" i="2"/>
  <c r="U389" i="2"/>
  <c r="X389" i="2"/>
  <c r="AA389" i="2"/>
  <c r="AD389" i="2"/>
  <c r="AG389" i="2"/>
  <c r="AJ389" i="2"/>
  <c r="AM389" i="2"/>
  <c r="AP389" i="2"/>
  <c r="R390" i="2"/>
  <c r="U390" i="2"/>
  <c r="X390" i="2"/>
  <c r="AA390" i="2"/>
  <c r="AB393" i="2"/>
  <c r="AD390" i="2"/>
  <c r="AG390" i="2"/>
  <c r="AJ390" i="2"/>
  <c r="AM390" i="2"/>
  <c r="AP390" i="2"/>
  <c r="R391" i="2"/>
  <c r="U391" i="2"/>
  <c r="X391" i="2"/>
  <c r="AA391" i="2"/>
  <c r="AD391" i="2"/>
  <c r="AG391" i="2"/>
  <c r="AJ391" i="2"/>
  <c r="AM391" i="2"/>
  <c r="AP391" i="2"/>
  <c r="R392" i="2"/>
  <c r="U392" i="2"/>
  <c r="V393" i="2"/>
  <c r="X392" i="2"/>
  <c r="AA392" i="2"/>
  <c r="AD392" i="2"/>
  <c r="AG392" i="2"/>
  <c r="AJ392" i="2"/>
  <c r="AM392" i="2"/>
  <c r="AP392" i="2"/>
  <c r="AQ394" i="2"/>
  <c r="R393" i="2"/>
  <c r="U393" i="2"/>
  <c r="X393" i="2"/>
  <c r="AA393" i="2"/>
  <c r="AD393" i="2"/>
  <c r="AG393" i="2"/>
  <c r="AJ393" i="2"/>
  <c r="AM393" i="2"/>
  <c r="AP393" i="2"/>
  <c r="R394" i="2"/>
  <c r="U394" i="2"/>
  <c r="V394" i="2"/>
  <c r="W394" i="2"/>
  <c r="X394" i="2"/>
  <c r="Y396" i="2"/>
  <c r="Z396" i="2"/>
  <c r="AA394" i="2"/>
  <c r="AD394" i="2"/>
  <c r="AG394" i="2"/>
  <c r="AJ394" i="2"/>
  <c r="AM394" i="2"/>
  <c r="AP394" i="2"/>
  <c r="AR394" i="2"/>
  <c r="R395" i="2"/>
  <c r="U395" i="2"/>
  <c r="X395" i="2"/>
  <c r="AA395" i="2"/>
  <c r="AD395" i="2"/>
  <c r="AG395" i="2"/>
  <c r="AH397" i="2"/>
  <c r="AI397" i="2"/>
  <c r="AJ395" i="2"/>
  <c r="AK398" i="2"/>
  <c r="AM395" i="2"/>
  <c r="AP395" i="2"/>
  <c r="R396" i="2"/>
  <c r="U396" i="2"/>
  <c r="X396" i="2"/>
  <c r="AA396" i="2"/>
  <c r="AD396" i="2"/>
  <c r="AF448" i="2"/>
  <c r="AG396" i="2"/>
  <c r="AJ396" i="2"/>
  <c r="AM396" i="2"/>
  <c r="AP396" i="2"/>
  <c r="AS396" i="2"/>
  <c r="R397" i="2"/>
  <c r="S397" i="2"/>
  <c r="U397" i="2"/>
  <c r="X397" i="2"/>
  <c r="AA397" i="2"/>
  <c r="AD397" i="2"/>
  <c r="AG397" i="2"/>
  <c r="AJ397" i="2"/>
  <c r="AM397" i="2"/>
  <c r="AP397" i="2"/>
  <c r="R398" i="2"/>
  <c r="U398" i="2"/>
  <c r="X398" i="2"/>
  <c r="Y399" i="2"/>
  <c r="Z399" i="2"/>
  <c r="AA398" i="2"/>
  <c r="AD398" i="2"/>
  <c r="AG398" i="2"/>
  <c r="AJ398" i="2"/>
  <c r="AM398" i="2"/>
  <c r="AP398" i="2"/>
  <c r="R399" i="2"/>
  <c r="U399" i="2"/>
  <c r="X399" i="2"/>
  <c r="AA399" i="2"/>
  <c r="AD399" i="2"/>
  <c r="AG399" i="2"/>
  <c r="AH400" i="2"/>
  <c r="AJ399" i="2"/>
  <c r="AM399" i="2"/>
  <c r="AP399" i="2"/>
  <c r="R400" i="2"/>
  <c r="U400" i="2"/>
  <c r="X400" i="2"/>
  <c r="AA400" i="2"/>
  <c r="AD400" i="2"/>
  <c r="AE400" i="2"/>
  <c r="AF400" i="2"/>
  <c r="AG400" i="2"/>
  <c r="AJ400" i="2"/>
  <c r="AM400" i="2"/>
  <c r="AP400" i="2"/>
  <c r="R401" i="2"/>
  <c r="U401" i="2"/>
  <c r="X401" i="2"/>
  <c r="AA401" i="2"/>
  <c r="AD401" i="2"/>
  <c r="AG401" i="2"/>
  <c r="AJ401" i="2"/>
  <c r="AM401" i="2"/>
  <c r="AP401" i="2"/>
  <c r="AS401" i="2"/>
  <c r="R402" i="2"/>
  <c r="U402" i="2"/>
  <c r="X402" i="2"/>
  <c r="AA402" i="2"/>
  <c r="AB405" i="2"/>
  <c r="AD402" i="2"/>
  <c r="AG402" i="2"/>
  <c r="AJ402" i="2"/>
  <c r="AM402" i="2"/>
  <c r="AP402" i="2"/>
  <c r="AQ404" i="2"/>
  <c r="AR404" i="2"/>
  <c r="R403" i="2"/>
  <c r="U403" i="2"/>
  <c r="X403" i="2"/>
  <c r="Y406" i="2"/>
  <c r="AA403" i="2"/>
  <c r="AD403" i="2"/>
  <c r="AG403" i="2"/>
  <c r="AJ403" i="2"/>
  <c r="AM403" i="2"/>
  <c r="AP403" i="2"/>
  <c r="R404" i="2"/>
  <c r="U404" i="2"/>
  <c r="X404" i="2"/>
  <c r="AA404" i="2"/>
  <c r="AD404" i="2"/>
  <c r="AG404" i="2"/>
  <c r="AJ404" i="2"/>
  <c r="AM404" i="2"/>
  <c r="AP404" i="2"/>
  <c r="AS404" i="2"/>
  <c r="R405" i="2"/>
  <c r="U405" i="2"/>
  <c r="X405" i="2"/>
  <c r="AA405" i="2"/>
  <c r="AD405" i="2"/>
  <c r="AG405" i="2"/>
  <c r="AJ405" i="2"/>
  <c r="AM405" i="2"/>
  <c r="AP405" i="2"/>
  <c r="R406" i="2"/>
  <c r="U406" i="2"/>
  <c r="X406" i="2"/>
  <c r="AA406" i="2"/>
  <c r="AD406" i="2"/>
  <c r="AG406" i="2"/>
  <c r="AJ406" i="2"/>
  <c r="AM406" i="2"/>
  <c r="AP406" i="2"/>
  <c r="R407" i="2"/>
  <c r="U407" i="2"/>
  <c r="X407" i="2"/>
  <c r="AA407" i="2"/>
  <c r="AD407" i="2"/>
  <c r="AG407" i="2"/>
  <c r="AJ407" i="2"/>
  <c r="AM407" i="2"/>
  <c r="AP407" i="2"/>
  <c r="R408" i="2"/>
  <c r="U408" i="2"/>
  <c r="X408" i="2"/>
  <c r="AA408" i="2"/>
  <c r="AD408" i="2"/>
  <c r="AG408" i="2"/>
  <c r="AJ408" i="2"/>
  <c r="AM408" i="2"/>
  <c r="AP408" i="2"/>
  <c r="AQ410" i="2"/>
  <c r="AR410" i="2"/>
  <c r="AS408" i="2"/>
  <c r="R409" i="2"/>
  <c r="U409" i="2"/>
  <c r="X409" i="2"/>
  <c r="AA409" i="2"/>
  <c r="AD409" i="2"/>
  <c r="AG409" i="2"/>
  <c r="AJ409" i="2"/>
  <c r="AM409" i="2"/>
  <c r="AP409" i="2"/>
  <c r="AQ412" i="2"/>
  <c r="R410" i="2"/>
  <c r="U410" i="2"/>
  <c r="X410" i="2"/>
  <c r="AA410" i="2"/>
  <c r="AB411" i="2"/>
  <c r="AC411" i="2"/>
  <c r="AD410" i="2"/>
  <c r="AG410" i="2"/>
  <c r="AH413" i="2"/>
  <c r="AJ410" i="2"/>
  <c r="AM410" i="2"/>
  <c r="AP410" i="2"/>
  <c r="R411" i="2"/>
  <c r="U411" i="2"/>
  <c r="V414" i="2"/>
  <c r="W414" i="2"/>
  <c r="X411" i="2"/>
  <c r="AA411" i="2"/>
  <c r="AD411" i="2"/>
  <c r="AG411" i="2"/>
  <c r="AJ411" i="2"/>
  <c r="AM411" i="2"/>
  <c r="AP411" i="2"/>
  <c r="R412" i="2"/>
  <c r="U412" i="2"/>
  <c r="X412" i="2"/>
  <c r="AA412" i="2"/>
  <c r="AD412" i="2"/>
  <c r="AG412" i="2"/>
  <c r="AJ412" i="2"/>
  <c r="AM412" i="2"/>
  <c r="AP412" i="2"/>
  <c r="AR412" i="2"/>
  <c r="R413" i="2"/>
  <c r="U413" i="2"/>
  <c r="X413" i="2"/>
  <c r="AA413" i="2"/>
  <c r="AD413" i="2"/>
  <c r="AG413" i="2"/>
  <c r="AJ413" i="2"/>
  <c r="AM413" i="2"/>
  <c r="AP413" i="2"/>
  <c r="R414" i="2"/>
  <c r="U414" i="2"/>
  <c r="X414" i="2"/>
  <c r="AA414" i="2"/>
  <c r="AD414" i="2"/>
  <c r="AG414" i="2"/>
  <c r="AJ414" i="2"/>
  <c r="AM414" i="2"/>
  <c r="AP414" i="2"/>
  <c r="R415" i="2"/>
  <c r="U415" i="2"/>
  <c r="W467" i="2"/>
  <c r="X415" i="2"/>
  <c r="AA415" i="2"/>
  <c r="AD415" i="2"/>
  <c r="AG415" i="2"/>
  <c r="AH418" i="2"/>
  <c r="AJ415" i="2"/>
  <c r="AM415" i="2"/>
  <c r="AP415" i="2"/>
  <c r="R416" i="2"/>
  <c r="U416" i="2"/>
  <c r="X416" i="2"/>
  <c r="AA416" i="2"/>
  <c r="AD416" i="2"/>
  <c r="AG416" i="2"/>
  <c r="AJ416" i="2"/>
  <c r="AM416" i="2"/>
  <c r="AP416" i="2"/>
  <c r="R417" i="2"/>
  <c r="U417" i="2"/>
  <c r="X417" i="2"/>
  <c r="AA417" i="2"/>
  <c r="AD417" i="2"/>
  <c r="AE417" i="2"/>
  <c r="AG417" i="2"/>
  <c r="AJ417" i="2"/>
  <c r="AK420" i="2"/>
  <c r="AL420" i="2"/>
  <c r="AM417" i="2"/>
  <c r="AP417" i="2"/>
  <c r="R418" i="2"/>
  <c r="U418" i="2"/>
  <c r="X418" i="2"/>
  <c r="Z420" i="2"/>
  <c r="AA418" i="2"/>
  <c r="AD418" i="2"/>
  <c r="AG418" i="2"/>
  <c r="AJ418" i="2"/>
  <c r="AM418" i="2"/>
  <c r="AN421" i="2"/>
  <c r="AO421" i="2"/>
  <c r="AP418" i="2"/>
  <c r="R419" i="2"/>
  <c r="U419" i="2"/>
  <c r="X419" i="2"/>
  <c r="Y420" i="2"/>
  <c r="AA419" i="2"/>
  <c r="AD419" i="2"/>
  <c r="AG419" i="2"/>
  <c r="AJ419" i="2"/>
  <c r="AM419" i="2"/>
  <c r="AP419" i="2"/>
  <c r="R420" i="2"/>
  <c r="U420" i="2"/>
  <c r="X420" i="2"/>
  <c r="AA420" i="2"/>
  <c r="AD420" i="2"/>
  <c r="AG420" i="2"/>
  <c r="AJ420" i="2"/>
  <c r="AM420" i="2"/>
  <c r="AP420" i="2"/>
  <c r="R421" i="2"/>
  <c r="U421" i="2"/>
  <c r="X421" i="2"/>
  <c r="AA421" i="2"/>
  <c r="AD421" i="2"/>
  <c r="AE421" i="2"/>
  <c r="AF421" i="2"/>
  <c r="AG421" i="2"/>
  <c r="AJ421" i="2"/>
  <c r="AM421" i="2"/>
  <c r="AP421" i="2"/>
  <c r="AS421" i="2"/>
  <c r="R422" i="2"/>
  <c r="U422" i="2"/>
  <c r="X422" i="2"/>
  <c r="AA422" i="2"/>
  <c r="AD422" i="2"/>
  <c r="AG422" i="2"/>
  <c r="AJ422" i="2"/>
  <c r="AM422" i="2"/>
  <c r="AP422" i="2"/>
  <c r="R423" i="2"/>
  <c r="U423" i="2"/>
  <c r="X423" i="2"/>
  <c r="AA423" i="2"/>
  <c r="AD423" i="2"/>
  <c r="AG423" i="2"/>
  <c r="AJ423" i="2"/>
  <c r="AM423" i="2"/>
  <c r="AP423" i="2"/>
  <c r="R424" i="2"/>
  <c r="U424" i="2"/>
  <c r="X424" i="2"/>
  <c r="AA424" i="2"/>
  <c r="AD424" i="2"/>
  <c r="AG424" i="2"/>
  <c r="AJ424" i="2"/>
  <c r="AK427" i="2"/>
  <c r="AM424" i="2"/>
  <c r="AP424" i="2"/>
  <c r="AS424" i="2"/>
  <c r="R425" i="2"/>
  <c r="U425" i="2"/>
  <c r="X425" i="2"/>
  <c r="AA425" i="2"/>
  <c r="AD425" i="2"/>
  <c r="AG425" i="2"/>
  <c r="AH428" i="2"/>
  <c r="AJ425" i="2"/>
  <c r="AM425" i="2"/>
  <c r="AP425" i="2"/>
  <c r="AS425" i="2"/>
  <c r="R426" i="2"/>
  <c r="U426" i="2"/>
  <c r="X426" i="2"/>
  <c r="AA426" i="2"/>
  <c r="AD426" i="2"/>
  <c r="AG426" i="2"/>
  <c r="AJ426" i="2"/>
  <c r="AM426" i="2"/>
  <c r="AN428" i="2"/>
  <c r="AO428" i="2"/>
  <c r="AP426" i="2"/>
  <c r="AQ429" i="2"/>
  <c r="R427" i="2"/>
  <c r="U427" i="2"/>
  <c r="X427" i="2"/>
  <c r="AA427" i="2"/>
  <c r="AD427" i="2"/>
  <c r="AG427" i="2"/>
  <c r="AJ427" i="2"/>
  <c r="AM427" i="2"/>
  <c r="AN430" i="2"/>
  <c r="AP427" i="2"/>
  <c r="AQ428" i="2"/>
  <c r="R428" i="2"/>
  <c r="U428" i="2"/>
  <c r="X428" i="2"/>
  <c r="AA428" i="2"/>
  <c r="AD428" i="2"/>
  <c r="AG428" i="2"/>
  <c r="AJ428" i="2"/>
  <c r="AM428" i="2"/>
  <c r="AP428" i="2"/>
  <c r="R429" i="2"/>
  <c r="U429" i="2"/>
  <c r="X429" i="2"/>
  <c r="AA429" i="2"/>
  <c r="AD429" i="2"/>
  <c r="AG429" i="2"/>
  <c r="AJ429" i="2"/>
  <c r="AM429" i="2"/>
  <c r="AP429" i="2"/>
  <c r="R430" i="2"/>
  <c r="U430" i="2"/>
  <c r="X430" i="2"/>
  <c r="AA430" i="2"/>
  <c r="AD430" i="2"/>
  <c r="AE433" i="2"/>
  <c r="AG430" i="2"/>
  <c r="AJ430" i="2"/>
  <c r="AM430" i="2"/>
  <c r="AP430" i="2"/>
  <c r="AQ433" i="2"/>
  <c r="R431" i="2"/>
  <c r="U431" i="2"/>
  <c r="X431" i="2"/>
  <c r="AA431" i="2"/>
  <c r="AB434" i="2"/>
  <c r="AD431" i="2"/>
  <c r="AG431" i="2"/>
  <c r="AJ431" i="2"/>
  <c r="AM431" i="2"/>
  <c r="AP431" i="2"/>
  <c r="R432" i="2"/>
  <c r="U432" i="2"/>
  <c r="X432" i="2"/>
  <c r="AA432" i="2"/>
  <c r="AD432" i="2"/>
  <c r="AG432" i="2"/>
  <c r="AJ432" i="2"/>
  <c r="AM432" i="2"/>
  <c r="AN433" i="2"/>
  <c r="AP432" i="2"/>
  <c r="R433" i="2"/>
  <c r="U433" i="2"/>
  <c r="X433" i="2"/>
  <c r="AA433" i="2"/>
  <c r="AD433" i="2"/>
  <c r="AE434" i="2"/>
  <c r="AG433" i="2"/>
  <c r="AH436" i="2"/>
  <c r="AI436" i="2"/>
  <c r="AJ433" i="2"/>
  <c r="AM433" i="2"/>
  <c r="AP433" i="2"/>
  <c r="R434" i="2"/>
  <c r="U434" i="2"/>
  <c r="X434" i="2"/>
  <c r="AA434" i="2"/>
  <c r="AD434" i="2"/>
  <c r="AG434" i="2"/>
  <c r="AJ434" i="2"/>
  <c r="AM434" i="2"/>
  <c r="AP434" i="2"/>
  <c r="R435" i="2"/>
  <c r="U435" i="2"/>
  <c r="X435" i="2"/>
  <c r="AA435" i="2"/>
  <c r="AD435" i="2"/>
  <c r="AG435" i="2"/>
  <c r="AJ435" i="2"/>
  <c r="AM435" i="2"/>
  <c r="AP435" i="2"/>
  <c r="R436" i="2"/>
  <c r="U436" i="2"/>
  <c r="X436" i="2"/>
  <c r="AA436" i="2"/>
  <c r="AD436" i="2"/>
  <c r="AG436" i="2"/>
  <c r="AJ436" i="2"/>
  <c r="AM436" i="2"/>
  <c r="AP436" i="2"/>
  <c r="R437" i="2"/>
  <c r="U437" i="2"/>
  <c r="X437" i="2"/>
  <c r="AA437" i="2"/>
  <c r="AD437" i="2"/>
  <c r="AG437" i="2"/>
  <c r="AJ437" i="2"/>
  <c r="AM437" i="2"/>
  <c r="AP437" i="2"/>
  <c r="R438" i="2"/>
  <c r="U438" i="2"/>
  <c r="X438" i="2"/>
  <c r="AA438" i="2"/>
  <c r="AD438" i="2"/>
  <c r="AG438" i="2"/>
  <c r="AJ438" i="2"/>
  <c r="AM438" i="2"/>
  <c r="AP438" i="2"/>
  <c r="AQ440" i="2"/>
  <c r="AR440" i="2"/>
  <c r="R439" i="2"/>
  <c r="U439" i="2"/>
  <c r="X439" i="2"/>
  <c r="AA439" i="2"/>
  <c r="AB442" i="2"/>
  <c r="AC442" i="2"/>
  <c r="AD439" i="2"/>
  <c r="AG439" i="2"/>
  <c r="AJ439" i="2"/>
  <c r="AM439" i="2"/>
  <c r="AP439" i="2"/>
  <c r="R440" i="2"/>
  <c r="U440" i="2"/>
  <c r="X440" i="2"/>
  <c r="AA440" i="2"/>
  <c r="AB443" i="2"/>
  <c r="AC443" i="2"/>
  <c r="AD440" i="2"/>
  <c r="AG440" i="2"/>
  <c r="AJ440" i="2"/>
  <c r="AM440" i="2"/>
  <c r="AP440" i="2"/>
  <c r="R441" i="2"/>
  <c r="U441" i="2"/>
  <c r="X441" i="2"/>
  <c r="Y443" i="2"/>
  <c r="Z443" i="2"/>
  <c r="AA441" i="2"/>
  <c r="AD441" i="2"/>
  <c r="AG441" i="2"/>
  <c r="AH442" i="2"/>
  <c r="AJ441" i="2"/>
  <c r="AM441" i="2"/>
  <c r="AP441" i="2"/>
  <c r="R442" i="2"/>
  <c r="U442" i="2"/>
  <c r="X442" i="2"/>
  <c r="Y445" i="2"/>
  <c r="AA442" i="2"/>
  <c r="AD442" i="2"/>
  <c r="AG442" i="2"/>
  <c r="AJ442" i="2"/>
  <c r="AM442" i="2"/>
  <c r="AN445" i="2"/>
  <c r="AO445" i="2"/>
  <c r="AP442" i="2"/>
  <c r="R443" i="2"/>
  <c r="U443" i="2"/>
  <c r="X443" i="2"/>
  <c r="AA443" i="2"/>
  <c r="AD443" i="2"/>
  <c r="AE444" i="2"/>
  <c r="AF444" i="2"/>
  <c r="AG443" i="2"/>
  <c r="AJ443" i="2"/>
  <c r="AM443" i="2"/>
  <c r="AP443" i="2"/>
  <c r="R444" i="2"/>
  <c r="U444" i="2"/>
  <c r="X444" i="2"/>
  <c r="AA444" i="2"/>
  <c r="AD444" i="2"/>
  <c r="AG444" i="2"/>
  <c r="AJ444" i="2"/>
  <c r="AM444" i="2"/>
  <c r="AP444" i="2"/>
  <c r="AS444" i="2"/>
  <c r="R445" i="2"/>
  <c r="U445" i="2"/>
  <c r="X445" i="2"/>
  <c r="AA445" i="2"/>
  <c r="AD445" i="2"/>
  <c r="AG445" i="2"/>
  <c r="AJ445" i="2"/>
  <c r="AM445" i="2"/>
  <c r="AP445" i="2"/>
  <c r="R446" i="2"/>
  <c r="U446" i="2"/>
  <c r="X446" i="2"/>
  <c r="AA446" i="2"/>
  <c r="AD446" i="2"/>
  <c r="AG446" i="2"/>
  <c r="AJ446" i="2"/>
  <c r="AM446" i="2"/>
  <c r="AP446" i="2"/>
  <c r="AQ449" i="2"/>
  <c r="AR449" i="2"/>
  <c r="R447" i="2"/>
  <c r="U447" i="2"/>
  <c r="X447" i="2"/>
  <c r="AA447" i="2"/>
  <c r="AD447" i="2"/>
  <c r="AG447" i="2"/>
  <c r="AH449" i="2"/>
  <c r="AI449" i="2"/>
  <c r="AJ447" i="2"/>
  <c r="AM447" i="2"/>
  <c r="AP447" i="2"/>
  <c r="R448" i="2"/>
  <c r="U448" i="2"/>
  <c r="X448" i="2"/>
  <c r="AA448" i="2"/>
  <c r="AD448" i="2"/>
  <c r="AG448" i="2"/>
  <c r="AJ448" i="2"/>
  <c r="AM448" i="2"/>
  <c r="AP448" i="2"/>
  <c r="R449" i="2"/>
  <c r="U449" i="2"/>
  <c r="X449" i="2"/>
  <c r="Y452" i="2"/>
  <c r="Z452" i="2"/>
  <c r="AA449" i="2"/>
  <c r="AD449" i="2"/>
  <c r="AG449" i="2"/>
  <c r="AJ449" i="2"/>
  <c r="AM449" i="2"/>
  <c r="AP449" i="2"/>
  <c r="R450" i="2"/>
  <c r="U450" i="2"/>
  <c r="V452" i="2"/>
  <c r="W452" i="2"/>
  <c r="X450" i="2"/>
  <c r="AA450" i="2"/>
  <c r="AD450" i="2"/>
  <c r="AE452" i="2"/>
  <c r="AG450" i="2"/>
  <c r="AJ450" i="2"/>
  <c r="AM450" i="2"/>
  <c r="AP450" i="2"/>
  <c r="R451" i="2"/>
  <c r="U451" i="2"/>
  <c r="X451" i="2"/>
  <c r="AA451" i="2"/>
  <c r="AB454" i="2"/>
  <c r="AD451" i="2"/>
  <c r="AG451" i="2"/>
  <c r="AJ451" i="2"/>
  <c r="AM451" i="2"/>
  <c r="AP451" i="2"/>
  <c r="R452" i="2"/>
  <c r="U452" i="2"/>
  <c r="X452" i="2"/>
  <c r="AA452" i="2"/>
  <c r="AD452" i="2"/>
  <c r="AG452" i="2"/>
  <c r="AH452" i="2"/>
  <c r="AI452" i="2"/>
  <c r="AJ452" i="2"/>
  <c r="AM452" i="2"/>
  <c r="AP452" i="2"/>
  <c r="AS452" i="2"/>
  <c r="R453" i="2"/>
  <c r="U453" i="2"/>
  <c r="X453" i="2"/>
  <c r="AA453" i="2"/>
  <c r="AD453" i="2"/>
  <c r="AG453" i="2"/>
  <c r="AJ453" i="2"/>
  <c r="AM453" i="2"/>
  <c r="AP453" i="2"/>
  <c r="AS453" i="2"/>
  <c r="R454" i="2"/>
  <c r="U454" i="2"/>
  <c r="X454" i="2"/>
  <c r="AA454" i="2"/>
  <c r="AD454" i="2"/>
  <c r="AG454" i="2"/>
  <c r="AJ454" i="2"/>
  <c r="AM454" i="2"/>
  <c r="AP454" i="2"/>
  <c r="R455" i="2"/>
  <c r="U455" i="2"/>
  <c r="X455" i="2"/>
  <c r="AA455" i="2"/>
  <c r="AD455" i="2"/>
  <c r="AG455" i="2"/>
  <c r="AJ455" i="2"/>
  <c r="AM455" i="2"/>
  <c r="AN456" i="2"/>
  <c r="AO456" i="2"/>
  <c r="AP455" i="2"/>
  <c r="AQ458" i="2"/>
  <c r="AR458" i="2"/>
  <c r="AS455" i="2"/>
  <c r="R456" i="2"/>
  <c r="U456" i="2"/>
  <c r="X456" i="2"/>
  <c r="AA456" i="2"/>
  <c r="AD456" i="2"/>
  <c r="AG456" i="2"/>
  <c r="AH456" i="2"/>
  <c r="AI456" i="2"/>
  <c r="AJ456" i="2"/>
  <c r="AM456" i="2"/>
  <c r="AP456" i="2"/>
  <c r="R457" i="2"/>
  <c r="U457" i="2"/>
  <c r="X457" i="2"/>
  <c r="AA457" i="2"/>
  <c r="AD457" i="2"/>
  <c r="AG457" i="2"/>
  <c r="AJ457" i="2"/>
  <c r="AM457" i="2"/>
  <c r="AP457" i="2"/>
  <c r="R458" i="2"/>
  <c r="U458" i="2"/>
  <c r="X458" i="2"/>
  <c r="AA458" i="2"/>
  <c r="AB461" i="2"/>
  <c r="AC461" i="2"/>
  <c r="AD458" i="2"/>
  <c r="AG458" i="2"/>
  <c r="AJ458" i="2"/>
  <c r="AM458" i="2"/>
  <c r="AP458" i="2"/>
  <c r="R459" i="2"/>
  <c r="U459" i="2"/>
  <c r="X459" i="2"/>
  <c r="Y462" i="2"/>
  <c r="Z462" i="2"/>
  <c r="AA459" i="2"/>
  <c r="AD459" i="2"/>
  <c r="AG459" i="2"/>
  <c r="AJ459" i="2"/>
  <c r="AM459" i="2"/>
  <c r="AP459" i="2"/>
  <c r="R460" i="2"/>
  <c r="U460" i="2"/>
  <c r="X460" i="2"/>
  <c r="AA460" i="2"/>
  <c r="AD460" i="2"/>
  <c r="AG460" i="2"/>
  <c r="AJ460" i="2"/>
  <c r="AM460" i="2"/>
  <c r="AP460" i="2"/>
  <c r="R461" i="2"/>
  <c r="U461" i="2"/>
  <c r="X461" i="2"/>
  <c r="AA461" i="2"/>
  <c r="AD461" i="2"/>
  <c r="AG461" i="2"/>
  <c r="AJ461" i="2"/>
  <c r="AK464" i="2"/>
  <c r="AL464" i="2"/>
  <c r="AM461" i="2"/>
  <c r="AP461" i="2"/>
  <c r="R462" i="2"/>
  <c r="U462" i="2"/>
  <c r="X462" i="2"/>
  <c r="AA462" i="2"/>
  <c r="AD462" i="2"/>
  <c r="AG462" i="2"/>
  <c r="AJ462" i="2"/>
  <c r="AM462" i="2"/>
  <c r="AN465" i="2"/>
  <c r="AP462" i="2"/>
  <c r="R463" i="2"/>
  <c r="U463" i="2"/>
  <c r="V466" i="2"/>
  <c r="X463" i="2"/>
  <c r="AA463" i="2"/>
  <c r="AD463" i="2"/>
  <c r="AG463" i="2"/>
  <c r="AJ463" i="2"/>
  <c r="AM463" i="2"/>
  <c r="AP463" i="2"/>
  <c r="R464" i="2"/>
  <c r="U464" i="2"/>
  <c r="V467" i="2"/>
  <c r="X464" i="2"/>
  <c r="AA464" i="2"/>
  <c r="AD464" i="2"/>
  <c r="AG464" i="2"/>
  <c r="AJ464" i="2"/>
  <c r="AM464" i="2"/>
  <c r="AN467" i="2"/>
  <c r="AP464" i="2"/>
  <c r="R465" i="2"/>
  <c r="U465" i="2"/>
  <c r="V468" i="2"/>
  <c r="W468" i="2"/>
  <c r="X465" i="2"/>
  <c r="AA465" i="2"/>
  <c r="AD465" i="2"/>
  <c r="AG465" i="2"/>
  <c r="AJ465" i="2"/>
  <c r="AM465" i="2"/>
  <c r="AP465" i="2"/>
  <c r="R466" i="2"/>
  <c r="U466" i="2"/>
  <c r="X466" i="2"/>
  <c r="AA466" i="2"/>
  <c r="AD466" i="2"/>
  <c r="AG466" i="2"/>
  <c r="AH469" i="2"/>
  <c r="AJ466" i="2"/>
  <c r="AM466" i="2"/>
  <c r="AN469" i="2"/>
  <c r="AO469" i="2"/>
  <c r="AP466" i="2"/>
  <c r="R467" i="2"/>
  <c r="U467" i="2"/>
  <c r="X467" i="2"/>
  <c r="Y469" i="2"/>
  <c r="AA467" i="2"/>
  <c r="AD467" i="2"/>
  <c r="AG467" i="2"/>
  <c r="AJ467" i="2"/>
  <c r="AK470" i="2"/>
  <c r="AL470" i="2"/>
  <c r="AM467" i="2"/>
  <c r="AP467" i="2"/>
  <c r="R468" i="2"/>
  <c r="U468" i="2"/>
  <c r="X468" i="2"/>
  <c r="AA468" i="2"/>
  <c r="AD468" i="2"/>
  <c r="AG468" i="2"/>
  <c r="AJ468" i="2"/>
  <c r="AM468" i="2"/>
  <c r="AP468" i="2"/>
  <c r="AQ468" i="2"/>
  <c r="AR468" i="2"/>
  <c r="R469" i="2"/>
  <c r="U469" i="2"/>
  <c r="X469" i="2"/>
  <c r="AA469" i="2"/>
  <c r="AD469" i="2"/>
  <c r="AG469" i="2"/>
  <c r="AJ469" i="2"/>
  <c r="AM469" i="2"/>
  <c r="AP469" i="2"/>
  <c r="R470" i="2"/>
  <c r="U470" i="2"/>
  <c r="X470" i="2"/>
  <c r="AA470" i="2"/>
  <c r="AD470" i="2"/>
  <c r="AG470" i="2"/>
  <c r="AJ470" i="2"/>
  <c r="AK473" i="2"/>
  <c r="AL473" i="2"/>
  <c r="AM470" i="2"/>
  <c r="AP470" i="2"/>
  <c r="R471" i="2"/>
  <c r="U471" i="2"/>
  <c r="X471" i="2"/>
  <c r="AA471" i="2"/>
  <c r="AD471" i="2"/>
  <c r="AG471" i="2"/>
  <c r="AH471" i="2"/>
  <c r="AJ471" i="2"/>
  <c r="AM471" i="2"/>
  <c r="AN474" i="2"/>
  <c r="AO474" i="2"/>
  <c r="AP471" i="2"/>
  <c r="AS471" i="2"/>
  <c r="R472" i="2"/>
  <c r="U472" i="2"/>
  <c r="X472" i="2"/>
  <c r="AA472" i="2"/>
  <c r="AD472" i="2"/>
  <c r="AE475" i="2"/>
  <c r="AF475" i="2"/>
  <c r="AG472" i="2"/>
  <c r="AH475" i="2"/>
  <c r="AI475" i="2"/>
  <c r="AJ472" i="2"/>
  <c r="AM472" i="2"/>
  <c r="AP472" i="2"/>
  <c r="R473" i="2"/>
  <c r="U473" i="2"/>
  <c r="X473" i="2"/>
  <c r="AA473" i="2"/>
  <c r="AD473" i="2"/>
  <c r="AG473" i="2"/>
  <c r="AJ473" i="2"/>
  <c r="AM473" i="2"/>
  <c r="AP473" i="2"/>
  <c r="AQ475" i="2"/>
  <c r="R474" i="2"/>
  <c r="U474" i="2"/>
  <c r="X474" i="2"/>
  <c r="AA474" i="2"/>
  <c r="AD474" i="2"/>
  <c r="AG474" i="2"/>
  <c r="AJ474" i="2"/>
  <c r="AK476" i="2"/>
  <c r="AL476" i="2"/>
  <c r="AM474" i="2"/>
  <c r="AP474" i="2"/>
  <c r="AR475" i="2"/>
  <c r="R475" i="2"/>
  <c r="U475" i="2"/>
  <c r="X475" i="2"/>
  <c r="AA475" i="2"/>
  <c r="AD475" i="2"/>
  <c r="AG475" i="2"/>
  <c r="AJ475" i="2"/>
  <c r="AM475" i="2"/>
  <c r="AN477" i="2"/>
  <c r="AO477" i="2"/>
  <c r="AP475" i="2"/>
  <c r="R476" i="2"/>
  <c r="U476" i="2"/>
  <c r="V479" i="2"/>
  <c r="X476" i="2"/>
  <c r="Y477" i="2"/>
  <c r="Z477" i="2"/>
  <c r="AA476" i="2"/>
  <c r="AD476" i="2"/>
  <c r="AG476" i="2"/>
  <c r="AJ476" i="2"/>
  <c r="AM476" i="2"/>
  <c r="AP476" i="2"/>
  <c r="R477" i="2"/>
  <c r="U477" i="2"/>
  <c r="X477" i="2"/>
  <c r="AA477" i="2"/>
  <c r="AD477" i="2"/>
  <c r="AG477" i="2"/>
  <c r="AJ477" i="2"/>
  <c r="AM477" i="2"/>
  <c r="AP477" i="2"/>
  <c r="AS477" i="2"/>
  <c r="R478" i="2"/>
  <c r="U478" i="2"/>
  <c r="X478" i="2"/>
  <c r="AA478" i="2"/>
  <c r="AD478" i="2"/>
  <c r="AE480" i="2"/>
  <c r="AG478" i="2"/>
  <c r="AJ478" i="2"/>
  <c r="AM478" i="2"/>
  <c r="AP478" i="2"/>
  <c r="R479" i="2"/>
  <c r="U479" i="2"/>
  <c r="X479" i="2"/>
  <c r="AA479" i="2"/>
  <c r="AD479" i="2"/>
  <c r="AG479" i="2"/>
  <c r="AJ479" i="2"/>
  <c r="AM479" i="2"/>
  <c r="AP479" i="2"/>
  <c r="AS479" i="2"/>
  <c r="R480" i="2"/>
  <c r="U480" i="2"/>
  <c r="X480" i="2"/>
  <c r="AA480" i="2"/>
  <c r="AD480" i="2"/>
  <c r="AG480" i="2"/>
  <c r="AJ480" i="2"/>
  <c r="AM480" i="2"/>
  <c r="AP480" i="2"/>
  <c r="AS480" i="2"/>
  <c r="AT480" i="2"/>
  <c r="AU480" i="2"/>
  <c r="R481" i="2"/>
  <c r="U481" i="2"/>
  <c r="X481" i="2"/>
  <c r="AA481" i="2"/>
  <c r="AD481" i="2"/>
  <c r="AG481" i="2"/>
  <c r="AJ481" i="2"/>
  <c r="AM481" i="2"/>
  <c r="AN482" i="2"/>
  <c r="AO482" i="2"/>
  <c r="AP481" i="2"/>
  <c r="R482" i="2"/>
  <c r="U482" i="2"/>
  <c r="X482" i="2"/>
  <c r="AA482" i="2"/>
  <c r="AD482" i="2"/>
  <c r="AG482" i="2"/>
  <c r="AJ482" i="2"/>
  <c r="AK485" i="2"/>
  <c r="AM482" i="2"/>
  <c r="AP482" i="2"/>
  <c r="R483" i="2"/>
  <c r="U483" i="2"/>
  <c r="V484" i="2"/>
  <c r="W484" i="2"/>
  <c r="X483" i="2"/>
  <c r="AA483" i="2"/>
  <c r="AD483" i="2"/>
  <c r="AG483" i="2"/>
  <c r="AJ483" i="2"/>
  <c r="AM483" i="2"/>
  <c r="AP483" i="2"/>
  <c r="R484" i="2"/>
  <c r="U484" i="2"/>
  <c r="X484" i="2"/>
  <c r="AA484" i="2"/>
  <c r="AD484" i="2"/>
  <c r="AG484" i="2"/>
  <c r="AJ484" i="2"/>
  <c r="AM484" i="2"/>
  <c r="AP484" i="2"/>
  <c r="AS484" i="2"/>
  <c r="R485" i="2"/>
  <c r="U485" i="2"/>
  <c r="X485" i="2"/>
  <c r="AA485" i="2"/>
  <c r="AD485" i="2"/>
  <c r="AG485" i="2"/>
  <c r="AH488" i="2"/>
  <c r="AI488" i="2"/>
  <c r="AJ485" i="2"/>
  <c r="AM485" i="2"/>
  <c r="AP485" i="2"/>
  <c r="R486" i="2"/>
  <c r="U486" i="2"/>
  <c r="X486" i="2"/>
  <c r="AA486" i="2"/>
  <c r="AD486" i="2"/>
  <c r="AG486" i="2"/>
  <c r="AJ486" i="2"/>
  <c r="AM486" i="2"/>
  <c r="AP486" i="2"/>
  <c r="AS486" i="2"/>
  <c r="R487" i="2"/>
  <c r="U487" i="2"/>
  <c r="X487" i="2"/>
  <c r="AA487" i="2"/>
  <c r="AD487" i="2"/>
  <c r="AG487" i="2"/>
  <c r="AJ487" i="2"/>
  <c r="AK489" i="2"/>
  <c r="AL489" i="2"/>
  <c r="AM487" i="2"/>
  <c r="AP487" i="2"/>
  <c r="R488" i="2"/>
  <c r="U488" i="2"/>
  <c r="X488" i="2"/>
  <c r="Y491" i="2"/>
  <c r="Z491" i="2"/>
  <c r="AA488" i="2"/>
  <c r="AD488" i="2"/>
  <c r="AG488" i="2"/>
  <c r="AJ488" i="2"/>
  <c r="AM488" i="2"/>
  <c r="AP488" i="2"/>
  <c r="R489" i="2"/>
  <c r="U489" i="2"/>
  <c r="W492" i="2"/>
  <c r="X489" i="2"/>
  <c r="AA489" i="2"/>
  <c r="AD489" i="2"/>
  <c r="AG489" i="2"/>
  <c r="AJ489" i="2"/>
  <c r="AM489" i="2"/>
  <c r="AP489" i="2"/>
  <c r="R490" i="2"/>
  <c r="U490" i="2"/>
  <c r="X490" i="2"/>
  <c r="AA490" i="2"/>
  <c r="AD490" i="2"/>
  <c r="AE492" i="2"/>
  <c r="AF492" i="2"/>
  <c r="AG490" i="2"/>
  <c r="AJ490" i="2"/>
  <c r="AM490" i="2"/>
  <c r="AP490" i="2"/>
  <c r="AQ493" i="2"/>
  <c r="AR493" i="2"/>
  <c r="R491" i="2"/>
  <c r="U491" i="2"/>
  <c r="V492" i="2"/>
  <c r="X491" i="2"/>
  <c r="AA491" i="2"/>
  <c r="AD491" i="2"/>
  <c r="AG491" i="2"/>
  <c r="AJ491" i="2"/>
  <c r="AM491" i="2"/>
  <c r="AN494" i="2"/>
  <c r="AO494" i="2"/>
  <c r="AP491" i="2"/>
  <c r="R492" i="2"/>
  <c r="U492" i="2"/>
  <c r="X492" i="2"/>
  <c r="AA492" i="2"/>
  <c r="AD492" i="2"/>
  <c r="AG492" i="2"/>
  <c r="AJ492" i="2"/>
  <c r="AM492" i="2"/>
  <c r="AP492" i="2"/>
  <c r="AQ494" i="2"/>
  <c r="AR494" i="2"/>
  <c r="R493" i="2"/>
  <c r="U493" i="2"/>
  <c r="X493" i="2"/>
  <c r="AA493" i="2"/>
  <c r="AD493" i="2"/>
  <c r="AG493" i="2"/>
  <c r="AI496" i="2"/>
  <c r="AJ493" i="2"/>
  <c r="AM493" i="2"/>
  <c r="AP493" i="2"/>
  <c r="R494" i="2"/>
  <c r="U494" i="2"/>
  <c r="X494" i="2"/>
  <c r="AA494" i="2"/>
  <c r="AD494" i="2"/>
  <c r="AG494" i="2"/>
  <c r="AH497" i="2"/>
  <c r="AI497" i="2"/>
  <c r="AJ494" i="2"/>
  <c r="AM494" i="2"/>
  <c r="AP494" i="2"/>
  <c r="AS494" i="2"/>
  <c r="R495" i="2"/>
  <c r="U495" i="2"/>
  <c r="X495" i="2"/>
  <c r="AA495" i="2"/>
  <c r="AD495" i="2"/>
  <c r="AG495" i="2"/>
  <c r="AJ495" i="2"/>
  <c r="AM495" i="2"/>
  <c r="AN496" i="2"/>
  <c r="AO496" i="2"/>
  <c r="AP495" i="2"/>
  <c r="R496" i="2"/>
  <c r="U496" i="2"/>
  <c r="X496" i="2"/>
  <c r="AA496" i="2"/>
  <c r="AD496" i="2"/>
  <c r="AG496" i="2"/>
  <c r="AH496" i="2"/>
  <c r="AJ496" i="2"/>
  <c r="AM496" i="2"/>
  <c r="AP496" i="2"/>
  <c r="R497" i="2"/>
  <c r="U497" i="2"/>
  <c r="X497" i="2"/>
  <c r="AA497" i="2"/>
  <c r="AD497" i="2"/>
  <c r="AG497" i="2"/>
  <c r="AJ497" i="2"/>
  <c r="AM497" i="2"/>
  <c r="AP497" i="2"/>
  <c r="AQ500" i="2"/>
  <c r="AR500" i="2"/>
  <c r="R498" i="2"/>
  <c r="U498" i="2"/>
  <c r="X498" i="2"/>
  <c r="AA498" i="2"/>
  <c r="AD498" i="2"/>
  <c r="AG498" i="2"/>
  <c r="AH500" i="2"/>
  <c r="AI500" i="2"/>
  <c r="AJ498" i="2"/>
  <c r="AM498" i="2"/>
  <c r="AP498" i="2"/>
  <c r="AS498" i="2"/>
  <c r="R499" i="2"/>
  <c r="U499" i="2"/>
  <c r="X499" i="2"/>
  <c r="Y499" i="2"/>
  <c r="Z499" i="2"/>
  <c r="AA499" i="2"/>
  <c r="AD499" i="2"/>
  <c r="AG499" i="2"/>
  <c r="AJ499" i="2"/>
  <c r="AK499" i="2"/>
  <c r="AL499" i="2"/>
  <c r="AM499" i="2"/>
  <c r="AP499" i="2"/>
  <c r="R500" i="2"/>
  <c r="U500" i="2"/>
  <c r="X500" i="2"/>
  <c r="AA500" i="2"/>
  <c r="AD500" i="2"/>
  <c r="AG500" i="2"/>
  <c r="AJ500" i="2"/>
  <c r="AM500" i="2"/>
  <c r="AP500" i="2"/>
  <c r="R501" i="2"/>
  <c r="U501" i="2"/>
  <c r="X501" i="2"/>
  <c r="AA501" i="2"/>
  <c r="AB503" i="2"/>
  <c r="AC503" i="2"/>
  <c r="AD501" i="2"/>
  <c r="AG501" i="2"/>
  <c r="AJ501" i="2"/>
  <c r="AM501" i="2"/>
  <c r="AP501" i="2"/>
  <c r="R502" i="2"/>
  <c r="U502" i="2"/>
  <c r="X502" i="2"/>
  <c r="AA502" i="2"/>
  <c r="AD502" i="2"/>
  <c r="AG502" i="2"/>
  <c r="AJ502" i="2"/>
  <c r="AM502" i="2"/>
  <c r="AP502" i="2"/>
  <c r="AQ505" i="2"/>
  <c r="AS502" i="2"/>
  <c r="R503" i="2"/>
  <c r="U503" i="2"/>
  <c r="X503" i="2"/>
  <c r="AA503" i="2"/>
  <c r="AB504" i="2"/>
  <c r="AC504" i="2"/>
  <c r="AD503" i="2"/>
  <c r="AG503" i="2"/>
  <c r="AJ503" i="2"/>
  <c r="AM503" i="2"/>
  <c r="AP503" i="2"/>
  <c r="R504" i="2"/>
  <c r="U504" i="2"/>
  <c r="X504" i="2"/>
  <c r="AA504" i="2"/>
  <c r="AD504" i="2"/>
  <c r="AG504" i="2"/>
  <c r="AJ504" i="2"/>
  <c r="AL556" i="2"/>
  <c r="AM504" i="2"/>
  <c r="AN506" i="2"/>
  <c r="AP504" i="2"/>
  <c r="R505" i="2"/>
  <c r="U505" i="2"/>
  <c r="X505" i="2"/>
  <c r="AA505" i="2"/>
  <c r="AD505" i="2"/>
  <c r="AG505" i="2"/>
  <c r="AJ505" i="2"/>
  <c r="AM505" i="2"/>
  <c r="AP505" i="2"/>
  <c r="R506" i="2"/>
  <c r="U506" i="2"/>
  <c r="X506" i="2"/>
  <c r="AA506" i="2"/>
  <c r="AC558" i="2"/>
  <c r="AD506" i="2"/>
  <c r="AE508" i="2"/>
  <c r="AF508" i="2"/>
  <c r="AG506" i="2"/>
  <c r="AJ506" i="2"/>
  <c r="AM506" i="2"/>
  <c r="AP506" i="2"/>
  <c r="R507" i="2"/>
  <c r="U507" i="2"/>
  <c r="X507" i="2"/>
  <c r="AA507" i="2"/>
  <c r="AB509" i="2"/>
  <c r="AC509" i="2"/>
  <c r="AD507" i="2"/>
  <c r="AG507" i="2"/>
  <c r="AJ507" i="2"/>
  <c r="AM507" i="2"/>
  <c r="AP507" i="2"/>
  <c r="R508" i="2"/>
  <c r="U508" i="2"/>
  <c r="X508" i="2"/>
  <c r="AA508" i="2"/>
  <c r="AD508" i="2"/>
  <c r="AG508" i="2"/>
  <c r="AH509" i="2"/>
  <c r="AI509" i="2"/>
  <c r="AJ508" i="2"/>
  <c r="AM508" i="2"/>
  <c r="AP508" i="2"/>
  <c r="R509" i="2"/>
  <c r="U509" i="2"/>
  <c r="X509" i="2"/>
  <c r="AA509" i="2"/>
  <c r="AD509" i="2"/>
  <c r="AG509" i="2"/>
  <c r="AJ509" i="2"/>
  <c r="AM509" i="2"/>
  <c r="AP509" i="2"/>
  <c r="R510" i="2"/>
  <c r="U510" i="2"/>
  <c r="X510" i="2"/>
  <c r="AA510" i="2"/>
  <c r="AD510" i="2"/>
  <c r="AG510" i="2"/>
  <c r="AJ510" i="2"/>
  <c r="AM510" i="2"/>
  <c r="AP510" i="2"/>
  <c r="R511" i="2"/>
  <c r="U511" i="2"/>
  <c r="V514" i="2"/>
  <c r="W514" i="2"/>
  <c r="X511" i="2"/>
  <c r="AA511" i="2"/>
  <c r="AD511" i="2"/>
  <c r="AG511" i="2"/>
  <c r="AJ511" i="2"/>
  <c r="AM511" i="2"/>
  <c r="AO563" i="2"/>
  <c r="AP511" i="2"/>
  <c r="AS511" i="2"/>
  <c r="AT512" i="2"/>
  <c r="R512" i="2"/>
  <c r="U512" i="2"/>
  <c r="X512" i="2"/>
  <c r="AA512" i="2"/>
  <c r="AD512" i="2"/>
  <c r="AG512" i="2"/>
  <c r="AJ512" i="2"/>
  <c r="AK512" i="2"/>
  <c r="AM512" i="2"/>
  <c r="AP512" i="2"/>
  <c r="R513" i="2"/>
  <c r="U513" i="2"/>
  <c r="X513" i="2"/>
  <c r="AA513" i="2"/>
  <c r="AD513" i="2"/>
  <c r="AG513" i="2"/>
  <c r="AH513" i="2"/>
  <c r="AI513" i="2"/>
  <c r="AJ513" i="2"/>
  <c r="AM513" i="2"/>
  <c r="AP513" i="2"/>
  <c r="R514" i="2"/>
  <c r="U514" i="2"/>
  <c r="X514" i="2"/>
  <c r="Y515" i="2"/>
  <c r="AA514" i="2"/>
  <c r="AD514" i="2"/>
  <c r="AG514" i="2"/>
  <c r="AJ514" i="2"/>
  <c r="AM514" i="2"/>
  <c r="AN516" i="2"/>
  <c r="AO516" i="2"/>
  <c r="AP514" i="2"/>
  <c r="AS514" i="2"/>
  <c r="R515" i="2"/>
  <c r="U515" i="2"/>
  <c r="X515" i="2"/>
  <c r="AA515" i="2"/>
  <c r="AB518" i="2"/>
  <c r="AC518" i="2"/>
  <c r="AD515" i="2"/>
  <c r="AG515" i="2"/>
  <c r="AJ515" i="2"/>
  <c r="AM515" i="2"/>
  <c r="AP515" i="2"/>
  <c r="R516" i="2"/>
  <c r="U516" i="2"/>
  <c r="X516" i="2"/>
  <c r="AA516" i="2"/>
  <c r="AD516" i="2"/>
  <c r="AG516" i="2"/>
  <c r="AJ516" i="2"/>
  <c r="AM516" i="2"/>
  <c r="AP516" i="2"/>
  <c r="AQ516" i="2"/>
  <c r="AR516" i="2"/>
  <c r="AS516" i="2"/>
  <c r="R517" i="2"/>
  <c r="U517" i="2"/>
  <c r="X517" i="2"/>
  <c r="AA517" i="2"/>
  <c r="AB519" i="2"/>
  <c r="AC519" i="2"/>
  <c r="AD517" i="2"/>
  <c r="AG517" i="2"/>
  <c r="AJ517" i="2"/>
  <c r="AM517" i="2"/>
  <c r="AP517" i="2"/>
  <c r="AQ520" i="2"/>
  <c r="R518" i="2"/>
  <c r="U518" i="2"/>
  <c r="X518" i="2"/>
  <c r="AA518" i="2"/>
  <c r="AD518" i="2"/>
  <c r="AG518" i="2"/>
  <c r="AJ518" i="2"/>
  <c r="AM518" i="2"/>
  <c r="AP518" i="2"/>
  <c r="AQ521" i="2"/>
  <c r="AR521" i="2"/>
  <c r="AS518" i="2"/>
  <c r="R519" i="2"/>
  <c r="U519" i="2"/>
  <c r="X519" i="2"/>
  <c r="AA519" i="2"/>
  <c r="AD519" i="2"/>
  <c r="AG519" i="2"/>
  <c r="AJ519" i="2"/>
  <c r="AM519" i="2"/>
  <c r="AN520" i="2"/>
  <c r="AP519" i="2"/>
  <c r="R520" i="2"/>
  <c r="U520" i="2"/>
  <c r="X520" i="2"/>
  <c r="AA520" i="2"/>
  <c r="AD520" i="2"/>
  <c r="AG520" i="2"/>
  <c r="AJ520" i="2"/>
  <c r="AM520" i="2"/>
  <c r="AP520" i="2"/>
  <c r="R521" i="2"/>
  <c r="U521" i="2"/>
  <c r="X521" i="2"/>
  <c r="AA521" i="2"/>
  <c r="AD521" i="2"/>
  <c r="AG521" i="2"/>
  <c r="AJ521" i="2"/>
  <c r="AM521" i="2"/>
  <c r="AP521" i="2"/>
  <c r="R522" i="2"/>
  <c r="U522" i="2"/>
  <c r="X522" i="2"/>
  <c r="AA522" i="2"/>
  <c r="AD522" i="2"/>
  <c r="AG522" i="2"/>
  <c r="AJ522" i="2"/>
  <c r="AM522" i="2"/>
  <c r="AP522" i="2"/>
  <c r="R523" i="2"/>
  <c r="U523" i="2"/>
  <c r="V526" i="2"/>
  <c r="W526" i="2"/>
  <c r="X523" i="2"/>
  <c r="AA523" i="2"/>
  <c r="AD523" i="2"/>
  <c r="AG523" i="2"/>
  <c r="AJ523" i="2"/>
  <c r="AM523" i="2"/>
  <c r="AP523" i="2"/>
  <c r="AQ526" i="2"/>
  <c r="AR526" i="2"/>
  <c r="AS523" i="2"/>
  <c r="R524" i="2"/>
  <c r="U524" i="2"/>
  <c r="X524" i="2"/>
  <c r="AA524" i="2"/>
  <c r="AD524" i="2"/>
  <c r="AG524" i="2"/>
  <c r="AJ524" i="2"/>
  <c r="AM524" i="2"/>
  <c r="AP524" i="2"/>
  <c r="R525" i="2"/>
  <c r="U525" i="2"/>
  <c r="X525" i="2"/>
  <c r="AA525" i="2"/>
  <c r="AD525" i="2"/>
  <c r="AE528" i="2"/>
  <c r="AF528" i="2"/>
  <c r="AG525" i="2"/>
  <c r="AJ525" i="2"/>
  <c r="AK528" i="2"/>
  <c r="AL528" i="2"/>
  <c r="AM525" i="2"/>
  <c r="AP525" i="2"/>
  <c r="AQ528" i="2"/>
  <c r="R526" i="2"/>
  <c r="U526" i="2"/>
  <c r="X526" i="2"/>
  <c r="Z578" i="2"/>
  <c r="AA526" i="2"/>
  <c r="AD526" i="2"/>
  <c r="AE529" i="2"/>
  <c r="AG526" i="2"/>
  <c r="AH529" i="2"/>
  <c r="AI529" i="2"/>
  <c r="AJ526" i="2"/>
  <c r="AM526" i="2"/>
  <c r="AP526" i="2"/>
  <c r="R527" i="2"/>
  <c r="U527" i="2"/>
  <c r="X527" i="2"/>
  <c r="AA527" i="2"/>
  <c r="AB529" i="2"/>
  <c r="AC529" i="2"/>
  <c r="AD527" i="2"/>
  <c r="AG527" i="2"/>
  <c r="AI579" i="2"/>
  <c r="AJ527" i="2"/>
  <c r="AM527" i="2"/>
  <c r="AP527" i="2"/>
  <c r="AS527" i="2"/>
  <c r="R528" i="2"/>
  <c r="U528" i="2"/>
  <c r="X528" i="2"/>
  <c r="AA528" i="2"/>
  <c r="AD528" i="2"/>
  <c r="AE531" i="2"/>
  <c r="AF531" i="2"/>
  <c r="AG528" i="2"/>
  <c r="AJ528" i="2"/>
  <c r="AM528" i="2"/>
  <c r="AP528" i="2"/>
  <c r="R529" i="2"/>
  <c r="U529" i="2"/>
  <c r="X529" i="2"/>
  <c r="AA529" i="2"/>
  <c r="AB531" i="2"/>
  <c r="AC531" i="2"/>
  <c r="AD529" i="2"/>
  <c r="AG529" i="2"/>
  <c r="AH530" i="2"/>
  <c r="AJ529" i="2"/>
  <c r="AM529" i="2"/>
  <c r="AP529" i="2"/>
  <c r="AS529" i="2"/>
  <c r="R530" i="2"/>
  <c r="U530" i="2"/>
  <c r="X530" i="2"/>
  <c r="AA530" i="2"/>
  <c r="AD530" i="2"/>
  <c r="AG530" i="2"/>
  <c r="AI582" i="2"/>
  <c r="AJ530" i="2"/>
  <c r="AM530" i="2"/>
  <c r="AP530" i="2"/>
  <c r="AS530" i="2"/>
  <c r="R531" i="2"/>
  <c r="U531" i="2"/>
  <c r="X531" i="2"/>
  <c r="AA531" i="2"/>
  <c r="AD531" i="2"/>
  <c r="AG531" i="2"/>
  <c r="AJ531" i="2"/>
  <c r="AM531" i="2"/>
  <c r="AP531" i="2"/>
  <c r="AQ534" i="2"/>
  <c r="AS531" i="2"/>
  <c r="R532" i="2"/>
  <c r="U532" i="2"/>
  <c r="V533" i="2"/>
  <c r="W533" i="2"/>
  <c r="X532" i="2"/>
  <c r="AA532" i="2"/>
  <c r="AD532" i="2"/>
  <c r="AG532" i="2"/>
  <c r="AJ532" i="2"/>
  <c r="AM532" i="2"/>
  <c r="AP532" i="2"/>
  <c r="AQ533" i="2"/>
  <c r="R533" i="2"/>
  <c r="U533" i="2"/>
  <c r="X533" i="2"/>
  <c r="AA533" i="2"/>
  <c r="AB534" i="2"/>
  <c r="AD533" i="2"/>
  <c r="AG533" i="2"/>
  <c r="AJ533" i="2"/>
  <c r="AM533" i="2"/>
  <c r="AN533" i="2"/>
  <c r="AP533" i="2"/>
  <c r="R534" i="2"/>
  <c r="U534" i="2"/>
  <c r="X534" i="2"/>
  <c r="AA534" i="2"/>
  <c r="AD534" i="2"/>
  <c r="AG534" i="2"/>
  <c r="AJ534" i="2"/>
  <c r="AM534" i="2"/>
  <c r="AP534" i="2"/>
  <c r="R535" i="2"/>
  <c r="U535" i="2"/>
  <c r="X535" i="2"/>
  <c r="AA535" i="2"/>
  <c r="AD535" i="2"/>
  <c r="AG535" i="2"/>
  <c r="AJ535" i="2"/>
  <c r="AM535" i="2"/>
  <c r="AP535" i="2"/>
  <c r="R536" i="2"/>
  <c r="U536" i="2"/>
  <c r="X536" i="2"/>
  <c r="AA536" i="2"/>
  <c r="AD536" i="2"/>
  <c r="AG536" i="2"/>
  <c r="AJ536" i="2"/>
  <c r="AM536" i="2"/>
  <c r="AP536" i="2"/>
  <c r="R537" i="2"/>
  <c r="U537" i="2"/>
  <c r="X537" i="2"/>
  <c r="AA537" i="2"/>
  <c r="AD537" i="2"/>
  <c r="AG537" i="2"/>
  <c r="AJ537" i="2"/>
  <c r="AM537" i="2"/>
  <c r="AP537" i="2"/>
  <c r="AS537" i="2"/>
  <c r="R538" i="2"/>
  <c r="U538" i="2"/>
  <c r="X538" i="2"/>
  <c r="AA538" i="2"/>
  <c r="AB541" i="2"/>
  <c r="AD538" i="2"/>
  <c r="AG538" i="2"/>
  <c r="AJ538" i="2"/>
  <c r="AM538" i="2"/>
  <c r="AP538" i="2"/>
  <c r="R539" i="2"/>
  <c r="U539" i="2"/>
  <c r="V540" i="2"/>
  <c r="X539" i="2"/>
  <c r="AA539" i="2"/>
  <c r="AC591" i="2"/>
  <c r="AD539" i="2"/>
  <c r="AG539" i="2"/>
  <c r="AJ539" i="2"/>
  <c r="AM539" i="2"/>
  <c r="AP539" i="2"/>
  <c r="AS539" i="2"/>
  <c r="R540" i="2"/>
  <c r="U540" i="2"/>
  <c r="V543" i="2"/>
  <c r="W543" i="2"/>
  <c r="X540" i="2"/>
  <c r="AA540" i="2"/>
  <c r="AD540" i="2"/>
  <c r="AG540" i="2"/>
  <c r="AJ540" i="2"/>
  <c r="AM540" i="2"/>
  <c r="AP540" i="2"/>
  <c r="R541" i="2"/>
  <c r="U541" i="2"/>
  <c r="X541" i="2"/>
  <c r="AA541" i="2"/>
  <c r="AD541" i="2"/>
  <c r="AG541" i="2"/>
  <c r="AJ541" i="2"/>
  <c r="AM541" i="2"/>
  <c r="AP541" i="2"/>
  <c r="R542" i="2"/>
  <c r="U542" i="2"/>
  <c r="W594" i="2"/>
  <c r="X542" i="2"/>
  <c r="AA542" i="2"/>
  <c r="AD542" i="2"/>
  <c r="AG542" i="2"/>
  <c r="AJ542" i="2"/>
  <c r="AM542" i="2"/>
  <c r="AP542" i="2"/>
  <c r="R543" i="2"/>
  <c r="U543" i="2"/>
  <c r="X543" i="2"/>
  <c r="Y546" i="2"/>
  <c r="Z546" i="2"/>
  <c r="AA543" i="2"/>
  <c r="AB546" i="2"/>
  <c r="AD543" i="2"/>
  <c r="AE543" i="2"/>
  <c r="AF543" i="2"/>
  <c r="AG543" i="2"/>
  <c r="AJ543" i="2"/>
  <c r="AM543" i="2"/>
  <c r="AN546" i="2"/>
  <c r="AP543" i="2"/>
  <c r="R544" i="2"/>
  <c r="U544" i="2"/>
  <c r="X544" i="2"/>
  <c r="AA544" i="2"/>
  <c r="AD544" i="2"/>
  <c r="AG544" i="2"/>
  <c r="AJ544" i="2"/>
  <c r="AM544" i="2"/>
  <c r="AP544" i="2"/>
  <c r="AQ546" i="2"/>
  <c r="AR546" i="2"/>
  <c r="R545" i="2"/>
  <c r="U545" i="2"/>
  <c r="X545" i="2"/>
  <c r="AA545" i="2"/>
  <c r="AD545" i="2"/>
  <c r="AG545" i="2"/>
  <c r="AJ545" i="2"/>
  <c r="AL597" i="2"/>
  <c r="AM545" i="2"/>
  <c r="AP545" i="2"/>
  <c r="AS545" i="2"/>
  <c r="R546" i="2"/>
  <c r="U546" i="2"/>
  <c r="X546" i="2"/>
  <c r="AA546" i="2"/>
  <c r="AD546" i="2"/>
  <c r="AE549" i="2"/>
  <c r="AF549" i="2"/>
  <c r="AG546" i="2"/>
  <c r="AJ546" i="2"/>
  <c r="AM546" i="2"/>
  <c r="AP546" i="2"/>
  <c r="AS546" i="2"/>
  <c r="R547" i="2"/>
  <c r="U547" i="2"/>
  <c r="X547" i="2"/>
  <c r="Y549" i="2"/>
  <c r="Z549" i="2"/>
  <c r="AA547" i="2"/>
  <c r="AB547" i="2"/>
  <c r="AD547" i="2"/>
  <c r="AF599" i="2"/>
  <c r="AG547" i="2"/>
  <c r="AJ547" i="2"/>
  <c r="AM547" i="2"/>
  <c r="AP547" i="2"/>
  <c r="AS547" i="2"/>
  <c r="R548" i="2"/>
  <c r="U548" i="2"/>
  <c r="X548" i="2"/>
  <c r="AA548" i="2"/>
  <c r="AD548" i="2"/>
  <c r="AG548" i="2"/>
  <c r="AJ548" i="2"/>
  <c r="AM548" i="2"/>
  <c r="AP548" i="2"/>
  <c r="R549" i="2"/>
  <c r="U549" i="2"/>
  <c r="X549" i="2"/>
  <c r="AA549" i="2"/>
  <c r="AD549" i="2"/>
  <c r="AE551" i="2"/>
  <c r="AF551" i="2"/>
  <c r="AE550" i="2"/>
  <c r="AG549" i="2"/>
  <c r="AJ549" i="2"/>
  <c r="AM549" i="2"/>
  <c r="AN552" i="2"/>
  <c r="AO552" i="2"/>
  <c r="AP549" i="2"/>
  <c r="AS549" i="2"/>
  <c r="R550" i="2"/>
  <c r="U550" i="2"/>
  <c r="X550" i="2"/>
  <c r="Y553" i="2"/>
  <c r="AA550" i="2"/>
  <c r="AD550" i="2"/>
  <c r="AG550" i="2"/>
  <c r="AJ550" i="2"/>
  <c r="AK553" i="2"/>
  <c r="AM550" i="2"/>
  <c r="AN553" i="2"/>
  <c r="AO553" i="2"/>
  <c r="AP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AW935" i="2"/>
  <c r="AX935" i="2"/>
  <c r="AY935" i="2"/>
  <c r="AZ935" i="2"/>
  <c r="BA935" i="2"/>
  <c r="BB935" i="2"/>
  <c r="R936" i="2"/>
  <c r="R937" i="2"/>
  <c r="AW937" i="2"/>
  <c r="AX937" i="2"/>
  <c r="AY937" i="2"/>
  <c r="AZ937" i="2"/>
  <c r="BA937" i="2"/>
  <c r="BB937" i="2"/>
  <c r="R938" i="2"/>
  <c r="BD939" i="2"/>
  <c r="R939" i="2"/>
  <c r="AW939" i="2"/>
  <c r="AX939" i="2"/>
  <c r="AY939" i="2"/>
  <c r="AZ939" i="2"/>
  <c r="BA939" i="2"/>
  <c r="BB939" i="2"/>
  <c r="R940" i="2"/>
  <c r="BD941" i="2"/>
  <c r="R941" i="2"/>
  <c r="BC941" i="2"/>
  <c r="AW941" i="2"/>
  <c r="AX941" i="2"/>
  <c r="AY941" i="2"/>
  <c r="AZ941" i="2"/>
  <c r="BA941" i="2"/>
  <c r="BB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A6" i="5"/>
  <c r="B6" i="5"/>
  <c r="C6" i="5"/>
  <c r="D6" i="5"/>
  <c r="E6" i="5"/>
  <c r="F6" i="5"/>
  <c r="H6" i="5"/>
  <c r="I6" i="5"/>
  <c r="J6" i="5"/>
  <c r="B7" i="5"/>
  <c r="C7" i="5"/>
  <c r="D7" i="5"/>
  <c r="E7" i="5"/>
  <c r="F7" i="5"/>
  <c r="G7" i="5"/>
  <c r="H7" i="5"/>
  <c r="I7" i="5"/>
  <c r="J7" i="5"/>
  <c r="B9" i="5"/>
  <c r="B11" i="5"/>
  <c r="C9" i="5"/>
  <c r="D9" i="5"/>
  <c r="E9" i="5"/>
  <c r="F9" i="5"/>
  <c r="G9" i="5"/>
  <c r="H9" i="5"/>
  <c r="I9" i="5"/>
  <c r="J9" i="5"/>
  <c r="B10" i="5"/>
  <c r="C10" i="5"/>
  <c r="C11" i="5"/>
  <c r="D10" i="5"/>
  <c r="D11" i="5"/>
  <c r="E10" i="5"/>
  <c r="E11" i="5"/>
  <c r="F10" i="5"/>
  <c r="F11" i="5"/>
  <c r="G10" i="5"/>
  <c r="G11" i="5"/>
  <c r="H10" i="5"/>
  <c r="H11" i="5"/>
  <c r="I10" i="5"/>
  <c r="AE555" i="2"/>
  <c r="AF555" i="2"/>
  <c r="W241" i="7"/>
  <c r="W242" i="7"/>
  <c r="W240" i="7"/>
  <c r="W306" i="7"/>
  <c r="W216" i="2"/>
  <c r="V217" i="2"/>
  <c r="W217" i="2"/>
  <c r="W380" i="7"/>
  <c r="W379" i="7"/>
  <c r="W382" i="7"/>
  <c r="W381" i="7"/>
  <c r="W323" i="7"/>
  <c r="W197" i="7"/>
  <c r="W196" i="7"/>
  <c r="W222" i="7"/>
  <c r="W337" i="7"/>
  <c r="W163" i="7"/>
  <c r="W155" i="7"/>
  <c r="W344" i="7"/>
  <c r="W75" i="7"/>
  <c r="W73" i="7"/>
  <c r="W347" i="7"/>
  <c r="W239" i="7"/>
  <c r="W375" i="7"/>
  <c r="W291" i="7"/>
  <c r="W212" i="7"/>
  <c r="W209" i="7"/>
  <c r="W15" i="7"/>
  <c r="W368" i="7"/>
  <c r="W361" i="7"/>
  <c r="W204" i="7"/>
  <c r="W183" i="7"/>
  <c r="W373" i="7"/>
  <c r="W283" i="7"/>
  <c r="W251" i="7"/>
  <c r="W219" i="7"/>
  <c r="W353" i="7"/>
  <c r="W218" i="7"/>
  <c r="W81" i="7"/>
  <c r="W74" i="7"/>
  <c r="W331" i="7"/>
  <c r="W266" i="7"/>
  <c r="W189" i="7"/>
  <c r="W182" i="7"/>
  <c r="W110" i="7"/>
  <c r="W160" i="7"/>
  <c r="W128" i="7"/>
  <c r="W120" i="7"/>
  <c r="W56" i="7"/>
  <c r="W162" i="7"/>
  <c r="W154" i="7"/>
  <c r="W146" i="7"/>
  <c r="W130" i="7"/>
  <c r="W122" i="7"/>
  <c r="W21" i="7"/>
  <c r="W148" i="7"/>
  <c r="W132" i="7"/>
  <c r="W169" i="7"/>
  <c r="W161" i="7"/>
  <c r="W89" i="7"/>
  <c r="W62" i="7"/>
  <c r="W80" i="7"/>
  <c r="AE557" i="2"/>
  <c r="AF557" i="2"/>
  <c r="AH556" i="2"/>
  <c r="AI556" i="2"/>
  <c r="Y557" i="2"/>
  <c r="W50" i="7"/>
  <c r="W51" i="7"/>
  <c r="W203" i="7"/>
  <c r="W143" i="7"/>
  <c r="W216" i="7"/>
  <c r="W217" i="7"/>
  <c r="W207" i="7"/>
  <c r="AL248" i="2"/>
  <c r="W314" i="7"/>
  <c r="W313" i="7"/>
  <c r="W376" i="7"/>
  <c r="W258" i="7"/>
  <c r="W200" i="7"/>
  <c r="W55" i="7"/>
  <c r="W199" i="7"/>
  <c r="W165" i="7"/>
  <c r="AQ560" i="2"/>
  <c r="AR560" i="2"/>
  <c r="W159" i="7"/>
  <c r="AN559" i="2"/>
  <c r="AO559" i="2"/>
  <c r="W67" i="7"/>
  <c r="AH560" i="2"/>
  <c r="W275" i="7"/>
  <c r="AH432" i="2"/>
  <c r="AI432" i="2"/>
  <c r="AE410" i="2"/>
  <c r="AF410" i="2"/>
  <c r="V434" i="2"/>
  <c r="W434" i="2"/>
  <c r="AQ273" i="2"/>
  <c r="AR273" i="2"/>
  <c r="AF288" i="2"/>
  <c r="AQ216" i="2"/>
  <c r="AR216" i="2"/>
  <c r="W307" i="7"/>
  <c r="AQ561" i="2"/>
  <c r="W57" i="7"/>
  <c r="W190" i="7"/>
  <c r="W167" i="7"/>
  <c r="V565" i="2"/>
  <c r="AE382" i="2"/>
  <c r="AF382" i="2"/>
  <c r="AH498" i="2"/>
  <c r="AI498" i="2"/>
  <c r="AN495" i="2"/>
  <c r="AO495" i="2"/>
  <c r="Z318" i="2"/>
  <c r="Y216" i="2"/>
  <c r="Z216" i="2"/>
  <c r="Y217" i="2"/>
  <c r="Z217" i="2"/>
  <c r="S565" i="10"/>
  <c r="AS508" i="2"/>
  <c r="AS493" i="2"/>
  <c r="AS478" i="2"/>
  <c r="AS318" i="2"/>
  <c r="AS312" i="2"/>
  <c r="AS274" i="2"/>
  <c r="S61" i="10"/>
  <c r="S13" i="10"/>
  <c r="Y460" i="2"/>
  <c r="Z460" i="2"/>
  <c r="Y374" i="2"/>
  <c r="Z374" i="2"/>
  <c r="AQ361" i="2"/>
  <c r="AR361" i="2"/>
  <c r="AE325" i="2"/>
  <c r="V469" i="2"/>
  <c r="W469" i="2"/>
  <c r="AS333" i="2"/>
  <c r="AS303" i="2"/>
  <c r="AS295" i="2"/>
  <c r="AU347" i="2"/>
  <c r="AS288" i="2"/>
  <c r="AS281" i="2"/>
  <c r="AS273" i="2"/>
  <c r="AS266" i="2"/>
  <c r="Y364" i="2"/>
  <c r="Z364" i="2"/>
  <c r="AB311" i="2"/>
  <c r="Y319" i="2"/>
  <c r="Z319" i="2"/>
  <c r="AN412" i="2"/>
  <c r="AS497" i="2"/>
  <c r="AS489" i="2"/>
  <c r="AS460" i="2"/>
  <c r="AS308" i="2"/>
  <c r="S357" i="10"/>
  <c r="AS300" i="2"/>
  <c r="AS278" i="2"/>
  <c r="AS270" i="2"/>
  <c r="S297" i="10"/>
  <c r="AS240" i="2"/>
  <c r="AS217" i="2"/>
  <c r="AT220" i="2"/>
  <c r="AU220" i="2"/>
  <c r="AR385" i="2"/>
  <c r="AH489" i="2"/>
  <c r="AI489" i="2"/>
  <c r="AE414" i="2"/>
  <c r="AF414" i="2"/>
  <c r="AH519" i="2"/>
  <c r="AI519" i="2"/>
  <c r="AH399" i="2"/>
  <c r="AI399" i="2"/>
  <c r="AO520" i="2"/>
  <c r="V364" i="2"/>
  <c r="W364" i="2"/>
  <c r="Y538" i="2"/>
  <c r="Z538" i="2"/>
  <c r="S594" i="10"/>
  <c r="W291" i="2"/>
  <c r="Y225" i="2"/>
  <c r="Z225" i="2"/>
  <c r="AS451" i="2"/>
  <c r="S486" i="10"/>
  <c r="S479" i="10"/>
  <c r="S601" i="10"/>
  <c r="S575" i="10"/>
  <c r="AS473" i="2"/>
  <c r="AS256" i="2"/>
  <c r="S252" i="10"/>
  <c r="S527" i="10"/>
  <c r="AS231" i="2"/>
  <c r="AT233" i="2"/>
  <c r="AU233" i="2"/>
  <c r="S586" i="10"/>
  <c r="S573" i="10"/>
  <c r="S509" i="10"/>
  <c r="S401" i="10"/>
  <c r="S23" i="10"/>
  <c r="S247" i="10"/>
  <c r="S78" i="10"/>
  <c r="S70" i="10"/>
  <c r="S54" i="10"/>
  <c r="S534" i="10"/>
  <c r="S478" i="10"/>
  <c r="S455" i="10"/>
  <c r="S405" i="10"/>
  <c r="S617" i="10"/>
  <c r="AS563" i="2"/>
  <c r="S620" i="10"/>
  <c r="S446" i="10"/>
  <c r="S310" i="10"/>
  <c r="S259" i="10"/>
  <c r="AN563" i="2"/>
  <c r="S606" i="10"/>
  <c r="S610" i="10"/>
  <c r="V562" i="2"/>
  <c r="W562" i="2"/>
  <c r="AB452" i="2"/>
  <c r="AC452" i="2"/>
  <c r="Y532" i="2"/>
  <c r="Z532" i="2"/>
  <c r="AQ567" i="2"/>
  <c r="AI530" i="2"/>
  <c r="AH485" i="2"/>
  <c r="AI485" i="2"/>
  <c r="Y480" i="2"/>
  <c r="Z480" i="2"/>
  <c r="Y478" i="2"/>
  <c r="Z478" i="2"/>
  <c r="AR428" i="2"/>
  <c r="AE554" i="2"/>
  <c r="AF554" i="2"/>
  <c r="AE553" i="2"/>
  <c r="AF553" i="2"/>
  <c r="AN565" i="2"/>
  <c r="AO565" i="2"/>
  <c r="AN567" i="2"/>
  <c r="AO567" i="2"/>
  <c r="AN566" i="2"/>
  <c r="AO566" i="2"/>
  <c r="AH561" i="2"/>
  <c r="AI561" i="2"/>
  <c r="AB485" i="2"/>
  <c r="AC485" i="2"/>
  <c r="AE334" i="2"/>
  <c r="AF334" i="2"/>
  <c r="AE335" i="2"/>
  <c r="AF335" i="2"/>
  <c r="Y419" i="2"/>
  <c r="Z419" i="2"/>
  <c r="AH484" i="2"/>
  <c r="AI484" i="2"/>
  <c r="Y453" i="2"/>
  <c r="Z453" i="2"/>
  <c r="W297" i="2"/>
  <c r="Y534" i="2"/>
  <c r="Y377" i="2"/>
  <c r="Z377" i="2"/>
  <c r="AB337" i="2"/>
  <c r="AB392" i="2"/>
  <c r="AC392" i="2"/>
  <c r="Z445" i="2"/>
  <c r="Y433" i="2"/>
  <c r="Z433" i="2"/>
  <c r="Z553" i="2"/>
  <c r="AK498" i="2"/>
  <c r="AL498" i="2"/>
  <c r="AE436" i="2"/>
  <c r="AF436" i="2"/>
  <c r="AQ375" i="2"/>
  <c r="AR375" i="2"/>
  <c r="V298" i="2"/>
  <c r="W298" i="2"/>
  <c r="Y537" i="2"/>
  <c r="Z537" i="2"/>
  <c r="AE481" i="2"/>
  <c r="AF481" i="2"/>
  <c r="AN547" i="2"/>
  <c r="AO547" i="2"/>
  <c r="AB466" i="2"/>
  <c r="AC466" i="2"/>
  <c r="AB467" i="2"/>
  <c r="AC467" i="2"/>
  <c r="AH487" i="2"/>
  <c r="AI487" i="2"/>
  <c r="AH419" i="2"/>
  <c r="AI419" i="2"/>
  <c r="Y363" i="2"/>
  <c r="Z363" i="2"/>
  <c r="Y468" i="2"/>
  <c r="Z468" i="2"/>
  <c r="AK436" i="2"/>
  <c r="AL436" i="2"/>
  <c r="V564" i="2"/>
  <c r="W564" i="2"/>
  <c r="V567" i="2"/>
  <c r="W567" i="2"/>
  <c r="AQ566" i="2"/>
  <c r="W479" i="2"/>
  <c r="AI471" i="2"/>
  <c r="V325" i="2"/>
  <c r="AN562" i="2"/>
  <c r="AO562" i="2"/>
  <c r="Y328" i="2"/>
  <c r="Z328" i="2"/>
  <c r="AN325" i="2"/>
  <c r="AO325" i="2"/>
  <c r="Y252" i="2"/>
  <c r="Z252" i="2"/>
  <c r="V566" i="2"/>
  <c r="W566" i="2"/>
  <c r="AN419" i="2"/>
  <c r="AO419" i="2"/>
  <c r="AN564" i="2"/>
  <c r="AE563" i="2"/>
  <c r="AF563" i="2"/>
  <c r="AS560" i="2"/>
  <c r="S616" i="10"/>
  <c r="AB568" i="2"/>
  <c r="AC568" i="2"/>
  <c r="Y375" i="2"/>
  <c r="Z375" i="2"/>
  <c r="AR246" i="2"/>
  <c r="AS526" i="2"/>
  <c r="S581" i="10"/>
  <c r="S580" i="10"/>
  <c r="AS558" i="2"/>
  <c r="S615" i="10"/>
  <c r="AK563" i="2"/>
  <c r="AL563" i="2"/>
  <c r="Y520" i="2"/>
  <c r="Z520" i="2"/>
  <c r="AN501" i="2"/>
  <c r="AO501" i="2"/>
  <c r="AB252" i="2"/>
  <c r="AC252" i="2"/>
  <c r="AE246" i="2"/>
  <c r="AF246" i="2"/>
  <c r="AE244" i="2"/>
  <c r="AF244" i="2"/>
  <c r="AE234" i="2"/>
  <c r="AF234" i="2"/>
  <c r="AK232" i="2"/>
  <c r="AL232" i="2"/>
  <c r="AN223" i="2"/>
  <c r="AO223" i="2"/>
  <c r="AS244" i="2"/>
  <c r="S298" i="10"/>
  <c r="S268" i="10"/>
  <c r="S269" i="10"/>
  <c r="S212" i="10"/>
  <c r="AL427" i="2"/>
  <c r="AE383" i="2"/>
  <c r="AF383" i="2"/>
  <c r="AE385" i="2"/>
  <c r="AF385" i="2"/>
  <c r="AE381" i="2"/>
  <c r="AF381" i="2"/>
  <c r="AN372" i="2"/>
  <c r="AO372" i="2"/>
  <c r="AK365" i="2"/>
  <c r="AL365" i="2"/>
  <c r="AE362" i="2"/>
  <c r="AF362" i="2"/>
  <c r="AE363" i="2"/>
  <c r="AF363" i="2"/>
  <c r="AK323" i="2"/>
  <c r="AL323" i="2"/>
  <c r="AK324" i="2"/>
  <c r="AL324" i="2"/>
  <c r="V303" i="2"/>
  <c r="W303" i="2"/>
  <c r="AB301" i="2"/>
  <c r="AC301" i="2"/>
  <c r="AE300" i="2"/>
  <c r="AH299" i="2"/>
  <c r="AI299" i="2"/>
  <c r="AN290" i="2"/>
  <c r="AO290" i="2"/>
  <c r="AH278" i="2"/>
  <c r="AI278" i="2"/>
  <c r="AN270" i="2"/>
  <c r="AO270" i="2"/>
  <c r="AQ266" i="2"/>
  <c r="AR266" i="2"/>
  <c r="AQ268" i="2"/>
  <c r="AR268" i="2"/>
  <c r="AQ269" i="2"/>
  <c r="Y260" i="2"/>
  <c r="Z260" i="2"/>
  <c r="AK258" i="2"/>
  <c r="AL258" i="2"/>
  <c r="AN256" i="2"/>
  <c r="AO256" i="2"/>
  <c r="AN254" i="2"/>
  <c r="AO254" i="2"/>
  <c r="Y241" i="2"/>
  <c r="Z241" i="2"/>
  <c r="Y242" i="2"/>
  <c r="Z242" i="2"/>
  <c r="AH236" i="2"/>
  <c r="AI236" i="2"/>
  <c r="AH238" i="2"/>
  <c r="AI238" i="2"/>
  <c r="AK236" i="2"/>
  <c r="AL236" i="2"/>
  <c r="AK238" i="2"/>
  <c r="AL238" i="2"/>
  <c r="AE233" i="2"/>
  <c r="AF233" i="2"/>
  <c r="AE232" i="2"/>
  <c r="AF232" i="2"/>
  <c r="AE230" i="2"/>
  <c r="AF230" i="2"/>
  <c r="AS499" i="2"/>
  <c r="S547" i="10"/>
  <c r="AS475" i="2"/>
  <c r="AS467" i="2"/>
  <c r="S524" i="10"/>
  <c r="AS443" i="2"/>
  <c r="S500" i="10"/>
  <c r="AS435" i="2"/>
  <c r="S492" i="10"/>
  <c r="AS387" i="2"/>
  <c r="AT389" i="2"/>
  <c r="S444" i="10"/>
  <c r="AS371" i="2"/>
  <c r="AS355" i="2"/>
  <c r="S411" i="10"/>
  <c r="S394" i="10"/>
  <c r="AS339" i="2"/>
  <c r="AS331" i="2"/>
  <c r="AS323" i="2"/>
  <c r="S379" i="10"/>
  <c r="AS315" i="2"/>
  <c r="AT318" i="2"/>
  <c r="AU318" i="2"/>
  <c r="AS307" i="2"/>
  <c r="S363" i="10"/>
  <c r="AS299" i="2"/>
  <c r="S356" i="10"/>
  <c r="S355" i="10"/>
  <c r="AS291" i="2"/>
  <c r="S346" i="10"/>
  <c r="S348" i="10"/>
  <c r="AS251" i="2"/>
  <c r="AT254" i="2"/>
  <c r="AU254" i="2"/>
  <c r="AE561" i="2"/>
  <c r="AS557" i="2"/>
  <c r="S614" i="10"/>
  <c r="AB561" i="2"/>
  <c r="AC561" i="2"/>
  <c r="Y567" i="2"/>
  <c r="Z567" i="2"/>
  <c r="V221" i="2"/>
  <c r="W221" i="2"/>
  <c r="S611" i="10"/>
  <c r="AS379" i="2"/>
  <c r="AT382" i="2"/>
  <c r="AU382" i="2"/>
  <c r="AK380" i="2"/>
  <c r="AL380" i="2"/>
  <c r="AQ236" i="2"/>
  <c r="AR236" i="2"/>
  <c r="AK217" i="2"/>
  <c r="AL217" i="2"/>
  <c r="AS533" i="2"/>
  <c r="S589" i="10"/>
  <c r="AR520" i="2"/>
  <c r="AE519" i="2"/>
  <c r="AF519" i="2"/>
  <c r="AE503" i="2"/>
  <c r="AF503" i="2"/>
  <c r="Y346" i="2"/>
  <c r="Y348" i="2"/>
  <c r="Z348" i="2"/>
  <c r="Y349" i="2"/>
  <c r="V341" i="2"/>
  <c r="W341" i="2"/>
  <c r="AB248" i="2"/>
  <c r="AC248" i="2"/>
  <c r="AH233" i="2"/>
  <c r="AI233" i="2"/>
  <c r="AO231" i="2"/>
  <c r="AN230" i="2"/>
  <c r="AO230" i="2"/>
  <c r="Y229" i="2"/>
  <c r="Z229" i="2"/>
  <c r="AR221" i="2"/>
  <c r="Y222" i="2"/>
  <c r="Z222" i="2"/>
  <c r="S587" i="10"/>
  <c r="S204" i="10"/>
  <c r="S203" i="10"/>
  <c r="Y339" i="2"/>
  <c r="Z339" i="2"/>
  <c r="AQ527" i="2"/>
  <c r="AR527" i="2"/>
  <c r="AK435" i="2"/>
  <c r="AL435" i="2"/>
  <c r="AN423" i="2"/>
  <c r="AN396" i="2"/>
  <c r="AO396" i="2"/>
  <c r="AN216" i="2"/>
  <c r="AO216" i="2"/>
  <c r="AN221" i="2"/>
  <c r="AO221" i="2"/>
  <c r="AR237" i="2"/>
  <c r="AH276" i="2"/>
  <c r="AI276" i="2"/>
  <c r="S261" i="10"/>
  <c r="AN244" i="2"/>
  <c r="AO244" i="2"/>
  <c r="AQ225" i="2"/>
  <c r="AR225" i="2"/>
  <c r="AE242" i="2"/>
  <c r="AF242" i="2"/>
  <c r="AQ384" i="2"/>
  <c r="AR384" i="2"/>
  <c r="S220" i="10"/>
  <c r="S468" i="10"/>
  <c r="Y535" i="2"/>
  <c r="Z535" i="2"/>
  <c r="Y533" i="2"/>
  <c r="Z533" i="2"/>
  <c r="Y536" i="2"/>
  <c r="AQ488" i="2"/>
  <c r="AR488" i="2"/>
  <c r="AB486" i="2"/>
  <c r="Y481" i="2"/>
  <c r="Z481" i="2"/>
  <c r="Y483" i="2"/>
  <c r="Z483" i="2"/>
  <c r="V463" i="2"/>
  <c r="W463" i="2"/>
  <c r="W466" i="2"/>
  <c r="AH461" i="2"/>
  <c r="AC454" i="2"/>
  <c r="AK448" i="2"/>
  <c r="AL448" i="2"/>
  <c r="AE441" i="2"/>
  <c r="AF441" i="2"/>
  <c r="AI442" i="2"/>
  <c r="V438" i="2"/>
  <c r="W438" i="2"/>
  <c r="V436" i="2"/>
  <c r="W436" i="2"/>
  <c r="AE435" i="2"/>
  <c r="AF435" i="2"/>
  <c r="AH433" i="2"/>
  <c r="AK434" i="2"/>
  <c r="AL434" i="2"/>
  <c r="AK433" i="2"/>
  <c r="AL433" i="2"/>
  <c r="Y432" i="2"/>
  <c r="Z432" i="2"/>
  <c r="AE427" i="2"/>
  <c r="AI428" i="2"/>
  <c r="AN427" i="2"/>
  <c r="AO427" i="2"/>
  <c r="V425" i="2"/>
  <c r="W425" i="2"/>
  <c r="Y426" i="2"/>
  <c r="Z426" i="2"/>
  <c r="AE416" i="2"/>
  <c r="AF416" i="2"/>
  <c r="AQ411" i="2"/>
  <c r="AR411" i="2"/>
  <c r="AQ414" i="2"/>
  <c r="AR414" i="2"/>
  <c r="AK409" i="2"/>
  <c r="AL409" i="2"/>
  <c r="Y394" i="2"/>
  <c r="AE391" i="2"/>
  <c r="AF391" i="2"/>
  <c r="AN388" i="2"/>
  <c r="AN387" i="2"/>
  <c r="AB345" i="2"/>
  <c r="AC345" i="2"/>
  <c r="AH345" i="2"/>
  <c r="AI345" i="2"/>
  <c r="AK342" i="2"/>
  <c r="AL342" i="2"/>
  <c r="AK343" i="2"/>
  <c r="AL343" i="2"/>
  <c r="AN341" i="2"/>
  <c r="AQ341" i="2"/>
  <c r="AR341" i="2"/>
  <c r="AQ342" i="2"/>
  <c r="AR342" i="2"/>
  <c r="AQ340" i="2"/>
  <c r="AR340" i="2"/>
  <c r="AE337" i="2"/>
  <c r="AF337" i="2"/>
  <c r="AE338" i="2"/>
  <c r="AF338" i="2"/>
  <c r="V334" i="2"/>
  <c r="W334" i="2"/>
  <c r="W333" i="2"/>
  <c r="Y334" i="2"/>
  <c r="Z334" i="2"/>
  <c r="AE333" i="2"/>
  <c r="AF333" i="2"/>
  <c r="AI329" i="2"/>
  <c r="AH332" i="2"/>
  <c r="AI332" i="2"/>
  <c r="AH330" i="2"/>
  <c r="AI330" i="2"/>
  <c r="AK329" i="2"/>
  <c r="AL329" i="2"/>
  <c r="AN327" i="2"/>
  <c r="AO327" i="2"/>
  <c r="AQ328" i="2"/>
  <c r="AR328" i="2"/>
  <c r="AE326" i="2"/>
  <c r="AF326" i="2"/>
  <c r="AH324" i="2"/>
  <c r="AI324" i="2"/>
  <c r="AE318" i="2"/>
  <c r="AF318" i="2"/>
  <c r="W309" i="2"/>
  <c r="AB307" i="2"/>
  <c r="AC307" i="2"/>
  <c r="AB308" i="2"/>
  <c r="AC308" i="2"/>
  <c r="AE307" i="2"/>
  <c r="AF307" i="2"/>
  <c r="AI306" i="2"/>
  <c r="AK305" i="2"/>
  <c r="AL305" i="2"/>
  <c r="AN304" i="2"/>
  <c r="AO304" i="2"/>
  <c r="AQ303" i="2"/>
  <c r="AR303" i="2"/>
  <c r="AQ300" i="2"/>
  <c r="AK290" i="2"/>
  <c r="AL290" i="2"/>
  <c r="AQ286" i="2"/>
  <c r="AR286" i="2"/>
  <c r="AB284" i="2"/>
  <c r="AC284" i="2"/>
  <c r="AK277" i="2"/>
  <c r="AL277" i="2"/>
  <c r="Y272" i="2"/>
  <c r="Z272" i="2"/>
  <c r="AS522" i="2"/>
  <c r="S579" i="10"/>
  <c r="S578" i="10"/>
  <c r="AS226" i="2"/>
  <c r="AT228" i="2"/>
  <c r="AU228" i="2"/>
  <c r="S281" i="10"/>
  <c r="S282" i="10"/>
  <c r="AS218" i="2"/>
  <c r="S274" i="10"/>
  <c r="S266" i="10"/>
  <c r="S267" i="10"/>
  <c r="S251" i="10"/>
  <c r="S242" i="10"/>
  <c r="S219" i="10"/>
  <c r="S216" i="10"/>
  <c r="S98" i="10"/>
  <c r="S90" i="10"/>
  <c r="AB562" i="2"/>
  <c r="AC562" i="2"/>
  <c r="Y562" i="2"/>
  <c r="Z562" i="2"/>
  <c r="Y560" i="2"/>
  <c r="Z560" i="2"/>
  <c r="Y561" i="2"/>
  <c r="Z561" i="2"/>
  <c r="Z563" i="2"/>
  <c r="AS562" i="2"/>
  <c r="AT564" i="2"/>
  <c r="AU564" i="2"/>
  <c r="S619" i="10"/>
  <c r="S618" i="10"/>
  <c r="AQ445" i="2"/>
  <c r="AR445" i="2"/>
  <c r="AN435" i="2"/>
  <c r="V496" i="2"/>
  <c r="W496" i="2"/>
  <c r="AE429" i="2"/>
  <c r="AF429" i="2"/>
  <c r="AE448" i="2"/>
  <c r="AC311" i="2"/>
  <c r="AK510" i="2"/>
  <c r="AL510" i="2"/>
  <c r="Y435" i="2"/>
  <c r="Z435" i="2"/>
  <c r="AR534" i="2"/>
  <c r="AB520" i="2"/>
  <c r="AC520" i="2"/>
  <c r="Z515" i="2"/>
  <c r="AB453" i="2"/>
  <c r="AC453" i="2"/>
  <c r="AB418" i="2"/>
  <c r="AC418" i="2"/>
  <c r="AQ413" i="2"/>
  <c r="AR413" i="2"/>
  <c r="AN225" i="2"/>
  <c r="AO225" i="2"/>
  <c r="V557" i="2"/>
  <c r="W557" i="2"/>
  <c r="AK562" i="2"/>
  <c r="AL562" i="2"/>
  <c r="AK560" i="2"/>
  <c r="AL560" i="2"/>
  <c r="S64" i="10"/>
  <c r="AQ557" i="2"/>
  <c r="AR557" i="2"/>
  <c r="AH557" i="2"/>
  <c r="AI557" i="2"/>
  <c r="AI559" i="2"/>
  <c r="AE536" i="2"/>
  <c r="AF536" i="2"/>
  <c r="AB366" i="2"/>
  <c r="AC338" i="2"/>
  <c r="AL378" i="2"/>
  <c r="Y324" i="2"/>
  <c r="AN315" i="2"/>
  <c r="AO315" i="2"/>
  <c r="AN232" i="2"/>
  <c r="AO232" i="2"/>
  <c r="AB228" i="2"/>
  <c r="AC228" i="2"/>
  <c r="S295" i="10"/>
  <c r="S248" i="10"/>
  <c r="S224" i="10"/>
  <c r="S217" i="10"/>
  <c r="S169" i="10"/>
  <c r="S144" i="10"/>
  <c r="S136" i="10"/>
  <c r="S86" i="10"/>
  <c r="AF433" i="2"/>
  <c r="AB387" i="2"/>
  <c r="AC387" i="2"/>
  <c r="AE384" i="2"/>
  <c r="AF384" i="2"/>
  <c r="AQ363" i="2"/>
  <c r="AH341" i="2"/>
  <c r="AI341" i="2"/>
  <c r="AE311" i="2"/>
  <c r="AF311" i="2"/>
  <c r="V225" i="2"/>
  <c r="W225" i="2"/>
  <c r="AQ218" i="2"/>
  <c r="AR218" i="2"/>
  <c r="S301" i="10"/>
  <c r="AQ484" i="2"/>
  <c r="AR484" i="2"/>
  <c r="AQ480" i="2"/>
  <c r="AR480" i="2"/>
  <c r="AQ474" i="2"/>
  <c r="AR474" i="2"/>
  <c r="V473" i="2"/>
  <c r="W473" i="2"/>
  <c r="AK399" i="2"/>
  <c r="AB389" i="2"/>
  <c r="AC389" i="2"/>
  <c r="AK389" i="2"/>
  <c r="AL389" i="2"/>
  <c r="Y373" i="2"/>
  <c r="Z373" i="2"/>
  <c r="AB375" i="2"/>
  <c r="AC375" i="2"/>
  <c r="AL354" i="2"/>
  <c r="AH343" i="2"/>
  <c r="AI343" i="2"/>
  <c r="AE323" i="2"/>
  <c r="AF323" i="2"/>
  <c r="Y290" i="2"/>
  <c r="AN267" i="2"/>
  <c r="AO267" i="2"/>
  <c r="AN238" i="2"/>
  <c r="AO238" i="2"/>
  <c r="S475" i="10"/>
  <c r="S147" i="10"/>
  <c r="S139" i="10"/>
  <c r="S131" i="10"/>
  <c r="S123" i="10"/>
  <c r="S106" i="10"/>
  <c r="S96" i="10"/>
  <c r="S91" i="10"/>
  <c r="S237" i="10"/>
  <c r="AK511" i="2"/>
  <c r="AL511" i="2"/>
  <c r="AE501" i="2"/>
  <c r="AF501" i="2"/>
  <c r="AB417" i="2"/>
  <c r="AC417" i="2"/>
  <c r="AH415" i="2"/>
  <c r="AI415" i="2"/>
  <c r="AH406" i="2"/>
  <c r="AI406" i="2"/>
  <c r="AE342" i="2"/>
  <c r="AF342" i="2"/>
  <c r="AN321" i="2"/>
  <c r="AO321" i="2"/>
  <c r="AK301" i="2"/>
  <c r="AL301" i="2"/>
  <c r="V235" i="2"/>
  <c r="W235" i="2"/>
  <c r="Y234" i="2"/>
  <c r="Z234" i="2"/>
  <c r="S141" i="10"/>
  <c r="Y447" i="2"/>
  <c r="Z371" i="2"/>
  <c r="V335" i="2"/>
  <c r="W335" i="2"/>
  <c r="AN287" i="2"/>
  <c r="AO287" i="2"/>
  <c r="AQ248" i="2"/>
  <c r="AR248" i="2"/>
  <c r="AS458" i="2"/>
  <c r="S514" i="10"/>
  <c r="AS434" i="2"/>
  <c r="S490" i="10"/>
  <c r="S491" i="10"/>
  <c r="S489" i="10"/>
  <c r="S466" i="10"/>
  <c r="AS410" i="2"/>
  <c r="AT412" i="2"/>
  <c r="AS386" i="2"/>
  <c r="S440" i="10"/>
  <c r="S441" i="10"/>
  <c r="S442" i="10"/>
  <c r="S418" i="10"/>
  <c r="AS362" i="2"/>
  <c r="S66" i="10"/>
  <c r="S34" i="10"/>
  <c r="S26" i="10"/>
  <c r="AK565" i="2"/>
  <c r="AL565" i="2"/>
  <c r="AS512" i="2"/>
  <c r="S566" i="10"/>
  <c r="AS504" i="2"/>
  <c r="AS496" i="2"/>
  <c r="S553" i="10"/>
  <c r="S550" i="10"/>
  <c r="S552" i="10"/>
  <c r="S551" i="10"/>
  <c r="AS488" i="2"/>
  <c r="S544" i="10"/>
  <c r="S543" i="10"/>
  <c r="AS328" i="2"/>
  <c r="AT331" i="2"/>
  <c r="S385" i="10"/>
  <c r="AS320" i="2"/>
  <c r="S377" i="10"/>
  <c r="AH564" i="2"/>
  <c r="AI564" i="2"/>
  <c r="S129" i="10"/>
  <c r="AK561" i="2"/>
  <c r="AL561" i="2"/>
  <c r="AK567" i="2"/>
  <c r="AL567" i="2"/>
  <c r="AK566" i="2"/>
  <c r="AH567" i="2"/>
  <c r="AI567" i="2"/>
  <c r="AS474" i="2"/>
  <c r="S529" i="10"/>
  <c r="AS450" i="2"/>
  <c r="S505" i="10"/>
  <c r="S507" i="10"/>
  <c r="AS426" i="2"/>
  <c r="S482" i="10"/>
  <c r="AS402" i="2"/>
  <c r="S458" i="10"/>
  <c r="S457" i="10"/>
  <c r="S435" i="10"/>
  <c r="AS378" i="2"/>
  <c r="S434" i="10"/>
  <c r="S433" i="10"/>
  <c r="S114" i="10"/>
  <c r="S115" i="10"/>
  <c r="S83" i="10"/>
  <c r="S81" i="10"/>
  <c r="S145" i="10"/>
  <c r="S76" i="10"/>
  <c r="S75" i="10"/>
  <c r="S67" i="10"/>
  <c r="S68" i="10"/>
  <c r="S36" i="10"/>
  <c r="S20" i="10"/>
  <c r="S19" i="10"/>
  <c r="V554" i="2"/>
  <c r="W554" i="2"/>
  <c r="AB557" i="2"/>
  <c r="AQ562" i="2"/>
  <c r="AR562" i="2"/>
  <c r="AQ564" i="2"/>
  <c r="AR564" i="2"/>
  <c r="AS466" i="2"/>
  <c r="S523" i="10"/>
  <c r="S499" i="10"/>
  <c r="AS442" i="2"/>
  <c r="S498" i="10"/>
  <c r="S497" i="10"/>
  <c r="AS418" i="2"/>
  <c r="S473" i="10"/>
  <c r="S474" i="10"/>
  <c r="AS370" i="2"/>
  <c r="S426" i="10"/>
  <c r="S425" i="10"/>
  <c r="S82" i="10"/>
  <c r="S60" i="10"/>
  <c r="AS296" i="2"/>
  <c r="S130" i="10"/>
  <c r="V558" i="2"/>
  <c r="AI289" i="2"/>
  <c r="V286" i="2"/>
  <c r="W286" i="2"/>
  <c r="AB222" i="2"/>
  <c r="AC222" i="2"/>
  <c r="AB220" i="2"/>
  <c r="AC220" i="2"/>
  <c r="AB221" i="2"/>
  <c r="AC221" i="2"/>
  <c r="AK216" i="2"/>
  <c r="AL216" i="2"/>
  <c r="AK218" i="2"/>
  <c r="AL218" i="2"/>
  <c r="S320" i="10"/>
  <c r="AS263" i="2"/>
  <c r="S318" i="10"/>
  <c r="S280" i="10"/>
  <c r="AS224" i="2"/>
  <c r="AT227" i="2"/>
  <c r="AU227" i="2"/>
  <c r="S279" i="10"/>
  <c r="S264" i="10"/>
  <c r="S263" i="10"/>
  <c r="S265" i="10"/>
  <c r="S201" i="10"/>
  <c r="S200" i="10"/>
  <c r="S177" i="10"/>
  <c r="S175" i="10"/>
  <c r="S153" i="10"/>
  <c r="S112" i="10"/>
  <c r="S71" i="10"/>
  <c r="S47" i="10"/>
  <c r="S46" i="10"/>
  <c r="S24" i="10"/>
  <c r="S22" i="10"/>
  <c r="S16" i="10"/>
  <c r="AK554" i="2"/>
  <c r="AL554" i="2"/>
  <c r="AL553" i="2"/>
  <c r="AQ556" i="2"/>
  <c r="AR556" i="2"/>
  <c r="AK558" i="2"/>
  <c r="AK559" i="2"/>
  <c r="AB560" i="2"/>
  <c r="AC560" i="2"/>
  <c r="AB564" i="2"/>
  <c r="AC564" i="2"/>
  <c r="Y565" i="2"/>
  <c r="Z565" i="2"/>
  <c r="Y564" i="2"/>
  <c r="Z564" i="2"/>
  <c r="S18" i="10"/>
  <c r="S63" i="10"/>
  <c r="AH328" i="2"/>
  <c r="AI328" i="2"/>
  <c r="AH327" i="2"/>
  <c r="AI327" i="2"/>
  <c r="AB319" i="2"/>
  <c r="AC319" i="2"/>
  <c r="AH317" i="2"/>
  <c r="AI317" i="2"/>
  <c r="AH310" i="2"/>
  <c r="AI310" i="2"/>
  <c r="AQ255" i="2"/>
  <c r="AR255" i="2"/>
  <c r="AQ256" i="2"/>
  <c r="AR256" i="2"/>
  <c r="AL362" i="2"/>
  <c r="AK360" i="2"/>
  <c r="AL360" i="2"/>
  <c r="AQ360" i="2"/>
  <c r="AR360" i="2"/>
  <c r="AF357" i="2"/>
  <c r="AE358" i="2"/>
  <c r="AF358" i="2"/>
  <c r="AE353" i="2"/>
  <c r="AF353" i="2"/>
  <c r="AN349" i="2"/>
  <c r="AO349" i="2"/>
  <c r="V336" i="2"/>
  <c r="W336" i="2"/>
  <c r="AQ301" i="2"/>
  <c r="AR301" i="2"/>
  <c r="AB298" i="2"/>
  <c r="AC298" i="2"/>
  <c r="AC296" i="2"/>
  <c r="AS304" i="2"/>
  <c r="S358" i="10"/>
  <c r="S74" i="10"/>
  <c r="S58" i="10"/>
  <c r="S40" i="10"/>
  <c r="V556" i="2"/>
  <c r="W556" i="2"/>
  <c r="V555" i="2"/>
  <c r="W555" i="2"/>
  <c r="AE560" i="2"/>
  <c r="AF560" i="2"/>
  <c r="AE559" i="2"/>
  <c r="AF559" i="2"/>
  <c r="S55" i="10"/>
  <c r="AE220" i="2"/>
  <c r="AF220" i="2"/>
  <c r="AS343" i="2"/>
  <c r="AT345" i="2"/>
  <c r="AU345" i="2"/>
  <c r="S400" i="10"/>
  <c r="AS232" i="2"/>
  <c r="S287" i="10"/>
  <c r="AS216" i="2"/>
  <c r="S271" i="10"/>
  <c r="S273" i="10"/>
  <c r="S254" i="10"/>
  <c r="S256" i="10"/>
  <c r="S255" i="10"/>
  <c r="S231" i="10"/>
  <c r="S232" i="10"/>
  <c r="S225" i="10"/>
  <c r="S222" i="10"/>
  <c r="S191" i="10"/>
  <c r="S193" i="10"/>
  <c r="S168" i="10"/>
  <c r="S128" i="10"/>
  <c r="S56" i="10"/>
  <c r="S302" i="10"/>
  <c r="S111" i="10"/>
  <c r="S272" i="10"/>
  <c r="AE567" i="2"/>
  <c r="AF567" i="2"/>
  <c r="Y566" i="2"/>
  <c r="Z566" i="2"/>
  <c r="AH562" i="2"/>
  <c r="AI562" i="2"/>
  <c r="AH565" i="2"/>
  <c r="AI565" i="2"/>
  <c r="S215" i="10"/>
  <c r="S342" i="10"/>
  <c r="AE450" i="2"/>
  <c r="AF450" i="2"/>
  <c r="AE449" i="2"/>
  <c r="AH445" i="2"/>
  <c r="AH374" i="2"/>
  <c r="AI374" i="2"/>
  <c r="AK373" i="2"/>
  <c r="AL373" i="2"/>
  <c r="AE367" i="2"/>
  <c r="AF367" i="2"/>
  <c r="AF369" i="2"/>
  <c r="AQ365" i="2"/>
  <c r="AR365" i="2"/>
  <c r="AQ366" i="2"/>
  <c r="AR366" i="2"/>
  <c r="AE290" i="2"/>
  <c r="AF290" i="2"/>
  <c r="AE291" i="2"/>
  <c r="AF291" i="2"/>
  <c r="AE292" i="2"/>
  <c r="AF292" i="2"/>
  <c r="AQ289" i="2"/>
  <c r="AR289" i="2"/>
  <c r="AR287" i="2"/>
  <c r="Y287" i="2"/>
  <c r="Z287" i="2"/>
  <c r="Y284" i="2"/>
  <c r="Z284" i="2"/>
  <c r="AK225" i="2"/>
  <c r="AL225" i="2"/>
  <c r="AL224" i="2"/>
  <c r="V222" i="2"/>
  <c r="W222" i="2"/>
  <c r="V223" i="2"/>
  <c r="W223" i="2"/>
  <c r="W220" i="2"/>
  <c r="AI220" i="2"/>
  <c r="AH217" i="2"/>
  <c r="AI217" i="2"/>
  <c r="S392" i="10"/>
  <c r="AS335" i="2"/>
  <c r="AS247" i="2"/>
  <c r="AT247" i="2"/>
  <c r="AU247" i="2"/>
  <c r="S303" i="10"/>
  <c r="S183" i="10"/>
  <c r="S160" i="10"/>
  <c r="S137" i="10"/>
  <c r="S121" i="10"/>
  <c r="S120" i="10"/>
  <c r="S103" i="10"/>
  <c r="S104" i="10"/>
  <c r="S88" i="10"/>
  <c r="S87" i="10"/>
  <c r="S65" i="10"/>
  <c r="S62" i="10"/>
  <c r="S30" i="10"/>
  <c r="S32" i="10"/>
  <c r="S31" i="10"/>
  <c r="AH555" i="2"/>
  <c r="AH552" i="2"/>
  <c r="AI552" i="2"/>
  <c r="AH563" i="2"/>
  <c r="AI563" i="2"/>
  <c r="V295" i="2"/>
  <c r="W295" i="2"/>
  <c r="AK557" i="2"/>
  <c r="AL557" i="2"/>
  <c r="S199" i="10"/>
  <c r="S48" i="10"/>
  <c r="S209" i="10"/>
  <c r="AN316" i="2"/>
  <c r="AO316" i="2"/>
  <c r="AN558" i="2"/>
  <c r="AO558" i="2"/>
  <c r="S14" i="10"/>
  <c r="S223" i="10"/>
  <c r="S72" i="10"/>
  <c r="S249" i="10"/>
  <c r="AK276" i="2"/>
  <c r="AL276" i="2"/>
  <c r="AN557" i="2"/>
  <c r="AO557" i="2"/>
  <c r="AH466" i="2"/>
  <c r="AI466" i="2"/>
  <c r="AI469" i="2"/>
  <c r="AH467" i="2"/>
  <c r="AI467" i="2"/>
  <c r="AH468" i="2"/>
  <c r="AI468" i="2"/>
  <c r="AN468" i="2"/>
  <c r="AO468" i="2"/>
  <c r="AO467" i="2"/>
  <c r="AB455" i="2"/>
  <c r="AC455" i="2"/>
  <c r="AB456" i="2"/>
  <c r="AC456" i="2"/>
  <c r="AK453" i="2"/>
  <c r="AL453" i="2"/>
  <c r="V453" i="2"/>
  <c r="W453" i="2"/>
  <c r="V451" i="2"/>
  <c r="W451" i="2"/>
  <c r="AK449" i="2"/>
  <c r="AL449" i="2"/>
  <c r="AK447" i="2"/>
  <c r="AK450" i="2"/>
  <c r="AL450" i="2"/>
  <c r="AS481" i="2"/>
  <c r="S535" i="10"/>
  <c r="AN521" i="2"/>
  <c r="AO521" i="2"/>
  <c r="AN519" i="2"/>
  <c r="AO519" i="2"/>
  <c r="AE517" i="2"/>
  <c r="AF517" i="2"/>
  <c r="AQ506" i="2"/>
  <c r="AQ507" i="2"/>
  <c r="AQ508" i="2"/>
  <c r="AR508" i="2"/>
  <c r="AH479" i="2"/>
  <c r="AI479" i="2"/>
  <c r="Z469" i="2"/>
  <c r="Y470" i="2"/>
  <c r="Z470" i="2"/>
  <c r="AB470" i="2"/>
  <c r="AC470" i="2"/>
  <c r="AB469" i="2"/>
  <c r="AC469" i="2"/>
  <c r="AK466" i="2"/>
  <c r="AL466" i="2"/>
  <c r="AK371" i="2"/>
  <c r="AL371" i="2"/>
  <c r="AE368" i="2"/>
  <c r="AF368" i="2"/>
  <c r="AE366" i="2"/>
  <c r="AF366" i="2"/>
  <c r="AK366" i="2"/>
  <c r="AL366" i="2"/>
  <c r="AK364" i="2"/>
  <c r="AL364" i="2"/>
  <c r="AF341" i="2"/>
  <c r="AB336" i="2"/>
  <c r="AC336" i="2"/>
  <c r="AQ332" i="2"/>
  <c r="AR332" i="2"/>
  <c r="AK326" i="2"/>
  <c r="AL326" i="2"/>
  <c r="AE533" i="2"/>
  <c r="AF533" i="2"/>
  <c r="AK482" i="2"/>
  <c r="AL482" i="2"/>
  <c r="AL485" i="2"/>
  <c r="AB479" i="2"/>
  <c r="AC479" i="2"/>
  <c r="Y474" i="2"/>
  <c r="Z474" i="2"/>
  <c r="AE535" i="2"/>
  <c r="AO506" i="2"/>
  <c r="AB501" i="2"/>
  <c r="AC501" i="2"/>
  <c r="Y497" i="2"/>
  <c r="Z497" i="2"/>
  <c r="AB374" i="2"/>
  <c r="AC374" i="2"/>
  <c r="AE373" i="2"/>
  <c r="AF373" i="2"/>
  <c r="AK361" i="2"/>
  <c r="AL361" i="2"/>
  <c r="Y347" i="2"/>
  <c r="Z347" i="2"/>
  <c r="AH311" i="2"/>
  <c r="AI311" i="2"/>
  <c r="S166" i="10"/>
  <c r="AR505" i="2"/>
  <c r="AK501" i="2"/>
  <c r="AL501" i="2"/>
  <c r="AK223" i="2"/>
  <c r="AL223" i="2"/>
  <c r="AQ548" i="2"/>
  <c r="V432" i="2"/>
  <c r="AN408" i="2"/>
  <c r="AO408" i="2"/>
  <c r="AQ395" i="2"/>
  <c r="AB290" i="2"/>
  <c r="AC290" i="2"/>
  <c r="AB243" i="2"/>
  <c r="AC243" i="2"/>
  <c r="AE231" i="2"/>
  <c r="AF231" i="2"/>
  <c r="AE229" i="2"/>
  <c r="AF229" i="2"/>
  <c r="AI560" i="2"/>
  <c r="V465" i="2"/>
  <c r="W465" i="2"/>
  <c r="V435" i="2"/>
  <c r="W435" i="2"/>
  <c r="AK240" i="2"/>
  <c r="AL240" i="2"/>
  <c r="Z230" i="2"/>
  <c r="AH228" i="2"/>
  <c r="AI228" i="2"/>
  <c r="AH227" i="2"/>
  <c r="AI227" i="2"/>
  <c r="AE439" i="2"/>
  <c r="AF439" i="2"/>
  <c r="AE364" i="2"/>
  <c r="AF364" i="2"/>
  <c r="AR359" i="2"/>
  <c r="AQ322" i="2"/>
  <c r="AR322" i="2"/>
  <c r="AE507" i="2"/>
  <c r="V475" i="2"/>
  <c r="W475" i="2"/>
  <c r="AB472" i="2"/>
  <c r="AC472" i="2"/>
  <c r="AN418" i="2"/>
  <c r="AO418" i="2"/>
  <c r="AI390" i="2"/>
  <c r="AB292" i="2"/>
  <c r="AC292" i="2"/>
  <c r="V263" i="2"/>
  <c r="W263" i="2"/>
  <c r="Y259" i="2"/>
  <c r="Z259" i="2"/>
  <c r="AE552" i="2"/>
  <c r="AF552" i="2"/>
  <c r="AN502" i="2"/>
  <c r="AO502" i="2"/>
  <c r="V424" i="2"/>
  <c r="W424" i="2"/>
  <c r="Y423" i="2"/>
  <c r="Z423" i="2"/>
  <c r="AE412" i="2"/>
  <c r="AF412" i="2"/>
  <c r="AH277" i="2"/>
  <c r="AI277" i="2"/>
  <c r="AQ272" i="2"/>
  <c r="AR272" i="2"/>
  <c r="AR267" i="2"/>
  <c r="AH266" i="2"/>
  <c r="AI266" i="2"/>
  <c r="AL263" i="2"/>
  <c r="AB259" i="2"/>
  <c r="AC259" i="2"/>
  <c r="AH234" i="2"/>
  <c r="AI234" i="2"/>
  <c r="AB223" i="2"/>
  <c r="AC223" i="2"/>
  <c r="AQ549" i="2"/>
  <c r="AH502" i="2"/>
  <c r="AI502" i="2"/>
  <c r="AE442" i="2"/>
  <c r="AF442" i="2"/>
  <c r="AF365" i="2"/>
  <c r="AN360" i="2"/>
  <c r="AO360" i="2"/>
  <c r="AK328" i="2"/>
  <c r="AL328" i="2"/>
  <c r="V326" i="2"/>
  <c r="AB325" i="2"/>
  <c r="AE277" i="2"/>
  <c r="AF277" i="2"/>
  <c r="AR262" i="2"/>
  <c r="AN251" i="2"/>
  <c r="AO251" i="2"/>
  <c r="AB247" i="2"/>
  <c r="AC247" i="2"/>
  <c r="S218" i="10"/>
  <c r="AQ551" i="2"/>
  <c r="AR551" i="2"/>
  <c r="AC309" i="2"/>
  <c r="AK249" i="2"/>
  <c r="AL249" i="2"/>
  <c r="AN250" i="2"/>
  <c r="AO250" i="2"/>
  <c r="AB242" i="2"/>
  <c r="AC242" i="2"/>
  <c r="S214" i="10"/>
  <c r="S93" i="10"/>
  <c r="S80" i="10"/>
  <c r="W249" i="2"/>
  <c r="AE241" i="2"/>
  <c r="AF241" i="2"/>
  <c r="S512" i="10"/>
  <c r="S465" i="10"/>
  <c r="S270" i="10"/>
  <c r="AN543" i="2"/>
  <c r="AO543" i="2"/>
  <c r="AT534" i="2"/>
  <c r="AU534" i="2"/>
  <c r="AC534" i="2"/>
  <c r="AO533" i="2"/>
  <c r="AB530" i="2"/>
  <c r="AC530" i="2"/>
  <c r="AE530" i="2"/>
  <c r="AF530" i="2"/>
  <c r="AR528" i="2"/>
  <c r="AH515" i="2"/>
  <c r="AI515" i="2"/>
  <c r="AR433" i="2"/>
  <c r="AF417" i="2"/>
  <c r="AK357" i="2"/>
  <c r="AL357" i="2"/>
  <c r="V342" i="2"/>
  <c r="W342" i="2"/>
  <c r="Y285" i="2"/>
  <c r="Z285" i="2"/>
  <c r="AE279" i="2"/>
  <c r="AF279" i="2"/>
  <c r="AN277" i="2"/>
  <c r="AO277" i="2"/>
  <c r="AR276" i="2"/>
  <c r="AQ271" i="2"/>
  <c r="AR271" i="2"/>
  <c r="Y269" i="2"/>
  <c r="Z269" i="2"/>
  <c r="AQ265" i="2"/>
  <c r="AR265" i="2"/>
  <c r="Y261" i="2"/>
  <c r="Z261" i="2"/>
  <c r="AF255" i="2"/>
  <c r="Y250" i="2"/>
  <c r="Z250" i="2"/>
  <c r="AK250" i="2"/>
  <c r="AL250" i="2"/>
  <c r="AB246" i="2"/>
  <c r="AC246" i="2"/>
  <c r="AH222" i="2"/>
  <c r="AI222" i="2"/>
  <c r="AN222" i="2"/>
  <c r="AO222" i="2"/>
  <c r="S329" i="10"/>
  <c r="Y498" i="2"/>
  <c r="Z498" i="2"/>
  <c r="AK497" i="2"/>
  <c r="AL497" i="2"/>
  <c r="Y484" i="2"/>
  <c r="Z484" i="2"/>
  <c r="AE467" i="2"/>
  <c r="AF467" i="2"/>
  <c r="AE361" i="2"/>
  <c r="AF361" i="2"/>
  <c r="AL341" i="2"/>
  <c r="V264" i="2"/>
  <c r="W264" i="2"/>
  <c r="AB249" i="2"/>
  <c r="AC249" i="2"/>
  <c r="V247" i="2"/>
  <c r="W247" i="2"/>
  <c r="V241" i="2"/>
  <c r="W241" i="2"/>
  <c r="S378" i="10"/>
  <c r="AE558" i="2"/>
  <c r="AF558" i="2"/>
  <c r="AS464" i="2"/>
  <c r="AS276" i="2"/>
  <c r="S332" i="10"/>
  <c r="AS252" i="2"/>
  <c r="S308" i="10"/>
  <c r="S198" i="10"/>
  <c r="S196" i="10"/>
  <c r="S195" i="10"/>
  <c r="S148" i="10"/>
  <c r="S149" i="10"/>
  <c r="S151" i="10"/>
  <c r="S126" i="10"/>
  <c r="S127" i="10"/>
  <c r="S125" i="10"/>
  <c r="S124" i="10"/>
  <c r="S108" i="10"/>
  <c r="S107" i="10"/>
  <c r="S143" i="10"/>
  <c r="AK231" i="2"/>
  <c r="AL231" i="2"/>
  <c r="AL229" i="2"/>
  <c r="AK228" i="2"/>
  <c r="AL228" i="2"/>
  <c r="AL230" i="2"/>
  <c r="W229" i="2"/>
  <c r="V226" i="2"/>
  <c r="W226" i="2"/>
  <c r="V228" i="2"/>
  <c r="W228" i="2"/>
  <c r="AE227" i="2"/>
  <c r="AF227" i="2"/>
  <c r="AF225" i="2"/>
  <c r="AB556" i="2"/>
  <c r="AC556" i="2"/>
  <c r="AB554" i="2"/>
  <c r="AC554" i="2"/>
  <c r="S197" i="10"/>
  <c r="S309" i="10"/>
  <c r="S513" i="10"/>
  <c r="AS456" i="2"/>
  <c r="AS268" i="2"/>
  <c r="AS221" i="2"/>
  <c r="S275" i="10"/>
  <c r="S278" i="10"/>
  <c r="S277" i="10"/>
  <c r="S190" i="10"/>
  <c r="S188" i="10"/>
  <c r="S187" i="10"/>
  <c r="S159" i="10"/>
  <c r="S158" i="10"/>
  <c r="S134" i="10"/>
  <c r="S135" i="10"/>
  <c r="S132" i="10"/>
  <c r="S102" i="10"/>
  <c r="S99" i="10"/>
  <c r="S133" i="10"/>
  <c r="AN346" i="2"/>
  <c r="AO346" i="2"/>
  <c r="AN347" i="2"/>
  <c r="AO347" i="2"/>
  <c r="AH229" i="2"/>
  <c r="AI229" i="2"/>
  <c r="AH232" i="2"/>
  <c r="AI232" i="2"/>
  <c r="AI231" i="2"/>
  <c r="AQ228" i="2"/>
  <c r="AR228" i="2"/>
  <c r="AQ230" i="2"/>
  <c r="AR230" i="2"/>
  <c r="AQ229" i="2"/>
  <c r="AR229" i="2"/>
  <c r="AR227" i="2"/>
  <c r="S600" i="10"/>
  <c r="AS543" i="2"/>
  <c r="S592" i="10"/>
  <c r="AS535" i="2"/>
  <c r="AS528" i="2"/>
  <c r="S583" i="10"/>
  <c r="S582" i="10"/>
  <c r="S584" i="10"/>
  <c r="AS515" i="2"/>
  <c r="S571" i="10"/>
  <c r="AS507" i="2"/>
  <c r="AT510" i="2"/>
  <c r="AU510" i="2"/>
  <c r="S564" i="10"/>
  <c r="S171" i="10"/>
  <c r="S563" i="10"/>
  <c r="S572" i="10"/>
  <c r="AS284" i="2"/>
  <c r="S317" i="10"/>
  <c r="AS260" i="2"/>
  <c r="AT263" i="2"/>
  <c r="AU263" i="2"/>
  <c r="AS237" i="2"/>
  <c r="S294" i="10"/>
  <c r="S292" i="10"/>
  <c r="AS229" i="2"/>
  <c r="AT230" i="2"/>
  <c r="AU230" i="2"/>
  <c r="S285" i="10"/>
  <c r="S284" i="10"/>
  <c r="S286" i="10"/>
  <c r="S181" i="10"/>
  <c r="S116" i="10"/>
  <c r="S118" i="10"/>
  <c r="S119" i="10"/>
  <c r="S140" i="10"/>
  <c r="S307" i="10"/>
  <c r="S293" i="10"/>
  <c r="S100" i="10"/>
  <c r="S110" i="10"/>
  <c r="S283" i="10"/>
  <c r="AK478" i="2"/>
  <c r="AL478" i="2"/>
  <c r="AK474" i="2"/>
  <c r="AL474" i="2"/>
  <c r="AE409" i="2"/>
  <c r="AF409" i="2"/>
  <c r="AQ406" i="2"/>
  <c r="AR406" i="2"/>
  <c r="AQ407" i="2"/>
  <c r="AE403" i="2"/>
  <c r="AF403" i="2"/>
  <c r="AE289" i="2"/>
  <c r="AF289" i="2"/>
  <c r="AN286" i="2"/>
  <c r="AO286" i="2"/>
  <c r="AN283" i="2"/>
  <c r="AO283" i="2"/>
  <c r="V283" i="2"/>
  <c r="W283" i="2"/>
  <c r="V282" i="2"/>
  <c r="W282" i="2"/>
  <c r="AH282" i="2"/>
  <c r="AI282" i="2"/>
  <c r="AH279" i="2"/>
  <c r="AI279" i="2"/>
  <c r="AQ261" i="2"/>
  <c r="AR261" i="2"/>
  <c r="AH259" i="2"/>
  <c r="AI259" i="2"/>
  <c r="AB233" i="2"/>
  <c r="AC233" i="2"/>
  <c r="AB231" i="2"/>
  <c r="AC231" i="2"/>
  <c r="AS542" i="2"/>
  <c r="AT544" i="2"/>
  <c r="S599" i="10"/>
  <c r="S597" i="10"/>
  <c r="AS342" i="2"/>
  <c r="S399" i="10"/>
  <c r="S398" i="10"/>
  <c r="S12" i="10"/>
  <c r="S11" i="10"/>
  <c r="AB533" i="2"/>
  <c r="AC533" i="2"/>
  <c r="AN417" i="2"/>
  <c r="AO417" i="2"/>
  <c r="AN420" i="2"/>
  <c r="AO420" i="2"/>
  <c r="AQ419" i="2"/>
  <c r="AR419" i="2"/>
  <c r="V278" i="2"/>
  <c r="W278" i="2"/>
  <c r="AK421" i="2"/>
  <c r="AL421" i="2"/>
  <c r="AH362" i="2"/>
  <c r="AI362" i="2"/>
  <c r="Y527" i="2"/>
  <c r="Z527" i="2"/>
  <c r="V279" i="2"/>
  <c r="W279" i="2"/>
  <c r="AN401" i="2"/>
  <c r="AO401" i="2"/>
  <c r="Y526" i="2"/>
  <c r="Z526" i="2"/>
  <c r="AH522" i="2"/>
  <c r="AI522" i="2"/>
  <c r="AH521" i="2"/>
  <c r="AI521" i="2"/>
  <c r="AK521" i="2"/>
  <c r="AL521" i="2"/>
  <c r="AB502" i="2"/>
  <c r="AC502" i="2"/>
  <c r="AB500" i="2"/>
  <c r="AC500" i="2"/>
  <c r="V497" i="2"/>
  <c r="W497" i="2"/>
  <c r="AQ482" i="2"/>
  <c r="AR482" i="2"/>
  <c r="AR533" i="2"/>
  <c r="V471" i="2"/>
  <c r="V472" i="2"/>
  <c r="W472" i="2"/>
  <c r="AN440" i="2"/>
  <c r="AO440" i="2"/>
  <c r="AN439" i="2"/>
  <c r="AO439" i="2"/>
  <c r="AN438" i="2"/>
  <c r="AO438" i="2"/>
  <c r="AN329" i="2"/>
  <c r="AO329" i="2"/>
  <c r="AN328" i="2"/>
  <c r="AO328" i="2"/>
  <c r="AH326" i="2"/>
  <c r="AI326" i="2"/>
  <c r="AH323" i="2"/>
  <c r="AI323" i="2"/>
  <c r="AH325" i="2"/>
  <c r="AI325" i="2"/>
  <c r="AN324" i="2"/>
  <c r="AO324" i="2"/>
  <c r="AO322" i="2"/>
  <c r="AH308" i="2"/>
  <c r="AI308" i="2"/>
  <c r="AH309" i="2"/>
  <c r="AI309" i="2"/>
  <c r="AK309" i="2"/>
  <c r="AL309" i="2"/>
  <c r="AN305" i="2"/>
  <c r="AO305" i="2"/>
  <c r="Y305" i="2"/>
  <c r="Z305" i="2"/>
  <c r="Y303" i="2"/>
  <c r="Z303" i="2"/>
  <c r="Y306" i="2"/>
  <c r="Z306" i="2"/>
  <c r="AE303" i="2"/>
  <c r="AF303" i="2"/>
  <c r="AK304" i="2"/>
  <c r="AL304" i="2"/>
  <c r="AN302" i="2"/>
  <c r="AO302" i="2"/>
  <c r="AN303" i="2"/>
  <c r="AO303" i="2"/>
  <c r="V288" i="2"/>
  <c r="W288" i="2"/>
  <c r="V290" i="2"/>
  <c r="W290" i="2"/>
  <c r="AQ238" i="2"/>
  <c r="AR238" i="2"/>
  <c r="AQ240" i="2"/>
  <c r="AR240" i="2"/>
  <c r="AH352" i="2"/>
  <c r="AI352" i="2"/>
  <c r="AB278" i="2"/>
  <c r="AC278" i="2"/>
  <c r="AN274" i="2"/>
  <c r="AO274" i="2"/>
  <c r="AN275" i="2"/>
  <c r="AO275" i="2"/>
  <c r="V272" i="2"/>
  <c r="W272" i="2"/>
  <c r="AN268" i="2"/>
  <c r="AO268" i="2"/>
  <c r="AN269" i="2"/>
  <c r="AO269" i="2"/>
  <c r="V255" i="2"/>
  <c r="W255" i="2"/>
  <c r="V254" i="2"/>
  <c r="W254" i="2"/>
  <c r="AH237" i="2"/>
  <c r="AI237" i="2"/>
  <c r="AH235" i="2"/>
  <c r="AI235" i="2"/>
  <c r="AS319" i="2"/>
  <c r="S374" i="10"/>
  <c r="V378" i="2"/>
  <c r="W378" i="2"/>
  <c r="AB535" i="2"/>
  <c r="AC535" i="2"/>
  <c r="V422" i="2"/>
  <c r="W422" i="2"/>
  <c r="AK419" i="2"/>
  <c r="AL419" i="2"/>
  <c r="AH364" i="2"/>
  <c r="AI364" i="2"/>
  <c r="AB532" i="2"/>
  <c r="AC532" i="2"/>
  <c r="V548" i="2"/>
  <c r="W548" i="2"/>
  <c r="AN531" i="2"/>
  <c r="AO531" i="2"/>
  <c r="AB491" i="2"/>
  <c r="AC491" i="2"/>
  <c r="AQ485" i="2"/>
  <c r="AR485" i="2"/>
  <c r="AN484" i="2"/>
  <c r="AO484" i="2"/>
  <c r="AE474" i="2"/>
  <c r="AH465" i="2"/>
  <c r="AI465" i="2"/>
  <c r="AH464" i="2"/>
  <c r="AI464" i="2"/>
  <c r="AH462" i="2"/>
  <c r="AI462" i="2"/>
  <c r="AB410" i="2"/>
  <c r="AC410" i="2"/>
  <c r="AK408" i="2"/>
  <c r="Y404" i="2"/>
  <c r="Z404" i="2"/>
  <c r="AK403" i="2"/>
  <c r="AL403" i="2"/>
  <c r="AK402" i="2"/>
  <c r="AL402" i="2"/>
  <c r="Y388" i="2"/>
  <c r="Z388" i="2"/>
  <c r="AN380" i="2"/>
  <c r="AO380" i="2"/>
  <c r="V366" i="2"/>
  <c r="W366" i="2"/>
  <c r="V363" i="2"/>
  <c r="V365" i="2"/>
  <c r="W365" i="2"/>
  <c r="V361" i="2"/>
  <c r="W361" i="2"/>
  <c r="V360" i="2"/>
  <c r="W360" i="2"/>
  <c r="AQ285" i="2"/>
  <c r="AR285" i="2"/>
  <c r="AB281" i="2"/>
  <c r="AC281" i="2"/>
  <c r="AB282" i="2"/>
  <c r="AC282" i="2"/>
  <c r="AB283" i="2"/>
  <c r="AC283" i="2"/>
  <c r="AK280" i="2"/>
  <c r="AL280" i="2"/>
  <c r="AK279" i="2"/>
  <c r="AL279" i="2"/>
  <c r="AK278" i="2"/>
  <c r="AL278" i="2"/>
  <c r="V267" i="2"/>
  <c r="W267" i="2"/>
  <c r="V266" i="2"/>
  <c r="W266" i="2"/>
  <c r="AB267" i="2"/>
  <c r="AC267" i="2"/>
  <c r="AB266" i="2"/>
  <c r="AC266" i="2"/>
  <c r="AH265" i="2"/>
  <c r="AI265" i="2"/>
  <c r="AH264" i="2"/>
  <c r="AI264" i="2"/>
  <c r="AN255" i="2"/>
  <c r="AO255" i="2"/>
  <c r="AN257" i="2"/>
  <c r="AO257" i="2"/>
  <c r="Y255" i="2"/>
  <c r="Z255" i="2"/>
  <c r="AB236" i="2"/>
  <c r="AC236" i="2"/>
  <c r="AB235" i="2"/>
  <c r="AC235" i="2"/>
  <c r="AB238" i="2"/>
  <c r="AC238" i="2"/>
  <c r="AN235" i="2"/>
  <c r="AO235" i="2"/>
  <c r="AN236" i="2"/>
  <c r="AO236" i="2"/>
  <c r="AN234" i="2"/>
  <c r="AO234" i="2"/>
  <c r="S588" i="10"/>
  <c r="S590" i="10"/>
  <c r="S591" i="10"/>
  <c r="AN555" i="2"/>
  <c r="AO555" i="2"/>
  <c r="AN554" i="2"/>
  <c r="AO554" i="2"/>
  <c r="AN233" i="2"/>
  <c r="AO233" i="2"/>
  <c r="AH407" i="2"/>
  <c r="AI407" i="2"/>
  <c r="AQ553" i="2"/>
  <c r="AR553" i="2"/>
  <c r="AK472" i="2"/>
  <c r="AL472" i="2"/>
  <c r="V400" i="2"/>
  <c r="W400" i="2"/>
  <c r="AK537" i="2"/>
  <c r="AL537" i="2"/>
  <c r="V277" i="2"/>
  <c r="W277" i="2"/>
  <c r="AQ263" i="2"/>
  <c r="AR263" i="2"/>
  <c r="AB364" i="2"/>
  <c r="AC364" i="2"/>
  <c r="AE473" i="2"/>
  <c r="AF473" i="2"/>
  <c r="AH288" i="2"/>
  <c r="AI288" i="2"/>
  <c r="AE464" i="2"/>
  <c r="AF464" i="2"/>
  <c r="AT303" i="2"/>
  <c r="V536" i="2"/>
  <c r="W536" i="2"/>
  <c r="V537" i="2"/>
  <c r="AK529" i="2"/>
  <c r="AL529" i="2"/>
  <c r="AH517" i="2"/>
  <c r="AI517" i="2"/>
  <c r="AH514" i="2"/>
  <c r="AI514" i="2"/>
  <c r="AK513" i="2"/>
  <c r="AL513" i="2"/>
  <c r="AN505" i="2"/>
  <c r="AN508" i="2"/>
  <c r="AO508" i="2"/>
  <c r="AN507" i="2"/>
  <c r="V505" i="2"/>
  <c r="W505" i="2"/>
  <c r="AQ260" i="2"/>
  <c r="AR260" i="2"/>
  <c r="Y421" i="2"/>
  <c r="Z421" i="2"/>
  <c r="S598" i="10"/>
  <c r="S373" i="10"/>
  <c r="AN362" i="2"/>
  <c r="AO362" i="2"/>
  <c r="AI413" i="2"/>
  <c r="AQ405" i="2"/>
  <c r="AR405" i="2"/>
  <c r="AK287" i="2"/>
  <c r="AL287" i="2"/>
  <c r="AB277" i="2"/>
  <c r="AC277" i="2"/>
  <c r="AQ264" i="2"/>
  <c r="AR264" i="2"/>
  <c r="V375" i="2"/>
  <c r="W375" i="2"/>
  <c r="AO412" i="2"/>
  <c r="Y267" i="2"/>
  <c r="Z267" i="2"/>
  <c r="AQ512" i="2"/>
  <c r="AR512" i="2"/>
  <c r="AQ513" i="2"/>
  <c r="AR513" i="2"/>
  <c r="Y513" i="2"/>
  <c r="Z513" i="2"/>
  <c r="Y511" i="2"/>
  <c r="Y512" i="2"/>
  <c r="Z512" i="2"/>
  <c r="AB505" i="2"/>
  <c r="AC505" i="2"/>
  <c r="V489" i="2"/>
  <c r="W489" i="2"/>
  <c r="V470" i="2"/>
  <c r="W470" i="2"/>
  <c r="AB280" i="2"/>
  <c r="AC280" i="2"/>
  <c r="AB279" i="2"/>
  <c r="AC279" i="2"/>
  <c r="AN271" i="2"/>
  <c r="AO271" i="2"/>
  <c r="V269" i="2"/>
  <c r="W269" i="2"/>
  <c r="AQ259" i="2"/>
  <c r="AR259" i="2"/>
  <c r="AQ257" i="2"/>
  <c r="AR257" i="2"/>
  <c r="V259" i="2"/>
  <c r="W259" i="2"/>
  <c r="AH253" i="2"/>
  <c r="AI253" i="2"/>
  <c r="S339" i="10"/>
  <c r="AS236" i="2"/>
  <c r="AT238" i="2"/>
  <c r="AU238" i="2"/>
  <c r="S101" i="10"/>
  <c r="W565" i="2"/>
  <c r="V405" i="2"/>
  <c r="W405" i="2"/>
  <c r="Y401" i="2"/>
  <c r="Z401" i="2"/>
  <c r="Y400" i="2"/>
  <c r="Z400" i="2"/>
  <c r="AB398" i="2"/>
  <c r="AC398" i="2"/>
  <c r="AN350" i="2"/>
  <c r="AO350" i="2"/>
  <c r="AN351" i="2"/>
  <c r="AO351" i="2"/>
  <c r="AB346" i="2"/>
  <c r="AC346" i="2"/>
  <c r="AH342" i="2"/>
  <c r="AI342" i="2"/>
  <c r="AH344" i="2"/>
  <c r="AI344" i="2"/>
  <c r="AN253" i="2"/>
  <c r="AO253" i="2"/>
  <c r="AN252" i="2"/>
  <c r="AO252" i="2"/>
  <c r="V252" i="2"/>
  <c r="W252" i="2"/>
  <c r="V251" i="2"/>
  <c r="W251" i="2"/>
  <c r="AH247" i="2"/>
  <c r="AI247" i="2"/>
  <c r="AH249" i="2"/>
  <c r="AI249" i="2"/>
  <c r="AH248" i="2"/>
  <c r="AI248" i="2"/>
  <c r="AH250" i="2"/>
  <c r="AI250" i="2"/>
  <c r="AN249" i="2"/>
  <c r="AO249" i="2"/>
  <c r="AO247" i="2"/>
  <c r="AN248" i="2"/>
  <c r="AO248" i="2"/>
  <c r="Y245" i="2"/>
  <c r="Z245" i="2"/>
  <c r="Y246" i="2"/>
  <c r="Z246" i="2"/>
  <c r="AH245" i="2"/>
  <c r="AI245" i="2"/>
  <c r="AH243" i="2"/>
  <c r="AI243" i="2"/>
  <c r="AN241" i="2"/>
  <c r="AO241" i="2"/>
  <c r="AQ242" i="2"/>
  <c r="AR242" i="2"/>
  <c r="AL558" i="2"/>
  <c r="AN400" i="2"/>
  <c r="AO400" i="2"/>
  <c r="Y231" i="2"/>
  <c r="Z231" i="2"/>
  <c r="Y232" i="2"/>
  <c r="Z232" i="2"/>
  <c r="Y233" i="2"/>
  <c r="Z233" i="2"/>
  <c r="S419" i="10"/>
  <c r="AS363" i="2"/>
  <c r="Z324" i="2"/>
  <c r="AF300" i="2"/>
  <c r="AH239" i="2"/>
  <c r="AI239" i="2"/>
  <c r="AH437" i="2"/>
  <c r="AI437" i="2"/>
  <c r="AB333" i="2"/>
  <c r="AC333" i="2"/>
  <c r="AB334" i="2"/>
  <c r="AC334" i="2"/>
  <c r="V320" i="2"/>
  <c r="W320" i="2"/>
  <c r="AS449" i="2"/>
  <c r="S506" i="10"/>
  <c r="S487" i="10"/>
  <c r="AS433" i="2"/>
  <c r="AH463" i="2"/>
  <c r="AI463" i="2"/>
  <c r="Y410" i="2"/>
  <c r="Z410" i="2"/>
  <c r="Y268" i="2"/>
  <c r="Z268" i="2"/>
  <c r="AH254" i="2"/>
  <c r="AI254" i="2"/>
  <c r="S609" i="10"/>
  <c r="S608" i="10"/>
  <c r="AS552" i="2"/>
  <c r="AT555" i="2"/>
  <c r="V485" i="2"/>
  <c r="W485" i="2"/>
  <c r="AQ481" i="2"/>
  <c r="AR481" i="2"/>
  <c r="V427" i="2"/>
  <c r="W427" i="2"/>
  <c r="Y263" i="2"/>
  <c r="Z263" i="2"/>
  <c r="S477" i="10"/>
  <c r="AS420" i="2"/>
  <c r="AT422" i="2"/>
  <c r="AU422" i="2"/>
  <c r="S354" i="10"/>
  <c r="AS556" i="2"/>
  <c r="AT556" i="2"/>
  <c r="AU556" i="2"/>
  <c r="S613" i="10"/>
  <c r="AE281" i="2"/>
  <c r="AF281" i="2"/>
  <c r="V280" i="2"/>
  <c r="W280" i="2"/>
  <c r="AB559" i="2"/>
  <c r="AC559" i="2"/>
  <c r="S612" i="10"/>
  <c r="AE282" i="2"/>
  <c r="AF282" i="2"/>
  <c r="AN532" i="2"/>
  <c r="AO532" i="2"/>
  <c r="AH516" i="2"/>
  <c r="AI516" i="2"/>
  <c r="AK508" i="2"/>
  <c r="AQ430" i="2"/>
  <c r="AR430" i="2"/>
  <c r="Y262" i="2"/>
  <c r="Z262" i="2"/>
  <c r="AN518" i="2"/>
  <c r="AO518" i="2"/>
  <c r="Y479" i="2"/>
  <c r="Z479" i="2"/>
  <c r="V455" i="2"/>
  <c r="W455" i="2"/>
  <c r="AH446" i="2"/>
  <c r="AI446" i="2"/>
  <c r="V538" i="2"/>
  <c r="W538" i="2"/>
  <c r="Y521" i="2"/>
  <c r="Z521" i="2"/>
  <c r="V487" i="2"/>
  <c r="W487" i="2"/>
  <c r="AB460" i="2"/>
  <c r="AC460" i="2"/>
  <c r="AN357" i="2"/>
  <c r="AO357" i="2"/>
  <c r="AK310" i="2"/>
  <c r="AL310" i="2"/>
  <c r="AK311" i="2"/>
  <c r="S595" i="10"/>
  <c r="AS540" i="2"/>
  <c r="S234" i="10"/>
  <c r="S226" i="10"/>
  <c r="AN537" i="2"/>
  <c r="AB468" i="2"/>
  <c r="AC468" i="2"/>
  <c r="AE453" i="2"/>
  <c r="AF453" i="2"/>
  <c r="AH385" i="2"/>
  <c r="AN331" i="2"/>
  <c r="AO331" i="2"/>
  <c r="S596" i="10"/>
  <c r="S577" i="10"/>
  <c r="S525" i="10"/>
  <c r="S480" i="10"/>
  <c r="AS423" i="2"/>
  <c r="S432" i="10"/>
  <c r="AS375" i="2"/>
  <c r="AT378" i="2"/>
  <c r="AT377" i="2"/>
  <c r="AU377" i="2"/>
  <c r="S194" i="10"/>
  <c r="S170" i="10"/>
  <c r="AH569" i="2"/>
  <c r="AI569" i="2"/>
  <c r="AN466" i="2"/>
  <c r="AO466" i="2"/>
  <c r="AE386" i="2"/>
  <c r="AF386" i="2"/>
  <c r="AN326" i="2"/>
  <c r="AO326" i="2"/>
  <c r="AQ320" i="2"/>
  <c r="AR320" i="2"/>
  <c r="AH305" i="2"/>
  <c r="AI305" i="2"/>
  <c r="S431" i="10"/>
  <c r="AH553" i="2"/>
  <c r="AI553" i="2"/>
  <c r="AE537" i="2"/>
  <c r="AF537" i="2"/>
  <c r="V524" i="2"/>
  <c r="W524" i="2"/>
  <c r="V493" i="2"/>
  <c r="W493" i="2"/>
  <c r="AQ444" i="2"/>
  <c r="AR444" i="2"/>
  <c r="Y424" i="2"/>
  <c r="Z424" i="2"/>
  <c r="V416" i="2"/>
  <c r="W416" i="2"/>
  <c r="V413" i="2"/>
  <c r="AH372" i="2"/>
  <c r="AI372" i="2"/>
  <c r="AQ329" i="2"/>
  <c r="AR329" i="2"/>
  <c r="AE306" i="2"/>
  <c r="AF306" i="2"/>
  <c r="AH290" i="2"/>
  <c r="AI290" i="2"/>
  <c r="S393" i="10"/>
  <c r="AS337" i="2"/>
  <c r="AU389" i="2"/>
  <c r="S386" i="10"/>
  <c r="S73" i="10"/>
  <c r="S41" i="10"/>
  <c r="S33" i="10"/>
  <c r="S17" i="10"/>
  <c r="AH536" i="2"/>
  <c r="AI536" i="2"/>
  <c r="AT532" i="2"/>
  <c r="AU532" i="2"/>
  <c r="V532" i="2"/>
  <c r="W532" i="2"/>
  <c r="Y514" i="2"/>
  <c r="Z514" i="2"/>
  <c r="AH486" i="2"/>
  <c r="AI486" i="2"/>
  <c r="Y446" i="2"/>
  <c r="Z446" i="2"/>
  <c r="AK430" i="2"/>
  <c r="AL430" i="2"/>
  <c r="AH426" i="2"/>
  <c r="AI426" i="2"/>
  <c r="Y413" i="2"/>
  <c r="Z413" i="2"/>
  <c r="AE406" i="2"/>
  <c r="AF406" i="2"/>
  <c r="AK379" i="2"/>
  <c r="AL379" i="2"/>
  <c r="AK303" i="2"/>
  <c r="AL303" i="2"/>
  <c r="AB295" i="2"/>
  <c r="AC295" i="2"/>
  <c r="AN285" i="2"/>
  <c r="AO285" i="2"/>
  <c r="AK273" i="2"/>
  <c r="AL273" i="2"/>
  <c r="AQ274" i="2"/>
  <c r="AR274" i="2"/>
  <c r="Y251" i="2"/>
  <c r="Z251" i="2"/>
  <c r="AE249" i="2"/>
  <c r="AF249" i="2"/>
  <c r="AK246" i="2"/>
  <c r="AL246" i="2"/>
  <c r="AB245" i="2"/>
  <c r="AC245" i="2"/>
  <c r="S262" i="10"/>
  <c r="S246" i="10"/>
  <c r="S186" i="10"/>
  <c r="S85" i="10"/>
  <c r="V551" i="2"/>
  <c r="W551" i="2"/>
  <c r="Y493" i="2"/>
  <c r="AF480" i="2"/>
  <c r="AH474" i="2"/>
  <c r="AI474" i="2"/>
  <c r="AE415" i="2"/>
  <c r="AF415" i="2"/>
  <c r="AB381" i="2"/>
  <c r="AC381" i="2"/>
  <c r="V323" i="2"/>
  <c r="W323" i="2"/>
  <c r="Y312" i="2"/>
  <c r="Z312" i="2"/>
  <c r="AN262" i="2"/>
  <c r="AO262" i="2"/>
  <c r="AB260" i="2"/>
  <c r="AC260" i="2"/>
  <c r="S371" i="10"/>
  <c r="S276" i="10"/>
  <c r="S154" i="10"/>
  <c r="AB555" i="2"/>
  <c r="AC555" i="2"/>
  <c r="V559" i="2"/>
  <c r="AE565" i="2"/>
  <c r="AE420" i="2"/>
  <c r="AF420" i="2"/>
  <c r="Y416" i="2"/>
  <c r="Z416" i="2"/>
  <c r="Y408" i="2"/>
  <c r="Z408" i="2"/>
  <c r="AE401" i="2"/>
  <c r="AK400" i="2"/>
  <c r="AL400" i="2"/>
  <c r="Y376" i="2"/>
  <c r="Z376" i="2"/>
  <c r="AE371" i="2"/>
  <c r="AF371" i="2"/>
  <c r="V349" i="2"/>
  <c r="W349" i="2"/>
  <c r="AQ327" i="2"/>
  <c r="AR327" i="2"/>
  <c r="AE324" i="2"/>
  <c r="AF324" i="2"/>
  <c r="AB303" i="2"/>
  <c r="AC303" i="2"/>
  <c r="AN301" i="2"/>
  <c r="AO301" i="2"/>
  <c r="V287" i="2"/>
  <c r="W287" i="2"/>
  <c r="AH240" i="2"/>
  <c r="AI240" i="2"/>
  <c r="AH230" i="2"/>
  <c r="AI230" i="2"/>
  <c r="S69" i="10"/>
  <c r="S53" i="10"/>
  <c r="AH448" i="2"/>
  <c r="AI448" i="2"/>
  <c r="AE431" i="2"/>
  <c r="AF431" i="2"/>
  <c r="AF434" i="2"/>
  <c r="AN358" i="2"/>
  <c r="AN340" i="2"/>
  <c r="AO340" i="2"/>
  <c r="V337" i="2"/>
  <c r="W337" i="2"/>
  <c r="AB327" i="2"/>
  <c r="AC327" i="2"/>
  <c r="Y304" i="2"/>
  <c r="Z304" i="2"/>
  <c r="AK299" i="2"/>
  <c r="AL299" i="2"/>
  <c r="AN288" i="2"/>
  <c r="AO288" i="2"/>
  <c r="AB261" i="2"/>
  <c r="AC261" i="2"/>
  <c r="S443" i="10"/>
  <c r="S138" i="10"/>
  <c r="AK352" i="2"/>
  <c r="AL352" i="2"/>
  <c r="Y550" i="2"/>
  <c r="Z550" i="2"/>
  <c r="Y551" i="2"/>
  <c r="AT302" i="2"/>
  <c r="AN479" i="2"/>
  <c r="AO479" i="2"/>
  <c r="AN538" i="2"/>
  <c r="AO538" i="2"/>
  <c r="S502" i="10"/>
  <c r="AN536" i="2"/>
  <c r="AO536" i="2"/>
  <c r="AK268" i="2"/>
  <c r="AL268" i="2"/>
  <c r="AK269" i="2"/>
  <c r="AL269" i="2"/>
  <c r="AK270" i="2"/>
  <c r="AL270" i="2"/>
  <c r="AK267" i="2"/>
  <c r="AL267" i="2"/>
  <c r="S518" i="10"/>
  <c r="AS461" i="2"/>
  <c r="S515" i="10"/>
  <c r="S516" i="10"/>
  <c r="S390" i="10"/>
  <c r="AS305" i="2"/>
  <c r="S360" i="10"/>
  <c r="S359" i="10"/>
  <c r="AS275" i="2"/>
  <c r="AT277" i="2"/>
  <c r="AU277" i="2"/>
  <c r="S331" i="10"/>
  <c r="S238" i="10"/>
  <c r="S240" i="10"/>
  <c r="S239" i="10"/>
  <c r="S361" i="10"/>
  <c r="Y496" i="2"/>
  <c r="Z496" i="2"/>
  <c r="Y495" i="2"/>
  <c r="Z495" i="2"/>
  <c r="Y494" i="2"/>
  <c r="Z494" i="2"/>
  <c r="AQ479" i="2"/>
  <c r="AR479" i="2"/>
  <c r="AQ478" i="2"/>
  <c r="AR478" i="2"/>
  <c r="AQ477" i="2"/>
  <c r="AR477" i="2"/>
  <c r="Y366" i="2"/>
  <c r="Z366" i="2"/>
  <c r="Y367" i="2"/>
  <c r="Z367" i="2"/>
  <c r="Y369" i="2"/>
  <c r="Z369" i="2"/>
  <c r="Y368" i="2"/>
  <c r="Z368" i="2"/>
  <c r="AB351" i="2"/>
  <c r="AC351" i="2"/>
  <c r="AQ350" i="2"/>
  <c r="AR350" i="2"/>
  <c r="AE347" i="2"/>
  <c r="AF347" i="2"/>
  <c r="AK345" i="2"/>
  <c r="AL345" i="2"/>
  <c r="AK346" i="2"/>
  <c r="AL346" i="2"/>
  <c r="AQ344" i="2"/>
  <c r="AQ345" i="2"/>
  <c r="AR345" i="2"/>
  <c r="AQ343" i="2"/>
  <c r="AR343" i="2"/>
  <c r="AR395" i="2"/>
  <c r="S94" i="10"/>
  <c r="AT301" i="2"/>
  <c r="S79" i="10"/>
  <c r="S517" i="10"/>
  <c r="S92" i="10"/>
  <c r="AB551" i="2"/>
  <c r="AC551" i="2"/>
  <c r="AC547" i="2"/>
  <c r="AB549" i="2"/>
  <c r="AC549" i="2"/>
  <c r="AO546" i="2"/>
  <c r="AN545" i="2"/>
  <c r="AO545" i="2"/>
  <c r="AQ544" i="2"/>
  <c r="AR544" i="2"/>
  <c r="Y545" i="2"/>
  <c r="Z545" i="2"/>
  <c r="Y544" i="2"/>
  <c r="Z544" i="2"/>
  <c r="Y543" i="2"/>
  <c r="Z543" i="2"/>
  <c r="AQ496" i="2"/>
  <c r="AR496" i="2"/>
  <c r="AQ495" i="2"/>
  <c r="AR495" i="2"/>
  <c r="AE463" i="2"/>
  <c r="AF463" i="2"/>
  <c r="AE462" i="2"/>
  <c r="AF462" i="2"/>
  <c r="AE465" i="2"/>
  <c r="AF465" i="2"/>
  <c r="Y302" i="2"/>
  <c r="Z302" i="2"/>
  <c r="Y301" i="2"/>
  <c r="Z301" i="2"/>
  <c r="AE269" i="2"/>
  <c r="AF269" i="2"/>
  <c r="AE272" i="2"/>
  <c r="AF272" i="2"/>
  <c r="AE271" i="2"/>
  <c r="AF271" i="2"/>
  <c r="AS454" i="2"/>
  <c r="AT455" i="2"/>
  <c r="AU455" i="2"/>
  <c r="S508" i="10"/>
  <c r="S511" i="10"/>
  <c r="AS313" i="2"/>
  <c r="S369" i="10"/>
  <c r="AS290" i="2"/>
  <c r="S347" i="10"/>
  <c r="S345" i="10"/>
  <c r="S324" i="10"/>
  <c r="AS267" i="2"/>
  <c r="AT269" i="2"/>
  <c r="AU269" i="2"/>
  <c r="S322" i="10"/>
  <c r="AE270" i="2"/>
  <c r="AF270" i="2"/>
  <c r="S344" i="10"/>
  <c r="S510" i="10"/>
  <c r="AS259" i="2"/>
  <c r="AT262" i="2"/>
  <c r="AU262" i="2"/>
  <c r="Y552" i="2"/>
  <c r="Z552" i="2"/>
  <c r="S389" i="10"/>
  <c r="S370" i="10"/>
  <c r="AE348" i="2"/>
  <c r="S330" i="10"/>
  <c r="AK319" i="2"/>
  <c r="AL319" i="2"/>
  <c r="AK321" i="2"/>
  <c r="AL321" i="2"/>
  <c r="AH269" i="2"/>
  <c r="AI269" i="2"/>
  <c r="AH271" i="2"/>
  <c r="AI271" i="2"/>
  <c r="AH268" i="2"/>
  <c r="AI268" i="2"/>
  <c r="S503" i="10"/>
  <c r="S501" i="10"/>
  <c r="S504" i="10"/>
  <c r="S382" i="10"/>
  <c r="S384" i="10"/>
  <c r="AS297" i="2"/>
  <c r="AT298" i="2"/>
  <c r="AU298" i="2"/>
  <c r="S353" i="10"/>
  <c r="AS283" i="2"/>
  <c r="S338" i="10"/>
  <c r="S316" i="10"/>
  <c r="S352" i="10"/>
  <c r="S323" i="10"/>
  <c r="V542" i="2"/>
  <c r="W542" i="2"/>
  <c r="V539" i="2"/>
  <c r="W539" i="2"/>
  <c r="AC541" i="2"/>
  <c r="AB540" i="2"/>
  <c r="AC540" i="2"/>
  <c r="AH539" i="2"/>
  <c r="AI539" i="2"/>
  <c r="AH538" i="2"/>
  <c r="AI538" i="2"/>
  <c r="AH540" i="2"/>
  <c r="AI540" i="2"/>
  <c r="Y504" i="2"/>
  <c r="Z504" i="2"/>
  <c r="Y505" i="2"/>
  <c r="Z505" i="2"/>
  <c r="AE498" i="2"/>
  <c r="AF498" i="2"/>
  <c r="AB483" i="2"/>
  <c r="AC483" i="2"/>
  <c r="AB484" i="2"/>
  <c r="AC484" i="2"/>
  <c r="AH480" i="2"/>
  <c r="AI480" i="2"/>
  <c r="AH483" i="2"/>
  <c r="AI483" i="2"/>
  <c r="AB433" i="2"/>
  <c r="AC433" i="2"/>
  <c r="AB432" i="2"/>
  <c r="AC432" i="2"/>
  <c r="AB431" i="2"/>
  <c r="AC431" i="2"/>
  <c r="V370" i="2"/>
  <c r="W370" i="2"/>
  <c r="V373" i="2"/>
  <c r="W373" i="2"/>
  <c r="V372" i="2"/>
  <c r="W372" i="2"/>
  <c r="AB371" i="2"/>
  <c r="AC371" i="2"/>
  <c r="AB372" i="2"/>
  <c r="AC372" i="2"/>
  <c r="AB370" i="2"/>
  <c r="AC370" i="2"/>
  <c r="AH369" i="2"/>
  <c r="AI369" i="2"/>
  <c r="AH371" i="2"/>
  <c r="AI371" i="2"/>
  <c r="AH370" i="2"/>
  <c r="AI370" i="2"/>
  <c r="AH368" i="2"/>
  <c r="AI368" i="2"/>
  <c r="AN368" i="2"/>
  <c r="AO368" i="2"/>
  <c r="AN369" i="2"/>
  <c r="AO369" i="2"/>
  <c r="AN367" i="2"/>
  <c r="AO367" i="2"/>
  <c r="AN370" i="2"/>
  <c r="AO370" i="2"/>
  <c r="AT563" i="2"/>
  <c r="AU563" i="2"/>
  <c r="S95" i="10"/>
  <c r="S362" i="10"/>
  <c r="S321" i="10"/>
  <c r="AK344" i="2"/>
  <c r="AN264" i="2"/>
  <c r="AO264" i="2"/>
  <c r="AN266" i="2"/>
  <c r="AO266" i="2"/>
  <c r="AN263" i="2"/>
  <c r="AO263" i="2"/>
  <c r="AB538" i="2"/>
  <c r="AC538" i="2"/>
  <c r="AB537" i="2"/>
  <c r="AC537" i="2"/>
  <c r="AN535" i="2"/>
  <c r="AO535" i="2"/>
  <c r="AN534" i="2"/>
  <c r="AO534" i="2"/>
  <c r="AB526" i="2"/>
  <c r="AC526" i="2"/>
  <c r="AB525" i="2"/>
  <c r="AC525" i="2"/>
  <c r="AH526" i="2"/>
  <c r="AI526" i="2"/>
  <c r="AH524" i="2"/>
  <c r="AI524" i="2"/>
  <c r="AN522" i="2"/>
  <c r="AO522" i="2"/>
  <c r="AN523" i="2"/>
  <c r="AO523" i="2"/>
  <c r="AB473" i="2"/>
  <c r="AC473" i="2"/>
  <c r="AQ467" i="2"/>
  <c r="AR467" i="2"/>
  <c r="AQ466" i="2"/>
  <c r="AR466" i="2"/>
  <c r="Y466" i="2"/>
  <c r="Z466" i="2"/>
  <c r="Y467" i="2"/>
  <c r="Z467" i="2"/>
  <c r="AH443" i="2"/>
  <c r="AI443" i="2"/>
  <c r="AQ437" i="2"/>
  <c r="AR437" i="2"/>
  <c r="Y428" i="2"/>
  <c r="Z428" i="2"/>
  <c r="Y431" i="2"/>
  <c r="Z431" i="2"/>
  <c r="Y430" i="2"/>
  <c r="AQ390" i="2"/>
  <c r="AR390" i="2"/>
  <c r="AQ388" i="2"/>
  <c r="AR388" i="2"/>
  <c r="AQ389" i="2"/>
  <c r="AR389" i="2"/>
  <c r="AH301" i="2"/>
  <c r="AI301" i="2"/>
  <c r="AH300" i="2"/>
  <c r="AI300" i="2"/>
  <c r="AN281" i="2"/>
  <c r="AO281" i="2"/>
  <c r="AN278" i="2"/>
  <c r="AO278" i="2"/>
  <c r="AQ254" i="2"/>
  <c r="AR254" i="2"/>
  <c r="AQ252" i="2"/>
  <c r="AR252" i="2"/>
  <c r="AN239" i="2"/>
  <c r="AO239" i="2"/>
  <c r="AN237" i="2"/>
  <c r="AO237" i="2"/>
  <c r="AN240" i="2"/>
  <c r="AO240" i="2"/>
  <c r="V238" i="2"/>
  <c r="W238" i="2"/>
  <c r="V236" i="2"/>
  <c r="W236" i="2"/>
  <c r="Y238" i="2"/>
  <c r="Z238" i="2"/>
  <c r="Y235" i="2"/>
  <c r="Z235" i="2"/>
  <c r="Y236" i="2"/>
  <c r="Z236" i="2"/>
  <c r="Y237" i="2"/>
  <c r="Z237" i="2"/>
  <c r="AE235" i="2"/>
  <c r="AF235" i="2"/>
  <c r="AE237" i="2"/>
  <c r="AF237" i="2"/>
  <c r="AE236" i="2"/>
  <c r="AF236" i="2"/>
  <c r="AK235" i="2"/>
  <c r="AL235" i="2"/>
  <c r="AK233" i="2"/>
  <c r="AL233" i="2"/>
  <c r="AK234" i="2"/>
  <c r="AL234" i="2"/>
  <c r="AQ232" i="2"/>
  <c r="AR232" i="2"/>
  <c r="AQ235" i="2"/>
  <c r="AR235" i="2"/>
  <c r="AQ233" i="2"/>
  <c r="AR233" i="2"/>
  <c r="AQ234" i="2"/>
  <c r="AR234" i="2"/>
  <c r="V233" i="2"/>
  <c r="W233" i="2"/>
  <c r="V231" i="2"/>
  <c r="W231" i="2"/>
  <c r="V232" i="2"/>
  <c r="W232" i="2"/>
  <c r="V234" i="2"/>
  <c r="W234" i="2"/>
  <c r="AB232" i="2"/>
  <c r="AC232" i="2"/>
  <c r="AB230" i="2"/>
  <c r="AC230" i="2"/>
  <c r="AH216" i="2"/>
  <c r="AI216" i="2"/>
  <c r="AH218" i="2"/>
  <c r="AI218" i="2"/>
  <c r="AH219" i="2"/>
  <c r="AI219" i="2"/>
  <c r="AE443" i="2"/>
  <c r="AF443" i="2"/>
  <c r="AE446" i="2"/>
  <c r="AF446" i="2"/>
  <c r="AK445" i="2"/>
  <c r="AL445" i="2"/>
  <c r="AK443" i="2"/>
  <c r="AL443" i="2"/>
  <c r="V430" i="2"/>
  <c r="W430" i="2"/>
  <c r="V429" i="2"/>
  <c r="W429" i="2"/>
  <c r="V431" i="2"/>
  <c r="W431" i="2"/>
  <c r="AN411" i="2"/>
  <c r="AO411" i="2"/>
  <c r="AN409" i="2"/>
  <c r="AO409" i="2"/>
  <c r="AN410" i="2"/>
  <c r="AO410" i="2"/>
  <c r="AN299" i="2"/>
  <c r="AO299" i="2"/>
  <c r="AN300" i="2"/>
  <c r="AO300" i="2"/>
  <c r="V515" i="2"/>
  <c r="W515" i="2"/>
  <c r="AQ376" i="2"/>
  <c r="AR376" i="2"/>
  <c r="AQ373" i="2"/>
  <c r="AR373" i="2"/>
  <c r="AQ374" i="2"/>
  <c r="AR374" i="2"/>
  <c r="AK351" i="2"/>
  <c r="AL351" i="2"/>
  <c r="Y340" i="2"/>
  <c r="Z340" i="2"/>
  <c r="AH534" i="2"/>
  <c r="AI534" i="2"/>
  <c r="AT523" i="2"/>
  <c r="AU523" i="2"/>
  <c r="AE521" i="2"/>
  <c r="AF521" i="2"/>
  <c r="Y386" i="2"/>
  <c r="Z386" i="2"/>
  <c r="Y384" i="2"/>
  <c r="Z384" i="2"/>
  <c r="AS347" i="2"/>
  <c r="S403" i="10"/>
  <c r="AK552" i="2"/>
  <c r="AL552" i="2"/>
  <c r="AK549" i="2"/>
  <c r="AL549" i="2"/>
  <c r="AB545" i="2"/>
  <c r="AC545" i="2"/>
  <c r="AB542" i="2"/>
  <c r="AC542" i="2"/>
  <c r="AB543" i="2"/>
  <c r="AC543" i="2"/>
  <c r="AQ537" i="2"/>
  <c r="AR537" i="2"/>
  <c r="AQ538" i="2"/>
  <c r="AQ539" i="2"/>
  <c r="AR539" i="2"/>
  <c r="AQ535" i="2"/>
  <c r="AR535" i="2"/>
  <c r="AQ536" i="2"/>
  <c r="AR536" i="2"/>
  <c r="AE534" i="2"/>
  <c r="AF534" i="2"/>
  <c r="AE532" i="2"/>
  <c r="AF532" i="2"/>
  <c r="AN489" i="2"/>
  <c r="AO489" i="2"/>
  <c r="AN451" i="2"/>
  <c r="AO451" i="2"/>
  <c r="AN422" i="2"/>
  <c r="AO422" i="2"/>
  <c r="V411" i="2"/>
  <c r="W411" i="2"/>
  <c r="V412" i="2"/>
  <c r="W412" i="2"/>
  <c r="V409" i="2"/>
  <c r="W409" i="2"/>
  <c r="V384" i="2"/>
  <c r="W384" i="2"/>
  <c r="AK520" i="2"/>
  <c r="AL520" i="2"/>
  <c r="V516" i="2"/>
  <c r="W516" i="2"/>
  <c r="AH510" i="2"/>
  <c r="AI510" i="2"/>
  <c r="V481" i="2"/>
  <c r="W481" i="2"/>
  <c r="V480" i="2"/>
  <c r="W480" i="2"/>
  <c r="V478" i="2"/>
  <c r="W478" i="2"/>
  <c r="AN432" i="2"/>
  <c r="AO432" i="2"/>
  <c r="AN431" i="2"/>
  <c r="AO431" i="2"/>
  <c r="AN429" i="2"/>
  <c r="AO429" i="2"/>
  <c r="AB404" i="2"/>
  <c r="AC404" i="2"/>
  <c r="AB403" i="2"/>
  <c r="AC403" i="2"/>
  <c r="AH359" i="2"/>
  <c r="AI359" i="2"/>
  <c r="AH361" i="2"/>
  <c r="AI361" i="2"/>
  <c r="AH360" i="2"/>
  <c r="AI360" i="2"/>
  <c r="AH312" i="2"/>
  <c r="AI312" i="2"/>
  <c r="AH280" i="2"/>
  <c r="AI280" i="2"/>
  <c r="AH281" i="2"/>
  <c r="AI281" i="2"/>
  <c r="AN280" i="2"/>
  <c r="AO280" i="2"/>
  <c r="AN279" i="2"/>
  <c r="AO279" i="2"/>
  <c r="AQ278" i="2"/>
  <c r="AR278" i="2"/>
  <c r="AQ277" i="2"/>
  <c r="AR277" i="2"/>
  <c r="AQ545" i="2"/>
  <c r="AR545" i="2"/>
  <c r="AK527" i="2"/>
  <c r="AL527" i="2"/>
  <c r="AE506" i="2"/>
  <c r="AF506" i="2"/>
  <c r="AH481" i="2"/>
  <c r="AI481" i="2"/>
  <c r="V329" i="2"/>
  <c r="W329" i="2"/>
  <c r="V327" i="2"/>
  <c r="W327" i="2"/>
  <c r="V328" i="2"/>
  <c r="W328" i="2"/>
  <c r="V330" i="2"/>
  <c r="W330" i="2"/>
  <c r="AB493" i="2"/>
  <c r="AC493" i="2"/>
  <c r="AB492" i="2"/>
  <c r="AC492" i="2"/>
  <c r="AK483" i="2"/>
  <c r="AL483" i="2"/>
  <c r="AK484" i="2"/>
  <c r="AL484" i="2"/>
  <c r="AQ408" i="2"/>
  <c r="AR408" i="2"/>
  <c r="AQ409" i="2"/>
  <c r="AR409" i="2"/>
  <c r="AE253" i="2"/>
  <c r="AF253" i="2"/>
  <c r="AE252" i="2"/>
  <c r="AF252" i="2"/>
  <c r="AE254" i="2"/>
  <c r="AF254" i="2"/>
  <c r="V494" i="2"/>
  <c r="AH398" i="2"/>
  <c r="AI398" i="2"/>
  <c r="V367" i="2"/>
  <c r="W367" i="2"/>
  <c r="V369" i="2"/>
  <c r="W369" i="2"/>
  <c r="AH365" i="2"/>
  <c r="AI365" i="2"/>
  <c r="AH367" i="2"/>
  <c r="AI367" i="2"/>
  <c r="AN365" i="2"/>
  <c r="AO365" i="2"/>
  <c r="AN364" i="2"/>
  <c r="AO364" i="2"/>
  <c r="AN366" i="2"/>
  <c r="AO366" i="2"/>
  <c r="AH340" i="2"/>
  <c r="AI340" i="2"/>
  <c r="Y337" i="2"/>
  <c r="Z337" i="2"/>
  <c r="AN276" i="2"/>
  <c r="AO276" i="2"/>
  <c r="AE268" i="2"/>
  <c r="AF268" i="2"/>
  <c r="AE266" i="2"/>
  <c r="AF266" i="2"/>
  <c r="AE267" i="2"/>
  <c r="AF267" i="2"/>
  <c r="AK266" i="2"/>
  <c r="AL266" i="2"/>
  <c r="AK264" i="2"/>
  <c r="AL264" i="2"/>
  <c r="V262" i="2"/>
  <c r="W262" i="2"/>
  <c r="V265" i="2"/>
  <c r="W265" i="2"/>
  <c r="AB412" i="2"/>
  <c r="AC412" i="2"/>
  <c r="Y336" i="2"/>
  <c r="Z336" i="2"/>
  <c r="S560" i="10"/>
  <c r="AS503" i="2"/>
  <c r="AS487" i="2"/>
  <c r="S452" i="10"/>
  <c r="AS395" i="2"/>
  <c r="AU447" i="2"/>
  <c r="AS242" i="2"/>
  <c r="AT244" i="2"/>
  <c r="AU244" i="2"/>
  <c r="S299" i="10"/>
  <c r="AN517" i="2"/>
  <c r="AO517" i="2"/>
  <c r="AK500" i="2"/>
  <c r="AL500" i="2"/>
  <c r="AK502" i="2"/>
  <c r="AL502" i="2"/>
  <c r="AH408" i="2"/>
  <c r="AI408" i="2"/>
  <c r="AT387" i="2"/>
  <c r="AU387" i="2"/>
  <c r="AK291" i="2"/>
  <c r="AL291" i="2"/>
  <c r="AE251" i="2"/>
  <c r="AF251" i="2"/>
  <c r="Y219" i="2"/>
  <c r="Z219" i="2"/>
  <c r="Y218" i="2"/>
  <c r="Z218" i="2"/>
  <c r="S472" i="10"/>
  <c r="AS416" i="2"/>
  <c r="AS255" i="2"/>
  <c r="AT258" i="2"/>
  <c r="AU258" i="2"/>
  <c r="S311" i="10"/>
  <c r="AH501" i="2"/>
  <c r="AI501" i="2"/>
  <c r="Y403" i="2"/>
  <c r="Z403" i="2"/>
  <c r="Y405" i="2"/>
  <c r="Z405" i="2"/>
  <c r="V362" i="2"/>
  <c r="W362" i="2"/>
  <c r="Y325" i="2"/>
  <c r="Z325" i="2"/>
  <c r="Y326" i="2"/>
  <c r="Z326" i="2"/>
  <c r="Y293" i="2"/>
  <c r="Z293" i="2"/>
  <c r="AE265" i="2"/>
  <c r="AF265" i="2"/>
  <c r="AB250" i="2"/>
  <c r="AC250" i="2"/>
  <c r="AB251" i="2"/>
  <c r="AC251" i="2"/>
  <c r="S105" i="10"/>
  <c r="AK438" i="2"/>
  <c r="AL438" i="2"/>
  <c r="AN413" i="2"/>
  <c r="AO413" i="2"/>
  <c r="AH377" i="2"/>
  <c r="AI377" i="2"/>
  <c r="AH378" i="2"/>
  <c r="AI378" i="2"/>
  <c r="AB294" i="2"/>
  <c r="AC294" i="2"/>
  <c r="V260" i="2"/>
  <c r="W260" i="2"/>
  <c r="V258" i="2"/>
  <c r="W258" i="2"/>
  <c r="AN561" i="2"/>
  <c r="AH532" i="2"/>
  <c r="AI532" i="2"/>
  <c r="AH499" i="2"/>
  <c r="AI499" i="2"/>
  <c r="AN463" i="2"/>
  <c r="AO463" i="2"/>
  <c r="AN402" i="2"/>
  <c r="AO402" i="2"/>
  <c r="Y393" i="2"/>
  <c r="Z393" i="2"/>
  <c r="Y266" i="2"/>
  <c r="Z266" i="2"/>
  <c r="S538" i="10"/>
  <c r="S536" i="10"/>
  <c r="S210" i="10"/>
  <c r="AQ476" i="2"/>
  <c r="AR476" i="2"/>
  <c r="AH429" i="2"/>
  <c r="AI429" i="2"/>
  <c r="AH270" i="2"/>
  <c r="AI270" i="2"/>
  <c r="AH267" i="2"/>
  <c r="AI267" i="2"/>
  <c r="AN265" i="2"/>
  <c r="AO265" i="2"/>
  <c r="S402" i="10"/>
  <c r="AS345" i="2"/>
  <c r="S258" i="10"/>
  <c r="S10" i="10"/>
  <c r="V513" i="2"/>
  <c r="W513" i="2"/>
  <c r="AE486" i="2"/>
  <c r="AF486" i="2"/>
  <c r="AE468" i="2"/>
  <c r="AF468" i="2"/>
  <c r="AH451" i="2"/>
  <c r="AI451" i="2"/>
  <c r="W413" i="2"/>
  <c r="AN399" i="2"/>
  <c r="AO399" i="2"/>
  <c r="V339" i="2"/>
  <c r="W339" i="2"/>
  <c r="S250" i="10"/>
  <c r="S206" i="10"/>
  <c r="V517" i="2"/>
  <c r="W517" i="2"/>
  <c r="AN464" i="2"/>
  <c r="AO464" i="2"/>
  <c r="Y425" i="2"/>
  <c r="Z425" i="2"/>
  <c r="V402" i="2"/>
  <c r="W402" i="2"/>
  <c r="Y392" i="2"/>
  <c r="Z392" i="2"/>
  <c r="AK382" i="2"/>
  <c r="AL382" i="2"/>
  <c r="AH347" i="2"/>
  <c r="AI347" i="2"/>
  <c r="AE336" i="2"/>
  <c r="AF336" i="2"/>
  <c r="AB324" i="2"/>
  <c r="AC324" i="2"/>
  <c r="Y271" i="2"/>
  <c r="Z271" i="2"/>
  <c r="AS413" i="2"/>
  <c r="AT413" i="2"/>
  <c r="AU413" i="2"/>
  <c r="S469" i="10"/>
  <c r="S113" i="10"/>
  <c r="S97" i="10"/>
  <c r="AE569" i="2"/>
  <c r="AF569" i="2"/>
  <c r="S174" i="10"/>
  <c r="S77" i="10"/>
  <c r="S531" i="10"/>
  <c r="S300" i="10"/>
  <c r="S89" i="10"/>
  <c r="S25" i="10"/>
  <c r="AB563" i="2"/>
  <c r="AC563" i="2"/>
  <c r="Y243" i="2"/>
  <c r="Z243" i="2"/>
  <c r="V240" i="2"/>
  <c r="W240" i="2"/>
  <c r="S483" i="10"/>
  <c r="S230" i="10"/>
  <c r="S150" i="10"/>
  <c r="S142" i="10"/>
  <c r="AK265" i="2"/>
  <c r="AL265" i="2"/>
  <c r="AB258" i="2"/>
  <c r="AC258" i="2"/>
  <c r="S488" i="10"/>
  <c r="S445" i="10"/>
  <c r="S109" i="10"/>
  <c r="S45" i="10"/>
  <c r="AE556" i="2"/>
  <c r="AF556" i="2"/>
  <c r="S122" i="10"/>
  <c r="AQ563" i="2"/>
  <c r="AR563" i="2"/>
  <c r="S162" i="10"/>
  <c r="S117" i="10"/>
  <c r="S57" i="10"/>
  <c r="S182" i="10"/>
  <c r="S49" i="10"/>
  <c r="AH554" i="2"/>
  <c r="AI554" i="2"/>
  <c r="AK568" i="2"/>
  <c r="AL568" i="2"/>
  <c r="S496" i="10"/>
  <c r="S146" i="10"/>
  <c r="AH568" i="2"/>
  <c r="AI568" i="2"/>
  <c r="S202" i="10"/>
  <c r="AN568" i="2"/>
  <c r="AO568" i="2"/>
  <c r="AN560" i="2"/>
  <c r="AO560" i="2"/>
  <c r="AK564" i="2"/>
  <c r="AL564" i="2"/>
  <c r="Y568" i="2"/>
  <c r="Z568" i="2"/>
  <c r="AE568" i="2"/>
  <c r="AF568" i="2"/>
  <c r="AQ569" i="2"/>
  <c r="AR569" i="2"/>
  <c r="AT469" i="2"/>
  <c r="AU469" i="2"/>
  <c r="AT411" i="2"/>
  <c r="AT498" i="2"/>
  <c r="AU498" i="2"/>
  <c r="AT497" i="2"/>
  <c r="AU497" i="2"/>
  <c r="AT333" i="2"/>
  <c r="AU333" i="2"/>
  <c r="AT332" i="2"/>
  <c r="AU332" i="2"/>
  <c r="AT482" i="2"/>
  <c r="AU482" i="2"/>
  <c r="AT221" i="2"/>
  <c r="AU221" i="2"/>
  <c r="AT216" i="2"/>
  <c r="AU216" i="2"/>
  <c r="AT404" i="2"/>
  <c r="AU404" i="2"/>
  <c r="AT499" i="2"/>
  <c r="AU499" i="2"/>
  <c r="AT496" i="2"/>
  <c r="AU496" i="2"/>
  <c r="AT226" i="2"/>
  <c r="AU226" i="2"/>
  <c r="AT225" i="2"/>
  <c r="AU225" i="2"/>
  <c r="AT248" i="2"/>
  <c r="AU248" i="2"/>
  <c r="AT426" i="2"/>
  <c r="AU426" i="2"/>
  <c r="AT425" i="2"/>
  <c r="AT434" i="2"/>
  <c r="AU434" i="2"/>
  <c r="AT433" i="2"/>
  <c r="AU433" i="2"/>
  <c r="AT424" i="2"/>
  <c r="AU424" i="2"/>
  <c r="AT536" i="2"/>
  <c r="AU536" i="2"/>
  <c r="AT537" i="2"/>
  <c r="AT538" i="2"/>
  <c r="AU538" i="2"/>
  <c r="AT535" i="2"/>
  <c r="AT224" i="2"/>
  <c r="AU224" i="2"/>
  <c r="AT223" i="2"/>
  <c r="AU223" i="2"/>
  <c r="AT518" i="2"/>
  <c r="AU518" i="2"/>
  <c r="AT559" i="2"/>
  <c r="AU559" i="2"/>
  <c r="AT558" i="2"/>
  <c r="AU558" i="2"/>
  <c r="AT557" i="2"/>
  <c r="AT543" i="2"/>
  <c r="AT541" i="2"/>
  <c r="AU541" i="2"/>
  <c r="AT452" i="2"/>
  <c r="AU452" i="2"/>
  <c r="AT229" i="2"/>
  <c r="AU229" i="2"/>
  <c r="AT278" i="2"/>
  <c r="AU278" i="2"/>
  <c r="AT275" i="2"/>
  <c r="AU275" i="2"/>
  <c r="AT461" i="2"/>
  <c r="AU461" i="2"/>
  <c r="AT454" i="2"/>
  <c r="AU454" i="2"/>
  <c r="AT414" i="2"/>
  <c r="AU414" i="2"/>
  <c r="AT463" i="2"/>
  <c r="AU463" i="2"/>
  <c r="AT293" i="2"/>
  <c r="AU293" i="2"/>
  <c r="AT291" i="2"/>
  <c r="AU291" i="2"/>
  <c r="AT290" i="2"/>
  <c r="AU290" i="2"/>
  <c r="AT292" i="2"/>
  <c r="AU292" i="2"/>
  <c r="AB573" i="2"/>
  <c r="AC573" i="2"/>
  <c r="AH574" i="2"/>
  <c r="AI574" i="2"/>
  <c r="AQ573" i="2"/>
  <c r="AR573" i="2"/>
  <c r="W325" i="2"/>
  <c r="V274" i="2"/>
  <c r="W274" i="2"/>
  <c r="V268" i="2"/>
  <c r="W268" i="2"/>
  <c r="V271" i="2"/>
  <c r="W271" i="2"/>
  <c r="V270" i="2"/>
  <c r="W270" i="2"/>
  <c r="AE319" i="2"/>
  <c r="AF319" i="2"/>
  <c r="AE321" i="2"/>
  <c r="AF321" i="2"/>
  <c r="AE320" i="2"/>
  <c r="AF320" i="2"/>
  <c r="AE322" i="2"/>
  <c r="AF322" i="2"/>
  <c r="AK320" i="2"/>
  <c r="AL320" i="2"/>
  <c r="AK318" i="2"/>
  <c r="AL318" i="2"/>
  <c r="AK317" i="2"/>
  <c r="AL317" i="2"/>
  <c r="AQ317" i="2"/>
  <c r="AR317" i="2"/>
  <c r="AQ316" i="2"/>
  <c r="AR316" i="2"/>
  <c r="AQ318" i="2"/>
  <c r="AR318" i="2"/>
  <c r="AQ319" i="2"/>
  <c r="AR319" i="2"/>
  <c r="V316" i="2"/>
  <c r="W316" i="2"/>
  <c r="V315" i="2"/>
  <c r="W315" i="2"/>
  <c r="V317" i="2"/>
  <c r="W317" i="2"/>
  <c r="V318" i="2"/>
  <c r="W318" i="2"/>
  <c r="AE295" i="2"/>
  <c r="AF295" i="2"/>
  <c r="AE297" i="2"/>
  <c r="AF297" i="2"/>
  <c r="AN296" i="2"/>
  <c r="AO296" i="2"/>
  <c r="AN295" i="2"/>
  <c r="AO295" i="2"/>
  <c r="AN294" i="2"/>
  <c r="AO294" i="2"/>
  <c r="AN293" i="2"/>
  <c r="AO293" i="2"/>
  <c r="V273" i="2"/>
  <c r="W273" i="2"/>
  <c r="AT304" i="2"/>
  <c r="AU304" i="2"/>
  <c r="AH395" i="2"/>
  <c r="AI395" i="2"/>
  <c r="AN393" i="2"/>
  <c r="AO393" i="2"/>
  <c r="AN394" i="2"/>
  <c r="AO394" i="2"/>
  <c r="AN392" i="2"/>
  <c r="AO392" i="2"/>
  <c r="AQ391" i="2"/>
  <c r="AR391" i="2"/>
  <c r="AQ393" i="2"/>
  <c r="AR393" i="2"/>
  <c r="AQ392" i="2"/>
  <c r="AR392" i="2"/>
  <c r="V392" i="2"/>
  <c r="W392" i="2"/>
  <c r="AB391" i="2"/>
  <c r="AC391" i="2"/>
  <c r="AB388" i="2"/>
  <c r="AC388" i="2"/>
  <c r="AB390" i="2"/>
  <c r="AC390" i="2"/>
  <c r="AE390" i="2"/>
  <c r="AF390" i="2"/>
  <c r="AE389" i="2"/>
  <c r="AF389" i="2"/>
  <c r="AE388" i="2"/>
  <c r="AF388" i="2"/>
  <c r="AE387" i="2"/>
  <c r="AF387" i="2"/>
  <c r="AH388" i="2"/>
  <c r="AH389" i="2"/>
  <c r="AI389" i="2"/>
  <c r="AH387" i="2"/>
  <c r="AI387" i="2"/>
  <c r="AK386" i="2"/>
  <c r="AL386" i="2"/>
  <c r="AK388" i="2"/>
  <c r="AL388" i="2"/>
  <c r="AK385" i="2"/>
  <c r="AL385" i="2"/>
  <c r="AK387" i="2"/>
  <c r="AL387" i="2"/>
  <c r="AH381" i="2"/>
  <c r="AI381" i="2"/>
  <c r="AH382" i="2"/>
  <c r="AI382" i="2"/>
  <c r="AH383" i="2"/>
  <c r="AI383" i="2"/>
  <c r="AH384" i="2"/>
  <c r="AI384" i="2"/>
  <c r="AE378" i="2"/>
  <c r="AF378" i="2"/>
  <c r="AK377" i="2"/>
  <c r="AL377" i="2"/>
  <c r="AK374" i="2"/>
  <c r="AL374" i="2"/>
  <c r="AK376" i="2"/>
  <c r="AL376" i="2"/>
  <c r="AK375" i="2"/>
  <c r="AL375" i="2"/>
  <c r="AQ370" i="2"/>
  <c r="AR370" i="2"/>
  <c r="AQ368" i="2"/>
  <c r="AR368" i="2"/>
  <c r="AE346" i="2"/>
  <c r="AF346" i="2"/>
  <c r="AE345" i="2"/>
  <c r="AF345" i="2"/>
  <c r="AE344" i="2"/>
  <c r="AF344" i="2"/>
  <c r="AE343" i="2"/>
  <c r="AF343" i="2"/>
  <c r="V321" i="2"/>
  <c r="W321" i="2"/>
  <c r="V324" i="2"/>
  <c r="W324" i="2"/>
  <c r="Y320" i="2"/>
  <c r="Z320" i="2"/>
  <c r="Y322" i="2"/>
  <c r="Z322" i="2"/>
  <c r="AH319" i="2"/>
  <c r="AI319" i="2"/>
  <c r="AH321" i="2"/>
  <c r="AI321" i="2"/>
  <c r="AH320" i="2"/>
  <c r="AI320" i="2"/>
  <c r="AH318" i="2"/>
  <c r="AI318" i="2"/>
  <c r="Y314" i="2"/>
  <c r="Z314" i="2"/>
  <c r="Y315" i="2"/>
  <c r="Z315" i="2"/>
  <c r="Y317" i="2"/>
  <c r="Z317" i="2"/>
  <c r="Y316" i="2"/>
  <c r="Z316" i="2"/>
  <c r="AH294" i="2"/>
  <c r="AI294" i="2"/>
  <c r="AH295" i="2"/>
  <c r="AI295" i="2"/>
  <c r="AR344" i="2"/>
  <c r="AQ293" i="2"/>
  <c r="AR293" i="2"/>
  <c r="AQ295" i="2"/>
  <c r="AR295" i="2"/>
  <c r="V276" i="2"/>
  <c r="W276" i="2"/>
  <c r="AT545" i="2"/>
  <c r="AU545" i="2"/>
  <c r="AT546" i="2"/>
  <c r="AU546" i="2"/>
  <c r="AT547" i="2"/>
  <c r="AU547" i="2"/>
  <c r="V547" i="2"/>
  <c r="W547" i="2"/>
  <c r="V545" i="2"/>
  <c r="W545" i="2"/>
  <c r="V544" i="2"/>
  <c r="W544" i="2"/>
  <c r="V546" i="2"/>
  <c r="W546" i="2"/>
  <c r="V529" i="2"/>
  <c r="W529" i="2"/>
  <c r="V531" i="2"/>
  <c r="W531" i="2"/>
  <c r="AB274" i="2"/>
  <c r="AC274" i="2"/>
  <c r="AB275" i="2"/>
  <c r="AC275" i="2"/>
  <c r="AB272" i="2"/>
  <c r="AC272" i="2"/>
  <c r="AO435" i="2"/>
  <c r="AN385" i="2"/>
  <c r="AO385" i="2"/>
  <c r="AN386" i="2"/>
  <c r="AB385" i="2"/>
  <c r="AC385" i="2"/>
  <c r="AB382" i="2"/>
  <c r="AC382" i="2"/>
  <c r="AE356" i="2"/>
  <c r="AF356" i="2"/>
  <c r="AE354" i="2"/>
  <c r="AF354" i="2"/>
  <c r="AQ354" i="2"/>
  <c r="AR354" i="2"/>
  <c r="AQ353" i="2"/>
  <c r="AR353" i="2"/>
  <c r="AQ352" i="2"/>
  <c r="AR352" i="2"/>
  <c r="AQ351" i="2"/>
  <c r="AR351" i="2"/>
  <c r="V350" i="2"/>
  <c r="W350" i="2"/>
  <c r="AC434" i="2"/>
  <c r="AB514" i="2"/>
  <c r="AC514" i="2"/>
  <c r="AB512" i="2"/>
  <c r="AC512" i="2"/>
  <c r="V502" i="2"/>
  <c r="W502" i="2"/>
  <c r="AB450" i="2"/>
  <c r="AC450" i="2"/>
  <c r="AB449" i="2"/>
  <c r="AC449" i="2"/>
  <c r="AB447" i="2"/>
  <c r="AC447" i="2"/>
  <c r="V398" i="2"/>
  <c r="W398" i="2"/>
  <c r="V395" i="2"/>
  <c r="AT391" i="2"/>
  <c r="AU391" i="2"/>
  <c r="AN333" i="2"/>
  <c r="AO333" i="2"/>
  <c r="AN332" i="2"/>
  <c r="AO332" i="2"/>
  <c r="Y333" i="2"/>
  <c r="Z333" i="2"/>
  <c r="Y331" i="2"/>
  <c r="Z331" i="2"/>
  <c r="Y332" i="2"/>
  <c r="Y330" i="2"/>
  <c r="Z330" i="2"/>
  <c r="Y298" i="2"/>
  <c r="Z298" i="2"/>
  <c r="Y296" i="2"/>
  <c r="Z296" i="2"/>
  <c r="Y297" i="2"/>
  <c r="Z297" i="2"/>
  <c r="AE258" i="2"/>
  <c r="AF258" i="2"/>
  <c r="AE259" i="2"/>
  <c r="AF259" i="2"/>
  <c r="AE256" i="2"/>
  <c r="AF256" i="2"/>
  <c r="Y509" i="2"/>
  <c r="Z509" i="2"/>
  <c r="Y508" i="2"/>
  <c r="Z508" i="2"/>
  <c r="AB508" i="2"/>
  <c r="AC508" i="2"/>
  <c r="AB506" i="2"/>
  <c r="AC506" i="2"/>
  <c r="AK480" i="2"/>
  <c r="AL480" i="2"/>
  <c r="AK481" i="2"/>
  <c r="AL481" i="2"/>
  <c r="AK479" i="2"/>
  <c r="AL479" i="2"/>
  <c r="AN481" i="2"/>
  <c r="AO481" i="2"/>
  <c r="AN480" i="2"/>
  <c r="AO480" i="2"/>
  <c r="AB425" i="2"/>
  <c r="AC425" i="2"/>
  <c r="AB426" i="2"/>
  <c r="AC426" i="2"/>
  <c r="AB424" i="2"/>
  <c r="AC424" i="2"/>
  <c r="AQ401" i="2"/>
  <c r="AR401" i="2"/>
  <c r="AQ400" i="2"/>
  <c r="AR400" i="2"/>
  <c r="AQ403" i="2"/>
  <c r="AR403" i="2"/>
  <c r="AB399" i="2"/>
  <c r="AC399" i="2"/>
  <c r="AB400" i="2"/>
  <c r="AC400" i="2"/>
  <c r="AE399" i="2"/>
  <c r="AF399" i="2"/>
  <c r="AF449" i="2"/>
  <c r="AT379" i="2"/>
  <c r="Y295" i="2"/>
  <c r="Z295" i="2"/>
  <c r="AI385" i="2"/>
  <c r="AT450" i="2"/>
  <c r="AU450" i="2"/>
  <c r="AT449" i="2"/>
  <c r="AB384" i="2"/>
  <c r="AC384" i="2"/>
  <c r="AF474" i="2"/>
  <c r="AT435" i="2"/>
  <c r="AN483" i="2"/>
  <c r="AO483" i="2"/>
  <c r="V482" i="2"/>
  <c r="W482" i="2"/>
  <c r="V483" i="2"/>
  <c r="W483" i="2"/>
  <c r="AB482" i="2"/>
  <c r="AC482" i="2"/>
  <c r="AB481" i="2"/>
  <c r="AC481" i="2"/>
  <c r="AS341" i="2"/>
  <c r="AT344" i="2"/>
  <c r="S397" i="10"/>
  <c r="S396" i="10"/>
  <c r="S391" i="10"/>
  <c r="AS334" i="2"/>
  <c r="AT335" i="2"/>
  <c r="AU335" i="2"/>
  <c r="S388" i="10"/>
  <c r="AS327" i="2"/>
  <c r="AU379" i="2"/>
  <c r="S383" i="10"/>
  <c r="S381" i="10"/>
  <c r="S376" i="10"/>
  <c r="S375" i="10"/>
  <c r="AS311" i="2"/>
  <c r="AT313" i="2"/>
  <c r="AU313" i="2"/>
  <c r="S368" i="10"/>
  <c r="S367" i="10"/>
  <c r="S365" i="10"/>
  <c r="AS286" i="2"/>
  <c r="AT287" i="2"/>
  <c r="AU287" i="2"/>
  <c r="S341" i="10"/>
  <c r="S343" i="10"/>
  <c r="S340" i="10"/>
  <c r="AS279" i="2"/>
  <c r="AU331" i="2"/>
  <c r="S333" i="10"/>
  <c r="S336" i="10"/>
  <c r="S334" i="10"/>
  <c r="S335" i="10"/>
  <c r="AS271" i="2"/>
  <c r="S328" i="10"/>
  <c r="S326" i="10"/>
  <c r="S325" i="10"/>
  <c r="S327" i="10"/>
  <c r="Y500" i="2"/>
  <c r="Z500" i="2"/>
  <c r="Y501" i="2"/>
  <c r="Z501" i="2"/>
  <c r="Y503" i="2"/>
  <c r="Z503" i="2"/>
  <c r="AE461" i="2"/>
  <c r="AF461" i="2"/>
  <c r="AK459" i="2"/>
  <c r="AL459" i="2"/>
  <c r="AK457" i="2"/>
  <c r="AL457" i="2"/>
  <c r="AK456" i="2"/>
  <c r="AL456" i="2"/>
  <c r="V454" i="2"/>
  <c r="W454" i="2"/>
  <c r="V456" i="2"/>
  <c r="W456" i="2"/>
  <c r="AQ450" i="2"/>
  <c r="AR450" i="2"/>
  <c r="AQ452" i="2"/>
  <c r="AR452" i="2"/>
  <c r="AQ451" i="2"/>
  <c r="AR451" i="2"/>
  <c r="AQ453" i="2"/>
  <c r="AR453" i="2"/>
  <c r="Y450" i="2"/>
  <c r="Z450" i="2"/>
  <c r="Y448" i="2"/>
  <c r="Z448" i="2"/>
  <c r="Y449" i="2"/>
  <c r="Z449" i="2"/>
  <c r="AE394" i="2"/>
  <c r="AF394" i="2"/>
  <c r="AE393" i="2"/>
  <c r="AF393" i="2"/>
  <c r="AE392" i="2"/>
  <c r="AF392" i="2"/>
  <c r="AK393" i="2"/>
  <c r="AL393" i="2"/>
  <c r="AK392" i="2"/>
  <c r="AL392" i="2"/>
  <c r="AK391" i="2"/>
  <c r="AL391" i="2"/>
  <c r="V391" i="2"/>
  <c r="W391" i="2"/>
  <c r="V388" i="2"/>
  <c r="W388" i="2"/>
  <c r="V389" i="2"/>
  <c r="W389" i="2"/>
  <c r="AQ334" i="2"/>
  <c r="AR334" i="2"/>
  <c r="AQ331" i="2"/>
  <c r="AR331" i="2"/>
  <c r="AE221" i="2"/>
  <c r="AF221" i="2"/>
  <c r="AE218" i="2"/>
  <c r="AF218" i="2"/>
  <c r="AL508" i="2"/>
  <c r="V390" i="2"/>
  <c r="W390" i="2"/>
  <c r="AK256" i="2"/>
  <c r="AL256" i="2"/>
  <c r="AF427" i="2"/>
  <c r="AB507" i="2"/>
  <c r="AC507" i="2"/>
  <c r="AT561" i="2"/>
  <c r="AU561" i="2"/>
  <c r="AT560" i="2"/>
  <c r="AU560" i="2"/>
  <c r="AN478" i="2"/>
  <c r="AO478" i="2"/>
  <c r="AK458" i="2"/>
  <c r="AL458" i="2"/>
  <c r="V444" i="2"/>
  <c r="W444" i="2"/>
  <c r="Y436" i="2"/>
  <c r="Z436" i="2"/>
  <c r="AB437" i="2"/>
  <c r="AC437" i="2"/>
  <c r="AB436" i="2"/>
  <c r="AC436" i="2"/>
  <c r="AC486" i="2"/>
  <c r="AB435" i="2"/>
  <c r="AC435" i="2"/>
  <c r="AQ431" i="2"/>
  <c r="AR431" i="2"/>
  <c r="AQ432" i="2"/>
  <c r="AR432" i="2"/>
  <c r="AE428" i="2"/>
  <c r="AF428" i="2"/>
  <c r="AE426" i="2"/>
  <c r="AF426" i="2"/>
  <c r="AK426" i="2"/>
  <c r="AL426" i="2"/>
  <c r="AK428" i="2"/>
  <c r="AL428" i="2"/>
  <c r="AQ425" i="2"/>
  <c r="AR425" i="2"/>
  <c r="AQ426" i="2"/>
  <c r="AR426" i="2"/>
  <c r="AQ427" i="2"/>
  <c r="AR427" i="2"/>
  <c r="AQ424" i="2"/>
  <c r="AR424" i="2"/>
  <c r="W363" i="7"/>
  <c r="W362" i="7"/>
  <c r="W365" i="7"/>
  <c r="AT530" i="2"/>
  <c r="AU530" i="2"/>
  <c r="AB396" i="2"/>
  <c r="AC396" i="2"/>
  <c r="AB397" i="2"/>
  <c r="AC397" i="2"/>
  <c r="AB394" i="2"/>
  <c r="AC394" i="2"/>
  <c r="AB395" i="2"/>
  <c r="AC395" i="2"/>
  <c r="V359" i="2"/>
  <c r="W359" i="2"/>
  <c r="V358" i="2"/>
  <c r="W358" i="2"/>
  <c r="AH356" i="2"/>
  <c r="AI356" i="2"/>
  <c r="AH355" i="2"/>
  <c r="AI355" i="2"/>
  <c r="AH354" i="2"/>
  <c r="AI354" i="2"/>
  <c r="AB349" i="2"/>
  <c r="AC349" i="2"/>
  <c r="AB350" i="2"/>
  <c r="AC350" i="2"/>
  <c r="AR507" i="2"/>
  <c r="AQ398" i="2"/>
  <c r="AR398" i="2"/>
  <c r="AQ397" i="2"/>
  <c r="AR397" i="2"/>
  <c r="AQ399" i="2"/>
  <c r="AR399" i="2"/>
  <c r="AQ396" i="2"/>
  <c r="AR396" i="2"/>
  <c r="AH393" i="2"/>
  <c r="AI393" i="2"/>
  <c r="AH392" i="2"/>
  <c r="AI392" i="2"/>
  <c r="AH391" i="2"/>
  <c r="AI391" i="2"/>
  <c r="AN390" i="2"/>
  <c r="AO390" i="2"/>
  <c r="AN391" i="2"/>
  <c r="AO391" i="2"/>
  <c r="AN379" i="2"/>
  <c r="AO379" i="2"/>
  <c r="AO430" i="2"/>
  <c r="AN378" i="2"/>
  <c r="AO378" i="2"/>
  <c r="AH333" i="2"/>
  <c r="AI333" i="2"/>
  <c r="AH335" i="2"/>
  <c r="AB331" i="2"/>
  <c r="AC331" i="2"/>
  <c r="AB329" i="2"/>
  <c r="AC329" i="2"/>
  <c r="AB330" i="2"/>
  <c r="AC330" i="2"/>
  <c r="AB332" i="2"/>
  <c r="AC332" i="2"/>
  <c r="AK293" i="2"/>
  <c r="AL293" i="2"/>
  <c r="V508" i="2"/>
  <c r="W508" i="2"/>
  <c r="V509" i="2"/>
  <c r="W509" i="2"/>
  <c r="V510" i="2"/>
  <c r="W510" i="2"/>
  <c r="V507" i="2"/>
  <c r="W507" i="2"/>
  <c r="W559" i="2"/>
  <c r="AQ503" i="2"/>
  <c r="AR503" i="2"/>
  <c r="AQ502" i="2"/>
  <c r="AR502" i="2"/>
  <c r="AQ504" i="2"/>
  <c r="AR504" i="2"/>
  <c r="AQ501" i="2"/>
  <c r="AR501" i="2"/>
  <c r="AT464" i="2"/>
  <c r="AU464" i="2"/>
  <c r="AT462" i="2"/>
  <c r="AU462" i="2"/>
  <c r="V504" i="2"/>
  <c r="W504" i="2"/>
  <c r="Y387" i="2"/>
  <c r="Z387" i="2"/>
  <c r="AH257" i="2"/>
  <c r="AI257" i="2"/>
  <c r="V503" i="2"/>
  <c r="W503" i="2"/>
  <c r="AB448" i="2"/>
  <c r="AC448" i="2"/>
  <c r="AK283" i="2"/>
  <c r="AL283" i="2"/>
  <c r="AK282" i="2"/>
  <c r="AL282" i="2"/>
  <c r="AH255" i="2"/>
  <c r="AI255" i="2"/>
  <c r="AK252" i="2"/>
  <c r="AL252" i="2"/>
  <c r="AK254" i="2"/>
  <c r="AL254" i="2"/>
  <c r="AK253" i="2"/>
  <c r="AL253" i="2"/>
  <c r="AQ250" i="2"/>
  <c r="AR250" i="2"/>
  <c r="AQ253" i="2"/>
  <c r="AR253" i="2"/>
  <c r="AT246" i="2"/>
  <c r="AU246" i="2"/>
  <c r="AT245" i="2"/>
  <c r="AU245" i="2"/>
  <c r="AT243" i="2"/>
  <c r="AU243" i="2"/>
  <c r="V246" i="2"/>
  <c r="W246" i="2"/>
  <c r="V244" i="2"/>
  <c r="W244" i="2"/>
  <c r="V243" i="2"/>
  <c r="W243" i="2"/>
  <c r="V245" i="2"/>
  <c r="W245" i="2"/>
  <c r="S570" i="10"/>
  <c r="AS513" i="2"/>
  <c r="AT516" i="2"/>
  <c r="AU516" i="2"/>
  <c r="S567" i="10"/>
  <c r="S568" i="10"/>
  <c r="S569" i="10"/>
  <c r="AS500" i="2"/>
  <c r="AT500" i="2"/>
  <c r="AU500" i="2"/>
  <c r="S557" i="10"/>
  <c r="S556" i="10"/>
  <c r="S554" i="10"/>
  <c r="S555" i="10"/>
  <c r="AS492" i="2"/>
  <c r="AT495" i="2"/>
  <c r="AU495" i="2"/>
  <c r="AU544" i="2"/>
  <c r="S549" i="10"/>
  <c r="S548" i="10"/>
  <c r="AS485" i="2"/>
  <c r="AT488" i="2"/>
  <c r="AU488" i="2"/>
  <c r="S541" i="10"/>
  <c r="S539" i="10"/>
  <c r="S540" i="10"/>
  <c r="S542" i="10"/>
  <c r="AT446" i="2"/>
  <c r="AT448" i="2"/>
  <c r="AU448" i="2"/>
  <c r="AT447" i="2"/>
  <c r="AK547" i="2"/>
  <c r="AL547" i="2"/>
  <c r="AK548" i="2"/>
  <c r="AL548" i="2"/>
  <c r="V447" i="2"/>
  <c r="W447" i="2"/>
  <c r="V446" i="2"/>
  <c r="W446" i="2"/>
  <c r="V448" i="2"/>
  <c r="W448" i="2"/>
  <c r="Y397" i="2"/>
  <c r="Z397" i="2"/>
  <c r="Y398" i="2"/>
  <c r="Z398" i="2"/>
  <c r="Z447" i="2"/>
  <c r="Y358" i="2"/>
  <c r="Z358" i="2"/>
  <c r="AH353" i="2"/>
  <c r="AI353" i="2"/>
  <c r="V357" i="2"/>
  <c r="W357" i="2"/>
  <c r="AQ378" i="2"/>
  <c r="AR378" i="2"/>
  <c r="AQ380" i="2"/>
  <c r="AR380" i="2"/>
  <c r="AE377" i="2"/>
  <c r="AF377" i="2"/>
  <c r="AE328" i="2"/>
  <c r="AF328" i="2"/>
  <c r="AE329" i="2"/>
  <c r="AF329" i="2"/>
  <c r="AE330" i="2"/>
  <c r="AF330" i="2"/>
  <c r="AE331" i="2"/>
  <c r="AF331" i="2"/>
  <c r="AL344" i="2"/>
  <c r="AE422" i="2"/>
  <c r="AF422" i="2"/>
  <c r="AE425" i="2"/>
  <c r="AF425" i="2"/>
  <c r="AE424" i="2"/>
  <c r="AF424" i="2"/>
  <c r="AE423" i="2"/>
  <c r="AF423" i="2"/>
  <c r="AT554" i="2"/>
  <c r="AU554" i="2"/>
  <c r="AT509" i="2"/>
  <c r="AU509" i="2"/>
  <c r="AB352" i="2"/>
  <c r="AC352" i="2"/>
  <c r="AT300" i="2"/>
  <c r="AU300" i="2"/>
  <c r="AT531" i="2"/>
  <c r="AU531" i="2"/>
  <c r="Y502" i="2"/>
  <c r="Z502" i="2"/>
  <c r="AB401" i="2"/>
  <c r="AC401" i="2"/>
  <c r="AE257" i="2"/>
  <c r="AF257" i="2"/>
  <c r="Y390" i="2"/>
  <c r="Z390" i="2"/>
  <c r="AK257" i="2"/>
  <c r="AL257" i="2"/>
  <c r="V351" i="2"/>
  <c r="W351" i="2"/>
  <c r="AB513" i="2"/>
  <c r="AQ379" i="2"/>
  <c r="AR379" i="2"/>
  <c r="Y451" i="2"/>
  <c r="Z451" i="2"/>
  <c r="AB423" i="2"/>
  <c r="AC423" i="2"/>
  <c r="AB430" i="2"/>
  <c r="AH460" i="2"/>
  <c r="AI460" i="2"/>
  <c r="AN318" i="2"/>
  <c r="AO318" i="2"/>
  <c r="AN319" i="2"/>
  <c r="AO319" i="2"/>
  <c r="AN320" i="2"/>
  <c r="AO320" i="2"/>
  <c r="AN317" i="2"/>
  <c r="AO317" i="2"/>
  <c r="AT317" i="2"/>
  <c r="AU317" i="2"/>
  <c r="AT319" i="2"/>
  <c r="AC366" i="2"/>
  <c r="AE313" i="2"/>
  <c r="AH315" i="2"/>
  <c r="AI315" i="2"/>
  <c r="AH313" i="2"/>
  <c r="AI313" i="2"/>
  <c r="AN314" i="2"/>
  <c r="AO314" i="2"/>
  <c r="AN312" i="2"/>
  <c r="AO312" i="2"/>
  <c r="AN311" i="2"/>
  <c r="AO311" i="2"/>
  <c r="V312" i="2"/>
  <c r="W312" i="2"/>
  <c r="V292" i="2"/>
  <c r="W292" i="2"/>
  <c r="V293" i="2"/>
  <c r="W293" i="2"/>
  <c r="Y291" i="2"/>
  <c r="Z291" i="2"/>
  <c r="AB291" i="2"/>
  <c r="AC291" i="2"/>
  <c r="AB293" i="2"/>
  <c r="AC293" i="2"/>
  <c r="AE286" i="2"/>
  <c r="AF286" i="2"/>
  <c r="AE283" i="2"/>
  <c r="AF283" i="2"/>
  <c r="AI433" i="2"/>
  <c r="AE546" i="2"/>
  <c r="AF546" i="2"/>
  <c r="AE545" i="2"/>
  <c r="AF545" i="2"/>
  <c r="AH543" i="2"/>
  <c r="AI543" i="2"/>
  <c r="AH544" i="2"/>
  <c r="AI544" i="2"/>
  <c r="AK539" i="2"/>
  <c r="AL539" i="2"/>
  <c r="AK536" i="2"/>
  <c r="AL536" i="2"/>
  <c r="Y531" i="2"/>
  <c r="Z531" i="2"/>
  <c r="Y530" i="2"/>
  <c r="Z530" i="2"/>
  <c r="Y529" i="2"/>
  <c r="Z529" i="2"/>
  <c r="AN526" i="2"/>
  <c r="AO526" i="2"/>
  <c r="AN529" i="2"/>
  <c r="AO529" i="2"/>
  <c r="AK526" i="2"/>
  <c r="AL526" i="2"/>
  <c r="AN524" i="2"/>
  <c r="AO524" i="2"/>
  <c r="AE511" i="2"/>
  <c r="AF511" i="2"/>
  <c r="AE512" i="2"/>
  <c r="AF512" i="2"/>
  <c r="AH511" i="2"/>
  <c r="AI511" i="2"/>
  <c r="AH512" i="2"/>
  <c r="AI512" i="2"/>
  <c r="Y507" i="2"/>
  <c r="Z507" i="2"/>
  <c r="Y506" i="2"/>
  <c r="Z506" i="2"/>
  <c r="AH505" i="2"/>
  <c r="AI505" i="2"/>
  <c r="AH504" i="2"/>
  <c r="AI504" i="2"/>
  <c r="AK424" i="2"/>
  <c r="AL424" i="2"/>
  <c r="AK422" i="2"/>
  <c r="AL422" i="2"/>
  <c r="AK423" i="2"/>
  <c r="AL423" i="2"/>
  <c r="AE419" i="2"/>
  <c r="AF419" i="2"/>
  <c r="AH380" i="2"/>
  <c r="AI380" i="2"/>
  <c r="AH379" i="2"/>
  <c r="AI379" i="2"/>
  <c r="AK327" i="2"/>
  <c r="AL327" i="2"/>
  <c r="AK330" i="2"/>
  <c r="AL330" i="2"/>
  <c r="AK322" i="2"/>
  <c r="AL322" i="2"/>
  <c r="AK325" i="2"/>
  <c r="AL325" i="2"/>
  <c r="V322" i="2"/>
  <c r="W322" i="2"/>
  <c r="AQ224" i="2"/>
  <c r="AR224" i="2"/>
  <c r="AQ223" i="2"/>
  <c r="AR223" i="2"/>
  <c r="AQ222" i="2"/>
  <c r="AR222" i="2"/>
  <c r="AC557" i="2"/>
  <c r="AK518" i="2"/>
  <c r="AL518" i="2"/>
  <c r="AK519" i="2"/>
  <c r="AL519" i="2"/>
  <c r="Y471" i="2"/>
  <c r="Z471" i="2"/>
  <c r="Y472" i="2"/>
  <c r="Z472" i="2"/>
  <c r="Y473" i="2"/>
  <c r="Z473" i="2"/>
  <c r="AB429" i="2"/>
  <c r="AC429" i="2"/>
  <c r="AN425" i="2"/>
  <c r="AO425" i="2"/>
  <c r="AN426" i="2"/>
  <c r="AO426" i="2"/>
  <c r="V356" i="2"/>
  <c r="W356" i="2"/>
  <c r="Y338" i="2"/>
  <c r="Z338" i="2"/>
  <c r="Y335" i="2"/>
  <c r="Z335" i="2"/>
  <c r="Y308" i="2"/>
  <c r="Z308" i="2"/>
  <c r="Y309" i="2"/>
  <c r="Z309" i="2"/>
  <c r="Y307" i="2"/>
  <c r="Z307" i="2"/>
  <c r="AL306" i="2"/>
  <c r="AQ304" i="2"/>
  <c r="AR304" i="2"/>
  <c r="AQ302" i="2"/>
  <c r="AR302" i="2"/>
  <c r="AQ305" i="2"/>
  <c r="AR305" i="2"/>
  <c r="V304" i="2"/>
  <c r="W304" i="2"/>
  <c r="V302" i="2"/>
  <c r="W302" i="2"/>
  <c r="AN297" i="2"/>
  <c r="AO297" i="2"/>
  <c r="AN298" i="2"/>
  <c r="AO298" i="2"/>
  <c r="AQ299" i="2"/>
  <c r="AR299" i="2"/>
  <c r="AQ298" i="2"/>
  <c r="AR298" i="2"/>
  <c r="AE223" i="2"/>
  <c r="AF223" i="2"/>
  <c r="AE226" i="2"/>
  <c r="AF226" i="2"/>
  <c r="AE217" i="2"/>
  <c r="AF217" i="2"/>
  <c r="AE219" i="2"/>
  <c r="AF219" i="2"/>
  <c r="AB498" i="2"/>
  <c r="AC498" i="2"/>
  <c r="AB496" i="2"/>
  <c r="AC496" i="2"/>
  <c r="Y486" i="2"/>
  <c r="Z486" i="2"/>
  <c r="Z536" i="2"/>
  <c r="AE484" i="2"/>
  <c r="AF484" i="2"/>
  <c r="AE482" i="2"/>
  <c r="AF482" i="2"/>
  <c r="AE485" i="2"/>
  <c r="AF485" i="2"/>
  <c r="AE483" i="2"/>
  <c r="AF483" i="2"/>
  <c r="AQ471" i="2"/>
  <c r="AR471" i="2"/>
  <c r="AB463" i="2"/>
  <c r="AC463" i="2"/>
  <c r="AH447" i="2"/>
  <c r="AI447" i="2"/>
  <c r="AH444" i="2"/>
  <c r="AI444" i="2"/>
  <c r="AK446" i="2"/>
  <c r="AL446" i="2"/>
  <c r="AK444" i="2"/>
  <c r="AL444" i="2"/>
  <c r="AE418" i="2"/>
  <c r="AF418" i="2"/>
  <c r="AH414" i="2"/>
  <c r="AI414" i="2"/>
  <c r="AH416" i="2"/>
  <c r="AI416" i="2"/>
  <c r="AH417" i="2"/>
  <c r="AI417" i="2"/>
  <c r="Y412" i="2"/>
  <c r="Z412" i="2"/>
  <c r="Y411" i="2"/>
  <c r="Z411" i="2"/>
  <c r="AB376" i="2"/>
  <c r="AC376" i="2"/>
  <c r="AB373" i="2"/>
  <c r="AC373" i="2"/>
  <c r="AE375" i="2"/>
  <c r="AF375" i="2"/>
  <c r="AN343" i="2"/>
  <c r="AO343" i="2"/>
  <c r="AN342" i="2"/>
  <c r="AO342" i="2"/>
  <c r="AN344" i="2"/>
  <c r="AO344" i="2"/>
  <c r="W393" i="2"/>
  <c r="AB340" i="2"/>
  <c r="AC340" i="2"/>
  <c r="AB342" i="2"/>
  <c r="AC342" i="2"/>
  <c r="AT481" i="2"/>
  <c r="AU481" i="2"/>
  <c r="AT390" i="2"/>
  <c r="AU390" i="2"/>
  <c r="V521" i="2"/>
  <c r="W521" i="2"/>
  <c r="AK496" i="2"/>
  <c r="AL496" i="2"/>
  <c r="Y492" i="2"/>
  <c r="Z492" i="2"/>
  <c r="AE489" i="2"/>
  <c r="AF489" i="2"/>
  <c r="AE487" i="2"/>
  <c r="AF487" i="2"/>
  <c r="AH477" i="2"/>
  <c r="AI477" i="2"/>
  <c r="AH478" i="2"/>
  <c r="AI478" i="2"/>
  <c r="V476" i="2"/>
  <c r="W476" i="2"/>
  <c r="V477" i="2"/>
  <c r="W477" i="2"/>
  <c r="AK467" i="2"/>
  <c r="AL467" i="2"/>
  <c r="AK469" i="2"/>
  <c r="AL469" i="2"/>
  <c r="AK468" i="2"/>
  <c r="AL468" i="2"/>
  <c r="AR429" i="2"/>
  <c r="AB428" i="2"/>
  <c r="AC428" i="2"/>
  <c r="AB427" i="2"/>
  <c r="AC427" i="2"/>
  <c r="AH425" i="2"/>
  <c r="AI425" i="2"/>
  <c r="AH424" i="2"/>
  <c r="AI424" i="2"/>
  <c r="AH427" i="2"/>
  <c r="AI427" i="2"/>
  <c r="AN376" i="2"/>
  <c r="AO376" i="2"/>
  <c r="AN377" i="2"/>
  <c r="AO377" i="2"/>
  <c r="AN375" i="2"/>
  <c r="AO375" i="2"/>
  <c r="AK340" i="2"/>
  <c r="AL340" i="2"/>
  <c r="AN338" i="2"/>
  <c r="AO338" i="2"/>
  <c r="AN339" i="2"/>
  <c r="AO339" i="2"/>
  <c r="AO388" i="2"/>
  <c r="AQ338" i="2"/>
  <c r="AR338" i="2"/>
  <c r="AQ336" i="2"/>
  <c r="AR336" i="2"/>
  <c r="AQ335" i="2"/>
  <c r="AR335" i="2"/>
  <c r="AN291" i="2"/>
  <c r="AO291" i="2"/>
  <c r="AN289" i="2"/>
  <c r="AO289" i="2"/>
  <c r="AN229" i="2"/>
  <c r="AO229" i="2"/>
  <c r="AN226" i="2"/>
  <c r="AO226" i="2"/>
  <c r="AN227" i="2"/>
  <c r="AO227" i="2"/>
  <c r="AN228" i="2"/>
  <c r="AO228" i="2"/>
  <c r="AS264" i="2"/>
  <c r="AT266" i="2"/>
  <c r="AU266" i="2"/>
  <c r="S319" i="10"/>
  <c r="AS257" i="2"/>
  <c r="AS249" i="2"/>
  <c r="AT249" i="2"/>
  <c r="AU249" i="2"/>
  <c r="AE548" i="2"/>
  <c r="AF548" i="2"/>
  <c r="AE547" i="2"/>
  <c r="AF547" i="2"/>
  <c r="AE479" i="2"/>
  <c r="AF479" i="2"/>
  <c r="AH473" i="2"/>
  <c r="AI473" i="2"/>
  <c r="AB471" i="2"/>
  <c r="AC471" i="2"/>
  <c r="AE447" i="2"/>
  <c r="AF447" i="2"/>
  <c r="AE445" i="2"/>
  <c r="AF445" i="2"/>
  <c r="V421" i="2"/>
  <c r="W421" i="2"/>
  <c r="AI418" i="2"/>
  <c r="V401" i="2"/>
  <c r="W401" i="2"/>
  <c r="AE372" i="2"/>
  <c r="AF372" i="2"/>
  <c r="AQ321" i="2"/>
  <c r="AR321" i="2"/>
  <c r="AN306" i="2"/>
  <c r="AO306" i="2"/>
  <c r="AE296" i="2"/>
  <c r="AF296" i="2"/>
  <c r="AQ292" i="2"/>
  <c r="AR292" i="2"/>
  <c r="AB268" i="2"/>
  <c r="AB269" i="2"/>
  <c r="AC269" i="2"/>
  <c r="AB270" i="2"/>
  <c r="AC270" i="2"/>
  <c r="S494" i="10"/>
  <c r="AS440" i="2"/>
  <c r="S495" i="10"/>
  <c r="AS429" i="2"/>
  <c r="AT432" i="2"/>
  <c r="AU432" i="2"/>
  <c r="S485" i="10"/>
  <c r="AB458" i="2"/>
  <c r="AC458" i="2"/>
  <c r="AE355" i="2"/>
  <c r="AF355" i="2"/>
  <c r="Y327" i="2"/>
  <c r="Z327" i="2"/>
  <c r="Y329" i="2"/>
  <c r="W234" i="7"/>
  <c r="W235" i="7"/>
  <c r="W237" i="7"/>
  <c r="W233" i="7"/>
  <c r="W231" i="7"/>
  <c r="W232" i="7"/>
  <c r="W230" i="7"/>
  <c r="W177" i="7"/>
  <c r="W180" i="7"/>
  <c r="W42" i="7"/>
  <c r="W40" i="7"/>
  <c r="W33" i="7"/>
  <c r="W34" i="7"/>
  <c r="W32" i="7"/>
  <c r="W24" i="7"/>
  <c r="W26" i="7"/>
  <c r="W18" i="7"/>
  <c r="W16" i="7"/>
  <c r="W17" i="7"/>
  <c r="W13" i="7"/>
  <c r="W11" i="7"/>
  <c r="W10" i="7"/>
  <c r="W12" i="7"/>
  <c r="Y439" i="2"/>
  <c r="Z439" i="2"/>
  <c r="AQ434" i="2"/>
  <c r="AR434" i="2"/>
  <c r="AQ435" i="2"/>
  <c r="AR435" i="2"/>
  <c r="AH431" i="2"/>
  <c r="AI431" i="2"/>
  <c r="AH430" i="2"/>
  <c r="AI430" i="2"/>
  <c r="Y417" i="2"/>
  <c r="Z417" i="2"/>
  <c r="Y418" i="2"/>
  <c r="Z418" i="2"/>
  <c r="Y383" i="2"/>
  <c r="Z383" i="2"/>
  <c r="AK353" i="2"/>
  <c r="AL353" i="2"/>
  <c r="W270" i="7"/>
  <c r="W271" i="7"/>
  <c r="W228" i="7"/>
  <c r="W227" i="7"/>
  <c r="W226" i="7"/>
  <c r="W225" i="7"/>
  <c r="W223" i="7"/>
  <c r="W224" i="7"/>
  <c r="W221" i="7"/>
  <c r="W220" i="7"/>
  <c r="W142" i="7"/>
  <c r="W144" i="7"/>
  <c r="W145" i="7"/>
  <c r="W136" i="7"/>
  <c r="W134" i="7"/>
  <c r="W129" i="7"/>
  <c r="W126" i="7"/>
  <c r="W127" i="7"/>
  <c r="W79" i="7"/>
  <c r="W72" i="7"/>
  <c r="W65" i="7"/>
  <c r="W54" i="7"/>
  <c r="W53" i="7"/>
  <c r="W52" i="7"/>
  <c r="W46" i="7"/>
  <c r="W47" i="7"/>
  <c r="W36" i="7"/>
  <c r="W38" i="7"/>
  <c r="W37" i="7"/>
  <c r="W29" i="7"/>
  <c r="W31" i="7"/>
  <c r="W30" i="7"/>
  <c r="AS519" i="2"/>
  <c r="S574" i="10"/>
  <c r="S576" i="10"/>
  <c r="V474" i="2"/>
  <c r="W474" i="2"/>
  <c r="AN424" i="2"/>
  <c r="AO424" i="2"/>
  <c r="AQ418" i="2"/>
  <c r="AR418" i="2"/>
  <c r="AR387" i="2"/>
  <c r="W319" i="7"/>
  <c r="W317" i="7"/>
  <c r="W318" i="7"/>
  <c r="W308" i="7"/>
  <c r="W309" i="7"/>
  <c r="W300" i="7"/>
  <c r="W301" i="7"/>
  <c r="W303" i="7"/>
  <c r="W286" i="7"/>
  <c r="W284" i="7"/>
  <c r="W285" i="7"/>
  <c r="W278" i="7"/>
  <c r="W277" i="7"/>
  <c r="W253" i="7"/>
  <c r="W252" i="7"/>
  <c r="W255" i="7"/>
  <c r="W254" i="7"/>
  <c r="W246" i="7"/>
  <c r="W244" i="7"/>
  <c r="AQ547" i="2"/>
  <c r="AR547" i="2"/>
  <c r="AQ483" i="2"/>
  <c r="AR483" i="2"/>
  <c r="V450" i="2"/>
  <c r="W450" i="2"/>
  <c r="AN405" i="2"/>
  <c r="AO405" i="2"/>
  <c r="AL398" i="2"/>
  <c r="Y395" i="2"/>
  <c r="Z395" i="2"/>
  <c r="Y365" i="2"/>
  <c r="Z365" i="2"/>
  <c r="AK363" i="2"/>
  <c r="AL363" i="2"/>
  <c r="AQ323" i="2"/>
  <c r="AR323" i="2"/>
  <c r="AQ297" i="2"/>
  <c r="AR297" i="2"/>
  <c r="V275" i="2"/>
  <c r="W275" i="2"/>
  <c r="AK251" i="2"/>
  <c r="AL251" i="2"/>
  <c r="AN245" i="2"/>
  <c r="AO245" i="2"/>
  <c r="AK241" i="2"/>
  <c r="AL241" i="2"/>
  <c r="W315" i="7"/>
  <c r="W316" i="7"/>
  <c r="W310" i="7"/>
  <c r="W294" i="7"/>
  <c r="W292" i="7"/>
  <c r="W91" i="7"/>
  <c r="W90" i="7"/>
  <c r="AR555" i="2"/>
  <c r="AI572" i="2"/>
  <c r="AH518" i="2"/>
  <c r="AI518" i="2"/>
  <c r="V512" i="2"/>
  <c r="W512" i="2"/>
  <c r="AB478" i="2"/>
  <c r="AC478" i="2"/>
  <c r="AH476" i="2"/>
  <c r="AI476" i="2"/>
  <c r="AQ436" i="2"/>
  <c r="AR436" i="2"/>
  <c r="Y385" i="2"/>
  <c r="Z385" i="2"/>
  <c r="AK332" i="2"/>
  <c r="AL332" i="2"/>
  <c r="AB300" i="2"/>
  <c r="AC300" i="2"/>
  <c r="AN284" i="2"/>
  <c r="AO284" i="2"/>
  <c r="AN282" i="2"/>
  <c r="AO282" i="2"/>
  <c r="Y264" i="2"/>
  <c r="Z264" i="2"/>
  <c r="W268" i="7"/>
  <c r="W267" i="7"/>
  <c r="W259" i="7"/>
  <c r="W260" i="7"/>
  <c r="BC935" i="2"/>
  <c r="AR570" i="2"/>
  <c r="AQ519" i="2"/>
  <c r="AR519" i="2"/>
  <c r="AE516" i="2"/>
  <c r="AF516" i="2"/>
  <c r="AN512" i="2"/>
  <c r="AO512" i="2"/>
  <c r="V490" i="2"/>
  <c r="W490" i="2"/>
  <c r="AQ420" i="2"/>
  <c r="AR420" i="2"/>
  <c r="V403" i="2"/>
  <c r="AK390" i="2"/>
  <c r="AL390" i="2"/>
  <c r="AH386" i="2"/>
  <c r="AI386" i="2"/>
  <c r="V355" i="2"/>
  <c r="W355" i="2"/>
  <c r="AB339" i="2"/>
  <c r="AC339" i="2"/>
  <c r="V296" i="2"/>
  <c r="W296" i="2"/>
  <c r="AK288" i="2"/>
  <c r="AL288" i="2"/>
  <c r="AQ231" i="2"/>
  <c r="AR231" i="2"/>
  <c r="AK546" i="2"/>
  <c r="AL546" i="2"/>
  <c r="Y525" i="2"/>
  <c r="Z525" i="2"/>
  <c r="AK504" i="2"/>
  <c r="AL504" i="2"/>
  <c r="Y434" i="2"/>
  <c r="Z434" i="2"/>
  <c r="Y427" i="2"/>
  <c r="Z427" i="2"/>
  <c r="AK425" i="2"/>
  <c r="AL425" i="2"/>
  <c r="AQ258" i="2"/>
  <c r="AR258" i="2"/>
  <c r="Y223" i="2"/>
  <c r="Z223" i="2"/>
  <c r="AS436" i="2"/>
  <c r="S493" i="10"/>
  <c r="AK292" i="2"/>
  <c r="AL292" i="2"/>
  <c r="AE274" i="2"/>
  <c r="AF274" i="2"/>
  <c r="W364" i="7"/>
  <c r="S607" i="10"/>
  <c r="AS550" i="2"/>
  <c r="AT552" i="2"/>
  <c r="AU552" i="2"/>
  <c r="AH366" i="2"/>
  <c r="AI366" i="2"/>
  <c r="Y341" i="2"/>
  <c r="Z341" i="2"/>
  <c r="Y321" i="2"/>
  <c r="Z321" i="2"/>
  <c r="AQ275" i="2"/>
  <c r="AR275" i="2"/>
  <c r="AE250" i="2"/>
  <c r="AF250" i="2"/>
  <c r="W45" i="7"/>
  <c r="S366" i="10"/>
  <c r="AS239" i="2"/>
  <c r="S296" i="10"/>
  <c r="AN313" i="2"/>
  <c r="AO313" i="2"/>
  <c r="AQ247" i="2"/>
  <c r="AR247" i="2"/>
  <c r="AK242" i="2"/>
  <c r="AL242" i="2"/>
  <c r="AB234" i="2"/>
  <c r="AC234" i="2"/>
  <c r="AN551" i="2"/>
  <c r="AO551" i="2"/>
  <c r="AB383" i="2"/>
  <c r="AC383" i="2"/>
  <c r="AH314" i="2"/>
  <c r="AI314" i="2"/>
  <c r="Y288" i="2"/>
  <c r="Z288" i="2"/>
  <c r="V284" i="2"/>
  <c r="W284" i="2"/>
  <c r="AH256" i="2"/>
  <c r="AI256" i="2"/>
  <c r="W342" i="7"/>
  <c r="W213" i="7"/>
  <c r="W173" i="7"/>
  <c r="W175" i="7"/>
  <c r="W269" i="7"/>
  <c r="Z573" i="2"/>
  <c r="W322" i="7"/>
  <c r="W321" i="7"/>
  <c r="W243" i="7"/>
  <c r="W125" i="7"/>
  <c r="S476" i="10"/>
  <c r="S236" i="10"/>
  <c r="S221" i="10"/>
  <c r="AI566" i="2"/>
  <c r="W250" i="7"/>
  <c r="S436" i="10"/>
  <c r="S260" i="10"/>
  <c r="S257" i="10"/>
  <c r="AK555" i="2"/>
  <c r="AL555" i="2"/>
  <c r="AH570" i="2"/>
  <c r="AI570" i="2"/>
  <c r="W334" i="7"/>
  <c r="W257" i="7"/>
  <c r="W151" i="7"/>
  <c r="W135" i="7"/>
  <c r="S15" i="10"/>
  <c r="AK571" i="2"/>
  <c r="AL571" i="2"/>
  <c r="AK572" i="2"/>
  <c r="AL572" i="2"/>
  <c r="AB570" i="2"/>
  <c r="AC570" i="2"/>
  <c r="S184" i="10"/>
  <c r="S165" i="10"/>
  <c r="AR565" i="2"/>
  <c r="AN570" i="2"/>
  <c r="AO570" i="2"/>
  <c r="AK570" i="2"/>
  <c r="AL570" i="2"/>
  <c r="AK569" i="2"/>
  <c r="AL569" i="2"/>
  <c r="AN573" i="2"/>
  <c r="AO573" i="2"/>
  <c r="V563" i="2"/>
  <c r="W563" i="2"/>
  <c r="AF570" i="2"/>
  <c r="AB569" i="2"/>
  <c r="AC569" i="2"/>
  <c r="AO556" i="2"/>
  <c r="Y571" i="2"/>
  <c r="Z571" i="2"/>
  <c r="S622" i="10"/>
  <c r="AN571" i="2"/>
  <c r="AO571" i="2"/>
  <c r="AE574" i="2"/>
  <c r="AF574" i="2"/>
  <c r="V572" i="2"/>
  <c r="W572" i="2"/>
  <c r="AS565" i="2"/>
  <c r="Y569" i="2"/>
  <c r="Z569" i="2"/>
  <c r="AH573" i="2"/>
  <c r="AI573" i="2"/>
  <c r="W570" i="2"/>
  <c r="V569" i="2"/>
  <c r="W569" i="2"/>
  <c r="V568" i="2"/>
  <c r="W568" i="2"/>
  <c r="Z574" i="2"/>
  <c r="AB571" i="2"/>
  <c r="AC571" i="2"/>
  <c r="V571" i="2"/>
  <c r="W571" i="2"/>
  <c r="AK574" i="2"/>
  <c r="AF571" i="2"/>
  <c r="AH571" i="2"/>
  <c r="AI571" i="2"/>
  <c r="AT502" i="2"/>
  <c r="AU502" i="2"/>
  <c r="AT501" i="2"/>
  <c r="AU501" i="2"/>
  <c r="AT242" i="2"/>
  <c r="AU242" i="2"/>
  <c r="AT239" i="2"/>
  <c r="AU239" i="2"/>
  <c r="AT440" i="2"/>
  <c r="AU440" i="2"/>
  <c r="AT272" i="2"/>
  <c r="AU272" i="2"/>
  <c r="AT280" i="2"/>
  <c r="AU280" i="2"/>
  <c r="AT279" i="2"/>
  <c r="AU279" i="2"/>
  <c r="AT431" i="2"/>
  <c r="AU431" i="2"/>
  <c r="AT522" i="2"/>
  <c r="AT521" i="2"/>
  <c r="AU521" i="2"/>
  <c r="AE576" i="2"/>
  <c r="AF576" i="2"/>
  <c r="AQ575" i="2"/>
  <c r="AR575" i="2"/>
  <c r="AB575" i="2"/>
  <c r="AC575" i="2"/>
  <c r="AK576" i="2"/>
  <c r="AL576" i="2"/>
  <c r="V576" i="2"/>
  <c r="W576" i="2"/>
  <c r="AQ577" i="2"/>
  <c r="AR577" i="2"/>
  <c r="AB577" i="2"/>
  <c r="AC577" i="2"/>
  <c r="AU301" i="2"/>
  <c r="AT553" i="2"/>
  <c r="AU553" i="2"/>
  <c r="AK471" i="2"/>
  <c r="AL471" i="2"/>
  <c r="AH450" i="2"/>
  <c r="AI450" i="2"/>
  <c r="Y258" i="2"/>
  <c r="Z258" i="2"/>
  <c r="S562" i="10"/>
  <c r="S471" i="10"/>
  <c r="AS350" i="2"/>
  <c r="AN569" i="2"/>
  <c r="AO569" i="2"/>
  <c r="AQ568" i="2"/>
  <c r="AR574" i="2"/>
  <c r="AC574" i="2"/>
  <c r="W575" i="2"/>
  <c r="AO577" i="2"/>
  <c r="Z576" i="2"/>
  <c r="Z575" i="2"/>
  <c r="AC576" i="2"/>
  <c r="AQ571" i="2"/>
  <c r="AR571" i="2"/>
  <c r="AT352" i="2"/>
  <c r="AU352" i="2"/>
  <c r="AQ581" i="2"/>
  <c r="AR581" i="2"/>
  <c r="AB581" i="2"/>
  <c r="AC581" i="2"/>
  <c r="AK584" i="2"/>
  <c r="AL584" i="2"/>
  <c r="AK585" i="2"/>
  <c r="AL585" i="2"/>
  <c r="AQ585" i="2"/>
  <c r="AR585" i="2"/>
  <c r="AK588" i="2"/>
  <c r="AL588" i="2"/>
  <c r="AQ588" i="2"/>
  <c r="AR588" i="2"/>
  <c r="Y588" i="2"/>
  <c r="Z588" i="2"/>
  <c r="AB589" i="2"/>
  <c r="AC589" i="2"/>
  <c r="AN590" i="2"/>
  <c r="AO590" i="2"/>
  <c r="AN593" i="2"/>
  <c r="AO593" i="2"/>
  <c r="AH592" i="2"/>
  <c r="AI592" i="2"/>
  <c r="AQ595" i="2"/>
  <c r="AR595" i="2"/>
  <c r="AH596" i="2"/>
  <c r="AI596" i="2"/>
  <c r="V596" i="2"/>
  <c r="W596" i="2"/>
  <c r="AK601" i="2"/>
  <c r="AL601" i="2"/>
  <c r="AH606" i="2"/>
  <c r="AI606" i="2"/>
  <c r="AK607" i="2"/>
  <c r="AL607" i="2"/>
  <c r="AN608" i="2"/>
  <c r="AO608" i="2"/>
  <c r="AK608" i="2"/>
  <c r="AL608" i="2"/>
  <c r="AE612" i="2"/>
  <c r="AF612" i="2"/>
  <c r="AK612" i="2"/>
  <c r="AL612" i="2"/>
  <c r="AK614" i="2"/>
  <c r="AL614" i="2"/>
  <c r="AE613" i="2"/>
  <c r="AF613" i="2"/>
  <c r="AN616" i="2"/>
  <c r="AO616" i="2"/>
  <c r="AB616" i="2"/>
  <c r="AC616" i="2"/>
  <c r="V619" i="2"/>
  <c r="W619" i="2"/>
  <c r="Y618" i="2"/>
  <c r="Z618" i="2"/>
  <c r="AQ617" i="2"/>
  <c r="AR617" i="2"/>
  <c r="AN617" i="2"/>
  <c r="AO617" i="2"/>
  <c r="AH617" i="2"/>
  <c r="AI617" i="2"/>
  <c r="AB618" i="2"/>
  <c r="AC618" i="2"/>
  <c r="AE619" i="2"/>
  <c r="AF619" i="2"/>
  <c r="AN619" i="2"/>
  <c r="AO619" i="2"/>
  <c r="AH619" i="2"/>
  <c r="AI619" i="2"/>
  <c r="AQ618" i="2"/>
  <c r="AR618" i="2"/>
  <c r="AN627" i="2"/>
  <c r="AO627" i="2"/>
  <c r="AH625" i="2"/>
  <c r="AI625" i="2"/>
  <c r="Y624" i="2"/>
  <c r="Z624" i="2"/>
  <c r="AT626" i="2"/>
  <c r="V626" i="2"/>
  <c r="W626" i="2"/>
  <c r="AK626" i="2"/>
  <c r="AL626" i="2"/>
  <c r="AN625" i="2"/>
  <c r="AO625" i="2"/>
  <c r="AQ624" i="2"/>
  <c r="AR624" i="2"/>
  <c r="AE625" i="2"/>
  <c r="AF625" i="2"/>
  <c r="AH624" i="2"/>
  <c r="AI624" i="2"/>
  <c r="AK625" i="2"/>
  <c r="AL625" i="2"/>
  <c r="AN624" i="2"/>
  <c r="AO624" i="2"/>
  <c r="Y627" i="2"/>
  <c r="Z627" i="2"/>
  <c r="V625" i="2"/>
  <c r="W625" i="2"/>
  <c r="Y625" i="2"/>
  <c r="Z625" i="2"/>
  <c r="Y628" i="2"/>
  <c r="Z628" i="2"/>
  <c r="AB626" i="2"/>
  <c r="AC626" i="2"/>
  <c r="AT417" i="2"/>
  <c r="AU417" i="2"/>
  <c r="AT419" i="2"/>
  <c r="AT503" i="2"/>
  <c r="AU503" i="2"/>
  <c r="AT316" i="2"/>
  <c r="AU316" i="2"/>
  <c r="AQ443" i="2"/>
  <c r="AR443" i="2"/>
  <c r="AQ442" i="2"/>
  <c r="AR442" i="2"/>
  <c r="AQ346" i="2"/>
  <c r="AR346" i="2"/>
  <c r="AQ349" i="2"/>
  <c r="AR349" i="2"/>
  <c r="AQ348" i="2"/>
  <c r="AR348" i="2"/>
  <c r="AQ347" i="2"/>
  <c r="AR347" i="2"/>
  <c r="AE610" i="2"/>
  <c r="AF610" i="2"/>
  <c r="AE609" i="2"/>
  <c r="AF609" i="2"/>
  <c r="AE607" i="2"/>
  <c r="AF607" i="2"/>
  <c r="AT347" i="2"/>
  <c r="AK543" i="2"/>
  <c r="AL543" i="2"/>
  <c r="AK545" i="2"/>
  <c r="AL545" i="2"/>
  <c r="AN544" i="2"/>
  <c r="AO544" i="2"/>
  <c r="AQ540" i="2"/>
  <c r="AR540" i="2"/>
  <c r="AQ541" i="2"/>
  <c r="AR541" i="2"/>
  <c r="AQ543" i="2"/>
  <c r="AR543" i="2"/>
  <c r="AQ542" i="2"/>
  <c r="AR542" i="2"/>
  <c r="Y541" i="2"/>
  <c r="Z541" i="2"/>
  <c r="Y542" i="2"/>
  <c r="Z542" i="2"/>
  <c r="AE539" i="2"/>
  <c r="AF539" i="2"/>
  <c r="AE538" i="2"/>
  <c r="AF538" i="2"/>
  <c r="AE540" i="2"/>
  <c r="AE541" i="2"/>
  <c r="AF541" i="2"/>
  <c r="AO576" i="2"/>
  <c r="AN527" i="2"/>
  <c r="AO527" i="2"/>
  <c r="AN525" i="2"/>
  <c r="AO525" i="2"/>
  <c r="AT525" i="2"/>
  <c r="AU525" i="2"/>
  <c r="AT524" i="2"/>
  <c r="Y523" i="2"/>
  <c r="Z523" i="2"/>
  <c r="Y522" i="2"/>
  <c r="Z522" i="2"/>
  <c r="Y524" i="2"/>
  <c r="Z524" i="2"/>
  <c r="AB521" i="2"/>
  <c r="AC521" i="2"/>
  <c r="AB524" i="2"/>
  <c r="AC524" i="2"/>
  <c r="AB523" i="2"/>
  <c r="AC523" i="2"/>
  <c r="AB522" i="2"/>
  <c r="AC522" i="2"/>
  <c r="AE522" i="2"/>
  <c r="AF522" i="2"/>
  <c r="AE523" i="2"/>
  <c r="AF523" i="2"/>
  <c r="AE520" i="2"/>
  <c r="AF520" i="2"/>
  <c r="Y518" i="2"/>
  <c r="Z518" i="2"/>
  <c r="Y517" i="2"/>
  <c r="Z517" i="2"/>
  <c r="Y519" i="2"/>
  <c r="Z519" i="2"/>
  <c r="AK516" i="2"/>
  <c r="AL516" i="2"/>
  <c r="AK517" i="2"/>
  <c r="AL517" i="2"/>
  <c r="AK514" i="2"/>
  <c r="AL514" i="2"/>
  <c r="AK515" i="2"/>
  <c r="AL515" i="2"/>
  <c r="AN498" i="2"/>
  <c r="AO498" i="2"/>
  <c r="AN497" i="2"/>
  <c r="AO497" i="2"/>
  <c r="AN499" i="2"/>
  <c r="AO499" i="2"/>
  <c r="AN500" i="2"/>
  <c r="AO500" i="2"/>
  <c r="AQ499" i="2"/>
  <c r="AR499" i="2"/>
  <c r="AQ498" i="2"/>
  <c r="AR498" i="2"/>
  <c r="AR548" i="2"/>
  <c r="AC546" i="2"/>
  <c r="AB497" i="2"/>
  <c r="AC497" i="2"/>
  <c r="AE494" i="2"/>
  <c r="AF494" i="2"/>
  <c r="AE496" i="2"/>
  <c r="AF496" i="2"/>
  <c r="AE495" i="2"/>
  <c r="AF495" i="2"/>
  <c r="AE493" i="2"/>
  <c r="AF493" i="2"/>
  <c r="AH495" i="2"/>
  <c r="AI495" i="2"/>
  <c r="AH494" i="2"/>
  <c r="AI494" i="2"/>
  <c r="AH493" i="2"/>
  <c r="AI493" i="2"/>
  <c r="AK492" i="2"/>
  <c r="AL492" i="2"/>
  <c r="AK494" i="2"/>
  <c r="AL494" i="2"/>
  <c r="AK491" i="2"/>
  <c r="AL491" i="2"/>
  <c r="AN491" i="2"/>
  <c r="AO491" i="2"/>
  <c r="AN490" i="2"/>
  <c r="AO490" i="2"/>
  <c r="AN492" i="2"/>
  <c r="AO492" i="2"/>
  <c r="AN493" i="2"/>
  <c r="AO493" i="2"/>
  <c r="AQ492" i="2"/>
  <c r="AR492" i="2"/>
  <c r="AQ490" i="2"/>
  <c r="AQ491" i="2"/>
  <c r="AR491" i="2"/>
  <c r="V488" i="2"/>
  <c r="W488" i="2"/>
  <c r="V491" i="2"/>
  <c r="W491" i="2"/>
  <c r="Y487" i="2"/>
  <c r="Z487" i="2"/>
  <c r="Y488" i="2"/>
  <c r="Z488" i="2"/>
  <c r="Y490" i="2"/>
  <c r="Z490" i="2"/>
  <c r="Y489" i="2"/>
  <c r="Z489" i="2"/>
  <c r="AN448" i="2"/>
  <c r="AO448" i="2"/>
  <c r="AN447" i="2"/>
  <c r="AO447" i="2"/>
  <c r="AN449" i="2"/>
  <c r="AO449" i="2"/>
  <c r="AN446" i="2"/>
  <c r="AO446" i="2"/>
  <c r="AQ446" i="2"/>
  <c r="AR446" i="2"/>
  <c r="AQ447" i="2"/>
  <c r="AR447" i="2"/>
  <c r="AH578" i="2"/>
  <c r="AI578" i="2"/>
  <c r="AH575" i="2"/>
  <c r="AI575" i="2"/>
  <c r="AK580" i="2"/>
  <c r="AL580" i="2"/>
  <c r="AK578" i="2"/>
  <c r="AL578" i="2"/>
  <c r="AT325" i="2"/>
  <c r="AU325" i="2"/>
  <c r="AT324" i="2"/>
  <c r="AU324" i="2"/>
  <c r="AN615" i="2"/>
  <c r="AO615" i="2"/>
  <c r="AN614" i="2"/>
  <c r="AO614" i="2"/>
  <c r="AT372" i="2"/>
  <c r="AT381" i="2"/>
  <c r="AU381" i="2"/>
  <c r="AN353" i="2"/>
  <c r="AO353" i="2"/>
  <c r="AN354" i="2"/>
  <c r="AO354" i="2"/>
  <c r="AN352" i="2"/>
  <c r="AO352" i="2"/>
  <c r="V353" i="2"/>
  <c r="W353" i="2"/>
  <c r="V354" i="2"/>
  <c r="W354" i="2"/>
  <c r="W403" i="2"/>
  <c r="AE351" i="2"/>
  <c r="AF351" i="2"/>
  <c r="AE352" i="2"/>
  <c r="AF352" i="2"/>
  <c r="AE350" i="2"/>
  <c r="AF350" i="2"/>
  <c r="AE349" i="2"/>
  <c r="AF349" i="2"/>
  <c r="AF401" i="2"/>
  <c r="AK348" i="2"/>
  <c r="AL348" i="2"/>
  <c r="AK347" i="2"/>
  <c r="AL347" i="2"/>
  <c r="AK350" i="2"/>
  <c r="AL350" i="2"/>
  <c r="AN336" i="2"/>
  <c r="AO336" i="2"/>
  <c r="AN334" i="2"/>
  <c r="AO334" i="2"/>
  <c r="AO386" i="2"/>
  <c r="AN337" i="2"/>
  <c r="AO337" i="2"/>
  <c r="AN335" i="2"/>
  <c r="AO335" i="2"/>
  <c r="AQ309" i="2"/>
  <c r="AR309" i="2"/>
  <c r="AE261" i="2"/>
  <c r="AF261" i="2"/>
  <c r="AE264" i="2"/>
  <c r="AF264" i="2"/>
  <c r="AE263" i="2"/>
  <c r="AF263" i="2"/>
  <c r="AE262" i="2"/>
  <c r="AF262" i="2"/>
  <c r="AT299" i="2"/>
  <c r="AU299" i="2"/>
  <c r="AN382" i="2"/>
  <c r="AO382" i="2"/>
  <c r="AN509" i="2"/>
  <c r="AO509" i="2"/>
  <c r="AN510" i="2"/>
  <c r="AO510" i="2"/>
  <c r="AO561" i="2"/>
  <c r="AB487" i="2"/>
  <c r="AC487" i="2"/>
  <c r="AB488" i="2"/>
  <c r="AC488" i="2"/>
  <c r="AK462" i="2"/>
  <c r="AL462" i="2"/>
  <c r="AK461" i="2"/>
  <c r="AL461" i="2"/>
  <c r="AL512" i="2"/>
  <c r="AK463" i="2"/>
  <c r="AL463" i="2"/>
  <c r="AK460" i="2"/>
  <c r="AL460" i="2"/>
  <c r="AQ460" i="2"/>
  <c r="AR460" i="2"/>
  <c r="AQ461" i="2"/>
  <c r="AR461" i="2"/>
  <c r="V457" i="2"/>
  <c r="W457" i="2"/>
  <c r="AH454" i="2"/>
  <c r="AI454" i="2"/>
  <c r="AH455" i="2"/>
  <c r="AI455" i="2"/>
  <c r="W94" i="7"/>
  <c r="W93" i="7"/>
  <c r="W68" i="7"/>
  <c r="W70" i="7"/>
  <c r="W71" i="7"/>
  <c r="AT371" i="2"/>
  <c r="AU371" i="2"/>
  <c r="AT457" i="2"/>
  <c r="W95" i="7"/>
  <c r="W540" i="2"/>
  <c r="AT330" i="2"/>
  <c r="AU330" i="2"/>
  <c r="AN487" i="2"/>
  <c r="AO487" i="2"/>
  <c r="AN485" i="2"/>
  <c r="AO485" i="2"/>
  <c r="AN488" i="2"/>
  <c r="AO488" i="2"/>
  <c r="AN486" i="2"/>
  <c r="AO486" i="2"/>
  <c r="Y440" i="2"/>
  <c r="Z440" i="2"/>
  <c r="AH350" i="2"/>
  <c r="AI350" i="2"/>
  <c r="AH349" i="2"/>
  <c r="AI349" i="2"/>
  <c r="AI400" i="2"/>
  <c r="AH351" i="2"/>
  <c r="AI351" i="2"/>
  <c r="AH348" i="2"/>
  <c r="AI348" i="2"/>
  <c r="AK337" i="2"/>
  <c r="AL337" i="2"/>
  <c r="AK338" i="2"/>
  <c r="AL338" i="2"/>
  <c r="AN308" i="2"/>
  <c r="AO308" i="2"/>
  <c r="AO307" i="2"/>
  <c r="V308" i="2"/>
  <c r="W308" i="2"/>
  <c r="V307" i="2"/>
  <c r="W307" i="2"/>
  <c r="Y279" i="2"/>
  <c r="Z279" i="2"/>
  <c r="Z329" i="2"/>
  <c r="AK262" i="2"/>
  <c r="AL262" i="2"/>
  <c r="AK261" i="2"/>
  <c r="AL261" i="2"/>
  <c r="AK260" i="2"/>
  <c r="AL260" i="2"/>
  <c r="AK259" i="2"/>
  <c r="AL259" i="2"/>
  <c r="AT443" i="2"/>
  <c r="AU443" i="2"/>
  <c r="AF313" i="2"/>
  <c r="AN462" i="2"/>
  <c r="AO462" i="2"/>
  <c r="AN460" i="2"/>
  <c r="AO460" i="2"/>
  <c r="AN461" i="2"/>
  <c r="AO461" i="2"/>
  <c r="Y458" i="2"/>
  <c r="Z458" i="2"/>
  <c r="Y456" i="2"/>
  <c r="Z456" i="2"/>
  <c r="Y457" i="2"/>
  <c r="Z457" i="2"/>
  <c r="AN454" i="2"/>
  <c r="AO454" i="2"/>
  <c r="AN453" i="2"/>
  <c r="AO453" i="2"/>
  <c r="W87" i="7"/>
  <c r="W86" i="7"/>
  <c r="W85" i="7"/>
  <c r="AS258" i="2"/>
  <c r="S315" i="10"/>
  <c r="S312" i="10"/>
  <c r="S313" i="10"/>
  <c r="S314" i="10"/>
  <c r="S632" i="10"/>
  <c r="AS577" i="2"/>
  <c r="S634" i="10"/>
  <c r="AT288" i="2"/>
  <c r="AU288" i="2"/>
  <c r="AH263" i="2"/>
  <c r="AI263" i="2"/>
  <c r="Y438" i="2"/>
  <c r="Z438" i="2"/>
  <c r="AT346" i="2"/>
  <c r="AQ459" i="2"/>
  <c r="AR459" i="2"/>
  <c r="Y516" i="2"/>
  <c r="Z516" i="2"/>
  <c r="AQ448" i="2"/>
  <c r="AR448" i="2"/>
  <c r="AE455" i="2"/>
  <c r="AF455" i="2"/>
  <c r="AT445" i="2"/>
  <c r="AT444" i="2"/>
  <c r="AU444" i="2"/>
  <c r="AT453" i="2"/>
  <c r="AU453" i="2"/>
  <c r="AT451" i="2"/>
  <c r="AN511" i="2"/>
  <c r="AO511" i="2"/>
  <c r="AT289" i="2"/>
  <c r="AU289" i="2"/>
  <c r="Y613" i="2"/>
  <c r="Z613" i="2"/>
  <c r="Y612" i="2"/>
  <c r="Z612" i="2"/>
  <c r="AT423" i="2"/>
  <c r="AU423" i="2"/>
  <c r="AK486" i="2"/>
  <c r="AL486" i="2"/>
  <c r="AN444" i="2"/>
  <c r="AO444" i="2"/>
  <c r="AN443" i="2"/>
  <c r="AO443" i="2"/>
  <c r="AN442" i="2"/>
  <c r="AO442" i="2"/>
  <c r="AN441" i="2"/>
  <c r="AO441" i="2"/>
  <c r="V441" i="2"/>
  <c r="W441" i="2"/>
  <c r="V440" i="2"/>
  <c r="W440" i="2"/>
  <c r="AO433" i="2"/>
  <c r="AN384" i="2"/>
  <c r="AO384" i="2"/>
  <c r="AN383" i="2"/>
  <c r="AO383" i="2"/>
  <c r="AB378" i="2"/>
  <c r="AC378" i="2"/>
  <c r="AC430" i="2"/>
  <c r="Y353" i="2"/>
  <c r="Z353" i="2"/>
  <c r="Y350" i="2"/>
  <c r="Z350" i="2"/>
  <c r="AH338" i="2"/>
  <c r="AI338" i="2"/>
  <c r="AH336" i="2"/>
  <c r="AI336" i="2"/>
  <c r="AH337" i="2"/>
  <c r="AI337" i="2"/>
  <c r="AH339" i="2"/>
  <c r="AI339" i="2"/>
  <c r="AI388" i="2"/>
  <c r="AQ280" i="2"/>
  <c r="AR280" i="2"/>
  <c r="AQ279" i="2"/>
  <c r="AR279" i="2"/>
  <c r="AB263" i="2"/>
  <c r="AC263" i="2"/>
  <c r="AB264" i="2"/>
  <c r="AC264" i="2"/>
  <c r="AB265" i="2"/>
  <c r="AC265" i="2"/>
  <c r="AB262" i="2"/>
  <c r="AC262" i="2"/>
  <c r="AH262" i="2"/>
  <c r="AI262" i="2"/>
  <c r="AH261" i="2"/>
  <c r="AI261" i="2"/>
  <c r="AN613" i="2"/>
  <c r="AO613" i="2"/>
  <c r="W76" i="7"/>
  <c r="W77" i="7"/>
  <c r="W78" i="7"/>
  <c r="AS250" i="2"/>
  <c r="AU302" i="2"/>
  <c r="S306" i="10"/>
  <c r="S304" i="10"/>
  <c r="S305" i="10"/>
  <c r="AN309" i="2"/>
  <c r="AO309" i="2"/>
  <c r="AN355" i="2"/>
  <c r="AO355" i="2"/>
  <c r="AT416" i="2"/>
  <c r="Y352" i="2"/>
  <c r="Z352" i="2"/>
  <c r="AT489" i="2"/>
  <c r="AU489" i="2"/>
  <c r="AB490" i="2"/>
  <c r="AC490" i="2"/>
  <c r="AK349" i="2"/>
  <c r="AL349" i="2"/>
  <c r="AO537" i="2"/>
  <c r="AU344" i="2"/>
  <c r="V352" i="2"/>
  <c r="W352" i="2"/>
  <c r="AK336" i="2"/>
  <c r="AL336" i="2"/>
  <c r="AT539" i="2"/>
  <c r="AU539" i="2"/>
  <c r="AT542" i="2"/>
  <c r="AU542" i="2"/>
  <c r="AK531" i="2"/>
  <c r="AL531" i="2"/>
  <c r="AK532" i="2"/>
  <c r="AL532" i="2"/>
  <c r="AN515" i="2"/>
  <c r="AO515" i="2"/>
  <c r="AN514" i="2"/>
  <c r="AO514" i="2"/>
  <c r="AN513" i="2"/>
  <c r="AO513" i="2"/>
  <c r="AO564" i="2"/>
  <c r="AH545" i="2"/>
  <c r="AI545" i="2"/>
  <c r="AU303" i="2"/>
  <c r="AT511" i="2"/>
  <c r="AU511" i="2"/>
  <c r="Y465" i="2"/>
  <c r="Z465" i="2"/>
  <c r="AH527" i="2"/>
  <c r="AI527" i="2"/>
  <c r="AT517" i="2"/>
  <c r="W432" i="2"/>
  <c r="AH525" i="2"/>
  <c r="AI525" i="2"/>
  <c r="AF594" i="2"/>
  <c r="AE544" i="2"/>
  <c r="AF544" i="2"/>
  <c r="AK540" i="2"/>
  <c r="AL540" i="2"/>
  <c r="AK542" i="2"/>
  <c r="AL542" i="2"/>
  <c r="Y528" i="2"/>
  <c r="Z528" i="2"/>
  <c r="AE526" i="2"/>
  <c r="AF526" i="2"/>
  <c r="AQ523" i="2"/>
  <c r="AR523" i="2"/>
  <c r="AQ522" i="2"/>
  <c r="AR522" i="2"/>
  <c r="AQ525" i="2"/>
  <c r="AR525" i="2"/>
  <c r="AQ524" i="2"/>
  <c r="AR524" i="2"/>
  <c r="AB421" i="2"/>
  <c r="AC421" i="2"/>
  <c r="AB420" i="2"/>
  <c r="AC420" i="2"/>
  <c r="AB419" i="2"/>
  <c r="AC419" i="2"/>
  <c r="AK407" i="2"/>
  <c r="AL407" i="2"/>
  <c r="AN404" i="2"/>
  <c r="AO404" i="2"/>
  <c r="AN403" i="2"/>
  <c r="AO403" i="2"/>
  <c r="AN406" i="2"/>
  <c r="AO406" i="2"/>
  <c r="V385" i="2"/>
  <c r="W385" i="2"/>
  <c r="V386" i="2"/>
  <c r="W386" i="2"/>
  <c r="AE275" i="2"/>
  <c r="AF275" i="2"/>
  <c r="AE273" i="2"/>
  <c r="AF273" i="2"/>
  <c r="AE276" i="2"/>
  <c r="AF276" i="2"/>
  <c r="AK272" i="2"/>
  <c r="AL272" i="2"/>
  <c r="AK271" i="2"/>
  <c r="AL271" i="2"/>
  <c r="AK274" i="2"/>
  <c r="AL274" i="2"/>
  <c r="AN273" i="2"/>
  <c r="AO273" i="2"/>
  <c r="AN272" i="2"/>
  <c r="AO272" i="2"/>
  <c r="V230" i="2"/>
  <c r="W230" i="2"/>
  <c r="V227" i="2"/>
  <c r="W227" i="2"/>
  <c r="AB227" i="2"/>
  <c r="AC227" i="2"/>
  <c r="AB226" i="2"/>
  <c r="AC226" i="2"/>
  <c r="AB225" i="2"/>
  <c r="AC225" i="2"/>
  <c r="AH223" i="2"/>
  <c r="AI223" i="2"/>
  <c r="AH224" i="2"/>
  <c r="AI224" i="2"/>
  <c r="AH225" i="2"/>
  <c r="AI225" i="2"/>
  <c r="AH226" i="2"/>
  <c r="AI226" i="2"/>
  <c r="V219" i="2"/>
  <c r="W219" i="2"/>
  <c r="V218" i="2"/>
  <c r="W218" i="2"/>
  <c r="AQ529" i="2"/>
  <c r="AR529" i="2"/>
  <c r="AQ532" i="2"/>
  <c r="AR532" i="2"/>
  <c r="AE527" i="2"/>
  <c r="AF527" i="2"/>
  <c r="AT281" i="2"/>
  <c r="AU281" i="2"/>
  <c r="AB462" i="2"/>
  <c r="AC462" i="2"/>
  <c r="AT403" i="2"/>
  <c r="AU403" i="2"/>
  <c r="AT562" i="2"/>
  <c r="AU562" i="2"/>
  <c r="AB527" i="2"/>
  <c r="AC527" i="2"/>
  <c r="V541" i="2"/>
  <c r="W541" i="2"/>
  <c r="AO505" i="2"/>
  <c r="Y463" i="2"/>
  <c r="Z463" i="2"/>
  <c r="AN437" i="2"/>
  <c r="AO437" i="2"/>
  <c r="AN436" i="2"/>
  <c r="AO436" i="2"/>
  <c r="V419" i="2"/>
  <c r="W419" i="2"/>
  <c r="V420" i="2"/>
  <c r="W471" i="2"/>
  <c r="AK544" i="2"/>
  <c r="AL544" i="2"/>
  <c r="Y570" i="2"/>
  <c r="Z570" i="2"/>
  <c r="AT565" i="2"/>
  <c r="AT282" i="2"/>
  <c r="AU282" i="2"/>
  <c r="AK525" i="2"/>
  <c r="AL525" i="2"/>
  <c r="AC513" i="2"/>
  <c r="AB515" i="2"/>
  <c r="AC515" i="2"/>
  <c r="AT415" i="2"/>
  <c r="AU415" i="2"/>
  <c r="AK533" i="2"/>
  <c r="AL533" i="2"/>
  <c r="AK541" i="2"/>
  <c r="AL541" i="2"/>
  <c r="AQ472" i="2"/>
  <c r="AR472" i="2"/>
  <c r="AB528" i="2"/>
  <c r="AC528" i="2"/>
  <c r="AN471" i="2"/>
  <c r="AO471" i="2"/>
  <c r="AK530" i="2"/>
  <c r="AL530" i="2"/>
  <c r="AQ530" i="2"/>
  <c r="AR530" i="2"/>
  <c r="AB553" i="2"/>
  <c r="AC553" i="2"/>
  <c r="AB552" i="2"/>
  <c r="AC552" i="2"/>
  <c r="AB550" i="2"/>
  <c r="AC550" i="2"/>
  <c r="AH550" i="2"/>
  <c r="AI550" i="2"/>
  <c r="AH551" i="2"/>
  <c r="AI551" i="2"/>
  <c r="AH549" i="2"/>
  <c r="AI549" i="2"/>
  <c r="V550" i="2"/>
  <c r="V549" i="2"/>
  <c r="W549" i="2"/>
  <c r="AH547" i="2"/>
  <c r="AI547" i="2"/>
  <c r="AH548" i="2"/>
  <c r="AI548" i="2"/>
  <c r="AH535" i="2"/>
  <c r="AI535" i="2"/>
  <c r="AH537" i="2"/>
  <c r="AI537" i="2"/>
  <c r="AK535" i="2"/>
  <c r="AL535" i="2"/>
  <c r="AK534" i="2"/>
  <c r="AL534" i="2"/>
  <c r="AE438" i="2"/>
  <c r="AF438" i="2"/>
  <c r="AE440" i="2"/>
  <c r="AF440" i="2"/>
  <c r="Y273" i="2"/>
  <c r="Z273" i="2"/>
  <c r="Y275" i="2"/>
  <c r="Z275" i="2"/>
  <c r="AQ245" i="2"/>
  <c r="AR245" i="2"/>
  <c r="AQ244" i="2"/>
  <c r="AR244" i="2"/>
  <c r="AQ243" i="2"/>
  <c r="AR243" i="2"/>
  <c r="AQ241" i="2"/>
  <c r="AR241" i="2"/>
  <c r="Y239" i="2"/>
  <c r="Z239" i="2"/>
  <c r="Y240" i="2"/>
  <c r="Z240" i="2"/>
  <c r="AB240" i="2"/>
  <c r="AC240" i="2"/>
  <c r="AB239" i="2"/>
  <c r="AC239" i="2"/>
  <c r="AB237" i="2"/>
  <c r="AC237" i="2"/>
  <c r="AE238" i="2"/>
  <c r="AF238" i="2"/>
  <c r="AE239" i="2"/>
  <c r="AF239" i="2"/>
  <c r="W372" i="7"/>
  <c r="W371" i="7"/>
  <c r="W369" i="7"/>
  <c r="W370" i="7"/>
  <c r="S638" i="10"/>
  <c r="AS581" i="2"/>
  <c r="AT584" i="2"/>
  <c r="AU584" i="2"/>
  <c r="S635" i="10"/>
  <c r="V525" i="2"/>
  <c r="W525" i="2"/>
  <c r="V523" i="2"/>
  <c r="W523" i="2"/>
  <c r="V522" i="2"/>
  <c r="W522" i="2"/>
  <c r="Y572" i="2"/>
  <c r="Z572" i="2"/>
  <c r="AQ470" i="2"/>
  <c r="AR470" i="2"/>
  <c r="AT540" i="2"/>
  <c r="AU540" i="2"/>
  <c r="V518" i="2"/>
  <c r="W518" i="2"/>
  <c r="AN542" i="2"/>
  <c r="AO542" i="2"/>
  <c r="AF507" i="2"/>
  <c r="AL399" i="2"/>
  <c r="AR549" i="2"/>
  <c r="AB494" i="2"/>
  <c r="AC494" i="2"/>
  <c r="AB495" i="2"/>
  <c r="AC495" i="2"/>
  <c r="AH492" i="2"/>
  <c r="AI492" i="2"/>
  <c r="AN459" i="2"/>
  <c r="AO459" i="2"/>
  <c r="V458" i="2"/>
  <c r="W458" i="2"/>
  <c r="V459" i="2"/>
  <c r="W459" i="2"/>
  <c r="AE456" i="2"/>
  <c r="AF456" i="2"/>
  <c r="AE454" i="2"/>
  <c r="AF454" i="2"/>
  <c r="AB297" i="2"/>
  <c r="AC297" i="2"/>
  <c r="AB299" i="2"/>
  <c r="AC299" i="2"/>
  <c r="AK294" i="2"/>
  <c r="AL294" i="2"/>
  <c r="AE248" i="2"/>
  <c r="AF248" i="2"/>
  <c r="AE247" i="2"/>
  <c r="AF247" i="2"/>
  <c r="W116" i="7"/>
  <c r="W114" i="7"/>
  <c r="W115" i="7"/>
  <c r="W108" i="7"/>
  <c r="W106" i="7"/>
  <c r="W107" i="7"/>
  <c r="W100" i="7"/>
  <c r="W99" i="7"/>
  <c r="W97" i="7"/>
  <c r="AN504" i="2"/>
  <c r="AO504" i="2"/>
  <c r="AF452" i="2"/>
  <c r="AE359" i="2"/>
  <c r="AF359" i="2"/>
  <c r="AN470" i="2"/>
  <c r="AO470" i="2"/>
  <c r="AN473" i="2"/>
  <c r="AO473" i="2"/>
  <c r="AN472" i="2"/>
  <c r="AO472" i="2"/>
  <c r="AQ464" i="2"/>
  <c r="AR464" i="2"/>
  <c r="AQ465" i="2"/>
  <c r="AR465" i="2"/>
  <c r="AN395" i="2"/>
  <c r="AO395" i="2"/>
  <c r="AN397" i="2"/>
  <c r="AO397" i="2"/>
  <c r="AK384" i="2"/>
  <c r="AL384" i="2"/>
  <c r="AK383" i="2"/>
  <c r="AL383" i="2"/>
  <c r="V382" i="2"/>
  <c r="W382" i="2"/>
  <c r="AE308" i="2"/>
  <c r="AF308" i="2"/>
  <c r="AE310" i="2"/>
  <c r="AF310" i="2"/>
  <c r="AK307" i="2"/>
  <c r="AL307" i="2"/>
  <c r="AK308" i="2"/>
  <c r="AL308" i="2"/>
  <c r="AH251" i="2"/>
  <c r="AI251" i="2"/>
  <c r="AH252" i="2"/>
  <c r="AI252" i="2"/>
  <c r="AS348" i="2"/>
  <c r="AT348" i="2"/>
  <c r="AU348" i="2"/>
  <c r="S404" i="10"/>
  <c r="S395" i="10"/>
  <c r="AS340" i="2"/>
  <c r="S380" i="10"/>
  <c r="AS326" i="2"/>
  <c r="AT328" i="2"/>
  <c r="AU328" i="2"/>
  <c r="W326" i="2"/>
  <c r="BD935" i="2"/>
  <c r="Y475" i="2"/>
  <c r="Z475" i="2"/>
  <c r="Y476" i="2"/>
  <c r="Z476" i="2"/>
  <c r="V437" i="2"/>
  <c r="W437" i="2"/>
  <c r="V439" i="2"/>
  <c r="W439" i="2"/>
  <c r="V418" i="2"/>
  <c r="W418" i="2"/>
  <c r="V417" i="2"/>
  <c r="W417" i="2"/>
  <c r="V415" i="2"/>
  <c r="W415" i="2"/>
  <c r="Y414" i="2"/>
  <c r="Z414" i="2"/>
  <c r="Y415" i="2"/>
  <c r="Z415" i="2"/>
  <c r="AB416" i="2"/>
  <c r="AC416" i="2"/>
  <c r="AB415" i="2"/>
  <c r="AC415" i="2"/>
  <c r="AB414" i="2"/>
  <c r="AC414" i="2"/>
  <c r="AB413" i="2"/>
  <c r="AC413" i="2"/>
  <c r="AH401" i="2"/>
  <c r="AI401" i="2"/>
  <c r="AK401" i="2"/>
  <c r="AL401" i="2"/>
  <c r="AC289" i="2"/>
  <c r="AT380" i="2"/>
  <c r="AU380" i="2"/>
  <c r="AL566" i="2"/>
  <c r="Z290" i="2"/>
  <c r="AQ511" i="2"/>
  <c r="AR511" i="2"/>
  <c r="AR561" i="2"/>
  <c r="Y510" i="2"/>
  <c r="Z510" i="2"/>
  <c r="AH508" i="2"/>
  <c r="AH506" i="2"/>
  <c r="AI506" i="2"/>
  <c r="AK418" i="2"/>
  <c r="AL418" i="2"/>
  <c r="AK417" i="2"/>
  <c r="AL417" i="2"/>
  <c r="Y379" i="2"/>
  <c r="Z379" i="2"/>
  <c r="Y354" i="2"/>
  <c r="Z354" i="2"/>
  <c r="AK312" i="2"/>
  <c r="AL312" i="2"/>
  <c r="W355" i="7"/>
  <c r="W357" i="7"/>
  <c r="W349" i="7"/>
  <c r="W348" i="7"/>
  <c r="W346" i="7"/>
  <c r="W338" i="7"/>
  <c r="W339" i="7"/>
  <c r="W341" i="7"/>
  <c r="W340" i="7"/>
  <c r="W333" i="7"/>
  <c r="W330" i="7"/>
  <c r="W332" i="7"/>
  <c r="W324" i="7"/>
  <c r="W325" i="7"/>
  <c r="W302" i="7"/>
  <c r="W299" i="7"/>
  <c r="AS476" i="2"/>
  <c r="AT479" i="2"/>
  <c r="S533" i="10"/>
  <c r="S532" i="10"/>
  <c r="AS427" i="2"/>
  <c r="AT427" i="2"/>
  <c r="S484" i="10"/>
  <c r="AS399" i="2"/>
  <c r="S454" i="10"/>
  <c r="S456" i="10"/>
  <c r="S448" i="10"/>
  <c r="AS393" i="2"/>
  <c r="S447" i="10"/>
  <c r="W561" i="2"/>
  <c r="AB544" i="2"/>
  <c r="AC544" i="2"/>
  <c r="AE542" i="2"/>
  <c r="AF542" i="2"/>
  <c r="AH541" i="2"/>
  <c r="AI541" i="2"/>
  <c r="AQ497" i="2"/>
  <c r="AR497" i="2"/>
  <c r="AK493" i="2"/>
  <c r="AL493" i="2"/>
  <c r="Y485" i="2"/>
  <c r="Z485" i="2"/>
  <c r="Y482" i="2"/>
  <c r="Z482" i="2"/>
  <c r="Z534" i="2"/>
  <c r="AK455" i="2"/>
  <c r="AL455" i="2"/>
  <c r="AB441" i="2"/>
  <c r="AC441" i="2"/>
  <c r="AB439" i="2"/>
  <c r="AC439" i="2"/>
  <c r="AB440" i="2"/>
  <c r="AC440" i="2"/>
  <c r="Y402" i="2"/>
  <c r="Z402" i="2"/>
  <c r="AB402" i="2"/>
  <c r="AC402" i="2"/>
  <c r="W310" i="2"/>
  <c r="V281" i="2"/>
  <c r="W281" i="2"/>
  <c r="Y277" i="2"/>
  <c r="Z277" i="2"/>
  <c r="AH272" i="2"/>
  <c r="AI272" i="2"/>
  <c r="Y226" i="2"/>
  <c r="Z226" i="2"/>
  <c r="Y228" i="2"/>
  <c r="Z228" i="2"/>
  <c r="W103" i="7"/>
  <c r="W101" i="7"/>
  <c r="W102" i="7"/>
  <c r="W66" i="7"/>
  <c r="W63" i="7"/>
  <c r="W64" i="7"/>
  <c r="S470" i="10"/>
  <c r="S467" i="10"/>
  <c r="Y584" i="2"/>
  <c r="Z584" i="2"/>
  <c r="Y583" i="2"/>
  <c r="Z583" i="2"/>
  <c r="Y581" i="2"/>
  <c r="Z581" i="2"/>
  <c r="AF325" i="2"/>
  <c r="BD937" i="2"/>
  <c r="BC937" i="2"/>
  <c r="BC939" i="2"/>
  <c r="AF550" i="2"/>
  <c r="Y548" i="2"/>
  <c r="Z548" i="2"/>
  <c r="Y547" i="2"/>
  <c r="Z547" i="2"/>
  <c r="Y539" i="2"/>
  <c r="Z539" i="2"/>
  <c r="AC587" i="2"/>
  <c r="AB536" i="2"/>
  <c r="AC536" i="2"/>
  <c r="Y454" i="2"/>
  <c r="Z454" i="2"/>
  <c r="Y455" i="2"/>
  <c r="Z455" i="2"/>
  <c r="AE432" i="2"/>
  <c r="AF432" i="2"/>
  <c r="AE430" i="2"/>
  <c r="AF430" i="2"/>
  <c r="AK431" i="2"/>
  <c r="AL431" i="2"/>
  <c r="AK429" i="2"/>
  <c r="AL429" i="2"/>
  <c r="V428" i="2"/>
  <c r="W428" i="2"/>
  <c r="V426" i="2"/>
  <c r="W426" i="2"/>
  <c r="Y370" i="2"/>
  <c r="Z370" i="2"/>
  <c r="Y372" i="2"/>
  <c r="Z372" i="2"/>
  <c r="AK369" i="2"/>
  <c r="AL369" i="2"/>
  <c r="AK370" i="2"/>
  <c r="AL370" i="2"/>
  <c r="AK367" i="2"/>
  <c r="AL367" i="2"/>
  <c r="Y361" i="2"/>
  <c r="Z361" i="2"/>
  <c r="Y360" i="2"/>
  <c r="Z360" i="2"/>
  <c r="Y359" i="2"/>
  <c r="Z359" i="2"/>
  <c r="AB357" i="2"/>
  <c r="AC357" i="2"/>
  <c r="AB360" i="2"/>
  <c r="AC360" i="2"/>
  <c r="AB359" i="2"/>
  <c r="AC359" i="2"/>
  <c r="AH357" i="2"/>
  <c r="AI357" i="2"/>
  <c r="AK335" i="2"/>
  <c r="AL335" i="2"/>
  <c r="AQ314" i="2"/>
  <c r="AR314" i="2"/>
  <c r="AQ315" i="2"/>
  <c r="AR315" i="2"/>
  <c r="AH293" i="2"/>
  <c r="AI293" i="2"/>
  <c r="W289" i="7"/>
  <c r="W121" i="7"/>
  <c r="W119" i="7"/>
  <c r="W112" i="7"/>
  <c r="W113" i="7"/>
  <c r="W104" i="7"/>
  <c r="W105" i="7"/>
  <c r="W92" i="7"/>
  <c r="W84" i="7"/>
  <c r="AS490" i="2"/>
  <c r="S545" i="10"/>
  <c r="AQ554" i="2"/>
  <c r="AR554" i="2"/>
  <c r="Y555" i="2"/>
  <c r="Z555" i="2"/>
  <c r="Y554" i="2"/>
  <c r="Z554" i="2"/>
  <c r="Y556" i="2"/>
  <c r="Z556" i="2"/>
  <c r="AC615" i="2"/>
  <c r="AB565" i="2"/>
  <c r="AC565" i="2"/>
  <c r="AB566" i="2"/>
  <c r="AC566" i="2"/>
  <c r="V553" i="2"/>
  <c r="W553" i="2"/>
  <c r="V552" i="2"/>
  <c r="W552" i="2"/>
  <c r="AE502" i="2"/>
  <c r="AF502" i="2"/>
  <c r="AK452" i="2"/>
  <c r="AL452" i="2"/>
  <c r="AN452" i="2"/>
  <c r="AO452" i="2"/>
  <c r="V449" i="2"/>
  <c r="W449" i="2"/>
  <c r="Y422" i="2"/>
  <c r="Z422" i="2"/>
  <c r="AN374" i="2"/>
  <c r="AO374" i="2"/>
  <c r="AO423" i="2"/>
  <c r="AB365" i="2"/>
  <c r="AC365" i="2"/>
  <c r="AB363" i="2"/>
  <c r="AC363" i="2"/>
  <c r="AR362" i="2"/>
  <c r="AH358" i="2"/>
  <c r="AI358" i="2"/>
  <c r="AB335" i="2"/>
  <c r="AC335" i="2"/>
  <c r="AK333" i="2"/>
  <c r="AL333" i="2"/>
  <c r="AK334" i="2"/>
  <c r="AL334" i="2"/>
  <c r="AK331" i="2"/>
  <c r="AL331" i="2"/>
  <c r="V332" i="2"/>
  <c r="W332" i="2"/>
  <c r="AB328" i="2"/>
  <c r="AC328" i="2"/>
  <c r="AE327" i="2"/>
  <c r="AF327" i="2"/>
  <c r="AN292" i="2"/>
  <c r="AO292" i="2"/>
  <c r="AO341" i="2"/>
  <c r="AQ290" i="2"/>
  <c r="AR290" i="2"/>
  <c r="AQ291" i="2"/>
  <c r="AR291" i="2"/>
  <c r="AQ288" i="2"/>
  <c r="AR288" i="2"/>
  <c r="AH287" i="2"/>
  <c r="AI287" i="2"/>
  <c r="AK286" i="2"/>
  <c r="AL286" i="2"/>
  <c r="AQ284" i="2"/>
  <c r="AR284" i="2"/>
  <c r="Y281" i="2"/>
  <c r="Z281" i="2"/>
  <c r="AB253" i="2"/>
  <c r="AC253" i="2"/>
  <c r="V250" i="2"/>
  <c r="W250" i="2"/>
  <c r="AH246" i="2"/>
  <c r="AI246" i="2"/>
  <c r="AK243" i="2"/>
  <c r="AL243" i="2"/>
  <c r="W359" i="7"/>
  <c r="W358" i="7"/>
  <c r="W350" i="7"/>
  <c r="W351" i="7"/>
  <c r="W327" i="7"/>
  <c r="W328" i="7"/>
  <c r="W312" i="7"/>
  <c r="W311" i="7"/>
  <c r="W248" i="7"/>
  <c r="W247" i="7"/>
  <c r="W245" i="7"/>
  <c r="W174" i="7"/>
  <c r="W172" i="7"/>
  <c r="W166" i="7"/>
  <c r="W164" i="7"/>
  <c r="W158" i="7"/>
  <c r="W156" i="7"/>
  <c r="W157" i="7"/>
  <c r="W150" i="7"/>
  <c r="W149" i="7"/>
  <c r="W131" i="7"/>
  <c r="W133" i="7"/>
  <c r="AH520" i="2"/>
  <c r="AI520" i="2"/>
  <c r="AH523" i="2"/>
  <c r="AI523" i="2"/>
  <c r="AQ514" i="2"/>
  <c r="AR514" i="2"/>
  <c r="AR566" i="2"/>
  <c r="AQ402" i="2"/>
  <c r="AR402" i="2"/>
  <c r="AN398" i="2"/>
  <c r="AO398" i="2"/>
  <c r="AN373" i="2"/>
  <c r="AO373" i="2"/>
  <c r="AN371" i="2"/>
  <c r="AO371" i="2"/>
  <c r="AH334" i="2"/>
  <c r="AI334" i="2"/>
  <c r="AH331" i="2"/>
  <c r="AI331" i="2"/>
  <c r="AB288" i="2"/>
  <c r="AC288" i="2"/>
  <c r="AB287" i="2"/>
  <c r="AC287" i="2"/>
  <c r="AN259" i="2"/>
  <c r="AO259" i="2"/>
  <c r="AN260" i="2"/>
  <c r="AO260" i="2"/>
  <c r="W263" i="7"/>
  <c r="W261" i="7"/>
  <c r="W262" i="7"/>
  <c r="W215" i="7"/>
  <c r="W214" i="7"/>
  <c r="W211" i="7"/>
  <c r="W210" i="7"/>
  <c r="W208" i="7"/>
  <c r="W187" i="7"/>
  <c r="W185" i="7"/>
  <c r="W186" i="7"/>
  <c r="W184" i="7"/>
  <c r="AB489" i="2"/>
  <c r="AC489" i="2"/>
  <c r="AH470" i="2"/>
  <c r="AI470" i="2"/>
  <c r="Y464" i="2"/>
  <c r="Z464" i="2"/>
  <c r="AH453" i="2"/>
  <c r="AI453" i="2"/>
  <c r="AK451" i="2"/>
  <c r="AL451" i="2"/>
  <c r="AB422" i="2"/>
  <c r="AC422" i="2"/>
  <c r="Y389" i="2"/>
  <c r="Z389" i="2"/>
  <c r="AH373" i="2"/>
  <c r="AI373" i="2"/>
  <c r="AK368" i="2"/>
  <c r="AL368" i="2"/>
  <c r="V239" i="2"/>
  <c r="W239" i="2"/>
  <c r="AH221" i="2"/>
  <c r="AI221" i="2"/>
  <c r="AB218" i="2"/>
  <c r="AC218" i="2"/>
  <c r="W378" i="7"/>
  <c r="W377" i="7"/>
  <c r="W293" i="7"/>
  <c r="W201" i="7"/>
  <c r="W198" i="7"/>
  <c r="W194" i="7"/>
  <c r="W195" i="7"/>
  <c r="W193" i="7"/>
  <c r="W192" i="7"/>
  <c r="W191" i="7"/>
  <c r="W188" i="7"/>
  <c r="W178" i="7"/>
  <c r="W179" i="7"/>
  <c r="W176" i="7"/>
  <c r="W170" i="7"/>
  <c r="W171" i="7"/>
  <c r="W168" i="7"/>
  <c r="W22" i="7"/>
  <c r="AS571" i="2"/>
  <c r="AT571" i="2"/>
  <c r="S627" i="10"/>
  <c r="AE572" i="2"/>
  <c r="AF572" i="2"/>
  <c r="AE573" i="2"/>
  <c r="AF573" i="2"/>
  <c r="AN541" i="2"/>
  <c r="AO541" i="2"/>
  <c r="Y540" i="2"/>
  <c r="Z540" i="2"/>
  <c r="AQ510" i="2"/>
  <c r="AR510" i="2"/>
  <c r="AK477" i="2"/>
  <c r="AL477" i="2"/>
  <c r="V380" i="2"/>
  <c r="W380" i="2"/>
  <c r="V319" i="2"/>
  <c r="W319" i="2"/>
  <c r="Y286" i="2"/>
  <c r="Z286" i="2"/>
  <c r="AQ226" i="2"/>
  <c r="AR226" i="2"/>
  <c r="AT570" i="2"/>
  <c r="AU570" i="2"/>
  <c r="S625" i="10"/>
  <c r="AB516" i="2"/>
  <c r="AC516" i="2"/>
  <c r="AK505" i="2"/>
  <c r="AL505" i="2"/>
  <c r="AB499" i="2"/>
  <c r="AC499" i="2"/>
  <c r="AE472" i="2"/>
  <c r="AF472" i="2"/>
  <c r="AN407" i="2"/>
  <c r="AO407" i="2"/>
  <c r="AK395" i="2"/>
  <c r="AL395" i="2"/>
  <c r="AB386" i="2"/>
  <c r="AC386" i="2"/>
  <c r="AK255" i="2"/>
  <c r="AL255" i="2"/>
  <c r="Y244" i="2"/>
  <c r="Z244" i="2"/>
  <c r="V237" i="2"/>
  <c r="W237" i="2"/>
  <c r="AB224" i="2"/>
  <c r="AC224" i="2"/>
  <c r="AS596" i="2"/>
  <c r="S650" i="10"/>
  <c r="S651" i="10"/>
  <c r="S653" i="10"/>
  <c r="V499" i="2"/>
  <c r="W499" i="2"/>
  <c r="W387" i="2"/>
  <c r="W43" i="7"/>
  <c r="W44" i="7"/>
  <c r="AE566" i="2"/>
  <c r="AF566" i="2"/>
  <c r="AI587" i="2"/>
  <c r="AH595" i="2"/>
  <c r="AI595" i="2"/>
  <c r="AH593" i="2"/>
  <c r="AI593" i="2"/>
  <c r="AH599" i="2"/>
  <c r="AI599" i="2"/>
  <c r="AH598" i="2"/>
  <c r="AI598" i="2"/>
  <c r="AH597" i="2"/>
  <c r="AI597" i="2"/>
  <c r="W354" i="7"/>
  <c r="AO580" i="2"/>
  <c r="AS580" i="2"/>
  <c r="AT582" i="2"/>
  <c r="AU582" i="2"/>
  <c r="AT583" i="2"/>
  <c r="AU583" i="2"/>
  <c r="S637" i="10"/>
  <c r="S636" i="10"/>
  <c r="AH586" i="2"/>
  <c r="AI586" i="2"/>
  <c r="AH588" i="2"/>
  <c r="AI588" i="2"/>
  <c r="S643" i="10"/>
  <c r="AS586" i="2"/>
  <c r="AT586" i="2"/>
  <c r="AU586" i="2"/>
  <c r="AT589" i="2"/>
  <c r="AU589" i="2"/>
  <c r="AR591" i="2"/>
  <c r="S656" i="10"/>
  <c r="AS599" i="2"/>
  <c r="AT600" i="2"/>
  <c r="S655" i="10"/>
  <c r="AQ619" i="2"/>
  <c r="AR619" i="2"/>
  <c r="AQ616" i="2"/>
  <c r="AR616" i="2"/>
  <c r="AB567" i="2"/>
  <c r="AC567" i="2"/>
  <c r="AO585" i="2"/>
  <c r="Z617" i="2"/>
  <c r="AS587" i="2"/>
  <c r="AT590" i="2"/>
  <c r="AU590" i="2"/>
  <c r="S644" i="10"/>
  <c r="S654" i="10"/>
  <c r="Y601" i="2"/>
  <c r="Z601" i="2"/>
  <c r="Y600" i="2"/>
  <c r="Z600" i="2"/>
  <c r="Z604" i="2"/>
  <c r="Z605" i="2"/>
  <c r="W617" i="2"/>
  <c r="AR623" i="2"/>
  <c r="AQ626" i="2"/>
  <c r="AR626" i="2"/>
  <c r="AQ628" i="2"/>
  <c r="AR628" i="2"/>
  <c r="AE564" i="2"/>
  <c r="AF564" i="2"/>
  <c r="AE562" i="2"/>
  <c r="AF562" i="2"/>
  <c r="AH577" i="2"/>
  <c r="AI577" i="2"/>
  <c r="AH576" i="2"/>
  <c r="AI576" i="2"/>
  <c r="AT578" i="2"/>
  <c r="AU578" i="2"/>
  <c r="Y582" i="2"/>
  <c r="Z582" i="2"/>
  <c r="AQ590" i="2"/>
  <c r="AR590" i="2"/>
  <c r="AQ587" i="2"/>
  <c r="AR587" i="2"/>
  <c r="AQ589" i="2"/>
  <c r="AR589" i="2"/>
  <c r="Z590" i="2"/>
  <c r="AC592" i="2"/>
  <c r="W599" i="2"/>
  <c r="AQ572" i="2"/>
  <c r="AR572" i="2"/>
  <c r="AK575" i="2"/>
  <c r="AL575" i="2"/>
  <c r="AN578" i="2"/>
  <c r="AO578" i="2"/>
  <c r="Y580" i="2"/>
  <c r="Z580" i="2"/>
  <c r="AE588" i="2"/>
  <c r="AF588" i="2"/>
  <c r="Z589" i="2"/>
  <c r="AQ592" i="2"/>
  <c r="AR592" i="2"/>
  <c r="AB594" i="2"/>
  <c r="AC594" i="2"/>
  <c r="AB595" i="2"/>
  <c r="AC595" i="2"/>
  <c r="Y614" i="2"/>
  <c r="Z614" i="2"/>
  <c r="Y615" i="2"/>
  <c r="Z615" i="2"/>
  <c r="W366" i="7"/>
  <c r="W69" i="7"/>
  <c r="S28" i="10"/>
  <c r="AK579" i="2"/>
  <c r="AL579" i="2"/>
  <c r="AN587" i="2"/>
  <c r="AO587" i="2"/>
  <c r="AN586" i="2"/>
  <c r="AO586" i="2"/>
  <c r="AL589" i="2"/>
  <c r="AK590" i="2"/>
  <c r="AL590" i="2"/>
  <c r="AH616" i="2"/>
  <c r="AI616" i="2"/>
  <c r="AH613" i="2"/>
  <c r="AI613" i="2"/>
  <c r="AH614" i="2"/>
  <c r="AI614" i="2"/>
  <c r="AS618" i="2"/>
  <c r="S673" i="10"/>
  <c r="S675" i="10"/>
  <c r="S674" i="10"/>
  <c r="S623" i="10"/>
  <c r="AS566" i="2"/>
  <c r="AT567" i="2"/>
  <c r="AU567" i="2"/>
  <c r="AN572" i="2"/>
  <c r="AO572" i="2"/>
  <c r="S626" i="10"/>
  <c r="S629" i="10"/>
  <c r="AS574" i="2"/>
  <c r="AT577" i="2"/>
  <c r="AU577" i="2"/>
  <c r="AE578" i="2"/>
  <c r="AF578" i="2"/>
  <c r="AE579" i="2"/>
  <c r="AF579" i="2"/>
  <c r="AE577" i="2"/>
  <c r="AF577" i="2"/>
  <c r="AF581" i="2"/>
  <c r="V580" i="2"/>
  <c r="W580" i="2"/>
  <c r="AH584" i="2"/>
  <c r="AI584" i="2"/>
  <c r="S641" i="10"/>
  <c r="V585" i="2"/>
  <c r="W585" i="2"/>
  <c r="AK593" i="2"/>
  <c r="AL593" i="2"/>
  <c r="AK592" i="2"/>
  <c r="AL592" i="2"/>
  <c r="AL594" i="2"/>
  <c r="S659" i="10"/>
  <c r="AQ558" i="2"/>
  <c r="AR558" i="2"/>
  <c r="AH583" i="2"/>
  <c r="AI583" i="2"/>
  <c r="AH580" i="2"/>
  <c r="AI580" i="2"/>
  <c r="AH585" i="2"/>
  <c r="AI585" i="2"/>
  <c r="AQ584" i="2"/>
  <c r="AR584" i="2"/>
  <c r="AQ583" i="2"/>
  <c r="AR583" i="2"/>
  <c r="S639" i="10"/>
  <c r="AS582" i="2"/>
  <c r="AT585" i="2"/>
  <c r="AU585" i="2"/>
  <c r="Y587" i="2"/>
  <c r="Z587" i="2"/>
  <c r="Y586" i="2"/>
  <c r="Z586" i="2"/>
  <c r="W587" i="2"/>
  <c r="S642" i="10"/>
  <c r="Z591" i="2"/>
  <c r="AI589" i="2"/>
  <c r="W597" i="2"/>
  <c r="AT605" i="2"/>
  <c r="AU605" i="2"/>
  <c r="AO607" i="2"/>
  <c r="AN606" i="2"/>
  <c r="AO606" i="2"/>
  <c r="AQ620" i="2"/>
  <c r="AR620" i="2"/>
  <c r="AN623" i="2"/>
  <c r="AO623" i="2"/>
  <c r="AN622" i="2"/>
  <c r="AO622" i="2"/>
  <c r="AK577" i="2"/>
  <c r="AL577" i="2"/>
  <c r="AT587" i="2"/>
  <c r="AU587" i="2"/>
  <c r="AL586" i="2"/>
  <c r="V588" i="2"/>
  <c r="W588" i="2"/>
  <c r="AE590" i="2"/>
  <c r="AF590" i="2"/>
  <c r="Y599" i="2"/>
  <c r="Z599" i="2"/>
  <c r="Y596" i="2"/>
  <c r="Z596" i="2"/>
  <c r="Y597" i="2"/>
  <c r="Z597" i="2"/>
  <c r="AN609" i="2"/>
  <c r="AO609" i="2"/>
  <c r="V609" i="2"/>
  <c r="W609" i="2"/>
  <c r="V608" i="2"/>
  <c r="W608" i="2"/>
  <c r="V607" i="2"/>
  <c r="W607" i="2"/>
  <c r="AF614" i="2"/>
  <c r="AK620" i="2"/>
  <c r="AL620" i="2"/>
  <c r="AK621" i="2"/>
  <c r="AL621" i="2"/>
  <c r="AK619" i="2"/>
  <c r="AL619" i="2"/>
  <c r="AK618" i="2"/>
  <c r="AL618" i="2"/>
  <c r="S676" i="10"/>
  <c r="AS619" i="2"/>
  <c r="S624" i="10"/>
  <c r="AB579" i="2"/>
  <c r="AC579" i="2"/>
  <c r="AB580" i="2"/>
  <c r="AC580" i="2"/>
  <c r="AC585" i="2"/>
  <c r="AK587" i="2"/>
  <c r="AL587" i="2"/>
  <c r="AB588" i="2"/>
  <c r="AC588" i="2"/>
  <c r="AB586" i="2"/>
  <c r="AC586" i="2"/>
  <c r="V591" i="2"/>
  <c r="W591" i="2"/>
  <c r="AO592" i="2"/>
  <c r="Z592" i="2"/>
  <c r="Z595" i="2"/>
  <c r="S652" i="10"/>
  <c r="AS595" i="2"/>
  <c r="AT597" i="2"/>
  <c r="AC603" i="2"/>
  <c r="S658" i="10"/>
  <c r="AS601" i="2"/>
  <c r="AT604" i="2"/>
  <c r="AU604" i="2"/>
  <c r="AC604" i="2"/>
  <c r="AS606" i="2"/>
  <c r="AT609" i="2"/>
  <c r="AU609" i="2"/>
  <c r="S663" i="10"/>
  <c r="Y611" i="2"/>
  <c r="Z611" i="2"/>
  <c r="AL611" i="2"/>
  <c r="AF615" i="2"/>
  <c r="Z619" i="2"/>
  <c r="S677" i="10"/>
  <c r="AS620" i="2"/>
  <c r="AT623" i="2"/>
  <c r="AU623" i="2"/>
  <c r="S621" i="10"/>
  <c r="AT579" i="2"/>
  <c r="AU579" i="2"/>
  <c r="V577" i="2"/>
  <c r="W577" i="2"/>
  <c r="V579" i="2"/>
  <c r="W579" i="2"/>
  <c r="V578" i="2"/>
  <c r="W578" i="2"/>
  <c r="V581" i="2"/>
  <c r="W581" i="2"/>
  <c r="AH581" i="2"/>
  <c r="AI581" i="2"/>
  <c r="AQ582" i="2"/>
  <c r="AR582" i="2"/>
  <c r="S640" i="10"/>
  <c r="AN588" i="2"/>
  <c r="AO588" i="2"/>
  <c r="AK591" i="2"/>
  <c r="AL591" i="2"/>
  <c r="AH594" i="2"/>
  <c r="AI594" i="2"/>
  <c r="AO595" i="2"/>
  <c r="V595" i="2"/>
  <c r="W595" i="2"/>
  <c r="AE597" i="2"/>
  <c r="AF597" i="2"/>
  <c r="AE596" i="2"/>
  <c r="AF596" i="2"/>
  <c r="AN598" i="2"/>
  <c r="AO598" i="2"/>
  <c r="AN596" i="2"/>
  <c r="AO596" i="2"/>
  <c r="AN599" i="2"/>
  <c r="AO599" i="2"/>
  <c r="AB598" i="2"/>
  <c r="AC598" i="2"/>
  <c r="AB597" i="2"/>
  <c r="AC597" i="2"/>
  <c r="AE600" i="2"/>
  <c r="AF600" i="2"/>
  <c r="AE602" i="2"/>
  <c r="AF602" i="2"/>
  <c r="AN603" i="2"/>
  <c r="AO603" i="2"/>
  <c r="AB572" i="2"/>
  <c r="AC572" i="2"/>
  <c r="AN575" i="2"/>
  <c r="AO575" i="2"/>
  <c r="AK581" i="2"/>
  <c r="AL581" i="2"/>
  <c r="Y585" i="2"/>
  <c r="Z585" i="2"/>
  <c r="AN584" i="2"/>
  <c r="AO584" i="2"/>
  <c r="AF586" i="2"/>
  <c r="V586" i="2"/>
  <c r="W586" i="2"/>
  <c r="AO589" i="2"/>
  <c r="AB593" i="2"/>
  <c r="AC593" i="2"/>
  <c r="AB590" i="2"/>
  <c r="AC590" i="2"/>
  <c r="AQ596" i="2"/>
  <c r="AR596" i="2"/>
  <c r="AL596" i="2"/>
  <c r="AH601" i="2"/>
  <c r="AI601" i="2"/>
  <c r="Y603" i="2"/>
  <c r="Z603" i="2"/>
  <c r="AR603" i="2"/>
  <c r="Z606" i="2"/>
  <c r="Z607" i="2"/>
  <c r="S662" i="10"/>
  <c r="AS605" i="2"/>
  <c r="AT607" i="2"/>
  <c r="AU607" i="2"/>
  <c r="S661" i="10"/>
  <c r="S668" i="10"/>
  <c r="AS611" i="2"/>
  <c r="AT612" i="2"/>
  <c r="AU612" i="2"/>
  <c r="S665" i="10"/>
  <c r="AO618" i="2"/>
  <c r="AQ622" i="2"/>
  <c r="AR622" i="2"/>
  <c r="W623" i="2"/>
  <c r="AQ579" i="2"/>
  <c r="AR579" i="2"/>
  <c r="AN583" i="2"/>
  <c r="AO583" i="2"/>
  <c r="AE585" i="2"/>
  <c r="AF585" i="2"/>
  <c r="AH590" i="2"/>
  <c r="AI590" i="2"/>
  <c r="AN597" i="2"/>
  <c r="AO597" i="2"/>
  <c r="AN600" i="2"/>
  <c r="AO600" i="2"/>
  <c r="AK604" i="2"/>
  <c r="AL604" i="2"/>
  <c r="AK603" i="2"/>
  <c r="AL603" i="2"/>
  <c r="AH603" i="2"/>
  <c r="AI603" i="2"/>
  <c r="AT610" i="2"/>
  <c r="AU610" i="2"/>
  <c r="AN621" i="2"/>
  <c r="AO621" i="2"/>
  <c r="AN620" i="2"/>
  <c r="AO620" i="2"/>
  <c r="AE582" i="2"/>
  <c r="AF582" i="2"/>
  <c r="AE584" i="2"/>
  <c r="AF584" i="2"/>
  <c r="AE589" i="2"/>
  <c r="AF589" i="2"/>
  <c r="V592" i="2"/>
  <c r="W592" i="2"/>
  <c r="AN602" i="2"/>
  <c r="AO602" i="2"/>
  <c r="Y602" i="2"/>
  <c r="Z602" i="2"/>
  <c r="S657" i="10"/>
  <c r="AS600" i="2"/>
  <c r="AT603" i="2"/>
  <c r="AU603" i="2"/>
  <c r="AH604" i="2"/>
  <c r="AI604" i="2"/>
  <c r="W603" i="2"/>
  <c r="Y608" i="2"/>
  <c r="Z608" i="2"/>
  <c r="AH611" i="2"/>
  <c r="AI611" i="2"/>
  <c r="AH608" i="2"/>
  <c r="AI608" i="2"/>
  <c r="S667" i="10"/>
  <c r="AQ614" i="2"/>
  <c r="AR614" i="2"/>
  <c r="AQ611" i="2"/>
  <c r="AR611" i="2"/>
  <c r="V618" i="2"/>
  <c r="W618" i="2"/>
  <c r="V615" i="2"/>
  <c r="W615" i="2"/>
  <c r="V616" i="2"/>
  <c r="W616" i="2"/>
  <c r="S633" i="10"/>
  <c r="AN581" i="2"/>
  <c r="AO581" i="2"/>
  <c r="AQ586" i="2"/>
  <c r="AR586" i="2"/>
  <c r="AN591" i="2"/>
  <c r="AO591" i="2"/>
  <c r="V590" i="2"/>
  <c r="W590" i="2"/>
  <c r="Y593" i="2"/>
  <c r="Z593" i="2"/>
  <c r="S649" i="10"/>
  <c r="V598" i="2"/>
  <c r="W598" i="2"/>
  <c r="AK599" i="2"/>
  <c r="AL599" i="2"/>
  <c r="AN601" i="2"/>
  <c r="AO601" i="2"/>
  <c r="AC601" i="2"/>
  <c r="AQ605" i="2"/>
  <c r="AR605" i="2"/>
  <c r="AT606" i="2"/>
  <c r="AU606" i="2"/>
  <c r="Y610" i="2"/>
  <c r="Z610" i="2"/>
  <c r="AC612" i="2"/>
  <c r="AF622" i="2"/>
  <c r="AE623" i="2"/>
  <c r="AF623" i="2"/>
  <c r="AE624" i="2"/>
  <c r="AF624" i="2"/>
  <c r="S646" i="10"/>
  <c r="Y594" i="2"/>
  <c r="Z594" i="2"/>
  <c r="Y598" i="2"/>
  <c r="Z598" i="2"/>
  <c r="AH600" i="2"/>
  <c r="AI600" i="2"/>
  <c r="AQ604" i="2"/>
  <c r="AR604" i="2"/>
  <c r="AE605" i="2"/>
  <c r="AF605" i="2"/>
  <c r="AI607" i="2"/>
  <c r="AB609" i="2"/>
  <c r="AC609" i="2"/>
  <c r="AL609" i="2"/>
  <c r="AK610" i="2"/>
  <c r="AL610" i="2"/>
  <c r="AH615" i="2"/>
  <c r="AI615" i="2"/>
  <c r="AT617" i="2"/>
  <c r="AU617" i="2"/>
  <c r="AR615" i="2"/>
  <c r="AE616" i="2"/>
  <c r="AF616" i="2"/>
  <c r="S678" i="10"/>
  <c r="AS621" i="2"/>
  <c r="AT624" i="2"/>
  <c r="AU624" i="2"/>
  <c r="V624" i="2"/>
  <c r="W624" i="2"/>
  <c r="V593" i="2"/>
  <c r="W593" i="2"/>
  <c r="AE595" i="2"/>
  <c r="AF595" i="2"/>
  <c r="AQ598" i="2"/>
  <c r="AR598" i="2"/>
  <c r="AE601" i="2"/>
  <c r="AF601" i="2"/>
  <c r="AC602" i="2"/>
  <c r="AB606" i="2"/>
  <c r="AC606" i="2"/>
  <c r="AK613" i="2"/>
  <c r="AL613" i="2"/>
  <c r="Y616" i="2"/>
  <c r="Z616" i="2"/>
  <c r="AB614" i="2"/>
  <c r="AC614" i="2"/>
  <c r="Y620" i="2"/>
  <c r="Z620" i="2"/>
  <c r="AB596" i="2"/>
  <c r="AC596" i="2"/>
  <c r="V600" i="2"/>
  <c r="W600" i="2"/>
  <c r="AN605" i="2"/>
  <c r="AO605" i="2"/>
  <c r="AB608" i="2"/>
  <c r="AC608" i="2"/>
  <c r="AB607" i="2"/>
  <c r="AC607" i="2"/>
  <c r="V612" i="2"/>
  <c r="W612" i="2"/>
  <c r="V611" i="2"/>
  <c r="W611" i="2"/>
  <c r="AE618" i="2"/>
  <c r="AF618" i="2"/>
  <c r="AE617" i="2"/>
  <c r="AF617" i="2"/>
  <c r="AQ625" i="2"/>
  <c r="AR625" i="2"/>
  <c r="AK602" i="2"/>
  <c r="AL602" i="2"/>
  <c r="AQ606" i="2"/>
  <c r="AR606" i="2"/>
  <c r="AQ613" i="2"/>
  <c r="AR613" i="2"/>
  <c r="AB617" i="2"/>
  <c r="AC617" i="2"/>
  <c r="V620" i="2"/>
  <c r="W620" i="2"/>
  <c r="AB627" i="2"/>
  <c r="AC627" i="2"/>
  <c r="AE629" i="2"/>
  <c r="AF629" i="2"/>
  <c r="AK627" i="2"/>
  <c r="AL627" i="2"/>
  <c r="AH609" i="2"/>
  <c r="AI609" i="2"/>
  <c r="AE611" i="2"/>
  <c r="AF611" i="2"/>
  <c r="AL617" i="2"/>
  <c r="AT629" i="2"/>
  <c r="AU629" i="2"/>
  <c r="AT627" i="2"/>
  <c r="AU627" i="2"/>
  <c r="V606" i="2"/>
  <c r="W606" i="2"/>
  <c r="AE608" i="2"/>
  <c r="AF608" i="2"/>
  <c r="S666" i="10"/>
  <c r="S669" i="10"/>
  <c r="AH622" i="2"/>
  <c r="AI622" i="2"/>
  <c r="AQ621" i="2"/>
  <c r="AR621" i="2"/>
  <c r="AH623" i="2"/>
  <c r="AI623" i="2"/>
  <c r="AS622" i="2"/>
  <c r="AT625" i="2"/>
  <c r="AU625" i="2"/>
  <c r="Y609" i="2"/>
  <c r="Z609" i="2"/>
  <c r="AQ612" i="2"/>
  <c r="AR612" i="2"/>
  <c r="AT329" i="2"/>
  <c r="AU329" i="2"/>
  <c r="AT598" i="2"/>
  <c r="AU598" i="2"/>
  <c r="AT595" i="2"/>
  <c r="AU595" i="2"/>
  <c r="AU392" i="2"/>
  <c r="AT340" i="2"/>
  <c r="AU340" i="2"/>
  <c r="AT342" i="2"/>
  <c r="AU342" i="2"/>
  <c r="AT402" i="2"/>
  <c r="AU402" i="2"/>
  <c r="AT401" i="2"/>
  <c r="AU401" i="2"/>
  <c r="AT253" i="2"/>
  <c r="AU253" i="2"/>
  <c r="AT250" i="2"/>
  <c r="AU250" i="2"/>
  <c r="AT574" i="2"/>
  <c r="AU574" i="2"/>
  <c r="AT572" i="2"/>
  <c r="AU572" i="2"/>
  <c r="AT608" i="2"/>
  <c r="AU608" i="2"/>
  <c r="AT596" i="2"/>
  <c r="AU596" i="2"/>
  <c r="AT351" i="2"/>
  <c r="AU351" i="2"/>
  <c r="AT349" i="2"/>
  <c r="AU349" i="2"/>
  <c r="AU451" i="2"/>
  <c r="AT261" i="2"/>
  <c r="AU261" i="2"/>
  <c r="AT260" i="2"/>
  <c r="AU260" i="2"/>
  <c r="AT602" i="2"/>
  <c r="AU602" i="2"/>
  <c r="AT618" i="2"/>
  <c r="AT599" i="2"/>
  <c r="AU599" i="2"/>
  <c r="AT429" i="2"/>
  <c r="AU429" i="2"/>
  <c r="AT428" i="2"/>
  <c r="AU428" i="2"/>
  <c r="AT430" i="2"/>
  <c r="AU430" i="2"/>
  <c r="AU427" i="2"/>
  <c r="AT252" i="2"/>
  <c r="AU252" i="2"/>
  <c r="AT251" i="2"/>
  <c r="AU251" i="2"/>
  <c r="AU479" i="2"/>
  <c r="AT478" i="2"/>
  <c r="AU478" i="2"/>
  <c r="AU597" i="2"/>
  <c r="AT611" i="2"/>
  <c r="AU611" i="2"/>
  <c r="AT588" i="2"/>
  <c r="AU588" i="2"/>
  <c r="AT568" i="2"/>
  <c r="AU568" i="2"/>
  <c r="AT566" i="2"/>
  <c r="AU566" i="2"/>
  <c r="AU571" i="2"/>
  <c r="AT490" i="2"/>
  <c r="AU490" i="2"/>
  <c r="AT580" i="2"/>
  <c r="AU580" i="2"/>
  <c r="AT350" i="2"/>
  <c r="AU350" i="2"/>
  <c r="AH628" i="2"/>
  <c r="AI628" i="2"/>
  <c r="V628" i="2"/>
  <c r="W628" i="2"/>
  <c r="V627" i="2"/>
  <c r="W627" i="2"/>
  <c r="AN628" i="2"/>
  <c r="AO628" i="2"/>
  <c r="AB628" i="2"/>
  <c r="AC628" i="2"/>
  <c r="AK629" i="2"/>
  <c r="AL629" i="2"/>
  <c r="AQ576" i="2"/>
  <c r="AR576" i="2"/>
  <c r="AT632" i="2"/>
  <c r="V632" i="2"/>
  <c r="W632" i="2"/>
  <c r="Y634" i="2"/>
  <c r="Z634" i="2"/>
  <c r="AU457" i="2"/>
  <c r="AU535" i="2"/>
  <c r="AT320" i="2"/>
  <c r="AU320" i="2"/>
  <c r="AT323" i="2"/>
  <c r="AU323" i="2"/>
  <c r="AE491" i="2"/>
  <c r="AF491" i="2"/>
  <c r="AF540" i="2"/>
  <c r="AE490" i="2"/>
  <c r="AF490" i="2"/>
  <c r="AQ487" i="2"/>
  <c r="AR487" i="2"/>
  <c r="AQ486" i="2"/>
  <c r="AR486" i="2"/>
  <c r="AQ489" i="2"/>
  <c r="AR489" i="2"/>
  <c r="W296" i="7"/>
  <c r="Y441" i="2"/>
  <c r="Z441" i="2"/>
  <c r="S422" i="10"/>
  <c r="AS367" i="2"/>
  <c r="AU419" i="2"/>
  <c r="S424" i="10"/>
  <c r="S423" i="10"/>
  <c r="AU618" i="2"/>
  <c r="AT619" i="2"/>
  <c r="AU619" i="2"/>
  <c r="AT620" i="2"/>
  <c r="AU620" i="2"/>
  <c r="W297" i="7"/>
  <c r="AT341" i="2"/>
  <c r="AU341" i="2"/>
  <c r="AT315" i="2"/>
  <c r="AU315" i="2"/>
  <c r="AR568" i="2"/>
  <c r="AT442" i="2"/>
  <c r="AU442" i="2"/>
  <c r="AT441" i="2"/>
  <c r="AU441" i="2"/>
  <c r="AT270" i="2"/>
  <c r="AU270" i="2"/>
  <c r="AT305" i="2"/>
  <c r="AU305" i="2"/>
  <c r="AT308" i="2"/>
  <c r="AU308" i="2"/>
  <c r="AQ417" i="2"/>
  <c r="AR417" i="2"/>
  <c r="AQ415" i="2"/>
  <c r="AR415" i="2"/>
  <c r="AQ416" i="2"/>
  <c r="AR416" i="2"/>
  <c r="AK413" i="2"/>
  <c r="AL413" i="2"/>
  <c r="AK412" i="2"/>
  <c r="AL412" i="2"/>
  <c r="V314" i="2"/>
  <c r="W314" i="2"/>
  <c r="W363" i="2"/>
  <c r="V311" i="2"/>
  <c r="W311" i="2"/>
  <c r="V313" i="2"/>
  <c r="W313" i="2"/>
  <c r="Y313" i="2"/>
  <c r="Z313" i="2"/>
  <c r="Y310" i="2"/>
  <c r="Z310" i="2"/>
  <c r="AE299" i="2"/>
  <c r="AF299" i="2"/>
  <c r="AE298" i="2"/>
  <c r="AF298" i="2"/>
  <c r="AF348" i="2"/>
  <c r="AH298" i="2"/>
  <c r="AI298" i="2"/>
  <c r="AH297" i="2"/>
  <c r="AI297" i="2"/>
  <c r="AH296" i="2"/>
  <c r="AI296" i="2"/>
  <c r="AK296" i="2"/>
  <c r="AL296" i="2"/>
  <c r="AK295" i="2"/>
  <c r="AL295" i="2"/>
  <c r="AK297" i="2"/>
  <c r="AL297" i="2"/>
  <c r="AQ296" i="2"/>
  <c r="AR296" i="2"/>
  <c r="AQ294" i="2"/>
  <c r="AR294" i="2"/>
  <c r="Y292" i="2"/>
  <c r="Z292" i="2"/>
  <c r="Y294" i="2"/>
  <c r="Z294" i="2"/>
  <c r="AB276" i="2"/>
  <c r="AC276" i="2"/>
  <c r="AB273" i="2"/>
  <c r="AC273" i="2"/>
  <c r="AK222" i="2"/>
  <c r="AL222" i="2"/>
  <c r="AK221" i="2"/>
  <c r="AL221" i="2"/>
  <c r="AK220" i="2"/>
  <c r="AL220" i="2"/>
  <c r="AQ219" i="2"/>
  <c r="AR219" i="2"/>
  <c r="AQ217" i="2"/>
  <c r="AR217" i="2"/>
  <c r="AQ220" i="2"/>
  <c r="AR220" i="2"/>
  <c r="AB217" i="2"/>
  <c r="AC217" i="2"/>
  <c r="AB219" i="2"/>
  <c r="AC219" i="2"/>
  <c r="AC268" i="2"/>
  <c r="AB216" i="2"/>
  <c r="AC216" i="2"/>
  <c r="AT527" i="2"/>
  <c r="AU527" i="2"/>
  <c r="AT526" i="2"/>
  <c r="AU526" i="2"/>
  <c r="AT528" i="2"/>
  <c r="AU528" i="2"/>
  <c r="AK488" i="2"/>
  <c r="AL488" i="2"/>
  <c r="AK490" i="2"/>
  <c r="AL490" i="2"/>
  <c r="AK487" i="2"/>
  <c r="AL487" i="2"/>
  <c r="S410" i="10"/>
  <c r="S409" i="10"/>
  <c r="S408" i="10"/>
  <c r="AS353" i="2"/>
  <c r="S407" i="10"/>
  <c r="AT575" i="2"/>
  <c r="AU575" i="2"/>
  <c r="AI508" i="2"/>
  <c r="AT271" i="2"/>
  <c r="AU271" i="2"/>
  <c r="AT273" i="2"/>
  <c r="AU273" i="2"/>
  <c r="AT334" i="2"/>
  <c r="AU334" i="2"/>
  <c r="AT336" i="2"/>
  <c r="AU336" i="2"/>
  <c r="AT420" i="2"/>
  <c r="AU420" i="2"/>
  <c r="AT418" i="2"/>
  <c r="AU418" i="2"/>
  <c r="AT421" i="2"/>
  <c r="AU421" i="2"/>
  <c r="AS405" i="2"/>
  <c r="S462" i="10"/>
  <c r="S459" i="10"/>
  <c r="S461" i="10"/>
  <c r="AS373" i="2"/>
  <c r="S429" i="10"/>
  <c r="S428" i="10"/>
  <c r="S430" i="10"/>
  <c r="S427" i="10"/>
  <c r="S415" i="10"/>
  <c r="AS359" i="2"/>
  <c r="S416" i="10"/>
  <c r="S413" i="10"/>
  <c r="AT581" i="2"/>
  <c r="AU581" i="2"/>
  <c r="AT326" i="2"/>
  <c r="AU326" i="2"/>
  <c r="AT327" i="2"/>
  <c r="AU327" i="2"/>
  <c r="AT569" i="2"/>
  <c r="AU569" i="2"/>
  <c r="AT476" i="2"/>
  <c r="AU476" i="2"/>
  <c r="AT343" i="2"/>
  <c r="AU343" i="2"/>
  <c r="AN458" i="2"/>
  <c r="AO458" i="2"/>
  <c r="AT232" i="2"/>
  <c r="AU232" i="2"/>
  <c r="AT487" i="2"/>
  <c r="AU487" i="2"/>
  <c r="AU346" i="2"/>
  <c r="AT321" i="2"/>
  <c r="AU321" i="2"/>
  <c r="AT274" i="2"/>
  <c r="AU274" i="2"/>
  <c r="AT267" i="2"/>
  <c r="AU267" i="2"/>
  <c r="AB459" i="2"/>
  <c r="AC459" i="2"/>
  <c r="AT259" i="2"/>
  <c r="AU259" i="2"/>
  <c r="AT268" i="2"/>
  <c r="AU268" i="2"/>
  <c r="V530" i="2"/>
  <c r="W530" i="2"/>
  <c r="V528" i="2"/>
  <c r="W528" i="2"/>
  <c r="V527" i="2"/>
  <c r="W527" i="2"/>
  <c r="V500" i="2"/>
  <c r="W500" i="2"/>
  <c r="V498" i="2"/>
  <c r="W498" i="2"/>
  <c r="V501" i="2"/>
  <c r="W501" i="2"/>
  <c r="W550" i="2"/>
  <c r="V410" i="2"/>
  <c r="W410" i="2"/>
  <c r="V408" i="2"/>
  <c r="W408" i="2"/>
  <c r="Y409" i="2"/>
  <c r="Z409" i="2"/>
  <c r="Y407" i="2"/>
  <c r="Z407" i="2"/>
  <c r="AB409" i="2"/>
  <c r="AC409" i="2"/>
  <c r="AB408" i="2"/>
  <c r="AC408" i="2"/>
  <c r="AB407" i="2"/>
  <c r="AC407" i="2"/>
  <c r="AB406" i="2"/>
  <c r="AC406" i="2"/>
  <c r="AE408" i="2"/>
  <c r="AF408" i="2"/>
  <c r="AE407" i="2"/>
  <c r="AF407" i="2"/>
  <c r="AK404" i="2"/>
  <c r="AL404" i="2"/>
  <c r="AK406" i="2"/>
  <c r="AL406" i="2"/>
  <c r="AH396" i="2"/>
  <c r="AI396" i="2"/>
  <c r="AH394" i="2"/>
  <c r="AI394" i="2"/>
  <c r="AK316" i="2"/>
  <c r="AL316" i="2"/>
  <c r="AK315" i="2"/>
  <c r="AL315" i="2"/>
  <c r="AK313" i="2"/>
  <c r="AL313" i="2"/>
  <c r="AQ311" i="2"/>
  <c r="AR311" i="2"/>
  <c r="AQ313" i="2"/>
  <c r="AR313" i="2"/>
  <c r="AQ307" i="2"/>
  <c r="AR307" i="2"/>
  <c r="AQ308" i="2"/>
  <c r="AR308" i="2"/>
  <c r="V305" i="2"/>
  <c r="W305" i="2"/>
  <c r="V306" i="2"/>
  <c r="W306" i="2"/>
  <c r="AB305" i="2"/>
  <c r="AC305" i="2"/>
  <c r="AB306" i="2"/>
  <c r="AC306" i="2"/>
  <c r="AB304" i="2"/>
  <c r="AC304" i="2"/>
  <c r="AE304" i="2"/>
  <c r="AF304" i="2"/>
  <c r="AE305" i="2"/>
  <c r="AF305" i="2"/>
  <c r="AE302" i="2"/>
  <c r="AF302" i="2"/>
  <c r="AH302" i="2"/>
  <c r="AI302" i="2"/>
  <c r="AH304" i="2"/>
  <c r="AI304" i="2"/>
  <c r="AH303" i="2"/>
  <c r="AI303" i="2"/>
  <c r="V301" i="2"/>
  <c r="W301" i="2"/>
  <c r="V300" i="2"/>
  <c r="W300" i="2"/>
  <c r="V299" i="2"/>
  <c r="W299" i="2"/>
  <c r="AC337" i="2"/>
  <c r="AB285" i="2"/>
  <c r="AC285" i="2"/>
  <c r="AB286" i="2"/>
  <c r="AC286" i="2"/>
  <c r="AE287" i="2"/>
  <c r="AF287" i="2"/>
  <c r="AE284" i="2"/>
  <c r="AF284" i="2"/>
  <c r="AE285" i="2"/>
  <c r="AF285" i="2"/>
  <c r="AH285" i="2"/>
  <c r="AI285" i="2"/>
  <c r="AH283" i="2"/>
  <c r="AI283" i="2"/>
  <c r="AH284" i="2"/>
  <c r="AI284" i="2"/>
  <c r="AH286" i="2"/>
  <c r="AI286" i="2"/>
  <c r="AI335" i="2"/>
  <c r="AK284" i="2"/>
  <c r="AL284" i="2"/>
  <c r="AK285" i="2"/>
  <c r="AL285" i="2"/>
  <c r="AQ281" i="2"/>
  <c r="AR281" i="2"/>
  <c r="AQ283" i="2"/>
  <c r="AR283" i="2"/>
  <c r="AQ282" i="2"/>
  <c r="AR282" i="2"/>
  <c r="Y280" i="2"/>
  <c r="Z280" i="2"/>
  <c r="Y282" i="2"/>
  <c r="Z282" i="2"/>
  <c r="Z332" i="2"/>
  <c r="Y283" i="2"/>
  <c r="Z283" i="2"/>
  <c r="AH458" i="2"/>
  <c r="AI458" i="2"/>
  <c r="AH457" i="2"/>
  <c r="AI457" i="2"/>
  <c r="AB318" i="2"/>
  <c r="AC318" i="2"/>
  <c r="AB316" i="2"/>
  <c r="AC316" i="2"/>
  <c r="AE316" i="2"/>
  <c r="AF316" i="2"/>
  <c r="AE317" i="2"/>
  <c r="AF317" i="2"/>
  <c r="W290" i="7"/>
  <c r="W288" i="7"/>
  <c r="W281" i="7"/>
  <c r="W280" i="7"/>
  <c r="W282" i="7"/>
  <c r="AS548" i="2"/>
  <c r="S605" i="10"/>
  <c r="S602" i="10"/>
  <c r="S604" i="10"/>
  <c r="S603" i="10"/>
  <c r="AT621" i="2"/>
  <c r="AU621" i="2"/>
  <c r="AU626" i="2"/>
  <c r="AU445" i="2"/>
  <c r="W279" i="7"/>
  <c r="AT436" i="2"/>
  <c r="AU436" i="2"/>
  <c r="AT437" i="2"/>
  <c r="AU437" i="2"/>
  <c r="AT438" i="2"/>
  <c r="AU438" i="2"/>
  <c r="AT255" i="2"/>
  <c r="AU255" i="2"/>
  <c r="AT257" i="2"/>
  <c r="AU257" i="2"/>
  <c r="AR407" i="2"/>
  <c r="AS465" i="2"/>
  <c r="S520" i="10"/>
  <c r="S521" i="10"/>
  <c r="S519" i="10"/>
  <c r="S522" i="10"/>
  <c r="S451" i="10"/>
  <c r="AS394" i="2"/>
  <c r="S450" i="10"/>
  <c r="AS383" i="2"/>
  <c r="S437" i="10"/>
  <c r="S439" i="10"/>
  <c r="S438" i="10"/>
  <c r="AS591" i="2"/>
  <c r="S648" i="10"/>
  <c r="S647" i="10"/>
  <c r="AQ594" i="2"/>
  <c r="AR594" i="2"/>
  <c r="AQ597" i="2"/>
  <c r="AR597" i="2"/>
  <c r="AU378" i="2"/>
  <c r="AT393" i="2"/>
  <c r="AU393" i="2"/>
  <c r="AT601" i="2"/>
  <c r="AU601" i="2"/>
  <c r="AT573" i="2"/>
  <c r="AU573" i="2"/>
  <c r="AN550" i="2"/>
  <c r="AO550" i="2"/>
  <c r="S449" i="10"/>
  <c r="AT439" i="2"/>
  <c r="AU439" i="2"/>
  <c r="AT241" i="2"/>
  <c r="AU241" i="2"/>
  <c r="AT240" i="2"/>
  <c r="AU240" i="2"/>
  <c r="AE315" i="2"/>
  <c r="AF315" i="2"/>
  <c r="AT520" i="2"/>
  <c r="AU520" i="2"/>
  <c r="AT519" i="2"/>
  <c r="AU519" i="2"/>
  <c r="AT265" i="2"/>
  <c r="AU265" i="2"/>
  <c r="AT264" i="2"/>
  <c r="AU264" i="2"/>
  <c r="AE488" i="2"/>
  <c r="AF488" i="2"/>
  <c r="W395" i="2"/>
  <c r="AT306" i="2"/>
  <c r="AU306" i="2"/>
  <c r="AT231" i="2"/>
  <c r="AU231" i="2"/>
  <c r="AT504" i="2"/>
  <c r="AU504" i="2"/>
  <c r="AU555" i="2"/>
  <c r="AT285" i="2"/>
  <c r="AU285" i="2"/>
  <c r="AT284" i="2"/>
  <c r="AU284" i="2"/>
  <c r="AT286" i="2"/>
  <c r="AU286" i="2"/>
  <c r="AT283" i="2"/>
  <c r="AU283" i="2"/>
  <c r="AO507" i="2"/>
  <c r="AK405" i="2"/>
  <c r="AL405" i="2"/>
  <c r="AT218" i="2"/>
  <c r="AU218" i="2"/>
  <c r="AT219" i="2"/>
  <c r="AU219" i="2"/>
  <c r="AT217" i="2"/>
  <c r="AU217" i="2"/>
  <c r="AI461" i="2"/>
  <c r="AE524" i="2"/>
  <c r="AF524" i="2"/>
  <c r="AE525" i="2"/>
  <c r="AF525" i="2"/>
  <c r="AK522" i="2"/>
  <c r="AL522" i="2"/>
  <c r="AK524" i="2"/>
  <c r="AL524" i="2"/>
  <c r="AK523" i="2"/>
  <c r="AL523" i="2"/>
  <c r="AL574" i="2"/>
  <c r="AT458" i="2"/>
  <c r="AU458" i="2"/>
  <c r="AT456" i="2"/>
  <c r="AU456" i="2"/>
  <c r="AT459" i="2"/>
  <c r="AU459" i="2"/>
  <c r="V462" i="2"/>
  <c r="W462" i="2"/>
  <c r="V461" i="2"/>
  <c r="W461" i="2"/>
  <c r="V460" i="2"/>
  <c r="W460" i="2"/>
  <c r="Z511" i="2"/>
  <c r="Y461" i="2"/>
  <c r="Z461" i="2"/>
  <c r="Y459" i="2"/>
  <c r="Z459" i="2"/>
  <c r="AE457" i="2"/>
  <c r="AF457" i="2"/>
  <c r="AE460" i="2"/>
  <c r="AF460" i="2"/>
  <c r="AE458" i="2"/>
  <c r="AF458" i="2"/>
  <c r="AE459" i="2"/>
  <c r="AF459" i="2"/>
  <c r="AQ457" i="2"/>
  <c r="AR457" i="2"/>
  <c r="AR506" i="2"/>
  <c r="AQ456" i="2"/>
  <c r="AR456" i="2"/>
  <c r="AQ455" i="2"/>
  <c r="AR455" i="2"/>
  <c r="V445" i="2"/>
  <c r="W445" i="2"/>
  <c r="V443" i="2"/>
  <c r="W443" i="2"/>
  <c r="V442" i="2"/>
  <c r="W442" i="2"/>
  <c r="W494" i="2"/>
  <c r="Y442" i="2"/>
  <c r="Z442" i="2"/>
  <c r="Z493" i="2"/>
  <c r="Y444" i="2"/>
  <c r="Z444" i="2"/>
  <c r="AK442" i="2"/>
  <c r="AL442" i="2"/>
  <c r="AK441" i="2"/>
  <c r="AL441" i="2"/>
  <c r="AQ439" i="2"/>
  <c r="AR439" i="2"/>
  <c r="AQ438" i="2"/>
  <c r="AR438" i="2"/>
  <c r="AQ441" i="2"/>
  <c r="AR441" i="2"/>
  <c r="AH412" i="2"/>
  <c r="AI412" i="2"/>
  <c r="AH411" i="2"/>
  <c r="AI411" i="2"/>
  <c r="AH409" i="2"/>
  <c r="AI409" i="2"/>
  <c r="AQ356" i="2"/>
  <c r="AR356" i="2"/>
  <c r="AQ358" i="2"/>
  <c r="AR358" i="2"/>
  <c r="AQ355" i="2"/>
  <c r="AR355" i="2"/>
  <c r="Z406" i="2"/>
  <c r="Y357" i="2"/>
  <c r="Z357" i="2"/>
  <c r="AB356" i="2"/>
  <c r="AC356" i="2"/>
  <c r="AB353" i="2"/>
  <c r="AC353" i="2"/>
  <c r="AB354" i="2"/>
  <c r="AC354" i="2"/>
  <c r="V346" i="2"/>
  <c r="W346" i="2"/>
  <c r="V345" i="2"/>
  <c r="W345" i="2"/>
  <c r="V344" i="2"/>
  <c r="W344" i="2"/>
  <c r="V343" i="2"/>
  <c r="W343" i="2"/>
  <c r="Y343" i="2"/>
  <c r="Z343" i="2"/>
  <c r="Y342" i="2"/>
  <c r="Z342" i="2"/>
  <c r="Y344" i="2"/>
  <c r="Z344" i="2"/>
  <c r="AB344" i="2"/>
  <c r="AC344" i="2"/>
  <c r="AB343" i="2"/>
  <c r="AC343" i="2"/>
  <c r="AT622" i="2"/>
  <c r="AU622" i="2"/>
  <c r="AU372" i="2"/>
  <c r="AR490" i="2"/>
  <c r="AT322" i="2"/>
  <c r="AU322" i="2"/>
  <c r="AB355" i="2"/>
  <c r="AC355" i="2"/>
  <c r="AB317" i="2"/>
  <c r="AC317" i="2"/>
  <c r="AT529" i="2"/>
  <c r="AU529" i="2"/>
  <c r="AU632" i="2"/>
  <c r="AT477" i="2"/>
  <c r="AU477" i="2"/>
  <c r="AT576" i="2"/>
  <c r="AU576" i="2"/>
  <c r="AT256" i="2"/>
  <c r="AU256" i="2"/>
  <c r="AT314" i="2"/>
  <c r="AU314" i="2"/>
  <c r="AN455" i="2"/>
  <c r="AO455" i="2"/>
  <c r="S414" i="10"/>
  <c r="AT337" i="2"/>
  <c r="AU337" i="2"/>
  <c r="AU319" i="2"/>
  <c r="Y355" i="2"/>
  <c r="Z355" i="2"/>
  <c r="AT514" i="2"/>
  <c r="AU514" i="2"/>
  <c r="AU565" i="2"/>
  <c r="AT513" i="2"/>
  <c r="AU513" i="2"/>
  <c r="AT515" i="2"/>
  <c r="AU515" i="2"/>
  <c r="AH459" i="2"/>
  <c r="AI459" i="2"/>
  <c r="AB315" i="2"/>
  <c r="AC315" i="2"/>
  <c r="AT307" i="2"/>
  <c r="AU307" i="2"/>
  <c r="AU537" i="2"/>
  <c r="S460" i="10"/>
  <c r="Y345" i="2"/>
  <c r="Z345" i="2"/>
  <c r="AT338" i="2"/>
  <c r="AU338" i="2"/>
  <c r="AT339" i="2"/>
  <c r="AU339" i="2"/>
  <c r="AH439" i="2"/>
  <c r="AI439" i="2"/>
  <c r="AH441" i="2"/>
  <c r="AI441" i="2"/>
  <c r="AH438" i="2"/>
  <c r="AI438" i="2"/>
  <c r="AK440" i="2"/>
  <c r="AL440" i="2"/>
  <c r="AK439" i="2"/>
  <c r="AL439" i="2"/>
  <c r="AK437" i="2"/>
  <c r="AL437" i="2"/>
  <c r="AH405" i="2"/>
  <c r="AI405" i="2"/>
  <c r="AH403" i="2"/>
  <c r="AI403" i="2"/>
  <c r="V399" i="2"/>
  <c r="W399" i="2"/>
  <c r="V397" i="2"/>
  <c r="W397" i="2"/>
  <c r="V396" i="2"/>
  <c r="W396" i="2"/>
  <c r="AE397" i="2"/>
  <c r="AF397" i="2"/>
  <c r="AE395" i="2"/>
  <c r="AF395" i="2"/>
  <c r="AE396" i="2"/>
  <c r="AF396" i="2"/>
  <c r="AE398" i="2"/>
  <c r="AF398" i="2"/>
  <c r="AK396" i="2"/>
  <c r="AL396" i="2"/>
  <c r="AK397" i="2"/>
  <c r="AL397" i="2"/>
  <c r="AK394" i="2"/>
  <c r="AL394" i="2"/>
  <c r="V379" i="2"/>
  <c r="W379" i="2"/>
  <c r="V381" i="2"/>
  <c r="W381" i="2"/>
  <c r="Y381" i="2"/>
  <c r="Z381" i="2"/>
  <c r="Y380" i="2"/>
  <c r="Z380" i="2"/>
  <c r="Z430" i="2"/>
  <c r="AB377" i="2"/>
  <c r="AC377" i="2"/>
  <c r="AB380" i="2"/>
  <c r="AC380" i="2"/>
  <c r="AB379" i="2"/>
  <c r="AC379" i="2"/>
  <c r="AE379" i="2"/>
  <c r="AF379" i="2"/>
  <c r="AE376" i="2"/>
  <c r="AF376" i="2"/>
  <c r="AH375" i="2"/>
  <c r="AI375" i="2"/>
  <c r="AH376" i="2"/>
  <c r="AI376" i="2"/>
  <c r="AQ371" i="2"/>
  <c r="AR371" i="2"/>
  <c r="AQ369" i="2"/>
  <c r="AR369" i="2"/>
  <c r="V368" i="2"/>
  <c r="W368" i="2"/>
  <c r="V371" i="2"/>
  <c r="W371" i="2"/>
  <c r="W420" i="2"/>
  <c r="AB314" i="2"/>
  <c r="AC314" i="2"/>
  <c r="AB313" i="2"/>
  <c r="AC313" i="2"/>
  <c r="Z394" i="2"/>
  <c r="AR567" i="2"/>
  <c r="AT460" i="2"/>
  <c r="AU460" i="2"/>
  <c r="AU512" i="2"/>
  <c r="AH533" i="2"/>
  <c r="AI533" i="2"/>
  <c r="AH531" i="2"/>
  <c r="AI531" i="2"/>
  <c r="AN530" i="2"/>
  <c r="AO530" i="2"/>
  <c r="AN528" i="2"/>
  <c r="AO528" i="2"/>
  <c r="V519" i="2"/>
  <c r="W519" i="2"/>
  <c r="V520" i="2"/>
  <c r="W520" i="2"/>
  <c r="AB444" i="2"/>
  <c r="AC444" i="2"/>
  <c r="AB446" i="2"/>
  <c r="AC446" i="2"/>
  <c r="AB445" i="2"/>
  <c r="AC445" i="2"/>
  <c r="AT276" i="2"/>
  <c r="AU276" i="2"/>
  <c r="AR538" i="2"/>
  <c r="AR363" i="2"/>
  <c r="AB511" i="2"/>
  <c r="AC511" i="2"/>
  <c r="AB510" i="2"/>
  <c r="AC510" i="2"/>
  <c r="AE510" i="2"/>
  <c r="AF510" i="2"/>
  <c r="AE509" i="2"/>
  <c r="AF509" i="2"/>
  <c r="AK509" i="2"/>
  <c r="AL509" i="2"/>
  <c r="AK507" i="2"/>
  <c r="AL507" i="2"/>
  <c r="W558" i="2"/>
  <c r="V506" i="2"/>
  <c r="W506" i="2"/>
  <c r="AE505" i="2"/>
  <c r="AF505" i="2"/>
  <c r="AE504" i="2"/>
  <c r="AF504" i="2"/>
  <c r="AH503" i="2"/>
  <c r="AI503" i="2"/>
  <c r="AI555" i="2"/>
  <c r="AQ463" i="2"/>
  <c r="AR463" i="2"/>
  <c r="AQ462" i="2"/>
  <c r="AR462" i="2"/>
  <c r="AO358" i="2"/>
  <c r="AQ518" i="2"/>
  <c r="AR518" i="2"/>
  <c r="AQ517" i="2"/>
  <c r="AR517" i="2"/>
  <c r="AQ515" i="2"/>
  <c r="AR515" i="2"/>
  <c r="AB517" i="2"/>
  <c r="AC517" i="2"/>
  <c r="AE513" i="2"/>
  <c r="AF513" i="2"/>
  <c r="AE514" i="2"/>
  <c r="AF514" i="2"/>
  <c r="AB477" i="2"/>
  <c r="AC477" i="2"/>
  <c r="AB475" i="2"/>
  <c r="AC475" i="2"/>
  <c r="AB476" i="2"/>
  <c r="AC476" i="2"/>
  <c r="AB474" i="2"/>
  <c r="AC474" i="2"/>
  <c r="AB464" i="2"/>
  <c r="AC464" i="2"/>
  <c r="AB465" i="2"/>
  <c r="AC465" i="2"/>
  <c r="AF535" i="2"/>
  <c r="AL447" i="2"/>
  <c r="AI445" i="2"/>
  <c r="AR269" i="2"/>
  <c r="AH410" i="2"/>
  <c r="AI410" i="2"/>
  <c r="V404" i="2"/>
  <c r="W404" i="2"/>
  <c r="V407" i="2"/>
  <c r="W407" i="2"/>
  <c r="V406" i="2"/>
  <c r="W406" i="2"/>
  <c r="AE402" i="2"/>
  <c r="AF402" i="2"/>
  <c r="AE405" i="2"/>
  <c r="AF405" i="2"/>
  <c r="AE404" i="2"/>
  <c r="AF404" i="2"/>
  <c r="AC393" i="2"/>
  <c r="AQ382" i="2"/>
  <c r="AR382" i="2"/>
  <c r="AQ381" i="2"/>
  <c r="AR381" i="2"/>
  <c r="AQ251" i="2"/>
  <c r="AR251" i="2"/>
  <c r="AQ249" i="2"/>
  <c r="AR249" i="2"/>
  <c r="Y249" i="2"/>
  <c r="Z249" i="2"/>
  <c r="Y248" i="2"/>
  <c r="Z248" i="2"/>
  <c r="Y247" i="2"/>
  <c r="Z247" i="2"/>
  <c r="AN246" i="2"/>
  <c r="AO246" i="2"/>
  <c r="Y220" i="2"/>
  <c r="Z220" i="2"/>
  <c r="Y221" i="2"/>
  <c r="Z221" i="2"/>
  <c r="Z551" i="2"/>
  <c r="AF565" i="2"/>
  <c r="AH546" i="2"/>
  <c r="AI546" i="2"/>
  <c r="AK503" i="2"/>
  <c r="AL503" i="2"/>
  <c r="AK506" i="2"/>
  <c r="AL506" i="2"/>
  <c r="AH491" i="2"/>
  <c r="AI491" i="2"/>
  <c r="AH490" i="2"/>
  <c r="AI490" i="2"/>
  <c r="AE476" i="2"/>
  <c r="AF476" i="2"/>
  <c r="AE478" i="2"/>
  <c r="AF478" i="2"/>
  <c r="AN476" i="2"/>
  <c r="AO476" i="2"/>
  <c r="AN475" i="2"/>
  <c r="AO475" i="2"/>
  <c r="AB358" i="2"/>
  <c r="AC358" i="2"/>
  <c r="AH274" i="2"/>
  <c r="AI274" i="2"/>
  <c r="AH273" i="2"/>
  <c r="AI273" i="2"/>
  <c r="AH275" i="2"/>
  <c r="AI275" i="2"/>
  <c r="AN261" i="2"/>
  <c r="AO261" i="2"/>
  <c r="AN258" i="2"/>
  <c r="AO258" i="2"/>
  <c r="AN242" i="2"/>
  <c r="AO242" i="2"/>
  <c r="AN243" i="2"/>
  <c r="AO243" i="2"/>
  <c r="W58" i="7"/>
  <c r="W59" i="7"/>
  <c r="W49" i="7"/>
  <c r="W48" i="7"/>
  <c r="W27" i="7"/>
  <c r="W25" i="7"/>
  <c r="AT548" i="2"/>
  <c r="AU548" i="2"/>
  <c r="AT549" i="2"/>
  <c r="AU549" i="2"/>
  <c r="W537" i="2"/>
  <c r="V486" i="2"/>
  <c r="W486" i="2"/>
  <c r="AE471" i="2"/>
  <c r="AF471" i="2"/>
  <c r="AE470" i="2"/>
  <c r="AF470" i="2"/>
  <c r="AK415" i="2"/>
  <c r="AL415" i="2"/>
  <c r="AK414" i="2"/>
  <c r="AL414" i="2"/>
  <c r="AN416" i="2"/>
  <c r="AO416" i="2"/>
  <c r="AN414" i="2"/>
  <c r="AO414" i="2"/>
  <c r="AK358" i="2"/>
  <c r="AL358" i="2"/>
  <c r="AL408" i="2"/>
  <c r="AB323" i="2"/>
  <c r="AC323" i="2"/>
  <c r="AB321" i="2"/>
  <c r="AC321" i="2"/>
  <c r="AB322" i="2"/>
  <c r="AC322" i="2"/>
  <c r="V257" i="2"/>
  <c r="W257" i="2"/>
  <c r="V256" i="2"/>
  <c r="W256" i="2"/>
  <c r="Y257" i="2"/>
  <c r="Z257" i="2"/>
  <c r="Y254" i="2"/>
  <c r="Z254" i="2"/>
  <c r="AH244" i="2"/>
  <c r="AI244" i="2"/>
  <c r="AH242" i="2"/>
  <c r="AI242" i="2"/>
  <c r="AH241" i="2"/>
  <c r="AI241" i="2"/>
  <c r="W304" i="7"/>
  <c r="W305" i="7"/>
  <c r="AL559" i="2"/>
  <c r="AQ550" i="2"/>
  <c r="AR550" i="2"/>
  <c r="AQ552" i="2"/>
  <c r="AR552" i="2"/>
  <c r="AK551" i="2"/>
  <c r="AL551" i="2"/>
  <c r="AK550" i="2"/>
  <c r="AL550" i="2"/>
  <c r="AB539" i="2"/>
  <c r="AC539" i="2"/>
  <c r="V534" i="2"/>
  <c r="W534" i="2"/>
  <c r="V535" i="2"/>
  <c r="W535" i="2"/>
  <c r="V511" i="2"/>
  <c r="W511" i="2"/>
  <c r="AE497" i="2"/>
  <c r="AF497" i="2"/>
  <c r="AE499" i="2"/>
  <c r="AF499" i="2"/>
  <c r="AQ454" i="2"/>
  <c r="AR454" i="2"/>
  <c r="V376" i="2"/>
  <c r="W376" i="2"/>
  <c r="V377" i="2"/>
  <c r="W377" i="2"/>
  <c r="AK300" i="2"/>
  <c r="AL300" i="2"/>
  <c r="AS505" i="2"/>
  <c r="S559" i="10"/>
  <c r="S561" i="10"/>
  <c r="AS491" i="2"/>
  <c r="S546" i="10"/>
  <c r="AS483" i="2"/>
  <c r="S537" i="10"/>
  <c r="AS360" i="2"/>
  <c r="AT363" i="2"/>
  <c r="AU363" i="2"/>
  <c r="S417" i="10"/>
  <c r="AS309" i="2"/>
  <c r="S364" i="10"/>
  <c r="AS294" i="2"/>
  <c r="S350" i="10"/>
  <c r="S351" i="10"/>
  <c r="S349" i="10"/>
  <c r="AS234" i="2"/>
  <c r="AT234" i="2"/>
  <c r="AU234" i="2"/>
  <c r="S289" i="10"/>
  <c r="S290" i="10"/>
  <c r="S288" i="10"/>
  <c r="S291" i="10"/>
  <c r="S245" i="10"/>
  <c r="S243" i="10"/>
  <c r="S244" i="10"/>
  <c r="S229" i="10"/>
  <c r="S227" i="10"/>
  <c r="S228" i="10"/>
  <c r="S213" i="10"/>
  <c r="S211" i="10"/>
  <c r="S179" i="10"/>
  <c r="S180" i="10"/>
  <c r="S178" i="10"/>
  <c r="S173" i="10"/>
  <c r="S172" i="10"/>
  <c r="S163" i="10"/>
  <c r="S164" i="10"/>
  <c r="S157" i="10"/>
  <c r="S156" i="10"/>
  <c r="S155" i="10"/>
  <c r="S51" i="10"/>
  <c r="S52" i="10"/>
  <c r="S50" i="10"/>
  <c r="S43" i="10"/>
  <c r="S44" i="10"/>
  <c r="S42" i="10"/>
  <c r="AC325" i="2"/>
  <c r="AO387" i="2"/>
  <c r="AN549" i="2"/>
  <c r="AO549" i="2"/>
  <c r="AO465" i="2"/>
  <c r="AQ325" i="2"/>
  <c r="AR325" i="2"/>
  <c r="AQ324" i="2"/>
  <c r="AR324" i="2"/>
  <c r="AQ326" i="2"/>
  <c r="AR326" i="2"/>
  <c r="AO310" i="2"/>
  <c r="AK247" i="2"/>
  <c r="AL247" i="2"/>
  <c r="AN220" i="2"/>
  <c r="AO220" i="2"/>
  <c r="AN219" i="2"/>
  <c r="AO219" i="2"/>
  <c r="AS470" i="2"/>
  <c r="S526" i="10"/>
  <c r="AS407" i="2"/>
  <c r="S463" i="10"/>
  <c r="S464" i="10"/>
  <c r="Y558" i="2"/>
  <c r="Z558" i="2"/>
  <c r="Y559" i="2"/>
  <c r="Z559" i="2"/>
  <c r="AF561" i="2"/>
  <c r="AK538" i="2"/>
  <c r="AL538" i="2"/>
  <c r="AN539" i="2"/>
  <c r="AO539" i="2"/>
  <c r="AQ531" i="2"/>
  <c r="AR531" i="2"/>
  <c r="AH528" i="2"/>
  <c r="AI528" i="2"/>
  <c r="AH507" i="2"/>
  <c r="AI507" i="2"/>
  <c r="AB457" i="2"/>
  <c r="AC457" i="2"/>
  <c r="V423" i="2"/>
  <c r="W423" i="2"/>
  <c r="AN415" i="2"/>
  <c r="AO415" i="2"/>
  <c r="AQ383" i="2"/>
  <c r="AR383" i="2"/>
  <c r="AF374" i="2"/>
  <c r="Z362" i="2"/>
  <c r="AQ330" i="2"/>
  <c r="AR330" i="2"/>
  <c r="AF312" i="2"/>
  <c r="AK275" i="2"/>
  <c r="AL275" i="2"/>
  <c r="W140" i="7"/>
  <c r="W141" i="7"/>
  <c r="W118" i="7"/>
  <c r="W117" i="7"/>
  <c r="W98" i="7"/>
  <c r="W96" i="7"/>
  <c r="W82" i="7"/>
  <c r="W83" i="7"/>
  <c r="Z349" i="2"/>
  <c r="Z557" i="2"/>
  <c r="AE515" i="2"/>
  <c r="AF515" i="2"/>
  <c r="AN434" i="2"/>
  <c r="AO434" i="2"/>
  <c r="AH421" i="2"/>
  <c r="AI421" i="2"/>
  <c r="AH423" i="2"/>
  <c r="AI423" i="2"/>
  <c r="AH420" i="2"/>
  <c r="AI420" i="2"/>
  <c r="AH422" i="2"/>
  <c r="AI422" i="2"/>
  <c r="AH404" i="2"/>
  <c r="AI404" i="2"/>
  <c r="AQ306" i="2"/>
  <c r="AR306" i="2"/>
  <c r="AK239" i="2"/>
  <c r="AL239" i="2"/>
  <c r="AK237" i="2"/>
  <c r="AL237" i="2"/>
  <c r="AI558" i="2"/>
  <c r="AT533" i="2"/>
  <c r="AU533" i="2"/>
  <c r="AB480" i="2"/>
  <c r="AC480" i="2"/>
  <c r="AE469" i="2"/>
  <c r="AF469" i="2"/>
  <c r="AE437" i="2"/>
  <c r="AF437" i="2"/>
  <c r="Y429" i="2"/>
  <c r="Z429" i="2"/>
  <c r="AQ423" i="2"/>
  <c r="AR423" i="2"/>
  <c r="AK381" i="2"/>
  <c r="AL381" i="2"/>
  <c r="Y378" i="2"/>
  <c r="Z378" i="2"/>
  <c r="V348" i="2"/>
  <c r="W348" i="2"/>
  <c r="V347" i="2"/>
  <c r="W347" i="2"/>
  <c r="AB347" i="2"/>
  <c r="AC347" i="2"/>
  <c r="AQ333" i="2"/>
  <c r="AR333" i="2"/>
  <c r="AH402" i="2"/>
  <c r="AI402" i="2"/>
  <c r="AH542" i="2"/>
  <c r="AI542" i="2"/>
  <c r="AE518" i="2"/>
  <c r="AF518" i="2"/>
  <c r="AQ509" i="2"/>
  <c r="AR509" i="2"/>
  <c r="AH472" i="2"/>
  <c r="AI472" i="2"/>
  <c r="AN457" i="2"/>
  <c r="AO457" i="2"/>
  <c r="AK454" i="2"/>
  <c r="AL454" i="2"/>
  <c r="AH434" i="2"/>
  <c r="AI434" i="2"/>
  <c r="AQ422" i="2"/>
  <c r="AR422" i="2"/>
  <c r="AQ421" i="2"/>
  <c r="AR421" i="2"/>
  <c r="AK416" i="2"/>
  <c r="AL416" i="2"/>
  <c r="V374" i="2"/>
  <c r="W374" i="2"/>
  <c r="AN359" i="2"/>
  <c r="AO359" i="2"/>
  <c r="AN361" i="2"/>
  <c r="AO361" i="2"/>
  <c r="V340" i="2"/>
  <c r="W340" i="2"/>
  <c r="AE332" i="2"/>
  <c r="AF332" i="2"/>
  <c r="AN330" i="2"/>
  <c r="AO330" i="2"/>
  <c r="AN323" i="2"/>
  <c r="AO323" i="2"/>
  <c r="AF301" i="2"/>
  <c r="V248" i="2"/>
  <c r="W248" i="2"/>
  <c r="W109" i="7"/>
  <c r="AS397" i="2"/>
  <c r="S453" i="10"/>
  <c r="AN389" i="2"/>
  <c r="AO389" i="2"/>
  <c r="AB368" i="2"/>
  <c r="AC368" i="2"/>
  <c r="AB367" i="2"/>
  <c r="AC367" i="2"/>
  <c r="AK314" i="2"/>
  <c r="AL314" i="2"/>
  <c r="Y227" i="2"/>
  <c r="Z227" i="2"/>
  <c r="AN217" i="2"/>
  <c r="AO217" i="2"/>
  <c r="W19" i="7"/>
  <c r="W20" i="7"/>
  <c r="V495" i="2"/>
  <c r="W495" i="2"/>
  <c r="AK475" i="2"/>
  <c r="AL475" i="2"/>
  <c r="AQ469" i="2"/>
  <c r="AR469" i="2"/>
  <c r="AE466" i="2"/>
  <c r="AF466" i="2"/>
  <c r="AK465" i="2"/>
  <c r="AL465" i="2"/>
  <c r="V464" i="2"/>
  <c r="W464" i="2"/>
  <c r="AN450" i="2"/>
  <c r="AO450" i="2"/>
  <c r="AK432" i="2"/>
  <c r="AL432" i="2"/>
  <c r="AK410" i="2"/>
  <c r="AL410" i="2"/>
  <c r="AK411" i="2"/>
  <c r="AL411" i="2"/>
  <c r="Y382" i="2"/>
  <c r="Z382" i="2"/>
  <c r="AE380" i="2"/>
  <c r="AF380" i="2"/>
  <c r="AN363" i="2"/>
  <c r="AO363" i="2"/>
  <c r="AN345" i="2"/>
  <c r="AO345" i="2"/>
  <c r="AQ312" i="2"/>
  <c r="AR312" i="2"/>
  <c r="AK298" i="2"/>
  <c r="AL298" i="2"/>
  <c r="AE245" i="2"/>
  <c r="AF245" i="2"/>
  <c r="AE243" i="2"/>
  <c r="AF243" i="2"/>
  <c r="AQ239" i="2"/>
  <c r="AR239" i="2"/>
  <c r="Y224" i="2"/>
  <c r="Z224" i="2"/>
  <c r="AK219" i="2"/>
  <c r="AL219" i="2"/>
  <c r="AS472" i="2"/>
  <c r="S528" i="10"/>
  <c r="S420" i="10"/>
  <c r="AS364" i="2"/>
  <c r="S421" i="10"/>
  <c r="AS357" i="2"/>
  <c r="S412" i="10"/>
  <c r="S208" i="10"/>
  <c r="S207" i="10"/>
  <c r="S39" i="10"/>
  <c r="S38" i="10"/>
  <c r="AN540" i="2"/>
  <c r="AO540" i="2"/>
  <c r="AF529" i="2"/>
  <c r="AE500" i="2"/>
  <c r="AF500" i="2"/>
  <c r="AK495" i="2"/>
  <c r="AL495" i="2"/>
  <c r="AQ473" i="2"/>
  <c r="AR473" i="2"/>
  <c r="AE451" i="2"/>
  <c r="AF451" i="2"/>
  <c r="Y437" i="2"/>
  <c r="Z437" i="2"/>
  <c r="AB438" i="2"/>
  <c r="AC438" i="2"/>
  <c r="V433" i="2"/>
  <c r="W433" i="2"/>
  <c r="AE413" i="2"/>
  <c r="AF413" i="2"/>
  <c r="AE411" i="2"/>
  <c r="AF411" i="2"/>
  <c r="AC405" i="2"/>
  <c r="Y391" i="2"/>
  <c r="Z391" i="2"/>
  <c r="AQ372" i="2"/>
  <c r="AR372" i="2"/>
  <c r="AK355" i="2"/>
  <c r="AL355" i="2"/>
  <c r="AE340" i="2"/>
  <c r="AF340" i="2"/>
  <c r="AE339" i="2"/>
  <c r="AF339" i="2"/>
  <c r="V331" i="2"/>
  <c r="W331" i="2"/>
  <c r="AB320" i="2"/>
  <c r="AC320" i="2"/>
  <c r="Y256" i="2"/>
  <c r="Z256" i="2"/>
  <c r="Y253" i="2"/>
  <c r="Z253" i="2"/>
  <c r="AB254" i="2"/>
  <c r="AC254" i="2"/>
  <c r="AB255" i="2"/>
  <c r="AC255" i="2"/>
  <c r="W356" i="7"/>
  <c r="W335" i="7"/>
  <c r="W326" i="7"/>
  <c r="W273" i="7"/>
  <c r="W274" i="7"/>
  <c r="W236" i="7"/>
  <c r="W206" i="7"/>
  <c r="W205" i="7"/>
  <c r="W202" i="7"/>
  <c r="W139" i="7"/>
  <c r="W137" i="7"/>
  <c r="W138" i="7"/>
  <c r="W124" i="7"/>
  <c r="S37" i="10"/>
  <c r="S35" i="10"/>
  <c r="S29" i="10"/>
  <c r="S27" i="10"/>
  <c r="AR300" i="2"/>
  <c r="AH435" i="2"/>
  <c r="AI435" i="2"/>
  <c r="AN548" i="2"/>
  <c r="AO548" i="2"/>
  <c r="AH440" i="2"/>
  <c r="AI440" i="2"/>
  <c r="V383" i="2"/>
  <c r="W383" i="2"/>
  <c r="AH363" i="2"/>
  <c r="AI363" i="2"/>
  <c r="AE293" i="2"/>
  <c r="AF293" i="2"/>
  <c r="AK244" i="2"/>
  <c r="AL244" i="2"/>
  <c r="AK245" i="2"/>
  <c r="AL245" i="2"/>
  <c r="AN503" i="2"/>
  <c r="AO503" i="2"/>
  <c r="AE477" i="2"/>
  <c r="AF477" i="2"/>
  <c r="AQ386" i="2"/>
  <c r="AR386" i="2"/>
  <c r="Y299" i="2"/>
  <c r="Z299" i="2"/>
  <c r="AK281" i="2"/>
  <c r="AL281" i="2"/>
  <c r="Y278" i="2"/>
  <c r="Z278" i="2"/>
  <c r="AQ600" i="2"/>
  <c r="AR600" i="2"/>
  <c r="AQ599" i="2"/>
  <c r="AR599" i="2"/>
  <c r="AO604" i="2"/>
  <c r="AB548" i="2"/>
  <c r="AC548" i="2"/>
  <c r="AB451" i="2"/>
  <c r="AC451" i="2"/>
  <c r="AB312" i="2"/>
  <c r="AC312" i="2"/>
  <c r="AE260" i="2"/>
  <c r="AF260" i="2"/>
  <c r="AE224" i="2"/>
  <c r="AF224" i="2"/>
  <c r="AH482" i="2"/>
  <c r="AI482" i="2"/>
  <c r="AK372" i="2"/>
  <c r="AL372" i="2"/>
  <c r="V338" i="2"/>
  <c r="W338" i="2"/>
  <c r="Y311" i="2"/>
  <c r="Z311" i="2"/>
  <c r="Y270" i="2"/>
  <c r="Z270" i="2"/>
  <c r="AE228" i="2"/>
  <c r="AF228" i="2"/>
  <c r="AK226" i="2"/>
  <c r="AL226" i="2"/>
  <c r="W264" i="7"/>
  <c r="AQ367" i="2"/>
  <c r="AR367" i="2"/>
  <c r="Y276" i="2"/>
  <c r="Z276" i="2"/>
  <c r="AH260" i="2"/>
  <c r="AI260" i="2"/>
  <c r="AQ559" i="2"/>
  <c r="AR559" i="2"/>
  <c r="AL600" i="2"/>
  <c r="AH632" i="2"/>
  <c r="AI632" i="2"/>
  <c r="AH630" i="2"/>
  <c r="AI630" i="2"/>
  <c r="W295" i="7"/>
  <c r="W265" i="7"/>
  <c r="S253" i="10"/>
  <c r="AK582" i="2"/>
  <c r="AL582" i="2"/>
  <c r="AK583" i="2"/>
  <c r="AL583" i="2"/>
  <c r="Y623" i="2"/>
  <c r="Z623" i="2"/>
  <c r="Y622" i="2"/>
  <c r="Z622" i="2"/>
  <c r="W229" i="7"/>
  <c r="S670" i="10"/>
  <c r="AS613" i="2"/>
  <c r="AE621" i="2"/>
  <c r="AF621" i="2"/>
  <c r="AE620" i="2"/>
  <c r="AF620" i="2"/>
  <c r="W329" i="7"/>
  <c r="AE606" i="2"/>
  <c r="AF606" i="2"/>
  <c r="AE604" i="2"/>
  <c r="AF604" i="2"/>
  <c r="AN611" i="2"/>
  <c r="AO611" i="2"/>
  <c r="AN612" i="2"/>
  <c r="AO612" i="2"/>
  <c r="AB620" i="2"/>
  <c r="AC620" i="2"/>
  <c r="Z577" i="2"/>
  <c r="AR610" i="2"/>
  <c r="AQ607" i="2"/>
  <c r="AR607" i="2"/>
  <c r="AQ609" i="2"/>
  <c r="AR609" i="2"/>
  <c r="AQ608" i="2"/>
  <c r="AR608" i="2"/>
  <c r="V560" i="2"/>
  <c r="W560" i="2"/>
  <c r="AL605" i="2"/>
  <c r="V613" i="2"/>
  <c r="W613" i="2"/>
  <c r="AE626" i="2"/>
  <c r="AF626" i="2"/>
  <c r="AE628" i="2"/>
  <c r="AF628" i="2"/>
  <c r="AE630" i="2"/>
  <c r="AF630" i="2"/>
  <c r="AF587" i="2"/>
  <c r="V573" i="2"/>
  <c r="W573" i="2"/>
  <c r="V574" i="2"/>
  <c r="W574" i="2"/>
  <c r="AE593" i="2"/>
  <c r="AF593" i="2"/>
  <c r="AE591" i="2"/>
  <c r="AF591" i="2"/>
  <c r="AE592" i="2"/>
  <c r="AF592" i="2"/>
  <c r="AT593" i="2"/>
  <c r="AU593" i="2"/>
  <c r="AH602" i="2"/>
  <c r="AI602" i="2"/>
  <c r="AE603" i="2"/>
  <c r="AF603" i="2"/>
  <c r="AH621" i="2"/>
  <c r="AI621" i="2"/>
  <c r="AH620" i="2"/>
  <c r="AI620" i="2"/>
  <c r="AE632" i="2"/>
  <c r="AF632" i="2"/>
  <c r="AH633" i="2"/>
  <c r="AI633" i="2"/>
  <c r="AR593" i="2"/>
  <c r="AB600" i="2"/>
  <c r="AC600" i="2"/>
  <c r="AB599" i="2"/>
  <c r="AC599" i="2"/>
  <c r="AC610" i="2"/>
  <c r="AO610" i="2"/>
  <c r="S671" i="10"/>
  <c r="V621" i="2"/>
  <c r="W621" i="2"/>
  <c r="V622" i="2"/>
  <c r="W622" i="2"/>
  <c r="AK628" i="2"/>
  <c r="AL628" i="2"/>
  <c r="AC630" i="2"/>
  <c r="AO579" i="2"/>
  <c r="V582" i="2"/>
  <c r="W582" i="2"/>
  <c r="S672" i="10"/>
  <c r="AH626" i="2"/>
  <c r="AI626" i="2"/>
  <c r="AH629" i="2"/>
  <c r="AI629" i="2"/>
  <c r="AT630" i="2"/>
  <c r="AU630" i="2"/>
  <c r="AN574" i="2"/>
  <c r="AO574" i="2"/>
  <c r="AN594" i="2"/>
  <c r="AO594" i="2"/>
  <c r="W605" i="2"/>
  <c r="V610" i="2"/>
  <c r="W610" i="2"/>
  <c r="Y621" i="2"/>
  <c r="Z621" i="2"/>
  <c r="Y626" i="2"/>
  <c r="Z626" i="2"/>
  <c r="AC632" i="2"/>
  <c r="AQ630" i="2"/>
  <c r="AR630" i="2"/>
  <c r="AQ631" i="2"/>
  <c r="AR631" i="2"/>
  <c r="AO632" i="2"/>
  <c r="AK573" i="2"/>
  <c r="AL573" i="2"/>
  <c r="S628" i="10"/>
  <c r="AE583" i="2"/>
  <c r="AF583" i="2"/>
  <c r="AH591" i="2"/>
  <c r="AI591" i="2"/>
  <c r="V589" i="2"/>
  <c r="W589" i="2"/>
  <c r="AE598" i="2"/>
  <c r="AF598" i="2"/>
  <c r="AI605" i="2"/>
  <c r="AQ632" i="2"/>
  <c r="AR632" i="2"/>
  <c r="AE631" i="2"/>
  <c r="AF631" i="2"/>
  <c r="AT628" i="2"/>
  <c r="AU628" i="2"/>
  <c r="AC624" i="2"/>
  <c r="AQ578" i="2"/>
  <c r="AR578" i="2"/>
  <c r="AB583" i="2"/>
  <c r="AC583" i="2"/>
  <c r="AB582" i="2"/>
  <c r="AC582" i="2"/>
  <c r="AB584" i="2"/>
  <c r="AC584" i="2"/>
  <c r="AQ601" i="2"/>
  <c r="AR601" i="2"/>
  <c r="V601" i="2"/>
  <c r="W601" i="2"/>
  <c r="AH610" i="2"/>
  <c r="AI610" i="2"/>
  <c r="AC613" i="2"/>
  <c r="AQ627" i="2"/>
  <c r="AR627" i="2"/>
  <c r="Y579" i="2"/>
  <c r="Z579" i="2"/>
  <c r="AB578" i="2"/>
  <c r="AC578" i="2"/>
  <c r="AN582" i="2"/>
  <c r="AO582" i="2"/>
  <c r="V584" i="2"/>
  <c r="W584" i="2"/>
  <c r="AQ602" i="2"/>
  <c r="AR602" i="2"/>
  <c r="V602" i="2"/>
  <c r="W602" i="2"/>
  <c r="AB605" i="2"/>
  <c r="AC605" i="2"/>
  <c r="AB621" i="2"/>
  <c r="AC621" i="2"/>
  <c r="V634" i="2"/>
  <c r="W634" i="2"/>
  <c r="S645" i="10"/>
  <c r="AK598" i="2"/>
  <c r="AL598" i="2"/>
  <c r="AO629" i="2"/>
  <c r="V629" i="2"/>
  <c r="W629" i="2"/>
  <c r="AN633" i="2"/>
  <c r="AO633" i="2"/>
  <c r="AE575" i="2"/>
  <c r="AF575" i="2"/>
  <c r="AQ580" i="2"/>
  <c r="AR580" i="2"/>
  <c r="AE580" i="2"/>
  <c r="AF580" i="2"/>
  <c r="V583" i="2"/>
  <c r="W583" i="2"/>
  <c r="AK595" i="2"/>
  <c r="AL595" i="2"/>
  <c r="S664" i="10"/>
  <c r="AB619" i="2"/>
  <c r="AC619" i="2"/>
  <c r="V630" i="2"/>
  <c r="W630" i="2"/>
  <c r="AH631" i="2"/>
  <c r="AI631" i="2"/>
  <c r="V633" i="2"/>
  <c r="W633" i="2"/>
  <c r="AT631" i="2"/>
  <c r="AU631" i="2"/>
  <c r="AK632" i="2"/>
  <c r="AL632" i="2"/>
  <c r="AB633" i="2"/>
  <c r="AC633" i="2"/>
  <c r="AK630" i="2"/>
  <c r="AL630" i="2"/>
  <c r="AB631" i="2"/>
  <c r="AC631" i="2"/>
  <c r="V631" i="2"/>
  <c r="W631" i="2"/>
  <c r="Y630" i="2"/>
  <c r="Z630" i="2"/>
  <c r="AQ633" i="2"/>
  <c r="AR633" i="2"/>
  <c r="AB634" i="2"/>
  <c r="AC634" i="2"/>
  <c r="AQ634" i="2"/>
  <c r="AR634" i="2"/>
  <c r="Y632" i="2"/>
  <c r="Z632" i="2"/>
  <c r="AK631" i="2"/>
  <c r="AL631" i="2"/>
  <c r="AT613" i="2"/>
  <c r="AU613" i="2"/>
  <c r="AT614" i="2"/>
  <c r="AU614" i="2"/>
  <c r="AT616" i="2"/>
  <c r="AU616" i="2"/>
  <c r="AT615" i="2"/>
  <c r="AU615" i="2"/>
  <c r="AT384" i="2"/>
  <c r="AU384" i="2"/>
  <c r="AT386" i="2"/>
  <c r="AU386" i="2"/>
  <c r="AT385" i="2"/>
  <c r="AU385" i="2"/>
  <c r="AT383" i="2"/>
  <c r="AU383" i="2"/>
  <c r="AT465" i="2"/>
  <c r="AU465" i="2"/>
  <c r="AU517" i="2"/>
  <c r="AT468" i="2"/>
  <c r="AU468" i="2"/>
  <c r="AT467" i="2"/>
  <c r="AU467" i="2"/>
  <c r="AT466" i="2"/>
  <c r="AU466" i="2"/>
  <c r="AT294" i="2"/>
  <c r="AU294" i="2"/>
  <c r="AT296" i="2"/>
  <c r="AU296" i="2"/>
  <c r="AT295" i="2"/>
  <c r="AU295" i="2"/>
  <c r="AT297" i="2"/>
  <c r="AU297" i="2"/>
  <c r="AT494" i="2"/>
  <c r="AU494" i="2"/>
  <c r="AT492" i="2"/>
  <c r="AU492" i="2"/>
  <c r="AT493" i="2"/>
  <c r="AU493" i="2"/>
  <c r="AT491" i="2"/>
  <c r="AU491" i="2"/>
  <c r="AT353" i="2"/>
  <c r="AU353" i="2"/>
  <c r="AT355" i="2"/>
  <c r="AU355" i="2"/>
  <c r="AT356" i="2"/>
  <c r="AU356" i="2"/>
  <c r="AT354" i="2"/>
  <c r="AU354" i="2"/>
  <c r="AT360" i="2"/>
  <c r="AU360" i="2"/>
  <c r="AT359" i="2"/>
  <c r="AU359" i="2"/>
  <c r="AT358" i="2"/>
  <c r="AU358" i="2"/>
  <c r="AT357" i="2"/>
  <c r="AU357" i="2"/>
  <c r="AT409" i="2"/>
  <c r="AU409" i="2"/>
  <c r="AT410" i="2"/>
  <c r="AU410" i="2"/>
  <c r="AT397" i="2"/>
  <c r="AU397" i="2"/>
  <c r="AT395" i="2"/>
  <c r="AU395" i="2"/>
  <c r="AU446" i="2"/>
  <c r="AT396" i="2"/>
  <c r="AU396" i="2"/>
  <c r="AT373" i="2"/>
  <c r="AU373" i="2"/>
  <c r="AT376" i="2"/>
  <c r="AU376" i="2"/>
  <c r="AU425" i="2"/>
  <c r="AT375" i="2"/>
  <c r="AU375" i="2"/>
  <c r="AT374" i="2"/>
  <c r="AU374" i="2"/>
  <c r="AT309" i="2"/>
  <c r="AU309" i="2"/>
  <c r="AT310" i="2"/>
  <c r="AU310" i="2"/>
  <c r="AT312" i="2"/>
  <c r="AU312" i="2"/>
  <c r="AT311" i="2"/>
  <c r="AU311" i="2"/>
  <c r="AU412" i="2"/>
  <c r="AT394" i="2"/>
  <c r="AU394" i="2"/>
  <c r="AT364" i="2"/>
  <c r="AU364" i="2"/>
  <c r="AT367" i="2"/>
  <c r="AU367" i="2"/>
  <c r="AT365" i="2"/>
  <c r="AU365" i="2"/>
  <c r="AT366" i="2"/>
  <c r="AU366" i="2"/>
  <c r="AT472" i="2"/>
  <c r="AU472" i="2"/>
  <c r="AT470" i="2"/>
  <c r="AU470" i="2"/>
  <c r="AT473" i="2"/>
  <c r="AU473" i="2"/>
  <c r="AT471" i="2"/>
  <c r="AU471" i="2"/>
  <c r="AT507" i="2"/>
  <c r="AU507" i="2"/>
  <c r="AT508" i="2"/>
  <c r="AU508" i="2"/>
  <c r="AU557" i="2"/>
  <c r="AT505" i="2"/>
  <c r="AU505" i="2"/>
  <c r="AT594" i="2"/>
  <c r="AU594" i="2"/>
  <c r="AT592" i="2"/>
  <c r="AU592" i="2"/>
  <c r="AU411" i="2"/>
  <c r="AT362" i="2"/>
  <c r="AU362" i="2"/>
  <c r="AT361" i="2"/>
  <c r="AU361" i="2"/>
  <c r="AT235" i="2"/>
  <c r="AU235" i="2"/>
  <c r="AT237" i="2"/>
  <c r="AU237" i="2"/>
  <c r="AT236" i="2"/>
  <c r="AU236" i="2"/>
  <c r="AT506" i="2"/>
  <c r="AU506" i="2"/>
  <c r="AU543" i="2"/>
  <c r="AT398" i="2"/>
  <c r="AU398" i="2"/>
  <c r="AU449" i="2"/>
  <c r="AT399" i="2"/>
  <c r="AU399" i="2"/>
  <c r="AT400" i="2"/>
  <c r="AU400" i="2"/>
  <c r="AT408" i="2"/>
  <c r="AU408" i="2"/>
  <c r="AT407" i="2"/>
  <c r="AU407" i="2"/>
  <c r="AT405" i="2"/>
  <c r="AU405" i="2"/>
  <c r="AT406" i="2"/>
  <c r="AU406" i="2"/>
  <c r="AU435" i="2"/>
  <c r="AT591" i="2"/>
  <c r="AU591" i="2"/>
  <c r="AT474" i="2"/>
  <c r="AU474" i="2"/>
  <c r="AT475" i="2"/>
  <c r="AU475" i="2"/>
  <c r="AU524" i="2"/>
  <c r="AT483" i="2"/>
  <c r="AU483" i="2"/>
  <c r="AT485" i="2"/>
  <c r="AU485" i="2"/>
  <c r="AT486" i="2"/>
  <c r="AU486" i="2"/>
  <c r="AT484" i="2"/>
  <c r="AU484" i="2"/>
  <c r="AT551" i="2"/>
  <c r="AU551" i="2"/>
  <c r="AT550" i="2"/>
  <c r="AU550" i="2"/>
  <c r="AU600" i="2"/>
  <c r="AU416" i="2"/>
  <c r="AT369" i="2"/>
  <c r="AU369" i="2"/>
  <c r="AT370" i="2"/>
  <c r="AU370" i="2"/>
  <c r="AT368" i="2"/>
  <c r="AU368" i="2"/>
  <c r="AU522" i="2"/>
  <c r="AT634" i="2"/>
  <c r="AU634" i="2"/>
  <c r="AT633" i="2"/>
  <c r="AU633" i="2"/>
  <c r="AK633" i="2"/>
  <c r="AL633" i="2"/>
  <c r="Y636" i="2"/>
  <c r="Z636" i="2"/>
  <c r="AN636" i="2"/>
  <c r="AO636" i="2"/>
  <c r="AQ635" i="2"/>
  <c r="AR635" i="2"/>
  <c r="AK638" i="2"/>
  <c r="AL638" i="2"/>
  <c r="AK636" i="2"/>
  <c r="AL636" i="2"/>
  <c r="AK635" i="2"/>
  <c r="AL635" i="2"/>
  <c r="V635" i="2"/>
  <c r="W635" i="2"/>
  <c r="V638" i="2"/>
  <c r="W638" i="2"/>
  <c r="AB636" i="2"/>
  <c r="AC636" i="2"/>
  <c r="AB637" i="2"/>
  <c r="AC637" i="2"/>
  <c r="AT636" i="2"/>
  <c r="AU636" i="2"/>
  <c r="AQ637" i="2"/>
  <c r="AR637" i="2"/>
  <c r="V636" i="2"/>
  <c r="W636" i="2"/>
  <c r="AH636" i="2"/>
  <c r="AI636" i="2"/>
  <c r="AQ636" i="2"/>
  <c r="AR636" i="2"/>
  <c r="AH637" i="2"/>
  <c r="AI637" i="2"/>
  <c r="AN637" i="2"/>
  <c r="AO637" i="2"/>
  <c r="AT648" i="2"/>
  <c r="AU648" i="2"/>
  <c r="AT647" i="2"/>
  <c r="AU647" i="2"/>
  <c r="AE648" i="2"/>
  <c r="AF648" i="2"/>
  <c r="AQ646" i="2"/>
  <c r="AR646" i="2"/>
  <c r="AB648" i="2"/>
  <c r="AC648" i="2"/>
  <c r="Y647" i="2"/>
  <c r="Z647" i="2"/>
  <c r="AN647" i="2"/>
  <c r="AO647" i="2"/>
  <c r="AE647" i="2"/>
  <c r="AF647" i="2"/>
  <c r="AH646" i="2"/>
  <c r="AI646" i="2"/>
  <c r="AH648" i="2"/>
  <c r="AI648" i="2"/>
  <c r="AQ648" i="2"/>
  <c r="AR648" i="2"/>
  <c r="AE649" i="2"/>
  <c r="AF649" i="2"/>
  <c r="J10" i="5"/>
  <c r="AN651" i="2"/>
  <c r="AO651" i="2"/>
  <c r="Y651" i="2"/>
  <c r="Z651" i="2"/>
  <c r="I11" i="5"/>
  <c r="J11" i="5"/>
</calcChain>
</file>

<file path=xl/sharedStrings.xml><?xml version="1.0" encoding="utf-8"?>
<sst xmlns="http://schemas.openxmlformats.org/spreadsheetml/2006/main" count="856" uniqueCount="257">
  <si>
    <t>FAS - Accumulated Grain Export Sales</t>
  </si>
  <si>
    <t>Metric Tons</t>
  </si>
  <si>
    <t xml:space="preserve">Crop Year-Wheat=6/01-5/31;  Corn &amp; Soybeans=9/01-8/31; </t>
  </si>
  <si>
    <t>HRW</t>
  </si>
  <si>
    <t>SRW</t>
  </si>
  <si>
    <t>HRS</t>
  </si>
  <si>
    <t>SWW</t>
  </si>
  <si>
    <t>DUR</t>
  </si>
  <si>
    <t xml:space="preserve">All </t>
  </si>
  <si>
    <t>Corn</t>
  </si>
  <si>
    <t>Soybean</t>
  </si>
  <si>
    <t>Outstd</t>
  </si>
  <si>
    <t>Accum</t>
  </si>
  <si>
    <t>07/04/2002</t>
  </si>
  <si>
    <t>07/03/2003</t>
  </si>
  <si>
    <t>enter the data on this sheet, then copy these two lines to the end to the copy data sheet</t>
  </si>
  <si>
    <t>01/05/2000</t>
  </si>
  <si>
    <t>01/04/2001</t>
  </si>
  <si>
    <t>03/06/2003</t>
  </si>
  <si>
    <t>03/13/2003</t>
  </si>
  <si>
    <t>03/27/2003</t>
  </si>
  <si>
    <t>04/03/2003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</si>
  <si>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</si>
  <si>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</si>
  <si>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</si>
  <si>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</si>
  <si>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</si>
  <si>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</si>
  <si>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</si>
  <si>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</si>
  <si>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</si>
  <si>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</si>
  <si>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</si>
  <si>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06/27/2002</t>
  </si>
  <si>
    <t>06/26/2003</t>
  </si>
  <si>
    <t>EXTEND RANGE in L..N</t>
  </si>
  <si>
    <t>each week FOR GRAPHIC</t>
  </si>
  <si>
    <t>All 3 Crops</t>
  </si>
  <si>
    <t>Week</t>
  </si>
  <si>
    <t>4-wk average</t>
  </si>
  <si>
    <t>07/11/2002</t>
  </si>
  <si>
    <t>07/10/2003</t>
  </si>
  <si>
    <t>07/18/2002</t>
  </si>
  <si>
    <t>07/17/2003</t>
  </si>
  <si>
    <t>07/25/2002</t>
  </si>
  <si>
    <t>07/24/2003</t>
  </si>
  <si>
    <t>08/01/2002</t>
  </si>
  <si>
    <t>07/31/2003</t>
  </si>
  <si>
    <t>08/08/2002</t>
  </si>
  <si>
    <t>08/07/2003</t>
  </si>
  <si>
    <t>08/15/2002</t>
  </si>
  <si>
    <t>08/14/2003</t>
  </si>
  <si>
    <t>08/22/2002</t>
  </si>
  <si>
    <t>08/21/2003</t>
  </si>
  <si>
    <t>08/29/2002</t>
  </si>
  <si>
    <t>08/28/2003</t>
  </si>
  <si>
    <t>09/05/2002</t>
  </si>
  <si>
    <t>09/04/2003</t>
  </si>
  <si>
    <t>09/12/2002</t>
  </si>
  <si>
    <t>09/11/2003</t>
  </si>
  <si>
    <t>09/19/2002</t>
  </si>
  <si>
    <t>09/18/2003</t>
  </si>
  <si>
    <t>09/26/2002</t>
  </si>
  <si>
    <t>09/25/2003</t>
  </si>
  <si>
    <t>10/03/2002</t>
  </si>
  <si>
    <t>10/02/2003</t>
  </si>
  <si>
    <t>10/10/2002</t>
  </si>
  <si>
    <t>10/09/2003</t>
  </si>
  <si>
    <t>10/17/2002</t>
  </si>
  <si>
    <t>10/16/2003</t>
  </si>
  <si>
    <t>10/24/2002</t>
  </si>
  <si>
    <t>10/23/2003</t>
  </si>
  <si>
    <t>10/31/2002</t>
  </si>
  <si>
    <t>10/30/2003</t>
  </si>
  <si>
    <t>11/07/2002</t>
  </si>
  <si>
    <t>11/06/2003</t>
  </si>
  <si>
    <t>11/14/2002</t>
  </si>
  <si>
    <t>11/13/2003</t>
  </si>
  <si>
    <t>11/21/2002</t>
  </si>
  <si>
    <t>11/20/2003</t>
  </si>
  <si>
    <t>Date</t>
  </si>
  <si>
    <t>Dec. 00</t>
  </si>
  <si>
    <t>Jan. 01</t>
  </si>
  <si>
    <t>Feb. 01</t>
  </si>
  <si>
    <t>Source:  Foreign Agricultural Service/USDA (www.fas.usda.gov)</t>
  </si>
  <si>
    <t>03/21/2002</t>
  </si>
  <si>
    <t>03/20/2003</t>
  </si>
  <si>
    <t xml:space="preserve"> </t>
  </si>
  <si>
    <t>Feb. 04</t>
  </si>
  <si>
    <t>Mar. 01</t>
  </si>
  <si>
    <t>Apr. 01</t>
  </si>
  <si>
    <t>May. 01</t>
  </si>
  <si>
    <t>Jun. 01</t>
  </si>
  <si>
    <t>Aug. 01</t>
  </si>
  <si>
    <t>Sept. 01</t>
  </si>
  <si>
    <t>Oct. 01</t>
  </si>
  <si>
    <t>Nov. 01</t>
  </si>
  <si>
    <t>Dec. 01</t>
  </si>
  <si>
    <t>Feb. 02</t>
  </si>
  <si>
    <t>Jan. 02</t>
  </si>
  <si>
    <t>Mar. 02</t>
  </si>
  <si>
    <t>May. 02</t>
  </si>
  <si>
    <t>Jun. 02</t>
  </si>
  <si>
    <t>Jul.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</si>
  <si>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</si>
  <si>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</si>
  <si>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</si>
  <si>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</si>
  <si>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</si>
  <si>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</si>
  <si>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</si>
  <si>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</si>
  <si>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</si>
  <si>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May. 03</t>
  </si>
  <si>
    <t>Jun. 03</t>
  </si>
  <si>
    <t>Jul. 03</t>
  </si>
  <si>
    <t>Aug. 03</t>
  </si>
  <si>
    <t>Sept. 03</t>
  </si>
  <si>
    <t>Oct. 03</t>
  </si>
  <si>
    <t>Nov. 03</t>
  </si>
  <si>
    <t>Dec. 03</t>
  </si>
  <si>
    <t>Jan. 04</t>
  </si>
  <si>
    <t>Mar. 04</t>
  </si>
  <si>
    <t>Jul. 01</t>
  </si>
  <si>
    <t>Apr.. 02</t>
  </si>
  <si>
    <t>3 Crop</t>
  </si>
  <si>
    <t>Total</t>
  </si>
  <si>
    <t>Apr. 04</t>
  </si>
  <si>
    <t>May. 04</t>
  </si>
  <si>
    <t>Jun. 04</t>
  </si>
  <si>
    <t>Jul.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</si>
  <si>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</si>
  <si>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</si>
  <si>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</si>
  <si>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</si>
  <si>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</si>
  <si>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</si>
  <si>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</si>
  <si>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</si>
  <si>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</si>
  <si>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May. 05</t>
  </si>
  <si>
    <t>Jun. 05</t>
  </si>
  <si>
    <t>Jul. 05</t>
  </si>
  <si>
    <t>Aug. 05</t>
  </si>
  <si>
    <t>Sep. 05</t>
  </si>
  <si>
    <t>Oct. 05</t>
  </si>
  <si>
    <t>Nov. 05</t>
  </si>
  <si>
    <t>Dec. 05</t>
  </si>
  <si>
    <t>4-wk as %</t>
  </si>
  <si>
    <t>Wheat</t>
  </si>
  <si>
    <t>Soybeans</t>
  </si>
  <si>
    <t>All wheat</t>
  </si>
  <si>
    <t>This week year ago</t>
  </si>
  <si>
    <t>Jan. 06</t>
  </si>
  <si>
    <t>Feb. 06</t>
  </si>
  <si>
    <t>Mar. 06</t>
  </si>
  <si>
    <t>Apr. 06</t>
  </si>
  <si>
    <r>
      <t>1</t>
    </r>
    <r>
      <rPr>
        <sz val="8"/>
        <rFont val="Times New Roman"/>
        <family val="1"/>
      </rPr>
      <t xml:space="preserve"> Current unshipped export sales to date</t>
    </r>
  </si>
  <si>
    <t>May. 06</t>
  </si>
  <si>
    <t>Table 12</t>
  </si>
  <si>
    <t>Jun. 06</t>
  </si>
  <si>
    <t>Jul. 06</t>
  </si>
  <si>
    <t>Sep. 06</t>
  </si>
  <si>
    <t>Aug.06</t>
  </si>
  <si>
    <t>Oct.06</t>
  </si>
  <si>
    <t>Nov.06</t>
  </si>
  <si>
    <t>Dec. 06</t>
  </si>
  <si>
    <t>Jan. 07</t>
  </si>
  <si>
    <t>Feb. 07</t>
  </si>
  <si>
    <t>Mar. 07</t>
  </si>
  <si>
    <t>Apr. 07</t>
  </si>
  <si>
    <t>May. 07</t>
  </si>
  <si>
    <t>1/25007</t>
  </si>
  <si>
    <t xml:space="preserve">Jan. </t>
  </si>
  <si>
    <t>Feb.</t>
  </si>
  <si>
    <t>Mar.</t>
  </si>
  <si>
    <t xml:space="preserve">Apr. </t>
  </si>
  <si>
    <t xml:space="preserve">Jun. </t>
  </si>
  <si>
    <t xml:space="preserve">Jul. </t>
  </si>
  <si>
    <t xml:space="preserve">Aug. </t>
  </si>
  <si>
    <t xml:space="preserve">Sept. </t>
  </si>
  <si>
    <t xml:space="preserve">Oct. </t>
  </si>
  <si>
    <t>Nov.</t>
  </si>
  <si>
    <t xml:space="preserve">Dec. </t>
  </si>
  <si>
    <t>May</t>
  </si>
  <si>
    <t>Jun. 07</t>
  </si>
  <si>
    <t>Jul. 07</t>
  </si>
  <si>
    <t>Aug. 07</t>
  </si>
  <si>
    <t>Sep. 07</t>
  </si>
  <si>
    <t>Oct. 07</t>
  </si>
  <si>
    <t>Nov. 07</t>
  </si>
  <si>
    <t>Dec. 07</t>
  </si>
  <si>
    <r>
      <t>Cumulative exports-marketing year</t>
    </r>
    <r>
      <rPr>
        <b/>
        <vertAlign val="superscript"/>
        <sz val="9"/>
        <rFont val="Times New Roman"/>
        <family val="1"/>
      </rPr>
      <t xml:space="preserve"> 2</t>
    </r>
  </si>
  <si>
    <t>Note:  YTD = year-to-date.  Marketing Year: wheat = 6/01-5/31, corn &amp; soybeans = 9/01-8/31</t>
  </si>
  <si>
    <t>COMPARISON - SALES &amp; EXPORTS</t>
  </si>
  <si>
    <t xml:space="preserve">          OUTSTANDING EXPORT SALES AND EXPORTS - CURRENT MARKETING YEAR</t>
  </si>
  <si>
    <t xml:space="preserve">                SUMMARY AND COMPARISON OF SELECTED COMMODITIES 1/</t>
  </si>
  <si>
    <t>----------------------</t>
  </si>
  <si>
    <t>---------</t>
  </si>
  <si>
    <t>------------</t>
  </si>
  <si>
    <t>:  WEEK</t>
  </si>
  <si>
    <t>:  OUT-</t>
  </si>
  <si>
    <t>:WEEKLY</t>
  </si>
  <si>
    <t>:CUMULATIVE</t>
  </si>
  <si>
    <t>EXPORTS:</t>
  </si>
  <si>
    <t>TOTAL  :</t>
  </si>
  <si>
    <t>COMMODITY   :  END-</t>
  </si>
  <si>
    <t>:STANDIN</t>
  </si>
  <si>
    <t>G:EXPORTS</t>
  </si>
  <si>
    <t>:        FO</t>
  </si>
  <si>
    <t>R       :</t>
  </si>
  <si>
    <t>COMMIT-:</t>
  </si>
  <si>
    <t>:  ING</t>
  </si>
  <si>
    <t>: SALES</t>
  </si>
  <si>
    <t>:</t>
  </si>
  <si>
    <t>:  MARKETIN</t>
  </si>
  <si>
    <t>G YEAR  :</t>
  </si>
  <si>
    <t>MENT 2/:</t>
  </si>
  <si>
    <t>MILLION</t>
  </si>
  <si>
    <t>------</t>
  </si>
  <si>
    <t>METRIC T</t>
  </si>
  <si>
    <t>ONS ------</t>
  </si>
  <si>
    <t>BUSHELS</t>
  </si>
  <si>
    <t>HARD RED WINTER: 12/13</t>
  </si>
  <si>
    <t>WHEAT     : 12/20</t>
  </si>
  <si>
    <t>:YR AGO</t>
  </si>
  <si>
    <t>SOFT RED WINTER: 12/13</t>
  </si>
  <si>
    <t>HARD RED SPRING: 12/13</t>
  </si>
  <si>
    <t>WHITE WHEAT    : 12/13</t>
  </si>
  <si>
    <t>: 12/20</t>
  </si>
  <si>
    <t>DURUM WHEAT    : 12/13</t>
  </si>
  <si>
    <t>ALL WHEAT      : 12/13</t>
  </si>
  <si>
    <t>3/</t>
  </si>
  <si>
    <t>CORN           : 12/13</t>
  </si>
  <si>
    <t>SOYBEANS       : 12/13</t>
  </si>
  <si>
    <t>Cumulative</t>
  </si>
  <si>
    <t>Week ending</t>
  </si>
  <si>
    <t xml:space="preserve">% Chng </t>
  </si>
  <si>
    <t>from Prior Week</t>
  </si>
  <si>
    <t>from Last Year</t>
  </si>
  <si>
    <t>All Wheat</t>
  </si>
  <si>
    <t>U.S. Export Balances and Cumulative Exports (1,000 metric tons)</t>
  </si>
  <si>
    <t>New Table12</t>
  </si>
  <si>
    <t>New Table 12</t>
  </si>
  <si>
    <t xml:space="preserve">Net Export </t>
  </si>
  <si>
    <t>Sales, Current Marketing Year</t>
  </si>
  <si>
    <t>2011/12 YTD</t>
  </si>
  <si>
    <t>2010/11 Total</t>
  </si>
  <si>
    <t>4-week running</t>
  </si>
  <si>
    <r>
      <t>Export Balances</t>
    </r>
    <r>
      <rPr>
        <b/>
        <vertAlign val="superscript"/>
        <sz val="9"/>
        <rFont val="Times New Roman"/>
        <family val="1"/>
      </rPr>
      <t>1</t>
    </r>
  </si>
  <si>
    <t>of  2010/2011</t>
  </si>
  <si>
    <r>
      <t>2</t>
    </r>
    <r>
      <rPr>
        <sz val="8"/>
        <rFont val="Times New Roman"/>
        <family val="1"/>
      </rPr>
      <t xml:space="preserve"> Shipped export sales to date; new marketing year begins for corn and soybeans</t>
    </r>
  </si>
  <si>
    <t>2012/13 YTD</t>
  </si>
  <si>
    <t>2011/12 Total</t>
  </si>
  <si>
    <t>YTD 2012/13 as % of 2011/12</t>
  </si>
  <si>
    <t>Last 4 wks as % of  same period 2011/12</t>
  </si>
  <si>
    <t>of  2011/2012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</si>
</sst>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mm/dd/yy_)"/>
    <numFmt numFmtId="165" formatCode="mm/dd/yy;@"/>
    <numFmt numFmtId="166" formatCode="m/d/yyyy;@"/>
    <numFmt numFmtId="167" formatCode="#,##0___);\(#,##0\)"/>
    <numFmt numFmtId="168" formatCode="0.00_);\(0.00\)"/>
    <numFmt numFmtId="169" formatCode="#,##0.0_);\(#,##0.0\)"/>
    <numFmt numFmtId="170" formatCode="0.0"/>
    <numFmt numFmtId="171" formatCode="[$-409]mmmm\-yy;@"/>
    <numFmt numFmtId="172" formatCode="_(* #,##0_);_(* \(#,##0\);_(* &quot;-&quot;??_);_(@_)"/>
  </numFmts>
  <fonts count="3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vertAlign val="superscript"/>
      <sz val="8"/>
      <name val="Times New Roman"/>
      <family val="1"/>
    </font>
    <font>
      <b/>
      <vertAlign val="superscript"/>
      <sz val="9"/>
      <name val="Times New Roman"/>
      <family val="1"/>
    </font>
    <font>
      <sz val="12"/>
      <name val="Times New Roman"/>
      <family val="1"/>
    </font>
    <font>
      <sz val="8"/>
      <name val="Courier New"/>
      <family val="3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sz val="12"/>
      <name val="Arial"/>
      <family val="2"/>
    </font>
    <font>
      <sz val="8"/>
      <name val="Arial Unicode MS"/>
      <family val="2"/>
    </font>
    <font>
      <sz val="8"/>
      <color indexed="8"/>
      <name val="Arial"/>
      <family val="2"/>
    </font>
    <font>
      <sz val="12"/>
      <name val="Arial"/>
      <family val="2"/>
    </font>
    <font>
      <sz val="10"/>
      <name val="Arial Unicode MS"/>
      <family val="2"/>
    </font>
    <font>
      <sz val="10"/>
      <color indexed="8"/>
      <name val="Calibri"/>
      <family val="2"/>
    </font>
    <font>
      <sz val="10"/>
      <color rgb="FFFF0000"/>
      <name val="Times New Roman"/>
      <family val="1"/>
    </font>
    <font>
      <sz val="12"/>
      <color rgb="FFFF0000"/>
      <name val="Arial"/>
      <family val="2"/>
    </font>
    <font>
      <sz val="10"/>
      <color rgb="FFC0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7" fillId="0" borderId="0" applyFont="0" applyFill="0" applyBorder="0" applyAlignment="0" applyProtection="0"/>
    <xf numFmtId="0" fontId="24" fillId="0" borderId="0"/>
    <xf numFmtId="0" fontId="24" fillId="0" borderId="0"/>
    <xf numFmtId="9" fontId="2" fillId="0" borderId="0" applyFont="0" applyFill="0" applyBorder="0" applyAlignment="0" applyProtection="0"/>
  </cellStyleXfs>
  <cellXfs count="193">
    <xf numFmtId="0" fontId="0" fillId="0" borderId="0" xfId="0"/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Protection="1"/>
    <xf numFmtId="0" fontId="4" fillId="0" borderId="0" xfId="0" applyFont="1" applyProtection="1"/>
    <xf numFmtId="3" fontId="6" fillId="0" borderId="0" xfId="0" applyNumberFormat="1" applyFont="1"/>
    <xf numFmtId="37" fontId="7" fillId="0" borderId="0" xfId="0" applyNumberFormat="1" applyFont="1" applyProtection="1"/>
    <xf numFmtId="37" fontId="7" fillId="0" borderId="0" xfId="0" applyNumberFormat="1" applyFont="1" applyAlignment="1" applyProtection="1">
      <alignment horizontal="center"/>
    </xf>
    <xf numFmtId="0" fontId="6" fillId="0" borderId="0" xfId="0" applyFont="1"/>
    <xf numFmtId="0" fontId="8" fillId="2" borderId="0" xfId="0" applyFont="1" applyFill="1"/>
    <xf numFmtId="166" fontId="7" fillId="0" borderId="0" xfId="0" applyNumberFormat="1" applyFont="1" applyAlignment="1" applyProtection="1">
      <alignment horizontal="left"/>
    </xf>
    <xf numFmtId="166" fontId="6" fillId="0" borderId="0" xfId="0" applyNumberFormat="1" applyFont="1"/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 applyProtection="1"/>
    <xf numFmtId="165" fontId="10" fillId="0" borderId="0" xfId="0" applyNumberFormat="1" applyFont="1" applyAlignment="1" applyProtection="1">
      <alignment horizontal="right"/>
    </xf>
    <xf numFmtId="37" fontId="11" fillId="0" borderId="0" xfId="0" applyNumberFormat="1" applyFont="1" applyProtection="1"/>
    <xf numFmtId="165" fontId="9" fillId="0" borderId="0" xfId="0" applyNumberFormat="1" applyFont="1" applyAlignment="1">
      <alignment horizontal="right"/>
    </xf>
    <xf numFmtId="166" fontId="7" fillId="0" borderId="0" xfId="0" applyNumberFormat="1" applyFont="1" applyAlignment="1" applyProtection="1">
      <alignment horizontal="right"/>
    </xf>
    <xf numFmtId="0" fontId="9" fillId="0" borderId="0" xfId="0" applyFont="1"/>
    <xf numFmtId="9" fontId="6" fillId="0" borderId="0" xfId="0" applyNumberFormat="1" applyFont="1" applyAlignment="1">
      <alignment horizontal="center"/>
    </xf>
    <xf numFmtId="166" fontId="13" fillId="2" borderId="0" xfId="0" applyNumberFormat="1" applyFont="1" applyFill="1" applyAlignment="1" applyProtection="1">
      <alignment horizontal="left"/>
    </xf>
    <xf numFmtId="167" fontId="13" fillId="2" borderId="0" xfId="0" applyNumberFormat="1" applyFont="1" applyFill="1" applyAlignment="1" applyProtection="1"/>
    <xf numFmtId="0" fontId="13" fillId="2" borderId="0" xfId="0" applyFont="1" applyFill="1" applyBorder="1" applyAlignment="1" applyProtection="1">
      <alignment horizontal="left"/>
    </xf>
    <xf numFmtId="167" fontId="13" fillId="2" borderId="0" xfId="0" applyNumberFormat="1" applyFont="1" applyFill="1" applyBorder="1" applyAlignment="1" applyProtection="1"/>
    <xf numFmtId="0" fontId="8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14" fillId="2" borderId="0" xfId="0" applyFont="1" applyFill="1"/>
    <xf numFmtId="165" fontId="6" fillId="0" borderId="1" xfId="0" applyNumberFormat="1" applyFont="1" applyBorder="1" applyAlignment="1">
      <alignment horizontal="right"/>
    </xf>
    <xf numFmtId="37" fontId="9" fillId="0" borderId="0" xfId="0" applyNumberFormat="1" applyFont="1" applyProtection="1"/>
    <xf numFmtId="3" fontId="6" fillId="0" borderId="1" xfId="0" applyNumberFormat="1" applyFont="1" applyBorder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3" fontId="9" fillId="3" borderId="1" xfId="0" applyNumberFormat="1" applyFont="1" applyFill="1" applyBorder="1" applyAlignment="1">
      <alignment horizontal="center"/>
    </xf>
    <xf numFmtId="0" fontId="0" fillId="2" borderId="0" xfId="0" applyFill="1"/>
    <xf numFmtId="3" fontId="9" fillId="0" borderId="0" xfId="0" applyNumberFormat="1" applyFont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/>
    </xf>
    <xf numFmtId="3" fontId="6" fillId="0" borderId="0" xfId="0" applyNumberFormat="1" applyFont="1" applyFill="1"/>
    <xf numFmtId="0" fontId="15" fillId="2" borderId="0" xfId="0" applyFont="1" applyFill="1" applyBorder="1"/>
    <xf numFmtId="0" fontId="15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3" fillId="3" borderId="2" xfId="0" applyFont="1" applyFill="1" applyBorder="1" applyProtection="1"/>
    <xf numFmtId="0" fontId="12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>
      <alignment horizontal="centerContinuous"/>
    </xf>
    <xf numFmtId="0" fontId="12" fillId="3" borderId="2" xfId="0" applyFont="1" applyFill="1" applyBorder="1" applyAlignment="1" applyProtection="1">
      <alignment horizontal="center" vertical="distributed"/>
    </xf>
    <xf numFmtId="0" fontId="13" fillId="3" borderId="3" xfId="0" applyFont="1" applyFill="1" applyBorder="1" applyProtection="1"/>
    <xf numFmtId="168" fontId="13" fillId="3" borderId="3" xfId="0" applyNumberFormat="1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 vertical="distributed"/>
    </xf>
    <xf numFmtId="0" fontId="16" fillId="0" borderId="0" xfId="0" applyFont="1" applyProtection="1"/>
    <xf numFmtId="0" fontId="1" fillId="0" borderId="0" xfId="0" applyFont="1" applyProtection="1"/>
    <xf numFmtId="0" fontId="17" fillId="0" borderId="0" xfId="0" applyFont="1"/>
    <xf numFmtId="0" fontId="1" fillId="0" borderId="0" xfId="0" applyFont="1" applyAlignment="1" applyProtection="1">
      <alignment horizontal="center"/>
    </xf>
    <xf numFmtId="166" fontId="6" fillId="0" borderId="0" xfId="0" applyNumberFormat="1" applyFont="1" applyAlignment="1" applyProtection="1">
      <alignment horizontal="left"/>
    </xf>
    <xf numFmtId="37" fontId="6" fillId="0" borderId="0" xfId="0" applyNumberFormat="1" applyFont="1" applyProtection="1"/>
    <xf numFmtId="164" fontId="1" fillId="0" borderId="0" xfId="0" applyNumberFormat="1" applyFont="1" applyProtection="1"/>
    <xf numFmtId="37" fontId="6" fillId="4" borderId="1" xfId="0" applyNumberFormat="1" applyFont="1" applyFill="1" applyBorder="1" applyAlignment="1" applyProtection="1">
      <alignment horizontal="center"/>
    </xf>
    <xf numFmtId="37" fontId="6" fillId="0" borderId="0" xfId="0" applyNumberFormat="1" applyFont="1" applyAlignment="1" applyProtection="1">
      <alignment horizontal="center"/>
    </xf>
    <xf numFmtId="37" fontId="6" fillId="3" borderId="1" xfId="0" applyNumberFormat="1" applyFont="1" applyFill="1" applyBorder="1" applyAlignment="1" applyProtection="1">
      <alignment horizontal="center"/>
    </xf>
    <xf numFmtId="166" fontId="6" fillId="0" borderId="0" xfId="0" applyNumberFormat="1" applyFont="1" applyAlignment="1" applyProtection="1">
      <alignment horizontal="right"/>
    </xf>
    <xf numFmtId="166" fontId="9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right"/>
    </xf>
    <xf numFmtId="0" fontId="18" fillId="2" borderId="0" xfId="0" applyFont="1" applyFill="1" applyProtection="1"/>
    <xf numFmtId="168" fontId="13" fillId="2" borderId="0" xfId="0" applyNumberFormat="1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 vertical="distributed"/>
    </xf>
    <xf numFmtId="0" fontId="12" fillId="2" borderId="0" xfId="0" applyFont="1" applyFill="1" applyBorder="1" applyProtection="1"/>
    <xf numFmtId="0" fontId="18" fillId="2" borderId="0" xfId="0" applyFont="1" applyFill="1" applyBorder="1" applyAlignment="1" applyProtection="1"/>
    <xf numFmtId="0" fontId="0" fillId="5" borderId="0" xfId="0" applyFill="1"/>
    <xf numFmtId="1" fontId="6" fillId="0" borderId="0" xfId="0" applyNumberFormat="1" applyFont="1" applyFill="1" applyAlignment="1">
      <alignment horizontal="center"/>
    </xf>
    <xf numFmtId="37" fontId="6" fillId="0" borderId="0" xfId="0" applyNumberFormat="1" applyFont="1"/>
    <xf numFmtId="37" fontId="6" fillId="0" borderId="0" xfId="0" applyNumberFormat="1" applyFont="1" applyFill="1"/>
    <xf numFmtId="165" fontId="9" fillId="4" borderId="0" xfId="0" applyNumberFormat="1" applyFont="1" applyFill="1"/>
    <xf numFmtId="3" fontId="9" fillId="4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right"/>
    </xf>
    <xf numFmtId="166" fontId="7" fillId="0" borderId="0" xfId="0" applyNumberFormat="1" applyFont="1" applyFill="1" applyAlignment="1" applyProtection="1">
      <alignment horizontal="left"/>
    </xf>
    <xf numFmtId="37" fontId="7" fillId="0" borderId="0" xfId="0" applyNumberFormat="1" applyFont="1" applyFill="1" applyProtection="1"/>
    <xf numFmtId="37" fontId="11" fillId="0" borderId="0" xfId="0" applyNumberFormat="1" applyFont="1" applyFill="1" applyProtection="1"/>
    <xf numFmtId="37" fontId="7" fillId="4" borderId="0" xfId="0" applyNumberFormat="1" applyFont="1" applyFill="1" applyProtection="1"/>
    <xf numFmtId="0" fontId="13" fillId="2" borderId="0" xfId="0" applyFont="1" applyFill="1" applyAlignment="1" applyProtection="1"/>
    <xf numFmtId="0" fontId="21" fillId="0" borderId="0" xfId="0" applyFont="1"/>
    <xf numFmtId="9" fontId="13" fillId="2" borderId="0" xfId="4" applyFont="1" applyFill="1" applyBorder="1" applyAlignment="1" applyProtection="1"/>
    <xf numFmtId="3" fontId="6" fillId="4" borderId="0" xfId="0" applyNumberFormat="1" applyFont="1" applyFill="1"/>
    <xf numFmtId="166" fontId="6" fillId="3" borderId="0" xfId="0" applyNumberFormat="1" applyFont="1" applyFill="1" applyAlignment="1" applyProtection="1">
      <alignment horizontal="left"/>
    </xf>
    <xf numFmtId="37" fontId="6" fillId="6" borderId="0" xfId="0" applyNumberFormat="1" applyFont="1" applyFill="1"/>
    <xf numFmtId="165" fontId="6" fillId="6" borderId="0" xfId="0" applyNumberFormat="1" applyFont="1" applyFill="1" applyAlignment="1">
      <alignment horizontal="right"/>
    </xf>
    <xf numFmtId="37" fontId="6" fillId="2" borderId="0" xfId="0" applyNumberFormat="1" applyFont="1" applyFill="1"/>
    <xf numFmtId="37" fontId="6" fillId="7" borderId="0" xfId="0" applyNumberFormat="1" applyFont="1" applyFill="1"/>
    <xf numFmtId="37" fontId="6" fillId="3" borderId="0" xfId="0" applyNumberFormat="1" applyFont="1" applyFill="1"/>
    <xf numFmtId="0" fontId="0" fillId="0" borderId="0" xfId="0" applyFill="1"/>
    <xf numFmtId="0" fontId="0" fillId="4" borderId="0" xfId="0" applyFill="1"/>
    <xf numFmtId="37" fontId="22" fillId="3" borderId="0" xfId="0" applyNumberFormat="1" applyFont="1" applyFill="1"/>
    <xf numFmtId="166" fontId="22" fillId="0" borderId="0" xfId="0" applyNumberFormat="1" applyFont="1" applyAlignment="1" applyProtection="1">
      <alignment horizontal="right"/>
    </xf>
    <xf numFmtId="166" fontId="23" fillId="0" borderId="0" xfId="0" applyNumberFormat="1" applyFont="1" applyAlignment="1" applyProtection="1">
      <alignment horizontal="right"/>
    </xf>
    <xf numFmtId="169" fontId="7" fillId="0" borderId="0" xfId="0" applyNumberFormat="1" applyFont="1" applyProtection="1"/>
    <xf numFmtId="16" fontId="0" fillId="0" borderId="0" xfId="0" applyNumberFormat="1"/>
    <xf numFmtId="37" fontId="1" fillId="0" borderId="0" xfId="0" applyNumberFormat="1" applyFont="1" applyAlignment="1" applyProtection="1">
      <alignment horizontal="center"/>
    </xf>
    <xf numFmtId="0" fontId="13" fillId="8" borderId="0" xfId="0" applyFont="1" applyFill="1" applyAlignment="1" applyProtection="1">
      <alignment horizontal="left"/>
    </xf>
    <xf numFmtId="167" fontId="13" fillId="8" borderId="0" xfId="0" applyNumberFormat="1" applyFont="1" applyFill="1" applyBorder="1" applyAlignment="1" applyProtection="1"/>
    <xf numFmtId="37" fontId="30" fillId="6" borderId="0" xfId="0" applyNumberFormat="1" applyFont="1" applyFill="1"/>
    <xf numFmtId="0" fontId="31" fillId="0" borderId="0" xfId="0" applyFont="1"/>
    <xf numFmtId="165" fontId="30" fillId="0" borderId="0" xfId="0" applyNumberFormat="1" applyFont="1" applyAlignment="1">
      <alignment horizontal="right"/>
    </xf>
    <xf numFmtId="166" fontId="32" fillId="0" borderId="0" xfId="0" applyNumberFormat="1" applyFont="1" applyAlignment="1" applyProtection="1">
      <alignment horizontal="right"/>
    </xf>
    <xf numFmtId="166" fontId="32" fillId="0" borderId="0" xfId="0" applyNumberFormat="1" applyFont="1"/>
    <xf numFmtId="37" fontId="7" fillId="0" borderId="0" xfId="2" applyNumberFormat="1" applyFont="1" applyProtection="1"/>
    <xf numFmtId="166" fontId="7" fillId="0" borderId="0" xfId="2" applyNumberFormat="1" applyFont="1" applyAlignment="1" applyProtection="1">
      <alignment horizontal="left"/>
    </xf>
    <xf numFmtId="37" fontId="7" fillId="0" borderId="0" xfId="2" applyNumberFormat="1" applyFont="1" applyFill="1" applyProtection="1"/>
    <xf numFmtId="37" fontId="7" fillId="0" borderId="0" xfId="3" applyNumberFormat="1" applyFont="1" applyProtection="1"/>
    <xf numFmtId="166" fontId="7" fillId="0" borderId="0" xfId="3" applyNumberFormat="1" applyFont="1" applyAlignment="1" applyProtection="1">
      <alignment horizontal="left"/>
    </xf>
    <xf numFmtId="37" fontId="7" fillId="0" borderId="0" xfId="3" applyNumberFormat="1" applyFont="1" applyFill="1" applyProtection="1"/>
    <xf numFmtId="167" fontId="13" fillId="8" borderId="0" xfId="0" applyNumberFormat="1" applyFont="1" applyFill="1" applyAlignment="1" applyProtection="1"/>
    <xf numFmtId="37" fontId="6" fillId="9" borderId="0" xfId="0" applyNumberFormat="1" applyFont="1" applyFill="1"/>
    <xf numFmtId="170" fontId="6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166" fontId="6" fillId="10" borderId="0" xfId="0" applyNumberFormat="1" applyFont="1" applyFill="1" applyAlignment="1" applyProtection="1">
      <alignment horizontal="center"/>
    </xf>
    <xf numFmtId="166" fontId="6" fillId="10" borderId="0" xfId="0" applyNumberFormat="1" applyFont="1" applyFill="1" applyAlignment="1">
      <alignment horizontal="center"/>
    </xf>
    <xf numFmtId="166" fontId="6" fillId="11" borderId="0" xfId="0" applyNumberFormat="1" applyFont="1" applyFill="1" applyAlignment="1">
      <alignment horizontal="center"/>
    </xf>
    <xf numFmtId="166" fontId="6" fillId="12" borderId="0" xfId="0" applyNumberFormat="1" applyFont="1" applyFill="1" applyAlignment="1">
      <alignment horizontal="center"/>
    </xf>
    <xf numFmtId="166" fontId="6" fillId="13" borderId="0" xfId="0" applyNumberFormat="1" applyFont="1" applyFill="1" applyAlignment="1">
      <alignment horizontal="center"/>
    </xf>
    <xf numFmtId="166" fontId="6" fillId="14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horizontal="center"/>
    </xf>
    <xf numFmtId="166" fontId="6" fillId="15" borderId="0" xfId="0" applyNumberFormat="1" applyFont="1" applyFill="1" applyAlignment="1">
      <alignment horizontal="center"/>
    </xf>
    <xf numFmtId="166" fontId="6" fillId="16" borderId="0" xfId="0" applyNumberFormat="1" applyFont="1" applyFill="1" applyAlignment="1">
      <alignment horizontal="center"/>
    </xf>
    <xf numFmtId="166" fontId="6" fillId="17" borderId="0" xfId="0" applyNumberFormat="1" applyFont="1" applyFill="1" applyAlignment="1">
      <alignment horizontal="center"/>
    </xf>
    <xf numFmtId="0" fontId="6" fillId="0" borderId="8" xfId="0" applyFont="1" applyBorder="1"/>
    <xf numFmtId="37" fontId="6" fillId="0" borderId="8" xfId="0" applyNumberFormat="1" applyFont="1" applyBorder="1" applyAlignment="1" applyProtection="1">
      <alignment horizontal="center"/>
    </xf>
    <xf numFmtId="0" fontId="6" fillId="0" borderId="9" xfId="0" applyFont="1" applyBorder="1"/>
    <xf numFmtId="37" fontId="6" fillId="0" borderId="9" xfId="0" applyNumberFormat="1" applyFont="1" applyBorder="1" applyAlignment="1" applyProtection="1">
      <alignment horizontal="center"/>
    </xf>
    <xf numFmtId="166" fontId="6" fillId="18" borderId="0" xfId="0" applyNumberFormat="1" applyFont="1" applyFill="1" applyAlignment="1">
      <alignment horizontal="center"/>
    </xf>
    <xf numFmtId="166" fontId="6" fillId="19" borderId="0" xfId="0" applyNumberFormat="1" applyFont="1" applyFill="1" applyAlignment="1">
      <alignment horizontal="center"/>
    </xf>
    <xf numFmtId="166" fontId="6" fillId="0" borderId="0" xfId="0" applyNumberFormat="1" applyFont="1" applyFill="1" applyAlignment="1">
      <alignment horizontal="center"/>
    </xf>
    <xf numFmtId="166" fontId="6" fillId="20" borderId="0" xfId="0" applyNumberFormat="1" applyFont="1" applyFill="1" applyAlignment="1">
      <alignment horizontal="center"/>
    </xf>
    <xf numFmtId="37" fontId="9" fillId="0" borderId="8" xfId="0" applyNumberFormat="1" applyFont="1" applyBorder="1" applyAlignment="1" applyProtection="1">
      <alignment horizontal="center"/>
    </xf>
    <xf numFmtId="37" fontId="9" fillId="0" borderId="8" xfId="0" applyNumberFormat="1" applyFont="1" applyBorder="1" applyProtection="1"/>
    <xf numFmtId="166" fontId="6" fillId="0" borderId="0" xfId="0" applyNumberFormat="1" applyFont="1" applyAlignment="1">
      <alignment horizontal="right"/>
    </xf>
    <xf numFmtId="0" fontId="1" fillId="0" borderId="0" xfId="0" applyFont="1"/>
    <xf numFmtId="0" fontId="13" fillId="2" borderId="3" xfId="0" applyFont="1" applyFill="1" applyBorder="1" applyAlignment="1" applyProtection="1"/>
    <xf numFmtId="167" fontId="13" fillId="8" borderId="3" xfId="0" applyNumberFormat="1" applyFont="1" applyFill="1" applyBorder="1" applyAlignment="1" applyProtection="1"/>
    <xf numFmtId="166" fontId="6" fillId="0" borderId="0" xfId="0" applyNumberFormat="1" applyFont="1" applyFill="1" applyAlignment="1">
      <alignment horizontal="right"/>
    </xf>
    <xf numFmtId="0" fontId="0" fillId="0" borderId="8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20" fillId="0" borderId="8" xfId="0" applyFont="1" applyBorder="1"/>
    <xf numFmtId="167" fontId="13" fillId="0" borderId="0" xfId="0" applyNumberFormat="1" applyFont="1" applyFill="1" applyBorder="1" applyAlignment="1" applyProtection="1"/>
    <xf numFmtId="166" fontId="6" fillId="21" borderId="0" xfId="0" applyNumberFormat="1" applyFont="1" applyFill="1" applyAlignment="1">
      <alignment horizontal="center"/>
    </xf>
    <xf numFmtId="37" fontId="9" fillId="2" borderId="0" xfId="0" applyNumberFormat="1" applyFont="1" applyFill="1" applyAlignment="1" applyProtection="1"/>
    <xf numFmtId="37" fontId="9" fillId="22" borderId="0" xfId="0" applyNumberFormat="1" applyFont="1" applyFill="1" applyAlignment="1" applyProtection="1"/>
    <xf numFmtId="37" fontId="9" fillId="0" borderId="0" xfId="0" applyNumberFormat="1" applyFont="1" applyFill="1" applyAlignment="1" applyProtection="1"/>
    <xf numFmtId="165" fontId="6" fillId="0" borderId="0" xfId="0" applyNumberFormat="1" applyFont="1" applyFill="1" applyAlignment="1">
      <alignment horizontal="right"/>
    </xf>
    <xf numFmtId="166" fontId="6" fillId="0" borderId="0" xfId="0" applyNumberFormat="1" applyFont="1" applyFill="1" applyAlignment="1" applyProtection="1">
      <alignment horizontal="right"/>
    </xf>
    <xf numFmtId="0" fontId="5" fillId="0" borderId="0" xfId="0" applyFont="1"/>
    <xf numFmtId="0" fontId="25" fillId="0" borderId="0" xfId="0" applyFont="1" applyFill="1" applyAlignment="1">
      <alignment vertical="center"/>
    </xf>
    <xf numFmtId="0" fontId="5" fillId="0" borderId="0" xfId="0" applyFont="1" applyFill="1" applyAlignment="1" applyProtection="1">
      <alignment horizontal="center"/>
    </xf>
    <xf numFmtId="0" fontId="5" fillId="0" borderId="0" xfId="0" applyFont="1" applyFill="1"/>
    <xf numFmtId="0" fontId="26" fillId="0" borderId="0" xfId="0" applyFont="1" applyFill="1" applyAlignment="1" applyProtection="1">
      <alignment horizontal="center"/>
    </xf>
    <xf numFmtId="0" fontId="5" fillId="0" borderId="0" xfId="0" applyFont="1" applyFill="1" applyAlignment="1">
      <alignment horizontal="center"/>
    </xf>
    <xf numFmtId="0" fontId="26" fillId="0" borderId="0" xfId="0" applyFont="1" applyFill="1" applyProtection="1"/>
    <xf numFmtId="37" fontId="7" fillId="22" borderId="0" xfId="2" applyNumberFormat="1" applyFont="1" applyFill="1" applyProtection="1"/>
    <xf numFmtId="0" fontId="12" fillId="8" borderId="0" xfId="0" applyFont="1" applyFill="1" applyBorder="1" applyAlignment="1" applyProtection="1">
      <alignment horizontal="left"/>
    </xf>
    <xf numFmtId="0" fontId="13" fillId="8" borderId="0" xfId="0" applyFont="1" applyFill="1" applyBorder="1" applyAlignment="1" applyProtection="1">
      <alignment horizontal="left"/>
    </xf>
    <xf numFmtId="3" fontId="9" fillId="0" borderId="0" xfId="0" applyNumberFormat="1" applyFont="1"/>
    <xf numFmtId="171" fontId="6" fillId="10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horizontal="left"/>
    </xf>
    <xf numFmtId="166" fontId="7" fillId="0" borderId="0" xfId="2" applyNumberFormat="1" applyFont="1" applyFill="1" applyAlignment="1" applyProtection="1">
      <alignment horizontal="left"/>
    </xf>
    <xf numFmtId="0" fontId="26" fillId="0" borderId="0" xfId="0" applyFont="1" applyFill="1" applyAlignment="1" applyProtection="1"/>
    <xf numFmtId="0" fontId="25" fillId="0" borderId="0" xfId="0" applyFont="1" applyAlignment="1">
      <alignment vertical="center"/>
    </xf>
    <xf numFmtId="0" fontId="26" fillId="0" borderId="0" xfId="0" applyFont="1" applyAlignment="1" applyProtection="1">
      <alignment horizontal="center"/>
    </xf>
    <xf numFmtId="172" fontId="6" fillId="0" borderId="0" xfId="1" applyNumberFormat="1" applyFont="1"/>
    <xf numFmtId="172" fontId="6" fillId="0" borderId="0" xfId="1" applyNumberFormat="1" applyFont="1" applyFill="1"/>
    <xf numFmtId="0" fontId="25" fillId="0" borderId="0" xfId="0" applyFont="1" applyFill="1" applyAlignment="1">
      <alignment horizontal="right" vertical="center"/>
    </xf>
    <xf numFmtId="0" fontId="21" fillId="0" borderId="0" xfId="0" applyFont="1" applyFill="1"/>
    <xf numFmtId="0" fontId="5" fillId="0" borderId="0" xfId="0" applyFont="1" applyAlignment="1">
      <alignment vertical="center"/>
    </xf>
    <xf numFmtId="0" fontId="26" fillId="0" borderId="0" xfId="0" applyFont="1" applyProtection="1"/>
    <xf numFmtId="0" fontId="5" fillId="0" borderId="0" xfId="0" applyFont="1" applyFill="1" applyAlignment="1">
      <alignment vertical="center"/>
    </xf>
    <xf numFmtId="166" fontId="6" fillId="2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/>
    </xf>
    <xf numFmtId="0" fontId="5" fillId="0" borderId="0" xfId="0" applyFont="1" applyAlignment="1" applyProtection="1">
      <alignment horizontal="center"/>
    </xf>
    <xf numFmtId="0" fontId="6" fillId="0" borderId="0" xfId="0" applyFont="1" applyFill="1"/>
    <xf numFmtId="0" fontId="5" fillId="22" borderId="0" xfId="0" applyFont="1" applyFill="1"/>
    <xf numFmtId="0" fontId="28" fillId="22" borderId="0" xfId="0" applyFont="1" applyFill="1" applyAlignment="1">
      <alignment vertical="center"/>
    </xf>
    <xf numFmtId="0" fontId="25" fillId="22" borderId="0" xfId="0" applyFont="1" applyFill="1" applyAlignment="1">
      <alignment vertical="center"/>
    </xf>
    <xf numFmtId="0" fontId="26" fillId="22" borderId="0" xfId="0" applyFont="1" applyFill="1" applyProtection="1"/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 2" xfId="2"/>
    <cellStyle name="Normal 2 3" xfId="3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27,837 </c:v>
                  </c:pt>
                  <c:pt idx="1">
                    <c:v> 12,714 </c:v>
                  </c:pt>
                  <c:pt idx="2">
                    <c:v> </c:v>
                  </c:pt>
                </c:lvl>
                <c:lvl>
                  <c:pt idx="0">
                    <c:v>9,691 </c:v>
                  </c:pt>
                  <c:pt idx="1">
                    <c:v> 4,152 </c:v>
                  </c:pt>
                </c:lvl>
                <c:lvl>
                  <c:pt idx="0">
                    <c:v>24,206 </c:v>
                  </c:pt>
                  <c:pt idx="1">
                    <c:v> 23,840 </c:v>
                  </c:pt>
                </c:lvl>
                <c:lvl>
                  <c:pt idx="0">
                    <c:v>3,299 </c:v>
                  </c:pt>
                  <c:pt idx="1">
                    <c:v> 2,928 </c:v>
                  </c:pt>
                </c:lvl>
                <c:lvl>
                  <c:pt idx="0">
                    <c:v>447 </c:v>
                  </c:pt>
                  <c:pt idx="1">
                    <c:v>489 </c:v>
                  </c:pt>
                </c:lvl>
                <c:lvl>
                  <c:pt idx="0">
                    <c:v>44 </c:v>
                  </c:pt>
                  <c:pt idx="1">
                    <c:v>58 </c:v>
                  </c:pt>
                </c:lvl>
                <c:lvl>
                  <c:pt idx="0">
                    <c:v>5,198 </c:v>
                  </c:pt>
                  <c:pt idx="1">
                    <c:v>4,361 </c:v>
                  </c:pt>
                </c:lvl>
                <c:lvl>
                  <c:pt idx="0">
                    <c:v>596 </c:v>
                  </c:pt>
                  <c:pt idx="1">
                    <c:v>245 </c:v>
                  </c:pt>
                </c:lvl>
                <c:lvl>
                  <c:pt idx="0">
                    <c:v>5,874 </c:v>
                  </c:pt>
                  <c:pt idx="1">
                    <c:v>5,495 </c:v>
                  </c:pt>
                </c:lvl>
                <c:lvl>
                  <c:pt idx="0">
                    <c:v>874 </c:v>
                  </c:pt>
                  <c:pt idx="1">
                    <c:v>518 </c:v>
                  </c:pt>
                </c:lvl>
                <c:lvl>
                  <c:pt idx="0">
                    <c:v>3,621 </c:v>
                  </c:pt>
                  <c:pt idx="1">
                    <c:v>3,631 </c:v>
                  </c:pt>
                </c:lvl>
                <c:lvl>
                  <c:pt idx="0">
                    <c:v>711 </c:v>
                  </c:pt>
                  <c:pt idx="1">
                    <c:v>701 </c:v>
                  </c:pt>
                </c:lvl>
                <c:lvl>
                  <c:pt idx="0">
                    <c:v>9,067 </c:v>
                  </c:pt>
                  <c:pt idx="1">
                    <c:v>8,864 </c:v>
                  </c:pt>
                </c:lvl>
                <c:lvl>
                  <c:pt idx="0">
                    <c:v>1,074 </c:v>
                  </c:pt>
                  <c:pt idx="1">
                    <c:v>1,406 </c:v>
                  </c:pt>
                </c:lvl>
                <c:lvl>
                  <c:pt idx="0">
                    <c:v>5/3/2012</c:v>
                  </c:pt>
                  <c:pt idx="1">
                    <c:v>5/2/2013</c:v>
                  </c:pt>
                </c:lvl>
              </c:multiLvlStrCache>
            </c:multiLvlStrRef>
          </c:cat>
          <c:val>
            <c:numRef>
              <c:f>'enter data'!$P$7:$P$9</c:f>
              <c:numCache>
                <c:formatCode>_(* #,##0_);_(* \(#,##0\);_(* "-"??_);_(@_)</c:formatCode>
                <c:ptCount val="3"/>
                <c:pt idx="0" formatCode="#,##0_);\(#,##0\)">
                  <c:v>5065</c:v>
                </c:pt>
                <c:pt idx="1">
                  <c:v>2111</c:v>
                </c:pt>
              </c:numCache>
            </c:numRef>
          </c:val>
        </c:ser>
        <c:ser>
          <c:idx val="1"/>
          <c:order val="1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27,837 </c:v>
                  </c:pt>
                  <c:pt idx="1">
                    <c:v> 12,714 </c:v>
                  </c:pt>
                  <c:pt idx="2">
                    <c:v> </c:v>
                  </c:pt>
                </c:lvl>
                <c:lvl>
                  <c:pt idx="0">
                    <c:v>9,691 </c:v>
                  </c:pt>
                  <c:pt idx="1">
                    <c:v> 4,152 </c:v>
                  </c:pt>
                </c:lvl>
                <c:lvl>
                  <c:pt idx="0">
                    <c:v>24,206 </c:v>
                  </c:pt>
                  <c:pt idx="1">
                    <c:v> 23,840 </c:v>
                  </c:pt>
                </c:lvl>
                <c:lvl>
                  <c:pt idx="0">
                    <c:v>3,299 </c:v>
                  </c:pt>
                  <c:pt idx="1">
                    <c:v> 2,928 </c:v>
                  </c:pt>
                </c:lvl>
                <c:lvl>
                  <c:pt idx="0">
                    <c:v>447 </c:v>
                  </c:pt>
                  <c:pt idx="1">
                    <c:v>489 </c:v>
                  </c:pt>
                </c:lvl>
                <c:lvl>
                  <c:pt idx="0">
                    <c:v>44 </c:v>
                  </c:pt>
                  <c:pt idx="1">
                    <c:v>58 </c:v>
                  </c:pt>
                </c:lvl>
                <c:lvl>
                  <c:pt idx="0">
                    <c:v>5,198 </c:v>
                  </c:pt>
                  <c:pt idx="1">
                    <c:v>4,361 </c:v>
                  </c:pt>
                </c:lvl>
                <c:lvl>
                  <c:pt idx="0">
                    <c:v>596 </c:v>
                  </c:pt>
                  <c:pt idx="1">
                    <c:v>245 </c:v>
                  </c:pt>
                </c:lvl>
                <c:lvl>
                  <c:pt idx="0">
                    <c:v>5,874 </c:v>
                  </c:pt>
                  <c:pt idx="1">
                    <c:v>5,495 </c:v>
                  </c:pt>
                </c:lvl>
                <c:lvl>
                  <c:pt idx="0">
                    <c:v>874 </c:v>
                  </c:pt>
                  <c:pt idx="1">
                    <c:v>518 </c:v>
                  </c:pt>
                </c:lvl>
                <c:lvl>
                  <c:pt idx="0">
                    <c:v>3,621 </c:v>
                  </c:pt>
                  <c:pt idx="1">
                    <c:v>3,631 </c:v>
                  </c:pt>
                </c:lvl>
                <c:lvl>
                  <c:pt idx="0">
                    <c:v>711 </c:v>
                  </c:pt>
                  <c:pt idx="1">
                    <c:v>701 </c:v>
                  </c:pt>
                </c:lvl>
                <c:lvl>
                  <c:pt idx="0">
                    <c:v>9,067 </c:v>
                  </c:pt>
                  <c:pt idx="1">
                    <c:v>8,864 </c:v>
                  </c:pt>
                </c:lvl>
                <c:lvl>
                  <c:pt idx="0">
                    <c:v>1,074 </c:v>
                  </c:pt>
                  <c:pt idx="1">
                    <c:v>1,406 </c:v>
                  </c:pt>
                </c:lvl>
                <c:lvl>
                  <c:pt idx="0">
                    <c:v>5/3/2012</c:v>
                  </c:pt>
                  <c:pt idx="1">
                    <c:v>5/2/2013</c:v>
                  </c:pt>
                </c:lvl>
              </c:multiLvlStrCache>
            </c:multiLvlStrRef>
          </c:cat>
          <c:val>
            <c:numRef>
              <c:f>'enter data'!$Q$7:$Q$9</c:f>
              <c:numCache>
                <c:formatCode>_(* #,##0_);_(* \(#,##0\);_(* "-"??_);_(@_)</c:formatCode>
                <c:ptCount val="3"/>
                <c:pt idx="0" formatCode="#,##0_);\(#,##0\)">
                  <c:v>29419</c:v>
                </c:pt>
                <c:pt idx="1">
                  <c:v>34371</c:v>
                </c:pt>
              </c:numCache>
            </c:numRef>
          </c:val>
        </c:ser>
        <c:ser>
          <c:idx val="2"/>
          <c:order val="2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27,837 </c:v>
                  </c:pt>
                  <c:pt idx="1">
                    <c:v> 12,714 </c:v>
                  </c:pt>
                  <c:pt idx="2">
                    <c:v> </c:v>
                  </c:pt>
                </c:lvl>
                <c:lvl>
                  <c:pt idx="0">
                    <c:v>9,691 </c:v>
                  </c:pt>
                  <c:pt idx="1">
                    <c:v> 4,152 </c:v>
                  </c:pt>
                </c:lvl>
                <c:lvl>
                  <c:pt idx="0">
                    <c:v>24,206 </c:v>
                  </c:pt>
                  <c:pt idx="1">
                    <c:v> 23,840 </c:v>
                  </c:pt>
                </c:lvl>
                <c:lvl>
                  <c:pt idx="0">
                    <c:v>3,299 </c:v>
                  </c:pt>
                  <c:pt idx="1">
                    <c:v> 2,928 </c:v>
                  </c:pt>
                </c:lvl>
                <c:lvl>
                  <c:pt idx="0">
                    <c:v>447 </c:v>
                  </c:pt>
                  <c:pt idx="1">
                    <c:v>489 </c:v>
                  </c:pt>
                </c:lvl>
                <c:lvl>
                  <c:pt idx="0">
                    <c:v>44 </c:v>
                  </c:pt>
                  <c:pt idx="1">
                    <c:v>58 </c:v>
                  </c:pt>
                </c:lvl>
                <c:lvl>
                  <c:pt idx="0">
                    <c:v>5,198 </c:v>
                  </c:pt>
                  <c:pt idx="1">
                    <c:v>4,361 </c:v>
                  </c:pt>
                </c:lvl>
                <c:lvl>
                  <c:pt idx="0">
                    <c:v>596 </c:v>
                  </c:pt>
                  <c:pt idx="1">
                    <c:v>245 </c:v>
                  </c:pt>
                </c:lvl>
                <c:lvl>
                  <c:pt idx="0">
                    <c:v>5,874 </c:v>
                  </c:pt>
                  <c:pt idx="1">
                    <c:v>5,495 </c:v>
                  </c:pt>
                </c:lvl>
                <c:lvl>
                  <c:pt idx="0">
                    <c:v>874 </c:v>
                  </c:pt>
                  <c:pt idx="1">
                    <c:v>518 </c:v>
                  </c:pt>
                </c:lvl>
                <c:lvl>
                  <c:pt idx="0">
                    <c:v>3,621 </c:v>
                  </c:pt>
                  <c:pt idx="1">
                    <c:v>3,631 </c:v>
                  </c:pt>
                </c:lvl>
                <c:lvl>
                  <c:pt idx="0">
                    <c:v>711 </c:v>
                  </c:pt>
                  <c:pt idx="1">
                    <c:v>701 </c:v>
                  </c:pt>
                </c:lvl>
                <c:lvl>
                  <c:pt idx="0">
                    <c:v>9,067 </c:v>
                  </c:pt>
                  <c:pt idx="1">
                    <c:v>8,864 </c:v>
                  </c:pt>
                </c:lvl>
                <c:lvl>
                  <c:pt idx="0">
                    <c:v>1,074 </c:v>
                  </c:pt>
                  <c:pt idx="1">
                    <c:v>1,406 </c:v>
                  </c:pt>
                </c:lvl>
                <c:lvl>
                  <c:pt idx="0">
                    <c:v>5/3/2012</c:v>
                  </c:pt>
                  <c:pt idx="1">
                    <c:v>5/2/2013</c:v>
                  </c:pt>
                </c:lvl>
              </c:multiLvlStrCache>
            </c:multiLvlStrRef>
          </c:cat>
          <c:val>
            <c:numRef>
              <c:f>'enter data'!$R$7:$R$9</c:f>
              <c:numCache>
                <c:formatCode>#,##0_);\(#,##0\)</c:formatCode>
                <c:ptCount val="3"/>
                <c:pt idx="0">
                  <c:v>18055</c:v>
                </c:pt>
                <c:pt idx="1">
                  <c:v>9191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67648"/>
        <c:axId val="32335360"/>
      </c:barChart>
      <c:catAx>
        <c:axId val="3226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335360"/>
        <c:crosses val="autoZero"/>
        <c:auto val="1"/>
        <c:lblAlgn val="ctr"/>
        <c:lblOffset val="100"/>
        <c:noMultiLvlLbl val="0"/>
      </c:catAx>
      <c:valAx>
        <c:axId val="32335360"/>
        <c:scaling>
          <c:orientation val="minMax"/>
        </c:scaling>
        <c:delete val="0"/>
        <c:axPos val="l"/>
        <c:majorGridlines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26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6478877554288034"/>
          <c:y val="0.4211165793448079"/>
          <c:w val="2.4647891801619637E-2"/>
          <c:h val="5.825244575870536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Unshipped Export Balances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872913992297846E-2"/>
          <c:y val="0.10138248847926268"/>
          <c:w val="0.87291399229781774"/>
          <c:h val="0.808755760368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'Tble 12'!$G$4</c:f>
              <c:strCache>
                <c:ptCount val="1"/>
                <c:pt idx="0">
                  <c:v>All wheat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5/2/2013</c:v>
                </c:pt>
                <c:pt idx="1">
                  <c:v>This week year ago</c:v>
                </c:pt>
              </c:strCache>
            </c:strRef>
          </c:cat>
          <c:val>
            <c:numRef>
              <c:f>'Tble 12'!$G$6:$G$7</c:f>
              <c:numCache>
                <c:formatCode>#,##0___);\(#,##0\)</c:formatCode>
                <c:ptCount val="2"/>
                <c:pt idx="0">
                  <c:v>2928</c:v>
                </c:pt>
                <c:pt idx="1">
                  <c:v>3299</c:v>
                </c:pt>
              </c:numCache>
            </c:numRef>
          </c:val>
        </c:ser>
        <c:ser>
          <c:idx val="1"/>
          <c:order val="1"/>
          <c:tx>
            <c:strRef>
              <c:f>'Tble 12'!$I$3</c:f>
              <c:strCache>
                <c:ptCount val="1"/>
                <c:pt idx="0">
                  <c:v>Soybeans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5/2/2013</c:v>
                </c:pt>
                <c:pt idx="1">
                  <c:v>This week year ago</c:v>
                </c:pt>
              </c:strCache>
            </c:strRef>
          </c:cat>
          <c:val>
            <c:numRef>
              <c:f>'Tble 12'!$I$6:$I$7</c:f>
              <c:numCache>
                <c:formatCode>#,##0___);\(#,##0\)</c:formatCode>
                <c:ptCount val="2"/>
                <c:pt idx="0">
                  <c:v>2111</c:v>
                </c:pt>
                <c:pt idx="1">
                  <c:v>5065</c:v>
                </c:pt>
              </c:numCache>
            </c:numRef>
          </c:val>
        </c:ser>
        <c:ser>
          <c:idx val="2"/>
          <c:order val="2"/>
          <c:tx>
            <c:strRef>
              <c:f>'Tble 12'!$H$3</c:f>
              <c:strCache>
                <c:ptCount val="1"/>
                <c:pt idx="0">
                  <c:v>Corn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5/2/2013</c:v>
                </c:pt>
                <c:pt idx="1">
                  <c:v>This week year ago</c:v>
                </c:pt>
              </c:strCache>
            </c:strRef>
          </c:cat>
          <c:val>
            <c:numRef>
              <c:f>'Tble 12'!$H$6:$H$7</c:f>
              <c:numCache>
                <c:formatCode>#,##0___);\(#,##0\)</c:formatCode>
                <c:ptCount val="2"/>
                <c:pt idx="0">
                  <c:v>4152</c:v>
                </c:pt>
                <c:pt idx="1">
                  <c:v>9691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00352"/>
        <c:axId val="32576256"/>
      </c:barChart>
      <c:catAx>
        <c:axId val="3250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576256"/>
        <c:crosses val="autoZero"/>
        <c:auto val="1"/>
        <c:lblAlgn val="ctr"/>
        <c:lblOffset val="100"/>
        <c:noMultiLvlLbl val="0"/>
      </c:catAx>
      <c:valAx>
        <c:axId val="32576256"/>
        <c:scaling>
          <c:orientation val="minMax"/>
        </c:scaling>
        <c:delete val="0"/>
        <c:axPos val="l"/>
        <c:majorGridlines/>
        <c:numFmt formatCode="#,##0__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50035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38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38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38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11123008688085113"/>
          <c:y val="0.13837662589224317"/>
          <c:w val="9.6256824848765563E-2"/>
          <c:h val="0.15498179194390369"/>
        </c:manualLayout>
      </c:layout>
      <c:overlay val="0"/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 orientation="portrait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8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0111" cy="62723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</xdr:colOff>
      <xdr:row>0</xdr:row>
      <xdr:rowOff>0</xdr:rowOff>
    </xdr:from>
    <xdr:to>
      <xdr:col>9</xdr:col>
      <xdr:colOff>563880</xdr:colOff>
      <xdr:row>21</xdr:row>
      <xdr:rowOff>129540</xdr:rowOff>
    </xdr:to>
    <xdr:graphicFrame macro="">
      <xdr:nvGraphicFramePr>
        <xdr:cNvPr id="3216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0.44813</cdr:x>
      <cdr:y>0.10645</cdr:y>
    </cdr:from>
    <cdr:to>
      <cdr:x>0.93996</cdr:x>
      <cdr:y>0.32841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2780" y="439642"/>
          <a:ext cx="3504151" cy="91671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/>
            <a:t>8/04/11:    % Change from:</a:t>
          </a:r>
        </a:p>
        <a:p xmlns:a="http://schemas.openxmlformats.org/drawingml/2006/main">
          <a:r>
            <a:rPr lang="en-US" sz="1000" baseline="0"/>
            <a:t>               	 </a:t>
          </a:r>
          <a:r>
            <a:rPr lang="en-US" sz="1000" u="sng"/>
            <a:t>All Wheat</a:t>
          </a:r>
          <a:r>
            <a:rPr lang="en-US" sz="1000"/>
            <a:t>       </a:t>
          </a:r>
          <a:r>
            <a:rPr lang="en-US" sz="1000" u="sng"/>
            <a:t>Soybeans</a:t>
          </a:r>
          <a:r>
            <a:rPr lang="en-US" sz="1000"/>
            <a:t>  </a:t>
          </a:r>
          <a:r>
            <a:rPr lang="en-US" sz="1000" baseline="0"/>
            <a:t>      </a:t>
          </a:r>
          <a:r>
            <a:rPr lang="en-US" sz="1000" u="sng"/>
            <a:t>Corn</a:t>
          </a:r>
        </a:p>
        <a:p xmlns:a="http://schemas.openxmlformats.org/drawingml/2006/main">
          <a:r>
            <a:rPr lang="en-US" sz="1000"/>
            <a:t> Last week:	down  4</a:t>
          </a:r>
          <a:r>
            <a:rPr lang="en-US" sz="1000" baseline="0"/>
            <a:t>            up 3</a:t>
          </a:r>
          <a:r>
            <a:rPr lang="en-US" sz="1000"/>
            <a:t>                up 4.5</a:t>
          </a:r>
        </a:p>
        <a:p xmlns:a="http://schemas.openxmlformats.org/drawingml/2006/main">
          <a:r>
            <a:rPr lang="en-US" sz="1000"/>
            <a:t> Last year:              down  12       </a:t>
          </a:r>
          <a:r>
            <a:rPr lang="en-US" sz="1000" baseline="0"/>
            <a:t>   up  5</a:t>
          </a:r>
          <a:r>
            <a:rPr lang="en-US" sz="1000"/>
            <a:t>              up</a:t>
          </a:r>
          <a:r>
            <a:rPr lang="en-US" sz="1000" baseline="0"/>
            <a:t>  21</a:t>
          </a:r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0000"/>
  </sheetPr>
  <dimension ref="A1:AN155"/>
  <sheetViews>
    <sheetView zoomScale="150" zoomScaleNormal="150" workbookViewId="0">
      <selection activeCell="B17" sqref="B17"/>
    </sheetView>
  </sheetViews>
  <sheetFormatPr defaultColWidth="9.81640625" defaultRowHeight="15" x14ac:dyDescent="0.25"/>
  <cols>
    <col min="2" max="5" width="6.81640625" customWidth="1"/>
    <col min="6" max="6" width="8.08984375" customWidth="1"/>
    <col min="7" max="7" width="7.36328125" customWidth="1"/>
    <col min="8" max="9" width="6.81640625" customWidth="1"/>
    <col min="10" max="10" width="7.36328125" customWidth="1"/>
    <col min="11" max="16" width="6.81640625" customWidth="1"/>
    <col min="17" max="17" width="11.90625" customWidth="1"/>
  </cols>
  <sheetData>
    <row r="1" spans="1:40" x14ac:dyDescent="0.2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3"/>
    </row>
    <row r="2" spans="1:40" x14ac:dyDescent="0.2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</row>
    <row r="3" spans="1:40" x14ac:dyDescent="0.25">
      <c r="A3" s="51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</row>
    <row r="4" spans="1:40" ht="15" customHeight="1" x14ac:dyDescent="0.25">
      <c r="A4" s="52"/>
      <c r="B4" s="54" t="s">
        <v>3</v>
      </c>
      <c r="C4" s="54"/>
      <c r="D4" s="54" t="s">
        <v>4</v>
      </c>
      <c r="E4" s="54"/>
      <c r="F4" s="54" t="s">
        <v>5</v>
      </c>
      <c r="G4" s="54"/>
      <c r="H4" s="54" t="s">
        <v>6</v>
      </c>
      <c r="I4" s="54"/>
      <c r="J4" s="54" t="s">
        <v>7</v>
      </c>
      <c r="K4" s="54"/>
      <c r="L4" s="54" t="s">
        <v>8</v>
      </c>
      <c r="M4" s="52"/>
      <c r="N4" s="52" t="s">
        <v>9</v>
      </c>
      <c r="O4" s="52"/>
      <c r="P4" s="52" t="s">
        <v>10</v>
      </c>
      <c r="Q4" s="52"/>
      <c r="R4" s="53"/>
    </row>
    <row r="5" spans="1:40" x14ac:dyDescent="0.25">
      <c r="A5" s="52"/>
      <c r="B5" s="54" t="s">
        <v>11</v>
      </c>
      <c r="C5" s="54" t="s">
        <v>12</v>
      </c>
      <c r="D5" s="54" t="s">
        <v>11</v>
      </c>
      <c r="E5" s="54" t="s">
        <v>12</v>
      </c>
      <c r="F5" s="54" t="s">
        <v>11</v>
      </c>
      <c r="G5" s="54" t="s">
        <v>12</v>
      </c>
      <c r="H5" s="54" t="s">
        <v>11</v>
      </c>
      <c r="I5" s="54" t="s">
        <v>12</v>
      </c>
      <c r="J5" s="54" t="s">
        <v>11</v>
      </c>
      <c r="K5" s="54" t="s">
        <v>12</v>
      </c>
      <c r="L5" s="54" t="s">
        <v>11</v>
      </c>
      <c r="M5" s="54" t="s">
        <v>12</v>
      </c>
      <c r="N5" s="54" t="s">
        <v>11</v>
      </c>
      <c r="O5" s="54" t="s">
        <v>12</v>
      </c>
      <c r="P5" s="54" t="s">
        <v>11</v>
      </c>
      <c r="Q5" s="54" t="s">
        <v>12</v>
      </c>
      <c r="R5" s="53"/>
    </row>
    <row r="6" spans="1:40" x14ac:dyDescent="0.25">
      <c r="A6" s="52"/>
      <c r="B6" s="78"/>
      <c r="C6" s="54"/>
      <c r="D6" s="54"/>
      <c r="E6" s="54"/>
      <c r="F6" s="54"/>
      <c r="G6" s="54"/>
      <c r="H6" s="54"/>
      <c r="I6" s="54"/>
      <c r="J6" s="54"/>
      <c r="K6" s="54"/>
      <c r="L6" s="98"/>
      <c r="M6" s="98"/>
      <c r="N6" s="54"/>
      <c r="O6" s="54"/>
      <c r="P6" s="54"/>
      <c r="Q6" s="54"/>
      <c r="R6" s="53"/>
    </row>
    <row r="7" spans="1:40" s="8" customFormat="1" ht="15.6" x14ac:dyDescent="0.3">
      <c r="A7" s="170">
        <v>41032</v>
      </c>
      <c r="B7" s="108">
        <v>1074</v>
      </c>
      <c r="C7" s="108">
        <v>9067</v>
      </c>
      <c r="D7" s="108">
        <v>711</v>
      </c>
      <c r="E7" s="108">
        <v>3621</v>
      </c>
      <c r="F7" s="108">
        <v>874</v>
      </c>
      <c r="G7" s="108">
        <v>5874</v>
      </c>
      <c r="H7" s="108">
        <v>596</v>
      </c>
      <c r="I7" s="108">
        <v>5198</v>
      </c>
      <c r="J7" s="108">
        <v>44</v>
      </c>
      <c r="K7" s="108">
        <v>447</v>
      </c>
      <c r="L7" s="108">
        <v>3299</v>
      </c>
      <c r="M7" s="108">
        <v>24206</v>
      </c>
      <c r="N7" s="108">
        <v>9691</v>
      </c>
      <c r="O7" s="108">
        <v>27837</v>
      </c>
      <c r="P7" s="108">
        <v>5065</v>
      </c>
      <c r="Q7" s="108">
        <v>29419</v>
      </c>
      <c r="R7" s="79">
        <f>P7+N7+L7</f>
        <v>18055</v>
      </c>
      <c r="S7" s="167"/>
    </row>
    <row r="8" spans="1:40" s="8" customFormat="1" ht="15.6" x14ac:dyDescent="0.3">
      <c r="A8" s="170">
        <v>41396</v>
      </c>
      <c r="B8" s="73">
        <v>1406</v>
      </c>
      <c r="C8" s="73">
        <v>8864</v>
      </c>
      <c r="D8" s="73">
        <v>701</v>
      </c>
      <c r="E8" s="73">
        <v>3631</v>
      </c>
      <c r="F8" s="73">
        <v>518</v>
      </c>
      <c r="G8" s="73">
        <v>5495</v>
      </c>
      <c r="H8" s="73">
        <v>245</v>
      </c>
      <c r="I8" s="73">
        <v>4361</v>
      </c>
      <c r="J8" s="73">
        <v>58</v>
      </c>
      <c r="K8" s="73">
        <v>489</v>
      </c>
      <c r="L8" s="175">
        <v>2928</v>
      </c>
      <c r="M8" s="175">
        <v>23840</v>
      </c>
      <c r="N8" s="175">
        <v>4152</v>
      </c>
      <c r="O8" s="175">
        <v>12714</v>
      </c>
      <c r="P8" s="175">
        <v>2111</v>
      </c>
      <c r="Q8" s="175">
        <v>34371</v>
      </c>
      <c r="R8" s="79">
        <f>P8+N8+L8</f>
        <v>9191</v>
      </c>
      <c r="S8" s="185"/>
    </row>
    <row r="9" spans="1:40" x14ac:dyDescent="0.25">
      <c r="A9" s="57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 t="s">
        <v>87</v>
      </c>
      <c r="P9" s="54"/>
      <c r="Q9" s="54"/>
      <c r="R9" s="53"/>
    </row>
    <row r="10" spans="1:40" x14ac:dyDescent="0.25">
      <c r="A10" s="5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3"/>
    </row>
    <row r="11" spans="1:40" x14ac:dyDescent="0.25">
      <c r="A11" s="57" t="s">
        <v>15</v>
      </c>
      <c r="B11" s="54"/>
      <c r="C11" s="54"/>
      <c r="D11" s="54"/>
      <c r="E11" s="54"/>
      <c r="F11" s="54"/>
      <c r="G11" s="54"/>
      <c r="H11" s="54"/>
      <c r="I11" s="54"/>
      <c r="J11" s="184"/>
      <c r="K11" s="184"/>
      <c r="L11" s="159"/>
      <c r="M11" s="159"/>
      <c r="N11" s="159"/>
      <c r="O11" s="159"/>
      <c r="P11" s="159"/>
      <c r="Q11" s="159"/>
      <c r="R11" s="160"/>
      <c r="S11" s="160"/>
      <c r="T11" s="91"/>
    </row>
    <row r="12" spans="1:40" x14ac:dyDescent="0.25">
      <c r="A12" s="57"/>
      <c r="B12" s="54"/>
      <c r="C12" s="54"/>
      <c r="D12" s="54"/>
      <c r="E12" s="54"/>
      <c r="F12" s="54"/>
      <c r="G12" s="54"/>
      <c r="H12" s="54"/>
      <c r="I12" s="54"/>
      <c r="J12" s="184"/>
      <c r="L12" s="177"/>
      <c r="M12" s="177"/>
      <c r="N12" s="159"/>
      <c r="O12" s="158"/>
      <c r="P12" s="159"/>
      <c r="Q12" s="159"/>
      <c r="R12" s="160"/>
      <c r="S12" s="160"/>
      <c r="T12" s="160"/>
      <c r="U12" s="157"/>
      <c r="V12" s="157"/>
    </row>
    <row r="13" spans="1:40" x14ac:dyDescent="0.25">
      <c r="G13" s="2"/>
      <c r="H13" s="172"/>
      <c r="I13" s="172"/>
      <c r="J13" s="173"/>
      <c r="K13" s="183"/>
      <c r="L13" s="177"/>
      <c r="M13" s="158"/>
      <c r="N13" s="172"/>
      <c r="O13" s="158"/>
      <c r="P13" s="161"/>
      <c r="Q13" s="161"/>
      <c r="R13" s="160"/>
      <c r="S13" s="160"/>
      <c r="T13" s="160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</row>
    <row r="14" spans="1:40" x14ac:dyDescent="0.25">
      <c r="G14" s="2"/>
      <c r="H14" s="178"/>
      <c r="I14" s="183"/>
      <c r="J14" s="172"/>
      <c r="K14" s="183"/>
      <c r="L14" s="177"/>
      <c r="M14" s="158"/>
      <c r="N14" s="172"/>
      <c r="O14" s="158"/>
      <c r="P14" s="161"/>
      <c r="Q14" s="161"/>
      <c r="R14" s="160"/>
      <c r="S14" s="160"/>
      <c r="T14" s="160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</row>
    <row r="15" spans="1:40" x14ac:dyDescent="0.25">
      <c r="G15" s="2"/>
      <c r="H15" s="178"/>
      <c r="I15" s="172"/>
      <c r="J15" s="172"/>
      <c r="K15" s="183"/>
      <c r="L15" s="172"/>
      <c r="M15" s="158"/>
      <c r="N15" s="172"/>
      <c r="O15" s="158"/>
      <c r="P15" s="161"/>
      <c r="Q15" s="161"/>
      <c r="R15" s="160"/>
      <c r="S15" s="160"/>
      <c r="T15" s="160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</row>
    <row r="16" spans="1:40" x14ac:dyDescent="0.25">
      <c r="G16" s="2"/>
      <c r="H16" s="178"/>
      <c r="I16" s="178"/>
      <c r="J16" s="172"/>
      <c r="K16" s="183"/>
      <c r="L16" s="171"/>
      <c r="M16" s="158"/>
      <c r="N16" s="172"/>
      <c r="O16" s="158"/>
      <c r="P16" s="171"/>
      <c r="Q16" s="161"/>
      <c r="R16" s="160"/>
      <c r="S16" s="160"/>
      <c r="T16" s="160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</row>
    <row r="17" spans="1:40" x14ac:dyDescent="0.25">
      <c r="G17" s="2"/>
      <c r="H17" s="172"/>
      <c r="I17" s="178"/>
      <c r="J17" s="172"/>
      <c r="K17" s="183"/>
      <c r="L17" s="171"/>
      <c r="M17" s="158"/>
      <c r="N17" s="172"/>
      <c r="O17" s="158"/>
      <c r="P17" s="171"/>
      <c r="Q17" s="161"/>
      <c r="R17" s="160"/>
      <c r="S17" s="160"/>
      <c r="T17" s="160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</row>
    <row r="18" spans="1:40" ht="9" customHeight="1" x14ac:dyDescent="0.25">
      <c r="G18" s="2"/>
      <c r="H18" s="172"/>
      <c r="I18" s="178"/>
      <c r="J18" s="172"/>
      <c r="K18" s="183"/>
      <c r="L18" s="161"/>
      <c r="M18" s="158"/>
      <c r="N18" s="172"/>
      <c r="O18" s="158"/>
      <c r="P18" s="161"/>
      <c r="Q18" s="161"/>
      <c r="R18" s="160"/>
      <c r="S18" s="160"/>
      <c r="T18" s="160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</row>
    <row r="19" spans="1:40" x14ac:dyDescent="0.25">
      <c r="G19" s="2"/>
      <c r="H19" s="172"/>
      <c r="I19" s="172"/>
      <c r="J19" s="172"/>
      <c r="K19" s="183"/>
      <c r="L19" s="161"/>
      <c r="M19" s="158"/>
      <c r="N19" s="172"/>
      <c r="O19" s="158"/>
      <c r="P19" s="161"/>
      <c r="Q19" s="161"/>
      <c r="R19" s="160"/>
      <c r="S19" s="160"/>
      <c r="T19" s="160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</row>
    <row r="20" spans="1:40" x14ac:dyDescent="0.25">
      <c r="G20" s="2"/>
      <c r="H20" s="172"/>
      <c r="I20" s="172"/>
      <c r="J20" s="172"/>
      <c r="K20" s="183"/>
      <c r="L20" s="161"/>
      <c r="M20" s="158"/>
      <c r="N20" s="172"/>
      <c r="O20" s="158"/>
      <c r="P20" s="161"/>
      <c r="Q20" s="161"/>
      <c r="R20" s="160"/>
      <c r="S20" s="160"/>
      <c r="T20" s="160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</row>
    <row r="21" spans="1:40" x14ac:dyDescent="0.25">
      <c r="G21" s="2"/>
      <c r="H21" s="172"/>
      <c r="I21" s="172"/>
      <c r="J21" s="172"/>
      <c r="K21" s="183"/>
      <c r="L21" s="161"/>
      <c r="M21" s="158"/>
      <c r="N21" s="172"/>
      <c r="O21" s="158"/>
      <c r="P21" s="161"/>
      <c r="Q21" s="161"/>
      <c r="R21" s="160"/>
      <c r="S21" s="160"/>
      <c r="T21" s="160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</row>
    <row r="22" spans="1:40" x14ac:dyDescent="0.25">
      <c r="G22" s="2"/>
      <c r="H22" s="172"/>
      <c r="I22" s="172"/>
      <c r="J22" s="172"/>
      <c r="K22" s="183"/>
      <c r="L22" s="161"/>
      <c r="M22" s="158"/>
      <c r="N22" s="172"/>
      <c r="O22" s="158"/>
      <c r="P22" s="161"/>
      <c r="Q22" s="161"/>
      <c r="R22" s="162"/>
      <c r="S22" s="162"/>
      <c r="T22" s="160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</row>
    <row r="23" spans="1:40" x14ac:dyDescent="0.25">
      <c r="G23" s="2"/>
      <c r="H23" s="172"/>
      <c r="I23" s="172"/>
      <c r="J23" s="172"/>
      <c r="K23" s="183"/>
      <c r="L23" s="161"/>
      <c r="M23" s="158"/>
      <c r="N23" s="172"/>
      <c r="O23" s="176"/>
      <c r="P23" s="161"/>
      <c r="Q23" s="161"/>
      <c r="R23" s="162"/>
      <c r="S23" s="162"/>
      <c r="T23" s="160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</row>
    <row r="24" spans="1:40" x14ac:dyDescent="0.25">
      <c r="G24" s="2"/>
      <c r="H24" s="172"/>
      <c r="I24" s="172"/>
      <c r="J24" s="172"/>
      <c r="K24" s="183"/>
      <c r="L24" s="161"/>
      <c r="M24" s="158"/>
      <c r="N24" s="172"/>
      <c r="O24" s="176"/>
      <c r="P24" s="161"/>
      <c r="Q24" s="161"/>
      <c r="R24" s="162"/>
      <c r="S24" s="162"/>
      <c r="T24" s="160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</row>
    <row r="25" spans="1:40" x14ac:dyDescent="0.25">
      <c r="A25" s="82"/>
      <c r="G25" s="2"/>
      <c r="H25" s="172"/>
      <c r="I25" s="172"/>
      <c r="J25" s="172"/>
      <c r="K25" s="183"/>
      <c r="L25" s="161"/>
      <c r="M25" s="158"/>
      <c r="N25" s="172"/>
      <c r="O25" s="176"/>
      <c r="P25" s="161"/>
      <c r="Q25" s="161"/>
      <c r="R25" s="160"/>
      <c r="S25" s="160"/>
      <c r="T25" s="160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</row>
    <row r="26" spans="1:40" x14ac:dyDescent="0.25">
      <c r="A26" s="82"/>
      <c r="G26" s="2"/>
      <c r="H26" s="172"/>
      <c r="I26" s="172"/>
      <c r="J26" s="172"/>
      <c r="K26" s="183"/>
      <c r="L26" s="161"/>
      <c r="M26" s="158"/>
      <c r="N26" s="172"/>
      <c r="O26" s="176"/>
      <c r="P26" s="161"/>
      <c r="Q26" s="161"/>
      <c r="R26" s="160"/>
      <c r="S26" s="160"/>
      <c r="T26" s="160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</row>
    <row r="27" spans="1:40" x14ac:dyDescent="0.25">
      <c r="A27" s="82"/>
      <c r="G27" s="2"/>
      <c r="H27" s="172"/>
      <c r="I27" s="172"/>
      <c r="J27" s="172"/>
      <c r="K27" s="183"/>
      <c r="L27" s="161"/>
      <c r="M27" s="158"/>
      <c r="N27" s="172"/>
      <c r="O27" s="176"/>
      <c r="P27" s="161"/>
      <c r="Q27" s="161"/>
      <c r="R27" s="160"/>
      <c r="S27" s="160"/>
      <c r="T27" s="160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</row>
    <row r="28" spans="1:40" x14ac:dyDescent="0.25">
      <c r="A28" s="82"/>
      <c r="G28" s="2"/>
      <c r="H28" s="172"/>
      <c r="I28" s="172"/>
      <c r="J28" s="172"/>
      <c r="K28" s="183"/>
      <c r="L28" s="161"/>
      <c r="M28" s="158"/>
      <c r="N28" s="172"/>
      <c r="O28" s="176"/>
      <c r="P28" s="161"/>
      <c r="Q28" s="161"/>
      <c r="R28" s="160"/>
      <c r="S28" s="160"/>
      <c r="T28" s="160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</row>
    <row r="29" spans="1:40" x14ac:dyDescent="0.25">
      <c r="A29" s="82"/>
      <c r="G29" s="2"/>
      <c r="H29" s="172"/>
      <c r="I29" s="172"/>
      <c r="J29" s="172"/>
      <c r="K29" s="183"/>
      <c r="L29" s="161"/>
      <c r="M29" s="158"/>
      <c r="N29" s="172"/>
      <c r="O29" s="176"/>
      <c r="P29" s="161"/>
      <c r="Q29" s="161"/>
      <c r="R29" s="160"/>
      <c r="S29" s="160"/>
      <c r="T29" s="160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</row>
    <row r="30" spans="1:40" x14ac:dyDescent="0.25">
      <c r="A30" s="82"/>
      <c r="G30" s="2"/>
      <c r="H30" s="172"/>
      <c r="I30" s="172"/>
      <c r="J30" s="172"/>
      <c r="K30" s="183"/>
      <c r="L30" s="161"/>
      <c r="M30" s="158"/>
      <c r="N30" s="172"/>
      <c r="O30" s="176"/>
      <c r="P30" s="161"/>
      <c r="Q30" s="161"/>
      <c r="R30" s="160"/>
      <c r="S30" s="160"/>
      <c r="T30" s="160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</row>
    <row r="31" spans="1:40" x14ac:dyDescent="0.25">
      <c r="A31" s="82"/>
      <c r="C31" s="97"/>
      <c r="G31" s="2"/>
      <c r="H31" s="172"/>
      <c r="I31" s="172"/>
      <c r="J31" s="172"/>
      <c r="K31" s="183"/>
      <c r="L31" s="161"/>
      <c r="M31" s="158"/>
      <c r="N31" s="172"/>
      <c r="O31" s="176"/>
      <c r="P31" s="161"/>
      <c r="Q31" s="161"/>
      <c r="R31" s="160"/>
      <c r="S31" s="160"/>
      <c r="T31" s="160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</row>
    <row r="32" spans="1:40" x14ac:dyDescent="0.25">
      <c r="A32" s="82"/>
      <c r="C32" s="97"/>
      <c r="G32" s="2"/>
      <c r="H32" s="172"/>
      <c r="I32" s="172"/>
      <c r="J32" s="172"/>
      <c r="K32" s="183"/>
      <c r="L32" s="161"/>
      <c r="M32" s="158"/>
      <c r="N32" s="172"/>
      <c r="O32" s="158"/>
      <c r="P32" s="161"/>
      <c r="Q32" s="161"/>
      <c r="R32" s="160"/>
      <c r="S32" s="160"/>
      <c r="T32" s="160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</row>
    <row r="33" spans="1:40" x14ac:dyDescent="0.25">
      <c r="A33" s="82"/>
      <c r="G33" s="2"/>
      <c r="H33" s="172"/>
      <c r="I33" s="172"/>
      <c r="J33" s="172"/>
      <c r="K33" s="183"/>
      <c r="L33" s="161"/>
      <c r="M33" s="158"/>
      <c r="N33" s="172"/>
      <c r="O33" s="158"/>
      <c r="P33" s="161"/>
      <c r="Q33" s="161"/>
      <c r="R33" s="160"/>
      <c r="S33" s="160"/>
      <c r="T33" s="160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</row>
    <row r="34" spans="1:40" x14ac:dyDescent="0.25">
      <c r="A34" s="82"/>
      <c r="G34" s="2"/>
      <c r="H34" s="172"/>
      <c r="I34" s="172"/>
      <c r="J34" s="172"/>
      <c r="K34" s="183"/>
      <c r="L34" s="161"/>
      <c r="M34" s="158"/>
      <c r="N34" s="172"/>
      <c r="O34" s="158"/>
      <c r="P34" s="161"/>
      <c r="Q34" s="161"/>
      <c r="R34" s="160"/>
      <c r="S34" s="160"/>
      <c r="T34" s="160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</row>
    <row r="35" spans="1:40" x14ac:dyDescent="0.25">
      <c r="A35" s="82"/>
      <c r="C35" s="97"/>
      <c r="G35" s="2"/>
      <c r="H35" s="172"/>
      <c r="I35" s="172"/>
      <c r="J35" s="172"/>
      <c r="K35" s="183"/>
      <c r="L35" s="161"/>
      <c r="M35" s="158"/>
      <c r="N35" s="172"/>
      <c r="O35" s="158"/>
      <c r="P35" s="161"/>
      <c r="Q35" s="161"/>
      <c r="R35" s="160"/>
      <c r="S35" s="160"/>
      <c r="T35" s="160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</row>
    <row r="36" spans="1:40" x14ac:dyDescent="0.25">
      <c r="A36" s="82"/>
      <c r="C36" s="97"/>
      <c r="G36" s="2"/>
      <c r="H36" s="172"/>
      <c r="I36" s="172"/>
      <c r="J36" s="172"/>
      <c r="K36" s="183"/>
      <c r="L36" s="161"/>
      <c r="M36" s="158"/>
      <c r="N36" s="172"/>
      <c r="O36" s="158"/>
      <c r="P36" s="161"/>
      <c r="Q36" s="161"/>
      <c r="R36" s="160"/>
      <c r="S36" s="160"/>
      <c r="T36" s="160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</row>
    <row r="37" spans="1:40" x14ac:dyDescent="0.25">
      <c r="A37" s="82"/>
      <c r="G37" s="2"/>
      <c r="H37" s="172"/>
      <c r="I37" s="172"/>
      <c r="J37" s="172"/>
      <c r="K37" s="183"/>
      <c r="L37" s="161"/>
      <c r="M37" s="158"/>
      <c r="N37" s="172"/>
      <c r="O37" s="158"/>
      <c r="P37" s="161"/>
      <c r="Q37" s="161"/>
      <c r="R37" s="160"/>
      <c r="S37" s="160"/>
      <c r="T37" s="160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</row>
    <row r="38" spans="1:40" x14ac:dyDescent="0.25">
      <c r="A38" s="82"/>
      <c r="G38" s="2"/>
      <c r="H38" s="172"/>
      <c r="I38" s="172"/>
      <c r="J38" s="172"/>
      <c r="K38" s="183"/>
      <c r="L38" s="161"/>
      <c r="M38" s="158"/>
      <c r="N38" s="172"/>
      <c r="O38" s="158"/>
      <c r="P38" s="161"/>
      <c r="Q38" s="161"/>
      <c r="R38" s="160"/>
      <c r="S38" s="160"/>
      <c r="T38" s="160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</row>
    <row r="39" spans="1:40" x14ac:dyDescent="0.25">
      <c r="A39" s="82"/>
      <c r="C39" s="97"/>
      <c r="G39" s="2"/>
      <c r="H39" s="172"/>
      <c r="I39" s="172"/>
      <c r="J39" s="173"/>
      <c r="K39" s="183"/>
      <c r="L39" s="161"/>
      <c r="M39" s="158"/>
      <c r="N39" s="172"/>
      <c r="O39" s="158"/>
      <c r="P39" s="161"/>
      <c r="Q39" s="161"/>
      <c r="R39" s="160"/>
      <c r="S39" s="160"/>
      <c r="T39" s="160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</row>
    <row r="40" spans="1:40" x14ac:dyDescent="0.25">
      <c r="A40" s="82"/>
      <c r="C40" s="97"/>
      <c r="G40" s="2"/>
      <c r="H40" s="172"/>
      <c r="I40" s="172"/>
      <c r="J40" s="173"/>
      <c r="K40" s="183"/>
      <c r="L40" s="161"/>
      <c r="M40" s="158"/>
      <c r="N40" s="172"/>
      <c r="O40" s="158"/>
      <c r="P40" s="161"/>
      <c r="Q40" s="161"/>
      <c r="R40" s="160"/>
      <c r="S40" s="160"/>
      <c r="T40" s="160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</row>
    <row r="41" spans="1:40" x14ac:dyDescent="0.25">
      <c r="A41" s="82"/>
      <c r="G41" s="2"/>
      <c r="H41" s="172"/>
      <c r="I41" s="172"/>
      <c r="J41" s="173"/>
      <c r="K41" s="183"/>
      <c r="L41" s="161"/>
      <c r="M41" s="158"/>
      <c r="N41" s="172"/>
      <c r="O41" s="158"/>
      <c r="P41" s="161"/>
      <c r="Q41" s="161"/>
      <c r="R41" s="160"/>
      <c r="S41" s="160"/>
      <c r="T41" s="160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</row>
    <row r="42" spans="1:40" x14ac:dyDescent="0.25">
      <c r="A42" s="82"/>
      <c r="G42" s="2"/>
      <c r="H42" s="172"/>
      <c r="I42" s="172"/>
      <c r="J42" s="173"/>
      <c r="K42" s="183"/>
      <c r="L42" s="161"/>
      <c r="M42" s="158"/>
      <c r="N42" s="172"/>
      <c r="O42" s="158"/>
      <c r="P42" s="161"/>
      <c r="Q42" s="161"/>
      <c r="R42" s="160"/>
      <c r="S42" s="160"/>
      <c r="T42" s="160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</row>
    <row r="43" spans="1:40" x14ac:dyDescent="0.25">
      <c r="A43" s="82"/>
      <c r="C43" s="97"/>
      <c r="G43" s="2"/>
      <c r="H43" s="172"/>
      <c r="I43" s="172"/>
      <c r="J43" s="173"/>
      <c r="K43" s="183"/>
      <c r="L43" s="161"/>
      <c r="M43" s="158"/>
      <c r="N43" s="172"/>
      <c r="O43" s="158"/>
      <c r="P43" s="161"/>
      <c r="Q43" s="161"/>
      <c r="R43" s="160"/>
      <c r="S43" s="160"/>
      <c r="T43" s="160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</row>
    <row r="44" spans="1:40" x14ac:dyDescent="0.25">
      <c r="A44" s="82"/>
      <c r="C44" s="97"/>
      <c r="G44" s="1"/>
      <c r="H44" s="172"/>
      <c r="I44" s="172"/>
      <c r="J44" s="179"/>
      <c r="K44" s="183"/>
      <c r="L44" s="163"/>
      <c r="M44" s="158"/>
      <c r="N44" s="172"/>
      <c r="O44" s="158"/>
      <c r="P44" s="163"/>
      <c r="Q44" s="163"/>
      <c r="R44" s="160"/>
      <c r="S44" s="160"/>
      <c r="T44" s="160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</row>
    <row r="45" spans="1:40" x14ac:dyDescent="0.25">
      <c r="A45" s="82"/>
      <c r="G45" s="1"/>
      <c r="H45" s="172"/>
      <c r="I45" s="172"/>
      <c r="J45" s="179"/>
      <c r="K45" s="183"/>
      <c r="L45" s="163"/>
      <c r="M45" s="158"/>
      <c r="N45" s="172"/>
      <c r="O45" s="158"/>
      <c r="P45" s="163"/>
      <c r="Q45" s="163"/>
      <c r="R45" s="160"/>
      <c r="S45" s="160"/>
      <c r="T45" s="160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</row>
    <row r="46" spans="1:40" x14ac:dyDescent="0.25">
      <c r="A46" s="82"/>
      <c r="G46" s="1"/>
      <c r="H46" s="172"/>
      <c r="I46" s="172"/>
      <c r="J46" s="179"/>
      <c r="K46" s="183"/>
      <c r="L46" s="163"/>
      <c r="M46" s="158"/>
      <c r="N46" s="172"/>
      <c r="O46" s="158"/>
      <c r="P46" s="163"/>
      <c r="Q46" s="163"/>
      <c r="R46" s="160"/>
      <c r="S46" s="160"/>
      <c r="T46" s="160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</row>
    <row r="47" spans="1:40" x14ac:dyDescent="0.25">
      <c r="A47" s="82"/>
      <c r="C47" s="97"/>
      <c r="G47" s="1"/>
      <c r="H47" s="172"/>
      <c r="I47" s="172"/>
      <c r="J47" s="179"/>
      <c r="K47" s="183"/>
      <c r="L47" s="163"/>
      <c r="M47" s="158"/>
      <c r="N47" s="172"/>
      <c r="O47" s="158"/>
      <c r="P47" s="163"/>
      <c r="Q47" s="163"/>
      <c r="R47" s="160"/>
      <c r="S47" s="160"/>
      <c r="T47" s="160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</row>
    <row r="48" spans="1:40" x14ac:dyDescent="0.25">
      <c r="A48" s="82"/>
      <c r="C48" s="97"/>
      <c r="G48" s="1"/>
      <c r="H48" s="172"/>
      <c r="I48" s="172"/>
      <c r="J48" s="179"/>
      <c r="K48" s="183"/>
      <c r="L48" s="163"/>
      <c r="M48" s="158"/>
      <c r="N48" s="172"/>
      <c r="O48" s="158"/>
      <c r="P48" s="163"/>
      <c r="Q48" s="163"/>
      <c r="R48" s="160"/>
      <c r="S48" s="160"/>
      <c r="T48" s="160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</row>
    <row r="49" spans="1:40" x14ac:dyDescent="0.25">
      <c r="A49" s="82"/>
      <c r="G49" s="4"/>
      <c r="H49" s="172"/>
      <c r="I49" s="172"/>
      <c r="J49" s="179"/>
      <c r="K49" s="183"/>
      <c r="L49" s="163"/>
      <c r="M49" s="158"/>
      <c r="N49" s="172"/>
      <c r="O49" s="158"/>
      <c r="P49" s="163"/>
      <c r="Q49" s="163"/>
      <c r="R49" s="160"/>
      <c r="S49" s="160"/>
      <c r="T49" s="160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</row>
    <row r="50" spans="1:40" x14ac:dyDescent="0.25">
      <c r="A50" s="82"/>
      <c r="G50" s="4"/>
      <c r="H50" s="172"/>
      <c r="I50" s="172"/>
      <c r="J50" s="179"/>
      <c r="K50" s="183"/>
      <c r="L50" s="163"/>
      <c r="M50" s="158"/>
      <c r="N50" s="172"/>
      <c r="O50" s="158"/>
      <c r="P50" s="163"/>
      <c r="Q50" s="163"/>
      <c r="R50" s="160"/>
      <c r="S50" s="160"/>
      <c r="T50" s="160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</row>
    <row r="51" spans="1:40" x14ac:dyDescent="0.25">
      <c r="A51" s="82"/>
      <c r="C51" s="97"/>
      <c r="G51" s="4"/>
      <c r="H51" s="172"/>
      <c r="I51" s="172"/>
      <c r="J51" s="179"/>
      <c r="K51" s="183"/>
      <c r="L51" s="163"/>
      <c r="M51" s="158"/>
      <c r="N51" s="172"/>
      <c r="O51" s="158"/>
      <c r="P51" s="163"/>
      <c r="Q51" s="163"/>
      <c r="R51" s="160"/>
      <c r="S51" s="160"/>
      <c r="T51" s="160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</row>
    <row r="52" spans="1:40" x14ac:dyDescent="0.25">
      <c r="A52" s="82"/>
      <c r="C52" s="97"/>
      <c r="G52" s="4"/>
      <c r="H52" s="172"/>
      <c r="I52" s="172"/>
      <c r="J52" s="179"/>
      <c r="K52" s="183"/>
      <c r="L52" s="163"/>
      <c r="M52" s="158"/>
      <c r="N52" s="172"/>
      <c r="O52" s="158"/>
      <c r="P52" s="163"/>
      <c r="Q52" s="163"/>
      <c r="R52" s="160"/>
      <c r="S52" s="160"/>
      <c r="T52" s="160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</row>
    <row r="53" spans="1:40" x14ac:dyDescent="0.25">
      <c r="A53" s="82"/>
      <c r="G53" s="4"/>
      <c r="H53" s="172"/>
      <c r="I53" s="172"/>
      <c r="J53" s="179"/>
      <c r="K53" s="183"/>
      <c r="L53" s="163"/>
      <c r="M53" s="158"/>
      <c r="N53" s="172"/>
      <c r="O53" s="158"/>
      <c r="P53" s="163"/>
      <c r="Q53" s="163"/>
      <c r="R53" s="160"/>
      <c r="S53" s="160"/>
      <c r="T53" s="160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</row>
    <row r="54" spans="1:40" x14ac:dyDescent="0.25">
      <c r="G54" s="4"/>
      <c r="H54" s="172"/>
      <c r="I54" s="172"/>
      <c r="J54" s="179"/>
      <c r="K54" s="183"/>
      <c r="L54" s="163"/>
      <c r="M54" s="158"/>
      <c r="N54" s="172"/>
      <c r="O54" s="158"/>
      <c r="P54" s="163"/>
      <c r="Q54" s="163"/>
      <c r="R54" s="160"/>
      <c r="S54" s="160"/>
      <c r="T54" s="160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</row>
    <row r="55" spans="1:40" x14ac:dyDescent="0.25">
      <c r="G55" s="4"/>
      <c r="H55" s="172"/>
      <c r="I55" s="172"/>
      <c r="J55" s="179"/>
      <c r="K55" s="183"/>
      <c r="L55" s="163"/>
      <c r="M55" s="158"/>
      <c r="N55" s="172"/>
      <c r="O55" s="158"/>
      <c r="P55" s="163"/>
      <c r="Q55" s="163"/>
      <c r="R55" s="160"/>
      <c r="S55" s="160"/>
      <c r="T55" s="160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</row>
    <row r="56" spans="1:40" x14ac:dyDescent="0.25">
      <c r="G56" s="4"/>
      <c r="H56" s="172"/>
      <c r="I56" s="172"/>
      <c r="J56" s="179"/>
      <c r="K56" s="183"/>
      <c r="L56" s="163"/>
      <c r="M56" s="158"/>
      <c r="N56" s="172"/>
      <c r="O56" s="158"/>
      <c r="P56" s="163"/>
      <c r="Q56" s="163"/>
      <c r="R56" s="160"/>
      <c r="S56" s="160"/>
      <c r="T56" s="160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</row>
    <row r="57" spans="1:40" x14ac:dyDescent="0.25">
      <c r="G57" s="4"/>
      <c r="H57" s="172"/>
      <c r="I57" s="172"/>
      <c r="J57" s="179"/>
      <c r="K57" s="183"/>
      <c r="L57" s="163"/>
      <c r="M57" s="158"/>
      <c r="N57" s="172"/>
      <c r="O57" s="158"/>
      <c r="P57" s="163"/>
      <c r="Q57" s="163"/>
      <c r="R57" s="160"/>
      <c r="S57" s="160"/>
      <c r="T57" s="160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</row>
    <row r="58" spans="1:40" x14ac:dyDescent="0.25">
      <c r="G58" s="4"/>
      <c r="H58" s="172"/>
      <c r="I58" s="172"/>
      <c r="J58" s="179"/>
      <c r="K58" s="183"/>
      <c r="L58" s="163"/>
      <c r="M58" s="158"/>
      <c r="N58" s="172"/>
      <c r="O58" s="158"/>
      <c r="P58" s="163"/>
      <c r="Q58" s="163"/>
      <c r="R58" s="160"/>
      <c r="S58" s="160"/>
      <c r="T58" s="160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</row>
    <row r="59" spans="1:40" x14ac:dyDescent="0.25">
      <c r="G59" s="4"/>
      <c r="H59" s="172"/>
      <c r="I59" s="172"/>
      <c r="J59" s="179"/>
      <c r="K59" s="183"/>
      <c r="L59" s="163"/>
      <c r="M59" s="158"/>
      <c r="N59" s="172"/>
      <c r="O59" s="158"/>
      <c r="P59" s="163"/>
      <c r="Q59" s="163"/>
      <c r="R59" s="160"/>
      <c r="S59" s="160"/>
      <c r="T59" s="160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</row>
    <row r="60" spans="1:40" x14ac:dyDescent="0.25">
      <c r="G60" s="4"/>
      <c r="H60" s="172"/>
      <c r="I60" s="172"/>
      <c r="J60" s="179"/>
      <c r="K60" s="183"/>
      <c r="L60" s="163"/>
      <c r="M60" s="158"/>
      <c r="N60" s="172"/>
      <c r="O60" s="158"/>
      <c r="P60" s="163"/>
      <c r="Q60" s="163"/>
      <c r="R60" s="160"/>
      <c r="S60" s="160"/>
      <c r="T60" s="160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</row>
    <row r="61" spans="1:40" x14ac:dyDescent="0.25">
      <c r="G61" s="4"/>
      <c r="H61" s="172"/>
      <c r="I61" s="172"/>
      <c r="J61" s="179"/>
      <c r="K61" s="183"/>
      <c r="L61" s="163"/>
      <c r="M61" s="158"/>
      <c r="N61" s="172"/>
      <c r="O61" s="158"/>
      <c r="P61" s="163"/>
      <c r="Q61" s="163"/>
      <c r="R61" s="160"/>
      <c r="S61" s="160"/>
      <c r="T61" s="160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</row>
    <row r="62" spans="1:40" x14ac:dyDescent="0.25">
      <c r="G62" s="4"/>
      <c r="H62" s="172"/>
      <c r="I62" s="172"/>
      <c r="J62" s="179"/>
      <c r="K62" s="183"/>
      <c r="L62" s="163"/>
      <c r="M62" s="158"/>
      <c r="N62" s="172"/>
      <c r="O62" s="158"/>
      <c r="P62" s="163"/>
      <c r="Q62" s="163"/>
      <c r="R62" s="160"/>
      <c r="S62" s="160"/>
      <c r="T62" s="160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</row>
    <row r="63" spans="1:40" x14ac:dyDescent="0.25">
      <c r="G63" s="4"/>
      <c r="H63" s="172"/>
      <c r="I63" s="172"/>
      <c r="J63" s="179"/>
      <c r="K63" s="183"/>
      <c r="L63" s="163"/>
      <c r="M63" s="158"/>
      <c r="N63" s="172"/>
      <c r="O63" s="158"/>
      <c r="P63" s="163"/>
      <c r="Q63" s="163"/>
      <c r="R63" s="160"/>
      <c r="S63" s="160"/>
      <c r="T63" s="160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</row>
    <row r="64" spans="1:40" x14ac:dyDescent="0.25">
      <c r="G64" s="4"/>
      <c r="H64" s="172"/>
      <c r="I64" s="172"/>
      <c r="J64" s="179"/>
      <c r="K64" s="183"/>
      <c r="L64" s="163"/>
      <c r="M64" s="158"/>
      <c r="N64" s="172"/>
      <c r="O64" s="158"/>
      <c r="P64" s="163"/>
      <c r="Q64" s="163"/>
      <c r="R64" s="160"/>
      <c r="S64" s="160"/>
      <c r="T64" s="160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</row>
    <row r="65" spans="7:40" x14ac:dyDescent="0.25">
      <c r="G65" s="4"/>
      <c r="H65" s="172"/>
      <c r="I65" s="172"/>
      <c r="J65" s="179"/>
      <c r="K65" s="183"/>
      <c r="L65" s="163"/>
      <c r="M65" s="158"/>
      <c r="N65" s="172"/>
      <c r="O65" s="158"/>
      <c r="P65" s="163"/>
      <c r="Q65" s="163"/>
      <c r="R65" s="160"/>
      <c r="S65" s="160"/>
      <c r="T65" s="160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</row>
    <row r="66" spans="7:40" x14ac:dyDescent="0.25">
      <c r="G66" s="4"/>
      <c r="H66" s="172"/>
      <c r="I66" s="172"/>
      <c r="J66" s="179"/>
      <c r="K66" s="183"/>
      <c r="L66" s="163"/>
      <c r="M66" s="158"/>
      <c r="N66" s="172"/>
      <c r="O66" s="158"/>
      <c r="P66" s="163"/>
      <c r="Q66" s="163"/>
      <c r="R66" s="160"/>
      <c r="S66" s="160"/>
      <c r="T66" s="160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</row>
    <row r="67" spans="7:40" x14ac:dyDescent="0.25">
      <c r="G67" s="4"/>
      <c r="H67" s="172"/>
      <c r="I67" s="172"/>
      <c r="J67" s="179"/>
      <c r="K67" s="183"/>
      <c r="L67" s="163"/>
      <c r="M67" s="158"/>
      <c r="N67" s="172"/>
      <c r="O67" s="158"/>
      <c r="P67" s="163"/>
      <c r="Q67" s="163"/>
      <c r="R67" s="160"/>
      <c r="S67" s="160"/>
      <c r="T67" s="160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</row>
    <row r="68" spans="7:40" x14ac:dyDescent="0.25">
      <c r="G68" s="4"/>
      <c r="H68" s="172"/>
      <c r="I68" s="172"/>
      <c r="J68" s="189"/>
      <c r="K68" s="187"/>
      <c r="L68" s="189"/>
      <c r="M68" s="188"/>
      <c r="N68" s="188"/>
      <c r="O68" s="188"/>
      <c r="P68" s="163"/>
      <c r="Q68" s="163"/>
      <c r="R68" s="160"/>
      <c r="S68" s="160"/>
      <c r="T68" s="160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</row>
    <row r="69" spans="7:40" x14ac:dyDescent="0.25">
      <c r="G69" s="4"/>
      <c r="H69" s="172"/>
      <c r="I69" s="172"/>
      <c r="J69" s="189"/>
      <c r="K69" s="187"/>
      <c r="L69" s="189"/>
      <c r="M69" s="188"/>
      <c r="N69" s="188"/>
      <c r="O69" s="188"/>
      <c r="P69" s="163"/>
      <c r="Q69" s="163"/>
      <c r="R69" s="160"/>
      <c r="S69" s="160"/>
      <c r="T69" s="160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</row>
    <row r="70" spans="7:40" x14ac:dyDescent="0.25">
      <c r="G70" s="4"/>
      <c r="H70" s="172"/>
      <c r="I70" s="172"/>
      <c r="J70" s="179"/>
      <c r="K70" s="183"/>
      <c r="L70" s="163"/>
      <c r="M70" s="158"/>
      <c r="N70" s="172"/>
      <c r="O70" s="158"/>
      <c r="P70" s="163"/>
      <c r="Q70" s="163"/>
      <c r="R70" s="160"/>
      <c r="S70" s="160"/>
      <c r="T70" s="160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</row>
    <row r="71" spans="7:40" x14ac:dyDescent="0.25">
      <c r="G71" s="4"/>
      <c r="H71" s="172"/>
      <c r="I71" s="172"/>
      <c r="J71" s="179"/>
      <c r="K71" s="183"/>
      <c r="L71" s="163"/>
      <c r="M71" s="158"/>
      <c r="N71" s="172"/>
      <c r="O71" s="158"/>
      <c r="P71" s="163"/>
      <c r="Q71" s="163"/>
      <c r="R71" s="160"/>
      <c r="S71" s="160"/>
      <c r="T71" s="160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</row>
    <row r="72" spans="7:40" x14ac:dyDescent="0.25">
      <c r="G72" s="4"/>
      <c r="H72" s="172"/>
      <c r="I72" s="172"/>
      <c r="J72" s="179"/>
      <c r="K72" s="183"/>
      <c r="L72" s="163"/>
      <c r="M72" s="158"/>
      <c r="N72" s="172"/>
      <c r="O72" s="158"/>
      <c r="P72" s="163"/>
      <c r="Q72" s="163"/>
      <c r="R72" s="160"/>
      <c r="S72" s="160"/>
      <c r="T72" s="160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</row>
    <row r="73" spans="7:40" x14ac:dyDescent="0.25">
      <c r="G73" s="4"/>
      <c r="H73" s="172"/>
      <c r="I73" s="172"/>
      <c r="J73" s="179"/>
      <c r="K73" s="183"/>
      <c r="L73" s="163"/>
      <c r="M73" s="158"/>
      <c r="N73" s="172"/>
      <c r="O73" s="158"/>
      <c r="P73" s="163"/>
      <c r="Q73" s="163"/>
      <c r="R73" s="160"/>
      <c r="S73" s="160"/>
      <c r="T73" s="160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</row>
    <row r="74" spans="7:40" x14ac:dyDescent="0.25">
      <c r="G74" s="4"/>
      <c r="H74" s="172"/>
      <c r="I74" s="172"/>
      <c r="J74" s="179"/>
      <c r="K74" s="183"/>
      <c r="L74" s="163"/>
      <c r="M74" s="158"/>
      <c r="N74" s="172"/>
      <c r="O74" s="158"/>
      <c r="P74" s="163"/>
      <c r="Q74" s="163"/>
      <c r="R74" s="160"/>
      <c r="S74" s="160"/>
      <c r="T74" s="160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</row>
    <row r="75" spans="7:40" x14ac:dyDescent="0.25">
      <c r="G75" s="4"/>
      <c r="H75" s="172"/>
      <c r="I75" s="172"/>
      <c r="J75" s="179"/>
      <c r="K75" s="183"/>
      <c r="L75" s="163"/>
      <c r="M75" s="158"/>
      <c r="N75" s="172"/>
      <c r="O75" s="158"/>
      <c r="P75" s="163"/>
      <c r="Q75" s="163"/>
      <c r="R75" s="160"/>
      <c r="S75" s="160"/>
      <c r="T75" s="160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</row>
    <row r="76" spans="7:40" x14ac:dyDescent="0.25">
      <c r="H76" s="172"/>
      <c r="I76" s="172"/>
      <c r="J76" s="157"/>
      <c r="K76" s="183"/>
      <c r="L76" s="160"/>
      <c r="M76" s="158"/>
      <c r="N76" s="172"/>
      <c r="O76" s="158"/>
      <c r="P76" s="160"/>
      <c r="Q76" s="160"/>
      <c r="R76" s="160"/>
      <c r="S76" s="160"/>
      <c r="T76" s="160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</row>
    <row r="77" spans="7:40" x14ac:dyDescent="0.25">
      <c r="H77" s="172"/>
      <c r="I77" s="172"/>
      <c r="J77" s="157"/>
      <c r="K77" s="183"/>
      <c r="L77" s="160"/>
      <c r="M77" s="158"/>
      <c r="N77" s="172"/>
      <c r="O77" s="158"/>
      <c r="P77" s="160"/>
      <c r="Q77" s="160"/>
      <c r="R77" s="160"/>
      <c r="S77" s="160"/>
      <c r="T77" s="160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</row>
    <row r="78" spans="7:40" x14ac:dyDescent="0.25">
      <c r="H78" s="172"/>
      <c r="I78" s="172"/>
      <c r="J78" s="157"/>
      <c r="K78" s="183"/>
      <c r="L78" s="160"/>
      <c r="M78" s="158"/>
      <c r="N78" s="172"/>
      <c r="O78" s="158"/>
      <c r="P78" s="160"/>
      <c r="Q78" s="160"/>
      <c r="R78" s="160"/>
      <c r="S78" s="160"/>
      <c r="T78" s="160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</row>
    <row r="79" spans="7:40" x14ac:dyDescent="0.25">
      <c r="H79" s="172"/>
      <c r="I79" s="172"/>
      <c r="J79" s="157"/>
      <c r="K79" s="183"/>
      <c r="L79" s="160"/>
      <c r="M79" s="158"/>
      <c r="N79" s="172"/>
      <c r="O79" s="160"/>
      <c r="P79" s="160"/>
      <c r="Q79" s="160"/>
      <c r="R79" s="160"/>
      <c r="S79" s="160"/>
      <c r="T79" s="160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</row>
    <row r="80" spans="7:40" x14ac:dyDescent="0.25">
      <c r="H80" s="172"/>
      <c r="I80" s="172"/>
      <c r="J80" s="157"/>
      <c r="K80" s="182"/>
      <c r="L80" s="160"/>
      <c r="M80" s="180"/>
      <c r="N80" s="178"/>
      <c r="O80" s="160"/>
      <c r="P80" s="160"/>
      <c r="Q80" s="160"/>
      <c r="R80" s="160"/>
      <c r="S80" s="160"/>
      <c r="T80" s="160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</row>
    <row r="81" spans="8:40" x14ac:dyDescent="0.25">
      <c r="H81" s="172"/>
      <c r="I81" s="172"/>
      <c r="J81" s="157"/>
      <c r="K81" s="182"/>
      <c r="L81" s="160"/>
      <c r="M81" s="180"/>
      <c r="N81" s="178"/>
      <c r="O81" s="160"/>
      <c r="P81" s="160"/>
      <c r="Q81" s="160"/>
      <c r="R81" s="160"/>
      <c r="S81" s="160"/>
      <c r="T81" s="160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</row>
    <row r="82" spans="8:40" x14ac:dyDescent="0.25">
      <c r="H82" s="172"/>
      <c r="I82" s="172"/>
      <c r="J82" s="157"/>
      <c r="K82" s="182"/>
      <c r="L82" s="160"/>
      <c r="M82" s="180"/>
      <c r="N82" s="178"/>
      <c r="O82" s="160"/>
      <c r="P82" s="160"/>
      <c r="Q82" s="160"/>
      <c r="R82" s="160"/>
      <c r="S82" s="160"/>
      <c r="T82" s="160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</row>
    <row r="83" spans="8:40" x14ac:dyDescent="0.25">
      <c r="H83" s="172"/>
      <c r="I83" s="172"/>
      <c r="J83" s="157"/>
      <c r="K83" s="182"/>
      <c r="L83" s="160"/>
      <c r="M83" s="180"/>
      <c r="N83" s="178"/>
      <c r="O83" s="160"/>
      <c r="P83" s="160"/>
      <c r="Q83" s="160"/>
      <c r="R83" s="160"/>
      <c r="S83" s="160"/>
      <c r="T83" s="160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</row>
    <row r="84" spans="8:40" x14ac:dyDescent="0.25">
      <c r="H84" s="178"/>
      <c r="I84" s="172"/>
      <c r="J84" s="157"/>
      <c r="K84" s="183"/>
      <c r="L84" s="160"/>
      <c r="M84" s="158"/>
      <c r="N84" s="172"/>
      <c r="O84" s="160"/>
      <c r="P84" s="160"/>
      <c r="Q84" s="160"/>
      <c r="R84" s="160"/>
      <c r="S84" s="160"/>
      <c r="T84" s="160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</row>
    <row r="85" spans="8:40" x14ac:dyDescent="0.25">
      <c r="H85" s="178"/>
      <c r="I85" s="172"/>
      <c r="J85" s="157"/>
      <c r="K85" s="183"/>
      <c r="L85" s="160"/>
      <c r="M85" s="158"/>
      <c r="N85" s="172"/>
      <c r="O85" s="160"/>
      <c r="P85" s="160"/>
      <c r="Q85" s="160"/>
      <c r="R85" s="160"/>
      <c r="S85" s="160"/>
      <c r="T85" s="160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</row>
    <row r="86" spans="8:40" x14ac:dyDescent="0.25">
      <c r="H86" s="178"/>
      <c r="I86" s="178"/>
      <c r="J86" s="157"/>
      <c r="K86" s="183"/>
      <c r="L86" s="160"/>
      <c r="M86" s="158"/>
      <c r="N86" s="172"/>
      <c r="O86" s="160"/>
      <c r="P86" s="160"/>
      <c r="Q86" s="160"/>
      <c r="R86" s="160"/>
      <c r="S86" s="160"/>
      <c r="T86" s="160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</row>
    <row r="87" spans="8:40" x14ac:dyDescent="0.25">
      <c r="H87" s="178"/>
      <c r="I87" s="178"/>
      <c r="J87" s="157"/>
      <c r="K87" s="183"/>
      <c r="L87" s="160"/>
      <c r="M87" s="158"/>
      <c r="N87" s="172"/>
      <c r="O87" s="160"/>
      <c r="P87" s="160"/>
      <c r="Q87" s="160"/>
      <c r="R87" s="160"/>
      <c r="S87" s="160"/>
      <c r="T87" s="160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</row>
    <row r="88" spans="8:40" x14ac:dyDescent="0.25">
      <c r="H88" s="172"/>
      <c r="I88" s="178"/>
      <c r="J88" s="157"/>
      <c r="K88" s="183"/>
      <c r="L88" s="160"/>
      <c r="M88" s="158"/>
      <c r="N88" s="172"/>
      <c r="O88" s="160"/>
      <c r="P88" s="160"/>
      <c r="Q88" s="160"/>
      <c r="R88" s="160"/>
      <c r="S88" s="160"/>
      <c r="T88" s="160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</row>
    <row r="89" spans="8:40" x14ac:dyDescent="0.25">
      <c r="H89" s="172"/>
      <c r="I89" s="178"/>
      <c r="J89" s="157"/>
      <c r="K89" s="183"/>
      <c r="L89" s="160"/>
      <c r="M89" s="158"/>
      <c r="N89" s="172"/>
      <c r="O89" s="160"/>
      <c r="P89" s="160"/>
      <c r="Q89" s="160"/>
      <c r="R89" s="160"/>
      <c r="S89" s="160"/>
      <c r="T89" s="160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</row>
    <row r="90" spans="8:40" x14ac:dyDescent="0.25">
      <c r="H90" s="172"/>
      <c r="I90" s="172"/>
      <c r="J90" s="157"/>
      <c r="K90" s="183"/>
      <c r="L90" s="160"/>
      <c r="M90" s="158"/>
      <c r="N90" s="172"/>
      <c r="O90" s="160"/>
      <c r="P90" s="160"/>
      <c r="Q90" s="160"/>
      <c r="R90" s="160"/>
      <c r="S90" s="160"/>
      <c r="T90" s="160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</row>
    <row r="91" spans="8:40" x14ac:dyDescent="0.25">
      <c r="H91" s="172"/>
      <c r="I91" s="172"/>
      <c r="J91" s="157"/>
      <c r="K91" s="183"/>
      <c r="L91" s="160"/>
      <c r="M91" s="158"/>
      <c r="N91" s="172"/>
      <c r="O91" s="160"/>
      <c r="P91" s="160"/>
      <c r="Q91" s="160"/>
      <c r="R91" s="160"/>
      <c r="S91" s="160"/>
      <c r="T91" s="160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  <c r="AN91" s="157"/>
    </row>
    <row r="92" spans="8:40" x14ac:dyDescent="0.25">
      <c r="H92" s="172"/>
      <c r="I92" s="172"/>
      <c r="J92" s="157"/>
      <c r="K92" s="183"/>
      <c r="L92" s="160"/>
      <c r="M92" s="158"/>
      <c r="N92" s="172"/>
      <c r="O92" s="160"/>
      <c r="P92" s="160"/>
      <c r="Q92" s="160"/>
      <c r="R92" s="160"/>
      <c r="S92" s="160"/>
      <c r="T92" s="160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  <c r="AN92" s="157"/>
    </row>
    <row r="93" spans="8:40" x14ac:dyDescent="0.25">
      <c r="H93" s="172"/>
      <c r="I93" s="172"/>
      <c r="J93" s="157"/>
      <c r="K93" s="183"/>
      <c r="L93" s="160"/>
      <c r="M93" s="158"/>
      <c r="N93" s="172"/>
      <c r="O93" s="160"/>
      <c r="P93" s="160"/>
      <c r="Q93" s="160"/>
      <c r="R93" s="160"/>
      <c r="S93" s="160"/>
      <c r="T93" s="160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  <c r="AN93" s="157"/>
    </row>
    <row r="94" spans="8:40" x14ac:dyDescent="0.25">
      <c r="H94" s="172"/>
      <c r="I94" s="172"/>
      <c r="J94" s="186"/>
      <c r="K94" s="187"/>
      <c r="L94" s="186"/>
      <c r="M94" s="188"/>
      <c r="N94" s="188"/>
      <c r="O94" s="186"/>
      <c r="P94" s="160"/>
      <c r="Q94" s="160"/>
      <c r="R94" s="160"/>
      <c r="S94" s="160"/>
      <c r="T94" s="160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  <c r="AN94" s="157"/>
    </row>
    <row r="95" spans="8:40" x14ac:dyDescent="0.25">
      <c r="H95" s="172"/>
      <c r="I95" s="172"/>
      <c r="J95" s="186"/>
      <c r="K95" s="187"/>
      <c r="L95" s="186"/>
      <c r="M95" s="188"/>
      <c r="N95" s="188"/>
      <c r="O95" s="186"/>
      <c r="P95" s="160"/>
      <c r="Q95" s="160"/>
      <c r="R95" s="160"/>
      <c r="S95" s="160"/>
      <c r="T95" s="160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  <c r="AN95" s="157"/>
    </row>
    <row r="96" spans="8:40" x14ac:dyDescent="0.25">
      <c r="H96" s="172"/>
      <c r="I96" s="172"/>
      <c r="J96" s="157"/>
      <c r="K96" s="183"/>
      <c r="L96" s="160"/>
      <c r="M96" s="158"/>
      <c r="N96" s="172"/>
      <c r="O96" s="160"/>
      <c r="P96" s="160"/>
      <c r="Q96" s="160"/>
      <c r="R96" s="160"/>
      <c r="S96" s="160"/>
      <c r="T96" s="160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  <c r="AN96" s="157"/>
    </row>
    <row r="97" spans="8:40" x14ac:dyDescent="0.25">
      <c r="H97" s="172"/>
      <c r="I97" s="172"/>
      <c r="J97" s="157"/>
      <c r="K97" s="183"/>
      <c r="L97" s="160"/>
      <c r="M97" s="158"/>
      <c r="N97" s="172"/>
      <c r="O97" s="160"/>
      <c r="P97" s="160"/>
      <c r="Q97" s="160"/>
      <c r="R97" s="160"/>
      <c r="S97" s="160"/>
      <c r="T97" s="160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  <c r="AN97" s="157"/>
    </row>
    <row r="98" spans="8:40" x14ac:dyDescent="0.25">
      <c r="H98" s="172"/>
      <c r="I98" s="172"/>
      <c r="J98" s="157"/>
      <c r="K98" s="183"/>
      <c r="L98" s="160"/>
      <c r="M98" s="158"/>
      <c r="N98" s="172"/>
      <c r="O98" s="160"/>
      <c r="P98" s="160"/>
      <c r="Q98" s="160"/>
      <c r="R98" s="160"/>
      <c r="S98" s="160"/>
      <c r="T98" s="160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  <c r="AM98" s="157"/>
      <c r="AN98" s="157"/>
    </row>
    <row r="99" spans="8:40" x14ac:dyDescent="0.25">
      <c r="H99" s="172"/>
      <c r="I99" s="172"/>
      <c r="J99" s="157"/>
      <c r="K99" s="183"/>
      <c r="L99" s="160"/>
      <c r="M99" s="158"/>
      <c r="N99" s="172"/>
      <c r="O99" s="160"/>
      <c r="P99" s="160"/>
      <c r="Q99" s="160"/>
      <c r="R99" s="160"/>
      <c r="S99" s="160"/>
      <c r="T99" s="160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  <c r="AN99" s="157"/>
    </row>
    <row r="100" spans="8:40" x14ac:dyDescent="0.25">
      <c r="H100" s="172"/>
      <c r="I100" s="172"/>
      <c r="J100" s="157"/>
      <c r="K100" s="183"/>
      <c r="L100" s="160"/>
      <c r="M100" s="158"/>
      <c r="N100" s="172"/>
      <c r="O100" s="160"/>
      <c r="P100" s="160"/>
      <c r="Q100" s="160"/>
      <c r="R100" s="160"/>
      <c r="S100" s="160"/>
      <c r="T100" s="160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7"/>
      <c r="AM100" s="157"/>
      <c r="AN100" s="157"/>
    </row>
    <row r="101" spans="8:40" x14ac:dyDescent="0.25">
      <c r="H101" s="172"/>
      <c r="I101" s="172"/>
      <c r="J101" s="157"/>
      <c r="K101" s="183"/>
      <c r="L101" s="160"/>
      <c r="M101" s="158"/>
      <c r="N101" s="172"/>
      <c r="O101" s="160"/>
      <c r="P101" s="160"/>
      <c r="Q101" s="160"/>
      <c r="R101" s="160"/>
      <c r="S101" s="160"/>
      <c r="T101" s="160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</row>
    <row r="102" spans="8:40" x14ac:dyDescent="0.25">
      <c r="H102" s="172"/>
      <c r="I102" s="172"/>
      <c r="J102" s="157"/>
      <c r="K102" s="183"/>
      <c r="L102" s="160"/>
      <c r="M102" s="158"/>
      <c r="N102" s="172"/>
      <c r="O102" s="160"/>
      <c r="P102" s="160"/>
      <c r="Q102" s="160"/>
      <c r="R102" s="160"/>
      <c r="S102" s="160"/>
      <c r="T102" s="160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</row>
    <row r="103" spans="8:40" x14ac:dyDescent="0.25">
      <c r="H103" s="172"/>
      <c r="I103" s="172"/>
      <c r="J103" s="157"/>
      <c r="K103" s="183"/>
      <c r="L103" s="160"/>
      <c r="M103" s="158"/>
      <c r="N103" s="172"/>
      <c r="O103" s="160"/>
      <c r="P103" s="160"/>
      <c r="Q103" s="160"/>
      <c r="R103" s="160"/>
      <c r="S103" s="160"/>
      <c r="T103" s="160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  <c r="AN103" s="157"/>
    </row>
    <row r="104" spans="8:40" x14ac:dyDescent="0.25">
      <c r="H104" s="172"/>
      <c r="I104" s="172"/>
      <c r="J104" s="157"/>
      <c r="K104" s="183"/>
      <c r="L104" s="160"/>
      <c r="M104" s="158"/>
      <c r="N104" s="172"/>
      <c r="O104" s="160"/>
      <c r="P104" s="160"/>
      <c r="Q104" s="160"/>
      <c r="R104" s="160"/>
      <c r="S104" s="160"/>
      <c r="T104" s="160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  <c r="AN104" s="157"/>
    </row>
    <row r="105" spans="8:40" x14ac:dyDescent="0.25">
      <c r="H105" s="172"/>
      <c r="I105" s="172"/>
      <c r="J105" s="157"/>
      <c r="K105" s="183"/>
      <c r="L105" s="160"/>
      <c r="M105" s="158"/>
      <c r="N105" s="172"/>
      <c r="O105" s="160"/>
      <c r="P105" s="160"/>
      <c r="Q105" s="160"/>
      <c r="R105" s="160"/>
      <c r="S105" s="160"/>
      <c r="T105" s="160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</row>
    <row r="106" spans="8:40" x14ac:dyDescent="0.25">
      <c r="H106" s="172"/>
      <c r="I106" s="172"/>
      <c r="J106" s="157"/>
      <c r="K106" s="183"/>
      <c r="L106" s="160"/>
      <c r="M106" s="158"/>
      <c r="N106" s="172"/>
      <c r="O106" s="160"/>
      <c r="P106" s="160"/>
      <c r="Q106" s="160"/>
      <c r="R106" s="160"/>
      <c r="S106" s="160"/>
      <c r="T106" s="160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</row>
    <row r="107" spans="8:40" x14ac:dyDescent="0.25">
      <c r="H107" s="172"/>
      <c r="I107" s="172"/>
      <c r="J107" s="157"/>
      <c r="K107" s="183"/>
      <c r="L107" s="160"/>
      <c r="M107" s="158"/>
      <c r="N107" s="172"/>
      <c r="O107" s="160"/>
      <c r="P107" s="160"/>
      <c r="Q107" s="160"/>
      <c r="R107" s="160"/>
      <c r="S107" s="160"/>
      <c r="T107" s="160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  <c r="AN107" s="157"/>
    </row>
    <row r="108" spans="8:40" x14ac:dyDescent="0.25">
      <c r="H108" s="172"/>
      <c r="I108" s="172"/>
      <c r="J108" s="157"/>
      <c r="K108" s="183"/>
      <c r="L108" s="160"/>
      <c r="M108" s="158"/>
      <c r="N108" s="172"/>
      <c r="O108" s="160"/>
      <c r="P108" s="160"/>
      <c r="Q108" s="160"/>
      <c r="R108" s="160"/>
      <c r="S108" s="160"/>
      <c r="T108" s="160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157"/>
      <c r="AK108" s="157"/>
      <c r="AL108" s="157"/>
      <c r="AM108" s="157"/>
      <c r="AN108" s="157"/>
    </row>
    <row r="109" spans="8:40" x14ac:dyDescent="0.25">
      <c r="H109" s="172"/>
      <c r="I109" s="172"/>
      <c r="J109" s="157"/>
      <c r="K109" s="183"/>
      <c r="L109" s="160"/>
      <c r="M109" s="160"/>
      <c r="N109" s="172"/>
      <c r="O109" s="160"/>
      <c r="P109" s="160"/>
      <c r="Q109" s="160"/>
      <c r="R109" s="160"/>
      <c r="S109" s="160"/>
      <c r="T109" s="160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  <c r="AN109" s="157"/>
    </row>
    <row r="110" spans="8:40" x14ac:dyDescent="0.25">
      <c r="H110" s="172"/>
      <c r="I110" s="172"/>
      <c r="J110" s="157"/>
      <c r="K110" s="183"/>
      <c r="L110" s="160"/>
      <c r="M110" s="160"/>
      <c r="N110" s="172"/>
      <c r="O110" s="160"/>
      <c r="P110" s="160"/>
      <c r="Q110" s="160"/>
      <c r="R110" s="160"/>
      <c r="S110" s="160"/>
      <c r="T110" s="160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  <c r="AM110" s="157"/>
      <c r="AN110" s="157"/>
    </row>
    <row r="111" spans="8:40" x14ac:dyDescent="0.25">
      <c r="H111" s="172"/>
      <c r="I111" s="172"/>
      <c r="J111" s="157"/>
      <c r="K111" s="183"/>
      <c r="L111" s="160"/>
      <c r="M111" s="160"/>
      <c r="N111" s="172"/>
      <c r="O111" s="160"/>
      <c r="P111" s="160"/>
      <c r="Q111" s="160"/>
      <c r="R111" s="160"/>
      <c r="S111" s="160"/>
      <c r="T111" s="160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</row>
    <row r="112" spans="8:40" x14ac:dyDescent="0.25">
      <c r="H112" s="172"/>
      <c r="I112" s="172"/>
      <c r="J112" s="157"/>
      <c r="K112" s="183"/>
      <c r="L112" s="160"/>
      <c r="M112" s="160"/>
      <c r="N112" s="172"/>
      <c r="O112" s="160"/>
      <c r="P112" s="160"/>
      <c r="Q112" s="160"/>
      <c r="R112" s="160"/>
      <c r="S112" s="160"/>
      <c r="T112" s="160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  <c r="AN112" s="157"/>
    </row>
    <row r="113" spans="8:40" x14ac:dyDescent="0.25">
      <c r="H113" s="172"/>
      <c r="I113" s="172"/>
      <c r="J113" s="157"/>
      <c r="K113" s="183"/>
      <c r="L113" s="160"/>
      <c r="M113" s="160"/>
      <c r="N113" s="172"/>
      <c r="O113" s="160"/>
      <c r="P113" s="160"/>
      <c r="Q113" s="160"/>
      <c r="R113" s="160"/>
      <c r="S113" s="160"/>
      <c r="T113" s="160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</row>
    <row r="114" spans="8:40" x14ac:dyDescent="0.25">
      <c r="H114" s="172"/>
      <c r="I114" s="172"/>
      <c r="J114" s="157"/>
      <c r="K114" s="183"/>
      <c r="L114" s="160"/>
      <c r="M114" s="160"/>
      <c r="N114" s="172"/>
      <c r="O114" s="160"/>
      <c r="P114" s="160"/>
      <c r="Q114" s="160"/>
      <c r="R114" s="160"/>
      <c r="S114" s="160"/>
      <c r="T114" s="160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</row>
    <row r="115" spans="8:40" x14ac:dyDescent="0.25">
      <c r="H115" s="172"/>
      <c r="I115" s="172"/>
      <c r="J115" s="157"/>
      <c r="K115" s="183"/>
      <c r="L115" s="160"/>
      <c r="M115" s="160"/>
      <c r="N115" s="172"/>
      <c r="O115" s="160"/>
      <c r="P115" s="160"/>
      <c r="Q115" s="160"/>
      <c r="R115" s="160"/>
      <c r="S115" s="160"/>
      <c r="T115" s="160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</row>
    <row r="116" spans="8:40" x14ac:dyDescent="0.25">
      <c r="H116" s="172"/>
      <c r="I116" s="172"/>
      <c r="J116" s="157"/>
      <c r="K116" s="183"/>
      <c r="L116" s="160"/>
      <c r="M116" s="160"/>
      <c r="N116" s="172"/>
      <c r="O116" s="160"/>
      <c r="P116" s="160"/>
      <c r="Q116" s="160"/>
      <c r="R116" s="160"/>
      <c r="S116" s="160"/>
      <c r="T116" s="160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</row>
    <row r="117" spans="8:40" x14ac:dyDescent="0.25">
      <c r="H117" s="172"/>
      <c r="I117" s="172"/>
      <c r="J117" s="157"/>
      <c r="K117" s="183"/>
      <c r="L117" s="160"/>
      <c r="M117" s="160"/>
      <c r="N117" s="172"/>
      <c r="O117" s="160"/>
      <c r="P117" s="160"/>
      <c r="Q117" s="160"/>
      <c r="R117" s="160"/>
      <c r="S117" s="160"/>
      <c r="T117" s="160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</row>
    <row r="118" spans="8:40" x14ac:dyDescent="0.25">
      <c r="H118" s="172"/>
      <c r="I118" s="172"/>
      <c r="J118" s="157"/>
      <c r="K118" s="183"/>
      <c r="L118" s="160"/>
      <c r="M118" s="160"/>
      <c r="N118" s="172"/>
      <c r="O118" s="160"/>
      <c r="P118" s="160"/>
      <c r="Q118" s="160"/>
      <c r="R118" s="160"/>
      <c r="S118" s="160"/>
      <c r="T118" s="160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</row>
    <row r="119" spans="8:40" x14ac:dyDescent="0.25">
      <c r="H119" s="172"/>
      <c r="I119" s="172"/>
      <c r="J119" s="157"/>
      <c r="K119" s="183"/>
      <c r="L119" s="160"/>
      <c r="M119" s="160"/>
      <c r="N119" s="172"/>
      <c r="O119" s="160"/>
      <c r="P119" s="160"/>
      <c r="Q119" s="160"/>
      <c r="R119" s="160"/>
      <c r="S119" s="160"/>
      <c r="T119" s="160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</row>
    <row r="120" spans="8:40" x14ac:dyDescent="0.25">
      <c r="H120" s="172"/>
      <c r="I120" s="172"/>
      <c r="J120" s="157"/>
      <c r="K120" s="183"/>
      <c r="L120" s="160"/>
      <c r="M120" s="160"/>
      <c r="N120" s="172"/>
      <c r="O120" s="160"/>
      <c r="P120" s="160"/>
      <c r="Q120" s="160"/>
      <c r="R120" s="160"/>
      <c r="S120" s="160"/>
      <c r="T120" s="160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  <c r="AN120" s="157"/>
    </row>
    <row r="121" spans="8:40" x14ac:dyDescent="0.25">
      <c r="H121" s="172"/>
      <c r="I121" s="172"/>
      <c r="J121" s="157"/>
      <c r="K121" s="183"/>
      <c r="L121" s="160"/>
      <c r="M121" s="160"/>
      <c r="N121" s="172"/>
      <c r="O121" s="160"/>
      <c r="P121" s="160"/>
      <c r="Q121" s="160"/>
      <c r="R121" s="160"/>
      <c r="S121" s="160"/>
      <c r="T121" s="160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  <c r="AN121" s="157"/>
    </row>
    <row r="122" spans="8:40" x14ac:dyDescent="0.25">
      <c r="H122" s="172"/>
      <c r="I122" s="172"/>
      <c r="J122" s="157"/>
      <c r="K122" s="183"/>
      <c r="L122" s="160"/>
      <c r="M122" s="160"/>
      <c r="N122" s="172"/>
      <c r="O122" s="160"/>
      <c r="P122" s="160"/>
      <c r="Q122" s="160"/>
      <c r="R122" s="160"/>
      <c r="S122" s="160"/>
      <c r="T122" s="160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157"/>
    </row>
    <row r="123" spans="8:40" x14ac:dyDescent="0.25">
      <c r="H123" s="172"/>
      <c r="I123" s="172"/>
      <c r="J123" s="157"/>
      <c r="K123" s="183"/>
      <c r="L123" s="160"/>
      <c r="M123" s="160"/>
      <c r="N123" s="172"/>
      <c r="O123" s="160"/>
      <c r="P123" s="160"/>
      <c r="Q123" s="160"/>
      <c r="R123" s="160"/>
      <c r="S123" s="160"/>
      <c r="T123" s="160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  <c r="AM123" s="157"/>
      <c r="AN123" s="157"/>
    </row>
    <row r="124" spans="8:40" x14ac:dyDescent="0.25">
      <c r="H124" s="172"/>
      <c r="I124" s="172"/>
      <c r="J124" s="157"/>
      <c r="K124" s="183"/>
      <c r="L124" s="160"/>
      <c r="M124" s="160"/>
      <c r="N124" s="172"/>
      <c r="O124" s="160"/>
      <c r="P124" s="160"/>
      <c r="Q124" s="160"/>
      <c r="R124" s="160"/>
      <c r="S124" s="160"/>
      <c r="T124" s="160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  <c r="AN124" s="157"/>
    </row>
    <row r="125" spans="8:40" x14ac:dyDescent="0.25">
      <c r="H125" s="172"/>
      <c r="I125" s="172"/>
      <c r="J125" s="157"/>
      <c r="K125" s="183"/>
      <c r="L125" s="160"/>
      <c r="M125" s="160"/>
      <c r="N125" s="172"/>
      <c r="O125" s="160"/>
      <c r="P125" s="160"/>
      <c r="Q125" s="160"/>
      <c r="R125" s="160"/>
      <c r="S125" s="160"/>
      <c r="T125" s="160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</row>
    <row r="126" spans="8:40" x14ac:dyDescent="0.25">
      <c r="H126" s="172"/>
      <c r="I126" s="172"/>
      <c r="J126" s="157"/>
      <c r="K126" s="183"/>
      <c r="L126" s="160"/>
      <c r="M126" s="160"/>
      <c r="N126" s="172"/>
      <c r="O126" s="160"/>
      <c r="P126" s="160"/>
      <c r="Q126" s="160"/>
      <c r="R126" s="160"/>
      <c r="S126" s="160"/>
      <c r="T126" s="160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</row>
    <row r="127" spans="8:40" x14ac:dyDescent="0.25">
      <c r="H127" s="172"/>
      <c r="I127" s="172"/>
      <c r="J127" s="157"/>
      <c r="K127" s="183"/>
      <c r="L127" s="160"/>
      <c r="M127" s="160"/>
      <c r="N127" s="172"/>
      <c r="O127" s="160"/>
      <c r="P127" s="160"/>
      <c r="Q127" s="160"/>
      <c r="R127" s="160"/>
      <c r="S127" s="160"/>
      <c r="T127" s="160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</row>
    <row r="128" spans="8:40" x14ac:dyDescent="0.25">
      <c r="H128" s="172"/>
      <c r="I128" s="172"/>
      <c r="J128" s="157"/>
      <c r="K128" s="183"/>
      <c r="L128" s="160"/>
      <c r="M128" s="160"/>
      <c r="N128" s="172"/>
      <c r="O128" s="160"/>
      <c r="P128" s="160"/>
      <c r="Q128" s="160"/>
      <c r="R128" s="160"/>
      <c r="S128" s="160"/>
      <c r="T128" s="160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</row>
    <row r="129" spans="8:40" x14ac:dyDescent="0.25">
      <c r="H129" s="172"/>
      <c r="I129" s="172"/>
      <c r="J129" s="157"/>
      <c r="K129" s="183"/>
      <c r="L129" s="160"/>
      <c r="M129" s="160"/>
      <c r="N129" s="172"/>
      <c r="O129" s="160"/>
      <c r="P129" s="160"/>
      <c r="Q129" s="160"/>
      <c r="R129" s="160"/>
      <c r="S129" s="160"/>
      <c r="T129" s="160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</row>
    <row r="130" spans="8:40" x14ac:dyDescent="0.25">
      <c r="H130" s="172"/>
      <c r="I130" s="172"/>
      <c r="J130" s="157"/>
      <c r="K130" s="183"/>
      <c r="L130" s="157"/>
      <c r="M130" s="157"/>
      <c r="N130" s="172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</row>
    <row r="131" spans="8:40" x14ac:dyDescent="0.25">
      <c r="H131" s="172"/>
      <c r="I131" s="172"/>
      <c r="J131" s="157"/>
      <c r="K131" s="183"/>
      <c r="L131" s="157"/>
      <c r="M131" s="157"/>
      <c r="N131" s="172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  <c r="AM131" s="157"/>
      <c r="AN131" s="157"/>
    </row>
    <row r="132" spans="8:40" x14ac:dyDescent="0.25">
      <c r="H132" s="172"/>
      <c r="I132" s="172"/>
      <c r="J132" s="157"/>
      <c r="K132" s="183"/>
      <c r="L132" s="157"/>
      <c r="M132" s="157"/>
      <c r="N132" s="172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</row>
    <row r="133" spans="8:40" x14ac:dyDescent="0.25">
      <c r="H133" s="172"/>
      <c r="I133" s="172"/>
      <c r="J133" s="157"/>
      <c r="K133" s="183"/>
      <c r="L133" s="157"/>
      <c r="M133" s="157"/>
      <c r="N133" s="172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  <c r="AN133" s="157"/>
    </row>
    <row r="134" spans="8:40" x14ac:dyDescent="0.25">
      <c r="H134" s="172"/>
      <c r="I134" s="172"/>
      <c r="J134" s="157"/>
      <c r="K134" s="183"/>
      <c r="L134" s="157"/>
      <c r="M134" s="157"/>
      <c r="N134" s="172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  <c r="AM134" s="157"/>
      <c r="AN134" s="157"/>
    </row>
    <row r="135" spans="8:40" x14ac:dyDescent="0.25">
      <c r="H135" s="172"/>
      <c r="I135" s="172"/>
      <c r="J135" s="157"/>
      <c r="K135" s="183"/>
      <c r="L135" s="157"/>
      <c r="M135" s="157"/>
      <c r="N135" s="172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  <c r="AM135" s="157"/>
      <c r="AN135" s="157"/>
    </row>
    <row r="136" spans="8:40" x14ac:dyDescent="0.25">
      <c r="H136" s="172"/>
      <c r="I136" s="172"/>
      <c r="J136" s="157"/>
      <c r="K136" s="183"/>
      <c r="L136" s="157"/>
      <c r="M136" s="157"/>
      <c r="N136" s="172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  <c r="AN136" s="157"/>
    </row>
    <row r="137" spans="8:40" x14ac:dyDescent="0.25">
      <c r="H137" s="172"/>
      <c r="I137" s="172"/>
      <c r="J137" s="157"/>
      <c r="K137" s="183"/>
      <c r="L137" s="157"/>
      <c r="M137" s="157"/>
      <c r="N137" s="172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  <c r="AN137" s="157"/>
    </row>
    <row r="138" spans="8:40" x14ac:dyDescent="0.25">
      <c r="H138" s="172"/>
      <c r="I138" s="172"/>
      <c r="J138" s="157"/>
      <c r="K138" s="183"/>
      <c r="L138" s="157"/>
      <c r="M138" s="157"/>
      <c r="N138" s="172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  <c r="AN138" s="157"/>
    </row>
    <row r="139" spans="8:40" x14ac:dyDescent="0.25">
      <c r="H139" s="172"/>
      <c r="I139" s="172"/>
      <c r="J139" s="157"/>
      <c r="K139" s="183"/>
      <c r="L139" s="157"/>
      <c r="M139" s="157"/>
      <c r="N139" s="172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  <c r="AM139" s="157"/>
      <c r="AN139" s="157"/>
    </row>
    <row r="140" spans="8:40" x14ac:dyDescent="0.25">
      <c r="H140" s="172"/>
      <c r="I140" s="172"/>
      <c r="J140" s="157"/>
      <c r="K140" s="183"/>
      <c r="L140" s="157"/>
      <c r="M140" s="157"/>
      <c r="N140" s="172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  <c r="AN140" s="157"/>
    </row>
    <row r="141" spans="8:40" x14ac:dyDescent="0.25">
      <c r="H141" s="172"/>
      <c r="I141" s="172"/>
      <c r="J141" s="157"/>
      <c r="K141" s="183"/>
      <c r="L141" s="157"/>
      <c r="M141" s="157"/>
      <c r="N141" s="172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/>
      <c r="AL141" s="157"/>
      <c r="AM141" s="157"/>
      <c r="AN141" s="157"/>
    </row>
    <row r="142" spans="8:40" x14ac:dyDescent="0.25">
      <c r="H142" s="172"/>
      <c r="I142" s="172"/>
      <c r="J142" s="157"/>
      <c r="K142" s="183"/>
      <c r="L142" s="157"/>
      <c r="M142" s="157"/>
      <c r="N142" s="172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  <c r="AN142" s="157"/>
    </row>
    <row r="143" spans="8:40" x14ac:dyDescent="0.25">
      <c r="H143" s="172"/>
      <c r="I143" s="172"/>
      <c r="J143" s="157"/>
      <c r="K143" s="183"/>
      <c r="L143" s="157"/>
      <c r="M143" s="157"/>
      <c r="N143" s="172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  <c r="AN143" s="157"/>
    </row>
    <row r="144" spans="8:40" x14ac:dyDescent="0.25">
      <c r="H144" s="172"/>
      <c r="I144" s="172"/>
      <c r="J144" s="157"/>
      <c r="K144" s="183"/>
      <c r="L144" s="157"/>
      <c r="M144" s="157"/>
      <c r="N144" s="172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  <c r="AN144" s="157"/>
    </row>
    <row r="145" spans="8:40" x14ac:dyDescent="0.25">
      <c r="H145" s="172"/>
      <c r="I145" s="172"/>
      <c r="J145" s="157"/>
      <c r="K145" s="183"/>
      <c r="L145" s="157"/>
      <c r="M145" s="157"/>
      <c r="N145" s="172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  <c r="AN145" s="157"/>
    </row>
    <row r="146" spans="8:40" x14ac:dyDescent="0.25">
      <c r="H146" s="172"/>
      <c r="I146" s="172"/>
      <c r="J146" s="157"/>
      <c r="K146" s="183"/>
      <c r="L146" s="157"/>
      <c r="M146" s="157"/>
      <c r="N146" s="172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7"/>
      <c r="AN146" s="157"/>
    </row>
    <row r="147" spans="8:40" x14ac:dyDescent="0.25">
      <c r="H147" s="172"/>
      <c r="I147" s="172"/>
      <c r="J147" s="157"/>
      <c r="K147" s="183"/>
      <c r="L147" s="157"/>
      <c r="M147" s="157"/>
      <c r="N147" s="172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  <c r="AN147" s="157"/>
    </row>
    <row r="148" spans="8:40" x14ac:dyDescent="0.25">
      <c r="H148" s="172"/>
      <c r="I148" s="172"/>
      <c r="J148" s="157"/>
      <c r="K148" s="183"/>
      <c r="L148" s="157"/>
      <c r="M148" s="157"/>
      <c r="N148" s="172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  <c r="AN148" s="157"/>
    </row>
    <row r="149" spans="8:40" x14ac:dyDescent="0.25">
      <c r="H149" s="172"/>
      <c r="I149" s="172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  <c r="AN149" s="157"/>
    </row>
    <row r="150" spans="8:40" x14ac:dyDescent="0.25">
      <c r="H150" s="172"/>
      <c r="I150" s="172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  <c r="AN150" s="157"/>
    </row>
    <row r="151" spans="8:40" x14ac:dyDescent="0.25">
      <c r="H151" s="172"/>
      <c r="I151" s="172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  <c r="AN151" s="157"/>
    </row>
    <row r="152" spans="8:40" x14ac:dyDescent="0.25">
      <c r="H152" s="172"/>
      <c r="I152" s="172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  <c r="AN152" s="157"/>
    </row>
    <row r="153" spans="8:40" x14ac:dyDescent="0.25">
      <c r="H153" s="157"/>
      <c r="I153" s="172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  <c r="AN153" s="157"/>
    </row>
    <row r="154" spans="8:40" x14ac:dyDescent="0.25">
      <c r="H154" s="157"/>
      <c r="I154" s="172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</row>
    <row r="155" spans="8:40" x14ac:dyDescent="0.25"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</row>
  </sheetData>
  <phoneticPr fontId="5" type="noConversion"/>
  <pageMargins left="0.5" right="0.5" top="0.5" bottom="0.5" header="0.5" footer="0.5"/>
  <pageSetup orientation="portrait" r:id="rId1"/>
  <headerFooter alignWithMargins="0">
    <oddFooter>&amp;C^, &amp;D&amp;R</oddFooter>
  </headerFooter>
  <rowBreaks count="1" manualBreakCount="1">
    <brk id="48" max="16383" man="1"/>
  </rowBreaks>
  <colBreaks count="5" manualBreakCount="5">
    <brk id="11" max="1048575" man="1"/>
    <brk id="20" max="1048575" man="1"/>
    <brk id="28" max="1048575" man="1"/>
    <brk id="36" max="1048575" man="1"/>
    <brk id="4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2"/>
  <sheetViews>
    <sheetView tabSelected="1" zoomScale="150" zoomScaleNormal="150" workbookViewId="0">
      <selection sqref="A1:J19"/>
    </sheetView>
  </sheetViews>
  <sheetFormatPr defaultRowHeight="15" x14ac:dyDescent="0.25"/>
  <cols>
    <col min="1" max="1" width="23.81640625" customWidth="1"/>
    <col min="2" max="2" width="8.453125" customWidth="1"/>
    <col min="3" max="6" width="5.81640625" customWidth="1"/>
    <col min="7" max="7" width="7.81640625" customWidth="1"/>
    <col min="8" max="8" width="6.81640625" customWidth="1"/>
    <col min="9" max="10" width="7.81640625" customWidth="1"/>
  </cols>
  <sheetData>
    <row r="1" spans="1:11" x14ac:dyDescent="0.25">
      <c r="A1" s="9" t="s">
        <v>159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9" t="s">
        <v>241</v>
      </c>
      <c r="B2" s="40"/>
      <c r="C2" s="41"/>
      <c r="D2" s="41"/>
      <c r="E2" s="41"/>
      <c r="F2" s="41"/>
      <c r="G2" s="41"/>
      <c r="H2" s="41"/>
      <c r="I2" s="41"/>
      <c r="J2" s="41"/>
      <c r="K2" s="34"/>
    </row>
    <row r="3" spans="1:11" x14ac:dyDescent="0.25">
      <c r="A3" s="42"/>
      <c r="B3" s="43" t="s">
        <v>149</v>
      </c>
      <c r="C3" s="44"/>
      <c r="D3" s="44"/>
      <c r="E3" s="45"/>
      <c r="F3" s="44"/>
      <c r="G3" s="44"/>
      <c r="H3" s="46" t="s">
        <v>9</v>
      </c>
      <c r="I3" s="46" t="s">
        <v>150</v>
      </c>
      <c r="J3" s="46" t="s">
        <v>126</v>
      </c>
      <c r="K3" s="34"/>
    </row>
    <row r="4" spans="1:11" x14ac:dyDescent="0.25">
      <c r="A4" s="47" t="s">
        <v>236</v>
      </c>
      <c r="B4" s="48" t="s">
        <v>3</v>
      </c>
      <c r="C4" s="49" t="s">
        <v>4</v>
      </c>
      <c r="D4" s="49" t="s">
        <v>5</v>
      </c>
      <c r="E4" s="49" t="s">
        <v>6</v>
      </c>
      <c r="F4" s="49" t="s">
        <v>7</v>
      </c>
      <c r="G4" s="49" t="s">
        <v>151</v>
      </c>
      <c r="H4" s="50"/>
      <c r="I4" s="50"/>
      <c r="J4" s="50"/>
      <c r="K4" s="34"/>
    </row>
    <row r="5" spans="1:11" x14ac:dyDescent="0.25">
      <c r="A5" s="68" t="s">
        <v>249</v>
      </c>
      <c r="B5" s="65"/>
      <c r="C5" s="66"/>
      <c r="D5" s="66"/>
      <c r="E5" s="66"/>
      <c r="F5" s="66"/>
      <c r="G5" s="66"/>
      <c r="H5" s="67"/>
      <c r="I5" s="67"/>
      <c r="J5" s="67"/>
      <c r="K5" s="34"/>
    </row>
    <row r="6" spans="1:11" x14ac:dyDescent="0.25">
      <c r="A6" s="21">
        <f>'enter data'!A8</f>
        <v>41396</v>
      </c>
      <c r="B6" s="22">
        <f>'enter data'!B8</f>
        <v>1406</v>
      </c>
      <c r="C6" s="22">
        <f>'enter data'!D8</f>
        <v>701</v>
      </c>
      <c r="D6" s="22">
        <f>'enter data'!F8</f>
        <v>518</v>
      </c>
      <c r="E6" s="22">
        <f>'enter data'!H8</f>
        <v>245</v>
      </c>
      <c r="F6" s="22">
        <f>'enter data'!J8</f>
        <v>58</v>
      </c>
      <c r="G6" s="24">
        <f>'enter data'!L8</f>
        <v>2928</v>
      </c>
      <c r="H6" s="22">
        <f>'enter data'!N8</f>
        <v>4152</v>
      </c>
      <c r="I6" s="22">
        <f>'enter data'!P8</f>
        <v>2111</v>
      </c>
      <c r="J6" s="22">
        <f>SUM(G6:I6)</f>
        <v>9191</v>
      </c>
      <c r="K6" s="34"/>
    </row>
    <row r="7" spans="1:11" x14ac:dyDescent="0.25">
      <c r="A7" s="23" t="s">
        <v>152</v>
      </c>
      <c r="B7" s="150">
        <f>'enter data'!B7</f>
        <v>1074</v>
      </c>
      <c r="C7" s="24">
        <f>'enter data'!D7</f>
        <v>711</v>
      </c>
      <c r="D7" s="24">
        <f>'enter data'!F7</f>
        <v>874</v>
      </c>
      <c r="E7" s="24">
        <f>'enter data'!H7</f>
        <v>596</v>
      </c>
      <c r="F7" s="24">
        <f>'enter data'!J7</f>
        <v>44</v>
      </c>
      <c r="G7" s="24">
        <f>'enter data'!L7</f>
        <v>3299</v>
      </c>
      <c r="H7" s="24">
        <f>'enter data'!N7</f>
        <v>9691</v>
      </c>
      <c r="I7" s="24">
        <f>'enter data'!P7</f>
        <v>5065</v>
      </c>
      <c r="J7" s="24">
        <f>SUM(G7:I7)</f>
        <v>18055</v>
      </c>
      <c r="K7" s="34"/>
    </row>
    <row r="8" spans="1:11" x14ac:dyDescent="0.25">
      <c r="A8" s="165" t="s">
        <v>192</v>
      </c>
      <c r="B8" s="24"/>
      <c r="C8" s="24"/>
      <c r="D8" s="24"/>
      <c r="E8" s="24"/>
      <c r="F8" s="24"/>
      <c r="G8" s="24"/>
      <c r="H8" s="24"/>
      <c r="I8" s="24"/>
      <c r="J8" s="83"/>
      <c r="K8" s="34"/>
    </row>
    <row r="9" spans="1:11" x14ac:dyDescent="0.25">
      <c r="A9" s="166" t="s">
        <v>252</v>
      </c>
      <c r="B9" s="24">
        <f>'enter data'!C8</f>
        <v>8864</v>
      </c>
      <c r="C9" s="24">
        <f>'enter data'!E8</f>
        <v>3631</v>
      </c>
      <c r="D9" s="24">
        <f>'enter data'!G8</f>
        <v>5495</v>
      </c>
      <c r="E9" s="24">
        <f>'enter data'!I8</f>
        <v>4361</v>
      </c>
      <c r="F9" s="24">
        <f>'enter data'!K8</f>
        <v>489</v>
      </c>
      <c r="G9" s="24">
        <f>'enter data'!M8</f>
        <v>23840</v>
      </c>
      <c r="H9" s="24">
        <f>'enter data'!O8</f>
        <v>12714</v>
      </c>
      <c r="I9" s="24">
        <f>'enter data'!Q8</f>
        <v>34371</v>
      </c>
      <c r="J9" s="24">
        <f>SUM(G9:I9)</f>
        <v>70925</v>
      </c>
      <c r="K9" s="34"/>
    </row>
    <row r="10" spans="1:11" x14ac:dyDescent="0.25">
      <c r="A10" s="99" t="s">
        <v>246</v>
      </c>
      <c r="B10" s="112">
        <f>'enter data'!C7</f>
        <v>9067</v>
      </c>
      <c r="C10" s="112">
        <f>'enter data'!E7</f>
        <v>3621</v>
      </c>
      <c r="D10" s="112">
        <f>'enter data'!G7</f>
        <v>5874</v>
      </c>
      <c r="E10" s="112">
        <f>'enter data'!I7</f>
        <v>5198</v>
      </c>
      <c r="F10" s="112">
        <f>'enter data'!K7</f>
        <v>447</v>
      </c>
      <c r="G10" s="112">
        <f>'enter data'!M7</f>
        <v>24206</v>
      </c>
      <c r="H10" s="112">
        <f>'enter data'!O7</f>
        <v>27837</v>
      </c>
      <c r="I10" s="112">
        <f>'enter data'!Q7</f>
        <v>29419</v>
      </c>
      <c r="J10" s="22">
        <f>SUM(G10:I10)</f>
        <v>81462</v>
      </c>
      <c r="K10" s="34"/>
    </row>
    <row r="11" spans="1:11" x14ac:dyDescent="0.25">
      <c r="A11" s="99" t="s">
        <v>254</v>
      </c>
      <c r="B11" s="112">
        <f>(B9/B10)*100</f>
        <v>97.761111723833679</v>
      </c>
      <c r="C11" s="112">
        <f t="shared" ref="C11:J11" si="0">(C9/C10)*100</f>
        <v>100.27616680475006</v>
      </c>
      <c r="D11" s="112">
        <f t="shared" si="0"/>
        <v>93.547837929860407</v>
      </c>
      <c r="E11" s="112">
        <f t="shared" si="0"/>
        <v>83.89765294343978</v>
      </c>
      <c r="F11" s="112">
        <f t="shared" si="0"/>
        <v>109.39597315436242</v>
      </c>
      <c r="G11" s="112">
        <f t="shared" si="0"/>
        <v>98.487978187226304</v>
      </c>
      <c r="H11" s="112">
        <f t="shared" si="0"/>
        <v>45.673025110464486</v>
      </c>
      <c r="I11" s="112">
        <f t="shared" si="0"/>
        <v>116.8326591658452</v>
      </c>
      <c r="J11" s="22">
        <f t="shared" si="0"/>
        <v>87.065134664015119</v>
      </c>
      <c r="K11" s="34"/>
    </row>
    <row r="12" spans="1:11" x14ac:dyDescent="0.25">
      <c r="A12" s="99" t="s">
        <v>255</v>
      </c>
      <c r="B12" s="100">
        <f>'copy data'!W650</f>
        <v>150</v>
      </c>
      <c r="C12" s="100">
        <f>'copy data'!Z650</f>
        <v>115.43600562587903</v>
      </c>
      <c r="D12" s="100">
        <f>'copy data'!AC650</f>
        <v>81.721967963386732</v>
      </c>
      <c r="E12" s="100">
        <f>'copy data'!AF650</f>
        <v>59.941275167785236</v>
      </c>
      <c r="F12" s="100">
        <f>'copy data'!AI650</f>
        <v>217.04545454545453</v>
      </c>
      <c r="G12" s="100">
        <f>'copy data'!AL650</f>
        <v>109.08608669293724</v>
      </c>
      <c r="H12" s="100">
        <f>'copy data'!AO650</f>
        <v>43.837065318336599</v>
      </c>
      <c r="I12" s="100">
        <f>'copy data'!AR650</f>
        <v>47.93188548864758</v>
      </c>
      <c r="J12" s="100">
        <f>'copy data'!AU650</f>
        <v>56.908058709498754</v>
      </c>
      <c r="K12" s="34"/>
    </row>
    <row r="13" spans="1:11" x14ac:dyDescent="0.25">
      <c r="A13" s="81" t="s">
        <v>253</v>
      </c>
      <c r="B13" s="112">
        <v>9904</v>
      </c>
      <c r="C13" s="112">
        <v>4319</v>
      </c>
      <c r="D13" s="112">
        <v>6312</v>
      </c>
      <c r="E13" s="112">
        <v>5601</v>
      </c>
      <c r="F13" s="112">
        <v>491</v>
      </c>
      <c r="G13" s="112">
        <f>SUM(B13:F13)</f>
        <v>26627</v>
      </c>
      <c r="H13" s="112">
        <v>37900</v>
      </c>
      <c r="I13" s="112">
        <v>36727</v>
      </c>
      <c r="J13" s="100">
        <f>SUM(G13:I13)</f>
        <v>101254</v>
      </c>
      <c r="K13" s="34"/>
    </row>
    <row r="14" spans="1:11" x14ac:dyDescent="0.25">
      <c r="A14" s="142" t="s">
        <v>247</v>
      </c>
      <c r="B14" s="143">
        <v>15837</v>
      </c>
      <c r="C14" s="143">
        <v>2828</v>
      </c>
      <c r="D14" s="143">
        <v>8623</v>
      </c>
      <c r="E14" s="143">
        <v>4717</v>
      </c>
      <c r="F14" s="143">
        <v>979</v>
      </c>
      <c r="G14" s="143">
        <f>SUM(B14:F14)</f>
        <v>32984</v>
      </c>
      <c r="H14" s="143">
        <v>44569</v>
      </c>
      <c r="I14" s="143">
        <v>39753</v>
      </c>
      <c r="J14" s="143">
        <f>SUM(G14:I14)</f>
        <v>117306</v>
      </c>
      <c r="K14" s="34"/>
    </row>
    <row r="15" spans="1:11" ht="12.75" customHeight="1" x14ac:dyDescent="0.25">
      <c r="A15" s="69" t="s">
        <v>157</v>
      </c>
      <c r="B15" s="24"/>
      <c r="C15" s="24"/>
      <c r="D15" s="24"/>
      <c r="E15" s="24"/>
      <c r="F15" s="24"/>
      <c r="G15" s="24"/>
      <c r="H15" s="24"/>
      <c r="I15" s="24"/>
      <c r="J15" s="24"/>
      <c r="K15" s="34"/>
    </row>
    <row r="16" spans="1:11" ht="12.75" customHeight="1" x14ac:dyDescent="0.25">
      <c r="A16" s="64" t="s">
        <v>251</v>
      </c>
      <c r="B16" s="26"/>
      <c r="C16" s="26"/>
      <c r="D16" s="26"/>
      <c r="E16" s="26"/>
      <c r="F16" s="26"/>
      <c r="G16" s="26"/>
      <c r="H16" s="26"/>
      <c r="I16" s="26"/>
      <c r="J16" s="26"/>
      <c r="K16" s="34"/>
    </row>
    <row r="17" spans="1:11" ht="12.75" customHeight="1" x14ac:dyDescent="0.25">
      <c r="A17" s="25" t="s">
        <v>193</v>
      </c>
      <c r="B17" s="26"/>
      <c r="C17" s="26"/>
      <c r="D17" s="26"/>
      <c r="E17" s="26"/>
      <c r="F17" s="26"/>
      <c r="G17" s="26"/>
      <c r="H17" s="26"/>
      <c r="I17" s="26"/>
      <c r="J17" s="26"/>
      <c r="K17" s="34"/>
    </row>
    <row r="18" spans="1:11" ht="12.75" customHeight="1" x14ac:dyDescent="0.25">
      <c r="A18" s="9" t="s">
        <v>84</v>
      </c>
      <c r="B18" s="27"/>
      <c r="C18" s="27"/>
      <c r="D18" s="27"/>
      <c r="E18" s="27"/>
      <c r="F18" s="27"/>
      <c r="G18" s="27"/>
      <c r="H18" s="27"/>
      <c r="I18" s="27"/>
      <c r="J18" s="27"/>
      <c r="K18" s="34"/>
    </row>
    <row r="19" spans="1:11" x14ac:dyDescent="0.25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34"/>
    </row>
    <row r="22" spans="1:11" ht="12.75" customHeight="1" x14ac:dyDescent="0.25"/>
  </sheetData>
  <phoneticPr fontId="5" type="noConversion"/>
  <pageMargins left="0.75" right="0.75" top="1" bottom="1" header="0.5" footer="0.5"/>
  <pageSetup orientation="landscape" r:id="rId1"/>
  <headerFooter alignWithMargins="0"/>
  <ignoredErrors>
    <ignoredError sqref="J13" formulaRange="1"/>
    <ignoredError sqref="F1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FF00"/>
  </sheetPr>
  <dimension ref="A1:BD65530"/>
  <sheetViews>
    <sheetView zoomScale="150" zoomScaleNormal="150" workbookViewId="0">
      <pane xSplit="1" ySplit="5" topLeftCell="R645" activePane="bottomRight" state="frozen"/>
      <selection pane="topRight" activeCell="B1" sqref="B1"/>
      <selection pane="bottomLeft" activeCell="A6" sqref="A6"/>
      <selection pane="bottomRight" activeCell="A1294" sqref="A1294:R1295"/>
    </sheetView>
  </sheetViews>
  <sheetFormatPr defaultColWidth="8.90625" defaultRowHeight="13.2" x14ac:dyDescent="0.25"/>
  <cols>
    <col min="1" max="1" width="8.1796875" style="11" customWidth="1"/>
    <col min="2" max="2" width="8.453125" style="8" customWidth="1"/>
    <col min="3" max="16" width="9.81640625" style="8" customWidth="1"/>
    <col min="17" max="17" width="10" style="8" customWidth="1"/>
    <col min="18" max="18" width="9.81640625" style="8" customWidth="1"/>
    <col min="19" max="19" width="9.6328125" style="12" customWidth="1"/>
    <col min="20" max="20" width="10" style="13" customWidth="1"/>
    <col min="21" max="21" width="5" style="13" bestFit="1" customWidth="1"/>
    <col min="22" max="44" width="8.90625" style="13"/>
    <col min="45" max="46" width="8.90625" style="5"/>
    <col min="47" max="48" width="8.90625" style="8"/>
    <col min="49" max="49" width="11.54296875" style="8" bestFit="1" customWidth="1"/>
    <col min="50" max="50" width="10.1796875" style="8" bestFit="1" customWidth="1"/>
    <col min="51" max="51" width="11.54296875" style="8" bestFit="1" customWidth="1"/>
    <col min="52" max="52" width="10.1796875" style="8" bestFit="1" customWidth="1"/>
    <col min="53" max="53" width="11.54296875" style="8" bestFit="1" customWidth="1"/>
    <col min="54" max="54" width="10.1796875" style="8" bestFit="1" customWidth="1"/>
    <col min="55" max="55" width="8.90625" style="8"/>
    <col min="56" max="56" width="10.1796875" style="8" bestFit="1" customWidth="1"/>
    <col min="57" max="16384" width="8.90625" style="8"/>
  </cols>
  <sheetData>
    <row r="1" spans="1:56" x14ac:dyDescent="0.25">
      <c r="A1" s="62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U1" s="28"/>
      <c r="X1" s="28"/>
      <c r="AA1" s="28"/>
      <c r="AD1" s="28"/>
      <c r="AG1" s="28"/>
      <c r="AJ1" s="28"/>
      <c r="AM1" s="28"/>
      <c r="AP1" s="28"/>
      <c r="AS1" s="30"/>
    </row>
    <row r="2" spans="1:56" x14ac:dyDescent="0.25">
      <c r="A2" s="62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12" t="s">
        <v>35</v>
      </c>
      <c r="U2" s="28"/>
      <c r="X2" s="28"/>
      <c r="AA2" s="28"/>
      <c r="AD2" s="28"/>
      <c r="AG2" s="28"/>
      <c r="AJ2" s="28"/>
      <c r="AM2" s="28"/>
      <c r="AP2" s="28"/>
      <c r="AS2" s="30"/>
    </row>
    <row r="3" spans="1:56" x14ac:dyDescent="0.25">
      <c r="A3" s="62" t="s">
        <v>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9" t="s">
        <v>125</v>
      </c>
      <c r="S3" s="12" t="s">
        <v>36</v>
      </c>
      <c r="U3" s="28"/>
      <c r="X3" s="28"/>
      <c r="AA3" s="28"/>
      <c r="AD3" s="28"/>
      <c r="AG3" s="28"/>
      <c r="AJ3" s="58" t="s">
        <v>8</v>
      </c>
      <c r="AK3" s="7"/>
      <c r="AL3" s="7"/>
      <c r="AM3" s="28"/>
      <c r="AP3" s="28"/>
      <c r="AS3" s="30"/>
      <c r="AW3" s="190" t="s">
        <v>240</v>
      </c>
      <c r="AX3" s="191"/>
      <c r="AY3" s="192" t="s">
        <v>150</v>
      </c>
      <c r="AZ3" s="192"/>
      <c r="BA3" s="192" t="s">
        <v>9</v>
      </c>
      <c r="BB3" s="192"/>
      <c r="BC3" s="192" t="s">
        <v>37</v>
      </c>
      <c r="BD3" s="191"/>
    </row>
    <row r="4" spans="1:56" x14ac:dyDescent="0.25">
      <c r="A4" s="55"/>
      <c r="B4" s="59" t="s">
        <v>3</v>
      </c>
      <c r="C4" s="59"/>
      <c r="D4" s="59" t="s">
        <v>4</v>
      </c>
      <c r="E4" s="59"/>
      <c r="F4" s="59" t="s">
        <v>5</v>
      </c>
      <c r="G4" s="59"/>
      <c r="H4" s="59" t="s">
        <v>6</v>
      </c>
      <c r="I4" s="59"/>
      <c r="J4" s="59" t="s">
        <v>7</v>
      </c>
      <c r="K4" s="59"/>
      <c r="L4" s="59" t="s">
        <v>8</v>
      </c>
      <c r="M4" s="56"/>
      <c r="N4" s="56" t="s">
        <v>9</v>
      </c>
      <c r="O4" s="56"/>
      <c r="P4" s="56" t="s">
        <v>10</v>
      </c>
      <c r="Q4" s="56"/>
      <c r="R4" s="59" t="s">
        <v>126</v>
      </c>
      <c r="U4" s="58" t="s">
        <v>3</v>
      </c>
      <c r="V4" s="59" t="s">
        <v>3</v>
      </c>
      <c r="W4" s="19" t="s">
        <v>148</v>
      </c>
      <c r="X4" s="58" t="s">
        <v>4</v>
      </c>
      <c r="Z4" s="19" t="s">
        <v>148</v>
      </c>
      <c r="AA4" s="58" t="s">
        <v>5</v>
      </c>
      <c r="AC4" s="19" t="s">
        <v>148</v>
      </c>
      <c r="AD4" s="58" t="s">
        <v>6</v>
      </c>
      <c r="AF4" s="19" t="s">
        <v>148</v>
      </c>
      <c r="AG4" s="58" t="s">
        <v>7</v>
      </c>
      <c r="AI4" s="19" t="s">
        <v>148</v>
      </c>
      <c r="AJ4" s="36" t="s">
        <v>149</v>
      </c>
      <c r="AL4" s="19" t="s">
        <v>148</v>
      </c>
      <c r="AM4" s="36" t="s">
        <v>9</v>
      </c>
      <c r="AO4" s="19" t="s">
        <v>148</v>
      </c>
      <c r="AP4" s="36" t="s">
        <v>150</v>
      </c>
      <c r="AR4" s="19" t="s">
        <v>148</v>
      </c>
      <c r="AS4" s="37" t="s">
        <v>37</v>
      </c>
      <c r="AU4" s="19" t="s">
        <v>148</v>
      </c>
      <c r="AW4" s="115" t="s">
        <v>237</v>
      </c>
      <c r="AX4" s="119" t="s">
        <v>237</v>
      </c>
      <c r="AY4" s="119" t="s">
        <v>237</v>
      </c>
      <c r="AZ4" s="119" t="s">
        <v>237</v>
      </c>
      <c r="BA4" s="119" t="s">
        <v>237</v>
      </c>
      <c r="BB4" s="119" t="s">
        <v>237</v>
      </c>
      <c r="BC4" s="119" t="s">
        <v>237</v>
      </c>
      <c r="BD4" s="119" t="s">
        <v>237</v>
      </c>
    </row>
    <row r="5" spans="1:56" x14ac:dyDescent="0.25">
      <c r="A5" s="55"/>
      <c r="B5" s="59" t="s">
        <v>11</v>
      </c>
      <c r="C5" s="59" t="s">
        <v>12</v>
      </c>
      <c r="D5" s="59" t="s">
        <v>11</v>
      </c>
      <c r="E5" s="59" t="s">
        <v>12</v>
      </c>
      <c r="F5" s="59" t="s">
        <v>11</v>
      </c>
      <c r="G5" s="59" t="s">
        <v>12</v>
      </c>
      <c r="H5" s="59" t="s">
        <v>11</v>
      </c>
      <c r="I5" s="59" t="s">
        <v>12</v>
      </c>
      <c r="J5" s="59" t="s">
        <v>11</v>
      </c>
      <c r="K5" s="59" t="s">
        <v>12</v>
      </c>
      <c r="L5" s="59" t="s">
        <v>11</v>
      </c>
      <c r="M5" s="59" t="s">
        <v>12</v>
      </c>
      <c r="N5" s="59" t="s">
        <v>11</v>
      </c>
      <c r="O5" s="59" t="s">
        <v>12</v>
      </c>
      <c r="P5" s="59" t="s">
        <v>11</v>
      </c>
      <c r="Q5" s="59" t="s">
        <v>12</v>
      </c>
      <c r="R5" s="59"/>
      <c r="S5" s="12" t="s">
        <v>38</v>
      </c>
      <c r="T5" s="17" t="s">
        <v>80</v>
      </c>
      <c r="U5" s="60" t="s">
        <v>11</v>
      </c>
      <c r="V5" s="31" t="s">
        <v>39</v>
      </c>
      <c r="W5" s="32" t="s">
        <v>250</v>
      </c>
      <c r="X5" s="60" t="s">
        <v>11</v>
      </c>
      <c r="Y5" s="31" t="s">
        <v>39</v>
      </c>
      <c r="Z5" s="32" t="s">
        <v>250</v>
      </c>
      <c r="AA5" s="60" t="s">
        <v>11</v>
      </c>
      <c r="AB5" s="31" t="s">
        <v>39</v>
      </c>
      <c r="AC5" s="32" t="s">
        <v>250</v>
      </c>
      <c r="AD5" s="60" t="s">
        <v>11</v>
      </c>
      <c r="AE5" s="31" t="s">
        <v>39</v>
      </c>
      <c r="AF5" s="32" t="s">
        <v>256</v>
      </c>
      <c r="AG5" s="60" t="s">
        <v>11</v>
      </c>
      <c r="AH5" s="31" t="s">
        <v>39</v>
      </c>
      <c r="AI5" s="32" t="s">
        <v>256</v>
      </c>
      <c r="AJ5" s="60" t="s">
        <v>11</v>
      </c>
      <c r="AK5" s="31" t="s">
        <v>39</v>
      </c>
      <c r="AL5" s="32" t="s">
        <v>256</v>
      </c>
      <c r="AM5" s="60" t="s">
        <v>11</v>
      </c>
      <c r="AN5" s="31" t="s">
        <v>39</v>
      </c>
      <c r="AO5" s="32" t="s">
        <v>256</v>
      </c>
      <c r="AP5" s="60" t="s">
        <v>11</v>
      </c>
      <c r="AQ5" s="31" t="s">
        <v>39</v>
      </c>
      <c r="AR5" s="32" t="s">
        <v>256</v>
      </c>
      <c r="AS5" s="33" t="s">
        <v>11</v>
      </c>
      <c r="AT5" s="31" t="s">
        <v>39</v>
      </c>
      <c r="AU5" s="32" t="s">
        <v>256</v>
      </c>
      <c r="AW5" s="116" t="s">
        <v>238</v>
      </c>
      <c r="AX5" s="118" t="s">
        <v>239</v>
      </c>
      <c r="AY5" s="118" t="s">
        <v>238</v>
      </c>
      <c r="AZ5" s="118" t="s">
        <v>239</v>
      </c>
      <c r="BA5" s="118" t="s">
        <v>238</v>
      </c>
      <c r="BB5" s="118" t="s">
        <v>239</v>
      </c>
      <c r="BC5" s="118" t="s">
        <v>238</v>
      </c>
      <c r="BD5" s="118" t="s">
        <v>239</v>
      </c>
    </row>
    <row r="6" spans="1:56" ht="15.6" x14ac:dyDescent="0.3">
      <c r="A6" s="55">
        <v>36523</v>
      </c>
      <c r="B6" s="63">
        <v>894</v>
      </c>
      <c r="C6" s="63">
        <v>7280</v>
      </c>
      <c r="D6" s="63">
        <v>642</v>
      </c>
      <c r="E6" s="63">
        <v>2514</v>
      </c>
      <c r="F6" s="63">
        <v>801</v>
      </c>
      <c r="G6" s="63">
        <v>3375</v>
      </c>
      <c r="H6" s="63">
        <v>721</v>
      </c>
      <c r="I6" s="63">
        <v>2326</v>
      </c>
      <c r="J6" s="63">
        <v>255</v>
      </c>
      <c r="K6" s="63">
        <v>563</v>
      </c>
      <c r="L6" s="63">
        <v>3312</v>
      </c>
      <c r="M6" s="63">
        <v>16058</v>
      </c>
      <c r="N6" s="63">
        <v>7894</v>
      </c>
      <c r="O6" s="63">
        <v>17010</v>
      </c>
      <c r="P6" s="63">
        <v>4521</v>
      </c>
      <c r="Q6" s="63">
        <v>11070</v>
      </c>
      <c r="R6" s="16">
        <f t="shared" ref="R6:R69" si="0">P6+N6+L6</f>
        <v>15727</v>
      </c>
      <c r="AS6" s="5">
        <v>15727</v>
      </c>
    </row>
    <row r="7" spans="1:56" ht="15.6" x14ac:dyDescent="0.3">
      <c r="A7" s="55">
        <v>36888</v>
      </c>
      <c r="B7" s="63">
        <v>998</v>
      </c>
      <c r="C7" s="63">
        <v>5836</v>
      </c>
      <c r="D7" s="63">
        <v>295</v>
      </c>
      <c r="E7" s="63">
        <v>2759</v>
      </c>
      <c r="F7" s="63">
        <v>923</v>
      </c>
      <c r="G7" s="63">
        <v>3301</v>
      </c>
      <c r="H7" s="63">
        <v>666</v>
      </c>
      <c r="I7" s="63">
        <v>3023</v>
      </c>
      <c r="J7" s="63">
        <v>170</v>
      </c>
      <c r="K7" s="63">
        <v>737</v>
      </c>
      <c r="L7" s="63">
        <v>3047</v>
      </c>
      <c r="M7" s="63">
        <v>15656</v>
      </c>
      <c r="N7" s="63">
        <v>6697</v>
      </c>
      <c r="O7" s="63">
        <v>15269</v>
      </c>
      <c r="P7" s="63">
        <v>6104</v>
      </c>
      <c r="Q7" s="63">
        <v>11059</v>
      </c>
      <c r="R7" s="16">
        <f t="shared" si="0"/>
        <v>15848</v>
      </c>
      <c r="AS7" s="5">
        <v>15848</v>
      </c>
    </row>
    <row r="8" spans="1:56" ht="15.6" x14ac:dyDescent="0.3">
      <c r="A8" s="55" t="s">
        <v>16</v>
      </c>
      <c r="B8" s="63">
        <v>854</v>
      </c>
      <c r="C8" s="63">
        <v>7364</v>
      </c>
      <c r="D8" s="63">
        <v>523</v>
      </c>
      <c r="E8" s="63">
        <v>2644</v>
      </c>
      <c r="F8" s="63">
        <v>707</v>
      </c>
      <c r="G8" s="63">
        <v>3493</v>
      </c>
      <c r="H8" s="63">
        <v>638</v>
      </c>
      <c r="I8" s="63">
        <v>2455</v>
      </c>
      <c r="J8" s="63">
        <v>206</v>
      </c>
      <c r="K8" s="63">
        <v>619</v>
      </c>
      <c r="L8" s="63">
        <v>2928</v>
      </c>
      <c r="M8" s="63">
        <v>16575</v>
      </c>
      <c r="N8" s="63">
        <v>7360</v>
      </c>
      <c r="O8" s="63">
        <v>17826</v>
      </c>
      <c r="P8" s="63">
        <v>4436</v>
      </c>
      <c r="Q8" s="63">
        <v>11672</v>
      </c>
      <c r="R8" s="16">
        <f t="shared" si="0"/>
        <v>14724</v>
      </c>
      <c r="T8" s="140">
        <v>36902</v>
      </c>
      <c r="AS8" s="5">
        <v>14724</v>
      </c>
    </row>
    <row r="9" spans="1:56" ht="15.6" x14ac:dyDescent="0.3">
      <c r="A9" s="55" t="s">
        <v>17</v>
      </c>
      <c r="B9" s="63">
        <v>906</v>
      </c>
      <c r="C9" s="63">
        <v>5946</v>
      </c>
      <c r="D9" s="63">
        <v>179</v>
      </c>
      <c r="E9" s="63">
        <v>2898</v>
      </c>
      <c r="F9" s="63">
        <v>920</v>
      </c>
      <c r="G9" s="63">
        <v>3379</v>
      </c>
      <c r="H9" s="63">
        <v>596</v>
      </c>
      <c r="I9" s="63">
        <v>3132</v>
      </c>
      <c r="J9" s="63">
        <v>173</v>
      </c>
      <c r="K9" s="63">
        <v>748</v>
      </c>
      <c r="L9" s="63">
        <v>2775</v>
      </c>
      <c r="M9" s="63">
        <v>16103</v>
      </c>
      <c r="N9" s="63">
        <v>6253</v>
      </c>
      <c r="O9" s="63">
        <v>15898</v>
      </c>
      <c r="P9" s="63">
        <v>5712</v>
      </c>
      <c r="Q9" s="63">
        <v>11894</v>
      </c>
      <c r="R9" s="16">
        <f t="shared" si="0"/>
        <v>14740</v>
      </c>
      <c r="T9" s="140">
        <f>T8+7</f>
        <v>36909</v>
      </c>
      <c r="AS9" s="5">
        <v>14740</v>
      </c>
      <c r="AT9" s="5">
        <f>AVERAGE(AS6:AS9)</f>
        <v>15259.75</v>
      </c>
      <c r="AU9" s="20"/>
      <c r="AW9" s="117"/>
    </row>
    <row r="10" spans="1:56" ht="15.6" x14ac:dyDescent="0.3">
      <c r="A10" s="55">
        <v>36537</v>
      </c>
      <c r="B10" s="63">
        <v>780.4</v>
      </c>
      <c r="C10" s="63">
        <v>7583.5</v>
      </c>
      <c r="D10" s="63">
        <v>430.7</v>
      </c>
      <c r="E10" s="63">
        <v>2745</v>
      </c>
      <c r="F10" s="63">
        <v>687</v>
      </c>
      <c r="G10" s="63">
        <v>3564</v>
      </c>
      <c r="H10" s="63">
        <v>589</v>
      </c>
      <c r="I10" s="63">
        <v>2535</v>
      </c>
      <c r="J10" s="63">
        <v>224</v>
      </c>
      <c r="K10" s="63">
        <v>619</v>
      </c>
      <c r="L10" s="63">
        <v>2711</v>
      </c>
      <c r="M10" s="63">
        <v>17047</v>
      </c>
      <c r="N10" s="63">
        <v>7487</v>
      </c>
      <c r="O10" s="63">
        <v>18837</v>
      </c>
      <c r="P10" s="63">
        <v>4338</v>
      </c>
      <c r="Q10" s="63">
        <v>12360</v>
      </c>
      <c r="R10" s="16">
        <f t="shared" si="0"/>
        <v>14536</v>
      </c>
      <c r="T10" s="140">
        <f t="shared" ref="T10:T73" si="1">T9+7</f>
        <v>36916</v>
      </c>
      <c r="AS10" s="5">
        <v>14972</v>
      </c>
      <c r="AT10" s="5">
        <f>AVERAGE(AS7:AS10)</f>
        <v>15071</v>
      </c>
      <c r="AU10" s="20"/>
    </row>
    <row r="11" spans="1:56" ht="15.6" x14ac:dyDescent="0.3">
      <c r="A11" s="55">
        <v>36902</v>
      </c>
      <c r="B11" s="63">
        <v>998</v>
      </c>
      <c r="C11" s="63">
        <v>6063.2</v>
      </c>
      <c r="D11" s="63">
        <v>259</v>
      </c>
      <c r="E11" s="63">
        <v>2933</v>
      </c>
      <c r="F11" s="63">
        <v>894</v>
      </c>
      <c r="G11" s="63">
        <v>3499</v>
      </c>
      <c r="H11" s="63">
        <v>604</v>
      </c>
      <c r="I11" s="63">
        <v>3159</v>
      </c>
      <c r="J11" s="63">
        <v>141</v>
      </c>
      <c r="K11" s="63">
        <v>781</v>
      </c>
      <c r="L11" s="63">
        <v>2896</v>
      </c>
      <c r="M11" s="63">
        <v>16432.5</v>
      </c>
      <c r="N11" s="63">
        <v>5936</v>
      </c>
      <c r="O11" s="63">
        <v>16827</v>
      </c>
      <c r="P11" s="63">
        <v>6140</v>
      </c>
      <c r="Q11" s="63">
        <v>12416</v>
      </c>
      <c r="R11" s="16">
        <f t="shared" si="0"/>
        <v>14972</v>
      </c>
      <c r="T11" s="140">
        <f t="shared" si="1"/>
        <v>36923</v>
      </c>
      <c r="AS11" s="5">
        <v>13821</v>
      </c>
      <c r="AT11" s="5">
        <f t="shared" ref="AT11:AT74" si="2">AVERAGE(AS8:AS11)</f>
        <v>14564.25</v>
      </c>
      <c r="AU11" s="20"/>
    </row>
    <row r="12" spans="1:56" ht="15.6" x14ac:dyDescent="0.3">
      <c r="A12" s="55">
        <v>36544</v>
      </c>
      <c r="B12" s="63">
        <v>808</v>
      </c>
      <c r="C12" s="63">
        <v>7709</v>
      </c>
      <c r="D12" s="63">
        <v>394</v>
      </c>
      <c r="E12" s="63">
        <v>2818</v>
      </c>
      <c r="F12" s="63">
        <v>704</v>
      </c>
      <c r="G12" s="63">
        <v>3617</v>
      </c>
      <c r="H12" s="63">
        <v>535</v>
      </c>
      <c r="I12" s="63">
        <v>2616</v>
      </c>
      <c r="J12" s="63">
        <v>175</v>
      </c>
      <c r="K12" s="63">
        <v>670</v>
      </c>
      <c r="L12" s="63">
        <v>2614</v>
      </c>
      <c r="M12" s="63">
        <v>17430</v>
      </c>
      <c r="N12" s="63">
        <v>7737</v>
      </c>
      <c r="O12" s="63">
        <v>19721</v>
      </c>
      <c r="P12" s="63">
        <v>3887</v>
      </c>
      <c r="Q12" s="63">
        <v>12978</v>
      </c>
      <c r="R12" s="16">
        <f t="shared" si="0"/>
        <v>14238</v>
      </c>
      <c r="T12" s="140">
        <f t="shared" si="1"/>
        <v>36930</v>
      </c>
      <c r="AS12" s="5">
        <v>17171</v>
      </c>
      <c r="AT12" s="5">
        <f t="shared" si="2"/>
        <v>15176</v>
      </c>
      <c r="AU12" s="20"/>
    </row>
    <row r="13" spans="1:56" ht="15.6" x14ac:dyDescent="0.3">
      <c r="A13" s="55">
        <v>36909</v>
      </c>
      <c r="B13" s="63">
        <v>1032</v>
      </c>
      <c r="C13" s="63">
        <v>6176</v>
      </c>
      <c r="D13" s="63">
        <v>424</v>
      </c>
      <c r="E13" s="63">
        <v>2983</v>
      </c>
      <c r="F13" s="63">
        <v>988</v>
      </c>
      <c r="G13" s="63">
        <v>3525</v>
      </c>
      <c r="H13" s="63">
        <v>1032</v>
      </c>
      <c r="I13" s="63">
        <v>3213</v>
      </c>
      <c r="J13" s="63">
        <v>138</v>
      </c>
      <c r="K13" s="63">
        <v>781</v>
      </c>
      <c r="L13" s="63">
        <v>3614</v>
      </c>
      <c r="M13" s="63">
        <v>16678</v>
      </c>
      <c r="N13" s="63">
        <v>6654</v>
      </c>
      <c r="O13" s="63">
        <v>17667</v>
      </c>
      <c r="P13" s="63">
        <v>3553</v>
      </c>
      <c r="Q13" s="63">
        <v>13114</v>
      </c>
      <c r="R13" s="16">
        <f t="shared" si="0"/>
        <v>13821</v>
      </c>
      <c r="T13" s="140">
        <f t="shared" si="1"/>
        <v>36937</v>
      </c>
      <c r="AS13" s="5">
        <v>18232</v>
      </c>
      <c r="AT13" s="5">
        <f t="shared" si="2"/>
        <v>16049</v>
      </c>
      <c r="AU13" s="20"/>
    </row>
    <row r="14" spans="1:56" ht="15.6" x14ac:dyDescent="0.3">
      <c r="A14" s="55">
        <v>36551</v>
      </c>
      <c r="B14" s="63">
        <v>870</v>
      </c>
      <c r="C14" s="63">
        <v>7882</v>
      </c>
      <c r="D14" s="63">
        <v>424</v>
      </c>
      <c r="E14" s="63">
        <v>2888</v>
      </c>
      <c r="F14" s="63">
        <v>786</v>
      </c>
      <c r="G14" s="63">
        <v>3697</v>
      </c>
      <c r="H14" s="63">
        <v>442</v>
      </c>
      <c r="I14" s="63">
        <v>2767</v>
      </c>
      <c r="J14" s="63">
        <v>237</v>
      </c>
      <c r="K14" s="63">
        <v>673</v>
      </c>
      <c r="L14" s="63">
        <v>2704</v>
      </c>
      <c r="M14" s="63">
        <v>17907</v>
      </c>
      <c r="N14" s="63">
        <v>7579</v>
      </c>
      <c r="O14" s="63">
        <v>20673</v>
      </c>
      <c r="P14" s="63">
        <v>3593</v>
      </c>
      <c r="Q14" s="63">
        <v>13664</v>
      </c>
      <c r="R14" s="16">
        <f t="shared" si="0"/>
        <v>13876</v>
      </c>
      <c r="T14" s="140">
        <f t="shared" si="1"/>
        <v>36944</v>
      </c>
      <c r="AS14" s="5">
        <v>17897.900000000001</v>
      </c>
      <c r="AT14" s="5">
        <f t="shared" si="2"/>
        <v>16780.474999999999</v>
      </c>
      <c r="AU14" s="20"/>
    </row>
    <row r="15" spans="1:56" ht="15.6" x14ac:dyDescent="0.3">
      <c r="A15" s="55">
        <v>36916</v>
      </c>
      <c r="B15" s="63">
        <v>1107</v>
      </c>
      <c r="C15" s="63">
        <v>6332</v>
      </c>
      <c r="D15" s="63">
        <v>454</v>
      </c>
      <c r="E15" s="63">
        <v>3030</v>
      </c>
      <c r="F15" s="63">
        <v>973</v>
      </c>
      <c r="G15" s="63">
        <v>3642</v>
      </c>
      <c r="H15" s="63">
        <v>981</v>
      </c>
      <c r="I15" s="63">
        <v>3324</v>
      </c>
      <c r="J15" s="63">
        <v>182</v>
      </c>
      <c r="K15" s="63">
        <v>807</v>
      </c>
      <c r="L15" s="63">
        <v>3654</v>
      </c>
      <c r="M15" s="63">
        <v>17133</v>
      </c>
      <c r="N15" s="63">
        <v>7071</v>
      </c>
      <c r="O15" s="63">
        <v>18382</v>
      </c>
      <c r="P15" s="63">
        <v>6446</v>
      </c>
      <c r="Q15" s="63">
        <v>13996</v>
      </c>
      <c r="R15" s="16">
        <f t="shared" si="0"/>
        <v>17171</v>
      </c>
      <c r="T15" s="140">
        <f t="shared" si="1"/>
        <v>36951</v>
      </c>
      <c r="AS15" s="5">
        <v>17513</v>
      </c>
      <c r="AT15" s="5">
        <f t="shared" si="2"/>
        <v>17703.474999999999</v>
      </c>
      <c r="AU15" s="20"/>
    </row>
    <row r="16" spans="1:56" ht="15.6" x14ac:dyDescent="0.3">
      <c r="A16" s="55">
        <v>36558</v>
      </c>
      <c r="B16" s="63">
        <v>959</v>
      </c>
      <c r="C16" s="63">
        <v>8037</v>
      </c>
      <c r="D16" s="63">
        <v>482</v>
      </c>
      <c r="E16" s="63">
        <v>2949</v>
      </c>
      <c r="F16" s="63">
        <v>831</v>
      </c>
      <c r="G16" s="63">
        <v>3840</v>
      </c>
      <c r="H16" s="63">
        <v>440</v>
      </c>
      <c r="I16" s="63">
        <v>2882</v>
      </c>
      <c r="J16" s="63">
        <v>188</v>
      </c>
      <c r="K16" s="63">
        <v>692</v>
      </c>
      <c r="L16" s="63">
        <v>2898</v>
      </c>
      <c r="M16" s="63">
        <v>18398</v>
      </c>
      <c r="N16" s="63">
        <v>7771</v>
      </c>
      <c r="O16" s="63">
        <v>21491</v>
      </c>
      <c r="P16" s="63">
        <v>3920</v>
      </c>
      <c r="Q16" s="63">
        <v>14289</v>
      </c>
      <c r="R16" s="16">
        <f t="shared" si="0"/>
        <v>14589</v>
      </c>
      <c r="T16" s="140">
        <f t="shared" si="1"/>
        <v>36958</v>
      </c>
      <c r="AS16" s="5">
        <v>16616</v>
      </c>
      <c r="AT16" s="5">
        <f t="shared" si="2"/>
        <v>17564.724999999999</v>
      </c>
      <c r="AU16" s="20"/>
    </row>
    <row r="17" spans="1:47" ht="15.6" x14ac:dyDescent="0.3">
      <c r="A17" s="55">
        <v>36923</v>
      </c>
      <c r="B17" s="63">
        <v>1363</v>
      </c>
      <c r="C17" s="63">
        <v>6428</v>
      </c>
      <c r="D17" s="63">
        <v>543</v>
      </c>
      <c r="E17" s="63">
        <v>3092</v>
      </c>
      <c r="F17" s="63">
        <v>966</v>
      </c>
      <c r="G17" s="63">
        <v>3771</v>
      </c>
      <c r="H17" s="63">
        <v>960</v>
      </c>
      <c r="I17" s="63">
        <v>3390</v>
      </c>
      <c r="J17" s="63">
        <v>128</v>
      </c>
      <c r="K17" s="63">
        <v>839</v>
      </c>
      <c r="L17" s="63">
        <v>3960</v>
      </c>
      <c r="M17" s="63">
        <v>17521</v>
      </c>
      <c r="N17" s="63">
        <v>7569</v>
      </c>
      <c r="O17" s="63">
        <v>18913</v>
      </c>
      <c r="P17" s="63">
        <v>6703</v>
      </c>
      <c r="Q17" s="63">
        <v>14541</v>
      </c>
      <c r="R17" s="16">
        <f t="shared" si="0"/>
        <v>18232</v>
      </c>
      <c r="T17" s="140">
        <f t="shared" si="1"/>
        <v>36965</v>
      </c>
      <c r="AS17" s="5">
        <v>16074</v>
      </c>
      <c r="AT17" s="5">
        <f t="shared" si="2"/>
        <v>17025.224999999999</v>
      </c>
      <c r="AU17" s="20"/>
    </row>
    <row r="18" spans="1:47" ht="15.6" x14ac:dyDescent="0.3">
      <c r="A18" s="55">
        <v>36565</v>
      </c>
      <c r="B18" s="63">
        <v>1027</v>
      </c>
      <c r="C18" s="63">
        <v>8168</v>
      </c>
      <c r="D18" s="63">
        <v>466</v>
      </c>
      <c r="E18" s="63">
        <v>3094</v>
      </c>
      <c r="F18" s="63">
        <v>800</v>
      </c>
      <c r="G18" s="63">
        <v>3955</v>
      </c>
      <c r="H18" s="63">
        <v>487</v>
      </c>
      <c r="I18" s="63">
        <v>2899.7</v>
      </c>
      <c r="J18" s="63">
        <v>176</v>
      </c>
      <c r="K18" s="63">
        <v>691.5</v>
      </c>
      <c r="L18" s="63">
        <v>2938</v>
      </c>
      <c r="M18" s="63">
        <v>18808</v>
      </c>
      <c r="N18" s="63">
        <v>7408</v>
      </c>
      <c r="O18" s="63">
        <v>22378.799999999999</v>
      </c>
      <c r="P18" s="63">
        <v>3681</v>
      </c>
      <c r="Q18" s="63">
        <v>15192.5</v>
      </c>
      <c r="R18" s="16">
        <f t="shared" si="0"/>
        <v>14027</v>
      </c>
      <c r="T18" s="140">
        <f t="shared" si="1"/>
        <v>36972</v>
      </c>
      <c r="AS18" s="5">
        <v>15586</v>
      </c>
      <c r="AT18" s="5">
        <f t="shared" si="2"/>
        <v>16447.25</v>
      </c>
      <c r="AU18" s="20"/>
    </row>
    <row r="19" spans="1:47" ht="15.6" x14ac:dyDescent="0.3">
      <c r="A19" s="55">
        <v>36930</v>
      </c>
      <c r="B19" s="63">
        <v>1291</v>
      </c>
      <c r="C19" s="63">
        <v>6664.7</v>
      </c>
      <c r="D19" s="63">
        <v>509</v>
      </c>
      <c r="E19" s="63">
        <v>3184</v>
      </c>
      <c r="F19" s="63">
        <v>933</v>
      </c>
      <c r="G19" s="63">
        <v>3936</v>
      </c>
      <c r="H19" s="63">
        <v>975</v>
      </c>
      <c r="I19" s="63">
        <v>3507</v>
      </c>
      <c r="J19" s="63">
        <v>124</v>
      </c>
      <c r="K19" s="63">
        <v>842.4</v>
      </c>
      <c r="L19" s="63">
        <v>3833</v>
      </c>
      <c r="M19" s="63">
        <v>18134</v>
      </c>
      <c r="N19" s="63">
        <v>7584.9</v>
      </c>
      <c r="O19" s="63">
        <v>20055</v>
      </c>
      <c r="P19" s="63">
        <v>6480</v>
      </c>
      <c r="Q19" s="63">
        <v>15501.8</v>
      </c>
      <c r="R19" s="16">
        <f t="shared" si="0"/>
        <v>17897.900000000001</v>
      </c>
      <c r="T19" s="140">
        <f t="shared" si="1"/>
        <v>36979</v>
      </c>
      <c r="AS19" s="5">
        <v>15109</v>
      </c>
      <c r="AT19" s="5">
        <f t="shared" si="2"/>
        <v>15846.25</v>
      </c>
      <c r="AU19" s="20"/>
    </row>
    <row r="20" spans="1:47" ht="15.6" x14ac:dyDescent="0.3">
      <c r="A20" s="55">
        <v>36572</v>
      </c>
      <c r="B20" s="63">
        <v>984</v>
      </c>
      <c r="C20" s="63">
        <v>8405</v>
      </c>
      <c r="D20" s="63">
        <v>488</v>
      </c>
      <c r="E20" s="63">
        <v>3171</v>
      </c>
      <c r="F20" s="63">
        <v>921</v>
      </c>
      <c r="G20" s="63">
        <v>4057</v>
      </c>
      <c r="H20" s="63">
        <v>489</v>
      </c>
      <c r="I20" s="63">
        <v>2970</v>
      </c>
      <c r="J20" s="63">
        <v>166</v>
      </c>
      <c r="K20" s="63">
        <v>703</v>
      </c>
      <c r="L20" s="63">
        <v>3047</v>
      </c>
      <c r="M20" s="63">
        <v>19306</v>
      </c>
      <c r="N20" s="63">
        <v>7423</v>
      </c>
      <c r="O20" s="63">
        <v>23257.5</v>
      </c>
      <c r="P20" s="63">
        <v>4002</v>
      </c>
      <c r="Q20" s="63">
        <v>15857</v>
      </c>
      <c r="R20" s="16">
        <f t="shared" si="0"/>
        <v>14472</v>
      </c>
      <c r="T20" s="140">
        <f t="shared" si="1"/>
        <v>36986</v>
      </c>
      <c r="AS20" s="5">
        <v>13770</v>
      </c>
      <c r="AT20" s="5">
        <f t="shared" si="2"/>
        <v>15134.75</v>
      </c>
      <c r="AU20" s="20"/>
    </row>
    <row r="21" spans="1:47" ht="15.6" x14ac:dyDescent="0.3">
      <c r="A21" s="55">
        <v>36937</v>
      </c>
      <c r="B21" s="63">
        <v>1260</v>
      </c>
      <c r="C21" s="63">
        <v>6814.9</v>
      </c>
      <c r="D21" s="63">
        <v>482</v>
      </c>
      <c r="E21" s="63">
        <v>3279</v>
      </c>
      <c r="F21" s="63">
        <v>870</v>
      </c>
      <c r="G21" s="63">
        <v>4048</v>
      </c>
      <c r="H21" s="63">
        <v>902</v>
      </c>
      <c r="I21" s="63">
        <v>3595</v>
      </c>
      <c r="J21" s="63">
        <v>163</v>
      </c>
      <c r="K21" s="63">
        <v>842</v>
      </c>
      <c r="L21" s="63">
        <v>3677</v>
      </c>
      <c r="M21" s="63">
        <v>18580</v>
      </c>
      <c r="N21" s="63">
        <v>7576</v>
      </c>
      <c r="O21" s="63">
        <v>20800</v>
      </c>
      <c r="P21" s="63">
        <v>6260</v>
      </c>
      <c r="Q21" s="63">
        <v>16306</v>
      </c>
      <c r="R21" s="16">
        <f t="shared" si="0"/>
        <v>17513</v>
      </c>
      <c r="T21" s="140">
        <f t="shared" si="1"/>
        <v>36993</v>
      </c>
      <c r="AS21" s="5">
        <v>12883</v>
      </c>
      <c r="AT21" s="5">
        <f t="shared" si="2"/>
        <v>14337</v>
      </c>
      <c r="AU21" s="20"/>
    </row>
    <row r="22" spans="1:47" ht="15.6" x14ac:dyDescent="0.3">
      <c r="A22" s="55">
        <v>36579</v>
      </c>
      <c r="B22" s="63">
        <v>943</v>
      </c>
      <c r="C22" s="63">
        <v>8540</v>
      </c>
      <c r="D22" s="63">
        <v>385</v>
      </c>
      <c r="E22" s="63">
        <v>3286</v>
      </c>
      <c r="F22" s="63">
        <v>910</v>
      </c>
      <c r="G22" s="63">
        <v>4134</v>
      </c>
      <c r="H22" s="63">
        <v>482</v>
      </c>
      <c r="I22" s="63">
        <v>3035</v>
      </c>
      <c r="J22" s="63">
        <v>155</v>
      </c>
      <c r="K22" s="63">
        <v>713</v>
      </c>
      <c r="L22" s="63">
        <v>2875</v>
      </c>
      <c r="M22" s="63">
        <v>19709</v>
      </c>
      <c r="N22" s="63">
        <v>7517</v>
      </c>
      <c r="O22" s="63">
        <v>24291</v>
      </c>
      <c r="P22" s="63">
        <v>3938</v>
      </c>
      <c r="Q22" s="63">
        <v>16479</v>
      </c>
      <c r="R22" s="16">
        <f t="shared" si="0"/>
        <v>14330</v>
      </c>
      <c r="T22" s="140">
        <f t="shared" si="1"/>
        <v>37000</v>
      </c>
      <c r="AS22" s="5">
        <v>11510</v>
      </c>
      <c r="AT22" s="5">
        <f t="shared" si="2"/>
        <v>13318</v>
      </c>
      <c r="AU22" s="20"/>
    </row>
    <row r="23" spans="1:47" ht="15.6" x14ac:dyDescent="0.3">
      <c r="A23" s="55">
        <v>36944</v>
      </c>
      <c r="B23" s="63">
        <v>1176</v>
      </c>
      <c r="C23" s="63">
        <v>7056</v>
      </c>
      <c r="D23" s="63">
        <v>404</v>
      </c>
      <c r="E23" s="63">
        <v>3411</v>
      </c>
      <c r="F23" s="63">
        <v>867</v>
      </c>
      <c r="G23" s="63">
        <v>4231</v>
      </c>
      <c r="H23" s="63">
        <v>941</v>
      </c>
      <c r="I23" s="63">
        <v>3737</v>
      </c>
      <c r="J23" s="63">
        <v>174</v>
      </c>
      <c r="K23" s="63">
        <v>867</v>
      </c>
      <c r="L23" s="63">
        <v>3560</v>
      </c>
      <c r="M23" s="63">
        <v>19302</v>
      </c>
      <c r="N23" s="63">
        <v>7303</v>
      </c>
      <c r="O23" s="63">
        <v>21728</v>
      </c>
      <c r="P23" s="63">
        <v>5753</v>
      </c>
      <c r="Q23" s="63">
        <v>17326</v>
      </c>
      <c r="R23" s="16">
        <f t="shared" si="0"/>
        <v>16616</v>
      </c>
      <c r="T23" s="140">
        <f t="shared" si="1"/>
        <v>37007</v>
      </c>
      <c r="AS23" s="5">
        <v>10529</v>
      </c>
      <c r="AT23" s="5">
        <f t="shared" si="2"/>
        <v>12173</v>
      </c>
      <c r="AU23" s="20"/>
    </row>
    <row r="24" spans="1:47" ht="15.6" x14ac:dyDescent="0.3">
      <c r="A24" s="55">
        <v>36586</v>
      </c>
      <c r="B24" s="63">
        <v>942</v>
      </c>
      <c r="C24" s="63">
        <v>8687</v>
      </c>
      <c r="D24" s="63">
        <v>401</v>
      </c>
      <c r="E24" s="63">
        <v>3371</v>
      </c>
      <c r="F24" s="63">
        <v>1009</v>
      </c>
      <c r="G24" s="63">
        <v>4209</v>
      </c>
      <c r="H24" s="63">
        <v>557</v>
      </c>
      <c r="I24" s="63">
        <v>3076</v>
      </c>
      <c r="J24" s="63">
        <v>247</v>
      </c>
      <c r="K24" s="63">
        <v>741</v>
      </c>
      <c r="L24" s="63">
        <v>3156</v>
      </c>
      <c r="M24" s="63">
        <v>20084</v>
      </c>
      <c r="N24" s="63">
        <v>8148</v>
      </c>
      <c r="O24" s="63">
        <v>25033</v>
      </c>
      <c r="P24" s="63">
        <v>3852</v>
      </c>
      <c r="Q24" s="63">
        <v>17091</v>
      </c>
      <c r="R24" s="16">
        <f t="shared" si="0"/>
        <v>15156</v>
      </c>
      <c r="T24" s="140">
        <f t="shared" si="1"/>
        <v>37014</v>
      </c>
      <c r="AS24" s="5">
        <v>9742</v>
      </c>
      <c r="AT24" s="5">
        <f t="shared" si="2"/>
        <v>11166</v>
      </c>
      <c r="AU24" s="20"/>
    </row>
    <row r="25" spans="1:47" ht="15.6" x14ac:dyDescent="0.3">
      <c r="A25" s="55">
        <v>36951</v>
      </c>
      <c r="B25" s="63">
        <v>1204</v>
      </c>
      <c r="C25" s="63">
        <v>7191</v>
      </c>
      <c r="D25" s="63">
        <v>387</v>
      </c>
      <c r="E25" s="63">
        <v>3552</v>
      </c>
      <c r="F25" s="63">
        <v>847</v>
      </c>
      <c r="G25" s="63">
        <v>4318</v>
      </c>
      <c r="H25" s="63">
        <v>910</v>
      </c>
      <c r="I25" s="63">
        <v>3862</v>
      </c>
      <c r="J25" s="63">
        <v>182</v>
      </c>
      <c r="K25" s="63">
        <v>868</v>
      </c>
      <c r="L25" s="63">
        <v>3530</v>
      </c>
      <c r="M25" s="63">
        <v>19792</v>
      </c>
      <c r="N25" s="63">
        <v>7415</v>
      </c>
      <c r="O25" s="63">
        <v>22492</v>
      </c>
      <c r="P25" s="63">
        <v>5129</v>
      </c>
      <c r="Q25" s="63">
        <v>18173</v>
      </c>
      <c r="R25" s="16">
        <f t="shared" si="0"/>
        <v>16074</v>
      </c>
      <c r="T25" s="140">
        <f t="shared" si="1"/>
        <v>37021</v>
      </c>
      <c r="AS25" s="5">
        <v>9972</v>
      </c>
      <c r="AT25" s="5">
        <f t="shared" si="2"/>
        <v>10438.25</v>
      </c>
      <c r="AU25" s="20"/>
    </row>
    <row r="26" spans="1:47" ht="15.6" x14ac:dyDescent="0.3">
      <c r="A26" s="55">
        <v>36593</v>
      </c>
      <c r="B26" s="63">
        <v>1009</v>
      </c>
      <c r="C26" s="63">
        <v>8792</v>
      </c>
      <c r="D26" s="63">
        <v>438</v>
      </c>
      <c r="E26" s="63">
        <v>3371</v>
      </c>
      <c r="F26" s="63">
        <v>1037</v>
      </c>
      <c r="G26" s="63">
        <v>4336</v>
      </c>
      <c r="H26" s="63">
        <v>562</v>
      </c>
      <c r="I26" s="63">
        <v>3121</v>
      </c>
      <c r="J26" s="63">
        <v>290</v>
      </c>
      <c r="K26" s="63">
        <v>749</v>
      </c>
      <c r="L26" s="63">
        <v>3336</v>
      </c>
      <c r="M26" s="63">
        <v>20368</v>
      </c>
      <c r="N26" s="63">
        <v>7952</v>
      </c>
      <c r="O26" s="63">
        <v>25999</v>
      </c>
      <c r="P26" s="63">
        <v>3223</v>
      </c>
      <c r="Q26" s="63">
        <v>18093</v>
      </c>
      <c r="R26" s="16">
        <f t="shared" si="0"/>
        <v>14511</v>
      </c>
      <c r="T26" s="140">
        <f t="shared" si="1"/>
        <v>37028</v>
      </c>
      <c r="AS26" s="5">
        <v>9834</v>
      </c>
      <c r="AT26" s="5">
        <f t="shared" si="2"/>
        <v>10019.25</v>
      </c>
      <c r="AU26" s="20"/>
    </row>
    <row r="27" spans="1:47" ht="15.6" x14ac:dyDescent="0.3">
      <c r="A27" s="55">
        <v>36958</v>
      </c>
      <c r="B27" s="63">
        <v>1075</v>
      </c>
      <c r="C27" s="63">
        <v>7404</v>
      </c>
      <c r="D27" s="63">
        <v>399</v>
      </c>
      <c r="E27" s="63">
        <v>3613</v>
      </c>
      <c r="F27" s="63">
        <v>899</v>
      </c>
      <c r="G27" s="63">
        <v>4420</v>
      </c>
      <c r="H27" s="63">
        <v>798</v>
      </c>
      <c r="I27" s="63">
        <v>4035</v>
      </c>
      <c r="J27" s="63">
        <v>195</v>
      </c>
      <c r="K27" s="63">
        <v>874</v>
      </c>
      <c r="L27" s="63">
        <v>3365</v>
      </c>
      <c r="M27" s="63">
        <v>20346</v>
      </c>
      <c r="N27" s="63">
        <v>7488</v>
      </c>
      <c r="O27" s="63">
        <v>23341</v>
      </c>
      <c r="P27" s="63">
        <v>4733</v>
      </c>
      <c r="Q27" s="63">
        <v>19089</v>
      </c>
      <c r="R27" s="16">
        <f t="shared" si="0"/>
        <v>15586</v>
      </c>
      <c r="T27" s="140">
        <f t="shared" si="1"/>
        <v>37035</v>
      </c>
      <c r="AS27" s="5">
        <v>9852</v>
      </c>
      <c r="AT27" s="5">
        <f t="shared" si="2"/>
        <v>9850</v>
      </c>
      <c r="AU27" s="20"/>
    </row>
    <row r="28" spans="1:47" ht="15.6" x14ac:dyDescent="0.3">
      <c r="A28" s="55">
        <v>36601</v>
      </c>
      <c r="B28" s="63">
        <v>1068</v>
      </c>
      <c r="C28" s="63">
        <v>8875</v>
      </c>
      <c r="D28" s="63">
        <v>321</v>
      </c>
      <c r="E28" s="63">
        <v>3523</v>
      </c>
      <c r="F28" s="63">
        <v>1045</v>
      </c>
      <c r="G28" s="63">
        <v>4389</v>
      </c>
      <c r="H28" s="63">
        <v>600</v>
      </c>
      <c r="I28" s="63">
        <v>3146</v>
      </c>
      <c r="J28" s="63">
        <v>276</v>
      </c>
      <c r="K28" s="63">
        <v>775</v>
      </c>
      <c r="L28" s="63">
        <v>3310</v>
      </c>
      <c r="M28" s="63">
        <v>20709</v>
      </c>
      <c r="N28" s="63">
        <v>7537</v>
      </c>
      <c r="O28" s="63">
        <v>26906</v>
      </c>
      <c r="P28" s="63">
        <v>2941</v>
      </c>
      <c r="Q28" s="63">
        <v>18747</v>
      </c>
      <c r="R28" s="16">
        <f t="shared" si="0"/>
        <v>13788</v>
      </c>
      <c r="T28" s="140">
        <f t="shared" si="1"/>
        <v>37042</v>
      </c>
      <c r="AS28" s="5">
        <v>10166</v>
      </c>
      <c r="AT28" s="5">
        <f t="shared" si="2"/>
        <v>9956</v>
      </c>
      <c r="AU28" s="20"/>
    </row>
    <row r="29" spans="1:47" ht="15.6" x14ac:dyDescent="0.3">
      <c r="A29" s="55">
        <v>36965</v>
      </c>
      <c r="B29" s="63">
        <v>1121</v>
      </c>
      <c r="C29" s="63">
        <v>7517</v>
      </c>
      <c r="D29" s="63">
        <v>387</v>
      </c>
      <c r="E29" s="63">
        <v>3648</v>
      </c>
      <c r="F29" s="63">
        <v>1012</v>
      </c>
      <c r="G29" s="63">
        <v>4490</v>
      </c>
      <c r="H29" s="63">
        <v>845</v>
      </c>
      <c r="I29" s="63">
        <v>4073</v>
      </c>
      <c r="J29" s="63">
        <v>261</v>
      </c>
      <c r="K29" s="63">
        <v>878</v>
      </c>
      <c r="L29" s="63">
        <v>3626</v>
      </c>
      <c r="M29" s="63">
        <v>20606</v>
      </c>
      <c r="N29" s="63">
        <v>7315</v>
      </c>
      <c r="O29" s="63">
        <v>24160</v>
      </c>
      <c r="P29" s="63">
        <v>4168</v>
      </c>
      <c r="Q29" s="63">
        <v>19950</v>
      </c>
      <c r="R29" s="16">
        <f t="shared" si="0"/>
        <v>15109</v>
      </c>
      <c r="T29" s="140">
        <f t="shared" si="1"/>
        <v>37049</v>
      </c>
      <c r="AS29" s="5">
        <v>9660</v>
      </c>
      <c r="AT29" s="5">
        <f t="shared" si="2"/>
        <v>9878</v>
      </c>
      <c r="AU29" s="20"/>
    </row>
    <row r="30" spans="1:47" ht="15.6" x14ac:dyDescent="0.3">
      <c r="A30" s="55">
        <v>36608</v>
      </c>
      <c r="B30" s="63">
        <v>1028</v>
      </c>
      <c r="C30" s="63">
        <v>8982</v>
      </c>
      <c r="D30" s="63">
        <v>308</v>
      </c>
      <c r="E30" s="63">
        <v>3586</v>
      </c>
      <c r="F30" s="63">
        <v>1117</v>
      </c>
      <c r="G30" s="63">
        <v>4489</v>
      </c>
      <c r="H30" s="63">
        <v>622</v>
      </c>
      <c r="I30" s="63">
        <v>3192</v>
      </c>
      <c r="J30" s="63">
        <v>254</v>
      </c>
      <c r="K30" s="63">
        <v>797</v>
      </c>
      <c r="L30" s="63">
        <v>3229</v>
      </c>
      <c r="M30" s="63">
        <v>21047</v>
      </c>
      <c r="N30" s="63">
        <v>7316</v>
      </c>
      <c r="O30" s="63">
        <v>27895</v>
      </c>
      <c r="P30" s="63">
        <v>2514</v>
      </c>
      <c r="Q30" s="63">
        <v>19444</v>
      </c>
      <c r="R30" s="16">
        <f t="shared" si="0"/>
        <v>13059</v>
      </c>
      <c r="T30" s="140">
        <f t="shared" si="1"/>
        <v>37056</v>
      </c>
      <c r="AS30" s="5">
        <v>9767</v>
      </c>
      <c r="AT30" s="5">
        <f t="shared" si="2"/>
        <v>9861.25</v>
      </c>
      <c r="AU30" s="20"/>
    </row>
    <row r="31" spans="1:47" ht="15.6" x14ac:dyDescent="0.3">
      <c r="A31" s="55">
        <v>36972</v>
      </c>
      <c r="B31" s="63">
        <v>1182</v>
      </c>
      <c r="C31" s="63">
        <v>7626</v>
      </c>
      <c r="D31" s="63">
        <v>471</v>
      </c>
      <c r="E31" s="63">
        <v>3670</v>
      </c>
      <c r="F31" s="63">
        <v>1092</v>
      </c>
      <c r="G31" s="63">
        <v>4529</v>
      </c>
      <c r="H31" s="63">
        <v>859</v>
      </c>
      <c r="I31" s="63">
        <v>4136</v>
      </c>
      <c r="J31" s="63">
        <v>275</v>
      </c>
      <c r="K31" s="63">
        <v>905</v>
      </c>
      <c r="L31" s="63">
        <v>3878</v>
      </c>
      <c r="M31" s="63">
        <v>20866</v>
      </c>
      <c r="N31" s="63">
        <v>6439</v>
      </c>
      <c r="O31" s="63">
        <v>25448</v>
      </c>
      <c r="P31" s="63">
        <v>3453</v>
      </c>
      <c r="Q31" s="63">
        <v>20954</v>
      </c>
      <c r="R31" s="16">
        <f t="shared" si="0"/>
        <v>13770</v>
      </c>
      <c r="T31" s="140">
        <f t="shared" si="1"/>
        <v>37063</v>
      </c>
      <c r="AS31" s="5">
        <v>12451.5</v>
      </c>
      <c r="AT31" s="5">
        <f t="shared" si="2"/>
        <v>10511.125</v>
      </c>
      <c r="AU31" s="20"/>
    </row>
    <row r="32" spans="1:47" ht="15.6" x14ac:dyDescent="0.3">
      <c r="A32" s="55">
        <v>36615</v>
      </c>
      <c r="B32" s="63">
        <v>1033</v>
      </c>
      <c r="C32" s="63">
        <v>9168</v>
      </c>
      <c r="D32" s="63">
        <v>317</v>
      </c>
      <c r="E32" s="63">
        <v>3631</v>
      </c>
      <c r="F32" s="63">
        <v>1023</v>
      </c>
      <c r="G32" s="63">
        <v>4588</v>
      </c>
      <c r="H32" s="63">
        <v>591</v>
      </c>
      <c r="I32" s="63">
        <v>3282</v>
      </c>
      <c r="J32" s="63">
        <v>256</v>
      </c>
      <c r="K32" s="63">
        <v>797</v>
      </c>
      <c r="L32" s="63">
        <v>3219</v>
      </c>
      <c r="M32" s="63">
        <v>21464</v>
      </c>
      <c r="N32" s="63">
        <v>7249</v>
      </c>
      <c r="O32" s="63">
        <v>28827</v>
      </c>
      <c r="P32" s="63">
        <v>2309</v>
      </c>
      <c r="Q32" s="63">
        <v>19951</v>
      </c>
      <c r="R32" s="16">
        <f t="shared" si="0"/>
        <v>12777</v>
      </c>
      <c r="T32" s="140">
        <f t="shared" si="1"/>
        <v>37070</v>
      </c>
      <c r="AS32" s="5">
        <v>12232</v>
      </c>
      <c r="AT32" s="5">
        <f t="shared" si="2"/>
        <v>11027.625</v>
      </c>
      <c r="AU32" s="20"/>
    </row>
    <row r="33" spans="1:47" ht="15.6" x14ac:dyDescent="0.3">
      <c r="A33" s="55">
        <v>36979</v>
      </c>
      <c r="B33" s="63">
        <v>1184</v>
      </c>
      <c r="C33" s="63">
        <v>7716</v>
      </c>
      <c r="D33" s="63">
        <v>452</v>
      </c>
      <c r="E33" s="63">
        <v>3721</v>
      </c>
      <c r="F33" s="63">
        <v>1000</v>
      </c>
      <c r="G33" s="63">
        <v>4693</v>
      </c>
      <c r="H33" s="63">
        <v>721</v>
      </c>
      <c r="I33" s="63">
        <v>4306</v>
      </c>
      <c r="J33" s="63">
        <v>281</v>
      </c>
      <c r="K33" s="63">
        <v>933</v>
      </c>
      <c r="L33" s="63">
        <v>3638</v>
      </c>
      <c r="M33" s="63">
        <v>21368</v>
      </c>
      <c r="N33" s="63">
        <v>6338</v>
      </c>
      <c r="O33" s="63">
        <v>26668</v>
      </c>
      <c r="P33" s="63">
        <v>2907</v>
      </c>
      <c r="Q33" s="63">
        <v>21648</v>
      </c>
      <c r="R33" s="16">
        <f t="shared" si="0"/>
        <v>12883</v>
      </c>
      <c r="T33" s="140">
        <f t="shared" si="1"/>
        <v>37077</v>
      </c>
      <c r="AS33" s="5">
        <v>12358</v>
      </c>
      <c r="AT33" s="5">
        <f t="shared" si="2"/>
        <v>11702.125</v>
      </c>
      <c r="AU33" s="20"/>
    </row>
    <row r="34" spans="1:47" ht="15.6" x14ac:dyDescent="0.3">
      <c r="A34" s="55">
        <v>36622</v>
      </c>
      <c r="B34" s="63">
        <v>1088</v>
      </c>
      <c r="C34" s="63">
        <v>9298</v>
      </c>
      <c r="D34" s="63">
        <v>302</v>
      </c>
      <c r="E34" s="63">
        <v>3726</v>
      </c>
      <c r="F34" s="63">
        <v>837</v>
      </c>
      <c r="G34" s="63">
        <v>4794</v>
      </c>
      <c r="H34" s="63">
        <v>596</v>
      </c>
      <c r="I34" s="63">
        <v>3390</v>
      </c>
      <c r="J34" s="63">
        <v>255</v>
      </c>
      <c r="K34" s="63">
        <v>798</v>
      </c>
      <c r="L34" s="63">
        <v>3077</v>
      </c>
      <c r="M34" s="63">
        <v>22007</v>
      </c>
      <c r="N34" s="63">
        <v>7132</v>
      </c>
      <c r="O34" s="63">
        <v>29668</v>
      </c>
      <c r="P34" s="63">
        <v>2021</v>
      </c>
      <c r="Q34" s="63">
        <v>20454</v>
      </c>
      <c r="R34" s="16">
        <f t="shared" si="0"/>
        <v>12230</v>
      </c>
      <c r="T34" s="140">
        <f t="shared" si="1"/>
        <v>37084</v>
      </c>
      <c r="AS34" s="5">
        <v>12883</v>
      </c>
      <c r="AT34" s="5">
        <f t="shared" si="2"/>
        <v>12481.125</v>
      </c>
      <c r="AU34" s="20"/>
    </row>
    <row r="35" spans="1:47" ht="15.6" x14ac:dyDescent="0.3">
      <c r="A35" s="55">
        <v>36986</v>
      </c>
      <c r="B35" s="63">
        <v>1132</v>
      </c>
      <c r="C35" s="63">
        <v>7903</v>
      </c>
      <c r="D35" s="63">
        <v>499</v>
      </c>
      <c r="E35" s="63">
        <v>3793</v>
      </c>
      <c r="F35" s="63">
        <v>910</v>
      </c>
      <c r="G35" s="63">
        <v>4819</v>
      </c>
      <c r="H35" s="63">
        <v>605</v>
      </c>
      <c r="I35" s="63">
        <v>4462</v>
      </c>
      <c r="J35" s="63">
        <v>268</v>
      </c>
      <c r="K35" s="63">
        <v>954</v>
      </c>
      <c r="L35" s="63">
        <v>3415</v>
      </c>
      <c r="M35" s="63">
        <v>21931</v>
      </c>
      <c r="N35" s="63">
        <v>5618</v>
      </c>
      <c r="O35" s="63">
        <v>27841</v>
      </c>
      <c r="P35" s="63">
        <v>2477</v>
      </c>
      <c r="Q35" s="63">
        <v>22284</v>
      </c>
      <c r="R35" s="16">
        <f t="shared" si="0"/>
        <v>11510</v>
      </c>
      <c r="T35" s="140">
        <f t="shared" si="1"/>
        <v>37091</v>
      </c>
      <c r="AS35" s="5">
        <v>12611</v>
      </c>
      <c r="AT35" s="5">
        <f t="shared" si="2"/>
        <v>12521</v>
      </c>
      <c r="AU35" s="20"/>
    </row>
    <row r="36" spans="1:47" ht="15.6" x14ac:dyDescent="0.3">
      <c r="A36" s="55">
        <v>36629</v>
      </c>
      <c r="B36" s="63">
        <v>1008</v>
      </c>
      <c r="C36" s="63">
        <v>9460</v>
      </c>
      <c r="D36" s="63">
        <v>328</v>
      </c>
      <c r="E36" s="63">
        <v>3781</v>
      </c>
      <c r="F36" s="63">
        <v>785</v>
      </c>
      <c r="G36" s="63">
        <v>4881</v>
      </c>
      <c r="H36" s="63">
        <v>694</v>
      </c>
      <c r="I36" s="63">
        <v>3435</v>
      </c>
      <c r="J36" s="63">
        <v>246</v>
      </c>
      <c r="K36" s="63">
        <v>825</v>
      </c>
      <c r="L36" s="63">
        <v>3061</v>
      </c>
      <c r="M36" s="63">
        <v>22383</v>
      </c>
      <c r="N36" s="63">
        <v>7258</v>
      </c>
      <c r="O36" s="63">
        <v>30593</v>
      </c>
      <c r="P36" s="63">
        <v>1956</v>
      </c>
      <c r="Q36" s="63">
        <v>20823</v>
      </c>
      <c r="R36" s="16">
        <f t="shared" si="0"/>
        <v>12275</v>
      </c>
      <c r="T36" s="140">
        <f t="shared" si="1"/>
        <v>37098</v>
      </c>
      <c r="AS36" s="5">
        <v>13028</v>
      </c>
      <c r="AT36" s="5">
        <f t="shared" si="2"/>
        <v>12720</v>
      </c>
      <c r="AU36" s="20"/>
    </row>
    <row r="37" spans="1:47" ht="15.6" x14ac:dyDescent="0.3">
      <c r="A37" s="55">
        <v>36993</v>
      </c>
      <c r="B37" s="63">
        <v>1098</v>
      </c>
      <c r="C37" s="63">
        <v>8073</v>
      </c>
      <c r="D37" s="63">
        <v>404</v>
      </c>
      <c r="E37" s="63">
        <v>4028</v>
      </c>
      <c r="F37" s="63">
        <v>879</v>
      </c>
      <c r="G37" s="63">
        <v>4927</v>
      </c>
      <c r="H37" s="63">
        <v>569</v>
      </c>
      <c r="I37" s="63">
        <v>4561</v>
      </c>
      <c r="J37" s="63">
        <v>274</v>
      </c>
      <c r="K37" s="63">
        <v>954</v>
      </c>
      <c r="L37" s="63">
        <v>3223</v>
      </c>
      <c r="M37" s="63">
        <v>22543</v>
      </c>
      <c r="N37" s="63">
        <v>5216</v>
      </c>
      <c r="O37" s="63">
        <v>28787</v>
      </c>
      <c r="P37" s="63">
        <v>2090</v>
      </c>
      <c r="Q37" s="63">
        <v>22744</v>
      </c>
      <c r="R37" s="16">
        <f t="shared" si="0"/>
        <v>10529</v>
      </c>
      <c r="T37" s="140">
        <f t="shared" si="1"/>
        <v>37105</v>
      </c>
      <c r="AS37" s="5">
        <v>13528</v>
      </c>
      <c r="AT37" s="5">
        <f t="shared" si="2"/>
        <v>13012.5</v>
      </c>
      <c r="AU37" s="20"/>
    </row>
    <row r="38" spans="1:47" ht="15.6" x14ac:dyDescent="0.3">
      <c r="A38" s="55">
        <v>36636</v>
      </c>
      <c r="B38" s="63">
        <v>867</v>
      </c>
      <c r="C38" s="63">
        <v>9632</v>
      </c>
      <c r="D38" s="63">
        <v>346</v>
      </c>
      <c r="E38" s="63">
        <v>3828</v>
      </c>
      <c r="F38" s="63">
        <v>681</v>
      </c>
      <c r="G38" s="63">
        <v>5072</v>
      </c>
      <c r="H38" s="63">
        <v>665</v>
      </c>
      <c r="I38" s="63">
        <v>3472</v>
      </c>
      <c r="J38" s="63">
        <v>256</v>
      </c>
      <c r="K38" s="63">
        <v>825</v>
      </c>
      <c r="L38" s="63">
        <v>2815</v>
      </c>
      <c r="M38" s="63">
        <v>22829</v>
      </c>
      <c r="N38" s="63">
        <v>7405</v>
      </c>
      <c r="O38" s="63">
        <v>31682</v>
      </c>
      <c r="P38" s="63">
        <v>1909</v>
      </c>
      <c r="Q38" s="63">
        <v>21107</v>
      </c>
      <c r="R38" s="16">
        <f t="shared" si="0"/>
        <v>12129</v>
      </c>
      <c r="T38" s="140">
        <f t="shared" si="1"/>
        <v>37112</v>
      </c>
      <c r="AS38" s="5">
        <v>12883</v>
      </c>
      <c r="AT38" s="5">
        <f t="shared" si="2"/>
        <v>13012.5</v>
      </c>
      <c r="AU38" s="20"/>
    </row>
    <row r="39" spans="1:47" ht="15.6" x14ac:dyDescent="0.3">
      <c r="A39" s="55">
        <v>37000</v>
      </c>
      <c r="B39" s="63">
        <v>952</v>
      </c>
      <c r="C39" s="63">
        <v>8297</v>
      </c>
      <c r="D39" s="63">
        <v>407</v>
      </c>
      <c r="E39" s="63">
        <v>4110</v>
      </c>
      <c r="F39" s="63">
        <v>853</v>
      </c>
      <c r="G39" s="63">
        <v>5033</v>
      </c>
      <c r="H39" s="63">
        <v>531</v>
      </c>
      <c r="I39" s="63">
        <v>4635</v>
      </c>
      <c r="J39" s="63">
        <v>205</v>
      </c>
      <c r="K39" s="63">
        <v>1021</v>
      </c>
      <c r="L39" s="63">
        <v>2947</v>
      </c>
      <c r="M39" s="63">
        <v>23096</v>
      </c>
      <c r="N39" s="63">
        <v>4735</v>
      </c>
      <c r="O39" s="63">
        <v>29675</v>
      </c>
      <c r="P39" s="63">
        <v>2060</v>
      </c>
      <c r="Q39" s="63">
        <v>22906</v>
      </c>
      <c r="R39" s="16">
        <f t="shared" si="0"/>
        <v>9742</v>
      </c>
      <c r="T39" s="140">
        <f t="shared" si="1"/>
        <v>37119</v>
      </c>
      <c r="AS39" s="5">
        <v>12040</v>
      </c>
      <c r="AT39" s="5">
        <f t="shared" si="2"/>
        <v>12869.75</v>
      </c>
      <c r="AU39" s="20"/>
    </row>
    <row r="40" spans="1:47" ht="15.6" x14ac:dyDescent="0.3">
      <c r="A40" s="55">
        <v>36643</v>
      </c>
      <c r="B40" s="63">
        <v>741</v>
      </c>
      <c r="C40" s="63">
        <v>9849</v>
      </c>
      <c r="D40" s="63">
        <v>472</v>
      </c>
      <c r="E40" s="63">
        <v>3870</v>
      </c>
      <c r="F40" s="63">
        <v>673</v>
      </c>
      <c r="G40" s="63">
        <v>5147</v>
      </c>
      <c r="H40" s="63">
        <v>639</v>
      </c>
      <c r="I40" s="63">
        <v>3506</v>
      </c>
      <c r="J40" s="63">
        <v>255</v>
      </c>
      <c r="K40" s="63">
        <v>825</v>
      </c>
      <c r="L40" s="63">
        <v>2779</v>
      </c>
      <c r="M40" s="63">
        <v>23198</v>
      </c>
      <c r="N40" s="63">
        <v>6877</v>
      </c>
      <c r="O40" s="63">
        <v>32624</v>
      </c>
      <c r="P40" s="63">
        <v>1979</v>
      </c>
      <c r="Q40" s="63">
        <v>21295</v>
      </c>
      <c r="R40" s="16">
        <f t="shared" si="0"/>
        <v>11635</v>
      </c>
      <c r="T40" s="140">
        <f t="shared" si="1"/>
        <v>37126</v>
      </c>
      <c r="AS40" s="5">
        <v>11563</v>
      </c>
      <c r="AT40" s="5">
        <f t="shared" si="2"/>
        <v>12503.5</v>
      </c>
      <c r="AU40" s="20"/>
    </row>
    <row r="41" spans="1:47" ht="15.6" x14ac:dyDescent="0.3">
      <c r="A41" s="55">
        <v>37007</v>
      </c>
      <c r="B41" s="63">
        <v>915</v>
      </c>
      <c r="C41" s="63">
        <v>8510</v>
      </c>
      <c r="D41" s="63">
        <v>397</v>
      </c>
      <c r="E41" s="63">
        <v>4158</v>
      </c>
      <c r="F41" s="63">
        <v>705</v>
      </c>
      <c r="G41" s="63">
        <v>5208</v>
      </c>
      <c r="H41" s="63">
        <v>518</v>
      </c>
      <c r="I41" s="63">
        <v>4671</v>
      </c>
      <c r="J41" s="63">
        <v>154</v>
      </c>
      <c r="K41" s="63">
        <v>1023</v>
      </c>
      <c r="L41" s="63">
        <v>2689</v>
      </c>
      <c r="M41" s="63">
        <v>23570</v>
      </c>
      <c r="N41" s="63">
        <v>5168</v>
      </c>
      <c r="O41" s="63">
        <v>30510</v>
      </c>
      <c r="P41" s="63">
        <v>2115</v>
      </c>
      <c r="Q41" s="63">
        <v>23145</v>
      </c>
      <c r="R41" s="16">
        <f t="shared" si="0"/>
        <v>9972</v>
      </c>
      <c r="T41" s="140">
        <f t="shared" si="1"/>
        <v>37133</v>
      </c>
      <c r="AS41" s="5">
        <v>9980</v>
      </c>
      <c r="AT41" s="5">
        <f t="shared" si="2"/>
        <v>11616.5</v>
      </c>
      <c r="AU41" s="20"/>
    </row>
    <row r="42" spans="1:47" ht="15.6" x14ac:dyDescent="0.3">
      <c r="A42" s="55">
        <v>36650</v>
      </c>
      <c r="B42" s="56">
        <v>824</v>
      </c>
      <c r="C42" s="56">
        <v>10005</v>
      </c>
      <c r="D42" s="56">
        <v>422</v>
      </c>
      <c r="E42" s="56">
        <v>3903.7</v>
      </c>
      <c r="F42" s="56">
        <v>579</v>
      </c>
      <c r="G42" s="56">
        <v>5283.3</v>
      </c>
      <c r="H42" s="56">
        <v>588</v>
      </c>
      <c r="I42" s="56">
        <v>3618.3</v>
      </c>
      <c r="J42" s="56">
        <v>204</v>
      </c>
      <c r="K42" s="56">
        <v>878</v>
      </c>
      <c r="L42" s="56">
        <v>2617</v>
      </c>
      <c r="M42" s="56">
        <v>23688</v>
      </c>
      <c r="N42" s="56">
        <v>6817</v>
      </c>
      <c r="O42" s="56">
        <v>33432</v>
      </c>
      <c r="P42" s="56">
        <v>1776</v>
      </c>
      <c r="Q42" s="56">
        <v>21794</v>
      </c>
      <c r="R42" s="16">
        <f t="shared" si="0"/>
        <v>11210</v>
      </c>
      <c r="T42" s="140">
        <f t="shared" si="1"/>
        <v>37140</v>
      </c>
      <c r="AS42" s="5">
        <v>8822</v>
      </c>
      <c r="AT42" s="5">
        <f t="shared" si="2"/>
        <v>10601.25</v>
      </c>
      <c r="AU42" s="20"/>
    </row>
    <row r="43" spans="1:47" ht="15.6" x14ac:dyDescent="0.3">
      <c r="A43" s="55">
        <v>37014</v>
      </c>
      <c r="B43" s="56">
        <v>814</v>
      </c>
      <c r="C43" s="56">
        <v>8685</v>
      </c>
      <c r="D43" s="56">
        <v>308</v>
      </c>
      <c r="E43" s="56">
        <v>4282.3</v>
      </c>
      <c r="F43" s="56">
        <v>584</v>
      </c>
      <c r="G43" s="56">
        <v>5364.6</v>
      </c>
      <c r="H43" s="56">
        <v>426</v>
      </c>
      <c r="I43" s="56">
        <v>4795.7</v>
      </c>
      <c r="J43" s="56">
        <v>148</v>
      </c>
      <c r="K43" s="56">
        <v>1098</v>
      </c>
      <c r="L43" s="56">
        <v>2280</v>
      </c>
      <c r="M43" s="56">
        <v>24226</v>
      </c>
      <c r="N43" s="56">
        <v>5444</v>
      </c>
      <c r="O43" s="56">
        <v>31156</v>
      </c>
      <c r="P43" s="56">
        <v>2110</v>
      </c>
      <c r="Q43" s="56">
        <v>23333</v>
      </c>
      <c r="R43" s="16">
        <f t="shared" si="0"/>
        <v>9834</v>
      </c>
      <c r="T43" s="140">
        <f t="shared" si="1"/>
        <v>37147</v>
      </c>
      <c r="AS43" s="5">
        <v>7460</v>
      </c>
      <c r="AT43" s="5">
        <f t="shared" si="2"/>
        <v>9456.25</v>
      </c>
      <c r="AU43" s="20"/>
    </row>
    <row r="44" spans="1:47" ht="15.6" x14ac:dyDescent="0.3">
      <c r="A44" s="55">
        <v>36657</v>
      </c>
      <c r="B44" s="56">
        <v>755</v>
      </c>
      <c r="C44" s="56">
        <v>10102.9</v>
      </c>
      <c r="D44" s="56">
        <v>240</v>
      </c>
      <c r="E44" s="56">
        <v>4060.4</v>
      </c>
      <c r="F44" s="56">
        <v>524</v>
      </c>
      <c r="G44" s="56">
        <v>5353</v>
      </c>
      <c r="H44" s="56">
        <v>539</v>
      </c>
      <c r="I44" s="56">
        <v>3682</v>
      </c>
      <c r="J44" s="56">
        <v>167</v>
      </c>
      <c r="K44" s="56">
        <v>918</v>
      </c>
      <c r="L44" s="56">
        <v>2226</v>
      </c>
      <c r="M44" s="56">
        <v>24117</v>
      </c>
      <c r="N44" s="56">
        <v>6941</v>
      </c>
      <c r="O44" s="56">
        <v>34082</v>
      </c>
      <c r="P44" s="56">
        <v>1728</v>
      </c>
      <c r="Q44" s="56">
        <v>22041</v>
      </c>
      <c r="R44" s="16">
        <f t="shared" si="0"/>
        <v>10895</v>
      </c>
      <c r="T44" s="140">
        <f t="shared" si="1"/>
        <v>37154</v>
      </c>
      <c r="AS44" s="5">
        <v>16399</v>
      </c>
      <c r="AT44" s="5">
        <f t="shared" si="2"/>
        <v>10665.25</v>
      </c>
      <c r="AU44" s="20"/>
    </row>
    <row r="45" spans="1:47" ht="15.6" x14ac:dyDescent="0.3">
      <c r="A45" s="55">
        <v>37021</v>
      </c>
      <c r="B45" s="56">
        <v>690</v>
      </c>
      <c r="C45" s="56">
        <v>8843.9</v>
      </c>
      <c r="D45" s="56">
        <v>300</v>
      </c>
      <c r="E45" s="56">
        <v>4294.6000000000004</v>
      </c>
      <c r="F45" s="56">
        <v>536</v>
      </c>
      <c r="G45" s="56">
        <v>5455</v>
      </c>
      <c r="H45" s="56">
        <v>415</v>
      </c>
      <c r="I45" s="56">
        <v>4847</v>
      </c>
      <c r="J45" s="56">
        <v>158</v>
      </c>
      <c r="K45" s="56">
        <v>1101</v>
      </c>
      <c r="L45" s="56">
        <v>2099</v>
      </c>
      <c r="M45" s="56">
        <v>24542</v>
      </c>
      <c r="N45" s="56">
        <v>5620</v>
      </c>
      <c r="O45" s="56">
        <v>31848</v>
      </c>
      <c r="P45" s="56">
        <v>2133</v>
      </c>
      <c r="Q45" s="56">
        <v>23616</v>
      </c>
      <c r="R45" s="16">
        <f t="shared" si="0"/>
        <v>9852</v>
      </c>
      <c r="T45" s="140">
        <f t="shared" si="1"/>
        <v>37161</v>
      </c>
      <c r="AS45" s="5">
        <v>16481</v>
      </c>
      <c r="AT45" s="5">
        <f t="shared" si="2"/>
        <v>12290.5</v>
      </c>
      <c r="AU45" s="20"/>
    </row>
    <row r="46" spans="1:47" ht="15.6" x14ac:dyDescent="0.3">
      <c r="A46" s="55">
        <v>36664</v>
      </c>
      <c r="B46" s="56">
        <v>703</v>
      </c>
      <c r="C46" s="56">
        <v>10258</v>
      </c>
      <c r="D46" s="56">
        <v>170</v>
      </c>
      <c r="E46" s="56">
        <v>4114</v>
      </c>
      <c r="F46" s="56">
        <v>402</v>
      </c>
      <c r="G46" s="56">
        <v>5423</v>
      </c>
      <c r="H46" s="56">
        <v>356</v>
      </c>
      <c r="I46" s="56">
        <v>3814</v>
      </c>
      <c r="J46" s="56">
        <v>150</v>
      </c>
      <c r="K46" s="56">
        <v>936</v>
      </c>
      <c r="L46" s="56">
        <v>1780</v>
      </c>
      <c r="M46" s="56">
        <v>24544</v>
      </c>
      <c r="N46" s="56">
        <v>6979</v>
      </c>
      <c r="O46" s="56">
        <v>34970</v>
      </c>
      <c r="P46" s="56">
        <v>1900</v>
      </c>
      <c r="Q46" s="56">
        <v>22208</v>
      </c>
      <c r="R46" s="16">
        <f t="shared" si="0"/>
        <v>10659</v>
      </c>
      <c r="T46" s="140">
        <f t="shared" si="1"/>
        <v>37168</v>
      </c>
      <c r="AS46" s="5">
        <v>16622</v>
      </c>
      <c r="AT46" s="5">
        <f t="shared" si="2"/>
        <v>14240.5</v>
      </c>
      <c r="AU46" s="20"/>
    </row>
    <row r="47" spans="1:47" ht="15.6" x14ac:dyDescent="0.3">
      <c r="A47" s="55">
        <v>37028</v>
      </c>
      <c r="B47" s="56">
        <v>683</v>
      </c>
      <c r="C47" s="56">
        <v>8942.6</v>
      </c>
      <c r="D47" s="56">
        <v>180</v>
      </c>
      <c r="E47" s="56">
        <v>4389</v>
      </c>
      <c r="F47" s="56">
        <v>514</v>
      </c>
      <c r="G47" s="56">
        <v>5511</v>
      </c>
      <c r="H47" s="56">
        <v>369</v>
      </c>
      <c r="I47" s="56">
        <v>4945</v>
      </c>
      <c r="J47" s="56">
        <v>150</v>
      </c>
      <c r="K47" s="56">
        <v>1118</v>
      </c>
      <c r="L47" s="56">
        <v>1896</v>
      </c>
      <c r="M47" s="56">
        <v>24905</v>
      </c>
      <c r="N47" s="56">
        <v>6187</v>
      </c>
      <c r="O47" s="56">
        <v>32470</v>
      </c>
      <c r="P47" s="56">
        <v>2083</v>
      </c>
      <c r="Q47" s="56">
        <v>23781</v>
      </c>
      <c r="R47" s="16">
        <f t="shared" si="0"/>
        <v>10166</v>
      </c>
      <c r="T47" s="140">
        <f t="shared" si="1"/>
        <v>37175</v>
      </c>
      <c r="AS47" s="5">
        <v>17830</v>
      </c>
      <c r="AT47" s="5">
        <f t="shared" si="2"/>
        <v>16833</v>
      </c>
      <c r="AU47" s="20"/>
    </row>
    <row r="48" spans="1:47" ht="15.6" x14ac:dyDescent="0.3">
      <c r="A48" s="55">
        <v>36671</v>
      </c>
      <c r="B48" s="56">
        <v>526</v>
      </c>
      <c r="C48" s="56">
        <v>10491</v>
      </c>
      <c r="D48" s="56">
        <v>136</v>
      </c>
      <c r="E48" s="56">
        <v>4160</v>
      </c>
      <c r="F48" s="56">
        <v>275</v>
      </c>
      <c r="G48" s="56">
        <v>5511</v>
      </c>
      <c r="H48" s="56">
        <v>244</v>
      </c>
      <c r="I48" s="56">
        <v>3914</v>
      </c>
      <c r="J48" s="56">
        <v>103</v>
      </c>
      <c r="K48" s="56">
        <v>984</v>
      </c>
      <c r="L48" s="56">
        <v>1285</v>
      </c>
      <c r="M48" s="56">
        <v>25060</v>
      </c>
      <c r="N48" s="56">
        <v>6889</v>
      </c>
      <c r="O48" s="56">
        <v>35816</v>
      </c>
      <c r="P48" s="56">
        <v>1973</v>
      </c>
      <c r="Q48" s="56">
        <v>22428</v>
      </c>
      <c r="R48" s="16">
        <f t="shared" si="0"/>
        <v>10147</v>
      </c>
      <c r="T48" s="140">
        <f t="shared" si="1"/>
        <v>37182</v>
      </c>
      <c r="AS48" s="5">
        <v>18705</v>
      </c>
      <c r="AT48" s="5">
        <f t="shared" si="2"/>
        <v>17409.5</v>
      </c>
      <c r="AU48" s="20"/>
    </row>
    <row r="49" spans="1:47" ht="15.6" x14ac:dyDescent="0.3">
      <c r="A49" s="55">
        <v>37035</v>
      </c>
      <c r="B49" s="56">
        <v>535</v>
      </c>
      <c r="C49" s="56">
        <v>9117</v>
      </c>
      <c r="D49" s="56">
        <v>174</v>
      </c>
      <c r="E49" s="56">
        <v>4422</v>
      </c>
      <c r="F49" s="56">
        <v>455</v>
      </c>
      <c r="G49" s="56">
        <v>5598</v>
      </c>
      <c r="H49" s="56">
        <v>228</v>
      </c>
      <c r="I49" s="56">
        <v>5050</v>
      </c>
      <c r="J49" s="56">
        <v>155</v>
      </c>
      <c r="K49" s="56">
        <v>1118</v>
      </c>
      <c r="L49" s="56">
        <v>1547</v>
      </c>
      <c r="M49" s="56">
        <v>25305</v>
      </c>
      <c r="N49" s="56">
        <v>6164</v>
      </c>
      <c r="O49" s="56">
        <v>33266</v>
      </c>
      <c r="P49" s="56">
        <v>1949</v>
      </c>
      <c r="Q49" s="56">
        <v>24058</v>
      </c>
      <c r="R49" s="16">
        <f t="shared" si="0"/>
        <v>9660</v>
      </c>
      <c r="T49" s="140">
        <f t="shared" si="1"/>
        <v>37189</v>
      </c>
      <c r="AS49" s="5">
        <v>19361</v>
      </c>
      <c r="AT49" s="5">
        <f t="shared" si="2"/>
        <v>18129.5</v>
      </c>
      <c r="AU49" s="20"/>
    </row>
    <row r="50" spans="1:47" ht="15.6" x14ac:dyDescent="0.3">
      <c r="A50" s="55">
        <v>36678</v>
      </c>
      <c r="B50" s="56">
        <v>337</v>
      </c>
      <c r="C50" s="56">
        <v>10629.4</v>
      </c>
      <c r="D50" s="56">
        <v>102</v>
      </c>
      <c r="E50" s="56">
        <v>4195</v>
      </c>
      <c r="F50" s="56">
        <v>201</v>
      </c>
      <c r="G50" s="56">
        <v>5590</v>
      </c>
      <c r="H50" s="56">
        <v>94</v>
      </c>
      <c r="I50" s="56">
        <v>4055</v>
      </c>
      <c r="J50" s="56">
        <v>103</v>
      </c>
      <c r="K50" s="56">
        <v>984</v>
      </c>
      <c r="L50" s="56">
        <v>837</v>
      </c>
      <c r="M50" s="56">
        <v>25453</v>
      </c>
      <c r="N50" s="56">
        <v>7063</v>
      </c>
      <c r="O50" s="56">
        <v>36584</v>
      </c>
      <c r="P50" s="56">
        <v>2020</v>
      </c>
      <c r="Q50" s="56">
        <v>22714</v>
      </c>
      <c r="R50" s="16">
        <f t="shared" si="0"/>
        <v>9920</v>
      </c>
      <c r="T50" s="140">
        <f t="shared" si="1"/>
        <v>37196</v>
      </c>
      <c r="AS50" s="5">
        <v>19962</v>
      </c>
      <c r="AT50" s="5">
        <f t="shared" si="2"/>
        <v>18964.5</v>
      </c>
      <c r="AU50" s="20"/>
    </row>
    <row r="51" spans="1:47" ht="15.6" x14ac:dyDescent="0.3">
      <c r="A51" s="55">
        <v>37042</v>
      </c>
      <c r="B51" s="56">
        <v>354</v>
      </c>
      <c r="C51" s="56">
        <v>9313.5</v>
      </c>
      <c r="D51" s="56">
        <v>140</v>
      </c>
      <c r="E51" s="56">
        <v>4444.5</v>
      </c>
      <c r="F51" s="56">
        <v>391</v>
      </c>
      <c r="G51" s="56">
        <v>5775</v>
      </c>
      <c r="H51" s="56">
        <v>138</v>
      </c>
      <c r="I51" s="56">
        <v>5156</v>
      </c>
      <c r="J51" s="56">
        <v>144</v>
      </c>
      <c r="K51" s="56">
        <v>1130</v>
      </c>
      <c r="L51" s="56">
        <v>1167</v>
      </c>
      <c r="M51" s="56">
        <v>25819</v>
      </c>
      <c r="N51" s="56">
        <v>6653</v>
      </c>
      <c r="O51" s="56">
        <v>33693</v>
      </c>
      <c r="P51" s="56">
        <v>1947</v>
      </c>
      <c r="Q51" s="56">
        <v>24354</v>
      </c>
      <c r="R51" s="16">
        <f t="shared" si="0"/>
        <v>9767</v>
      </c>
      <c r="T51" s="140">
        <f t="shared" si="1"/>
        <v>37203</v>
      </c>
      <c r="AS51" s="5">
        <v>20527</v>
      </c>
      <c r="AT51" s="5">
        <f t="shared" si="2"/>
        <v>19638.75</v>
      </c>
      <c r="AU51" s="20"/>
    </row>
    <row r="52" spans="1:47" ht="15.6" x14ac:dyDescent="0.3">
      <c r="A52" s="55">
        <v>36685</v>
      </c>
      <c r="B52" s="56">
        <v>1062</v>
      </c>
      <c r="C52" s="56">
        <v>261.89999999999998</v>
      </c>
      <c r="D52" s="56">
        <v>764</v>
      </c>
      <c r="E52" s="56">
        <v>37</v>
      </c>
      <c r="F52" s="56">
        <v>765</v>
      </c>
      <c r="G52" s="56">
        <v>135</v>
      </c>
      <c r="H52" s="56">
        <v>603</v>
      </c>
      <c r="I52" s="56">
        <v>26</v>
      </c>
      <c r="J52" s="56">
        <v>256</v>
      </c>
      <c r="K52" s="56">
        <v>0</v>
      </c>
      <c r="L52" s="56">
        <v>3449.8</v>
      </c>
      <c r="M52" s="56">
        <v>460</v>
      </c>
      <c r="N52" s="56">
        <v>7125</v>
      </c>
      <c r="O52" s="56">
        <v>37500</v>
      </c>
      <c r="P52" s="56">
        <v>2058</v>
      </c>
      <c r="Q52" s="56">
        <v>23082</v>
      </c>
      <c r="R52" s="16">
        <f t="shared" si="0"/>
        <v>12632.8</v>
      </c>
      <c r="T52" s="140">
        <f t="shared" si="1"/>
        <v>37210</v>
      </c>
      <c r="AS52" s="5">
        <v>19863</v>
      </c>
      <c r="AT52" s="5">
        <f t="shared" si="2"/>
        <v>19928.25</v>
      </c>
      <c r="AU52" s="20"/>
    </row>
    <row r="53" spans="1:47" ht="15.6" x14ac:dyDescent="0.3">
      <c r="A53" s="55">
        <v>37049</v>
      </c>
      <c r="B53" s="56">
        <v>945.9</v>
      </c>
      <c r="C53" s="56">
        <v>97.6</v>
      </c>
      <c r="D53" s="56">
        <v>551</v>
      </c>
      <c r="E53" s="56">
        <v>27.5</v>
      </c>
      <c r="F53" s="56">
        <v>830</v>
      </c>
      <c r="G53" s="56">
        <v>73</v>
      </c>
      <c r="H53" s="56">
        <v>436</v>
      </c>
      <c r="I53" s="56">
        <v>61</v>
      </c>
      <c r="J53" s="56">
        <v>176</v>
      </c>
      <c r="K53" s="56">
        <v>31</v>
      </c>
      <c r="L53" s="56">
        <v>2939.5</v>
      </c>
      <c r="M53" s="56">
        <v>291</v>
      </c>
      <c r="N53" s="56">
        <v>7364</v>
      </c>
      <c r="O53" s="56">
        <v>34243</v>
      </c>
      <c r="P53" s="56">
        <v>2148</v>
      </c>
      <c r="Q53" s="56">
        <v>24439</v>
      </c>
      <c r="R53" s="16">
        <f t="shared" si="0"/>
        <v>12451.5</v>
      </c>
      <c r="T53" s="140">
        <f t="shared" si="1"/>
        <v>37217</v>
      </c>
      <c r="AS53" s="5">
        <v>19266</v>
      </c>
      <c r="AT53" s="5">
        <f t="shared" si="2"/>
        <v>19904.5</v>
      </c>
      <c r="AU53" s="20"/>
    </row>
    <row r="54" spans="1:47" ht="15.6" x14ac:dyDescent="0.3">
      <c r="A54" s="55">
        <v>36692</v>
      </c>
      <c r="B54" s="56">
        <v>1218</v>
      </c>
      <c r="C54" s="56">
        <v>383</v>
      </c>
      <c r="D54" s="56">
        <v>744</v>
      </c>
      <c r="E54" s="56">
        <v>162</v>
      </c>
      <c r="F54" s="56">
        <v>724</v>
      </c>
      <c r="G54" s="56">
        <v>253</v>
      </c>
      <c r="H54" s="56">
        <v>586</v>
      </c>
      <c r="I54" s="56">
        <v>107</v>
      </c>
      <c r="J54" s="56">
        <v>255</v>
      </c>
      <c r="K54" s="56">
        <v>1</v>
      </c>
      <c r="L54" s="56">
        <v>3526</v>
      </c>
      <c r="M54" s="56">
        <v>906</v>
      </c>
      <c r="N54" s="56">
        <v>7250</v>
      </c>
      <c r="O54" s="56">
        <v>38270</v>
      </c>
      <c r="P54" s="56">
        <v>2142</v>
      </c>
      <c r="Q54" s="56">
        <v>23286</v>
      </c>
      <c r="R54" s="16">
        <f t="shared" si="0"/>
        <v>12918</v>
      </c>
      <c r="T54" s="140">
        <f t="shared" si="1"/>
        <v>37224</v>
      </c>
      <c r="AS54" s="5">
        <v>19765</v>
      </c>
      <c r="AT54" s="5">
        <f t="shared" si="2"/>
        <v>19855.25</v>
      </c>
      <c r="AU54" s="20"/>
    </row>
    <row r="55" spans="1:47" ht="15.6" x14ac:dyDescent="0.3">
      <c r="A55" s="55">
        <v>37056</v>
      </c>
      <c r="B55" s="56">
        <v>838</v>
      </c>
      <c r="C55" s="56">
        <v>294</v>
      </c>
      <c r="D55" s="56">
        <v>540</v>
      </c>
      <c r="E55" s="56">
        <v>145</v>
      </c>
      <c r="F55" s="56">
        <v>815</v>
      </c>
      <c r="G55" s="56">
        <v>142</v>
      </c>
      <c r="H55" s="56">
        <v>418</v>
      </c>
      <c r="I55" s="56">
        <v>125</v>
      </c>
      <c r="J55" s="56">
        <v>217</v>
      </c>
      <c r="K55" s="56">
        <v>31</v>
      </c>
      <c r="L55" s="56">
        <v>2844</v>
      </c>
      <c r="M55" s="56">
        <v>738</v>
      </c>
      <c r="N55" s="56">
        <v>7368</v>
      </c>
      <c r="O55" s="56">
        <v>35177</v>
      </c>
      <c r="P55" s="56">
        <v>2020</v>
      </c>
      <c r="Q55" s="56">
        <v>24620</v>
      </c>
      <c r="R55" s="16">
        <f t="shared" si="0"/>
        <v>12232</v>
      </c>
      <c r="T55" s="140">
        <f t="shared" si="1"/>
        <v>37231</v>
      </c>
      <c r="AS55" s="5">
        <v>19081</v>
      </c>
      <c r="AT55" s="5">
        <f t="shared" si="2"/>
        <v>19493.75</v>
      </c>
      <c r="AU55" s="20"/>
    </row>
    <row r="56" spans="1:47" ht="15.6" x14ac:dyDescent="0.3">
      <c r="A56" s="55">
        <v>36699</v>
      </c>
      <c r="B56" s="56">
        <v>1188</v>
      </c>
      <c r="C56" s="56">
        <v>554</v>
      </c>
      <c r="D56" s="56">
        <v>723</v>
      </c>
      <c r="E56" s="56">
        <v>238</v>
      </c>
      <c r="F56" s="56">
        <v>770</v>
      </c>
      <c r="G56" s="56">
        <v>353</v>
      </c>
      <c r="H56" s="56">
        <v>591</v>
      </c>
      <c r="I56" s="56">
        <v>166</v>
      </c>
      <c r="J56" s="56">
        <v>245</v>
      </c>
      <c r="K56" s="56">
        <v>21</v>
      </c>
      <c r="L56" s="56">
        <v>3516</v>
      </c>
      <c r="M56" s="56">
        <v>1332</v>
      </c>
      <c r="N56" s="56">
        <v>7161</v>
      </c>
      <c r="O56" s="56">
        <v>39035</v>
      </c>
      <c r="P56" s="56">
        <v>2079</v>
      </c>
      <c r="Q56" s="56">
        <v>23539</v>
      </c>
      <c r="R56" s="16">
        <f t="shared" si="0"/>
        <v>12756</v>
      </c>
      <c r="T56" s="140">
        <f t="shared" si="1"/>
        <v>37238</v>
      </c>
      <c r="AS56" s="5">
        <v>19946</v>
      </c>
      <c r="AT56" s="5">
        <f t="shared" si="2"/>
        <v>19514.5</v>
      </c>
      <c r="AU56" s="20"/>
    </row>
    <row r="57" spans="1:47" ht="15.6" x14ac:dyDescent="0.3">
      <c r="A57" s="55">
        <v>37063</v>
      </c>
      <c r="B57" s="56">
        <v>948</v>
      </c>
      <c r="C57" s="56">
        <v>476</v>
      </c>
      <c r="D57" s="56">
        <v>593</v>
      </c>
      <c r="E57" s="56">
        <v>203</v>
      </c>
      <c r="F57" s="56">
        <v>747</v>
      </c>
      <c r="G57" s="56">
        <v>274</v>
      </c>
      <c r="H57" s="56">
        <v>471</v>
      </c>
      <c r="I57" s="56">
        <v>144</v>
      </c>
      <c r="J57" s="56">
        <v>219</v>
      </c>
      <c r="K57" s="56">
        <v>50</v>
      </c>
      <c r="L57" s="56">
        <v>2978</v>
      </c>
      <c r="M57" s="56">
        <v>1146</v>
      </c>
      <c r="N57" s="56">
        <v>7448</v>
      </c>
      <c r="O57" s="56">
        <v>36139</v>
      </c>
      <c r="P57" s="56">
        <v>1932</v>
      </c>
      <c r="Q57" s="56">
        <v>24895</v>
      </c>
      <c r="R57" s="16">
        <f t="shared" si="0"/>
        <v>12358</v>
      </c>
      <c r="T57" s="140">
        <f t="shared" si="1"/>
        <v>37245</v>
      </c>
      <c r="AS57" s="5">
        <v>19623</v>
      </c>
      <c r="AT57" s="5">
        <f t="shared" si="2"/>
        <v>19603.75</v>
      </c>
      <c r="AU57" s="20"/>
    </row>
    <row r="58" spans="1:47" ht="15.6" x14ac:dyDescent="0.3">
      <c r="A58" s="55">
        <v>36706</v>
      </c>
      <c r="B58" s="56">
        <v>1069</v>
      </c>
      <c r="C58" s="56">
        <v>756</v>
      </c>
      <c r="D58" s="56">
        <v>617</v>
      </c>
      <c r="E58" s="56">
        <v>361</v>
      </c>
      <c r="F58" s="56">
        <v>766</v>
      </c>
      <c r="G58" s="56">
        <v>428</v>
      </c>
      <c r="H58" s="56">
        <v>410</v>
      </c>
      <c r="I58" s="56">
        <v>354</v>
      </c>
      <c r="J58" s="56">
        <v>242</v>
      </c>
      <c r="K58" s="56">
        <v>25</v>
      </c>
      <c r="L58" s="56">
        <v>3103</v>
      </c>
      <c r="M58" s="56">
        <v>1923</v>
      </c>
      <c r="N58" s="56">
        <v>7227</v>
      </c>
      <c r="O58" s="56">
        <v>39776</v>
      </c>
      <c r="P58" s="56">
        <v>2112</v>
      </c>
      <c r="Q58" s="56">
        <v>23927</v>
      </c>
      <c r="R58" s="16">
        <f t="shared" si="0"/>
        <v>12442</v>
      </c>
      <c r="T58" s="140">
        <f t="shared" si="1"/>
        <v>37252</v>
      </c>
      <c r="AS58" s="5">
        <v>19738</v>
      </c>
      <c r="AT58" s="5">
        <f t="shared" si="2"/>
        <v>19597</v>
      </c>
      <c r="AU58" s="20"/>
    </row>
    <row r="59" spans="1:47" ht="15.6" x14ac:dyDescent="0.3">
      <c r="A59" s="55">
        <v>37070</v>
      </c>
      <c r="B59" s="56">
        <v>1033</v>
      </c>
      <c r="C59" s="56">
        <v>589</v>
      </c>
      <c r="D59" s="56">
        <v>723</v>
      </c>
      <c r="E59" s="56">
        <v>254</v>
      </c>
      <c r="F59" s="56">
        <v>845</v>
      </c>
      <c r="G59" s="56">
        <v>331</v>
      </c>
      <c r="H59" s="56">
        <v>465</v>
      </c>
      <c r="I59" s="56">
        <v>202</v>
      </c>
      <c r="J59" s="56">
        <v>234</v>
      </c>
      <c r="K59" s="56">
        <v>65</v>
      </c>
      <c r="L59" s="56">
        <v>3300</v>
      </c>
      <c r="M59" s="56">
        <v>1440</v>
      </c>
      <c r="N59" s="56">
        <v>7533</v>
      </c>
      <c r="O59" s="56">
        <v>36925</v>
      </c>
      <c r="P59" s="56">
        <v>2050</v>
      </c>
      <c r="Q59" s="56">
        <v>25282</v>
      </c>
      <c r="R59" s="16">
        <f t="shared" si="0"/>
        <v>12883</v>
      </c>
      <c r="T59" s="140">
        <f t="shared" si="1"/>
        <v>37259</v>
      </c>
      <c r="AS59" s="5">
        <v>19228</v>
      </c>
      <c r="AT59" s="5">
        <f t="shared" si="2"/>
        <v>19633.75</v>
      </c>
      <c r="AU59" s="20"/>
    </row>
    <row r="60" spans="1:47" ht="15.6" x14ac:dyDescent="0.3">
      <c r="A60" s="55">
        <v>36713</v>
      </c>
      <c r="B60" s="56">
        <v>1052</v>
      </c>
      <c r="C60" s="56">
        <v>896</v>
      </c>
      <c r="D60" s="56">
        <v>551</v>
      </c>
      <c r="E60" s="56">
        <v>547</v>
      </c>
      <c r="F60" s="56">
        <v>787</v>
      </c>
      <c r="G60" s="56">
        <v>573</v>
      </c>
      <c r="H60" s="56">
        <v>604</v>
      </c>
      <c r="I60" s="56">
        <v>387</v>
      </c>
      <c r="J60" s="56">
        <v>239</v>
      </c>
      <c r="K60" s="56">
        <v>28</v>
      </c>
      <c r="L60" s="56">
        <v>3233</v>
      </c>
      <c r="M60" s="56">
        <v>2431</v>
      </c>
      <c r="N60" s="56">
        <v>6820</v>
      </c>
      <c r="O60" s="56">
        <v>40757</v>
      </c>
      <c r="P60" s="56">
        <v>2197</v>
      </c>
      <c r="Q60" s="56">
        <v>24063</v>
      </c>
      <c r="R60" s="16">
        <f t="shared" si="0"/>
        <v>12250</v>
      </c>
      <c r="T60" s="140">
        <f t="shared" si="1"/>
        <v>37266</v>
      </c>
      <c r="AS60" s="5">
        <v>18002</v>
      </c>
      <c r="AT60" s="5">
        <f t="shared" si="2"/>
        <v>19147.75</v>
      </c>
      <c r="AU60" s="20"/>
    </row>
    <row r="61" spans="1:47" ht="15.6" x14ac:dyDescent="0.3">
      <c r="A61" s="55">
        <v>37077</v>
      </c>
      <c r="B61" s="56">
        <v>1011</v>
      </c>
      <c r="C61" s="56">
        <v>737</v>
      </c>
      <c r="D61" s="56">
        <v>634</v>
      </c>
      <c r="E61" s="56">
        <v>342</v>
      </c>
      <c r="F61" s="56">
        <v>854</v>
      </c>
      <c r="G61" s="56">
        <v>406</v>
      </c>
      <c r="H61" s="56">
        <v>481</v>
      </c>
      <c r="I61" s="56">
        <v>268</v>
      </c>
      <c r="J61" s="56">
        <v>219</v>
      </c>
      <c r="K61" s="56">
        <v>83</v>
      </c>
      <c r="L61" s="56">
        <v>3198</v>
      </c>
      <c r="M61" s="56">
        <v>1835</v>
      </c>
      <c r="N61" s="56">
        <v>7384</v>
      </c>
      <c r="O61" s="56">
        <v>37918</v>
      </c>
      <c r="P61" s="56">
        <v>2029</v>
      </c>
      <c r="Q61" s="56">
        <v>25429</v>
      </c>
      <c r="R61" s="16">
        <f t="shared" si="0"/>
        <v>12611</v>
      </c>
      <c r="T61" s="140">
        <f t="shared" si="1"/>
        <v>37273</v>
      </c>
      <c r="AS61" s="5">
        <v>18280</v>
      </c>
      <c r="AT61" s="5">
        <f t="shared" si="2"/>
        <v>18812</v>
      </c>
      <c r="AU61" s="71">
        <f t="shared" ref="AU61:AU124" si="3">(AT61/AS9)*100</f>
        <v>127.62550881953867</v>
      </c>
    </row>
    <row r="62" spans="1:47" ht="15.6" x14ac:dyDescent="0.3">
      <c r="A62" s="55">
        <v>36720</v>
      </c>
      <c r="B62" s="56">
        <v>964</v>
      </c>
      <c r="C62" s="56">
        <v>1193</v>
      </c>
      <c r="D62" s="56">
        <v>564</v>
      </c>
      <c r="E62" s="56">
        <v>686</v>
      </c>
      <c r="F62" s="56">
        <v>828</v>
      </c>
      <c r="G62" s="56">
        <v>656</v>
      </c>
      <c r="H62" s="56">
        <v>645</v>
      </c>
      <c r="I62" s="56">
        <v>413</v>
      </c>
      <c r="J62" s="56">
        <v>239</v>
      </c>
      <c r="K62" s="56">
        <v>58</v>
      </c>
      <c r="L62" s="56">
        <v>3239</v>
      </c>
      <c r="M62" s="56">
        <v>3005</v>
      </c>
      <c r="N62" s="56">
        <v>6716</v>
      </c>
      <c r="O62" s="56">
        <v>41668</v>
      </c>
      <c r="P62" s="56">
        <v>1993</v>
      </c>
      <c r="Q62" s="56">
        <v>24479</v>
      </c>
      <c r="R62" s="16">
        <f t="shared" si="0"/>
        <v>11948</v>
      </c>
      <c r="T62" s="140">
        <f t="shared" si="1"/>
        <v>37280</v>
      </c>
      <c r="AS62" s="5">
        <v>18509</v>
      </c>
      <c r="AT62" s="5">
        <f t="shared" si="2"/>
        <v>18504.75</v>
      </c>
      <c r="AU62" s="71">
        <f t="shared" si="3"/>
        <v>123.59571199572534</v>
      </c>
    </row>
    <row r="63" spans="1:47" ht="15.6" x14ac:dyDescent="0.3">
      <c r="A63" s="55">
        <v>37084</v>
      </c>
      <c r="B63" s="56">
        <v>1072</v>
      </c>
      <c r="C63" s="56">
        <v>870</v>
      </c>
      <c r="D63" s="56">
        <v>697</v>
      </c>
      <c r="E63" s="56">
        <v>443</v>
      </c>
      <c r="F63" s="56">
        <v>844</v>
      </c>
      <c r="G63" s="56">
        <v>476</v>
      </c>
      <c r="H63" s="56">
        <v>534</v>
      </c>
      <c r="I63" s="56">
        <v>308</v>
      </c>
      <c r="J63" s="56">
        <v>240</v>
      </c>
      <c r="K63" s="56">
        <v>95</v>
      </c>
      <c r="L63" s="56">
        <v>3386</v>
      </c>
      <c r="M63" s="56">
        <v>2193</v>
      </c>
      <c r="N63" s="56">
        <v>7550</v>
      </c>
      <c r="O63" s="56">
        <v>39080</v>
      </c>
      <c r="P63" s="56">
        <v>2092</v>
      </c>
      <c r="Q63" s="56">
        <v>25633</v>
      </c>
      <c r="R63" s="16">
        <f t="shared" si="0"/>
        <v>13028</v>
      </c>
      <c r="T63" s="140">
        <f t="shared" si="1"/>
        <v>37287</v>
      </c>
      <c r="AS63" s="5">
        <v>18402</v>
      </c>
      <c r="AT63" s="5">
        <f t="shared" si="2"/>
        <v>18298.25</v>
      </c>
      <c r="AU63" s="71">
        <f t="shared" si="3"/>
        <v>132.39454453368063</v>
      </c>
    </row>
    <row r="64" spans="1:47" ht="15.6" x14ac:dyDescent="0.3">
      <c r="A64" s="55">
        <v>36727</v>
      </c>
      <c r="B64" s="56">
        <v>1143</v>
      </c>
      <c r="C64" s="56">
        <v>1335</v>
      </c>
      <c r="D64" s="56">
        <v>512</v>
      </c>
      <c r="E64" s="56">
        <v>806</v>
      </c>
      <c r="F64" s="56">
        <v>839</v>
      </c>
      <c r="G64" s="56">
        <v>756</v>
      </c>
      <c r="H64" s="56">
        <v>789</v>
      </c>
      <c r="I64" s="56">
        <v>427</v>
      </c>
      <c r="J64" s="56">
        <v>354</v>
      </c>
      <c r="K64" s="56">
        <v>100</v>
      </c>
      <c r="L64" s="56">
        <v>3637</v>
      </c>
      <c r="M64" s="56">
        <v>3423</v>
      </c>
      <c r="N64" s="56">
        <v>6478</v>
      </c>
      <c r="O64" s="56">
        <v>42560</v>
      </c>
      <c r="P64" s="56">
        <v>1923</v>
      </c>
      <c r="Q64" s="56">
        <v>24800</v>
      </c>
      <c r="R64" s="16">
        <f t="shared" si="0"/>
        <v>12038</v>
      </c>
      <c r="T64" s="140">
        <f t="shared" si="1"/>
        <v>37294</v>
      </c>
      <c r="AS64" s="5">
        <v>18217</v>
      </c>
      <c r="AT64" s="5">
        <f t="shared" si="2"/>
        <v>18352</v>
      </c>
      <c r="AU64" s="71">
        <f t="shared" si="3"/>
        <v>106.87787548774095</v>
      </c>
    </row>
    <row r="65" spans="1:47" ht="15.6" x14ac:dyDescent="0.3">
      <c r="A65" s="55">
        <v>37091</v>
      </c>
      <c r="B65" s="56">
        <v>1253</v>
      </c>
      <c r="C65" s="56">
        <v>1042</v>
      </c>
      <c r="D65" s="56">
        <v>797</v>
      </c>
      <c r="E65" s="56">
        <v>512</v>
      </c>
      <c r="F65" s="56">
        <v>820</v>
      </c>
      <c r="G65" s="56">
        <v>610</v>
      </c>
      <c r="H65" s="56">
        <v>528</v>
      </c>
      <c r="I65" s="56">
        <v>339</v>
      </c>
      <c r="J65" s="56">
        <v>288</v>
      </c>
      <c r="K65" s="56">
        <v>97</v>
      </c>
      <c r="L65" s="56">
        <v>3687</v>
      </c>
      <c r="M65" s="56">
        <v>2599</v>
      </c>
      <c r="N65" s="56">
        <v>7934</v>
      </c>
      <c r="O65" s="56">
        <v>39922</v>
      </c>
      <c r="P65" s="56">
        <v>1907</v>
      </c>
      <c r="Q65" s="56">
        <v>25829</v>
      </c>
      <c r="R65" s="16">
        <f t="shared" si="0"/>
        <v>13528</v>
      </c>
      <c r="T65" s="140">
        <f t="shared" si="1"/>
        <v>37301</v>
      </c>
      <c r="AS65" s="5">
        <v>18012</v>
      </c>
      <c r="AT65" s="5">
        <f t="shared" si="2"/>
        <v>18285</v>
      </c>
      <c r="AU65" s="71">
        <f t="shared" si="3"/>
        <v>100.29069767441861</v>
      </c>
    </row>
    <row r="66" spans="1:47" ht="15.6" x14ac:dyDescent="0.3">
      <c r="A66" s="55">
        <v>36734</v>
      </c>
      <c r="B66" s="56">
        <v>1136</v>
      </c>
      <c r="C66" s="56">
        <v>1500</v>
      </c>
      <c r="D66" s="56">
        <v>543</v>
      </c>
      <c r="E66" s="56">
        <v>848</v>
      </c>
      <c r="F66" s="56">
        <v>804</v>
      </c>
      <c r="G66" s="56">
        <v>883</v>
      </c>
      <c r="H66" s="56">
        <v>761</v>
      </c>
      <c r="I66" s="56">
        <v>491</v>
      </c>
      <c r="J66" s="56">
        <v>318</v>
      </c>
      <c r="K66" s="56">
        <v>146</v>
      </c>
      <c r="L66" s="56">
        <v>3562</v>
      </c>
      <c r="M66" s="56">
        <v>3869</v>
      </c>
      <c r="N66" s="56">
        <v>6116</v>
      </c>
      <c r="O66" s="56">
        <v>43461</v>
      </c>
      <c r="P66" s="56">
        <v>1788</v>
      </c>
      <c r="Q66" s="56">
        <v>25175</v>
      </c>
      <c r="R66" s="16">
        <f t="shared" si="0"/>
        <v>11466</v>
      </c>
      <c r="T66" s="140">
        <f t="shared" si="1"/>
        <v>37308</v>
      </c>
      <c r="AS66" s="5">
        <v>17256</v>
      </c>
      <c r="AT66" s="5">
        <f t="shared" si="2"/>
        <v>17971.75</v>
      </c>
      <c r="AU66" s="71">
        <f t="shared" si="3"/>
        <v>100.41261824012872</v>
      </c>
    </row>
    <row r="67" spans="1:47" ht="15.6" x14ac:dyDescent="0.3">
      <c r="A67" s="55">
        <v>37098</v>
      </c>
      <c r="B67" s="56">
        <v>1307</v>
      </c>
      <c r="C67" s="56">
        <v>1131</v>
      </c>
      <c r="D67" s="56">
        <v>818</v>
      </c>
      <c r="E67" s="56">
        <v>570</v>
      </c>
      <c r="F67" s="56">
        <v>908</v>
      </c>
      <c r="G67" s="56">
        <v>665</v>
      </c>
      <c r="H67" s="56">
        <v>586</v>
      </c>
      <c r="I67" s="56">
        <v>356</v>
      </c>
      <c r="J67" s="56">
        <v>256</v>
      </c>
      <c r="K67" s="56">
        <v>143</v>
      </c>
      <c r="L67" s="56">
        <v>3873</v>
      </c>
      <c r="M67" s="56">
        <v>2865</v>
      </c>
      <c r="N67" s="56">
        <v>7111</v>
      </c>
      <c r="O67" s="56">
        <v>41067</v>
      </c>
      <c r="P67" s="56">
        <v>1899</v>
      </c>
      <c r="Q67" s="56">
        <v>26067</v>
      </c>
      <c r="R67" s="16">
        <f t="shared" si="0"/>
        <v>12883</v>
      </c>
      <c r="T67" s="140">
        <f t="shared" si="1"/>
        <v>37315</v>
      </c>
      <c r="AS67" s="5">
        <v>16435</v>
      </c>
      <c r="AT67" s="5">
        <f t="shared" si="2"/>
        <v>17480</v>
      </c>
      <c r="AU67" s="71">
        <f t="shared" si="3"/>
        <v>99.811568549077819</v>
      </c>
    </row>
    <row r="68" spans="1:47" ht="15.6" x14ac:dyDescent="0.3">
      <c r="A68" s="55">
        <v>36741</v>
      </c>
      <c r="B68" s="56">
        <v>1215</v>
      </c>
      <c r="C68" s="56">
        <v>1691</v>
      </c>
      <c r="D68" s="56">
        <v>651</v>
      </c>
      <c r="E68" s="56">
        <v>934</v>
      </c>
      <c r="F68" s="56">
        <v>901</v>
      </c>
      <c r="G68" s="56">
        <v>957</v>
      </c>
      <c r="H68" s="56">
        <v>1038</v>
      </c>
      <c r="I68" s="56">
        <v>637</v>
      </c>
      <c r="J68" s="56">
        <v>343</v>
      </c>
      <c r="K68" s="56">
        <v>163</v>
      </c>
      <c r="L68" s="56">
        <v>4148</v>
      </c>
      <c r="M68" s="56">
        <v>4382</v>
      </c>
      <c r="N68" s="56">
        <v>5766</v>
      </c>
      <c r="O68" s="56">
        <v>44317</v>
      </c>
      <c r="P68" s="56">
        <v>1635</v>
      </c>
      <c r="Q68" s="56">
        <v>25625</v>
      </c>
      <c r="R68" s="16">
        <f t="shared" si="0"/>
        <v>11549</v>
      </c>
      <c r="T68" s="140">
        <f t="shared" si="1"/>
        <v>37322</v>
      </c>
      <c r="AS68" s="5">
        <v>14784</v>
      </c>
      <c r="AT68" s="5">
        <f t="shared" si="2"/>
        <v>16621.75</v>
      </c>
      <c r="AU68" s="71">
        <f t="shared" si="3"/>
        <v>100.03460519980743</v>
      </c>
    </row>
    <row r="69" spans="1:47" ht="15.6" x14ac:dyDescent="0.3">
      <c r="A69" s="55">
        <v>37105</v>
      </c>
      <c r="B69" s="56">
        <v>1247</v>
      </c>
      <c r="C69" s="56">
        <v>1319</v>
      </c>
      <c r="D69" s="56">
        <v>868</v>
      </c>
      <c r="E69" s="56">
        <v>730</v>
      </c>
      <c r="F69" s="56">
        <v>881</v>
      </c>
      <c r="G69" s="56">
        <v>811</v>
      </c>
      <c r="H69" s="56">
        <v>499</v>
      </c>
      <c r="I69" s="56">
        <v>449</v>
      </c>
      <c r="J69" s="56">
        <v>289</v>
      </c>
      <c r="K69" s="56">
        <v>186</v>
      </c>
      <c r="L69" s="56">
        <v>3784</v>
      </c>
      <c r="M69" s="56">
        <v>3495</v>
      </c>
      <c r="N69" s="56">
        <v>6466</v>
      </c>
      <c r="O69" s="56">
        <v>42327</v>
      </c>
      <c r="P69" s="56">
        <v>1790</v>
      </c>
      <c r="Q69" s="56">
        <v>26337</v>
      </c>
      <c r="R69" s="16">
        <f t="shared" si="0"/>
        <v>12040</v>
      </c>
      <c r="T69" s="140">
        <f t="shared" si="1"/>
        <v>37329</v>
      </c>
      <c r="AS69" s="5">
        <v>14179</v>
      </c>
      <c r="AT69" s="5">
        <f t="shared" si="2"/>
        <v>15663.5</v>
      </c>
      <c r="AU69" s="71">
        <f t="shared" si="3"/>
        <v>97.446186387955706</v>
      </c>
    </row>
    <row r="70" spans="1:47" ht="15.6" x14ac:dyDescent="0.3">
      <c r="A70" s="55">
        <v>36748</v>
      </c>
      <c r="B70" s="56">
        <v>1273</v>
      </c>
      <c r="C70" s="56">
        <v>1915</v>
      </c>
      <c r="D70" s="56">
        <v>727</v>
      </c>
      <c r="E70" s="56">
        <v>1029.5</v>
      </c>
      <c r="F70" s="56">
        <v>978</v>
      </c>
      <c r="G70" s="56">
        <v>1029</v>
      </c>
      <c r="H70" s="56">
        <v>963</v>
      </c>
      <c r="I70" s="56">
        <v>778</v>
      </c>
      <c r="J70" s="56">
        <v>308</v>
      </c>
      <c r="K70" s="56">
        <v>201</v>
      </c>
      <c r="L70" s="56">
        <v>4248</v>
      </c>
      <c r="M70" s="56">
        <v>4952</v>
      </c>
      <c r="N70" s="56">
        <v>5388</v>
      </c>
      <c r="O70" s="56">
        <v>44949</v>
      </c>
      <c r="P70" s="56">
        <v>1360</v>
      </c>
      <c r="Q70" s="56">
        <v>25991</v>
      </c>
      <c r="R70" s="16">
        <f t="shared" ref="R70:R133" si="4">P70+N70+L70</f>
        <v>10996</v>
      </c>
      <c r="T70" s="140">
        <f t="shared" si="1"/>
        <v>37336</v>
      </c>
      <c r="AS70" s="5">
        <v>13621</v>
      </c>
      <c r="AT70" s="5">
        <f t="shared" si="2"/>
        <v>14754.75</v>
      </c>
      <c r="AU70" s="71">
        <f t="shared" si="3"/>
        <v>94.666688053381236</v>
      </c>
    </row>
    <row r="71" spans="1:47" ht="15.6" x14ac:dyDescent="0.3">
      <c r="A71" s="55">
        <v>37112</v>
      </c>
      <c r="B71" s="56">
        <v>1398</v>
      </c>
      <c r="C71" s="56">
        <v>1375</v>
      </c>
      <c r="D71" s="56">
        <v>1047</v>
      </c>
      <c r="E71" s="56">
        <v>834</v>
      </c>
      <c r="F71" s="56">
        <v>974</v>
      </c>
      <c r="G71" s="56">
        <v>866</v>
      </c>
      <c r="H71" s="56">
        <v>474</v>
      </c>
      <c r="I71" s="56">
        <v>531</v>
      </c>
      <c r="J71" s="56">
        <v>343</v>
      </c>
      <c r="K71" s="56">
        <v>204</v>
      </c>
      <c r="L71" s="56">
        <v>4235</v>
      </c>
      <c r="M71" s="56">
        <v>3809</v>
      </c>
      <c r="N71" s="56">
        <v>5807</v>
      </c>
      <c r="O71" s="56">
        <v>43648</v>
      </c>
      <c r="P71" s="56">
        <v>1521</v>
      </c>
      <c r="Q71" s="56">
        <v>26586</v>
      </c>
      <c r="R71" s="16">
        <f t="shared" si="4"/>
        <v>11563</v>
      </c>
      <c r="T71" s="140">
        <f t="shared" si="1"/>
        <v>37343</v>
      </c>
      <c r="AS71" s="5">
        <v>13276</v>
      </c>
      <c r="AT71" s="5">
        <f t="shared" si="2"/>
        <v>13965</v>
      </c>
      <c r="AU71" s="71">
        <f t="shared" si="3"/>
        <v>92.428353961215166</v>
      </c>
    </row>
    <row r="72" spans="1:47" ht="15.6" x14ac:dyDescent="0.3">
      <c r="A72" s="55">
        <v>36755</v>
      </c>
      <c r="B72" s="56">
        <v>1440</v>
      </c>
      <c r="C72" s="56">
        <v>2120</v>
      </c>
      <c r="D72" s="56">
        <v>694</v>
      </c>
      <c r="E72" s="56">
        <v>1099</v>
      </c>
      <c r="F72" s="56">
        <v>992</v>
      </c>
      <c r="G72" s="56">
        <v>1096</v>
      </c>
      <c r="H72" s="56">
        <v>949</v>
      </c>
      <c r="I72" s="56">
        <v>882</v>
      </c>
      <c r="J72" s="56">
        <v>299</v>
      </c>
      <c r="K72" s="56">
        <v>273</v>
      </c>
      <c r="L72" s="56">
        <v>4375</v>
      </c>
      <c r="M72" s="56">
        <v>5469</v>
      </c>
      <c r="N72" s="56">
        <v>4296</v>
      </c>
      <c r="O72" s="56">
        <v>46181</v>
      </c>
      <c r="P72" s="56">
        <v>1050</v>
      </c>
      <c r="Q72" s="56">
        <v>26331</v>
      </c>
      <c r="R72" s="16">
        <f t="shared" si="4"/>
        <v>9721</v>
      </c>
      <c r="T72" s="140">
        <f t="shared" si="1"/>
        <v>37350</v>
      </c>
      <c r="AS72" s="5">
        <v>12522</v>
      </c>
      <c r="AT72" s="5">
        <f t="shared" si="2"/>
        <v>13399.5</v>
      </c>
      <c r="AU72" s="71">
        <f t="shared" si="3"/>
        <v>97.309368191721134</v>
      </c>
    </row>
    <row r="73" spans="1:47" ht="15.6" x14ac:dyDescent="0.3">
      <c r="A73" s="55">
        <v>37119</v>
      </c>
      <c r="B73" s="56">
        <v>1288</v>
      </c>
      <c r="C73" s="56">
        <v>1594</v>
      </c>
      <c r="D73" s="56">
        <v>918</v>
      </c>
      <c r="E73" s="56">
        <v>1007</v>
      </c>
      <c r="F73" s="56">
        <v>1050</v>
      </c>
      <c r="G73" s="56">
        <v>959</v>
      </c>
      <c r="H73" s="56">
        <v>432</v>
      </c>
      <c r="I73" s="56">
        <v>626</v>
      </c>
      <c r="J73" s="56">
        <v>338</v>
      </c>
      <c r="K73" s="56">
        <v>255</v>
      </c>
      <c r="L73" s="56">
        <v>4026</v>
      </c>
      <c r="M73" s="56">
        <v>4441</v>
      </c>
      <c r="N73" s="56">
        <v>4748</v>
      </c>
      <c r="O73" s="56">
        <v>44956</v>
      </c>
      <c r="P73" s="56">
        <v>1206</v>
      </c>
      <c r="Q73" s="56">
        <v>26905</v>
      </c>
      <c r="R73" s="16">
        <f t="shared" si="4"/>
        <v>9980</v>
      </c>
      <c r="T73" s="140">
        <f t="shared" si="1"/>
        <v>37357</v>
      </c>
      <c r="AS73" s="5">
        <v>11877</v>
      </c>
      <c r="AT73" s="5">
        <f t="shared" si="2"/>
        <v>12824</v>
      </c>
      <c r="AU73" s="71">
        <f t="shared" si="3"/>
        <v>99.542032135372196</v>
      </c>
    </row>
    <row r="74" spans="1:47" ht="15.6" x14ac:dyDescent="0.3">
      <c r="A74" s="55">
        <v>36762</v>
      </c>
      <c r="B74" s="56">
        <v>1301</v>
      </c>
      <c r="C74" s="56">
        <v>2350</v>
      </c>
      <c r="D74" s="56">
        <v>623</v>
      </c>
      <c r="E74" s="56">
        <v>1191</v>
      </c>
      <c r="F74" s="56">
        <v>981</v>
      </c>
      <c r="G74" s="56">
        <v>1240</v>
      </c>
      <c r="H74" s="56">
        <v>947</v>
      </c>
      <c r="I74" s="56">
        <v>957</v>
      </c>
      <c r="J74" s="56">
        <v>272</v>
      </c>
      <c r="K74" s="56">
        <v>311</v>
      </c>
      <c r="L74" s="56">
        <v>4123</v>
      </c>
      <c r="M74" s="56">
        <v>6048</v>
      </c>
      <c r="N74" s="56">
        <v>3372</v>
      </c>
      <c r="O74" s="56">
        <v>47318</v>
      </c>
      <c r="P74" s="56">
        <v>1002</v>
      </c>
      <c r="Q74" s="56">
        <v>26565</v>
      </c>
      <c r="R74" s="16">
        <f t="shared" si="4"/>
        <v>8497</v>
      </c>
      <c r="T74" s="140">
        <f t="shared" ref="T74:T137" si="5">T73+7</f>
        <v>37364</v>
      </c>
      <c r="AS74" s="5">
        <v>11863</v>
      </c>
      <c r="AT74" s="5">
        <f t="shared" si="2"/>
        <v>12384.5</v>
      </c>
      <c r="AU74" s="71">
        <f t="shared" si="3"/>
        <v>107.59774109470027</v>
      </c>
    </row>
    <row r="75" spans="1:47" ht="15.6" x14ac:dyDescent="0.3">
      <c r="A75" s="55">
        <v>37126</v>
      </c>
      <c r="B75" s="56">
        <v>1296</v>
      </c>
      <c r="C75" s="56">
        <v>1733</v>
      </c>
      <c r="D75" s="56">
        <v>985</v>
      </c>
      <c r="E75" s="56">
        <v>1031</v>
      </c>
      <c r="F75" s="56">
        <v>1071</v>
      </c>
      <c r="G75" s="56">
        <v>1069</v>
      </c>
      <c r="H75" s="56">
        <v>401</v>
      </c>
      <c r="I75" s="56">
        <v>725</v>
      </c>
      <c r="J75" s="56">
        <v>350</v>
      </c>
      <c r="K75" s="56">
        <v>279</v>
      </c>
      <c r="L75" s="56">
        <v>4103</v>
      </c>
      <c r="M75" s="56">
        <v>4837</v>
      </c>
      <c r="N75" s="56">
        <v>3731</v>
      </c>
      <c r="O75" s="56">
        <v>46135</v>
      </c>
      <c r="P75" s="56">
        <v>988</v>
      </c>
      <c r="Q75" s="56">
        <v>27200</v>
      </c>
      <c r="R75" s="16">
        <f t="shared" si="4"/>
        <v>8822</v>
      </c>
      <c r="T75" s="140">
        <f t="shared" si="5"/>
        <v>37371</v>
      </c>
      <c r="AS75" s="5">
        <v>11710</v>
      </c>
      <c r="AT75" s="5">
        <f t="shared" ref="AT75:AT111" si="6">AVERAGE(AS72:AS75)</f>
        <v>11993</v>
      </c>
      <c r="AU75" s="71">
        <f t="shared" si="3"/>
        <v>113.90445436413714</v>
      </c>
    </row>
    <row r="76" spans="1:47" ht="15.6" x14ac:dyDescent="0.3">
      <c r="A76" s="55">
        <v>36769</v>
      </c>
      <c r="B76" s="56">
        <v>1346</v>
      </c>
      <c r="C76" s="56">
        <v>2640</v>
      </c>
      <c r="D76" s="56">
        <v>599</v>
      </c>
      <c r="E76" s="56">
        <v>1356</v>
      </c>
      <c r="F76" s="56">
        <v>927</v>
      </c>
      <c r="G76" s="56">
        <v>1427</v>
      </c>
      <c r="H76" s="56">
        <v>905</v>
      </c>
      <c r="I76" s="56">
        <v>1071</v>
      </c>
      <c r="J76" s="56">
        <v>283</v>
      </c>
      <c r="K76" s="56">
        <v>315</v>
      </c>
      <c r="L76" s="56">
        <v>4059</v>
      </c>
      <c r="M76" s="56">
        <v>6809</v>
      </c>
      <c r="N76" s="56">
        <v>2006</v>
      </c>
      <c r="O76" s="56">
        <v>48760</v>
      </c>
      <c r="P76" s="56">
        <v>613</v>
      </c>
      <c r="Q76" s="56">
        <v>26972</v>
      </c>
      <c r="R76" s="16">
        <f t="shared" si="4"/>
        <v>6678</v>
      </c>
      <c r="T76" s="140">
        <f t="shared" si="5"/>
        <v>37378</v>
      </c>
      <c r="AS76" s="5">
        <v>11720</v>
      </c>
      <c r="AT76" s="5">
        <f t="shared" si="6"/>
        <v>11792.5</v>
      </c>
      <c r="AU76" s="71">
        <f t="shared" si="3"/>
        <v>121.04803941695749</v>
      </c>
    </row>
    <row r="77" spans="1:47" ht="15.6" x14ac:dyDescent="0.3">
      <c r="A77" s="55">
        <v>37133</v>
      </c>
      <c r="B77" s="56">
        <v>1287</v>
      </c>
      <c r="C77" s="56">
        <v>1956</v>
      </c>
      <c r="D77" s="56">
        <v>919</v>
      </c>
      <c r="E77" s="56">
        <v>1309</v>
      </c>
      <c r="F77" s="56">
        <v>1039</v>
      </c>
      <c r="G77" s="56">
        <v>1221</v>
      </c>
      <c r="H77" s="56">
        <v>374</v>
      </c>
      <c r="I77" s="56">
        <v>824</v>
      </c>
      <c r="J77" s="56">
        <v>325</v>
      </c>
      <c r="K77" s="56">
        <v>325</v>
      </c>
      <c r="L77" s="56">
        <v>3943</v>
      </c>
      <c r="M77" s="56">
        <v>5636</v>
      </c>
      <c r="N77" s="56">
        <v>2806</v>
      </c>
      <c r="O77" s="56">
        <v>47219</v>
      </c>
      <c r="P77" s="56">
        <v>711</v>
      </c>
      <c r="Q77" s="56">
        <v>27454</v>
      </c>
      <c r="R77" s="16">
        <f t="shared" si="4"/>
        <v>7460</v>
      </c>
      <c r="T77" s="140">
        <f t="shared" si="5"/>
        <v>37385</v>
      </c>
      <c r="AS77" s="5">
        <v>11204</v>
      </c>
      <c r="AT77" s="5">
        <f t="shared" si="6"/>
        <v>11624.25</v>
      </c>
      <c r="AU77" s="71">
        <f t="shared" si="3"/>
        <v>116.56889290012033</v>
      </c>
    </row>
    <row r="78" spans="1:47" ht="15.6" x14ac:dyDescent="0.3">
      <c r="A78" s="55">
        <v>36776</v>
      </c>
      <c r="B78" s="56">
        <v>1185</v>
      </c>
      <c r="C78" s="56">
        <v>2922</v>
      </c>
      <c r="D78" s="56">
        <v>597</v>
      </c>
      <c r="E78" s="56">
        <v>1455</v>
      </c>
      <c r="F78" s="56">
        <v>915</v>
      </c>
      <c r="G78" s="56">
        <v>1532</v>
      </c>
      <c r="H78" s="56">
        <v>874</v>
      </c>
      <c r="I78" s="56">
        <v>1129</v>
      </c>
      <c r="J78" s="56">
        <v>267</v>
      </c>
      <c r="K78" s="56">
        <v>341</v>
      </c>
      <c r="L78" s="56">
        <v>3837</v>
      </c>
      <c r="M78" s="56">
        <v>7380</v>
      </c>
      <c r="N78" s="56">
        <v>7856</v>
      </c>
      <c r="O78" s="56">
        <v>825</v>
      </c>
      <c r="P78" s="56">
        <v>4785</v>
      </c>
      <c r="Q78" s="56">
        <v>409</v>
      </c>
      <c r="R78" s="16">
        <f t="shared" si="4"/>
        <v>16478</v>
      </c>
      <c r="T78" s="140">
        <f t="shared" si="5"/>
        <v>37392</v>
      </c>
      <c r="AS78" s="5">
        <v>10684</v>
      </c>
      <c r="AT78" s="5">
        <f t="shared" si="6"/>
        <v>11329.5</v>
      </c>
      <c r="AU78" s="71">
        <f t="shared" si="3"/>
        <v>115.20744356314827</v>
      </c>
    </row>
    <row r="79" spans="1:47" ht="15.6" x14ac:dyDescent="0.3">
      <c r="A79" s="55">
        <v>37140</v>
      </c>
      <c r="B79" s="56">
        <v>1198</v>
      </c>
      <c r="C79" s="56">
        <v>2174</v>
      </c>
      <c r="D79" s="56">
        <v>880</v>
      </c>
      <c r="E79" s="56">
        <v>1389</v>
      </c>
      <c r="F79" s="56">
        <v>886</v>
      </c>
      <c r="G79" s="56">
        <v>1424</v>
      </c>
      <c r="H79" s="56">
        <v>378</v>
      </c>
      <c r="I79" s="56">
        <v>867</v>
      </c>
      <c r="J79" s="56">
        <v>357</v>
      </c>
      <c r="K79" s="56">
        <v>347</v>
      </c>
      <c r="L79" s="56">
        <v>3698</v>
      </c>
      <c r="M79" s="56">
        <v>6200</v>
      </c>
      <c r="N79" s="56">
        <v>7090</v>
      </c>
      <c r="O79" s="56">
        <v>567</v>
      </c>
      <c r="P79" s="56">
        <v>5611</v>
      </c>
      <c r="Q79" s="56">
        <v>67</v>
      </c>
      <c r="R79" s="16">
        <f t="shared" si="4"/>
        <v>16399</v>
      </c>
      <c r="T79" s="140">
        <f t="shared" si="5"/>
        <v>37399</v>
      </c>
      <c r="AS79" s="5">
        <v>10826</v>
      </c>
      <c r="AT79" s="5">
        <f t="shared" si="6"/>
        <v>11108.5</v>
      </c>
      <c r="AU79" s="71">
        <f t="shared" si="3"/>
        <v>112.75375558262282</v>
      </c>
    </row>
    <row r="80" spans="1:47" ht="15.6" x14ac:dyDescent="0.3">
      <c r="A80" s="55">
        <v>36783</v>
      </c>
      <c r="B80" s="56">
        <v>1167</v>
      </c>
      <c r="C80" s="56">
        <v>3070</v>
      </c>
      <c r="D80" s="56">
        <v>656</v>
      </c>
      <c r="E80" s="56">
        <v>1537</v>
      </c>
      <c r="F80" s="56">
        <v>854</v>
      </c>
      <c r="G80" s="56">
        <v>1674</v>
      </c>
      <c r="H80" s="56">
        <v>815</v>
      </c>
      <c r="I80" s="56">
        <v>1303</v>
      </c>
      <c r="J80" s="56">
        <v>255</v>
      </c>
      <c r="K80" s="56">
        <v>377</v>
      </c>
      <c r="L80" s="56">
        <v>3746</v>
      </c>
      <c r="M80" s="56">
        <v>7962</v>
      </c>
      <c r="N80" s="56">
        <v>7509</v>
      </c>
      <c r="O80" s="56">
        <v>1848</v>
      </c>
      <c r="P80" s="56">
        <v>4968</v>
      </c>
      <c r="Q80" s="56">
        <v>749</v>
      </c>
      <c r="R80" s="16">
        <f t="shared" si="4"/>
        <v>16223</v>
      </c>
      <c r="T80" s="140">
        <f t="shared" si="5"/>
        <v>37406</v>
      </c>
      <c r="AS80" s="5">
        <v>10413</v>
      </c>
      <c r="AT80" s="5">
        <f t="shared" si="6"/>
        <v>10781.75</v>
      </c>
      <c r="AU80" s="71">
        <f t="shared" si="3"/>
        <v>106.05695455439701</v>
      </c>
    </row>
    <row r="81" spans="1:47" ht="15.6" x14ac:dyDescent="0.3">
      <c r="A81" s="55">
        <v>37147</v>
      </c>
      <c r="B81" s="56">
        <v>1191</v>
      </c>
      <c r="C81" s="56">
        <v>2267</v>
      </c>
      <c r="D81" s="56">
        <v>880</v>
      </c>
      <c r="E81" s="56">
        <v>1499.6</v>
      </c>
      <c r="F81" s="56">
        <v>953</v>
      </c>
      <c r="G81" s="56">
        <v>1492</v>
      </c>
      <c r="H81" s="56">
        <v>433</v>
      </c>
      <c r="I81" s="56">
        <v>885</v>
      </c>
      <c r="J81" s="56">
        <v>326</v>
      </c>
      <c r="K81" s="56">
        <v>381</v>
      </c>
      <c r="L81" s="56">
        <v>3783</v>
      </c>
      <c r="M81" s="56">
        <v>6525</v>
      </c>
      <c r="N81" s="56">
        <v>6692</v>
      </c>
      <c r="O81" s="56">
        <v>1660</v>
      </c>
      <c r="P81" s="56">
        <v>6006</v>
      </c>
      <c r="Q81" s="56">
        <v>241</v>
      </c>
      <c r="R81" s="16">
        <f t="shared" si="4"/>
        <v>16481</v>
      </c>
      <c r="T81" s="140">
        <f t="shared" si="5"/>
        <v>37413</v>
      </c>
      <c r="AS81" s="5">
        <v>9891</v>
      </c>
      <c r="AT81" s="5">
        <f t="shared" si="6"/>
        <v>10453.5</v>
      </c>
      <c r="AU81" s="71">
        <f t="shared" si="3"/>
        <v>108.21428571428571</v>
      </c>
    </row>
    <row r="82" spans="1:47" ht="15.6" x14ac:dyDescent="0.3">
      <c r="A82" s="55">
        <v>36790</v>
      </c>
      <c r="B82" s="56">
        <v>1059</v>
      </c>
      <c r="C82" s="56">
        <v>3310</v>
      </c>
      <c r="D82" s="56">
        <v>618</v>
      </c>
      <c r="E82" s="56">
        <v>1676</v>
      </c>
      <c r="F82" s="56">
        <v>840</v>
      </c>
      <c r="G82" s="56">
        <v>1848</v>
      </c>
      <c r="H82" s="56">
        <v>710</v>
      </c>
      <c r="I82" s="56">
        <v>1462</v>
      </c>
      <c r="J82" s="56">
        <v>263</v>
      </c>
      <c r="K82" s="56">
        <v>406</v>
      </c>
      <c r="L82" s="56">
        <v>3489</v>
      </c>
      <c r="M82" s="56">
        <v>8703</v>
      </c>
      <c r="N82" s="56">
        <v>7767</v>
      </c>
      <c r="O82" s="56">
        <v>2959</v>
      </c>
      <c r="P82" s="56">
        <v>5726</v>
      </c>
      <c r="Q82" s="56">
        <v>1011</v>
      </c>
      <c r="R82" s="16">
        <f t="shared" si="4"/>
        <v>16982</v>
      </c>
      <c r="T82" s="140">
        <f t="shared" si="5"/>
        <v>37420</v>
      </c>
      <c r="AS82" s="5">
        <v>12083</v>
      </c>
      <c r="AT82" s="5">
        <f t="shared" si="6"/>
        <v>10803.25</v>
      </c>
      <c r="AU82" s="71">
        <f t="shared" si="3"/>
        <v>110.60970615337359</v>
      </c>
    </row>
    <row r="83" spans="1:47" ht="15.6" x14ac:dyDescent="0.3">
      <c r="A83" s="55">
        <v>37154</v>
      </c>
      <c r="B83" s="56">
        <v>1275</v>
      </c>
      <c r="C83" s="56">
        <v>2397</v>
      </c>
      <c r="D83" s="56">
        <v>906</v>
      </c>
      <c r="E83" s="56">
        <v>1612</v>
      </c>
      <c r="F83" s="56">
        <v>881</v>
      </c>
      <c r="G83" s="56">
        <v>1603</v>
      </c>
      <c r="H83" s="56">
        <v>533</v>
      </c>
      <c r="I83" s="56">
        <v>911</v>
      </c>
      <c r="J83" s="56">
        <v>316</v>
      </c>
      <c r="K83" s="56">
        <v>391</v>
      </c>
      <c r="L83" s="56">
        <v>3911</v>
      </c>
      <c r="M83" s="56">
        <v>6914</v>
      </c>
      <c r="N83" s="56">
        <v>6553</v>
      </c>
      <c r="O83" s="56">
        <v>2969</v>
      </c>
      <c r="P83" s="56">
        <v>6158</v>
      </c>
      <c r="Q83" s="56">
        <v>505</v>
      </c>
      <c r="R83" s="16">
        <f t="shared" si="4"/>
        <v>16622</v>
      </c>
      <c r="T83" s="140">
        <f t="shared" si="5"/>
        <v>37427</v>
      </c>
      <c r="AS83" s="5">
        <v>11963</v>
      </c>
      <c r="AT83" s="5">
        <f t="shared" si="6"/>
        <v>11087.5</v>
      </c>
      <c r="AU83" s="71">
        <f t="shared" si="3"/>
        <v>89.045496526522911</v>
      </c>
    </row>
    <row r="84" spans="1:47" ht="15.6" x14ac:dyDescent="0.3">
      <c r="A84" s="55">
        <v>36797</v>
      </c>
      <c r="B84" s="56">
        <v>1164</v>
      </c>
      <c r="C84" s="56">
        <v>3511</v>
      </c>
      <c r="D84" s="56">
        <v>516</v>
      </c>
      <c r="E84" s="56">
        <v>1867</v>
      </c>
      <c r="F84" s="56">
        <v>817</v>
      </c>
      <c r="G84" s="56">
        <v>1911</v>
      </c>
      <c r="H84" s="56">
        <v>647</v>
      </c>
      <c r="I84" s="56">
        <v>1566</v>
      </c>
      <c r="J84" s="56">
        <v>238</v>
      </c>
      <c r="K84" s="56">
        <v>433</v>
      </c>
      <c r="L84" s="56">
        <v>3382</v>
      </c>
      <c r="M84" s="56">
        <v>9288</v>
      </c>
      <c r="N84" s="56">
        <v>6994</v>
      </c>
      <c r="O84" s="56">
        <v>4400</v>
      </c>
      <c r="P84" s="56">
        <v>5836</v>
      </c>
      <c r="Q84" s="56">
        <v>1411</v>
      </c>
      <c r="R84" s="16">
        <f t="shared" si="4"/>
        <v>16212</v>
      </c>
      <c r="T84" s="140">
        <f t="shared" si="5"/>
        <v>37434</v>
      </c>
      <c r="AS84" s="5">
        <v>13650</v>
      </c>
      <c r="AT84" s="5">
        <f t="shared" si="6"/>
        <v>11896.75</v>
      </c>
      <c r="AU84" s="71">
        <f t="shared" si="3"/>
        <v>97.259238064094177</v>
      </c>
    </row>
    <row r="85" spans="1:47" ht="15.6" x14ac:dyDescent="0.3">
      <c r="A85" s="55">
        <v>37161</v>
      </c>
      <c r="B85" s="56">
        <v>1150</v>
      </c>
      <c r="C85" s="56">
        <v>2604</v>
      </c>
      <c r="D85" s="56">
        <v>1091</v>
      </c>
      <c r="E85" s="56">
        <v>1761</v>
      </c>
      <c r="F85" s="56">
        <v>862</v>
      </c>
      <c r="G85" s="56">
        <v>1751</v>
      </c>
      <c r="H85" s="56">
        <v>499</v>
      </c>
      <c r="I85" s="56">
        <v>1018</v>
      </c>
      <c r="J85" s="56">
        <v>314</v>
      </c>
      <c r="K85" s="56">
        <v>440</v>
      </c>
      <c r="L85" s="56">
        <v>3916</v>
      </c>
      <c r="M85" s="56">
        <v>7574</v>
      </c>
      <c r="N85" s="56">
        <v>7018</v>
      </c>
      <c r="O85" s="56">
        <v>3780</v>
      </c>
      <c r="P85" s="56">
        <v>6896</v>
      </c>
      <c r="Q85" s="56">
        <v>732</v>
      </c>
      <c r="R85" s="16">
        <f t="shared" si="4"/>
        <v>17830</v>
      </c>
      <c r="T85" s="140">
        <f t="shared" si="5"/>
        <v>37441</v>
      </c>
      <c r="AS85" s="5">
        <v>12469</v>
      </c>
      <c r="AT85" s="5">
        <f t="shared" si="6"/>
        <v>12541.25</v>
      </c>
      <c r="AU85" s="71">
        <f t="shared" si="3"/>
        <v>101.48284512056966</v>
      </c>
    </row>
    <row r="86" spans="1:47" ht="15.6" x14ac:dyDescent="0.3">
      <c r="A86" s="55">
        <v>36804</v>
      </c>
      <c r="B86" s="56">
        <v>1180</v>
      </c>
      <c r="C86" s="56">
        <v>3721</v>
      </c>
      <c r="D86" s="56">
        <v>508</v>
      </c>
      <c r="E86" s="56">
        <v>1919</v>
      </c>
      <c r="F86" s="56">
        <v>757</v>
      </c>
      <c r="G86" s="56">
        <v>2004</v>
      </c>
      <c r="H86" s="56">
        <v>593</v>
      </c>
      <c r="I86" s="56">
        <v>1753</v>
      </c>
      <c r="J86" s="56">
        <v>173</v>
      </c>
      <c r="K86" s="56">
        <v>479</v>
      </c>
      <c r="L86" s="56">
        <v>3212</v>
      </c>
      <c r="M86" s="56">
        <v>9876</v>
      </c>
      <c r="N86" s="56">
        <v>6640</v>
      </c>
      <c r="O86" s="56">
        <v>5723</v>
      </c>
      <c r="P86" s="56">
        <v>5912</v>
      </c>
      <c r="Q86" s="56">
        <v>1987</v>
      </c>
      <c r="R86" s="16">
        <f t="shared" si="4"/>
        <v>15764</v>
      </c>
      <c r="T86" s="140">
        <f t="shared" si="5"/>
        <v>37448</v>
      </c>
      <c r="AS86" s="5">
        <v>11267</v>
      </c>
      <c r="AT86" s="5">
        <f t="shared" si="6"/>
        <v>12337.25</v>
      </c>
      <c r="AU86" s="71">
        <f t="shared" si="3"/>
        <v>95.763797252192816</v>
      </c>
    </row>
    <row r="87" spans="1:47" ht="15.6" x14ac:dyDescent="0.3">
      <c r="A87" s="55">
        <v>37168</v>
      </c>
      <c r="B87" s="56">
        <v>1108</v>
      </c>
      <c r="C87" s="56">
        <v>2792</v>
      </c>
      <c r="D87" s="56">
        <v>1214</v>
      </c>
      <c r="E87" s="56">
        <v>1883</v>
      </c>
      <c r="F87" s="56">
        <v>884</v>
      </c>
      <c r="G87" s="56">
        <v>1868</v>
      </c>
      <c r="H87" s="56">
        <v>552</v>
      </c>
      <c r="I87" s="56">
        <v>1067</v>
      </c>
      <c r="J87" s="56">
        <v>231</v>
      </c>
      <c r="K87" s="56">
        <v>517</v>
      </c>
      <c r="L87" s="56">
        <v>3989</v>
      </c>
      <c r="M87" s="56">
        <v>8127</v>
      </c>
      <c r="N87" s="56">
        <v>6862</v>
      </c>
      <c r="O87" s="56">
        <v>4552</v>
      </c>
      <c r="P87" s="56">
        <v>7854</v>
      </c>
      <c r="Q87" s="56">
        <v>863</v>
      </c>
      <c r="R87" s="16">
        <f t="shared" si="4"/>
        <v>18705</v>
      </c>
      <c r="T87" s="140">
        <f t="shared" si="5"/>
        <v>37455</v>
      </c>
      <c r="AS87" s="5">
        <v>12316</v>
      </c>
      <c r="AT87" s="5">
        <f t="shared" si="6"/>
        <v>12425.5</v>
      </c>
      <c r="AU87" s="71">
        <f t="shared" si="3"/>
        <v>98.529061930061062</v>
      </c>
    </row>
    <row r="88" spans="1:47" ht="15.6" x14ac:dyDescent="0.3">
      <c r="A88" s="55">
        <v>36811</v>
      </c>
      <c r="B88" s="56">
        <v>1125</v>
      </c>
      <c r="C88" s="56">
        <v>3921</v>
      </c>
      <c r="D88" s="56">
        <v>373</v>
      </c>
      <c r="E88" s="56">
        <v>2060</v>
      </c>
      <c r="F88" s="56">
        <v>741</v>
      </c>
      <c r="G88" s="56">
        <v>2094</v>
      </c>
      <c r="H88" s="56">
        <v>688</v>
      </c>
      <c r="I88" s="56">
        <v>1824</v>
      </c>
      <c r="J88" s="56">
        <v>193</v>
      </c>
      <c r="K88" s="56">
        <v>486</v>
      </c>
      <c r="L88" s="56">
        <v>3120</v>
      </c>
      <c r="M88" s="56">
        <v>10385</v>
      </c>
      <c r="N88" s="56">
        <v>6812</v>
      </c>
      <c r="O88" s="56">
        <v>6597</v>
      </c>
      <c r="P88" s="56">
        <v>6190</v>
      </c>
      <c r="Q88" s="56">
        <v>2734</v>
      </c>
      <c r="R88" s="16">
        <f t="shared" si="4"/>
        <v>16122</v>
      </c>
      <c r="T88" s="140">
        <f t="shared" si="5"/>
        <v>37462</v>
      </c>
      <c r="AS88" s="5">
        <v>10737</v>
      </c>
      <c r="AT88" s="5">
        <f t="shared" si="6"/>
        <v>11697.25</v>
      </c>
      <c r="AU88" s="71">
        <f t="shared" si="3"/>
        <v>89.785462081670246</v>
      </c>
    </row>
    <row r="89" spans="1:47" ht="15.6" x14ac:dyDescent="0.3">
      <c r="A89" s="55">
        <v>37175</v>
      </c>
      <c r="B89" s="56">
        <v>1175</v>
      </c>
      <c r="C89" s="56">
        <v>2889</v>
      </c>
      <c r="D89" s="56">
        <v>1087</v>
      </c>
      <c r="E89" s="56">
        <v>2079</v>
      </c>
      <c r="F89" s="56">
        <v>868</v>
      </c>
      <c r="G89" s="56">
        <v>1987</v>
      </c>
      <c r="H89" s="56">
        <v>550</v>
      </c>
      <c r="I89" s="56">
        <v>1158</v>
      </c>
      <c r="J89" s="56">
        <v>227</v>
      </c>
      <c r="K89" s="56">
        <v>522</v>
      </c>
      <c r="L89" s="56">
        <v>3906</v>
      </c>
      <c r="M89" s="56">
        <v>8635</v>
      </c>
      <c r="N89" s="56">
        <v>6944</v>
      </c>
      <c r="O89" s="56">
        <v>5306</v>
      </c>
      <c r="P89" s="56">
        <v>8511</v>
      </c>
      <c r="Q89" s="56">
        <v>1526</v>
      </c>
      <c r="R89" s="16">
        <f t="shared" si="4"/>
        <v>19361</v>
      </c>
      <c r="T89" s="140">
        <f t="shared" si="5"/>
        <v>37469</v>
      </c>
      <c r="AS89" s="5">
        <v>10039</v>
      </c>
      <c r="AT89" s="5">
        <f t="shared" si="6"/>
        <v>11089.75</v>
      </c>
      <c r="AU89" s="71">
        <f t="shared" si="3"/>
        <v>81.976271437019506</v>
      </c>
    </row>
    <row r="90" spans="1:47" ht="15.6" x14ac:dyDescent="0.3">
      <c r="A90" s="55">
        <v>36818</v>
      </c>
      <c r="B90" s="56">
        <v>1175</v>
      </c>
      <c r="C90" s="56">
        <v>4033</v>
      </c>
      <c r="D90" s="56">
        <v>339</v>
      </c>
      <c r="E90" s="56">
        <v>2159</v>
      </c>
      <c r="F90" s="56">
        <v>801</v>
      </c>
      <c r="G90" s="56">
        <v>2152</v>
      </c>
      <c r="H90" s="56">
        <v>746</v>
      </c>
      <c r="I90" s="56">
        <v>1926</v>
      </c>
      <c r="J90" s="56">
        <v>193</v>
      </c>
      <c r="K90" s="56">
        <v>486</v>
      </c>
      <c r="L90" s="56">
        <v>3253</v>
      </c>
      <c r="M90" s="56">
        <v>10756</v>
      </c>
      <c r="N90" s="56">
        <v>6923</v>
      </c>
      <c r="O90" s="56">
        <v>7404</v>
      </c>
      <c r="P90" s="56">
        <v>6224</v>
      </c>
      <c r="Q90" s="56">
        <v>3563</v>
      </c>
      <c r="R90" s="16">
        <f t="shared" si="4"/>
        <v>16400</v>
      </c>
      <c r="T90" s="140">
        <f t="shared" si="5"/>
        <v>37476</v>
      </c>
      <c r="AS90" s="5">
        <v>11540</v>
      </c>
      <c r="AT90" s="5">
        <f t="shared" si="6"/>
        <v>11158</v>
      </c>
      <c r="AU90" s="71">
        <f t="shared" si="3"/>
        <v>86.610261585034536</v>
      </c>
    </row>
    <row r="91" spans="1:47" ht="15.6" x14ac:dyDescent="0.3">
      <c r="A91" s="55">
        <v>37182</v>
      </c>
      <c r="B91" s="56">
        <v>1228</v>
      </c>
      <c r="C91" s="56">
        <v>3162</v>
      </c>
      <c r="D91" s="56">
        <v>1075</v>
      </c>
      <c r="E91" s="56">
        <v>2150</v>
      </c>
      <c r="F91" s="56">
        <v>961</v>
      </c>
      <c r="G91" s="56">
        <v>2102</v>
      </c>
      <c r="H91" s="56">
        <v>616</v>
      </c>
      <c r="I91" s="56">
        <v>1176</v>
      </c>
      <c r="J91" s="56">
        <v>249</v>
      </c>
      <c r="K91" s="56">
        <v>526</v>
      </c>
      <c r="L91" s="56">
        <v>4128</v>
      </c>
      <c r="M91" s="56">
        <v>9116</v>
      </c>
      <c r="N91" s="56">
        <v>7074</v>
      </c>
      <c r="O91" s="56">
        <v>6056</v>
      </c>
      <c r="P91" s="56">
        <v>8760</v>
      </c>
      <c r="Q91" s="56">
        <v>2342</v>
      </c>
      <c r="R91" s="16">
        <f t="shared" si="4"/>
        <v>19962</v>
      </c>
      <c r="T91" s="140">
        <f t="shared" si="5"/>
        <v>37483</v>
      </c>
      <c r="AS91" s="5">
        <v>11521</v>
      </c>
      <c r="AT91" s="5">
        <f t="shared" si="6"/>
        <v>10959.25</v>
      </c>
      <c r="AU91" s="71">
        <f t="shared" si="3"/>
        <v>91.02367109634551</v>
      </c>
    </row>
    <row r="92" spans="1:47" ht="15.6" x14ac:dyDescent="0.3">
      <c r="A92" s="55">
        <v>36825</v>
      </c>
      <c r="B92" s="56">
        <v>1131</v>
      </c>
      <c r="C92" s="56">
        <v>4176</v>
      </c>
      <c r="D92" s="56">
        <v>345</v>
      </c>
      <c r="E92" s="56">
        <v>2219</v>
      </c>
      <c r="F92" s="56">
        <v>979</v>
      </c>
      <c r="G92" s="56">
        <v>2205</v>
      </c>
      <c r="H92" s="56">
        <v>717</v>
      </c>
      <c r="I92" s="56">
        <v>2048</v>
      </c>
      <c r="J92" s="56">
        <v>343</v>
      </c>
      <c r="K92" s="56">
        <v>486</v>
      </c>
      <c r="L92" s="56">
        <v>3513</v>
      </c>
      <c r="M92" s="56">
        <v>11134</v>
      </c>
      <c r="N92" s="56">
        <v>7087</v>
      </c>
      <c r="O92" s="56">
        <v>8052</v>
      </c>
      <c r="P92" s="56">
        <v>6233</v>
      </c>
      <c r="Q92" s="56">
        <v>4534</v>
      </c>
      <c r="R92" s="16">
        <f t="shared" si="4"/>
        <v>16833</v>
      </c>
      <c r="T92" s="140">
        <f t="shared" si="5"/>
        <v>37490</v>
      </c>
      <c r="AS92" s="5">
        <v>7978</v>
      </c>
      <c r="AT92" s="5">
        <f t="shared" si="6"/>
        <v>10269.5</v>
      </c>
      <c r="AU92" s="71">
        <f t="shared" si="3"/>
        <v>88.813456715385286</v>
      </c>
    </row>
    <row r="93" spans="1:47" ht="15.6" x14ac:dyDescent="0.3">
      <c r="A93" s="55">
        <v>37189</v>
      </c>
      <c r="B93" s="56">
        <v>1386</v>
      </c>
      <c r="C93" s="56">
        <v>3353</v>
      </c>
      <c r="D93" s="56">
        <v>1023</v>
      </c>
      <c r="E93" s="56">
        <v>2313</v>
      </c>
      <c r="F93" s="56">
        <v>1060</v>
      </c>
      <c r="G93" s="56">
        <v>2142</v>
      </c>
      <c r="H93" s="56">
        <v>565</v>
      </c>
      <c r="I93" s="56">
        <v>1332</v>
      </c>
      <c r="J93" s="56">
        <v>214</v>
      </c>
      <c r="K93" s="56">
        <v>569</v>
      </c>
      <c r="L93" s="56">
        <v>4248</v>
      </c>
      <c r="M93" s="56">
        <v>9708</v>
      </c>
      <c r="N93" s="56">
        <v>6788</v>
      </c>
      <c r="O93" s="56">
        <v>6909</v>
      </c>
      <c r="P93" s="56">
        <v>9491</v>
      </c>
      <c r="Q93" s="56">
        <v>3495</v>
      </c>
      <c r="R93" s="16">
        <f t="shared" si="4"/>
        <v>20527</v>
      </c>
      <c r="T93" s="140">
        <f t="shared" si="5"/>
        <v>37497</v>
      </c>
      <c r="AS93" s="5">
        <v>6782</v>
      </c>
      <c r="AT93" s="5">
        <f t="shared" si="6"/>
        <v>9455.25</v>
      </c>
      <c r="AU93" s="71">
        <f t="shared" si="3"/>
        <v>94.741983967935866</v>
      </c>
    </row>
    <row r="94" spans="1:47" ht="15.6" x14ac:dyDescent="0.3">
      <c r="A94" s="55">
        <v>36832</v>
      </c>
      <c r="B94" s="56">
        <v>1223</v>
      </c>
      <c r="C94" s="56">
        <v>4398</v>
      </c>
      <c r="D94" s="56">
        <v>340</v>
      </c>
      <c r="E94" s="56">
        <v>2246</v>
      </c>
      <c r="F94" s="56">
        <v>915</v>
      </c>
      <c r="G94" s="56">
        <v>2363</v>
      </c>
      <c r="H94" s="56">
        <v>636</v>
      </c>
      <c r="I94" s="56">
        <v>2169</v>
      </c>
      <c r="J94" s="56">
        <v>343</v>
      </c>
      <c r="K94" s="56">
        <v>505</v>
      </c>
      <c r="L94" s="56">
        <v>3457</v>
      </c>
      <c r="M94" s="56">
        <v>11681</v>
      </c>
      <c r="N94" s="56">
        <v>6671</v>
      </c>
      <c r="O94" s="56">
        <v>9083</v>
      </c>
      <c r="P94" s="56">
        <v>5894</v>
      </c>
      <c r="Q94" s="56">
        <v>5488</v>
      </c>
      <c r="R94" s="16">
        <f t="shared" si="4"/>
        <v>16022</v>
      </c>
      <c r="T94" s="140">
        <f t="shared" si="5"/>
        <v>37504</v>
      </c>
      <c r="AS94" s="5">
        <v>6071</v>
      </c>
      <c r="AT94" s="5">
        <f t="shared" si="6"/>
        <v>8088</v>
      </c>
      <c r="AU94" s="71">
        <f t="shared" si="3"/>
        <v>91.679891181138061</v>
      </c>
    </row>
    <row r="95" spans="1:47" ht="15.6" x14ac:dyDescent="0.3">
      <c r="A95" s="55">
        <v>37196</v>
      </c>
      <c r="B95" s="56">
        <v>1382</v>
      </c>
      <c r="C95" s="56">
        <v>3460</v>
      </c>
      <c r="D95" s="56">
        <v>1018</v>
      </c>
      <c r="E95" s="56">
        <v>2389</v>
      </c>
      <c r="F95" s="56">
        <v>1017</v>
      </c>
      <c r="G95" s="56">
        <v>2307</v>
      </c>
      <c r="H95" s="56">
        <v>573</v>
      </c>
      <c r="I95" s="56">
        <v>1371</v>
      </c>
      <c r="J95" s="56">
        <v>240</v>
      </c>
      <c r="K95" s="56">
        <v>573</v>
      </c>
      <c r="L95" s="56">
        <v>4229</v>
      </c>
      <c r="M95" s="56">
        <v>10100</v>
      </c>
      <c r="N95" s="56">
        <v>7028</v>
      </c>
      <c r="O95" s="56">
        <v>7566</v>
      </c>
      <c r="P95" s="56">
        <v>8606</v>
      </c>
      <c r="Q95" s="56">
        <v>4906</v>
      </c>
      <c r="R95" s="16">
        <f t="shared" si="4"/>
        <v>19863</v>
      </c>
      <c r="T95" s="140">
        <f t="shared" si="5"/>
        <v>37511</v>
      </c>
      <c r="AS95" s="5">
        <v>15423</v>
      </c>
      <c r="AT95" s="5">
        <f t="shared" si="6"/>
        <v>9063.5</v>
      </c>
      <c r="AU95" s="71">
        <f t="shared" si="3"/>
        <v>121.49463806970509</v>
      </c>
    </row>
    <row r="96" spans="1:47" ht="15.6" x14ac:dyDescent="0.3">
      <c r="A96" s="55">
        <v>36839</v>
      </c>
      <c r="B96" s="56">
        <v>1225</v>
      </c>
      <c r="C96" s="56">
        <v>4568</v>
      </c>
      <c r="D96" s="56">
        <v>370</v>
      </c>
      <c r="E96" s="56">
        <v>2330</v>
      </c>
      <c r="F96" s="56">
        <v>966</v>
      </c>
      <c r="G96" s="56">
        <v>2436</v>
      </c>
      <c r="H96" s="56">
        <v>874</v>
      </c>
      <c r="I96" s="56">
        <v>2227</v>
      </c>
      <c r="J96" s="56">
        <v>339</v>
      </c>
      <c r="K96" s="56">
        <v>546</v>
      </c>
      <c r="L96" s="56">
        <v>3772</v>
      </c>
      <c r="M96" s="56">
        <v>12108</v>
      </c>
      <c r="N96" s="56">
        <v>6622</v>
      </c>
      <c r="O96" s="56">
        <v>9650</v>
      </c>
      <c r="P96" s="56">
        <v>5727</v>
      </c>
      <c r="Q96" s="56">
        <v>6243</v>
      </c>
      <c r="R96" s="16">
        <f t="shared" si="4"/>
        <v>16121</v>
      </c>
      <c r="T96" s="140">
        <f t="shared" si="5"/>
        <v>37518</v>
      </c>
      <c r="AS96" s="5">
        <v>16494</v>
      </c>
      <c r="AT96" s="5">
        <f t="shared" si="6"/>
        <v>11192.5</v>
      </c>
      <c r="AU96" s="71">
        <f t="shared" si="3"/>
        <v>68.251112872736144</v>
      </c>
    </row>
    <row r="97" spans="1:47" ht="15.6" x14ac:dyDescent="0.3">
      <c r="A97" s="55">
        <v>37203</v>
      </c>
      <c r="B97" s="56">
        <v>1254</v>
      </c>
      <c r="C97" s="56">
        <v>3657</v>
      </c>
      <c r="D97" s="56">
        <v>937</v>
      </c>
      <c r="E97" s="56">
        <v>2497</v>
      </c>
      <c r="F97" s="56">
        <v>1019</v>
      </c>
      <c r="G97" s="56">
        <v>2437</v>
      </c>
      <c r="H97" s="56">
        <v>567</v>
      </c>
      <c r="I97" s="56">
        <v>1475</v>
      </c>
      <c r="J97" s="56">
        <v>265</v>
      </c>
      <c r="K97" s="56">
        <v>589</v>
      </c>
      <c r="L97" s="56">
        <v>4042</v>
      </c>
      <c r="M97" s="56">
        <v>10654</v>
      </c>
      <c r="N97" s="56">
        <v>6838</v>
      </c>
      <c r="O97" s="56">
        <v>8569</v>
      </c>
      <c r="P97" s="56">
        <v>8386</v>
      </c>
      <c r="Q97" s="56">
        <v>5868</v>
      </c>
      <c r="R97" s="16">
        <f t="shared" si="4"/>
        <v>19266</v>
      </c>
      <c r="T97" s="140">
        <f t="shared" si="5"/>
        <v>37525</v>
      </c>
      <c r="AS97" s="5">
        <v>17433</v>
      </c>
      <c r="AT97" s="5">
        <f t="shared" si="6"/>
        <v>13855.25</v>
      </c>
      <c r="AU97" s="71">
        <f t="shared" si="3"/>
        <v>84.068017717371518</v>
      </c>
    </row>
    <row r="98" spans="1:47" ht="15.6" x14ac:dyDescent="0.3">
      <c r="A98" s="55">
        <v>36846</v>
      </c>
      <c r="B98" s="56">
        <v>1191</v>
      </c>
      <c r="C98" s="56">
        <v>4723</v>
      </c>
      <c r="D98" s="56">
        <v>426</v>
      </c>
      <c r="E98" s="56">
        <v>2358</v>
      </c>
      <c r="F98" s="56">
        <v>977</v>
      </c>
      <c r="G98" s="56">
        <v>2522</v>
      </c>
      <c r="H98" s="56">
        <v>757</v>
      </c>
      <c r="I98" s="56">
        <v>2423</v>
      </c>
      <c r="J98" s="56">
        <v>335</v>
      </c>
      <c r="K98" s="56">
        <v>550</v>
      </c>
      <c r="L98" s="56">
        <v>3680</v>
      </c>
      <c r="M98" s="56">
        <v>12576</v>
      </c>
      <c r="N98" s="56">
        <v>6366</v>
      </c>
      <c r="O98" s="56">
        <v>10563</v>
      </c>
      <c r="P98" s="56">
        <v>5198</v>
      </c>
      <c r="Q98" s="56">
        <v>7064</v>
      </c>
      <c r="R98" s="16">
        <f t="shared" si="4"/>
        <v>15244</v>
      </c>
      <c r="T98" s="140">
        <f t="shared" si="5"/>
        <v>37532</v>
      </c>
      <c r="AS98" s="5">
        <v>18230</v>
      </c>
      <c r="AT98" s="5">
        <f t="shared" si="6"/>
        <v>16895</v>
      </c>
      <c r="AU98" s="71">
        <f t="shared" si="3"/>
        <v>101.64240163638551</v>
      </c>
    </row>
    <row r="99" spans="1:47" ht="15.6" x14ac:dyDescent="0.3">
      <c r="A99" s="55">
        <v>37210</v>
      </c>
      <c r="B99" s="56">
        <v>1377</v>
      </c>
      <c r="C99" s="56">
        <v>3727</v>
      </c>
      <c r="D99" s="56">
        <v>766</v>
      </c>
      <c r="E99" s="56">
        <v>2767</v>
      </c>
      <c r="F99" s="56">
        <v>1096</v>
      </c>
      <c r="G99" s="56">
        <v>2490</v>
      </c>
      <c r="H99" s="56">
        <v>563</v>
      </c>
      <c r="I99" s="56">
        <v>1546</v>
      </c>
      <c r="J99" s="56">
        <v>236</v>
      </c>
      <c r="K99" s="56">
        <v>612</v>
      </c>
      <c r="L99" s="56">
        <v>4037</v>
      </c>
      <c r="M99" s="56">
        <v>11141</v>
      </c>
      <c r="N99" s="56">
        <v>6824</v>
      </c>
      <c r="O99" s="56">
        <v>9264</v>
      </c>
      <c r="P99" s="56">
        <v>8904</v>
      </c>
      <c r="Q99" s="56">
        <v>6744</v>
      </c>
      <c r="R99" s="16">
        <f t="shared" si="4"/>
        <v>19765</v>
      </c>
      <c r="T99" s="140">
        <f t="shared" si="5"/>
        <v>37539</v>
      </c>
      <c r="AS99" s="5">
        <v>18887</v>
      </c>
      <c r="AT99" s="5">
        <f t="shared" si="6"/>
        <v>17761</v>
      </c>
      <c r="AU99" s="71">
        <f t="shared" si="3"/>
        <v>99.613011777902415</v>
      </c>
    </row>
    <row r="100" spans="1:47" ht="15.6" x14ac:dyDescent="0.3">
      <c r="A100" s="55">
        <v>36853</v>
      </c>
      <c r="B100" s="56">
        <v>1097</v>
      </c>
      <c r="C100" s="56">
        <v>4947</v>
      </c>
      <c r="D100" s="56">
        <v>373</v>
      </c>
      <c r="E100" s="56">
        <v>2444</v>
      </c>
      <c r="F100" s="56">
        <v>974</v>
      </c>
      <c r="G100" s="56">
        <v>2665</v>
      </c>
      <c r="H100" s="56">
        <v>782</v>
      </c>
      <c r="I100" s="56">
        <v>2437</v>
      </c>
      <c r="J100" s="56">
        <v>301</v>
      </c>
      <c r="K100" s="56">
        <v>597</v>
      </c>
      <c r="L100" s="56">
        <v>3526</v>
      </c>
      <c r="M100" s="56">
        <v>13091</v>
      </c>
      <c r="N100" s="56">
        <v>6224</v>
      </c>
      <c r="O100" s="56">
        <v>11144</v>
      </c>
      <c r="P100" s="56">
        <v>5233</v>
      </c>
      <c r="Q100" s="56">
        <v>7746</v>
      </c>
      <c r="R100" s="16">
        <f t="shared" si="4"/>
        <v>14983</v>
      </c>
      <c r="T100" s="140">
        <f t="shared" si="5"/>
        <v>37546</v>
      </c>
      <c r="AS100" s="5">
        <v>19016</v>
      </c>
      <c r="AT100" s="5">
        <f t="shared" si="6"/>
        <v>18391.5</v>
      </c>
      <c r="AU100" s="71">
        <f t="shared" si="3"/>
        <v>98.323977546110669</v>
      </c>
    </row>
    <row r="101" spans="1:47" ht="15.6" x14ac:dyDescent="0.3">
      <c r="A101" s="55">
        <v>37217</v>
      </c>
      <c r="B101" s="56">
        <v>1334</v>
      </c>
      <c r="C101" s="56">
        <v>3983</v>
      </c>
      <c r="D101" s="56">
        <v>695</v>
      </c>
      <c r="E101" s="56">
        <v>2905</v>
      </c>
      <c r="F101" s="56">
        <v>1068</v>
      </c>
      <c r="G101" s="56">
        <v>2563</v>
      </c>
      <c r="H101" s="56">
        <v>542</v>
      </c>
      <c r="I101" s="56">
        <v>1608</v>
      </c>
      <c r="J101" s="56">
        <v>231</v>
      </c>
      <c r="K101" s="56">
        <v>621</v>
      </c>
      <c r="L101" s="56">
        <v>3870</v>
      </c>
      <c r="M101" s="56">
        <v>11680</v>
      </c>
      <c r="N101" s="56">
        <v>6603</v>
      </c>
      <c r="O101" s="56">
        <v>10131</v>
      </c>
      <c r="P101" s="56">
        <v>8608</v>
      </c>
      <c r="Q101" s="56">
        <v>8041</v>
      </c>
      <c r="R101" s="16">
        <f t="shared" si="4"/>
        <v>19081</v>
      </c>
      <c r="T101" s="144">
        <f t="shared" si="5"/>
        <v>37553</v>
      </c>
      <c r="U101" s="155"/>
      <c r="AS101" s="5">
        <v>19306</v>
      </c>
      <c r="AT101" s="5">
        <f t="shared" si="6"/>
        <v>18859.75</v>
      </c>
      <c r="AU101" s="71">
        <f t="shared" si="3"/>
        <v>97.411032487991321</v>
      </c>
    </row>
    <row r="102" spans="1:47" ht="15.6" x14ac:dyDescent="0.3">
      <c r="A102" s="55">
        <v>36860</v>
      </c>
      <c r="B102" s="56">
        <v>1084</v>
      </c>
      <c r="C102" s="56">
        <v>5124</v>
      </c>
      <c r="D102" s="56">
        <v>445</v>
      </c>
      <c r="E102" s="56">
        <v>2491</v>
      </c>
      <c r="F102" s="56">
        <v>914</v>
      </c>
      <c r="G102" s="56">
        <v>2817</v>
      </c>
      <c r="H102" s="56">
        <v>761</v>
      </c>
      <c r="I102" s="56">
        <v>2525</v>
      </c>
      <c r="J102" s="56">
        <v>254</v>
      </c>
      <c r="K102" s="56">
        <v>616</v>
      </c>
      <c r="L102" s="56">
        <v>3458</v>
      </c>
      <c r="M102" s="56">
        <v>13572</v>
      </c>
      <c r="N102" s="56">
        <v>6146</v>
      </c>
      <c r="O102" s="56">
        <v>12159</v>
      </c>
      <c r="P102" s="56">
        <v>5836</v>
      </c>
      <c r="Q102" s="56">
        <v>8542</v>
      </c>
      <c r="R102" s="16">
        <f t="shared" si="4"/>
        <v>15440</v>
      </c>
      <c r="T102" s="144">
        <f t="shared" si="5"/>
        <v>37560</v>
      </c>
      <c r="U102" s="155"/>
      <c r="AS102" s="5">
        <v>20088</v>
      </c>
      <c r="AT102" s="5">
        <f t="shared" si="6"/>
        <v>19324.25</v>
      </c>
      <c r="AU102" s="71">
        <f t="shared" si="3"/>
        <v>96.805179841699228</v>
      </c>
    </row>
    <row r="103" spans="1:47" ht="15.6" x14ac:dyDescent="0.3">
      <c r="A103" s="55">
        <v>37224</v>
      </c>
      <c r="B103" s="56">
        <v>1241</v>
      </c>
      <c r="C103" s="56">
        <v>4231</v>
      </c>
      <c r="D103" s="56">
        <v>679</v>
      </c>
      <c r="E103" s="56">
        <v>3004</v>
      </c>
      <c r="F103" s="56">
        <v>1068</v>
      </c>
      <c r="G103" s="56">
        <v>2751</v>
      </c>
      <c r="H103" s="56">
        <v>549</v>
      </c>
      <c r="I103" s="56">
        <v>1708</v>
      </c>
      <c r="J103" s="56">
        <v>275</v>
      </c>
      <c r="K103" s="56">
        <v>623</v>
      </c>
      <c r="L103" s="56">
        <v>3812</v>
      </c>
      <c r="M103" s="56">
        <v>12316</v>
      </c>
      <c r="N103" s="56">
        <v>7635</v>
      </c>
      <c r="O103" s="56">
        <v>10618</v>
      </c>
      <c r="P103" s="56">
        <v>8499</v>
      </c>
      <c r="Q103" s="56">
        <v>9004</v>
      </c>
      <c r="R103" s="16">
        <f t="shared" si="4"/>
        <v>19946</v>
      </c>
      <c r="T103" s="144">
        <f t="shared" si="5"/>
        <v>37567</v>
      </c>
      <c r="U103" s="155"/>
      <c r="AS103" s="5">
        <v>20172</v>
      </c>
      <c r="AT103" s="5">
        <f t="shared" si="6"/>
        <v>19645.5</v>
      </c>
      <c r="AU103" s="71">
        <f t="shared" si="3"/>
        <v>95.70565596531398</v>
      </c>
    </row>
    <row r="104" spans="1:47" ht="15.6" x14ac:dyDescent="0.3">
      <c r="A104" s="55">
        <v>36867</v>
      </c>
      <c r="B104" s="56">
        <v>1075</v>
      </c>
      <c r="C104" s="56">
        <v>5367</v>
      </c>
      <c r="D104" s="56">
        <v>390</v>
      </c>
      <c r="E104" s="56">
        <v>2573</v>
      </c>
      <c r="F104" s="56">
        <v>842</v>
      </c>
      <c r="G104" s="56">
        <v>3001</v>
      </c>
      <c r="H104" s="56">
        <v>682</v>
      </c>
      <c r="I104" s="56">
        <v>2702</v>
      </c>
      <c r="J104" s="56">
        <v>242</v>
      </c>
      <c r="K104" s="56">
        <v>634</v>
      </c>
      <c r="L104" s="56">
        <v>3230</v>
      </c>
      <c r="M104" s="56">
        <v>14276</v>
      </c>
      <c r="N104" s="56">
        <v>6664</v>
      </c>
      <c r="O104" s="56">
        <v>12954</v>
      </c>
      <c r="P104" s="56">
        <v>5886</v>
      </c>
      <c r="Q104" s="56">
        <v>9439</v>
      </c>
      <c r="R104" s="16">
        <f t="shared" si="4"/>
        <v>15780</v>
      </c>
      <c r="T104" s="144">
        <f t="shared" si="5"/>
        <v>37574</v>
      </c>
      <c r="U104" s="155"/>
      <c r="AS104" s="5">
        <v>20044</v>
      </c>
      <c r="AT104" s="5">
        <f t="shared" si="6"/>
        <v>19902.5</v>
      </c>
      <c r="AU104" s="71">
        <f t="shared" si="3"/>
        <v>100.19886220611187</v>
      </c>
    </row>
    <row r="105" spans="1:47" ht="15.6" x14ac:dyDescent="0.3">
      <c r="A105" s="55">
        <v>37231</v>
      </c>
      <c r="B105" s="56">
        <v>1251</v>
      </c>
      <c r="C105" s="56">
        <v>4412</v>
      </c>
      <c r="D105" s="56">
        <v>563</v>
      </c>
      <c r="E105" s="56">
        <v>3175</v>
      </c>
      <c r="F105" s="56">
        <v>1050</v>
      </c>
      <c r="G105" s="56">
        <v>2938</v>
      </c>
      <c r="H105" s="56">
        <v>533</v>
      </c>
      <c r="I105" s="56">
        <v>1767</v>
      </c>
      <c r="J105" s="56">
        <v>216</v>
      </c>
      <c r="K105" s="56">
        <v>689</v>
      </c>
      <c r="L105" s="56">
        <v>3614</v>
      </c>
      <c r="M105" s="56">
        <v>12981</v>
      </c>
      <c r="N105" s="56">
        <v>7541</v>
      </c>
      <c r="O105" s="56">
        <v>11595</v>
      </c>
      <c r="P105" s="56">
        <v>8468</v>
      </c>
      <c r="Q105" s="56">
        <v>9842</v>
      </c>
      <c r="R105" s="16">
        <f t="shared" si="4"/>
        <v>19623</v>
      </c>
      <c r="T105" s="144">
        <f t="shared" si="5"/>
        <v>37581</v>
      </c>
      <c r="U105" s="155"/>
      <c r="AS105" s="5">
        <v>20444</v>
      </c>
      <c r="AT105" s="5">
        <f t="shared" si="6"/>
        <v>20187</v>
      </c>
      <c r="AU105" s="71">
        <f t="shared" si="3"/>
        <v>104.78044222983493</v>
      </c>
    </row>
    <row r="106" spans="1:47" ht="15.6" x14ac:dyDescent="0.3">
      <c r="A106" s="55">
        <v>36874</v>
      </c>
      <c r="B106" s="56">
        <v>1093</v>
      </c>
      <c r="C106" s="56">
        <v>5482</v>
      </c>
      <c r="D106" s="56">
        <v>409</v>
      </c>
      <c r="E106" s="56">
        <v>2625</v>
      </c>
      <c r="F106" s="56">
        <v>853</v>
      </c>
      <c r="G106" s="56">
        <v>3104</v>
      </c>
      <c r="H106" s="56">
        <v>772</v>
      </c>
      <c r="I106" s="56">
        <v>2794</v>
      </c>
      <c r="J106" s="56">
        <v>217</v>
      </c>
      <c r="K106" s="56">
        <v>658</v>
      </c>
      <c r="L106" s="56">
        <v>3343</v>
      </c>
      <c r="M106" s="56">
        <v>14663</v>
      </c>
      <c r="N106" s="56">
        <v>6726</v>
      </c>
      <c r="O106" s="56">
        <v>13853</v>
      </c>
      <c r="P106" s="56">
        <v>6097</v>
      </c>
      <c r="Q106" s="56">
        <v>9774</v>
      </c>
      <c r="R106" s="16">
        <f t="shared" si="4"/>
        <v>16166</v>
      </c>
      <c r="T106" s="144">
        <f t="shared" si="5"/>
        <v>37588</v>
      </c>
      <c r="U106" s="155"/>
      <c r="AS106" s="5">
        <v>20544</v>
      </c>
      <c r="AT106" s="5">
        <f t="shared" si="6"/>
        <v>20301</v>
      </c>
      <c r="AU106" s="71">
        <f t="shared" si="3"/>
        <v>102.71186440677967</v>
      </c>
    </row>
    <row r="107" spans="1:47" ht="15.6" x14ac:dyDescent="0.3">
      <c r="A107" s="55">
        <v>37238</v>
      </c>
      <c r="B107" s="56">
        <v>1231</v>
      </c>
      <c r="C107" s="56">
        <v>4667</v>
      </c>
      <c r="D107" s="56">
        <v>536</v>
      </c>
      <c r="E107" s="56">
        <v>3266</v>
      </c>
      <c r="F107" s="56">
        <v>1009</v>
      </c>
      <c r="G107" s="56">
        <v>3054</v>
      </c>
      <c r="H107" s="56">
        <v>590</v>
      </c>
      <c r="I107" s="56">
        <v>1800</v>
      </c>
      <c r="J107" s="56">
        <v>179</v>
      </c>
      <c r="K107" s="56">
        <v>730</v>
      </c>
      <c r="L107" s="56">
        <v>3546</v>
      </c>
      <c r="M107" s="56">
        <v>13517</v>
      </c>
      <c r="N107" s="56">
        <v>7399</v>
      </c>
      <c r="O107" s="56">
        <v>12339</v>
      </c>
      <c r="P107" s="56">
        <v>8793</v>
      </c>
      <c r="Q107" s="56">
        <v>10512</v>
      </c>
      <c r="R107" s="16">
        <f t="shared" si="4"/>
        <v>19738</v>
      </c>
      <c r="T107" s="144">
        <f t="shared" si="5"/>
        <v>37595</v>
      </c>
      <c r="U107" s="155"/>
      <c r="AS107" s="5">
        <v>19760</v>
      </c>
      <c r="AT107" s="5">
        <f t="shared" si="6"/>
        <v>20198</v>
      </c>
      <c r="AU107" s="71">
        <f t="shared" si="3"/>
        <v>105.85399088098109</v>
      </c>
    </row>
    <row r="108" spans="1:47" ht="15.6" x14ac:dyDescent="0.3">
      <c r="A108" s="55">
        <v>36881</v>
      </c>
      <c r="B108" s="56">
        <v>1057</v>
      </c>
      <c r="C108" s="56">
        <v>5648</v>
      </c>
      <c r="D108" s="56">
        <v>384</v>
      </c>
      <c r="E108" s="56">
        <v>2653</v>
      </c>
      <c r="F108" s="56">
        <v>869</v>
      </c>
      <c r="G108" s="56">
        <v>3251</v>
      </c>
      <c r="H108" s="56">
        <v>742</v>
      </c>
      <c r="I108" s="56">
        <v>2868</v>
      </c>
      <c r="J108" s="56">
        <v>209</v>
      </c>
      <c r="K108" s="56">
        <v>706</v>
      </c>
      <c r="L108" s="56">
        <v>3260</v>
      </c>
      <c r="M108" s="56">
        <v>15126</v>
      </c>
      <c r="N108" s="56">
        <v>6547</v>
      </c>
      <c r="O108" s="56">
        <v>14820</v>
      </c>
      <c r="P108" s="56">
        <v>6610</v>
      </c>
      <c r="Q108" s="56">
        <v>10331</v>
      </c>
      <c r="R108" s="16">
        <f t="shared" si="4"/>
        <v>16417</v>
      </c>
      <c r="T108" s="144">
        <f t="shared" si="5"/>
        <v>37602</v>
      </c>
      <c r="U108" s="155"/>
      <c r="AS108" s="5">
        <v>19498</v>
      </c>
      <c r="AT108" s="5">
        <f t="shared" si="6"/>
        <v>20061.5</v>
      </c>
      <c r="AU108" s="71">
        <f t="shared" si="3"/>
        <v>100.57906347137271</v>
      </c>
    </row>
    <row r="109" spans="1:47" ht="15.6" x14ac:dyDescent="0.3">
      <c r="A109" s="55">
        <v>37245</v>
      </c>
      <c r="B109" s="56">
        <v>1254</v>
      </c>
      <c r="C109" s="56">
        <v>4826</v>
      </c>
      <c r="D109" s="56">
        <v>556</v>
      </c>
      <c r="E109" s="56">
        <v>3368</v>
      </c>
      <c r="F109" s="56">
        <v>965</v>
      </c>
      <c r="G109" s="56">
        <v>3163</v>
      </c>
      <c r="H109" s="56">
        <v>604</v>
      </c>
      <c r="I109" s="56">
        <v>1861</v>
      </c>
      <c r="J109" s="56">
        <v>118</v>
      </c>
      <c r="K109" s="56">
        <v>800</v>
      </c>
      <c r="L109" s="56">
        <v>3497</v>
      </c>
      <c r="M109" s="56">
        <v>14017</v>
      </c>
      <c r="N109" s="56">
        <v>7596</v>
      </c>
      <c r="O109" s="56">
        <v>13051</v>
      </c>
      <c r="P109" s="56">
        <v>8135</v>
      </c>
      <c r="Q109" s="56">
        <v>11744</v>
      </c>
      <c r="R109" s="16">
        <f t="shared" si="4"/>
        <v>19228</v>
      </c>
      <c r="T109" s="144">
        <f t="shared" si="5"/>
        <v>37609</v>
      </c>
      <c r="U109" s="155"/>
      <c r="AS109" s="5">
        <v>19332</v>
      </c>
      <c r="AT109" s="5">
        <f t="shared" si="6"/>
        <v>19783.5</v>
      </c>
      <c r="AU109" s="71">
        <f t="shared" si="3"/>
        <v>100.81791774957958</v>
      </c>
    </row>
    <row r="110" spans="1:47" ht="15.6" x14ac:dyDescent="0.3">
      <c r="A110" s="55">
        <v>36888</v>
      </c>
      <c r="B110" s="56">
        <v>998</v>
      </c>
      <c r="C110" s="56">
        <v>5836</v>
      </c>
      <c r="D110" s="56">
        <v>295</v>
      </c>
      <c r="E110" s="56">
        <v>2759</v>
      </c>
      <c r="F110" s="56">
        <v>918</v>
      </c>
      <c r="G110" s="56">
        <v>3301</v>
      </c>
      <c r="H110" s="56">
        <v>666</v>
      </c>
      <c r="I110" s="56">
        <v>3023</v>
      </c>
      <c r="J110" s="56">
        <v>170</v>
      </c>
      <c r="K110" s="56">
        <v>737</v>
      </c>
      <c r="L110" s="56">
        <v>3047</v>
      </c>
      <c r="M110" s="56">
        <v>15656</v>
      </c>
      <c r="N110" s="56">
        <v>6697</v>
      </c>
      <c r="O110" s="56">
        <v>15269</v>
      </c>
      <c r="P110" s="56">
        <v>6104</v>
      </c>
      <c r="Q110" s="56">
        <v>11059</v>
      </c>
      <c r="R110" s="16">
        <f t="shared" si="4"/>
        <v>15848</v>
      </c>
      <c r="T110" s="144">
        <f t="shared" si="5"/>
        <v>37616</v>
      </c>
      <c r="U110" s="155"/>
      <c r="AS110" s="5">
        <v>19527</v>
      </c>
      <c r="AT110" s="5">
        <f t="shared" si="6"/>
        <v>19529.25</v>
      </c>
      <c r="AU110" s="71">
        <f t="shared" si="3"/>
        <v>98.942395379471066</v>
      </c>
    </row>
    <row r="111" spans="1:47" ht="15.6" x14ac:dyDescent="0.3">
      <c r="A111" s="55">
        <v>37252</v>
      </c>
      <c r="B111" s="56">
        <v>1220</v>
      </c>
      <c r="C111" s="56">
        <v>4900</v>
      </c>
      <c r="D111" s="56">
        <v>623</v>
      </c>
      <c r="E111" s="56">
        <v>3403</v>
      </c>
      <c r="F111" s="56">
        <v>948</v>
      </c>
      <c r="G111" s="56">
        <v>3239</v>
      </c>
      <c r="H111" s="56">
        <v>563</v>
      </c>
      <c r="I111" s="56">
        <v>1902</v>
      </c>
      <c r="J111" s="56">
        <v>118</v>
      </c>
      <c r="K111" s="56">
        <v>800</v>
      </c>
      <c r="L111" s="56">
        <v>3472</v>
      </c>
      <c r="M111" s="56">
        <v>14243</v>
      </c>
      <c r="N111" s="56">
        <v>7347</v>
      </c>
      <c r="O111" s="56">
        <v>13825</v>
      </c>
      <c r="P111" s="56">
        <v>7820</v>
      </c>
      <c r="Q111" s="56">
        <v>12333</v>
      </c>
      <c r="R111" s="16">
        <f t="shared" si="4"/>
        <v>18639</v>
      </c>
      <c r="T111" s="144">
        <f t="shared" si="5"/>
        <v>37623</v>
      </c>
      <c r="U111" s="155"/>
      <c r="AS111" s="5">
        <v>18606</v>
      </c>
      <c r="AT111" s="5">
        <f t="shared" si="6"/>
        <v>19240.75</v>
      </c>
      <c r="AU111" s="71">
        <f t="shared" si="3"/>
        <v>100.06630954857501</v>
      </c>
    </row>
    <row r="112" spans="1:47" ht="15.6" x14ac:dyDescent="0.3">
      <c r="A112" s="55">
        <v>36895</v>
      </c>
      <c r="B112" s="56">
        <v>906</v>
      </c>
      <c r="C112" s="56">
        <v>5946</v>
      </c>
      <c r="D112" s="56">
        <v>179</v>
      </c>
      <c r="E112" s="56">
        <v>2898</v>
      </c>
      <c r="F112" s="56">
        <v>920</v>
      </c>
      <c r="G112" s="56">
        <v>3379</v>
      </c>
      <c r="H112" s="56">
        <v>596</v>
      </c>
      <c r="I112" s="56">
        <v>3132</v>
      </c>
      <c r="J112" s="56">
        <v>173</v>
      </c>
      <c r="K112" s="56">
        <v>748</v>
      </c>
      <c r="L112" s="56">
        <v>2775</v>
      </c>
      <c r="M112" s="56">
        <v>16103</v>
      </c>
      <c r="N112" s="56">
        <v>6253</v>
      </c>
      <c r="O112" s="56">
        <v>15896</v>
      </c>
      <c r="P112" s="56">
        <v>5712</v>
      </c>
      <c r="Q112" s="56">
        <v>11894</v>
      </c>
      <c r="R112" s="16">
        <f t="shared" si="4"/>
        <v>14740</v>
      </c>
      <c r="T112" s="144">
        <f t="shared" si="5"/>
        <v>37630</v>
      </c>
      <c r="U112" s="155"/>
      <c r="AS112" s="5">
        <v>17255</v>
      </c>
      <c r="AT112" s="5">
        <f t="shared" ref="AT112:AT178" si="7">AVERAGE(AS109:AS112)</f>
        <v>18680</v>
      </c>
      <c r="AU112" s="71">
        <f t="shared" si="3"/>
        <v>103.76624819464504</v>
      </c>
    </row>
    <row r="113" spans="1:47" ht="15.6" x14ac:dyDescent="0.3">
      <c r="A113" s="55">
        <v>37259</v>
      </c>
      <c r="B113" s="56">
        <v>1124</v>
      </c>
      <c r="C113" s="56">
        <v>5046</v>
      </c>
      <c r="D113" s="56">
        <v>633</v>
      </c>
      <c r="E113" s="56">
        <v>3534</v>
      </c>
      <c r="F113" s="56">
        <v>936</v>
      </c>
      <c r="G113" s="56">
        <v>3316</v>
      </c>
      <c r="H113" s="56">
        <v>617</v>
      </c>
      <c r="I113" s="56">
        <v>1934</v>
      </c>
      <c r="J113" s="56">
        <v>124</v>
      </c>
      <c r="K113" s="56">
        <v>800</v>
      </c>
      <c r="L113" s="56">
        <v>3433</v>
      </c>
      <c r="M113" s="56">
        <v>14630</v>
      </c>
      <c r="N113" s="56">
        <v>6830</v>
      </c>
      <c r="O113" s="56">
        <v>14456</v>
      </c>
      <c r="P113" s="56">
        <v>7739</v>
      </c>
      <c r="Q113" s="56">
        <v>12997</v>
      </c>
      <c r="R113" s="16">
        <f t="shared" si="4"/>
        <v>18002</v>
      </c>
      <c r="T113" s="144">
        <f t="shared" si="5"/>
        <v>37637</v>
      </c>
      <c r="U113" s="155"/>
      <c r="AS113" s="5">
        <v>17133</v>
      </c>
      <c r="AT113" s="5">
        <f t="shared" si="7"/>
        <v>18130.25</v>
      </c>
      <c r="AU113" s="71">
        <f t="shared" si="3"/>
        <v>99.180798687089705</v>
      </c>
    </row>
    <row r="114" spans="1:47" ht="15.6" x14ac:dyDescent="0.3">
      <c r="A114" s="55">
        <v>36902</v>
      </c>
      <c r="B114" s="56">
        <v>998</v>
      </c>
      <c r="C114" s="56">
        <v>6063</v>
      </c>
      <c r="D114" s="56">
        <v>259</v>
      </c>
      <c r="E114" s="56">
        <v>2933</v>
      </c>
      <c r="F114" s="56">
        <v>894</v>
      </c>
      <c r="G114" s="56">
        <v>3499</v>
      </c>
      <c r="H114" s="56">
        <v>604</v>
      </c>
      <c r="I114" s="56">
        <v>3159</v>
      </c>
      <c r="J114" s="56">
        <v>141</v>
      </c>
      <c r="K114" s="56">
        <v>778</v>
      </c>
      <c r="L114" s="56">
        <v>2896</v>
      </c>
      <c r="M114" s="56">
        <v>16433</v>
      </c>
      <c r="N114" s="56">
        <v>5936</v>
      </c>
      <c r="O114" s="56">
        <v>16826</v>
      </c>
      <c r="P114" s="56">
        <v>6140</v>
      </c>
      <c r="Q114" s="56">
        <v>12416</v>
      </c>
      <c r="R114" s="16">
        <f t="shared" si="4"/>
        <v>14972</v>
      </c>
      <c r="T114" s="144">
        <f t="shared" si="5"/>
        <v>37644</v>
      </c>
      <c r="U114" s="155"/>
      <c r="AS114" s="5">
        <v>16824</v>
      </c>
      <c r="AT114" s="5">
        <f t="shared" si="7"/>
        <v>17454.5</v>
      </c>
      <c r="AU114" s="71">
        <f t="shared" si="3"/>
        <v>94.302771624615062</v>
      </c>
    </row>
    <row r="115" spans="1:47" ht="15.6" x14ac:dyDescent="0.3">
      <c r="A115" s="55">
        <v>37266</v>
      </c>
      <c r="B115" s="56">
        <v>1003</v>
      </c>
      <c r="C115" s="56">
        <v>5279</v>
      </c>
      <c r="D115" s="56">
        <v>693</v>
      </c>
      <c r="E115" s="56">
        <v>3568</v>
      </c>
      <c r="F115" s="56">
        <v>943</v>
      </c>
      <c r="G115" s="56">
        <v>3404</v>
      </c>
      <c r="H115" s="56">
        <v>592</v>
      </c>
      <c r="I115" s="56">
        <v>1996</v>
      </c>
      <c r="J115" s="56">
        <v>124</v>
      </c>
      <c r="K115" s="56">
        <v>800</v>
      </c>
      <c r="L115" s="56">
        <v>3354</v>
      </c>
      <c r="M115" s="56">
        <v>15047</v>
      </c>
      <c r="N115" s="56">
        <v>7110</v>
      </c>
      <c r="O115" s="56">
        <v>15085</v>
      </c>
      <c r="P115" s="56">
        <v>7816</v>
      </c>
      <c r="Q115" s="56">
        <v>14078</v>
      </c>
      <c r="R115" s="16">
        <f t="shared" si="4"/>
        <v>18280</v>
      </c>
      <c r="T115" s="144">
        <f t="shared" si="5"/>
        <v>37651</v>
      </c>
      <c r="U115" s="155"/>
      <c r="AS115" s="5">
        <v>16239</v>
      </c>
      <c r="AT115" s="5">
        <f t="shared" si="7"/>
        <v>16862.75</v>
      </c>
      <c r="AU115" s="71">
        <f t="shared" si="3"/>
        <v>91.635420063036619</v>
      </c>
    </row>
    <row r="116" spans="1:47" ht="15.6" x14ac:dyDescent="0.3">
      <c r="A116" s="55">
        <v>36909</v>
      </c>
      <c r="B116" s="56">
        <v>1032</v>
      </c>
      <c r="C116" s="56">
        <v>6176</v>
      </c>
      <c r="D116" s="56">
        <v>424</v>
      </c>
      <c r="E116" s="56">
        <v>2983</v>
      </c>
      <c r="F116" s="56">
        <v>988</v>
      </c>
      <c r="G116" s="56">
        <v>3525</v>
      </c>
      <c r="H116" s="56">
        <v>1032</v>
      </c>
      <c r="I116" s="56">
        <v>3213</v>
      </c>
      <c r="J116" s="56">
        <v>138</v>
      </c>
      <c r="K116" s="56">
        <v>781</v>
      </c>
      <c r="L116" s="56">
        <v>3614</v>
      </c>
      <c r="M116" s="56">
        <v>16678</v>
      </c>
      <c r="N116" s="56">
        <v>6654</v>
      </c>
      <c r="O116" s="56">
        <v>17667</v>
      </c>
      <c r="P116" s="56">
        <v>6553</v>
      </c>
      <c r="Q116" s="56">
        <v>13114</v>
      </c>
      <c r="R116" s="16">
        <f t="shared" si="4"/>
        <v>16821</v>
      </c>
      <c r="T116" s="144">
        <f t="shared" si="5"/>
        <v>37658</v>
      </c>
      <c r="U116" s="155"/>
      <c r="AS116" s="5">
        <v>15365</v>
      </c>
      <c r="AT116" s="5">
        <f t="shared" si="7"/>
        <v>16390.25</v>
      </c>
      <c r="AU116" s="71">
        <f t="shared" si="3"/>
        <v>89.972278640829998</v>
      </c>
    </row>
    <row r="117" spans="1:47" ht="15.6" x14ac:dyDescent="0.3">
      <c r="A117" s="55">
        <v>37273</v>
      </c>
      <c r="B117" s="56">
        <v>1192</v>
      </c>
      <c r="C117" s="56">
        <v>5454</v>
      </c>
      <c r="D117" s="56">
        <v>702</v>
      </c>
      <c r="E117" s="56">
        <v>3639</v>
      </c>
      <c r="F117" s="56">
        <v>934</v>
      </c>
      <c r="G117" s="56">
        <v>3554</v>
      </c>
      <c r="H117" s="56">
        <v>595</v>
      </c>
      <c r="I117" s="56">
        <v>2057</v>
      </c>
      <c r="J117" s="56">
        <v>132</v>
      </c>
      <c r="K117" s="56">
        <v>810</v>
      </c>
      <c r="L117" s="56">
        <v>3555</v>
      </c>
      <c r="M117" s="56">
        <v>15514</v>
      </c>
      <c r="N117" s="56">
        <v>7432</v>
      </c>
      <c r="O117" s="56">
        <v>16075</v>
      </c>
      <c r="P117" s="56">
        <v>7522</v>
      </c>
      <c r="Q117" s="56">
        <v>15099</v>
      </c>
      <c r="R117" s="16">
        <f t="shared" si="4"/>
        <v>18509</v>
      </c>
      <c r="T117" s="144">
        <f t="shared" si="5"/>
        <v>37665</v>
      </c>
      <c r="U117" s="155"/>
      <c r="AS117" s="5">
        <v>14633</v>
      </c>
      <c r="AT117" s="5">
        <f t="shared" si="7"/>
        <v>15765.25</v>
      </c>
      <c r="AU117" s="71">
        <f t="shared" si="3"/>
        <v>87.526371308016877</v>
      </c>
    </row>
    <row r="118" spans="1:47" ht="15.6" x14ac:dyDescent="0.3">
      <c r="A118" s="55">
        <v>36916</v>
      </c>
      <c r="B118" s="56">
        <v>1107</v>
      </c>
      <c r="C118" s="56">
        <v>6332</v>
      </c>
      <c r="D118" s="56">
        <v>454</v>
      </c>
      <c r="E118" s="56">
        <v>3030</v>
      </c>
      <c r="F118" s="56">
        <v>973</v>
      </c>
      <c r="G118" s="56">
        <v>3642</v>
      </c>
      <c r="H118" s="56">
        <v>981</v>
      </c>
      <c r="I118" s="56">
        <v>3324</v>
      </c>
      <c r="J118" s="56">
        <v>140</v>
      </c>
      <c r="K118" s="56">
        <v>807</v>
      </c>
      <c r="L118" s="56">
        <v>3654</v>
      </c>
      <c r="M118" s="56">
        <v>17133</v>
      </c>
      <c r="N118" s="56">
        <v>7071</v>
      </c>
      <c r="O118" s="56">
        <v>18382</v>
      </c>
      <c r="P118" s="56">
        <v>6446</v>
      </c>
      <c r="Q118" s="56">
        <v>13996</v>
      </c>
      <c r="R118" s="16">
        <f t="shared" si="4"/>
        <v>17171</v>
      </c>
      <c r="T118" s="144">
        <f t="shared" si="5"/>
        <v>37672</v>
      </c>
      <c r="U118" s="155"/>
      <c r="AS118" s="5">
        <v>13376</v>
      </c>
      <c r="AT118" s="5">
        <f t="shared" si="7"/>
        <v>14903.25</v>
      </c>
      <c r="AU118" s="71">
        <f t="shared" si="3"/>
        <v>86.365611961057027</v>
      </c>
    </row>
    <row r="119" spans="1:47" ht="15.6" x14ac:dyDescent="0.3">
      <c r="A119" s="55">
        <v>37280</v>
      </c>
      <c r="B119" s="56">
        <v>1357</v>
      </c>
      <c r="C119" s="56">
        <v>5543</v>
      </c>
      <c r="D119" s="56">
        <v>675</v>
      </c>
      <c r="E119" s="56">
        <v>3731</v>
      </c>
      <c r="F119" s="56">
        <v>963</v>
      </c>
      <c r="G119" s="56">
        <v>3636</v>
      </c>
      <c r="H119" s="56">
        <v>505</v>
      </c>
      <c r="I119" s="56">
        <v>2212</v>
      </c>
      <c r="J119" s="56">
        <v>181</v>
      </c>
      <c r="K119" s="56">
        <v>812</v>
      </c>
      <c r="L119" s="56">
        <v>3681</v>
      </c>
      <c r="M119" s="56">
        <v>15932</v>
      </c>
      <c r="N119" s="56">
        <v>7415</v>
      </c>
      <c r="O119" s="56">
        <v>16841</v>
      </c>
      <c r="P119" s="56">
        <v>7306</v>
      </c>
      <c r="Q119" s="56">
        <v>16026</v>
      </c>
      <c r="R119" s="16">
        <f t="shared" si="4"/>
        <v>18402</v>
      </c>
      <c r="T119" s="144">
        <f t="shared" si="5"/>
        <v>37679</v>
      </c>
      <c r="U119" s="155"/>
      <c r="AS119" s="5">
        <v>12688</v>
      </c>
      <c r="AT119" s="5">
        <f t="shared" si="7"/>
        <v>14015.5</v>
      </c>
      <c r="AU119" s="71">
        <f t="shared" si="3"/>
        <v>85.278369333738965</v>
      </c>
    </row>
    <row r="120" spans="1:47" ht="15.6" x14ac:dyDescent="0.3">
      <c r="A120" s="55">
        <v>36923</v>
      </c>
      <c r="B120" s="56">
        <v>1363</v>
      </c>
      <c r="C120" s="56">
        <v>6428</v>
      </c>
      <c r="D120" s="56">
        <v>543</v>
      </c>
      <c r="E120" s="56">
        <v>3092</v>
      </c>
      <c r="F120" s="56">
        <v>966</v>
      </c>
      <c r="G120" s="56">
        <v>3771</v>
      </c>
      <c r="H120" s="56">
        <v>960</v>
      </c>
      <c r="I120" s="56">
        <v>3390</v>
      </c>
      <c r="J120" s="56">
        <v>128</v>
      </c>
      <c r="K120" s="56">
        <v>839</v>
      </c>
      <c r="L120" s="56">
        <v>3960</v>
      </c>
      <c r="M120" s="56">
        <v>17521</v>
      </c>
      <c r="N120" s="56">
        <v>7569</v>
      </c>
      <c r="O120" s="56">
        <v>18913</v>
      </c>
      <c r="P120" s="56">
        <v>6703</v>
      </c>
      <c r="Q120" s="56">
        <v>14541</v>
      </c>
      <c r="R120" s="16">
        <f t="shared" si="4"/>
        <v>18232</v>
      </c>
      <c r="T120" s="144">
        <f t="shared" si="5"/>
        <v>37686</v>
      </c>
      <c r="U120" s="155"/>
      <c r="AS120" s="5">
        <v>12758</v>
      </c>
      <c r="AT120" s="5">
        <f t="shared" si="7"/>
        <v>13363.75</v>
      </c>
      <c r="AU120" s="71">
        <f t="shared" si="3"/>
        <v>90.393330627705623</v>
      </c>
    </row>
    <row r="121" spans="1:47" ht="15.6" x14ac:dyDescent="0.3">
      <c r="A121" s="55">
        <v>37287</v>
      </c>
      <c r="B121" s="56">
        <v>1324</v>
      </c>
      <c r="C121" s="56">
        <v>5764</v>
      </c>
      <c r="D121" s="56">
        <v>826</v>
      </c>
      <c r="E121" s="56">
        <v>3794</v>
      </c>
      <c r="F121" s="56">
        <v>878</v>
      </c>
      <c r="G121" s="56">
        <v>3827</v>
      </c>
      <c r="H121" s="56">
        <v>525</v>
      </c>
      <c r="I121" s="56">
        <v>2222</v>
      </c>
      <c r="J121" s="56">
        <v>205</v>
      </c>
      <c r="K121" s="56">
        <v>812</v>
      </c>
      <c r="L121" s="56">
        <v>3759</v>
      </c>
      <c r="M121" s="56">
        <v>16418</v>
      </c>
      <c r="N121" s="56">
        <v>7944</v>
      </c>
      <c r="O121" s="56">
        <v>17695</v>
      </c>
      <c r="P121" s="56">
        <v>6514</v>
      </c>
      <c r="Q121" s="56">
        <v>17182</v>
      </c>
      <c r="R121" s="16">
        <f t="shared" si="4"/>
        <v>18217</v>
      </c>
      <c r="T121" s="144">
        <f t="shared" si="5"/>
        <v>37693</v>
      </c>
      <c r="U121" s="155"/>
      <c r="AS121" s="5">
        <v>12367</v>
      </c>
      <c r="AT121" s="5">
        <f t="shared" si="7"/>
        <v>12797.25</v>
      </c>
      <c r="AU121" s="71">
        <f t="shared" si="3"/>
        <v>90.254954510191126</v>
      </c>
    </row>
    <row r="122" spans="1:47" ht="15.6" x14ac:dyDescent="0.3">
      <c r="A122" s="55">
        <v>36930</v>
      </c>
      <c r="B122" s="56">
        <v>1291</v>
      </c>
      <c r="C122" s="56">
        <v>6665</v>
      </c>
      <c r="D122" s="56">
        <v>509</v>
      </c>
      <c r="E122" s="56">
        <v>3185</v>
      </c>
      <c r="F122" s="56">
        <v>933</v>
      </c>
      <c r="G122" s="56">
        <v>3936</v>
      </c>
      <c r="H122" s="56">
        <v>975</v>
      </c>
      <c r="I122" s="56">
        <v>3507</v>
      </c>
      <c r="J122" s="56">
        <v>124</v>
      </c>
      <c r="K122" s="56">
        <v>842</v>
      </c>
      <c r="L122" s="56">
        <v>3833</v>
      </c>
      <c r="M122" s="56">
        <v>18134</v>
      </c>
      <c r="N122" s="56">
        <v>7585</v>
      </c>
      <c r="O122" s="56">
        <v>20052</v>
      </c>
      <c r="P122" s="56">
        <v>6480</v>
      </c>
      <c r="Q122" s="56">
        <v>15502</v>
      </c>
      <c r="R122" s="16">
        <f t="shared" si="4"/>
        <v>17898</v>
      </c>
      <c r="T122" s="144">
        <f t="shared" si="5"/>
        <v>37700</v>
      </c>
      <c r="U122" s="155"/>
      <c r="AS122" s="5">
        <v>12608</v>
      </c>
      <c r="AT122" s="5">
        <f t="shared" si="7"/>
        <v>12605.25</v>
      </c>
      <c r="AU122" s="71">
        <f t="shared" si="3"/>
        <v>92.542764848395862</v>
      </c>
    </row>
    <row r="123" spans="1:47" ht="15.6" x14ac:dyDescent="0.3">
      <c r="A123" s="55">
        <v>37294</v>
      </c>
      <c r="B123" s="56">
        <v>1284</v>
      </c>
      <c r="C123" s="56">
        <v>5907</v>
      </c>
      <c r="D123" s="56">
        <v>794</v>
      </c>
      <c r="E123" s="56">
        <v>3900</v>
      </c>
      <c r="F123" s="56">
        <v>917</v>
      </c>
      <c r="G123" s="56">
        <v>3917</v>
      </c>
      <c r="H123" s="56">
        <v>583</v>
      </c>
      <c r="I123" s="56">
        <v>2289</v>
      </c>
      <c r="J123" s="56">
        <v>186</v>
      </c>
      <c r="K123" s="56">
        <v>838</v>
      </c>
      <c r="L123" s="56">
        <v>3764</v>
      </c>
      <c r="M123" s="56">
        <v>16852</v>
      </c>
      <c r="N123" s="56">
        <v>8339</v>
      </c>
      <c r="O123" s="56">
        <v>18286</v>
      </c>
      <c r="P123" s="56">
        <v>5909</v>
      </c>
      <c r="Q123" s="56">
        <v>17845</v>
      </c>
      <c r="R123" s="16">
        <f t="shared" si="4"/>
        <v>18012</v>
      </c>
      <c r="T123" s="144">
        <f t="shared" si="5"/>
        <v>37707</v>
      </c>
      <c r="U123" s="155"/>
      <c r="AS123" s="5">
        <v>12394</v>
      </c>
      <c r="AT123" s="5">
        <f t="shared" si="7"/>
        <v>12531.75</v>
      </c>
      <c r="AU123" s="71">
        <f t="shared" si="3"/>
        <v>94.394019282916545</v>
      </c>
    </row>
    <row r="124" spans="1:47" ht="15.6" x14ac:dyDescent="0.3">
      <c r="A124" s="55">
        <v>36937</v>
      </c>
      <c r="B124" s="56">
        <v>1260</v>
      </c>
      <c r="C124" s="56">
        <v>6815</v>
      </c>
      <c r="D124" s="56">
        <v>482</v>
      </c>
      <c r="E124" s="56">
        <v>3285</v>
      </c>
      <c r="F124" s="56">
        <v>870</v>
      </c>
      <c r="G124" s="56">
        <v>4048</v>
      </c>
      <c r="H124" s="56">
        <v>902</v>
      </c>
      <c r="I124" s="56">
        <v>3595</v>
      </c>
      <c r="J124" s="56">
        <v>163</v>
      </c>
      <c r="K124" s="56">
        <v>842</v>
      </c>
      <c r="L124" s="56">
        <v>3677</v>
      </c>
      <c r="M124" s="56">
        <v>18585</v>
      </c>
      <c r="N124" s="56">
        <v>7576</v>
      </c>
      <c r="O124" s="56">
        <v>20817</v>
      </c>
      <c r="P124" s="56">
        <v>6260</v>
      </c>
      <c r="Q124" s="56">
        <v>16291</v>
      </c>
      <c r="R124" s="16">
        <f t="shared" si="4"/>
        <v>17513</v>
      </c>
      <c r="T124" s="144">
        <f t="shared" si="5"/>
        <v>37714</v>
      </c>
      <c r="U124" s="155"/>
      <c r="AS124" s="5">
        <v>11308</v>
      </c>
      <c r="AT124" s="5">
        <f t="shared" si="7"/>
        <v>12169.25</v>
      </c>
      <c r="AU124" s="71">
        <f t="shared" si="3"/>
        <v>97.182957993930685</v>
      </c>
    </row>
    <row r="125" spans="1:47" ht="15.6" x14ac:dyDescent="0.3">
      <c r="A125" s="55">
        <v>37301</v>
      </c>
      <c r="B125" s="56">
        <v>1310</v>
      </c>
      <c r="C125" s="56">
        <v>6053</v>
      </c>
      <c r="D125" s="56">
        <v>753</v>
      </c>
      <c r="E125" s="56">
        <v>3982</v>
      </c>
      <c r="F125" s="56">
        <v>890</v>
      </c>
      <c r="G125" s="56">
        <v>3998</v>
      </c>
      <c r="H125" s="56">
        <v>545</v>
      </c>
      <c r="I125" s="56">
        <v>2357</v>
      </c>
      <c r="J125" s="56">
        <v>169</v>
      </c>
      <c r="K125" s="56">
        <v>887</v>
      </c>
      <c r="L125" s="56">
        <v>3668</v>
      </c>
      <c r="M125" s="56">
        <v>17277</v>
      </c>
      <c r="N125" s="56">
        <v>8530</v>
      </c>
      <c r="O125" s="56">
        <v>19260</v>
      </c>
      <c r="P125" s="56">
        <v>5058</v>
      </c>
      <c r="Q125" s="56">
        <v>19090</v>
      </c>
      <c r="R125" s="16">
        <f t="shared" si="4"/>
        <v>17256</v>
      </c>
      <c r="T125" s="144">
        <f t="shared" si="5"/>
        <v>37721</v>
      </c>
      <c r="U125" s="155"/>
      <c r="AS125" s="5">
        <v>11166</v>
      </c>
      <c r="AT125" s="5">
        <f t="shared" si="7"/>
        <v>11869</v>
      </c>
      <c r="AU125" s="71">
        <f t="shared" ref="AU125:AU188" si="8">(AT125/AS73)*100</f>
        <v>99.932642923297138</v>
      </c>
    </row>
    <row r="126" spans="1:47" ht="15.6" x14ac:dyDescent="0.3">
      <c r="A126" s="55">
        <v>36944</v>
      </c>
      <c r="B126" s="56">
        <v>1176</v>
      </c>
      <c r="C126" s="56">
        <v>7056</v>
      </c>
      <c r="D126" s="56">
        <v>404</v>
      </c>
      <c r="E126" s="56">
        <v>3417</v>
      </c>
      <c r="F126" s="56">
        <v>866</v>
      </c>
      <c r="G126" s="56">
        <v>4229</v>
      </c>
      <c r="H126" s="56">
        <v>941</v>
      </c>
      <c r="I126" s="56">
        <v>3737</v>
      </c>
      <c r="J126" s="56">
        <v>174</v>
      </c>
      <c r="K126" s="56">
        <v>867</v>
      </c>
      <c r="L126" s="56">
        <v>3560</v>
      </c>
      <c r="M126" s="56">
        <v>19305</v>
      </c>
      <c r="N126" s="56">
        <v>7303</v>
      </c>
      <c r="O126" s="56">
        <v>21745</v>
      </c>
      <c r="P126" s="56">
        <v>5753</v>
      </c>
      <c r="Q126" s="56">
        <v>17305</v>
      </c>
      <c r="R126" s="16">
        <f t="shared" si="4"/>
        <v>16616</v>
      </c>
      <c r="T126" s="144">
        <f t="shared" si="5"/>
        <v>37728</v>
      </c>
      <c r="U126" s="155"/>
      <c r="AS126" s="5">
        <v>11040</v>
      </c>
      <c r="AT126" s="5">
        <f t="shared" si="7"/>
        <v>11477</v>
      </c>
      <c r="AU126" s="71">
        <f t="shared" si="8"/>
        <v>96.746185619151987</v>
      </c>
    </row>
    <row r="127" spans="1:47" ht="15.6" x14ac:dyDescent="0.3">
      <c r="A127" s="55">
        <v>37308</v>
      </c>
      <c r="B127" s="56">
        <v>1204</v>
      </c>
      <c r="C127" s="56">
        <v>6266</v>
      </c>
      <c r="D127" s="56">
        <v>733</v>
      </c>
      <c r="E127" s="56">
        <v>4070</v>
      </c>
      <c r="F127" s="56">
        <v>839</v>
      </c>
      <c r="G127" s="56">
        <v>4062</v>
      </c>
      <c r="H127" s="56">
        <v>485</v>
      </c>
      <c r="I127" s="56">
        <v>2417</v>
      </c>
      <c r="J127" s="56">
        <v>139</v>
      </c>
      <c r="K127" s="56">
        <v>951</v>
      </c>
      <c r="L127" s="56">
        <v>3400</v>
      </c>
      <c r="M127" s="56">
        <v>17767</v>
      </c>
      <c r="N127" s="56">
        <v>8410</v>
      </c>
      <c r="O127" s="56">
        <v>20187</v>
      </c>
      <c r="P127" s="56">
        <v>4625</v>
      </c>
      <c r="Q127" s="56">
        <v>20235</v>
      </c>
      <c r="R127" s="16">
        <f t="shared" si="4"/>
        <v>16435</v>
      </c>
      <c r="T127" s="144">
        <f t="shared" si="5"/>
        <v>37735</v>
      </c>
      <c r="U127" s="155"/>
      <c r="AS127" s="5">
        <v>10645</v>
      </c>
      <c r="AT127" s="5">
        <f t="shared" si="7"/>
        <v>11039.75</v>
      </c>
      <c r="AU127" s="71">
        <f t="shared" si="8"/>
        <v>94.276259607173358</v>
      </c>
    </row>
    <row r="128" spans="1:47" ht="15.6" x14ac:dyDescent="0.3">
      <c r="A128" s="55">
        <v>36951</v>
      </c>
      <c r="B128" s="56">
        <v>1204</v>
      </c>
      <c r="C128" s="56">
        <v>7191</v>
      </c>
      <c r="D128" s="56">
        <v>387</v>
      </c>
      <c r="E128" s="56">
        <v>3558</v>
      </c>
      <c r="F128" s="56">
        <v>847</v>
      </c>
      <c r="G128" s="56">
        <v>4313</v>
      </c>
      <c r="H128" s="56">
        <v>910</v>
      </c>
      <c r="I128" s="56">
        <v>3862</v>
      </c>
      <c r="J128" s="56">
        <v>182</v>
      </c>
      <c r="K128" s="56">
        <v>868</v>
      </c>
      <c r="L128" s="56">
        <v>3530</v>
      </c>
      <c r="M128" s="56">
        <v>19792</v>
      </c>
      <c r="N128" s="56">
        <v>7415</v>
      </c>
      <c r="O128" s="56">
        <v>22492</v>
      </c>
      <c r="P128" s="56">
        <v>5129</v>
      </c>
      <c r="Q128" s="56">
        <v>18173</v>
      </c>
      <c r="R128" s="16">
        <f t="shared" si="4"/>
        <v>16074</v>
      </c>
      <c r="T128" s="144">
        <f t="shared" si="5"/>
        <v>37742</v>
      </c>
      <c r="U128" s="155"/>
      <c r="AS128" s="5">
        <v>10551</v>
      </c>
      <c r="AT128" s="5">
        <f t="shared" si="7"/>
        <v>10850.5</v>
      </c>
      <c r="AU128" s="71">
        <f t="shared" si="8"/>
        <v>92.581058020477812</v>
      </c>
    </row>
    <row r="129" spans="1:47" ht="15.6" x14ac:dyDescent="0.3">
      <c r="A129" s="55">
        <v>37315</v>
      </c>
      <c r="B129" s="56">
        <v>1283</v>
      </c>
      <c r="C129" s="56">
        <v>6418</v>
      </c>
      <c r="D129" s="56">
        <v>661</v>
      </c>
      <c r="E129" s="56">
        <v>4159</v>
      </c>
      <c r="F129" s="56">
        <v>826</v>
      </c>
      <c r="G129" s="56">
        <v>4179</v>
      </c>
      <c r="H129" s="56">
        <v>447</v>
      </c>
      <c r="I129" s="56">
        <v>2477</v>
      </c>
      <c r="J129" s="56">
        <v>173</v>
      </c>
      <c r="K129" s="56">
        <v>960</v>
      </c>
      <c r="L129" s="56">
        <v>3391</v>
      </c>
      <c r="M129" s="56">
        <v>18194</v>
      </c>
      <c r="N129" s="56">
        <v>7285</v>
      </c>
      <c r="O129" s="56">
        <v>21710</v>
      </c>
      <c r="P129" s="56">
        <v>4108</v>
      </c>
      <c r="Q129" s="56">
        <v>20619</v>
      </c>
      <c r="R129" s="16">
        <f t="shared" si="4"/>
        <v>14784</v>
      </c>
      <c r="T129" s="144">
        <f t="shared" si="5"/>
        <v>37749</v>
      </c>
      <c r="U129" s="155"/>
      <c r="AS129" s="5">
        <v>9975</v>
      </c>
      <c r="AT129" s="5">
        <f t="shared" si="7"/>
        <v>10552.75</v>
      </c>
      <c r="AU129" s="71">
        <f t="shared" si="8"/>
        <v>94.187343805783655</v>
      </c>
    </row>
    <row r="130" spans="1:47" ht="15.6" x14ac:dyDescent="0.3">
      <c r="A130" s="55">
        <v>36958</v>
      </c>
      <c r="B130" s="56">
        <v>1075</v>
      </c>
      <c r="C130" s="56">
        <v>7404</v>
      </c>
      <c r="D130" s="56">
        <v>399</v>
      </c>
      <c r="E130" s="56">
        <v>3619</v>
      </c>
      <c r="F130" s="56">
        <v>899</v>
      </c>
      <c r="G130" s="56">
        <v>4414</v>
      </c>
      <c r="H130" s="56">
        <v>798</v>
      </c>
      <c r="I130" s="56">
        <v>4035</v>
      </c>
      <c r="J130" s="56">
        <v>195</v>
      </c>
      <c r="K130" s="56">
        <v>874</v>
      </c>
      <c r="L130" s="56">
        <v>3365</v>
      </c>
      <c r="M130" s="56">
        <v>20346</v>
      </c>
      <c r="N130" s="56">
        <v>7488</v>
      </c>
      <c r="O130" s="56">
        <v>23341</v>
      </c>
      <c r="P130" s="56">
        <v>4733</v>
      </c>
      <c r="Q130" s="56">
        <v>19089</v>
      </c>
      <c r="R130" s="16">
        <f t="shared" si="4"/>
        <v>15586</v>
      </c>
      <c r="T130" s="144">
        <f t="shared" si="5"/>
        <v>37756</v>
      </c>
      <c r="U130" s="155"/>
      <c r="AS130" s="5">
        <v>10056</v>
      </c>
      <c r="AT130" s="5">
        <f t="shared" si="7"/>
        <v>10306.75</v>
      </c>
      <c r="AU130" s="71">
        <f t="shared" si="8"/>
        <v>96.469019093972292</v>
      </c>
    </row>
    <row r="131" spans="1:47" ht="15.6" x14ac:dyDescent="0.3">
      <c r="A131" s="55">
        <v>37322</v>
      </c>
      <c r="B131" s="56">
        <v>1266</v>
      </c>
      <c r="C131" s="56">
        <v>6538</v>
      </c>
      <c r="D131" s="56">
        <v>710</v>
      </c>
      <c r="E131" s="56">
        <v>4285</v>
      </c>
      <c r="F131" s="56">
        <v>744</v>
      </c>
      <c r="G131" s="56">
        <v>4280</v>
      </c>
      <c r="H131" s="56">
        <v>382</v>
      </c>
      <c r="I131" s="56">
        <v>2569</v>
      </c>
      <c r="J131" s="56">
        <v>129</v>
      </c>
      <c r="K131" s="56">
        <v>994</v>
      </c>
      <c r="L131" s="56">
        <v>3231</v>
      </c>
      <c r="M131" s="56">
        <v>18666</v>
      </c>
      <c r="N131" s="56">
        <v>7338</v>
      </c>
      <c r="O131" s="56">
        <v>22701</v>
      </c>
      <c r="P131" s="56">
        <v>3610</v>
      </c>
      <c r="Q131" s="56">
        <v>21247</v>
      </c>
      <c r="R131" s="16">
        <f t="shared" si="4"/>
        <v>14179</v>
      </c>
      <c r="T131" s="144">
        <f t="shared" si="5"/>
        <v>37763</v>
      </c>
      <c r="U131" s="155"/>
      <c r="AS131" s="5">
        <v>9730</v>
      </c>
      <c r="AT131" s="5">
        <f t="shared" si="7"/>
        <v>10078</v>
      </c>
      <c r="AU131" s="71">
        <f t="shared" si="8"/>
        <v>93.090707555883981</v>
      </c>
    </row>
    <row r="132" spans="1:47" ht="15.6" x14ac:dyDescent="0.3">
      <c r="A132" s="55">
        <v>36965</v>
      </c>
      <c r="B132" s="56">
        <v>1121</v>
      </c>
      <c r="C132" s="56">
        <v>7517</v>
      </c>
      <c r="D132" s="56">
        <v>387</v>
      </c>
      <c r="E132" s="56">
        <v>3654</v>
      </c>
      <c r="F132" s="56">
        <v>1012</v>
      </c>
      <c r="G132" s="56">
        <v>4485</v>
      </c>
      <c r="H132" s="56">
        <v>845</v>
      </c>
      <c r="I132" s="56">
        <v>4073</v>
      </c>
      <c r="J132" s="56">
        <v>261</v>
      </c>
      <c r="K132" s="56">
        <v>878</v>
      </c>
      <c r="L132" s="56">
        <v>3626</v>
      </c>
      <c r="M132" s="56">
        <v>20606</v>
      </c>
      <c r="N132" s="56">
        <v>7315</v>
      </c>
      <c r="O132" s="56">
        <v>24160</v>
      </c>
      <c r="P132" s="56">
        <v>4168</v>
      </c>
      <c r="Q132" s="56">
        <v>19950</v>
      </c>
      <c r="R132" s="16">
        <f t="shared" si="4"/>
        <v>15109</v>
      </c>
      <c r="T132" s="144">
        <f t="shared" si="5"/>
        <v>37770</v>
      </c>
      <c r="U132" s="155"/>
      <c r="AS132" s="5">
        <v>9199</v>
      </c>
      <c r="AT132" s="5">
        <f t="shared" si="7"/>
        <v>9740</v>
      </c>
      <c r="AU132" s="71">
        <f t="shared" si="8"/>
        <v>93.536924997599158</v>
      </c>
    </row>
    <row r="133" spans="1:47" ht="15.6" x14ac:dyDescent="0.3">
      <c r="A133" s="55">
        <v>37329</v>
      </c>
      <c r="B133" s="56">
        <v>1388</v>
      </c>
      <c r="C133" s="56">
        <v>6718</v>
      </c>
      <c r="D133" s="56">
        <v>648</v>
      </c>
      <c r="E133" s="56">
        <v>4398</v>
      </c>
      <c r="F133" s="56">
        <v>807</v>
      </c>
      <c r="G133" s="56">
        <v>4368</v>
      </c>
      <c r="H133" s="56">
        <v>412</v>
      </c>
      <c r="I133" s="56">
        <v>2605</v>
      </c>
      <c r="J133" s="56">
        <v>129</v>
      </c>
      <c r="K133" s="56">
        <v>1001</v>
      </c>
      <c r="L133" s="56">
        <v>3383</v>
      </c>
      <c r="M133" s="56">
        <v>19090</v>
      </c>
      <c r="N133" s="56">
        <v>7283</v>
      </c>
      <c r="O133" s="56">
        <v>23849</v>
      </c>
      <c r="P133" s="56">
        <v>2955</v>
      </c>
      <c r="Q133" s="56">
        <v>22119</v>
      </c>
      <c r="R133" s="16">
        <f t="shared" si="4"/>
        <v>13621</v>
      </c>
      <c r="T133" s="144">
        <f t="shared" si="5"/>
        <v>37777</v>
      </c>
      <c r="U133" s="155"/>
      <c r="AS133" s="5">
        <v>8499</v>
      </c>
      <c r="AT133" s="5">
        <f t="shared" si="7"/>
        <v>9371</v>
      </c>
      <c r="AU133" s="71">
        <f t="shared" si="8"/>
        <v>94.74269537963805</v>
      </c>
    </row>
    <row r="134" spans="1:47" ht="15.6" x14ac:dyDescent="0.3">
      <c r="A134" s="55">
        <v>36972</v>
      </c>
      <c r="B134" s="56">
        <v>1182</v>
      </c>
      <c r="C134" s="56">
        <v>7626</v>
      </c>
      <c r="D134" s="56">
        <v>471</v>
      </c>
      <c r="E134" s="56">
        <v>3676</v>
      </c>
      <c r="F134" s="56">
        <v>1092</v>
      </c>
      <c r="G134" s="56">
        <v>4523</v>
      </c>
      <c r="H134" s="56">
        <v>859</v>
      </c>
      <c r="I134" s="56">
        <v>4136</v>
      </c>
      <c r="J134" s="56">
        <v>275</v>
      </c>
      <c r="K134" s="56">
        <v>905</v>
      </c>
      <c r="L134" s="56">
        <v>3878</v>
      </c>
      <c r="M134" s="56">
        <v>20866</v>
      </c>
      <c r="N134" s="56">
        <v>6439</v>
      </c>
      <c r="O134" s="56">
        <v>25448</v>
      </c>
      <c r="P134" s="56">
        <v>3453</v>
      </c>
      <c r="Q134" s="56">
        <v>20900</v>
      </c>
      <c r="R134" s="16">
        <f t="shared" ref="R134:R197" si="9">P134+N134+L134</f>
        <v>13770</v>
      </c>
      <c r="T134" s="144">
        <f t="shared" si="5"/>
        <v>37784</v>
      </c>
      <c r="U134" s="155"/>
      <c r="AS134" s="5">
        <v>10571</v>
      </c>
      <c r="AT134" s="5">
        <f t="shared" si="7"/>
        <v>9499.75</v>
      </c>
      <c r="AU134" s="71">
        <f t="shared" si="8"/>
        <v>78.620789539021757</v>
      </c>
    </row>
    <row r="135" spans="1:47" ht="15.6" x14ac:dyDescent="0.3">
      <c r="A135" s="55">
        <v>37336</v>
      </c>
      <c r="B135" s="56">
        <v>1290</v>
      </c>
      <c r="C135" s="56">
        <v>6985</v>
      </c>
      <c r="D135" s="56">
        <v>878</v>
      </c>
      <c r="E135" s="56">
        <v>4533</v>
      </c>
      <c r="F135" s="56">
        <v>712</v>
      </c>
      <c r="G135" s="56">
        <v>4499</v>
      </c>
      <c r="H135" s="56">
        <v>449</v>
      </c>
      <c r="I135" s="56">
        <v>2616</v>
      </c>
      <c r="J135" s="56">
        <v>122</v>
      </c>
      <c r="K135" s="56">
        <v>1006</v>
      </c>
      <c r="L135" s="56">
        <v>3450</v>
      </c>
      <c r="M135" s="56">
        <v>19639</v>
      </c>
      <c r="N135" s="56">
        <v>7090</v>
      </c>
      <c r="O135" s="56">
        <v>24831</v>
      </c>
      <c r="P135" s="56">
        <v>2736</v>
      </c>
      <c r="Q135" s="56">
        <v>22585</v>
      </c>
      <c r="R135" s="16">
        <f t="shared" si="9"/>
        <v>13276</v>
      </c>
      <c r="T135" s="144">
        <f t="shared" si="5"/>
        <v>37791</v>
      </c>
      <c r="U135" s="155"/>
      <c r="AS135" s="5">
        <v>10650</v>
      </c>
      <c r="AT135" s="5">
        <f t="shared" si="7"/>
        <v>9729.75</v>
      </c>
      <c r="AU135" s="71">
        <f t="shared" si="8"/>
        <v>81.332023739864582</v>
      </c>
    </row>
    <row r="136" spans="1:47" ht="15.6" x14ac:dyDescent="0.3">
      <c r="A136" s="55">
        <v>36979</v>
      </c>
      <c r="B136" s="56">
        <v>1184</v>
      </c>
      <c r="C136" s="56">
        <v>7715</v>
      </c>
      <c r="D136" s="56">
        <v>452</v>
      </c>
      <c r="E136" s="56">
        <v>3730</v>
      </c>
      <c r="F136" s="56">
        <v>1000</v>
      </c>
      <c r="G136" s="56">
        <v>4693</v>
      </c>
      <c r="H136" s="56">
        <v>721</v>
      </c>
      <c r="I136" s="56">
        <v>4306</v>
      </c>
      <c r="J136" s="56">
        <v>281</v>
      </c>
      <c r="K136" s="56">
        <v>933</v>
      </c>
      <c r="L136" s="56">
        <v>3638</v>
      </c>
      <c r="M136" s="56">
        <v>21376</v>
      </c>
      <c r="N136" s="56">
        <v>6338</v>
      </c>
      <c r="O136" s="56">
        <v>26635</v>
      </c>
      <c r="P136" s="56">
        <v>2907</v>
      </c>
      <c r="Q136" s="56">
        <v>21620</v>
      </c>
      <c r="R136" s="16">
        <f t="shared" si="9"/>
        <v>12883</v>
      </c>
      <c r="T136" s="144">
        <f t="shared" si="5"/>
        <v>37798</v>
      </c>
      <c r="U136" s="155"/>
      <c r="AS136" s="5">
        <v>11074</v>
      </c>
      <c r="AT136" s="5">
        <f t="shared" si="7"/>
        <v>10198.5</v>
      </c>
      <c r="AU136" s="71">
        <f t="shared" si="8"/>
        <v>74.714285714285708</v>
      </c>
    </row>
    <row r="137" spans="1:47" ht="15.6" x14ac:dyDescent="0.3">
      <c r="A137" s="55">
        <v>37343</v>
      </c>
      <c r="B137" s="56">
        <v>1213</v>
      </c>
      <c r="C137" s="56">
        <v>7140</v>
      </c>
      <c r="D137" s="56">
        <v>829</v>
      </c>
      <c r="E137" s="56">
        <v>4593</v>
      </c>
      <c r="F137" s="56">
        <v>712</v>
      </c>
      <c r="G137" s="56">
        <v>4589</v>
      </c>
      <c r="H137" s="56">
        <v>454</v>
      </c>
      <c r="I137" s="56">
        <v>2658</v>
      </c>
      <c r="J137" s="56">
        <v>122</v>
      </c>
      <c r="K137" s="56">
        <v>1006</v>
      </c>
      <c r="L137" s="56">
        <v>3329</v>
      </c>
      <c r="M137" s="56">
        <v>19986</v>
      </c>
      <c r="N137" s="56">
        <v>6788</v>
      </c>
      <c r="O137" s="56">
        <v>26090</v>
      </c>
      <c r="P137" s="56">
        <v>2405</v>
      </c>
      <c r="Q137" s="56">
        <v>22996</v>
      </c>
      <c r="R137" s="16">
        <f t="shared" si="9"/>
        <v>12522</v>
      </c>
      <c r="T137" s="144">
        <f t="shared" si="5"/>
        <v>37805</v>
      </c>
      <c r="U137" s="155"/>
      <c r="AS137" s="5">
        <v>11233</v>
      </c>
      <c r="AT137" s="5">
        <f t="shared" si="7"/>
        <v>10882</v>
      </c>
      <c r="AU137" s="71">
        <f t="shared" si="8"/>
        <v>87.272435640388153</v>
      </c>
    </row>
    <row r="138" spans="1:47" ht="15.6" x14ac:dyDescent="0.3">
      <c r="A138" s="55">
        <v>36986</v>
      </c>
      <c r="B138" s="56">
        <v>1132</v>
      </c>
      <c r="C138" s="56">
        <v>7903</v>
      </c>
      <c r="D138" s="56">
        <v>499</v>
      </c>
      <c r="E138" s="56">
        <v>3802</v>
      </c>
      <c r="F138" s="56">
        <v>910</v>
      </c>
      <c r="G138" s="56">
        <v>4819</v>
      </c>
      <c r="H138" s="56">
        <v>605</v>
      </c>
      <c r="I138" s="56">
        <v>4462</v>
      </c>
      <c r="J138" s="56">
        <v>268</v>
      </c>
      <c r="K138" s="56">
        <v>954</v>
      </c>
      <c r="L138" s="56">
        <v>3415</v>
      </c>
      <c r="M138" s="56">
        <v>21940</v>
      </c>
      <c r="N138" s="56">
        <v>5618</v>
      </c>
      <c r="O138" s="56">
        <v>27834</v>
      </c>
      <c r="P138" s="56">
        <v>2477</v>
      </c>
      <c r="Q138" s="56">
        <v>22284</v>
      </c>
      <c r="R138" s="16">
        <f t="shared" si="9"/>
        <v>11510</v>
      </c>
      <c r="T138" s="144">
        <f t="shared" ref="T138:T201" si="10">T137+7</f>
        <v>37812</v>
      </c>
      <c r="U138" s="155"/>
      <c r="AS138" s="5">
        <v>11184</v>
      </c>
      <c r="AT138" s="5">
        <f t="shared" si="7"/>
        <v>11035.25</v>
      </c>
      <c r="AU138" s="71">
        <f t="shared" si="8"/>
        <v>97.943108192065324</v>
      </c>
    </row>
    <row r="139" spans="1:47" ht="15.6" x14ac:dyDescent="0.3">
      <c r="A139" s="55">
        <v>37350</v>
      </c>
      <c r="B139" s="56">
        <v>1118</v>
      </c>
      <c r="C139" s="56">
        <v>7302</v>
      </c>
      <c r="D139" s="56">
        <v>734</v>
      </c>
      <c r="E139" s="56">
        <v>4708</v>
      </c>
      <c r="F139" s="56">
        <v>659</v>
      </c>
      <c r="G139" s="56">
        <v>4706</v>
      </c>
      <c r="H139" s="56">
        <v>424</v>
      </c>
      <c r="I139" s="56">
        <v>2720</v>
      </c>
      <c r="J139" s="56">
        <v>104</v>
      </c>
      <c r="K139" s="56">
        <v>1025</v>
      </c>
      <c r="L139" s="56">
        <v>3038</v>
      </c>
      <c r="M139" s="56">
        <v>20460</v>
      </c>
      <c r="N139" s="56">
        <v>6301</v>
      </c>
      <c r="O139" s="56">
        <v>27022</v>
      </c>
      <c r="P139" s="56">
        <v>2538</v>
      </c>
      <c r="Q139" s="56">
        <v>23267</v>
      </c>
      <c r="R139" s="16">
        <f t="shared" si="9"/>
        <v>11877</v>
      </c>
      <c r="T139" s="144">
        <f t="shared" si="10"/>
        <v>37819</v>
      </c>
      <c r="U139" s="155"/>
      <c r="AS139" s="5">
        <v>14894</v>
      </c>
      <c r="AT139" s="5">
        <f t="shared" si="7"/>
        <v>12096.25</v>
      </c>
      <c r="AU139" s="71">
        <f t="shared" si="8"/>
        <v>98.215735628450801</v>
      </c>
    </row>
    <row r="140" spans="1:47" ht="15.6" x14ac:dyDescent="0.3">
      <c r="A140" s="55">
        <v>36993</v>
      </c>
      <c r="B140" s="56">
        <v>1098</v>
      </c>
      <c r="C140" s="56">
        <v>8073</v>
      </c>
      <c r="D140" s="56">
        <v>404</v>
      </c>
      <c r="E140" s="56">
        <v>4038</v>
      </c>
      <c r="F140" s="56">
        <v>879</v>
      </c>
      <c r="G140" s="56">
        <v>4927</v>
      </c>
      <c r="H140" s="56">
        <v>569</v>
      </c>
      <c r="I140" s="56">
        <v>4561</v>
      </c>
      <c r="J140" s="56">
        <v>274</v>
      </c>
      <c r="K140" s="56">
        <v>954</v>
      </c>
      <c r="L140" s="56">
        <v>3223</v>
      </c>
      <c r="M140" s="56">
        <v>22552</v>
      </c>
      <c r="N140" s="56">
        <v>5216</v>
      </c>
      <c r="O140" s="56">
        <v>28781</v>
      </c>
      <c r="P140" s="56">
        <v>2090</v>
      </c>
      <c r="Q140" s="56">
        <v>22744</v>
      </c>
      <c r="R140" s="16">
        <f t="shared" si="9"/>
        <v>10529</v>
      </c>
      <c r="T140" s="144">
        <f t="shared" si="10"/>
        <v>37826</v>
      </c>
      <c r="U140" s="155"/>
      <c r="AS140" s="5">
        <v>10683</v>
      </c>
      <c r="AT140" s="5">
        <f t="shared" si="7"/>
        <v>11998.5</v>
      </c>
      <c r="AU140" s="71">
        <f t="shared" si="8"/>
        <v>111.74909192511875</v>
      </c>
    </row>
    <row r="141" spans="1:47" ht="15.6" x14ac:dyDescent="0.3">
      <c r="A141" s="55">
        <v>37357</v>
      </c>
      <c r="B141" s="56">
        <v>1021</v>
      </c>
      <c r="C141" s="56">
        <v>7484</v>
      </c>
      <c r="D141" s="56">
        <v>727</v>
      </c>
      <c r="E141" s="56">
        <v>4749</v>
      </c>
      <c r="F141" s="56">
        <v>697</v>
      </c>
      <c r="G141" s="56">
        <v>4771</v>
      </c>
      <c r="H141" s="56">
        <v>438</v>
      </c>
      <c r="I141" s="56">
        <v>2744</v>
      </c>
      <c r="J141" s="56">
        <v>101</v>
      </c>
      <c r="K141" s="56">
        <v>1029</v>
      </c>
      <c r="L141" s="56">
        <v>2985</v>
      </c>
      <c r="M141" s="56">
        <v>20777</v>
      </c>
      <c r="N141" s="56">
        <v>6315</v>
      </c>
      <c r="O141" s="56">
        <v>27897</v>
      </c>
      <c r="P141" s="56">
        <v>2563</v>
      </c>
      <c r="Q141" s="56">
        <v>23550</v>
      </c>
      <c r="R141" s="16">
        <f t="shared" si="9"/>
        <v>11863</v>
      </c>
      <c r="T141" s="144">
        <f t="shared" si="10"/>
        <v>37833</v>
      </c>
      <c r="U141" s="155"/>
      <c r="AS141" s="5">
        <v>10312</v>
      </c>
      <c r="AT141" s="5">
        <f t="shared" si="7"/>
        <v>11768.25</v>
      </c>
      <c r="AU141" s="71">
        <f t="shared" si="8"/>
        <v>117.22532124713616</v>
      </c>
    </row>
    <row r="142" spans="1:47" ht="15.6" x14ac:dyDescent="0.3">
      <c r="A142" s="55">
        <v>37000</v>
      </c>
      <c r="B142" s="56">
        <v>952</v>
      </c>
      <c r="C142" s="56">
        <v>8297</v>
      </c>
      <c r="D142" s="56">
        <v>407</v>
      </c>
      <c r="E142" s="56">
        <v>4120</v>
      </c>
      <c r="F142" s="56">
        <v>853</v>
      </c>
      <c r="G142" s="56">
        <v>5033</v>
      </c>
      <c r="H142" s="56">
        <v>531</v>
      </c>
      <c r="I142" s="56">
        <v>4635</v>
      </c>
      <c r="J142" s="56">
        <v>205</v>
      </c>
      <c r="K142" s="56">
        <v>1021</v>
      </c>
      <c r="L142" s="56">
        <v>2947</v>
      </c>
      <c r="M142" s="56">
        <v>23106</v>
      </c>
      <c r="N142" s="56">
        <v>4735</v>
      </c>
      <c r="O142" s="56">
        <v>29648</v>
      </c>
      <c r="P142" s="56">
        <v>2060</v>
      </c>
      <c r="Q142" s="56">
        <v>22904</v>
      </c>
      <c r="R142" s="16">
        <f t="shared" si="9"/>
        <v>9742</v>
      </c>
      <c r="T142" s="144">
        <f t="shared" si="10"/>
        <v>37840</v>
      </c>
      <c r="U142" s="155"/>
      <c r="AS142" s="5">
        <v>9382</v>
      </c>
      <c r="AT142" s="5">
        <f t="shared" si="7"/>
        <v>11317.75</v>
      </c>
      <c r="AU142" s="71">
        <f t="shared" si="8"/>
        <v>98.074090121317155</v>
      </c>
    </row>
    <row r="143" spans="1:47" ht="15.6" x14ac:dyDescent="0.3">
      <c r="A143" s="55">
        <v>37364</v>
      </c>
      <c r="B143" s="56">
        <v>1005</v>
      </c>
      <c r="C143" s="56">
        <v>7629</v>
      </c>
      <c r="D143" s="56">
        <v>697</v>
      </c>
      <c r="E143" s="56">
        <v>4805</v>
      </c>
      <c r="F143" s="56">
        <v>639</v>
      </c>
      <c r="G143" s="56">
        <v>4904</v>
      </c>
      <c r="H143" s="56">
        <v>409</v>
      </c>
      <c r="I143" s="56">
        <v>2800</v>
      </c>
      <c r="J143" s="56">
        <v>65</v>
      </c>
      <c r="K143" s="56">
        <v>1051</v>
      </c>
      <c r="L143" s="56">
        <v>2816</v>
      </c>
      <c r="M143" s="56">
        <v>21189</v>
      </c>
      <c r="N143" s="56">
        <v>6281</v>
      </c>
      <c r="O143" s="56">
        <v>28841</v>
      </c>
      <c r="P143" s="56">
        <v>2613</v>
      </c>
      <c r="Q143" s="56">
        <v>23724</v>
      </c>
      <c r="R143" s="16">
        <f t="shared" si="9"/>
        <v>11710</v>
      </c>
      <c r="T143" s="144">
        <f t="shared" si="10"/>
        <v>37847</v>
      </c>
      <c r="U143" s="155"/>
      <c r="AS143" s="5">
        <v>8814</v>
      </c>
      <c r="AT143" s="5">
        <f t="shared" si="7"/>
        <v>9797.75</v>
      </c>
      <c r="AU143" s="71">
        <f t="shared" si="8"/>
        <v>85.042531030292508</v>
      </c>
    </row>
    <row r="144" spans="1:47" ht="15.6" x14ac:dyDescent="0.3">
      <c r="A144" s="55">
        <v>37007</v>
      </c>
      <c r="B144" s="56">
        <v>915</v>
      </c>
      <c r="C144" s="56">
        <v>8510</v>
      </c>
      <c r="D144" s="56">
        <v>397</v>
      </c>
      <c r="E144" s="56">
        <v>4138</v>
      </c>
      <c r="F144" s="56">
        <v>705</v>
      </c>
      <c r="G144" s="56">
        <v>5208</v>
      </c>
      <c r="H144" s="56">
        <v>518</v>
      </c>
      <c r="I144" s="56">
        <v>4671</v>
      </c>
      <c r="J144" s="56">
        <v>154</v>
      </c>
      <c r="K144" s="56">
        <v>1023</v>
      </c>
      <c r="L144" s="56">
        <v>2689</v>
      </c>
      <c r="M144" s="56">
        <v>23550</v>
      </c>
      <c r="N144" s="56">
        <v>5168</v>
      </c>
      <c r="O144" s="56">
        <v>30482</v>
      </c>
      <c r="P144" s="56">
        <v>2115</v>
      </c>
      <c r="Q144" s="56">
        <v>23143</v>
      </c>
      <c r="R144" s="16">
        <f t="shared" si="9"/>
        <v>9972</v>
      </c>
      <c r="T144" s="144">
        <f t="shared" si="10"/>
        <v>37854</v>
      </c>
      <c r="U144" s="155"/>
      <c r="AS144" s="5">
        <v>8704</v>
      </c>
      <c r="AT144" s="5">
        <f t="shared" si="7"/>
        <v>9303</v>
      </c>
      <c r="AU144" s="71">
        <f t="shared" si="8"/>
        <v>116.60817247430433</v>
      </c>
    </row>
    <row r="145" spans="1:47" ht="15.6" x14ac:dyDescent="0.3">
      <c r="A145" s="55">
        <v>37371</v>
      </c>
      <c r="B145" s="56">
        <v>875</v>
      </c>
      <c r="C145" s="56">
        <v>7811</v>
      </c>
      <c r="D145" s="56">
        <v>593</v>
      </c>
      <c r="E145" s="56">
        <v>4974</v>
      </c>
      <c r="F145" s="56">
        <v>557</v>
      </c>
      <c r="G145" s="56">
        <v>5037</v>
      </c>
      <c r="H145" s="56">
        <v>438</v>
      </c>
      <c r="I145" s="56">
        <v>2863</v>
      </c>
      <c r="J145" s="56">
        <v>38</v>
      </c>
      <c r="K145" s="56">
        <v>1077</v>
      </c>
      <c r="L145" s="56">
        <v>2500</v>
      </c>
      <c r="M145" s="56">
        <v>21763</v>
      </c>
      <c r="N145" s="56">
        <v>6522</v>
      </c>
      <c r="O145" s="56">
        <v>29726</v>
      </c>
      <c r="P145" s="56">
        <v>2698</v>
      </c>
      <c r="Q145" s="56">
        <v>23995</v>
      </c>
      <c r="R145" s="16">
        <f t="shared" si="9"/>
        <v>11720</v>
      </c>
      <c r="T145" s="144">
        <f t="shared" si="10"/>
        <v>37861</v>
      </c>
      <c r="U145" s="155"/>
      <c r="AS145" s="5">
        <v>7584</v>
      </c>
      <c r="AT145" s="5">
        <f t="shared" si="7"/>
        <v>8621</v>
      </c>
      <c r="AU145" s="71">
        <f t="shared" si="8"/>
        <v>127.11589501621941</v>
      </c>
    </row>
    <row r="146" spans="1:47" ht="15.6" x14ac:dyDescent="0.3">
      <c r="A146" s="55">
        <v>37014</v>
      </c>
      <c r="B146" s="56">
        <v>814</v>
      </c>
      <c r="C146" s="56">
        <v>8685</v>
      </c>
      <c r="D146" s="56">
        <v>308</v>
      </c>
      <c r="E146" s="56">
        <v>4257</v>
      </c>
      <c r="F146" s="56">
        <v>584</v>
      </c>
      <c r="G146" s="56">
        <v>5355</v>
      </c>
      <c r="H146" s="56">
        <v>426</v>
      </c>
      <c r="I146" s="56">
        <v>4796</v>
      </c>
      <c r="J146" s="56">
        <v>148</v>
      </c>
      <c r="K146" s="56">
        <v>1098</v>
      </c>
      <c r="L146" s="56">
        <v>2280</v>
      </c>
      <c r="M146" s="56">
        <v>24191</v>
      </c>
      <c r="N146" s="56">
        <v>5444</v>
      </c>
      <c r="O146" s="56">
        <v>31129</v>
      </c>
      <c r="P146" s="56">
        <v>2110</v>
      </c>
      <c r="Q146" s="56">
        <v>23300</v>
      </c>
      <c r="R146" s="16">
        <f t="shared" si="9"/>
        <v>9834</v>
      </c>
      <c r="T146" s="144">
        <f t="shared" si="10"/>
        <v>37868</v>
      </c>
      <c r="U146" s="155"/>
      <c r="AS146" s="5">
        <v>20798</v>
      </c>
      <c r="AT146" s="5">
        <f t="shared" si="7"/>
        <v>11475</v>
      </c>
      <c r="AU146" s="71">
        <f t="shared" si="8"/>
        <v>189.01334211826716</v>
      </c>
    </row>
    <row r="147" spans="1:47" ht="15.6" x14ac:dyDescent="0.3">
      <c r="A147" s="55">
        <v>37378</v>
      </c>
      <c r="B147" s="56">
        <v>704</v>
      </c>
      <c r="C147" s="56">
        <v>8073</v>
      </c>
      <c r="D147" s="56">
        <v>501</v>
      </c>
      <c r="E147" s="56">
        <v>5077</v>
      </c>
      <c r="F147" s="56">
        <v>476</v>
      </c>
      <c r="G147" s="56">
        <v>5142</v>
      </c>
      <c r="H147" s="56">
        <v>368</v>
      </c>
      <c r="I147" s="56">
        <v>2946</v>
      </c>
      <c r="J147" s="56">
        <v>38</v>
      </c>
      <c r="K147" s="56">
        <v>1080</v>
      </c>
      <c r="L147" s="56">
        <v>2088</v>
      </c>
      <c r="M147" s="56">
        <v>22318</v>
      </c>
      <c r="N147" s="56">
        <v>6405</v>
      </c>
      <c r="O147" s="56">
        <v>30601</v>
      </c>
      <c r="P147" s="56">
        <v>2711</v>
      </c>
      <c r="Q147" s="56">
        <v>24250</v>
      </c>
      <c r="R147" s="16">
        <f t="shared" si="9"/>
        <v>11204</v>
      </c>
      <c r="T147" s="144">
        <f t="shared" si="10"/>
        <v>37875</v>
      </c>
      <c r="U147" s="155"/>
      <c r="AS147" s="5">
        <v>21292</v>
      </c>
      <c r="AT147" s="5">
        <f t="shared" si="7"/>
        <v>14594.5</v>
      </c>
      <c r="AU147" s="71">
        <f t="shared" si="8"/>
        <v>94.628152758866619</v>
      </c>
    </row>
    <row r="148" spans="1:47" ht="15.6" x14ac:dyDescent="0.3">
      <c r="A148" s="55">
        <v>37021</v>
      </c>
      <c r="B148" s="56">
        <v>690</v>
      </c>
      <c r="C148" s="56">
        <v>8844</v>
      </c>
      <c r="D148" s="56">
        <v>300</v>
      </c>
      <c r="E148" s="56">
        <v>4295</v>
      </c>
      <c r="F148" s="56">
        <v>536</v>
      </c>
      <c r="G148" s="56">
        <v>5455</v>
      </c>
      <c r="H148" s="56">
        <v>415</v>
      </c>
      <c r="I148" s="56">
        <v>4847</v>
      </c>
      <c r="J148" s="56">
        <v>158</v>
      </c>
      <c r="K148" s="56">
        <v>1101</v>
      </c>
      <c r="L148" s="56">
        <v>2099</v>
      </c>
      <c r="M148" s="56">
        <v>24542</v>
      </c>
      <c r="N148" s="56">
        <v>5620</v>
      </c>
      <c r="O148" s="56">
        <v>31897</v>
      </c>
      <c r="P148" s="56">
        <v>2133</v>
      </c>
      <c r="Q148" s="56">
        <v>23616</v>
      </c>
      <c r="R148" s="16">
        <f t="shared" si="9"/>
        <v>9852</v>
      </c>
      <c r="T148" s="144">
        <f t="shared" si="10"/>
        <v>37882</v>
      </c>
      <c r="U148" s="155"/>
      <c r="AS148" s="5">
        <v>22313</v>
      </c>
      <c r="AT148" s="5">
        <f t="shared" si="7"/>
        <v>17996.75</v>
      </c>
      <c r="AU148" s="71">
        <f t="shared" si="8"/>
        <v>109.11088880805141</v>
      </c>
    </row>
    <row r="149" spans="1:47" ht="15.6" x14ac:dyDescent="0.3">
      <c r="A149" s="55">
        <v>37385</v>
      </c>
      <c r="B149" s="56">
        <v>591</v>
      </c>
      <c r="C149" s="56">
        <v>8286</v>
      </c>
      <c r="D149" s="56">
        <v>320</v>
      </c>
      <c r="E149" s="56">
        <v>5268</v>
      </c>
      <c r="F149" s="56">
        <v>392</v>
      </c>
      <c r="G149" s="56">
        <v>5304</v>
      </c>
      <c r="H149" s="56">
        <v>332</v>
      </c>
      <c r="I149" s="56">
        <v>2990</v>
      </c>
      <c r="J149" s="56">
        <v>19</v>
      </c>
      <c r="K149" s="56">
        <v>1105</v>
      </c>
      <c r="L149" s="56">
        <v>1653</v>
      </c>
      <c r="M149" s="56">
        <v>22952</v>
      </c>
      <c r="N149" s="56">
        <v>6836</v>
      </c>
      <c r="O149" s="56">
        <v>31637</v>
      </c>
      <c r="P149" s="56">
        <v>2195</v>
      </c>
      <c r="Q149" s="56">
        <v>24804</v>
      </c>
      <c r="R149" s="16">
        <f t="shared" si="9"/>
        <v>10684</v>
      </c>
      <c r="T149" s="144">
        <f t="shared" si="10"/>
        <v>37889</v>
      </c>
      <c r="U149" s="155"/>
      <c r="AS149" s="5">
        <v>22938</v>
      </c>
      <c r="AT149" s="5">
        <f t="shared" si="7"/>
        <v>21835.25</v>
      </c>
      <c r="AU149" s="71">
        <f t="shared" si="8"/>
        <v>125.25239488326736</v>
      </c>
    </row>
    <row r="150" spans="1:47" ht="15.6" x14ac:dyDescent="0.3">
      <c r="A150" s="55">
        <v>37028</v>
      </c>
      <c r="B150" s="56">
        <v>683</v>
      </c>
      <c r="C150" s="56">
        <v>8943</v>
      </c>
      <c r="D150" s="56">
        <v>180</v>
      </c>
      <c r="E150" s="56">
        <v>4389</v>
      </c>
      <c r="F150" s="56">
        <v>514</v>
      </c>
      <c r="G150" s="56">
        <v>5508</v>
      </c>
      <c r="H150" s="56">
        <v>369</v>
      </c>
      <c r="I150" s="56">
        <v>4945</v>
      </c>
      <c r="J150" s="56">
        <v>150</v>
      </c>
      <c r="K150" s="56">
        <v>1118</v>
      </c>
      <c r="L150" s="56">
        <v>1896</v>
      </c>
      <c r="M150" s="56">
        <v>24902</v>
      </c>
      <c r="N150" s="56">
        <v>6187</v>
      </c>
      <c r="O150" s="56">
        <v>32519</v>
      </c>
      <c r="P150" s="56">
        <v>2083</v>
      </c>
      <c r="Q150" s="56">
        <v>23781</v>
      </c>
      <c r="R150" s="16">
        <f t="shared" si="9"/>
        <v>10166</v>
      </c>
      <c r="T150" s="144">
        <f t="shared" si="10"/>
        <v>37896</v>
      </c>
      <c r="U150" s="155"/>
      <c r="AS150" s="5">
        <v>23013</v>
      </c>
      <c r="AT150" s="5">
        <f t="shared" si="7"/>
        <v>22389</v>
      </c>
      <c r="AU150" s="71">
        <f t="shared" si="8"/>
        <v>122.81404278661547</v>
      </c>
    </row>
    <row r="151" spans="1:47" ht="15.6" x14ac:dyDescent="0.3">
      <c r="A151" s="55">
        <v>37392</v>
      </c>
      <c r="B151" s="56">
        <v>571</v>
      </c>
      <c r="C151" s="56">
        <v>8403</v>
      </c>
      <c r="D151" s="56">
        <v>278</v>
      </c>
      <c r="E151" s="56">
        <v>5389</v>
      </c>
      <c r="F151" s="56">
        <v>397</v>
      </c>
      <c r="G151" s="56">
        <v>5351</v>
      </c>
      <c r="H151" s="56">
        <v>317</v>
      </c>
      <c r="I151" s="56">
        <v>3044</v>
      </c>
      <c r="J151" s="56">
        <v>21</v>
      </c>
      <c r="K151" s="56">
        <v>1108</v>
      </c>
      <c r="L151" s="56">
        <v>1583</v>
      </c>
      <c r="M151" s="56">
        <v>23294</v>
      </c>
      <c r="N151" s="56">
        <v>6814</v>
      </c>
      <c r="O151" s="56">
        <v>32621</v>
      </c>
      <c r="P151" s="56">
        <v>2429</v>
      </c>
      <c r="Q151" s="56">
        <v>25202</v>
      </c>
      <c r="R151" s="16">
        <f t="shared" si="9"/>
        <v>10826</v>
      </c>
      <c r="T151" s="144">
        <f t="shared" si="10"/>
        <v>37903</v>
      </c>
      <c r="U151" s="155"/>
      <c r="AS151" s="5">
        <v>24178</v>
      </c>
      <c r="AT151" s="5">
        <f t="shared" si="7"/>
        <v>23110.5</v>
      </c>
      <c r="AU151" s="71">
        <f t="shared" si="8"/>
        <v>122.3619420765606</v>
      </c>
    </row>
    <row r="152" spans="1:47" ht="15.6" x14ac:dyDescent="0.3">
      <c r="A152" s="55">
        <v>37035</v>
      </c>
      <c r="B152" s="56">
        <v>535</v>
      </c>
      <c r="C152" s="56">
        <v>9117</v>
      </c>
      <c r="D152" s="56">
        <v>174</v>
      </c>
      <c r="E152" s="56">
        <v>4422</v>
      </c>
      <c r="F152" s="56">
        <v>455</v>
      </c>
      <c r="G152" s="56">
        <v>5595</v>
      </c>
      <c r="H152" s="56">
        <v>228</v>
      </c>
      <c r="I152" s="56">
        <v>5050</v>
      </c>
      <c r="J152" s="56">
        <v>155</v>
      </c>
      <c r="K152" s="56">
        <v>1118</v>
      </c>
      <c r="L152" s="56">
        <v>1547</v>
      </c>
      <c r="M152" s="56">
        <v>25302</v>
      </c>
      <c r="N152" s="56">
        <v>6164</v>
      </c>
      <c r="O152" s="56">
        <v>33260</v>
      </c>
      <c r="P152" s="56">
        <v>1949</v>
      </c>
      <c r="Q152" s="56">
        <v>24058</v>
      </c>
      <c r="R152" s="16">
        <f t="shared" si="9"/>
        <v>9660</v>
      </c>
      <c r="T152" s="144">
        <f t="shared" si="10"/>
        <v>37910</v>
      </c>
      <c r="U152" s="155"/>
      <c r="AS152" s="5">
        <v>24233</v>
      </c>
      <c r="AT152" s="5">
        <f t="shared" si="7"/>
        <v>23590.5</v>
      </c>
      <c r="AU152" s="71">
        <f t="shared" si="8"/>
        <v>124.05605805637359</v>
      </c>
    </row>
    <row r="153" spans="1:47" ht="15.6" x14ac:dyDescent="0.3">
      <c r="A153" s="55">
        <v>37399</v>
      </c>
      <c r="B153" s="56">
        <v>440</v>
      </c>
      <c r="C153" s="56">
        <v>8550</v>
      </c>
      <c r="D153" s="56">
        <v>203</v>
      </c>
      <c r="E153" s="56">
        <v>5434</v>
      </c>
      <c r="F153" s="56">
        <v>312</v>
      </c>
      <c r="G153" s="56">
        <v>5469</v>
      </c>
      <c r="H153" s="56">
        <v>335</v>
      </c>
      <c r="I153" s="56">
        <v>3094</v>
      </c>
      <c r="J153" s="56">
        <v>21</v>
      </c>
      <c r="K153" s="56">
        <v>1113</v>
      </c>
      <c r="L153" s="56">
        <v>1309</v>
      </c>
      <c r="M153" s="56">
        <v>23659</v>
      </c>
      <c r="N153" s="56">
        <v>6582</v>
      </c>
      <c r="O153" s="56">
        <v>34028</v>
      </c>
      <c r="P153" s="56">
        <v>2522</v>
      </c>
      <c r="Q153" s="56">
        <v>25454</v>
      </c>
      <c r="R153" s="16">
        <f t="shared" si="9"/>
        <v>10413</v>
      </c>
      <c r="T153" s="144">
        <f t="shared" si="10"/>
        <v>37917</v>
      </c>
      <c r="U153" s="155"/>
      <c r="AS153" s="5">
        <v>24740</v>
      </c>
      <c r="AT153" s="5">
        <f t="shared" si="7"/>
        <v>24041</v>
      </c>
      <c r="AU153" s="71">
        <f t="shared" si="8"/>
        <v>124.52605407645292</v>
      </c>
    </row>
    <row r="154" spans="1:47" ht="15.6" x14ac:dyDescent="0.3">
      <c r="A154" s="55">
        <v>37042</v>
      </c>
      <c r="B154" s="56">
        <v>354</v>
      </c>
      <c r="C154" s="56">
        <v>9314</v>
      </c>
      <c r="D154" s="56">
        <v>140</v>
      </c>
      <c r="E154" s="56">
        <v>4445</v>
      </c>
      <c r="F154" s="56">
        <v>364</v>
      </c>
      <c r="G154" s="56">
        <v>5775</v>
      </c>
      <c r="H154" s="56">
        <v>138</v>
      </c>
      <c r="I154" s="56">
        <v>5156</v>
      </c>
      <c r="J154" s="56">
        <v>144</v>
      </c>
      <c r="K154" s="56">
        <v>1130</v>
      </c>
      <c r="L154" s="56">
        <v>1140</v>
      </c>
      <c r="M154" s="56">
        <v>25819</v>
      </c>
      <c r="N154" s="56">
        <v>6653</v>
      </c>
      <c r="O154" s="56">
        <v>33688</v>
      </c>
      <c r="P154" s="56">
        <v>1947</v>
      </c>
      <c r="Q154" s="56">
        <v>24354</v>
      </c>
      <c r="R154" s="16">
        <f t="shared" si="9"/>
        <v>9740</v>
      </c>
      <c r="T154" s="144">
        <f t="shared" si="10"/>
        <v>37924</v>
      </c>
      <c r="U154" s="155"/>
      <c r="AS154" s="5">
        <v>26089</v>
      </c>
      <c r="AT154" s="5">
        <f t="shared" si="7"/>
        <v>24810</v>
      </c>
      <c r="AU154" s="71">
        <f t="shared" si="8"/>
        <v>123.50657108721626</v>
      </c>
    </row>
    <row r="155" spans="1:47" ht="15.6" x14ac:dyDescent="0.3">
      <c r="A155" s="55">
        <v>37406</v>
      </c>
      <c r="B155" s="56">
        <v>356</v>
      </c>
      <c r="C155" s="56">
        <v>8704</v>
      </c>
      <c r="D155" s="56">
        <v>148</v>
      </c>
      <c r="E155" s="56">
        <v>5485</v>
      </c>
      <c r="F155" s="56">
        <v>267</v>
      </c>
      <c r="G155" s="56">
        <v>5554</v>
      </c>
      <c r="H155" s="56">
        <v>292</v>
      </c>
      <c r="I155" s="56">
        <v>3127</v>
      </c>
      <c r="J155" s="56">
        <v>3</v>
      </c>
      <c r="K155" s="56">
        <v>1133</v>
      </c>
      <c r="L155" s="56">
        <v>1066</v>
      </c>
      <c r="M155" s="56">
        <v>24003</v>
      </c>
      <c r="N155" s="56">
        <v>6219</v>
      </c>
      <c r="O155" s="56">
        <v>34825</v>
      </c>
      <c r="P155" s="56">
        <v>2606</v>
      </c>
      <c r="Q155" s="56">
        <v>25633</v>
      </c>
      <c r="R155" s="16">
        <f t="shared" si="9"/>
        <v>9891</v>
      </c>
      <c r="T155" s="144">
        <f t="shared" si="10"/>
        <v>37931</v>
      </c>
      <c r="U155" s="155"/>
      <c r="AS155" s="5">
        <v>25418</v>
      </c>
      <c r="AT155" s="5">
        <f t="shared" si="7"/>
        <v>25120</v>
      </c>
      <c r="AU155" s="71">
        <f t="shared" si="8"/>
        <v>124.52905016855047</v>
      </c>
    </row>
    <row r="156" spans="1:47" ht="15.6" x14ac:dyDescent="0.3">
      <c r="A156" s="55">
        <v>37049</v>
      </c>
      <c r="B156" s="56">
        <v>946</v>
      </c>
      <c r="C156" s="56">
        <v>98</v>
      </c>
      <c r="D156" s="56">
        <v>551</v>
      </c>
      <c r="E156" s="56">
        <v>28</v>
      </c>
      <c r="F156" s="56">
        <v>830</v>
      </c>
      <c r="G156" s="56">
        <v>72</v>
      </c>
      <c r="H156" s="56">
        <v>436</v>
      </c>
      <c r="I156" s="56">
        <v>61</v>
      </c>
      <c r="J156" s="56">
        <v>176</v>
      </c>
      <c r="K156" s="56">
        <v>31</v>
      </c>
      <c r="L156" s="56">
        <v>2940</v>
      </c>
      <c r="M156" s="56">
        <v>289</v>
      </c>
      <c r="N156" s="56">
        <v>7364</v>
      </c>
      <c r="O156" s="56">
        <v>34243</v>
      </c>
      <c r="P156" s="56">
        <v>2148</v>
      </c>
      <c r="Q156" s="56">
        <v>24437</v>
      </c>
      <c r="R156" s="16">
        <f t="shared" si="9"/>
        <v>12452</v>
      </c>
      <c r="T156" s="144">
        <f t="shared" si="10"/>
        <v>37938</v>
      </c>
      <c r="U156" s="155"/>
      <c r="W156" s="155"/>
      <c r="X156" s="155"/>
      <c r="AS156" s="5">
        <v>25713</v>
      </c>
      <c r="AT156" s="5">
        <f t="shared" si="7"/>
        <v>25490</v>
      </c>
      <c r="AU156" s="71">
        <f t="shared" si="8"/>
        <v>127.17022550389143</v>
      </c>
    </row>
    <row r="157" spans="1:47" ht="15.6" x14ac:dyDescent="0.3">
      <c r="A157" s="55">
        <v>37413</v>
      </c>
      <c r="B157" s="56">
        <v>1108</v>
      </c>
      <c r="C157" s="56">
        <v>181</v>
      </c>
      <c r="D157" s="56">
        <v>458</v>
      </c>
      <c r="E157" s="56">
        <v>35</v>
      </c>
      <c r="F157" s="56">
        <v>818</v>
      </c>
      <c r="G157" s="56">
        <v>44</v>
      </c>
      <c r="H157" s="56">
        <v>603</v>
      </c>
      <c r="I157" s="56">
        <v>37</v>
      </c>
      <c r="J157" s="56">
        <v>78</v>
      </c>
      <c r="K157" s="56">
        <v>2</v>
      </c>
      <c r="L157" s="56">
        <v>3066</v>
      </c>
      <c r="M157" s="56">
        <v>300</v>
      </c>
      <c r="N157" s="56">
        <v>6469</v>
      </c>
      <c r="O157" s="56">
        <v>35819</v>
      </c>
      <c r="P157" s="56">
        <v>2548</v>
      </c>
      <c r="Q157" s="56">
        <v>26167</v>
      </c>
      <c r="R157" s="16">
        <f t="shared" si="9"/>
        <v>12083</v>
      </c>
      <c r="T157" s="144">
        <f t="shared" si="10"/>
        <v>37945</v>
      </c>
      <c r="U157" s="155"/>
      <c r="W157" s="155"/>
      <c r="X157" s="155"/>
      <c r="AS157" s="5">
        <v>26430</v>
      </c>
      <c r="AT157" s="5">
        <f t="shared" si="7"/>
        <v>25912.5</v>
      </c>
      <c r="AU157" s="71">
        <f t="shared" si="8"/>
        <v>126.74867931911564</v>
      </c>
    </row>
    <row r="158" spans="1:47" ht="15.6" x14ac:dyDescent="0.3">
      <c r="A158" s="55">
        <v>37056</v>
      </c>
      <c r="B158" s="56">
        <v>854</v>
      </c>
      <c r="C158" s="56">
        <v>294</v>
      </c>
      <c r="D158" s="56">
        <v>540</v>
      </c>
      <c r="E158" s="56">
        <v>145</v>
      </c>
      <c r="F158" s="56">
        <v>815</v>
      </c>
      <c r="G158" s="56">
        <v>142</v>
      </c>
      <c r="H158" s="56">
        <v>418</v>
      </c>
      <c r="I158" s="56">
        <v>125</v>
      </c>
      <c r="J158" s="56">
        <v>217</v>
      </c>
      <c r="K158" s="56">
        <v>31</v>
      </c>
      <c r="L158" s="56">
        <v>2844</v>
      </c>
      <c r="M158" s="56">
        <v>738</v>
      </c>
      <c r="N158" s="56">
        <v>7368</v>
      </c>
      <c r="O158" s="56">
        <v>35177</v>
      </c>
      <c r="P158" s="56">
        <v>2020</v>
      </c>
      <c r="Q158" s="56">
        <v>24620</v>
      </c>
      <c r="R158" s="16">
        <f t="shared" si="9"/>
        <v>12232</v>
      </c>
      <c r="T158" s="144">
        <f t="shared" si="10"/>
        <v>37952</v>
      </c>
      <c r="U158" s="155"/>
      <c r="W158" s="155"/>
      <c r="X158" s="155"/>
      <c r="AS158" s="5">
        <v>25640.6</v>
      </c>
      <c r="AT158" s="5">
        <f t="shared" si="7"/>
        <v>25800.400000000001</v>
      </c>
      <c r="AU158" s="71">
        <f t="shared" si="8"/>
        <v>125.58605919003116</v>
      </c>
    </row>
    <row r="159" spans="1:47" ht="15.6" x14ac:dyDescent="0.3">
      <c r="A159" s="55">
        <v>37420</v>
      </c>
      <c r="B159" s="56">
        <v>1201</v>
      </c>
      <c r="C159" s="56">
        <v>239</v>
      </c>
      <c r="D159" s="56">
        <v>313</v>
      </c>
      <c r="E159" s="56">
        <v>73</v>
      </c>
      <c r="F159" s="56">
        <v>828</v>
      </c>
      <c r="G159" s="56">
        <v>150</v>
      </c>
      <c r="H159" s="56">
        <v>475</v>
      </c>
      <c r="I159" s="56">
        <v>212</v>
      </c>
      <c r="J159" s="56">
        <v>80</v>
      </c>
      <c r="K159" s="56">
        <v>3</v>
      </c>
      <c r="L159" s="56">
        <v>2897</v>
      </c>
      <c r="M159" s="56">
        <v>677</v>
      </c>
      <c r="N159" s="56">
        <v>6414</v>
      </c>
      <c r="O159" s="56">
        <v>36917</v>
      </c>
      <c r="P159" s="56">
        <v>2652</v>
      </c>
      <c r="Q159" s="56">
        <v>26301</v>
      </c>
      <c r="R159" s="16">
        <f t="shared" si="9"/>
        <v>11963</v>
      </c>
      <c r="T159" s="144">
        <f t="shared" si="10"/>
        <v>37959</v>
      </c>
      <c r="U159" s="155"/>
      <c r="W159" s="155"/>
      <c r="X159" s="155"/>
      <c r="AS159" s="5">
        <v>24896.6</v>
      </c>
      <c r="AT159" s="5">
        <f t="shared" si="7"/>
        <v>25670.050000000003</v>
      </c>
      <c r="AU159" s="71">
        <f t="shared" si="8"/>
        <v>129.90915991902835</v>
      </c>
    </row>
    <row r="160" spans="1:47" ht="15.6" x14ac:dyDescent="0.3">
      <c r="A160" s="55">
        <v>37063</v>
      </c>
      <c r="B160" s="56">
        <v>948</v>
      </c>
      <c r="C160" s="56">
        <v>476</v>
      </c>
      <c r="D160" s="56">
        <v>593</v>
      </c>
      <c r="E160" s="56">
        <v>203</v>
      </c>
      <c r="F160" s="56">
        <v>747</v>
      </c>
      <c r="G160" s="56">
        <v>273</v>
      </c>
      <c r="H160" s="56">
        <v>471</v>
      </c>
      <c r="I160" s="56">
        <v>144</v>
      </c>
      <c r="J160" s="56">
        <v>219</v>
      </c>
      <c r="K160" s="56">
        <v>50</v>
      </c>
      <c r="L160" s="56">
        <v>2978</v>
      </c>
      <c r="M160" s="56">
        <v>1146</v>
      </c>
      <c r="N160" s="56">
        <v>7448</v>
      </c>
      <c r="O160" s="56">
        <v>36138</v>
      </c>
      <c r="P160" s="56">
        <v>1932</v>
      </c>
      <c r="Q160" s="56">
        <v>24886</v>
      </c>
      <c r="R160" s="16">
        <f t="shared" si="9"/>
        <v>12358</v>
      </c>
      <c r="T160" s="144">
        <f t="shared" si="10"/>
        <v>37966</v>
      </c>
      <c r="U160" s="155"/>
      <c r="W160" s="155"/>
      <c r="X160" s="155"/>
      <c r="AS160" s="5">
        <v>24763</v>
      </c>
      <c r="AT160" s="5">
        <f t="shared" si="7"/>
        <v>25432.55</v>
      </c>
      <c r="AU160" s="71">
        <f t="shared" si="8"/>
        <v>130.4367114575854</v>
      </c>
    </row>
    <row r="161" spans="1:47" ht="15.6" x14ac:dyDescent="0.3">
      <c r="A161" s="55">
        <v>37427</v>
      </c>
      <c r="B161" s="56">
        <v>1116</v>
      </c>
      <c r="C161" s="56">
        <v>401</v>
      </c>
      <c r="D161" s="56">
        <v>373</v>
      </c>
      <c r="E161" s="56">
        <v>158</v>
      </c>
      <c r="F161" s="56">
        <v>869</v>
      </c>
      <c r="G161" s="56">
        <v>210</v>
      </c>
      <c r="H161" s="56">
        <v>498</v>
      </c>
      <c r="I161" s="56">
        <v>233</v>
      </c>
      <c r="J161" s="56">
        <v>138</v>
      </c>
      <c r="K161" s="56">
        <v>26</v>
      </c>
      <c r="L161" s="56">
        <v>2993</v>
      </c>
      <c r="M161" s="56">
        <v>1027</v>
      </c>
      <c r="N161" s="56">
        <v>7152</v>
      </c>
      <c r="O161" s="56">
        <v>37922</v>
      </c>
      <c r="P161" s="56">
        <v>3505</v>
      </c>
      <c r="Q161" s="56">
        <v>26614</v>
      </c>
      <c r="R161" s="16">
        <f t="shared" si="9"/>
        <v>13650</v>
      </c>
      <c r="T161" s="144">
        <f t="shared" si="10"/>
        <v>37973</v>
      </c>
      <c r="U161" s="155"/>
      <c r="W161" s="155"/>
      <c r="X161" s="155"/>
      <c r="AS161" s="5">
        <v>25207.3</v>
      </c>
      <c r="AT161" s="5">
        <f t="shared" si="7"/>
        <v>25126.875</v>
      </c>
      <c r="AU161" s="71">
        <f t="shared" si="8"/>
        <v>129.97555865921788</v>
      </c>
    </row>
    <row r="162" spans="1:47" ht="15.6" x14ac:dyDescent="0.3">
      <c r="A162" s="55">
        <v>37070</v>
      </c>
      <c r="B162" s="56">
        <v>1032</v>
      </c>
      <c r="C162" s="56">
        <v>589</v>
      </c>
      <c r="D162" s="56">
        <v>723</v>
      </c>
      <c r="E162" s="56">
        <v>254</v>
      </c>
      <c r="F162" s="56">
        <v>845</v>
      </c>
      <c r="G162" s="56">
        <v>330</v>
      </c>
      <c r="H162" s="56">
        <v>465</v>
      </c>
      <c r="I162" s="56">
        <v>202</v>
      </c>
      <c r="J162" s="56">
        <v>234</v>
      </c>
      <c r="K162" s="56">
        <v>65</v>
      </c>
      <c r="L162" s="56">
        <v>3300</v>
      </c>
      <c r="M162" s="56">
        <v>1440</v>
      </c>
      <c r="N162" s="56">
        <v>7533</v>
      </c>
      <c r="O162" s="56">
        <v>36924</v>
      </c>
      <c r="P162" s="56">
        <v>2050</v>
      </c>
      <c r="Q162" s="56">
        <v>25216</v>
      </c>
      <c r="R162" s="16">
        <f t="shared" si="9"/>
        <v>12883</v>
      </c>
      <c r="T162" s="144">
        <f t="shared" si="10"/>
        <v>37980</v>
      </c>
      <c r="U162" s="155"/>
      <c r="W162" s="155"/>
      <c r="X162" s="155"/>
      <c r="AS162" s="5">
        <v>24945</v>
      </c>
      <c r="AT162" s="5">
        <f t="shared" si="7"/>
        <v>24952.974999999999</v>
      </c>
      <c r="AU162" s="71">
        <f t="shared" si="8"/>
        <v>127.78703845956881</v>
      </c>
    </row>
    <row r="163" spans="1:47" ht="15.6" x14ac:dyDescent="0.3">
      <c r="A163" s="55">
        <v>37434</v>
      </c>
      <c r="B163" s="56">
        <v>1137</v>
      </c>
      <c r="C163" s="56">
        <v>551</v>
      </c>
      <c r="D163" s="56">
        <v>396</v>
      </c>
      <c r="E163" s="56">
        <v>243</v>
      </c>
      <c r="F163" s="56">
        <v>1043</v>
      </c>
      <c r="G163" s="56">
        <v>245</v>
      </c>
      <c r="H163" s="56">
        <v>515</v>
      </c>
      <c r="I163" s="56">
        <v>258</v>
      </c>
      <c r="J163" s="56">
        <v>182</v>
      </c>
      <c r="K163" s="56">
        <v>32</v>
      </c>
      <c r="L163" s="56">
        <v>3272</v>
      </c>
      <c r="M163" s="56">
        <v>1329</v>
      </c>
      <c r="N163" s="56">
        <v>6623</v>
      </c>
      <c r="O163" s="56">
        <v>38644</v>
      </c>
      <c r="P163" s="56">
        <v>2574</v>
      </c>
      <c r="Q163" s="56">
        <v>26916</v>
      </c>
      <c r="R163" s="16">
        <f t="shared" si="9"/>
        <v>12469</v>
      </c>
      <c r="T163" s="144">
        <f t="shared" si="10"/>
        <v>37987</v>
      </c>
      <c r="U163" s="155"/>
      <c r="W163" s="155"/>
      <c r="X163" s="155"/>
      <c r="AS163" s="5">
        <v>23460</v>
      </c>
      <c r="AT163" s="5">
        <f t="shared" si="7"/>
        <v>24593.825000000001</v>
      </c>
      <c r="AU163" s="71">
        <f t="shared" si="8"/>
        <v>132.18222616360313</v>
      </c>
    </row>
    <row r="164" spans="1:47" ht="15.6" x14ac:dyDescent="0.3">
      <c r="A164" s="55">
        <v>37077</v>
      </c>
      <c r="B164" s="56">
        <v>1011</v>
      </c>
      <c r="C164" s="56">
        <v>737</v>
      </c>
      <c r="D164" s="56">
        <v>634</v>
      </c>
      <c r="E164" s="56">
        <v>342</v>
      </c>
      <c r="F164" s="56">
        <v>854</v>
      </c>
      <c r="G164" s="56">
        <v>400</v>
      </c>
      <c r="H164" s="56">
        <v>481</v>
      </c>
      <c r="I164" s="56">
        <v>268</v>
      </c>
      <c r="J164" s="56">
        <v>219</v>
      </c>
      <c r="K164" s="56">
        <v>88</v>
      </c>
      <c r="L164" s="56">
        <v>3198</v>
      </c>
      <c r="M164" s="56">
        <v>1834</v>
      </c>
      <c r="N164" s="56">
        <v>7384</v>
      </c>
      <c r="O164" s="56">
        <v>37918</v>
      </c>
      <c r="P164" s="56">
        <v>2029</v>
      </c>
      <c r="Q164" s="56">
        <v>25363</v>
      </c>
      <c r="R164" s="16">
        <f t="shared" si="9"/>
        <v>12611</v>
      </c>
      <c r="T164" s="144">
        <f t="shared" si="10"/>
        <v>37994</v>
      </c>
      <c r="U164" s="155"/>
      <c r="W164" s="155"/>
      <c r="X164" s="155"/>
      <c r="AS164" s="5">
        <v>22825</v>
      </c>
      <c r="AT164" s="5">
        <f t="shared" si="7"/>
        <v>24109.325000000001</v>
      </c>
      <c r="AU164" s="71">
        <f t="shared" si="8"/>
        <v>139.72370327441323</v>
      </c>
    </row>
    <row r="165" spans="1:47" ht="15.6" x14ac:dyDescent="0.3">
      <c r="A165" s="55">
        <v>37441</v>
      </c>
      <c r="B165" s="56">
        <v>994</v>
      </c>
      <c r="C165" s="56">
        <v>713</v>
      </c>
      <c r="D165" s="56">
        <v>396</v>
      </c>
      <c r="E165" s="56">
        <v>321</v>
      </c>
      <c r="F165" s="56">
        <v>886</v>
      </c>
      <c r="G165" s="56">
        <v>375</v>
      </c>
      <c r="H165" s="56">
        <v>559</v>
      </c>
      <c r="I165" s="56">
        <v>280</v>
      </c>
      <c r="J165" s="56">
        <v>127</v>
      </c>
      <c r="K165" s="56">
        <v>98</v>
      </c>
      <c r="L165" s="56">
        <v>2962</v>
      </c>
      <c r="M165" s="56">
        <v>1786</v>
      </c>
      <c r="N165" s="56">
        <v>5933</v>
      </c>
      <c r="O165" s="56">
        <v>39667</v>
      </c>
      <c r="P165" s="56">
        <v>2372</v>
      </c>
      <c r="Q165" s="56">
        <v>27205</v>
      </c>
      <c r="R165" s="16">
        <f t="shared" si="9"/>
        <v>11267</v>
      </c>
      <c r="T165" s="144">
        <f t="shared" si="10"/>
        <v>38001</v>
      </c>
      <c r="U165" s="155"/>
      <c r="W165" s="155"/>
      <c r="X165" s="155"/>
      <c r="AS165" s="5">
        <v>19467</v>
      </c>
      <c r="AT165" s="5">
        <f t="shared" si="7"/>
        <v>22674.25</v>
      </c>
      <c r="AU165" s="71">
        <f t="shared" si="8"/>
        <v>132.34255530263235</v>
      </c>
    </row>
    <row r="166" spans="1:47" ht="15.6" x14ac:dyDescent="0.3">
      <c r="A166" s="55">
        <v>37084</v>
      </c>
      <c r="B166" s="56">
        <v>1072</v>
      </c>
      <c r="C166" s="56">
        <v>870</v>
      </c>
      <c r="D166" s="56">
        <v>697</v>
      </c>
      <c r="E166" s="56">
        <v>443</v>
      </c>
      <c r="F166" s="56">
        <v>844</v>
      </c>
      <c r="G166" s="56">
        <v>476</v>
      </c>
      <c r="H166" s="56">
        <v>534</v>
      </c>
      <c r="I166" s="56">
        <v>308</v>
      </c>
      <c r="J166" s="56">
        <v>240</v>
      </c>
      <c r="K166" s="56">
        <v>95</v>
      </c>
      <c r="L166" s="56">
        <v>3386</v>
      </c>
      <c r="M166" s="56">
        <v>2192</v>
      </c>
      <c r="N166" s="56">
        <v>7550</v>
      </c>
      <c r="O166" s="56">
        <v>39087</v>
      </c>
      <c r="P166" s="56">
        <v>2092</v>
      </c>
      <c r="Q166" s="56">
        <v>25633</v>
      </c>
      <c r="R166" s="16">
        <f t="shared" si="9"/>
        <v>13028</v>
      </c>
      <c r="T166" s="144">
        <f t="shared" si="10"/>
        <v>38008</v>
      </c>
      <c r="U166" s="155"/>
      <c r="W166" s="155"/>
      <c r="X166" s="155"/>
      <c r="AS166" s="5">
        <v>21066</v>
      </c>
      <c r="AT166" s="5">
        <f t="shared" si="7"/>
        <v>21704.5</v>
      </c>
      <c r="AU166" s="71">
        <f t="shared" si="8"/>
        <v>129.00915359010935</v>
      </c>
    </row>
    <row r="167" spans="1:47" ht="15.6" x14ac:dyDescent="0.3">
      <c r="A167" s="55">
        <v>37448</v>
      </c>
      <c r="B167" s="56">
        <v>1040</v>
      </c>
      <c r="C167" s="56">
        <v>1017</v>
      </c>
      <c r="D167" s="56">
        <v>406</v>
      </c>
      <c r="E167" s="56">
        <v>369</v>
      </c>
      <c r="F167" s="56">
        <v>1063</v>
      </c>
      <c r="G167" s="56">
        <v>480</v>
      </c>
      <c r="H167" s="56">
        <v>611</v>
      </c>
      <c r="I167" s="56">
        <v>376</v>
      </c>
      <c r="J167" s="56">
        <v>131</v>
      </c>
      <c r="K167" s="56">
        <v>106</v>
      </c>
      <c r="L167" s="56">
        <v>3251</v>
      </c>
      <c r="M167" s="56">
        <v>2347</v>
      </c>
      <c r="N167" s="56">
        <v>5717</v>
      </c>
      <c r="O167" s="56">
        <v>40601</v>
      </c>
      <c r="P167" s="56">
        <v>3348</v>
      </c>
      <c r="Q167" s="56">
        <v>27585</v>
      </c>
      <c r="R167" s="16">
        <f t="shared" si="9"/>
        <v>12316</v>
      </c>
      <c r="T167" s="144">
        <f t="shared" si="10"/>
        <v>38015</v>
      </c>
      <c r="U167" s="155"/>
      <c r="W167" s="155"/>
      <c r="X167" s="155"/>
      <c r="AS167" s="5">
        <v>20708</v>
      </c>
      <c r="AT167" s="5">
        <f t="shared" si="7"/>
        <v>21016.5</v>
      </c>
      <c r="AU167" s="71">
        <f t="shared" si="8"/>
        <v>129.41991501939773</v>
      </c>
    </row>
    <row r="168" spans="1:47" ht="15.6" x14ac:dyDescent="0.3">
      <c r="A168" s="55">
        <v>37091</v>
      </c>
      <c r="B168" s="56">
        <v>1253</v>
      </c>
      <c r="C168" s="56">
        <v>1042</v>
      </c>
      <c r="D168" s="56">
        <v>797</v>
      </c>
      <c r="E168" s="56">
        <v>512</v>
      </c>
      <c r="F168" s="56">
        <v>820</v>
      </c>
      <c r="G168" s="56">
        <v>609</v>
      </c>
      <c r="H168" s="56">
        <v>528</v>
      </c>
      <c r="I168" s="56">
        <v>339</v>
      </c>
      <c r="J168" s="56">
        <v>288</v>
      </c>
      <c r="K168" s="56">
        <v>98</v>
      </c>
      <c r="L168" s="56">
        <v>3687</v>
      </c>
      <c r="M168" s="56">
        <v>2598</v>
      </c>
      <c r="N168" s="56">
        <v>7934</v>
      </c>
      <c r="O168" s="56">
        <v>39922</v>
      </c>
      <c r="P168" s="56">
        <v>1907</v>
      </c>
      <c r="Q168" s="56">
        <v>25829</v>
      </c>
      <c r="R168" s="16">
        <f t="shared" si="9"/>
        <v>13528</v>
      </c>
      <c r="T168" s="144">
        <f t="shared" si="10"/>
        <v>38022</v>
      </c>
      <c r="U168" s="155"/>
      <c r="W168" s="155"/>
      <c r="X168" s="155"/>
      <c r="AS168" s="5">
        <v>20273</v>
      </c>
      <c r="AT168" s="5">
        <f t="shared" si="7"/>
        <v>20378.5</v>
      </c>
      <c r="AU168" s="71">
        <f t="shared" si="8"/>
        <v>132.62935242434105</v>
      </c>
    </row>
    <row r="169" spans="1:47" ht="15.6" x14ac:dyDescent="0.3">
      <c r="A169" s="55">
        <v>37455</v>
      </c>
      <c r="B169" s="56">
        <v>1136</v>
      </c>
      <c r="C169" s="56">
        <v>1195</v>
      </c>
      <c r="D169" s="56">
        <v>449</v>
      </c>
      <c r="E169" s="56">
        <v>421</v>
      </c>
      <c r="F169" s="56">
        <v>984</v>
      </c>
      <c r="G169" s="56">
        <v>653</v>
      </c>
      <c r="H169" s="56">
        <v>671</v>
      </c>
      <c r="I169" s="56">
        <v>395</v>
      </c>
      <c r="J169" s="56">
        <v>116</v>
      </c>
      <c r="K169" s="56">
        <v>138</v>
      </c>
      <c r="L169" s="56">
        <v>3356</v>
      </c>
      <c r="M169" s="56">
        <v>2802</v>
      </c>
      <c r="N169" s="56">
        <v>5402</v>
      </c>
      <c r="O169" s="56">
        <v>41687</v>
      </c>
      <c r="P169" s="56">
        <v>1979</v>
      </c>
      <c r="Q169" s="56">
        <v>27938</v>
      </c>
      <c r="R169" s="16">
        <f t="shared" si="9"/>
        <v>10737</v>
      </c>
      <c r="T169" s="144">
        <f t="shared" si="10"/>
        <v>38029</v>
      </c>
      <c r="U169" s="155"/>
      <c r="W169" s="155"/>
      <c r="X169" s="155"/>
      <c r="AS169" s="5">
        <v>19600</v>
      </c>
      <c r="AT169" s="5">
        <f t="shared" si="7"/>
        <v>20411.75</v>
      </c>
      <c r="AU169" s="71">
        <f t="shared" si="8"/>
        <v>139.49121847878084</v>
      </c>
    </row>
    <row r="170" spans="1:47" ht="15.6" x14ac:dyDescent="0.3">
      <c r="A170" s="55">
        <v>37098</v>
      </c>
      <c r="B170" s="56">
        <v>1307</v>
      </c>
      <c r="C170" s="56">
        <v>1131</v>
      </c>
      <c r="D170" s="56">
        <v>818</v>
      </c>
      <c r="E170" s="56">
        <v>570</v>
      </c>
      <c r="F170" s="56">
        <v>908</v>
      </c>
      <c r="G170" s="56">
        <v>665</v>
      </c>
      <c r="H170" s="56">
        <v>586</v>
      </c>
      <c r="I170" s="56">
        <v>356</v>
      </c>
      <c r="J170" s="56">
        <v>256</v>
      </c>
      <c r="K170" s="56">
        <v>143</v>
      </c>
      <c r="L170" s="56">
        <v>3874</v>
      </c>
      <c r="M170" s="56">
        <v>2864</v>
      </c>
      <c r="N170" s="56">
        <v>7111</v>
      </c>
      <c r="O170" s="56">
        <v>41067</v>
      </c>
      <c r="P170" s="56">
        <v>1899</v>
      </c>
      <c r="Q170" s="56">
        <v>26067</v>
      </c>
      <c r="R170" s="16">
        <f t="shared" si="9"/>
        <v>12884</v>
      </c>
      <c r="T170" s="144">
        <f t="shared" si="10"/>
        <v>38036</v>
      </c>
      <c r="U170" s="155"/>
      <c r="W170" s="155"/>
      <c r="X170" s="155"/>
      <c r="AS170" s="5">
        <v>19052</v>
      </c>
      <c r="AT170" s="5">
        <f t="shared" si="7"/>
        <v>19908.25</v>
      </c>
      <c r="AU170" s="71">
        <f t="shared" si="8"/>
        <v>148.83560107655504</v>
      </c>
    </row>
    <row r="171" spans="1:47" ht="15.6" x14ac:dyDescent="0.3">
      <c r="A171" s="55">
        <v>37462</v>
      </c>
      <c r="B171" s="56">
        <v>1080</v>
      </c>
      <c r="C171" s="56">
        <v>1396</v>
      </c>
      <c r="D171" s="56">
        <v>446</v>
      </c>
      <c r="E171" s="56">
        <v>468</v>
      </c>
      <c r="F171" s="56">
        <v>1030</v>
      </c>
      <c r="G171" s="56">
        <v>738</v>
      </c>
      <c r="H171" s="56">
        <v>611</v>
      </c>
      <c r="I171" s="56">
        <v>421</v>
      </c>
      <c r="J171" s="56">
        <v>82</v>
      </c>
      <c r="K171" s="56">
        <v>174</v>
      </c>
      <c r="L171" s="56">
        <v>3249</v>
      </c>
      <c r="M171" s="56">
        <v>3197</v>
      </c>
      <c r="N171" s="56">
        <v>5026</v>
      </c>
      <c r="O171" s="56">
        <v>42752</v>
      </c>
      <c r="P171" s="56">
        <v>1764</v>
      </c>
      <c r="Q171" s="56">
        <v>28267</v>
      </c>
      <c r="R171" s="16">
        <f t="shared" si="9"/>
        <v>10039</v>
      </c>
      <c r="T171" s="144">
        <f t="shared" si="10"/>
        <v>38043</v>
      </c>
      <c r="U171" s="155"/>
      <c r="W171" s="155"/>
      <c r="X171" s="155"/>
      <c r="AS171" s="5">
        <v>18840</v>
      </c>
      <c r="AT171" s="5">
        <f t="shared" si="7"/>
        <v>19441.25</v>
      </c>
      <c r="AU171" s="71">
        <f t="shared" si="8"/>
        <v>153.22548865069356</v>
      </c>
    </row>
    <row r="172" spans="1:47" ht="15.6" x14ac:dyDescent="0.3">
      <c r="A172" s="55">
        <v>37105</v>
      </c>
      <c r="B172" s="56">
        <v>1247</v>
      </c>
      <c r="C172" s="56">
        <v>1319</v>
      </c>
      <c r="D172" s="56">
        <v>868</v>
      </c>
      <c r="E172" s="56">
        <v>730</v>
      </c>
      <c r="F172" s="56">
        <v>881</v>
      </c>
      <c r="G172" s="56">
        <v>806</v>
      </c>
      <c r="H172" s="56">
        <v>499</v>
      </c>
      <c r="I172" s="56">
        <v>449</v>
      </c>
      <c r="J172" s="56">
        <v>289</v>
      </c>
      <c r="K172" s="56">
        <v>186</v>
      </c>
      <c r="L172" s="56">
        <v>3784</v>
      </c>
      <c r="M172" s="56">
        <v>3490</v>
      </c>
      <c r="N172" s="56">
        <v>6466</v>
      </c>
      <c r="O172" s="56">
        <v>42327</v>
      </c>
      <c r="P172" s="56">
        <v>1790</v>
      </c>
      <c r="Q172" s="56">
        <v>26337</v>
      </c>
      <c r="R172" s="16">
        <f t="shared" si="9"/>
        <v>12040</v>
      </c>
      <c r="T172" s="144">
        <f t="shared" si="10"/>
        <v>38050</v>
      </c>
      <c r="U172" s="155"/>
      <c r="W172" s="155"/>
      <c r="X172" s="155"/>
      <c r="AS172" s="5">
        <v>16865</v>
      </c>
      <c r="AT172" s="5">
        <f t="shared" si="7"/>
        <v>18589.25</v>
      </c>
      <c r="AU172" s="71">
        <f t="shared" si="8"/>
        <v>145.70661545696817</v>
      </c>
    </row>
    <row r="173" spans="1:47" ht="15.6" x14ac:dyDescent="0.3">
      <c r="A173" s="55">
        <v>37469</v>
      </c>
      <c r="B173" s="56">
        <v>1145</v>
      </c>
      <c r="C173" s="56">
        <v>1572</v>
      </c>
      <c r="D173" s="56">
        <v>394</v>
      </c>
      <c r="E173" s="56">
        <v>527</v>
      </c>
      <c r="F173" s="56">
        <v>1175</v>
      </c>
      <c r="G173" s="56">
        <v>836</v>
      </c>
      <c r="H173" s="56">
        <v>685</v>
      </c>
      <c r="I173" s="56">
        <v>485</v>
      </c>
      <c r="J173" s="56">
        <v>127</v>
      </c>
      <c r="K173" s="56">
        <v>176</v>
      </c>
      <c r="L173" s="56">
        <v>3524</v>
      </c>
      <c r="M173" s="56">
        <v>3596</v>
      </c>
      <c r="N173" s="56">
        <v>4596</v>
      </c>
      <c r="O173" s="56">
        <v>43489</v>
      </c>
      <c r="P173" s="56">
        <v>3420</v>
      </c>
      <c r="Q173" s="56">
        <v>28700</v>
      </c>
      <c r="R173" s="16">
        <f t="shared" si="9"/>
        <v>11540</v>
      </c>
      <c r="T173" s="144">
        <f t="shared" si="10"/>
        <v>38057</v>
      </c>
      <c r="U173" s="155"/>
      <c r="W173" s="155"/>
      <c r="X173" s="155"/>
      <c r="AS173" s="5">
        <v>16660</v>
      </c>
      <c r="AT173" s="5">
        <f t="shared" si="7"/>
        <v>17854.25</v>
      </c>
      <c r="AU173" s="71">
        <f t="shared" si="8"/>
        <v>144.37009784102855</v>
      </c>
    </row>
    <row r="174" spans="1:47" ht="15.6" x14ac:dyDescent="0.3">
      <c r="A174" s="55">
        <v>37112</v>
      </c>
      <c r="B174" s="56">
        <v>1398</v>
      </c>
      <c r="C174" s="56">
        <v>1375</v>
      </c>
      <c r="D174" s="56">
        <v>1047</v>
      </c>
      <c r="E174" s="56">
        <v>834</v>
      </c>
      <c r="F174" s="56">
        <v>974</v>
      </c>
      <c r="G174" s="56">
        <v>860</v>
      </c>
      <c r="H174" s="56">
        <v>474</v>
      </c>
      <c r="I174" s="56">
        <v>531</v>
      </c>
      <c r="J174" s="56">
        <v>343</v>
      </c>
      <c r="K174" s="56">
        <v>204</v>
      </c>
      <c r="L174" s="56">
        <v>4235</v>
      </c>
      <c r="M174" s="56">
        <v>3803</v>
      </c>
      <c r="N174" s="56">
        <v>5807</v>
      </c>
      <c r="O174" s="56">
        <v>43636</v>
      </c>
      <c r="P174" s="56">
        <v>1521</v>
      </c>
      <c r="Q174" s="56">
        <v>26586</v>
      </c>
      <c r="R174" s="16">
        <f t="shared" si="9"/>
        <v>11563</v>
      </c>
      <c r="T174" s="144">
        <f t="shared" si="10"/>
        <v>38064</v>
      </c>
      <c r="U174" s="155"/>
      <c r="W174" s="155"/>
      <c r="X174" s="155"/>
      <c r="AS174" s="5">
        <v>16679</v>
      </c>
      <c r="AT174" s="5">
        <f t="shared" si="7"/>
        <v>17261</v>
      </c>
      <c r="AU174" s="71">
        <f t="shared" si="8"/>
        <v>136.90513959390861</v>
      </c>
    </row>
    <row r="175" spans="1:47" ht="15.6" x14ac:dyDescent="0.3">
      <c r="A175" s="55">
        <v>37476</v>
      </c>
      <c r="B175" s="56">
        <v>1168</v>
      </c>
      <c r="C175" s="56">
        <v>1757</v>
      </c>
      <c r="D175" s="56">
        <v>369</v>
      </c>
      <c r="E175" s="56">
        <v>617</v>
      </c>
      <c r="F175" s="56">
        <v>1316</v>
      </c>
      <c r="G175" s="56">
        <v>929</v>
      </c>
      <c r="H175" s="56">
        <v>709</v>
      </c>
      <c r="I175" s="56">
        <v>579</v>
      </c>
      <c r="J175" s="56">
        <v>113</v>
      </c>
      <c r="K175" s="56">
        <v>198</v>
      </c>
      <c r="L175" s="56">
        <v>3676</v>
      </c>
      <c r="M175" s="56">
        <v>4079</v>
      </c>
      <c r="N175" s="56">
        <v>4271</v>
      </c>
      <c r="O175" s="56">
        <v>44621</v>
      </c>
      <c r="P175" s="56">
        <v>3574</v>
      </c>
      <c r="Q175" s="56">
        <v>29028</v>
      </c>
      <c r="R175" s="16">
        <f t="shared" si="9"/>
        <v>11521</v>
      </c>
      <c r="T175" s="144">
        <f t="shared" si="10"/>
        <v>38071</v>
      </c>
      <c r="U175" s="155"/>
      <c r="W175" s="155"/>
      <c r="X175" s="155"/>
      <c r="AS175" s="5">
        <v>15551</v>
      </c>
      <c r="AT175" s="5">
        <f t="shared" si="7"/>
        <v>16438.75</v>
      </c>
      <c r="AU175" s="71">
        <f t="shared" si="8"/>
        <v>132.63474261739552</v>
      </c>
    </row>
    <row r="176" spans="1:47" ht="15.6" x14ac:dyDescent="0.3">
      <c r="A176" s="55">
        <v>37119</v>
      </c>
      <c r="B176" s="56">
        <v>1288</v>
      </c>
      <c r="C176" s="56">
        <v>1594</v>
      </c>
      <c r="D176" s="56">
        <v>918</v>
      </c>
      <c r="E176" s="56">
        <v>1009</v>
      </c>
      <c r="F176" s="56">
        <v>1050</v>
      </c>
      <c r="G176" s="56">
        <v>950</v>
      </c>
      <c r="H176" s="56">
        <v>432</v>
      </c>
      <c r="I176" s="56">
        <v>626</v>
      </c>
      <c r="J176" s="56">
        <v>338</v>
      </c>
      <c r="K176" s="56">
        <v>255</v>
      </c>
      <c r="L176" s="56">
        <v>4026</v>
      </c>
      <c r="M176" s="56">
        <v>4434</v>
      </c>
      <c r="N176" s="56">
        <v>4748</v>
      </c>
      <c r="O176" s="56">
        <v>44948</v>
      </c>
      <c r="P176" s="56">
        <v>1206</v>
      </c>
      <c r="Q176" s="56">
        <v>26906</v>
      </c>
      <c r="R176" s="16">
        <f t="shared" si="9"/>
        <v>9980</v>
      </c>
      <c r="T176" s="144">
        <f t="shared" si="10"/>
        <v>38078</v>
      </c>
      <c r="U176" s="155"/>
      <c r="W176" s="155"/>
      <c r="X176" s="155"/>
      <c r="AS176" s="5">
        <v>15998</v>
      </c>
      <c r="AT176" s="5">
        <f t="shared" si="7"/>
        <v>16222</v>
      </c>
      <c r="AU176" s="71">
        <f t="shared" si="8"/>
        <v>143.45596038203041</v>
      </c>
    </row>
    <row r="177" spans="1:47" ht="15.6" x14ac:dyDescent="0.3">
      <c r="A177" s="55">
        <v>37483</v>
      </c>
      <c r="B177" s="56">
        <v>1033</v>
      </c>
      <c r="C177" s="56">
        <v>1940</v>
      </c>
      <c r="D177" s="56">
        <v>358</v>
      </c>
      <c r="E177" s="56">
        <v>682</v>
      </c>
      <c r="F177" s="56">
        <v>1168</v>
      </c>
      <c r="G177" s="56">
        <v>1126</v>
      </c>
      <c r="H177" s="56">
        <v>629</v>
      </c>
      <c r="I177" s="56">
        <v>691</v>
      </c>
      <c r="J177" s="56">
        <v>111</v>
      </c>
      <c r="K177" s="56">
        <v>200</v>
      </c>
      <c r="L177" s="56">
        <v>3298</v>
      </c>
      <c r="M177" s="56">
        <v>4639</v>
      </c>
      <c r="N177" s="56">
        <v>3592</v>
      </c>
      <c r="O177" s="56">
        <v>45716</v>
      </c>
      <c r="P177" s="56">
        <v>1088</v>
      </c>
      <c r="Q177" s="56">
        <v>29286</v>
      </c>
      <c r="R177" s="16">
        <f t="shared" si="9"/>
        <v>7978</v>
      </c>
      <c r="T177" s="144">
        <f t="shared" si="10"/>
        <v>38085</v>
      </c>
      <c r="U177" s="155"/>
      <c r="W177" s="155"/>
      <c r="X177" s="155"/>
      <c r="AS177" s="5">
        <v>15866</v>
      </c>
      <c r="AT177" s="5">
        <f t="shared" si="7"/>
        <v>16023.5</v>
      </c>
      <c r="AU177" s="71">
        <f t="shared" si="8"/>
        <v>143.50259716998031</v>
      </c>
    </row>
    <row r="178" spans="1:47" ht="15.6" x14ac:dyDescent="0.3">
      <c r="A178" s="55">
        <v>37126</v>
      </c>
      <c r="B178" s="56">
        <v>1296</v>
      </c>
      <c r="C178" s="56">
        <v>1733</v>
      </c>
      <c r="D178" s="56">
        <v>985</v>
      </c>
      <c r="E178" s="56">
        <v>1033</v>
      </c>
      <c r="F178" s="56">
        <v>1071</v>
      </c>
      <c r="G178" s="56">
        <v>1061</v>
      </c>
      <c r="H178" s="56">
        <v>401</v>
      </c>
      <c r="I178" s="56">
        <v>725</v>
      </c>
      <c r="J178" s="56">
        <v>350</v>
      </c>
      <c r="K178" s="56">
        <v>284</v>
      </c>
      <c r="L178" s="56">
        <v>4103</v>
      </c>
      <c r="M178" s="56">
        <v>4835</v>
      </c>
      <c r="N178" s="56">
        <v>3731</v>
      </c>
      <c r="O178" s="56">
        <v>46025</v>
      </c>
      <c r="P178" s="56">
        <v>988</v>
      </c>
      <c r="Q178" s="56">
        <v>27200</v>
      </c>
      <c r="R178" s="16">
        <f t="shared" si="9"/>
        <v>8822</v>
      </c>
      <c r="T178" s="144">
        <f t="shared" si="10"/>
        <v>38092</v>
      </c>
      <c r="U178" s="155"/>
      <c r="W178" s="155"/>
      <c r="X178" s="155"/>
      <c r="AS178" s="5">
        <v>15953</v>
      </c>
      <c r="AT178" s="5">
        <f t="shared" si="7"/>
        <v>15842</v>
      </c>
      <c r="AU178" s="71">
        <f t="shared" si="8"/>
        <v>143.49637681159419</v>
      </c>
    </row>
    <row r="179" spans="1:47" ht="15.6" x14ac:dyDescent="0.3">
      <c r="A179" s="55">
        <v>37490</v>
      </c>
      <c r="B179" s="56">
        <v>1110</v>
      </c>
      <c r="C179" s="56">
        <v>2148</v>
      </c>
      <c r="D179" s="56">
        <v>338</v>
      </c>
      <c r="E179" s="56">
        <v>768</v>
      </c>
      <c r="F179" s="56">
        <v>1081</v>
      </c>
      <c r="G179" s="56">
        <v>1380</v>
      </c>
      <c r="H179" s="56">
        <v>625</v>
      </c>
      <c r="I179" s="56">
        <v>792</v>
      </c>
      <c r="J179" s="56">
        <v>90</v>
      </c>
      <c r="K179" s="56">
        <v>224</v>
      </c>
      <c r="L179" s="56">
        <v>3244</v>
      </c>
      <c r="M179" s="56">
        <v>5312</v>
      </c>
      <c r="N179" s="56">
        <v>2848</v>
      </c>
      <c r="O179" s="56">
        <v>46634</v>
      </c>
      <c r="P179" s="56">
        <v>690</v>
      </c>
      <c r="Q179" s="56">
        <v>29571</v>
      </c>
      <c r="R179" s="16">
        <f t="shared" si="9"/>
        <v>6782</v>
      </c>
      <c r="T179" s="144">
        <f t="shared" si="10"/>
        <v>38099</v>
      </c>
      <c r="U179" s="155"/>
      <c r="W179" s="155"/>
      <c r="X179" s="155"/>
      <c r="AS179" s="5">
        <v>15748</v>
      </c>
      <c r="AT179" s="5">
        <f>AVERAGE(AS176:AS179)</f>
        <v>15891.25</v>
      </c>
      <c r="AU179" s="71">
        <f t="shared" si="8"/>
        <v>149.28370126820104</v>
      </c>
    </row>
    <row r="180" spans="1:47" ht="15.6" x14ac:dyDescent="0.3">
      <c r="A180" s="55">
        <v>37133</v>
      </c>
      <c r="B180" s="56">
        <v>1287</v>
      </c>
      <c r="C180" s="56">
        <v>1956</v>
      </c>
      <c r="D180" s="56">
        <v>919</v>
      </c>
      <c r="E180" s="56">
        <v>1309</v>
      </c>
      <c r="F180" s="56">
        <v>1039</v>
      </c>
      <c r="G180" s="56">
        <v>1218</v>
      </c>
      <c r="H180" s="56">
        <v>374</v>
      </c>
      <c r="I180" s="56">
        <v>824</v>
      </c>
      <c r="J180" s="56">
        <v>325</v>
      </c>
      <c r="K180" s="56">
        <v>325</v>
      </c>
      <c r="L180" s="56">
        <v>3943</v>
      </c>
      <c r="M180" s="56">
        <v>5633</v>
      </c>
      <c r="N180" s="56">
        <v>2806</v>
      </c>
      <c r="O180" s="56">
        <v>47219</v>
      </c>
      <c r="P180" s="56">
        <v>711</v>
      </c>
      <c r="Q180" s="56">
        <v>27454</v>
      </c>
      <c r="R180" s="16">
        <f t="shared" si="9"/>
        <v>7460</v>
      </c>
      <c r="T180" s="144">
        <f t="shared" si="10"/>
        <v>38106</v>
      </c>
      <c r="U180" s="155"/>
      <c r="W180" s="155"/>
      <c r="X180" s="155"/>
      <c r="AS180" s="5">
        <v>15519</v>
      </c>
      <c r="AT180" s="5">
        <f>AVERAGE(AS177:AS180)</f>
        <v>15771.5</v>
      </c>
      <c r="AU180" s="71">
        <f t="shared" si="8"/>
        <v>149.47872239598144</v>
      </c>
    </row>
    <row r="181" spans="1:47" ht="15.6" x14ac:dyDescent="0.3">
      <c r="A181" s="55">
        <v>37497</v>
      </c>
      <c r="B181" s="56">
        <v>1246</v>
      </c>
      <c r="C181" s="56">
        <v>2322</v>
      </c>
      <c r="D181" s="56">
        <v>327</v>
      </c>
      <c r="E181" s="56">
        <v>870</v>
      </c>
      <c r="F181" s="56">
        <v>1236</v>
      </c>
      <c r="G181" s="56">
        <v>1534</v>
      </c>
      <c r="H181" s="56">
        <v>597</v>
      </c>
      <c r="I181" s="56">
        <v>895</v>
      </c>
      <c r="J181" s="56">
        <v>90</v>
      </c>
      <c r="K181" s="56">
        <v>258</v>
      </c>
      <c r="L181" s="56">
        <v>3495</v>
      </c>
      <c r="M181" s="56">
        <v>5878</v>
      </c>
      <c r="N181" s="56">
        <v>2082</v>
      </c>
      <c r="O181" s="56">
        <v>47460</v>
      </c>
      <c r="P181" s="56">
        <v>494</v>
      </c>
      <c r="Q181" s="56">
        <v>29838</v>
      </c>
      <c r="R181" s="16">
        <f t="shared" si="9"/>
        <v>6071</v>
      </c>
      <c r="T181" s="144">
        <f t="shared" si="10"/>
        <v>38113</v>
      </c>
      <c r="U181" s="156"/>
      <c r="V181" s="61"/>
      <c r="W181" s="156"/>
      <c r="X181" s="156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18"/>
      <c r="AR181" s="18"/>
      <c r="AS181" s="5">
        <v>14287</v>
      </c>
      <c r="AT181" s="5">
        <f t="shared" ref="AT181:AT264" si="11">AVERAGE(AS178:AS181)</f>
        <v>15376.75</v>
      </c>
      <c r="AU181" s="71">
        <f t="shared" si="8"/>
        <v>154.15288220551378</v>
      </c>
    </row>
    <row r="182" spans="1:47" ht="15.6" x14ac:dyDescent="0.3">
      <c r="A182" s="55">
        <v>37140</v>
      </c>
      <c r="B182" s="56">
        <v>1198</v>
      </c>
      <c r="C182" s="56">
        <v>2174</v>
      </c>
      <c r="D182" s="56">
        <v>880</v>
      </c>
      <c r="E182" s="56">
        <v>1389</v>
      </c>
      <c r="F182" s="56">
        <v>886</v>
      </c>
      <c r="G182" s="56">
        <v>1422</v>
      </c>
      <c r="H182" s="56">
        <v>378</v>
      </c>
      <c r="I182" s="56">
        <v>867</v>
      </c>
      <c r="J182" s="56">
        <v>357</v>
      </c>
      <c r="K182" s="56">
        <v>347</v>
      </c>
      <c r="L182" s="56">
        <v>3698</v>
      </c>
      <c r="M182" s="56">
        <v>6198</v>
      </c>
      <c r="N182" s="56">
        <v>7090</v>
      </c>
      <c r="O182" s="56">
        <v>567</v>
      </c>
      <c r="P182" s="56">
        <v>5611</v>
      </c>
      <c r="Q182" s="56">
        <v>67</v>
      </c>
      <c r="R182" s="16">
        <f t="shared" si="9"/>
        <v>16399</v>
      </c>
      <c r="T182" s="144">
        <f t="shared" si="10"/>
        <v>38120</v>
      </c>
      <c r="U182" s="156"/>
      <c r="V182" s="61"/>
      <c r="W182" s="156"/>
      <c r="X182" s="156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18"/>
      <c r="AR182" s="18"/>
      <c r="AS182" s="5">
        <v>13665</v>
      </c>
      <c r="AT182" s="5">
        <f t="shared" si="11"/>
        <v>14804.75</v>
      </c>
      <c r="AU182" s="71">
        <f t="shared" si="8"/>
        <v>147.22305091487669</v>
      </c>
    </row>
    <row r="183" spans="1:47" ht="15.6" x14ac:dyDescent="0.3">
      <c r="A183" s="55">
        <v>37504</v>
      </c>
      <c r="B183" s="56">
        <v>1250</v>
      </c>
      <c r="C183" s="56">
        <v>2546</v>
      </c>
      <c r="D183" s="56">
        <v>328</v>
      </c>
      <c r="E183" s="56">
        <v>910</v>
      </c>
      <c r="F183" s="56">
        <v>1187</v>
      </c>
      <c r="G183" s="56">
        <v>1769</v>
      </c>
      <c r="H183" s="56">
        <v>560</v>
      </c>
      <c r="I183" s="56">
        <v>979</v>
      </c>
      <c r="J183" s="56">
        <v>90</v>
      </c>
      <c r="K183" s="56">
        <v>258</v>
      </c>
      <c r="L183" s="56">
        <v>3415</v>
      </c>
      <c r="M183" s="56">
        <v>6460</v>
      </c>
      <c r="N183" s="56">
        <v>6206</v>
      </c>
      <c r="O183" s="56">
        <v>439</v>
      </c>
      <c r="P183" s="56">
        <v>5802</v>
      </c>
      <c r="Q183" s="56">
        <v>109</v>
      </c>
      <c r="R183" s="16">
        <f t="shared" si="9"/>
        <v>15423</v>
      </c>
      <c r="T183" s="144">
        <f t="shared" si="10"/>
        <v>38127</v>
      </c>
      <c r="U183" s="156"/>
      <c r="V183" s="61"/>
      <c r="W183" s="156"/>
      <c r="X183" s="156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18"/>
      <c r="AR183" s="18"/>
      <c r="AS183" s="5">
        <v>13031</v>
      </c>
      <c r="AT183" s="5">
        <f t="shared" si="11"/>
        <v>14125.5</v>
      </c>
      <c r="AU183" s="71">
        <f t="shared" si="8"/>
        <v>145.17471736896198</v>
      </c>
    </row>
    <row r="184" spans="1:47" ht="15.6" x14ac:dyDescent="0.3">
      <c r="A184" s="55">
        <v>37147</v>
      </c>
      <c r="B184" s="56">
        <v>1191</v>
      </c>
      <c r="C184" s="56">
        <v>2267</v>
      </c>
      <c r="D184" s="56">
        <v>880</v>
      </c>
      <c r="E184" s="56">
        <v>1502</v>
      </c>
      <c r="F184" s="56">
        <v>953</v>
      </c>
      <c r="G184" s="56">
        <v>1490</v>
      </c>
      <c r="H184" s="56">
        <v>433</v>
      </c>
      <c r="I184" s="56">
        <v>885</v>
      </c>
      <c r="J184" s="56">
        <v>326</v>
      </c>
      <c r="K184" s="56">
        <v>381</v>
      </c>
      <c r="L184" s="56">
        <v>3783</v>
      </c>
      <c r="M184" s="56">
        <v>6525</v>
      </c>
      <c r="N184" s="56">
        <v>6692</v>
      </c>
      <c r="O184" s="56">
        <v>1660</v>
      </c>
      <c r="P184" s="56">
        <v>6006</v>
      </c>
      <c r="Q184" s="56">
        <v>241</v>
      </c>
      <c r="R184" s="16">
        <f t="shared" si="9"/>
        <v>16481</v>
      </c>
      <c r="T184" s="144">
        <f t="shared" si="10"/>
        <v>38134</v>
      </c>
      <c r="U184" s="156"/>
      <c r="V184" s="61"/>
      <c r="W184" s="156"/>
      <c r="X184" s="156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18"/>
      <c r="AR184" s="18"/>
      <c r="AS184" s="5">
        <v>12064</v>
      </c>
      <c r="AT184" s="5">
        <f t="shared" si="11"/>
        <v>13261.75</v>
      </c>
      <c r="AU184" s="71">
        <f t="shared" si="8"/>
        <v>144.16512664420046</v>
      </c>
    </row>
    <row r="185" spans="1:47" ht="15.6" x14ac:dyDescent="0.3">
      <c r="A185" s="55">
        <v>37511</v>
      </c>
      <c r="B185" s="56">
        <v>1387</v>
      </c>
      <c r="C185" s="56">
        <v>2729</v>
      </c>
      <c r="D185" s="56">
        <v>380</v>
      </c>
      <c r="E185" s="56">
        <v>949</v>
      </c>
      <c r="F185" s="56">
        <v>1374</v>
      </c>
      <c r="G185" s="56">
        <v>1849</v>
      </c>
      <c r="H185" s="56">
        <v>628</v>
      </c>
      <c r="I185" s="56">
        <v>1043</v>
      </c>
      <c r="J185" s="56">
        <v>102</v>
      </c>
      <c r="K185" s="56">
        <v>260</v>
      </c>
      <c r="L185" s="56">
        <v>3872</v>
      </c>
      <c r="M185" s="56">
        <v>6831</v>
      </c>
      <c r="N185" s="56">
        <v>6418</v>
      </c>
      <c r="O185" s="56">
        <v>1276</v>
      </c>
      <c r="P185" s="56">
        <v>6204</v>
      </c>
      <c r="Q185" s="56">
        <v>335</v>
      </c>
      <c r="R185" s="16">
        <f t="shared" si="9"/>
        <v>16494</v>
      </c>
      <c r="T185" s="144">
        <f t="shared" si="10"/>
        <v>38141</v>
      </c>
      <c r="U185" s="156"/>
      <c r="V185" s="61"/>
      <c r="W185" s="156"/>
      <c r="X185" s="156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18"/>
      <c r="AR185" s="18"/>
      <c r="AS185" s="5">
        <v>15304</v>
      </c>
      <c r="AT185" s="5">
        <f t="shared" si="11"/>
        <v>13516</v>
      </c>
      <c r="AU185" s="71">
        <f t="shared" si="8"/>
        <v>159.03047417343217</v>
      </c>
    </row>
    <row r="186" spans="1:47" ht="15.6" x14ac:dyDescent="0.3">
      <c r="A186" s="55">
        <v>37154</v>
      </c>
      <c r="B186" s="56">
        <v>1275</v>
      </c>
      <c r="C186" s="56">
        <v>2397</v>
      </c>
      <c r="D186" s="56">
        <v>906</v>
      </c>
      <c r="E186" s="56">
        <v>1612</v>
      </c>
      <c r="F186" s="56">
        <v>881</v>
      </c>
      <c r="G186" s="56">
        <v>1604</v>
      </c>
      <c r="H186" s="56">
        <v>533</v>
      </c>
      <c r="I186" s="56">
        <v>911</v>
      </c>
      <c r="J186" s="56">
        <v>316</v>
      </c>
      <c r="K186" s="56">
        <v>391</v>
      </c>
      <c r="L186" s="56">
        <v>3911</v>
      </c>
      <c r="M186" s="56">
        <v>6915</v>
      </c>
      <c r="N186" s="56">
        <v>6553</v>
      </c>
      <c r="O186" s="56">
        <v>2992</v>
      </c>
      <c r="P186" s="56">
        <v>6158</v>
      </c>
      <c r="Q186" s="56">
        <v>505</v>
      </c>
      <c r="R186" s="16">
        <f t="shared" si="9"/>
        <v>16622</v>
      </c>
      <c r="T186" s="144">
        <f t="shared" si="10"/>
        <v>38148</v>
      </c>
      <c r="U186" s="156"/>
      <c r="V186" s="61"/>
      <c r="W186" s="156"/>
      <c r="X186" s="156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18"/>
      <c r="AR186" s="18"/>
      <c r="AS186" s="5">
        <v>14946</v>
      </c>
      <c r="AT186" s="5">
        <f t="shared" si="11"/>
        <v>13836.25</v>
      </c>
      <c r="AU186" s="71">
        <f t="shared" si="8"/>
        <v>130.8887522467127</v>
      </c>
    </row>
    <row r="187" spans="1:47" ht="15.6" x14ac:dyDescent="0.3">
      <c r="A187" s="55">
        <v>37518</v>
      </c>
      <c r="B187" s="56">
        <v>1591</v>
      </c>
      <c r="C187" s="56">
        <v>2920</v>
      </c>
      <c r="D187" s="56">
        <v>372</v>
      </c>
      <c r="E187" s="56">
        <v>1008</v>
      </c>
      <c r="F187" s="56">
        <v>1542</v>
      </c>
      <c r="G187" s="56">
        <v>2007</v>
      </c>
      <c r="H187" s="56">
        <v>673</v>
      </c>
      <c r="I187" s="56">
        <v>1137</v>
      </c>
      <c r="J187" s="56">
        <v>102</v>
      </c>
      <c r="K187" s="56">
        <v>260</v>
      </c>
      <c r="L187" s="56">
        <v>4280</v>
      </c>
      <c r="M187" s="56">
        <v>7332</v>
      </c>
      <c r="N187" s="56">
        <v>6352</v>
      </c>
      <c r="O187" s="56">
        <v>2080</v>
      </c>
      <c r="P187" s="56">
        <v>6801</v>
      </c>
      <c r="Q187" s="56">
        <v>444</v>
      </c>
      <c r="R187" s="16">
        <f t="shared" si="9"/>
        <v>17433</v>
      </c>
      <c r="T187" s="144">
        <f t="shared" si="10"/>
        <v>38155</v>
      </c>
      <c r="U187" s="156"/>
      <c r="V187" s="61"/>
      <c r="W187" s="156"/>
      <c r="X187" s="156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18"/>
      <c r="AR187" s="18"/>
      <c r="AS187" s="5">
        <v>14237</v>
      </c>
      <c r="AT187" s="5">
        <f t="shared" si="11"/>
        <v>14137.75</v>
      </c>
      <c r="AU187" s="71">
        <f t="shared" si="8"/>
        <v>132.74882629107981</v>
      </c>
    </row>
    <row r="188" spans="1:47" ht="15.6" x14ac:dyDescent="0.3">
      <c r="A188" s="55">
        <v>37161</v>
      </c>
      <c r="B188" s="56">
        <v>1150</v>
      </c>
      <c r="C188" s="56">
        <v>2604</v>
      </c>
      <c r="D188" s="56">
        <v>1091</v>
      </c>
      <c r="E188" s="56">
        <v>1761</v>
      </c>
      <c r="F188" s="56">
        <v>862</v>
      </c>
      <c r="G188" s="56">
        <v>1752</v>
      </c>
      <c r="H188" s="56">
        <v>499</v>
      </c>
      <c r="I188" s="56">
        <v>1018</v>
      </c>
      <c r="J188" s="56">
        <v>314</v>
      </c>
      <c r="K188" s="56">
        <v>440</v>
      </c>
      <c r="L188" s="56">
        <v>3916</v>
      </c>
      <c r="M188" s="56">
        <v>7575</v>
      </c>
      <c r="N188" s="56">
        <v>7018</v>
      </c>
      <c r="O188" s="56">
        <v>3780</v>
      </c>
      <c r="P188" s="56">
        <v>6896</v>
      </c>
      <c r="Q188" s="56">
        <v>731</v>
      </c>
      <c r="R188" s="16">
        <f t="shared" si="9"/>
        <v>17830</v>
      </c>
      <c r="T188" s="144">
        <f t="shared" si="10"/>
        <v>38162</v>
      </c>
      <c r="U188" s="156"/>
      <c r="V188" s="61"/>
      <c r="W188" s="156"/>
      <c r="X188" s="156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18"/>
      <c r="AR188" s="18"/>
      <c r="AS188" s="5">
        <v>14188</v>
      </c>
      <c r="AT188" s="5">
        <f t="shared" si="11"/>
        <v>14668.75</v>
      </c>
      <c r="AU188" s="71">
        <f t="shared" si="8"/>
        <v>132.4611703088315</v>
      </c>
    </row>
    <row r="189" spans="1:47" ht="15.6" x14ac:dyDescent="0.3">
      <c r="A189" s="55">
        <v>37525</v>
      </c>
      <c r="B189" s="56">
        <v>1629</v>
      </c>
      <c r="C189" s="56">
        <v>2989</v>
      </c>
      <c r="D189" s="56">
        <v>403</v>
      </c>
      <c r="E189" s="56">
        <v>1008</v>
      </c>
      <c r="F189" s="56">
        <v>1581</v>
      </c>
      <c r="G189" s="56">
        <v>2085</v>
      </c>
      <c r="H189" s="56">
        <v>734</v>
      </c>
      <c r="I189" s="56">
        <v>1187</v>
      </c>
      <c r="J189" s="56">
        <v>177</v>
      </c>
      <c r="K189" s="56">
        <v>280</v>
      </c>
      <c r="L189" s="56">
        <v>4524</v>
      </c>
      <c r="M189" s="56">
        <v>7548</v>
      </c>
      <c r="N189" s="56">
        <v>6852</v>
      </c>
      <c r="O189" s="56">
        <v>2536</v>
      </c>
      <c r="P189" s="56">
        <v>6854</v>
      </c>
      <c r="Q189" s="56">
        <v>659</v>
      </c>
      <c r="R189" s="16">
        <f t="shared" si="9"/>
        <v>18230</v>
      </c>
      <c r="T189" s="144">
        <f t="shared" si="10"/>
        <v>38169</v>
      </c>
      <c r="U189" s="156"/>
      <c r="V189" s="61"/>
      <c r="W189" s="156"/>
      <c r="X189" s="156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18"/>
      <c r="AR189" s="18"/>
      <c r="AS189" s="5">
        <v>13753</v>
      </c>
      <c r="AT189" s="5">
        <f t="shared" si="11"/>
        <v>14281</v>
      </c>
      <c r="AU189" s="71">
        <f t="shared" ref="AU189:AU252" si="12">(AT189/AS137)*100</f>
        <v>127.1343363304549</v>
      </c>
    </row>
    <row r="190" spans="1:47" ht="15.6" x14ac:dyDescent="0.3">
      <c r="A190" s="55">
        <v>37168</v>
      </c>
      <c r="B190" s="56">
        <v>1108</v>
      </c>
      <c r="C190" s="56">
        <v>2792</v>
      </c>
      <c r="D190" s="56">
        <v>1214</v>
      </c>
      <c r="E190" s="56">
        <v>1883</v>
      </c>
      <c r="F190" s="56">
        <v>884</v>
      </c>
      <c r="G190" s="56">
        <v>1869</v>
      </c>
      <c r="H190" s="56">
        <v>552</v>
      </c>
      <c r="I190" s="56">
        <v>1067</v>
      </c>
      <c r="J190" s="56">
        <v>231</v>
      </c>
      <c r="K190" s="56">
        <v>517</v>
      </c>
      <c r="L190" s="56">
        <v>3989</v>
      </c>
      <c r="M190" s="56">
        <v>8128</v>
      </c>
      <c r="N190" s="56">
        <v>6862</v>
      </c>
      <c r="O190" s="56">
        <v>4556</v>
      </c>
      <c r="P190" s="56">
        <v>7854</v>
      </c>
      <c r="Q190" s="56">
        <v>863</v>
      </c>
      <c r="R190" s="16">
        <f t="shared" si="9"/>
        <v>18705</v>
      </c>
      <c r="T190" s="144">
        <f t="shared" si="10"/>
        <v>38176</v>
      </c>
      <c r="U190" s="156"/>
      <c r="V190" s="61"/>
      <c r="W190" s="156"/>
      <c r="X190" s="156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18"/>
      <c r="AR190" s="18"/>
      <c r="AS190" s="5">
        <v>13256</v>
      </c>
      <c r="AT190" s="5">
        <f t="shared" si="11"/>
        <v>13858.5</v>
      </c>
      <c r="AU190" s="71">
        <f t="shared" si="12"/>
        <v>123.91362660944205</v>
      </c>
    </row>
    <row r="191" spans="1:47" ht="15.6" x14ac:dyDescent="0.3">
      <c r="A191" s="55">
        <v>37532</v>
      </c>
      <c r="B191" s="56">
        <v>1658</v>
      </c>
      <c r="C191" s="56">
        <v>3105</v>
      </c>
      <c r="D191" s="56">
        <v>436</v>
      </c>
      <c r="E191" s="56">
        <v>1043</v>
      </c>
      <c r="F191" s="56">
        <v>1626</v>
      </c>
      <c r="G191" s="56">
        <v>2210</v>
      </c>
      <c r="H191" s="56">
        <v>849</v>
      </c>
      <c r="I191" s="56">
        <v>1187</v>
      </c>
      <c r="J191" s="56">
        <v>160</v>
      </c>
      <c r="K191" s="56">
        <v>334</v>
      </c>
      <c r="L191" s="56">
        <v>4729</v>
      </c>
      <c r="M191" s="56">
        <v>7877</v>
      </c>
      <c r="N191" s="56">
        <v>7024</v>
      </c>
      <c r="O191" s="56">
        <v>3034</v>
      </c>
      <c r="P191" s="56">
        <v>7134</v>
      </c>
      <c r="Q191" s="56">
        <v>895</v>
      </c>
      <c r="R191" s="16">
        <f t="shared" si="9"/>
        <v>18887</v>
      </c>
      <c r="T191" s="144">
        <f t="shared" si="10"/>
        <v>38183</v>
      </c>
      <c r="U191" s="156"/>
      <c r="V191" s="61"/>
      <c r="W191" s="156"/>
      <c r="X191" s="156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18"/>
      <c r="AR191" s="18"/>
      <c r="AS191" s="5">
        <v>12413</v>
      </c>
      <c r="AT191" s="5">
        <f t="shared" si="11"/>
        <v>13402.5</v>
      </c>
      <c r="AU191" s="71">
        <f t="shared" si="12"/>
        <v>89.985900362562106</v>
      </c>
    </row>
    <row r="192" spans="1:47" ht="15.6" x14ac:dyDescent="0.3">
      <c r="A192" s="55">
        <v>37175</v>
      </c>
      <c r="B192" s="56">
        <v>1174</v>
      </c>
      <c r="C192" s="56">
        <v>2889</v>
      </c>
      <c r="D192" s="56">
        <v>1087</v>
      </c>
      <c r="E192" s="56">
        <v>2079</v>
      </c>
      <c r="F192" s="56">
        <v>868</v>
      </c>
      <c r="G192" s="56">
        <v>1988</v>
      </c>
      <c r="H192" s="56">
        <v>550</v>
      </c>
      <c r="I192" s="56">
        <v>1158</v>
      </c>
      <c r="J192" s="56">
        <v>227</v>
      </c>
      <c r="K192" s="56">
        <v>522</v>
      </c>
      <c r="L192" s="56">
        <v>3906</v>
      </c>
      <c r="M192" s="56">
        <v>8636</v>
      </c>
      <c r="N192" s="56">
        <v>6944</v>
      </c>
      <c r="O192" s="56">
        <v>5287</v>
      </c>
      <c r="P192" s="56">
        <v>8511</v>
      </c>
      <c r="Q192" s="56">
        <v>1526</v>
      </c>
      <c r="R192" s="16">
        <f t="shared" si="9"/>
        <v>19361</v>
      </c>
      <c r="T192" s="144">
        <f t="shared" si="10"/>
        <v>38190</v>
      </c>
      <c r="U192" s="156"/>
      <c r="V192" s="61"/>
      <c r="W192" s="156"/>
      <c r="X192" s="156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18"/>
      <c r="AR192" s="18"/>
      <c r="AS192" s="5">
        <v>12037</v>
      </c>
      <c r="AT192" s="5">
        <f t="shared" si="11"/>
        <v>12864.75</v>
      </c>
      <c r="AU192" s="71">
        <f t="shared" si="12"/>
        <v>120.42263409154732</v>
      </c>
    </row>
    <row r="193" spans="1:47" ht="15.6" x14ac:dyDescent="0.3">
      <c r="A193" s="55">
        <v>37539</v>
      </c>
      <c r="B193" s="56">
        <v>1683</v>
      </c>
      <c r="C193" s="56">
        <v>3197</v>
      </c>
      <c r="D193" s="56">
        <v>480</v>
      </c>
      <c r="E193" s="56">
        <v>1070</v>
      </c>
      <c r="F193" s="56">
        <v>1675</v>
      </c>
      <c r="G193" s="56">
        <v>2366</v>
      </c>
      <c r="H193" s="56">
        <v>819</v>
      </c>
      <c r="I193" s="56">
        <v>1187</v>
      </c>
      <c r="J193" s="56">
        <v>107</v>
      </c>
      <c r="K193" s="56">
        <v>338</v>
      </c>
      <c r="L193" s="56">
        <v>4764</v>
      </c>
      <c r="M193" s="56">
        <v>8158</v>
      </c>
      <c r="N193" s="56">
        <v>6890</v>
      </c>
      <c r="O193" s="56">
        <v>3819</v>
      </c>
      <c r="P193" s="56">
        <v>7362</v>
      </c>
      <c r="Q193" s="56">
        <v>1227</v>
      </c>
      <c r="R193" s="16">
        <f t="shared" si="9"/>
        <v>19016</v>
      </c>
      <c r="T193" s="144">
        <f t="shared" si="10"/>
        <v>38197</v>
      </c>
      <c r="U193" s="156"/>
      <c r="V193" s="61"/>
      <c r="W193" s="156"/>
      <c r="X193" s="156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18"/>
      <c r="AR193" s="18"/>
      <c r="AS193" s="5">
        <v>11273</v>
      </c>
      <c r="AT193" s="5">
        <f t="shared" si="11"/>
        <v>12244.75</v>
      </c>
      <c r="AU193" s="71">
        <f t="shared" si="12"/>
        <v>118.74272692009309</v>
      </c>
    </row>
    <row r="194" spans="1:47" ht="15.6" x14ac:dyDescent="0.3">
      <c r="A194" s="55">
        <v>37182</v>
      </c>
      <c r="B194" s="56">
        <v>1228</v>
      </c>
      <c r="C194" s="56">
        <v>3162</v>
      </c>
      <c r="D194" s="56">
        <v>1075</v>
      </c>
      <c r="E194" s="56">
        <v>2150</v>
      </c>
      <c r="F194" s="56">
        <v>961</v>
      </c>
      <c r="G194" s="56">
        <v>2076</v>
      </c>
      <c r="H194" s="56">
        <v>616</v>
      </c>
      <c r="I194" s="56">
        <v>1176</v>
      </c>
      <c r="J194" s="56">
        <v>249</v>
      </c>
      <c r="K194" s="56">
        <v>525</v>
      </c>
      <c r="L194" s="56">
        <v>4128</v>
      </c>
      <c r="M194" s="56">
        <v>9090</v>
      </c>
      <c r="N194" s="56">
        <v>7074</v>
      </c>
      <c r="O194" s="56">
        <v>6059</v>
      </c>
      <c r="P194" s="56">
        <v>8760</v>
      </c>
      <c r="Q194" s="56">
        <v>2342</v>
      </c>
      <c r="R194" s="16">
        <f t="shared" si="9"/>
        <v>19962</v>
      </c>
      <c r="T194" s="144">
        <f t="shared" si="10"/>
        <v>38204</v>
      </c>
      <c r="U194" s="156"/>
      <c r="V194" s="61"/>
      <c r="W194" s="156"/>
      <c r="X194" s="156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18"/>
      <c r="AR194" s="18"/>
      <c r="AS194" s="5">
        <v>10644</v>
      </c>
      <c r="AT194" s="5">
        <f t="shared" si="11"/>
        <v>11591.75</v>
      </c>
      <c r="AU194" s="71">
        <f t="shared" si="12"/>
        <v>123.55308036665956</v>
      </c>
    </row>
    <row r="195" spans="1:47" ht="15.6" x14ac:dyDescent="0.3">
      <c r="A195" s="55">
        <v>37546</v>
      </c>
      <c r="B195" s="56">
        <v>1608</v>
      </c>
      <c r="C195" s="56">
        <v>3370</v>
      </c>
      <c r="D195" s="56">
        <v>670</v>
      </c>
      <c r="E195" s="56">
        <v>1145</v>
      </c>
      <c r="F195" s="56">
        <v>1641</v>
      </c>
      <c r="G195" s="56">
        <v>2649</v>
      </c>
      <c r="H195" s="56">
        <v>917</v>
      </c>
      <c r="I195" s="56">
        <v>1240</v>
      </c>
      <c r="J195" s="56">
        <v>103</v>
      </c>
      <c r="K195" s="56">
        <v>323</v>
      </c>
      <c r="L195" s="56">
        <v>4939</v>
      </c>
      <c r="M195" s="56">
        <v>8787</v>
      </c>
      <c r="N195" s="56">
        <v>6584</v>
      </c>
      <c r="O195" s="56">
        <v>4642</v>
      </c>
      <c r="P195" s="56">
        <v>7783</v>
      </c>
      <c r="Q195" s="56">
        <v>2015</v>
      </c>
      <c r="R195" s="16">
        <f t="shared" si="9"/>
        <v>19306</v>
      </c>
      <c r="T195" s="144">
        <f t="shared" si="10"/>
        <v>38211</v>
      </c>
      <c r="U195" s="156"/>
      <c r="V195" s="61"/>
      <c r="W195" s="156"/>
      <c r="X195" s="156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18"/>
      <c r="AR195" s="18"/>
      <c r="AS195" s="5">
        <v>10105</v>
      </c>
      <c r="AT195" s="5">
        <f t="shared" si="11"/>
        <v>11014.75</v>
      </c>
      <c r="AU195" s="71">
        <f t="shared" si="12"/>
        <v>124.96879963694123</v>
      </c>
    </row>
    <row r="196" spans="1:47" ht="15.6" x14ac:dyDescent="0.3">
      <c r="A196" s="55">
        <v>37189</v>
      </c>
      <c r="B196" s="56">
        <v>1386</v>
      </c>
      <c r="C196" s="56">
        <v>3350</v>
      </c>
      <c r="D196" s="56">
        <v>1023</v>
      </c>
      <c r="E196" s="56">
        <v>2313</v>
      </c>
      <c r="F196" s="56">
        <v>1060</v>
      </c>
      <c r="G196" s="56">
        <v>2143</v>
      </c>
      <c r="H196" s="56">
        <v>565</v>
      </c>
      <c r="I196" s="56">
        <v>1332</v>
      </c>
      <c r="J196" s="56">
        <v>214</v>
      </c>
      <c r="K196" s="56">
        <v>569</v>
      </c>
      <c r="L196" s="56">
        <v>4248</v>
      </c>
      <c r="M196" s="56">
        <v>9707</v>
      </c>
      <c r="N196" s="56">
        <v>6788</v>
      </c>
      <c r="O196" s="56">
        <v>6909</v>
      </c>
      <c r="P196" s="56">
        <v>8491</v>
      </c>
      <c r="Q196" s="56">
        <v>3495</v>
      </c>
      <c r="R196" s="16">
        <f t="shared" si="9"/>
        <v>19527</v>
      </c>
      <c r="T196" s="144">
        <f t="shared" si="10"/>
        <v>38218</v>
      </c>
      <c r="U196" s="156"/>
      <c r="V196" s="61"/>
      <c r="W196" s="156"/>
      <c r="X196" s="156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18"/>
      <c r="AR196" s="18"/>
      <c r="AS196" s="5">
        <v>9196</v>
      </c>
      <c r="AT196" s="5">
        <f t="shared" si="11"/>
        <v>10304.5</v>
      </c>
      <c r="AU196" s="71">
        <f t="shared" si="12"/>
        <v>118.38809742647058</v>
      </c>
    </row>
    <row r="197" spans="1:47" ht="15.6" x14ac:dyDescent="0.3">
      <c r="A197" s="55">
        <v>37553</v>
      </c>
      <c r="B197" s="56">
        <v>1540</v>
      </c>
      <c r="C197" s="56">
        <v>3471</v>
      </c>
      <c r="D197" s="56">
        <v>691</v>
      </c>
      <c r="E197" s="56">
        <v>1173</v>
      </c>
      <c r="F197" s="56">
        <v>1582</v>
      </c>
      <c r="G197" s="56">
        <v>2858</v>
      </c>
      <c r="H197" s="56">
        <v>778</v>
      </c>
      <c r="I197" s="56">
        <v>1474</v>
      </c>
      <c r="J197" s="56">
        <v>169</v>
      </c>
      <c r="K197" s="56">
        <v>386</v>
      </c>
      <c r="L197" s="56">
        <v>4758</v>
      </c>
      <c r="M197" s="56">
        <v>9361</v>
      </c>
      <c r="N197" s="56">
        <v>6973</v>
      </c>
      <c r="O197" s="56">
        <v>5275</v>
      </c>
      <c r="P197" s="56">
        <v>8357</v>
      </c>
      <c r="Q197" s="56">
        <v>3088</v>
      </c>
      <c r="R197" s="16">
        <f t="shared" si="9"/>
        <v>20088</v>
      </c>
      <c r="T197" s="144">
        <f t="shared" si="10"/>
        <v>38225</v>
      </c>
      <c r="U197" s="156"/>
      <c r="V197" s="61"/>
      <c r="W197" s="156"/>
      <c r="X197" s="156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18"/>
      <c r="AR197" s="18"/>
      <c r="AS197" s="5">
        <v>8274</v>
      </c>
      <c r="AT197" s="5">
        <f t="shared" si="11"/>
        <v>9554.75</v>
      </c>
      <c r="AU197" s="71">
        <f t="shared" si="12"/>
        <v>125.98562763713079</v>
      </c>
    </row>
    <row r="198" spans="1:47" ht="15.6" x14ac:dyDescent="0.3">
      <c r="A198" s="55">
        <v>37196</v>
      </c>
      <c r="B198" s="56">
        <v>1382</v>
      </c>
      <c r="C198" s="56">
        <v>3460</v>
      </c>
      <c r="D198" s="56">
        <v>1018</v>
      </c>
      <c r="E198" s="56">
        <v>2375</v>
      </c>
      <c r="F198" s="56">
        <v>1017</v>
      </c>
      <c r="G198" s="56">
        <v>2308</v>
      </c>
      <c r="H198" s="56">
        <v>573</v>
      </c>
      <c r="I198" s="56">
        <v>1371</v>
      </c>
      <c r="J198" s="56">
        <v>240</v>
      </c>
      <c r="K198" s="56">
        <v>573</v>
      </c>
      <c r="L198" s="56">
        <v>4229</v>
      </c>
      <c r="M198" s="56">
        <v>10087</v>
      </c>
      <c r="N198" s="56">
        <v>7028</v>
      </c>
      <c r="O198" s="56">
        <v>7569</v>
      </c>
      <c r="P198" s="56">
        <v>8606</v>
      </c>
      <c r="Q198" s="56">
        <v>4884</v>
      </c>
      <c r="R198" s="16">
        <f t="shared" ref="R198:R261" si="13">P198+N198+L198</f>
        <v>19863</v>
      </c>
      <c r="T198" s="144">
        <f t="shared" si="10"/>
        <v>38232</v>
      </c>
      <c r="U198" s="156"/>
      <c r="V198" s="61"/>
      <c r="W198" s="156"/>
      <c r="X198" s="156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18"/>
      <c r="AR198" s="18"/>
      <c r="AS198" s="5">
        <v>18392</v>
      </c>
      <c r="AT198" s="5">
        <f t="shared" si="11"/>
        <v>11491.75</v>
      </c>
      <c r="AU198" s="71">
        <f t="shared" si="12"/>
        <v>55.254110972208871</v>
      </c>
    </row>
    <row r="199" spans="1:47" ht="15.6" x14ac:dyDescent="0.3">
      <c r="A199" s="55">
        <v>37560</v>
      </c>
      <c r="B199" s="56">
        <v>1418</v>
      </c>
      <c r="C199" s="56">
        <v>3625</v>
      </c>
      <c r="D199" s="56">
        <v>685</v>
      </c>
      <c r="E199" s="56">
        <v>1193</v>
      </c>
      <c r="F199" s="56">
        <v>1630</v>
      </c>
      <c r="G199" s="56">
        <v>2960</v>
      </c>
      <c r="H199" s="56">
        <v>790</v>
      </c>
      <c r="I199" s="56">
        <v>1542</v>
      </c>
      <c r="J199" s="56">
        <v>177</v>
      </c>
      <c r="K199" s="56">
        <v>386</v>
      </c>
      <c r="L199" s="56">
        <v>4700</v>
      </c>
      <c r="M199" s="56">
        <v>9705</v>
      </c>
      <c r="N199" s="56">
        <v>7629</v>
      </c>
      <c r="O199" s="56">
        <v>5705</v>
      </c>
      <c r="P199" s="56">
        <v>7843</v>
      </c>
      <c r="Q199" s="56">
        <v>4365</v>
      </c>
      <c r="R199" s="16">
        <f t="shared" si="13"/>
        <v>20172</v>
      </c>
      <c r="T199" s="144">
        <f t="shared" si="10"/>
        <v>38239</v>
      </c>
      <c r="U199" s="156"/>
      <c r="V199" s="61"/>
      <c r="W199" s="156"/>
      <c r="X199" s="156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18"/>
      <c r="AR199" s="18"/>
      <c r="AS199" s="5">
        <v>18966</v>
      </c>
      <c r="AT199" s="5">
        <f t="shared" si="11"/>
        <v>13707</v>
      </c>
      <c r="AU199" s="71">
        <f t="shared" si="12"/>
        <v>64.376291564907007</v>
      </c>
    </row>
    <row r="200" spans="1:47" ht="15.6" x14ac:dyDescent="0.3">
      <c r="A200" s="55">
        <v>37203</v>
      </c>
      <c r="B200" s="56">
        <v>1254</v>
      </c>
      <c r="C200" s="56">
        <v>3655</v>
      </c>
      <c r="D200" s="56">
        <v>937</v>
      </c>
      <c r="E200" s="56">
        <v>2497</v>
      </c>
      <c r="F200" s="56">
        <v>1019</v>
      </c>
      <c r="G200" s="56">
        <v>2438</v>
      </c>
      <c r="H200" s="56">
        <v>567</v>
      </c>
      <c r="I200" s="56">
        <v>1475</v>
      </c>
      <c r="J200" s="56">
        <v>265</v>
      </c>
      <c r="K200" s="56">
        <v>589</v>
      </c>
      <c r="L200" s="56">
        <v>4042</v>
      </c>
      <c r="M200" s="56">
        <v>10653</v>
      </c>
      <c r="N200" s="56">
        <v>6838</v>
      </c>
      <c r="O200" s="56">
        <v>8566</v>
      </c>
      <c r="P200" s="56">
        <v>8386</v>
      </c>
      <c r="Q200" s="56">
        <v>5846</v>
      </c>
      <c r="R200" s="16">
        <f t="shared" si="13"/>
        <v>19266</v>
      </c>
      <c r="T200" s="144">
        <f t="shared" si="10"/>
        <v>38246</v>
      </c>
      <c r="U200" s="156"/>
      <c r="V200" s="61"/>
      <c r="W200" s="156"/>
      <c r="X200" s="156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18"/>
      <c r="AR200" s="18"/>
      <c r="AS200" s="5">
        <v>20079</v>
      </c>
      <c r="AT200" s="5">
        <f t="shared" si="11"/>
        <v>16427.75</v>
      </c>
      <c r="AU200" s="71">
        <f t="shared" si="12"/>
        <v>73.624120467888673</v>
      </c>
    </row>
    <row r="201" spans="1:47" ht="15.6" x14ac:dyDescent="0.3">
      <c r="A201" s="55">
        <v>37567</v>
      </c>
      <c r="B201" s="56">
        <v>1384</v>
      </c>
      <c r="C201" s="56">
        <v>3740</v>
      </c>
      <c r="D201" s="56">
        <v>723</v>
      </c>
      <c r="E201" s="56">
        <v>1224</v>
      </c>
      <c r="F201" s="56">
        <v>1625</v>
      </c>
      <c r="G201" s="56">
        <v>3090</v>
      </c>
      <c r="H201" s="56">
        <v>741</v>
      </c>
      <c r="I201" s="56">
        <v>1612</v>
      </c>
      <c r="J201" s="56">
        <v>183</v>
      </c>
      <c r="K201" s="56">
        <v>404</v>
      </c>
      <c r="L201" s="56">
        <v>4655</v>
      </c>
      <c r="M201" s="56">
        <v>10069</v>
      </c>
      <c r="N201" s="56">
        <v>7986</v>
      </c>
      <c r="O201" s="56">
        <v>6497</v>
      </c>
      <c r="P201" s="56">
        <v>7403</v>
      </c>
      <c r="Q201" s="56">
        <v>5601</v>
      </c>
      <c r="R201" s="16">
        <f t="shared" si="13"/>
        <v>20044</v>
      </c>
      <c r="T201" s="144">
        <f t="shared" si="10"/>
        <v>38253</v>
      </c>
      <c r="U201" s="156"/>
      <c r="V201" s="61"/>
      <c r="W201" s="156"/>
      <c r="X201" s="156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18"/>
      <c r="AR201" s="18"/>
      <c r="AS201" s="5">
        <v>20154</v>
      </c>
      <c r="AT201" s="5">
        <f t="shared" si="11"/>
        <v>19397.75</v>
      </c>
      <c r="AU201" s="71">
        <f t="shared" si="12"/>
        <v>84.566004010811753</v>
      </c>
    </row>
    <row r="202" spans="1:47" ht="15.6" x14ac:dyDescent="0.3">
      <c r="A202" s="55">
        <v>37210</v>
      </c>
      <c r="B202" s="56">
        <v>1377</v>
      </c>
      <c r="C202" s="56">
        <v>3725</v>
      </c>
      <c r="D202" s="56">
        <v>766</v>
      </c>
      <c r="E202" s="56">
        <v>2767</v>
      </c>
      <c r="F202" s="56">
        <v>1095</v>
      </c>
      <c r="G202" s="56">
        <v>2490</v>
      </c>
      <c r="H202" s="56">
        <v>563</v>
      </c>
      <c r="I202" s="56">
        <v>1546</v>
      </c>
      <c r="J202" s="56">
        <v>236</v>
      </c>
      <c r="K202" s="56">
        <v>612</v>
      </c>
      <c r="L202" s="56">
        <v>4037</v>
      </c>
      <c r="M202" s="56">
        <v>11139</v>
      </c>
      <c r="N202" s="56">
        <v>6824</v>
      </c>
      <c r="O202" s="56">
        <v>9261</v>
      </c>
      <c r="P202" s="56">
        <v>8904</v>
      </c>
      <c r="Q202" s="56">
        <v>6732</v>
      </c>
      <c r="R202" s="16">
        <f t="shared" si="13"/>
        <v>19765</v>
      </c>
      <c r="T202" s="144">
        <f t="shared" ref="T202:T265" si="14">T201+7</f>
        <v>38260</v>
      </c>
      <c r="U202" s="156"/>
      <c r="V202" s="61"/>
      <c r="W202" s="156"/>
      <c r="X202" s="156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18"/>
      <c r="AR202" s="18"/>
      <c r="AS202" s="5">
        <v>20407</v>
      </c>
      <c r="AT202" s="5">
        <f t="shared" si="11"/>
        <v>19901.5</v>
      </c>
      <c r="AU202" s="71">
        <f t="shared" si="12"/>
        <v>86.479381219310824</v>
      </c>
    </row>
    <row r="203" spans="1:47" ht="15.6" x14ac:dyDescent="0.3">
      <c r="A203" s="55">
        <v>37574</v>
      </c>
      <c r="B203" s="56">
        <v>1427</v>
      </c>
      <c r="C203" s="56">
        <v>3887</v>
      </c>
      <c r="D203" s="56">
        <v>789</v>
      </c>
      <c r="E203" s="56">
        <v>1282</v>
      </c>
      <c r="F203" s="56">
        <v>1555</v>
      </c>
      <c r="G203" s="56">
        <v>3293</v>
      </c>
      <c r="H203" s="56">
        <v>876</v>
      </c>
      <c r="I203" s="56">
        <v>1647</v>
      </c>
      <c r="J203" s="56">
        <v>165</v>
      </c>
      <c r="K203" s="56">
        <v>426</v>
      </c>
      <c r="L203" s="56">
        <v>4812</v>
      </c>
      <c r="M203" s="56">
        <v>10535</v>
      </c>
      <c r="N203" s="56">
        <v>8119</v>
      </c>
      <c r="O203" s="56">
        <v>7302</v>
      </c>
      <c r="P203" s="56">
        <v>7513</v>
      </c>
      <c r="Q203" s="56">
        <v>6660</v>
      </c>
      <c r="R203" s="16">
        <f t="shared" si="13"/>
        <v>20444</v>
      </c>
      <c r="T203" s="144">
        <f t="shared" si="14"/>
        <v>38267</v>
      </c>
      <c r="U203" s="156"/>
      <c r="V203" s="61"/>
      <c r="W203" s="156"/>
      <c r="X203" s="156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18"/>
      <c r="AR203" s="18"/>
      <c r="AS203" s="5">
        <v>21498</v>
      </c>
      <c r="AT203" s="5">
        <f t="shared" si="11"/>
        <v>20534.5</v>
      </c>
      <c r="AU203" s="71">
        <f t="shared" si="12"/>
        <v>84.930515344528075</v>
      </c>
    </row>
    <row r="204" spans="1:47" ht="15.6" x14ac:dyDescent="0.3">
      <c r="A204" s="55">
        <v>37217</v>
      </c>
      <c r="B204" s="56">
        <v>1334</v>
      </c>
      <c r="C204" s="56">
        <v>3983</v>
      </c>
      <c r="D204" s="56">
        <v>695</v>
      </c>
      <c r="E204" s="56">
        <v>2905</v>
      </c>
      <c r="F204" s="56">
        <v>1068</v>
      </c>
      <c r="G204" s="56">
        <v>2563</v>
      </c>
      <c r="H204" s="56">
        <v>542</v>
      </c>
      <c r="I204" s="56">
        <v>1608</v>
      </c>
      <c r="J204" s="56">
        <v>231</v>
      </c>
      <c r="K204" s="56">
        <v>621</v>
      </c>
      <c r="L204" s="56">
        <v>3870</v>
      </c>
      <c r="M204" s="56">
        <v>11680</v>
      </c>
      <c r="N204" s="56">
        <v>6603</v>
      </c>
      <c r="O204" s="56">
        <v>10131</v>
      </c>
      <c r="P204" s="56">
        <v>8608</v>
      </c>
      <c r="Q204" s="56">
        <v>8029</v>
      </c>
      <c r="R204" s="16">
        <f t="shared" si="13"/>
        <v>19081</v>
      </c>
      <c r="T204" s="144">
        <f t="shared" si="14"/>
        <v>38274</v>
      </c>
      <c r="U204" s="156"/>
      <c r="V204" s="61"/>
      <c r="W204" s="156"/>
      <c r="X204" s="156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18"/>
      <c r="AR204" s="18"/>
      <c r="AS204" s="5">
        <v>21996</v>
      </c>
      <c r="AT204" s="5">
        <f t="shared" si="11"/>
        <v>21013.75</v>
      </c>
      <c r="AU204" s="71">
        <f t="shared" si="12"/>
        <v>86.715429373168817</v>
      </c>
    </row>
    <row r="205" spans="1:47" ht="15.6" x14ac:dyDescent="0.3">
      <c r="A205" s="55">
        <v>37581</v>
      </c>
      <c r="B205" s="56">
        <v>1276</v>
      </c>
      <c r="C205" s="56">
        <v>4074</v>
      </c>
      <c r="D205" s="56">
        <v>787</v>
      </c>
      <c r="E205" s="56">
        <v>1317</v>
      </c>
      <c r="F205" s="56">
        <v>1557</v>
      </c>
      <c r="G205" s="56">
        <v>3476</v>
      </c>
      <c r="H205" s="56">
        <v>852</v>
      </c>
      <c r="I205" s="56">
        <v>1733</v>
      </c>
      <c r="J205" s="56">
        <v>162</v>
      </c>
      <c r="K205" s="56">
        <v>442</v>
      </c>
      <c r="L205" s="56">
        <v>4633</v>
      </c>
      <c r="M205" s="56">
        <v>11042</v>
      </c>
      <c r="N205" s="56">
        <v>8308</v>
      </c>
      <c r="O205" s="56">
        <v>8275</v>
      </c>
      <c r="P205" s="56">
        <v>7603</v>
      </c>
      <c r="Q205" s="56">
        <v>7569</v>
      </c>
      <c r="R205" s="16">
        <f t="shared" si="13"/>
        <v>20544</v>
      </c>
      <c r="T205" s="144">
        <f t="shared" si="14"/>
        <v>38281</v>
      </c>
      <c r="U205" s="156"/>
      <c r="V205" s="61"/>
      <c r="W205" s="156"/>
      <c r="X205" s="156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18"/>
      <c r="AR205" s="18"/>
      <c r="AS205" s="5">
        <v>21770</v>
      </c>
      <c r="AT205" s="5">
        <f t="shared" si="11"/>
        <v>21417.75</v>
      </c>
      <c r="AU205" s="71">
        <f t="shared" si="12"/>
        <v>86.571341956345989</v>
      </c>
    </row>
    <row r="206" spans="1:47" ht="15.6" x14ac:dyDescent="0.3">
      <c r="A206" s="55">
        <v>37224</v>
      </c>
      <c r="B206" s="56">
        <v>1241</v>
      </c>
      <c r="C206" s="56">
        <v>4231</v>
      </c>
      <c r="D206" s="56">
        <v>679</v>
      </c>
      <c r="E206" s="56">
        <v>3004</v>
      </c>
      <c r="F206" s="56">
        <v>1068</v>
      </c>
      <c r="G206" s="56">
        <v>2751</v>
      </c>
      <c r="H206" s="56">
        <v>549</v>
      </c>
      <c r="I206" s="56">
        <v>1708</v>
      </c>
      <c r="J206" s="56">
        <v>275</v>
      </c>
      <c r="K206" s="56">
        <v>623</v>
      </c>
      <c r="L206" s="56">
        <v>3812</v>
      </c>
      <c r="M206" s="56">
        <v>12316</v>
      </c>
      <c r="N206" s="56">
        <v>7635</v>
      </c>
      <c r="O206" s="56">
        <v>10618</v>
      </c>
      <c r="P206" s="56">
        <v>8499</v>
      </c>
      <c r="Q206" s="56">
        <v>8992</v>
      </c>
      <c r="R206" s="16">
        <f t="shared" si="13"/>
        <v>19946</v>
      </c>
      <c r="T206" s="144">
        <f t="shared" si="14"/>
        <v>38288</v>
      </c>
      <c r="U206" s="156"/>
      <c r="V206" s="61"/>
      <c r="W206" s="156"/>
      <c r="X206" s="156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18"/>
      <c r="AR206" s="18"/>
      <c r="AS206" s="5">
        <v>21129</v>
      </c>
      <c r="AT206" s="5">
        <f t="shared" si="11"/>
        <v>21598.25</v>
      </c>
      <c r="AU206" s="71">
        <f t="shared" si="12"/>
        <v>82.786806700141824</v>
      </c>
    </row>
    <row r="207" spans="1:47" ht="15.6" x14ac:dyDescent="0.3">
      <c r="A207" s="55">
        <v>37588</v>
      </c>
      <c r="B207" s="56">
        <v>1205</v>
      </c>
      <c r="C207" s="56">
        <v>4277</v>
      </c>
      <c r="D207" s="56">
        <v>755</v>
      </c>
      <c r="E207" s="56">
        <v>1362</v>
      </c>
      <c r="F207" s="56">
        <v>1443</v>
      </c>
      <c r="G207" s="56">
        <v>3602</v>
      </c>
      <c r="H207" s="56">
        <v>795</v>
      </c>
      <c r="I207" s="56">
        <v>1802</v>
      </c>
      <c r="J207" s="56">
        <v>158</v>
      </c>
      <c r="K207" s="56">
        <v>446</v>
      </c>
      <c r="L207" s="56">
        <v>4355</v>
      </c>
      <c r="M207" s="56">
        <v>11488</v>
      </c>
      <c r="N207" s="56">
        <v>7922</v>
      </c>
      <c r="O207" s="56">
        <v>9334</v>
      </c>
      <c r="P207" s="56">
        <v>7483</v>
      </c>
      <c r="Q207" s="56">
        <v>8380</v>
      </c>
      <c r="R207" s="16">
        <f t="shared" si="13"/>
        <v>19760</v>
      </c>
      <c r="T207" s="144">
        <f t="shared" si="14"/>
        <v>38295</v>
      </c>
      <c r="U207" s="156"/>
      <c r="V207" s="61"/>
      <c r="W207" s="156"/>
      <c r="X207" s="156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18"/>
      <c r="AR207" s="18"/>
      <c r="AS207" s="5">
        <v>20618</v>
      </c>
      <c r="AT207" s="5">
        <f t="shared" si="11"/>
        <v>21378.25</v>
      </c>
      <c r="AU207" s="71">
        <f t="shared" si="12"/>
        <v>84.10673538437328</v>
      </c>
    </row>
    <row r="208" spans="1:47" ht="15.6" x14ac:dyDescent="0.3">
      <c r="A208" s="55">
        <v>37231</v>
      </c>
      <c r="B208" s="56">
        <v>1251</v>
      </c>
      <c r="C208" s="56">
        <v>4412</v>
      </c>
      <c r="D208" s="56">
        <v>563</v>
      </c>
      <c r="E208" s="56">
        <v>3175</v>
      </c>
      <c r="F208" s="56">
        <v>1050</v>
      </c>
      <c r="G208" s="56">
        <v>2938</v>
      </c>
      <c r="H208" s="56">
        <v>533</v>
      </c>
      <c r="I208" s="56">
        <v>1767</v>
      </c>
      <c r="J208" s="56">
        <v>216</v>
      </c>
      <c r="K208" s="56">
        <v>689</v>
      </c>
      <c r="L208" s="56">
        <v>3614</v>
      </c>
      <c r="M208" s="56">
        <v>12981</v>
      </c>
      <c r="N208" s="56">
        <v>7541</v>
      </c>
      <c r="O208" s="56">
        <v>11595</v>
      </c>
      <c r="P208" s="56">
        <v>8468</v>
      </c>
      <c r="Q208" s="56">
        <v>9828</v>
      </c>
      <c r="R208" s="16">
        <f t="shared" si="13"/>
        <v>19623</v>
      </c>
      <c r="T208" s="144">
        <f t="shared" si="14"/>
        <v>38302</v>
      </c>
      <c r="U208" s="156"/>
      <c r="V208" s="61"/>
      <c r="W208" s="156"/>
      <c r="X208" s="156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18"/>
      <c r="AR208" s="18"/>
      <c r="AS208" s="5">
        <v>19971</v>
      </c>
      <c r="AT208" s="5">
        <f t="shared" si="11"/>
        <v>20872</v>
      </c>
      <c r="AU208" s="71">
        <f t="shared" si="12"/>
        <v>81.17294753626571</v>
      </c>
    </row>
    <row r="209" spans="1:47" ht="15.6" x14ac:dyDescent="0.3">
      <c r="A209" s="55">
        <v>37595</v>
      </c>
      <c r="B209" s="56">
        <v>1154</v>
      </c>
      <c r="C209" s="56">
        <v>4362</v>
      </c>
      <c r="D209" s="56">
        <v>726</v>
      </c>
      <c r="E209" s="56">
        <v>1412</v>
      </c>
      <c r="F209" s="56">
        <v>1389</v>
      </c>
      <c r="G209" s="56">
        <v>3735</v>
      </c>
      <c r="H209" s="56">
        <v>722</v>
      </c>
      <c r="I209" s="56">
        <v>1874</v>
      </c>
      <c r="J209" s="56">
        <v>153</v>
      </c>
      <c r="K209" s="56">
        <v>466</v>
      </c>
      <c r="L209" s="56">
        <v>4144</v>
      </c>
      <c r="M209" s="56">
        <v>11849</v>
      </c>
      <c r="N209" s="56">
        <v>7415</v>
      </c>
      <c r="O209" s="56">
        <v>10448</v>
      </c>
      <c r="P209" s="56">
        <v>7939</v>
      </c>
      <c r="Q209" s="56">
        <v>9247</v>
      </c>
      <c r="R209" s="16">
        <f t="shared" si="13"/>
        <v>19498</v>
      </c>
      <c r="T209" s="144">
        <f t="shared" si="14"/>
        <v>38309</v>
      </c>
      <c r="U209" s="156"/>
      <c r="V209" s="61"/>
      <c r="W209" s="156"/>
      <c r="X209" s="156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18"/>
      <c r="AR209" s="18"/>
      <c r="AS209" s="5">
        <v>20258</v>
      </c>
      <c r="AT209" s="5">
        <f t="shared" si="11"/>
        <v>20494</v>
      </c>
      <c r="AU209" s="71">
        <f t="shared" si="12"/>
        <v>77.540673477109351</v>
      </c>
    </row>
    <row r="210" spans="1:47" ht="15.6" x14ac:dyDescent="0.3">
      <c r="A210" s="55">
        <v>37238</v>
      </c>
      <c r="B210" s="56">
        <v>1231</v>
      </c>
      <c r="C210" s="56">
        <v>4667</v>
      </c>
      <c r="D210" s="56">
        <v>536</v>
      </c>
      <c r="E210" s="56">
        <v>3266</v>
      </c>
      <c r="F210" s="56">
        <v>1009</v>
      </c>
      <c r="G210" s="56">
        <v>3054</v>
      </c>
      <c r="H210" s="56">
        <v>590</v>
      </c>
      <c r="I210" s="56">
        <v>1800</v>
      </c>
      <c r="J210" s="56">
        <v>179</v>
      </c>
      <c r="K210" s="56">
        <v>730</v>
      </c>
      <c r="L210" s="56">
        <v>3546</v>
      </c>
      <c r="M210" s="56">
        <v>13517</v>
      </c>
      <c r="N210" s="56">
        <v>7399</v>
      </c>
      <c r="O210" s="56">
        <v>12339</v>
      </c>
      <c r="P210" s="56">
        <v>8794</v>
      </c>
      <c r="Q210" s="56">
        <v>10494</v>
      </c>
      <c r="R210" s="16">
        <f t="shared" si="13"/>
        <v>19739</v>
      </c>
      <c r="T210" s="144">
        <f t="shared" si="14"/>
        <v>38316</v>
      </c>
      <c r="U210" s="156"/>
      <c r="V210" s="61"/>
      <c r="W210" s="156"/>
      <c r="X210" s="156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18"/>
      <c r="AR210" s="18"/>
      <c r="AS210" s="5">
        <v>19368</v>
      </c>
      <c r="AT210" s="5">
        <f t="shared" si="11"/>
        <v>20053.75</v>
      </c>
      <c r="AU210" s="71">
        <f t="shared" si="12"/>
        <v>78.210923301326801</v>
      </c>
    </row>
    <row r="211" spans="1:47" ht="15.6" x14ac:dyDescent="0.3">
      <c r="A211" s="55">
        <v>37602</v>
      </c>
      <c r="B211" s="56">
        <v>1155</v>
      </c>
      <c r="C211" s="56">
        <v>4446</v>
      </c>
      <c r="D211" s="56">
        <v>765</v>
      </c>
      <c r="E211" s="56">
        <v>1436</v>
      </c>
      <c r="F211" s="56">
        <v>1266</v>
      </c>
      <c r="G211" s="56">
        <v>3901</v>
      </c>
      <c r="H211" s="56">
        <v>697</v>
      </c>
      <c r="I211" s="56">
        <v>1980</v>
      </c>
      <c r="J211" s="56">
        <v>137</v>
      </c>
      <c r="K211" s="56">
        <v>501</v>
      </c>
      <c r="L211" s="56">
        <v>4009</v>
      </c>
      <c r="M211" s="56">
        <v>12263</v>
      </c>
      <c r="N211" s="56">
        <v>7081</v>
      </c>
      <c r="O211" s="56">
        <v>11444</v>
      </c>
      <c r="P211" s="56">
        <v>8242</v>
      </c>
      <c r="Q211" s="56">
        <v>9990</v>
      </c>
      <c r="R211" s="16">
        <f t="shared" si="13"/>
        <v>19332</v>
      </c>
      <c r="T211" s="144">
        <f t="shared" si="14"/>
        <v>38323</v>
      </c>
      <c r="U211" s="156"/>
      <c r="V211" s="61"/>
      <c r="W211" s="156"/>
      <c r="X211" s="156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18"/>
      <c r="AR211" s="18"/>
      <c r="AS211" s="5">
        <v>18522</v>
      </c>
      <c r="AT211" s="5">
        <f t="shared" si="11"/>
        <v>19529.75</v>
      </c>
      <c r="AU211" s="71">
        <f t="shared" si="12"/>
        <v>78.443442076428113</v>
      </c>
    </row>
    <row r="212" spans="1:47" ht="15.6" x14ac:dyDescent="0.3">
      <c r="A212" s="55">
        <v>37245</v>
      </c>
      <c r="B212" s="56">
        <v>1254</v>
      </c>
      <c r="C212" s="56">
        <v>4821</v>
      </c>
      <c r="D212" s="56">
        <v>556</v>
      </c>
      <c r="E212" s="56">
        <v>3368</v>
      </c>
      <c r="F212" s="56">
        <v>965</v>
      </c>
      <c r="G212" s="56">
        <v>3163</v>
      </c>
      <c r="H212" s="56">
        <v>604</v>
      </c>
      <c r="I212" s="56">
        <v>1861</v>
      </c>
      <c r="J212" s="56">
        <v>118</v>
      </c>
      <c r="K212" s="56">
        <v>800</v>
      </c>
      <c r="L212" s="56">
        <v>3497</v>
      </c>
      <c r="M212" s="56">
        <v>14012</v>
      </c>
      <c r="N212" s="56">
        <v>7596</v>
      </c>
      <c r="O212" s="56">
        <v>13033</v>
      </c>
      <c r="P212" s="56">
        <v>8135</v>
      </c>
      <c r="Q212" s="56">
        <v>11722</v>
      </c>
      <c r="R212" s="16">
        <f t="shared" si="13"/>
        <v>19228</v>
      </c>
      <c r="T212" s="144">
        <f t="shared" si="14"/>
        <v>38330</v>
      </c>
      <c r="U212" s="156"/>
      <c r="V212" s="61"/>
      <c r="W212" s="156"/>
      <c r="X212" s="156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18"/>
      <c r="AR212" s="18"/>
      <c r="AS212" s="5">
        <v>17981</v>
      </c>
      <c r="AT212" s="5">
        <f t="shared" si="11"/>
        <v>19032.25</v>
      </c>
      <c r="AU212" s="71">
        <f t="shared" si="12"/>
        <v>76.857610144166699</v>
      </c>
    </row>
    <row r="213" spans="1:47" ht="15.6" x14ac:dyDescent="0.3">
      <c r="A213" s="55">
        <v>37609</v>
      </c>
      <c r="B213" s="56">
        <v>1172</v>
      </c>
      <c r="C213" s="56">
        <v>4506</v>
      </c>
      <c r="D213" s="56">
        <v>800</v>
      </c>
      <c r="E213" s="56">
        <v>1452</v>
      </c>
      <c r="F213" s="56">
        <v>1357</v>
      </c>
      <c r="G213" s="56">
        <v>3987</v>
      </c>
      <c r="H213" s="56">
        <v>679</v>
      </c>
      <c r="I213" s="56">
        <v>2029</v>
      </c>
      <c r="J213" s="56">
        <v>135</v>
      </c>
      <c r="K213" s="56">
        <v>506</v>
      </c>
      <c r="L213" s="56">
        <v>4143</v>
      </c>
      <c r="M213" s="56">
        <v>12480</v>
      </c>
      <c r="N213" s="56">
        <v>6635</v>
      </c>
      <c r="O213" s="56">
        <v>12568</v>
      </c>
      <c r="P213" s="56">
        <v>8749</v>
      </c>
      <c r="Q213" s="56">
        <v>10608</v>
      </c>
      <c r="R213" s="16">
        <f t="shared" si="13"/>
        <v>19527</v>
      </c>
      <c r="T213" s="144">
        <f t="shared" si="14"/>
        <v>38337</v>
      </c>
      <c r="U213" s="156"/>
      <c r="V213" s="61"/>
      <c r="W213" s="156"/>
      <c r="X213" s="156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18"/>
      <c r="AR213" s="18"/>
      <c r="AS213" s="5">
        <v>17761</v>
      </c>
      <c r="AT213" s="5">
        <f t="shared" si="11"/>
        <v>18408</v>
      </c>
      <c r="AU213" s="71">
        <f t="shared" si="12"/>
        <v>73.026464555902464</v>
      </c>
    </row>
    <row r="214" spans="1:47" ht="15.6" x14ac:dyDescent="0.3">
      <c r="A214" s="55">
        <v>37252</v>
      </c>
      <c r="B214" s="56">
        <v>1220</v>
      </c>
      <c r="C214" s="56">
        <v>4895</v>
      </c>
      <c r="D214" s="56">
        <v>623</v>
      </c>
      <c r="E214" s="56">
        <v>3403</v>
      </c>
      <c r="F214" s="56">
        <v>948</v>
      </c>
      <c r="G214" s="56">
        <v>3239</v>
      </c>
      <c r="H214" s="56">
        <v>563</v>
      </c>
      <c r="I214" s="56">
        <v>1902</v>
      </c>
      <c r="J214" s="56">
        <v>118</v>
      </c>
      <c r="K214" s="56">
        <v>800</v>
      </c>
      <c r="L214" s="56">
        <v>3472</v>
      </c>
      <c r="M214" s="56">
        <v>14238</v>
      </c>
      <c r="N214" s="56">
        <v>7347</v>
      </c>
      <c r="O214" s="56">
        <v>13825</v>
      </c>
      <c r="P214" s="56">
        <v>7821</v>
      </c>
      <c r="Q214" s="56">
        <v>12383</v>
      </c>
      <c r="R214" s="16">
        <f t="shared" si="13"/>
        <v>18640</v>
      </c>
      <c r="T214" s="144">
        <f t="shared" si="14"/>
        <v>38344</v>
      </c>
      <c r="U214" s="156"/>
      <c r="V214" s="61"/>
      <c r="W214" s="156"/>
      <c r="X214" s="156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18"/>
      <c r="AR214" s="18"/>
      <c r="AS214" s="5">
        <v>17388</v>
      </c>
      <c r="AT214" s="5">
        <f t="shared" si="11"/>
        <v>17913</v>
      </c>
      <c r="AU214" s="71">
        <f t="shared" si="12"/>
        <v>71.809981960312683</v>
      </c>
    </row>
    <row r="215" spans="1:47" ht="15.6" x14ac:dyDescent="0.3">
      <c r="A215" s="55">
        <v>37616</v>
      </c>
      <c r="B215" s="56">
        <v>1083</v>
      </c>
      <c r="C215" s="56">
        <v>4581</v>
      </c>
      <c r="D215" s="56">
        <v>730</v>
      </c>
      <c r="E215" s="56">
        <v>1546</v>
      </c>
      <c r="F215" s="56">
        <v>1230</v>
      </c>
      <c r="G215" s="56">
        <v>4104</v>
      </c>
      <c r="H215" s="56">
        <v>618</v>
      </c>
      <c r="I215" s="56">
        <v>2068</v>
      </c>
      <c r="J215" s="56">
        <v>123</v>
      </c>
      <c r="K215" s="56">
        <v>518</v>
      </c>
      <c r="L215" s="56">
        <v>3783</v>
      </c>
      <c r="M215" s="56">
        <v>12818</v>
      </c>
      <c r="N215" s="56">
        <v>6561</v>
      </c>
      <c r="O215" s="56">
        <v>13037</v>
      </c>
      <c r="P215" s="56">
        <v>8262</v>
      </c>
      <c r="Q215" s="56">
        <v>11347</v>
      </c>
      <c r="R215" s="16">
        <f t="shared" si="13"/>
        <v>18606</v>
      </c>
      <c r="T215" s="144">
        <f t="shared" si="14"/>
        <v>38351</v>
      </c>
      <c r="U215" s="156"/>
      <c r="V215" s="61"/>
      <c r="W215" s="156"/>
      <c r="X215" s="156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18"/>
      <c r="AR215" s="18"/>
      <c r="AS215" s="5">
        <v>16240</v>
      </c>
      <c r="AT215" s="5">
        <f t="shared" si="11"/>
        <v>17342.5</v>
      </c>
      <c r="AU215" s="71">
        <f t="shared" si="12"/>
        <v>73.923699914748511</v>
      </c>
    </row>
    <row r="216" spans="1:47" ht="15.6" x14ac:dyDescent="0.3">
      <c r="A216" s="55">
        <v>37259</v>
      </c>
      <c r="B216" s="56">
        <v>1124</v>
      </c>
      <c r="C216" s="56">
        <v>5046</v>
      </c>
      <c r="D216" s="56">
        <v>633</v>
      </c>
      <c r="E216" s="56">
        <v>3534</v>
      </c>
      <c r="F216" s="56">
        <v>936</v>
      </c>
      <c r="G216" s="56">
        <v>3316</v>
      </c>
      <c r="H216" s="56">
        <v>617</v>
      </c>
      <c r="I216" s="56">
        <v>1934</v>
      </c>
      <c r="J216" s="56">
        <v>124</v>
      </c>
      <c r="K216" s="56">
        <v>800</v>
      </c>
      <c r="L216" s="56">
        <v>3433</v>
      </c>
      <c r="M216" s="56">
        <v>14629</v>
      </c>
      <c r="N216" s="56">
        <v>6830</v>
      </c>
      <c r="O216" s="56">
        <v>14456</v>
      </c>
      <c r="P216" s="56">
        <v>7739</v>
      </c>
      <c r="Q216" s="56">
        <v>12986</v>
      </c>
      <c r="R216" s="16">
        <f t="shared" si="13"/>
        <v>18002</v>
      </c>
      <c r="T216" s="144">
        <f t="shared" si="14"/>
        <v>38358</v>
      </c>
      <c r="U216" s="154">
        <f>'copy data3'!B270</f>
        <v>1479</v>
      </c>
      <c r="V216" s="38">
        <f t="shared" ref="V216:V279" si="15">AVERAGE(U213:U216)</f>
        <v>1479</v>
      </c>
      <c r="W216" s="71" t="e">
        <f t="shared" ref="W216:W279" si="16">(V216/U164)*100</f>
        <v>#DIV/0!</v>
      </c>
      <c r="X216" s="154">
        <f>'copy data3'!D270</f>
        <v>367</v>
      </c>
      <c r="Y216" s="38">
        <f t="shared" ref="Y216:Y279" si="17">AVERAGE(X213:X216)</f>
        <v>367</v>
      </c>
      <c r="Z216" s="71" t="e">
        <f t="shared" ref="Z216:Z279" si="18">(Y216/X164)*100</f>
        <v>#DIV/0!</v>
      </c>
      <c r="AA216" s="152">
        <f>'copy data3'!F270</f>
        <v>1096</v>
      </c>
      <c r="AB216" s="38">
        <f t="shared" ref="AB216:AB279" si="19">AVERAGE(AA213:AA216)</f>
        <v>1096</v>
      </c>
      <c r="AC216" s="71" t="e">
        <f t="shared" ref="AC216:AC279" si="20">(AB216/AA164)*100</f>
        <v>#DIV/0!</v>
      </c>
      <c r="AD216" s="152">
        <f>'copy data3'!H270</f>
        <v>735</v>
      </c>
      <c r="AE216" s="38">
        <f t="shared" ref="AE216:AE279" si="21">AVERAGE(AD213:AD216)</f>
        <v>735</v>
      </c>
      <c r="AF216" s="71" t="e">
        <f t="shared" ref="AF216:AF279" si="22">(AE216/AD164)*100</f>
        <v>#DIV/0!</v>
      </c>
      <c r="AG216" s="152">
        <f>'copy data3'!J270</f>
        <v>115</v>
      </c>
      <c r="AH216" s="38">
        <f t="shared" ref="AH216:AH279" si="23">AVERAGE(AG213:AG216)</f>
        <v>115</v>
      </c>
      <c r="AI216" s="71" t="e">
        <f t="shared" ref="AI216:AI279" si="24">(AH216/AG164)*100</f>
        <v>#DIV/0!</v>
      </c>
      <c r="AJ216" s="152">
        <f>'copy data3'!L270</f>
        <v>3792</v>
      </c>
      <c r="AK216" s="38">
        <f t="shared" ref="AK216:AK279" si="25">AVERAGE(AJ213:AJ216)</f>
        <v>3792</v>
      </c>
      <c r="AL216" s="71" t="e">
        <f t="shared" ref="AL216:AL279" si="26">(AK216/AJ164)*100</f>
        <v>#DIV/0!</v>
      </c>
      <c r="AM216" s="152">
        <f>'copy data3'!N270</f>
        <v>6999</v>
      </c>
      <c r="AN216" s="38">
        <f t="shared" ref="AN216:AN279" si="27">AVERAGE(AM213:AM216)</f>
        <v>6999</v>
      </c>
      <c r="AO216" s="71" t="e">
        <f t="shared" ref="AO216:AO279" si="28">(AN216/AM164)*100</f>
        <v>#DIV/0!</v>
      </c>
      <c r="AP216" s="152">
        <f>'copy data3'!P270</f>
        <v>5692</v>
      </c>
      <c r="AQ216" s="38">
        <f t="shared" ref="AQ216:AQ279" si="29">AVERAGE(AP213:AP216)</f>
        <v>5692</v>
      </c>
      <c r="AR216" s="71" t="e">
        <f t="shared" ref="AR216:AR279" si="30">(AQ216/AP164)*100</f>
        <v>#DIV/0!</v>
      </c>
      <c r="AS216" s="153">
        <f>'copy data3'!R270</f>
        <v>16483</v>
      </c>
      <c r="AT216" s="38">
        <f t="shared" si="11"/>
        <v>16968</v>
      </c>
      <c r="AU216" s="71">
        <f t="shared" si="12"/>
        <v>74.339539978094194</v>
      </c>
    </row>
    <row r="217" spans="1:47" ht="15.6" x14ac:dyDescent="0.3">
      <c r="A217" s="55">
        <v>37623</v>
      </c>
      <c r="B217" s="56">
        <v>1017</v>
      </c>
      <c r="C217" s="56">
        <v>4682</v>
      </c>
      <c r="D217" s="56">
        <v>580</v>
      </c>
      <c r="E217" s="56">
        <v>1707</v>
      </c>
      <c r="F217" s="56">
        <v>1161</v>
      </c>
      <c r="G217" s="56">
        <v>4244</v>
      </c>
      <c r="H217" s="56">
        <v>535</v>
      </c>
      <c r="I217" s="56">
        <v>2181</v>
      </c>
      <c r="J217" s="56">
        <v>123</v>
      </c>
      <c r="K217" s="56">
        <v>518</v>
      </c>
      <c r="L217" s="56">
        <v>3415</v>
      </c>
      <c r="M217" s="56">
        <v>13332</v>
      </c>
      <c r="N217" s="56">
        <v>5860</v>
      </c>
      <c r="O217" s="56">
        <v>13997</v>
      </c>
      <c r="P217" s="56">
        <v>7980</v>
      </c>
      <c r="Q217" s="56">
        <v>12015</v>
      </c>
      <c r="R217" s="16">
        <f t="shared" si="13"/>
        <v>17255</v>
      </c>
      <c r="T217" s="144">
        <f t="shared" si="14"/>
        <v>38365</v>
      </c>
      <c r="U217" s="154">
        <f>'copy data3'!B271</f>
        <v>1448</v>
      </c>
      <c r="V217" s="38">
        <f t="shared" si="15"/>
        <v>1463.5</v>
      </c>
      <c r="W217" s="71" t="e">
        <f t="shared" si="16"/>
        <v>#DIV/0!</v>
      </c>
      <c r="X217" s="154">
        <f>'copy data3'!D271</f>
        <v>383</v>
      </c>
      <c r="Y217" s="38">
        <f t="shared" si="17"/>
        <v>375</v>
      </c>
      <c r="Z217" s="71" t="e">
        <f t="shared" si="18"/>
        <v>#DIV/0!</v>
      </c>
      <c r="AA217" s="152">
        <f>'copy data3'!F271</f>
        <v>1230</v>
      </c>
      <c r="AB217" s="38">
        <f t="shared" si="19"/>
        <v>1163</v>
      </c>
      <c r="AC217" s="71" t="e">
        <f t="shared" si="20"/>
        <v>#DIV/0!</v>
      </c>
      <c r="AD217" s="152">
        <f>'copy data3'!H271</f>
        <v>686</v>
      </c>
      <c r="AE217" s="38">
        <f t="shared" si="21"/>
        <v>710.5</v>
      </c>
      <c r="AF217" s="71" t="e">
        <f t="shared" si="22"/>
        <v>#DIV/0!</v>
      </c>
      <c r="AG217" s="152">
        <f>'copy data3'!J271</f>
        <v>129</v>
      </c>
      <c r="AH217" s="38">
        <f t="shared" si="23"/>
        <v>122</v>
      </c>
      <c r="AI217" s="71" t="e">
        <f t="shared" si="24"/>
        <v>#DIV/0!</v>
      </c>
      <c r="AJ217" s="152">
        <f>'copy data3'!L271</f>
        <v>3874</v>
      </c>
      <c r="AK217" s="38">
        <f t="shared" si="25"/>
        <v>3833</v>
      </c>
      <c r="AL217" s="71" t="e">
        <f t="shared" si="26"/>
        <v>#DIV/0!</v>
      </c>
      <c r="AM217" s="152">
        <f>'copy data3'!N271</f>
        <v>7157</v>
      </c>
      <c r="AN217" s="38">
        <f t="shared" si="27"/>
        <v>7078</v>
      </c>
      <c r="AO217" s="71" t="e">
        <f t="shared" si="28"/>
        <v>#DIV/0!</v>
      </c>
      <c r="AP217" s="152">
        <f>'copy data3'!P271</f>
        <v>5732</v>
      </c>
      <c r="AQ217" s="38">
        <f t="shared" si="29"/>
        <v>5712</v>
      </c>
      <c r="AR217" s="71" t="e">
        <f t="shared" si="30"/>
        <v>#DIV/0!</v>
      </c>
      <c r="AS217" s="153">
        <f>'copy data3'!R271</f>
        <v>16763</v>
      </c>
      <c r="AT217" s="38">
        <f t="shared" si="11"/>
        <v>16718.5</v>
      </c>
      <c r="AU217" s="71">
        <f t="shared" si="12"/>
        <v>85.88123491036113</v>
      </c>
    </row>
    <row r="218" spans="1:47" ht="15.6" x14ac:dyDescent="0.3">
      <c r="A218" s="55">
        <v>37266</v>
      </c>
      <c r="B218" s="56">
        <v>1003</v>
      </c>
      <c r="C218" s="56">
        <v>5279</v>
      </c>
      <c r="D218" s="56">
        <v>693</v>
      </c>
      <c r="E218" s="56">
        <v>3568</v>
      </c>
      <c r="F218" s="56">
        <v>943</v>
      </c>
      <c r="G218" s="56">
        <v>3404</v>
      </c>
      <c r="H218" s="56">
        <v>592</v>
      </c>
      <c r="I218" s="56">
        <v>1996</v>
      </c>
      <c r="J218" s="56">
        <v>124</v>
      </c>
      <c r="K218" s="56">
        <v>800</v>
      </c>
      <c r="L218" s="56">
        <v>3354</v>
      </c>
      <c r="M218" s="56">
        <v>15046</v>
      </c>
      <c r="N218" s="56">
        <v>7110</v>
      </c>
      <c r="O218" s="56">
        <v>15092</v>
      </c>
      <c r="P218" s="56">
        <v>7816</v>
      </c>
      <c r="Q218" s="56">
        <v>14039</v>
      </c>
      <c r="R218" s="16">
        <f t="shared" si="13"/>
        <v>18280</v>
      </c>
      <c r="T218" s="144">
        <f t="shared" si="14"/>
        <v>38372</v>
      </c>
      <c r="U218" s="154">
        <f>'copy data3'!B272</f>
        <v>1386</v>
      </c>
      <c r="V218" s="38">
        <f t="shared" si="15"/>
        <v>1437.6666666666667</v>
      </c>
      <c r="W218" s="71" t="e">
        <f t="shared" si="16"/>
        <v>#DIV/0!</v>
      </c>
      <c r="X218" s="154">
        <f>'copy data3'!D272</f>
        <v>392</v>
      </c>
      <c r="Y218" s="38">
        <f t="shared" si="17"/>
        <v>380.66666666666669</v>
      </c>
      <c r="Z218" s="71" t="e">
        <f t="shared" si="18"/>
        <v>#DIV/0!</v>
      </c>
      <c r="AA218" s="152">
        <f>'copy data3'!F272</f>
        <v>1192</v>
      </c>
      <c r="AB218" s="38">
        <f t="shared" si="19"/>
        <v>1172.6666666666667</v>
      </c>
      <c r="AC218" s="71" t="e">
        <f t="shared" si="20"/>
        <v>#DIV/0!</v>
      </c>
      <c r="AD218" s="152">
        <f>'copy data3'!H272</f>
        <v>590</v>
      </c>
      <c r="AE218" s="38">
        <f t="shared" si="21"/>
        <v>670.33333333333337</v>
      </c>
      <c r="AF218" s="71" t="e">
        <f t="shared" si="22"/>
        <v>#DIV/0!</v>
      </c>
      <c r="AG218" s="152">
        <f>'copy data3'!J272</f>
        <v>105</v>
      </c>
      <c r="AH218" s="38">
        <f t="shared" si="23"/>
        <v>116.33333333333333</v>
      </c>
      <c r="AI218" s="71" t="e">
        <f t="shared" si="24"/>
        <v>#DIV/0!</v>
      </c>
      <c r="AJ218" s="152">
        <f>'copy data3'!L272</f>
        <v>3664</v>
      </c>
      <c r="AK218" s="38">
        <f t="shared" si="25"/>
        <v>3776.6666666666665</v>
      </c>
      <c r="AL218" s="71" t="e">
        <f t="shared" si="26"/>
        <v>#DIV/0!</v>
      </c>
      <c r="AM218" s="152">
        <f>'copy data3'!N272</f>
        <v>6840</v>
      </c>
      <c r="AN218" s="38">
        <f t="shared" si="27"/>
        <v>6998.666666666667</v>
      </c>
      <c r="AO218" s="71" t="e">
        <f t="shared" si="28"/>
        <v>#DIV/0!</v>
      </c>
      <c r="AP218" s="152">
        <f>'copy data3'!P272</f>
        <v>5116</v>
      </c>
      <c r="AQ218" s="38">
        <f t="shared" si="29"/>
        <v>5513.333333333333</v>
      </c>
      <c r="AR218" s="71" t="e">
        <f t="shared" si="30"/>
        <v>#DIV/0!</v>
      </c>
      <c r="AS218" s="153">
        <f>'copy data3'!R272</f>
        <v>15620</v>
      </c>
      <c r="AT218" s="38">
        <f t="shared" si="11"/>
        <v>16276.5</v>
      </c>
      <c r="AU218" s="71">
        <f t="shared" si="12"/>
        <v>77.264312161777269</v>
      </c>
    </row>
    <row r="219" spans="1:47" ht="15.6" x14ac:dyDescent="0.3">
      <c r="A219" s="55">
        <v>37630</v>
      </c>
      <c r="B219" s="56">
        <v>951</v>
      </c>
      <c r="C219" s="56">
        <v>4785</v>
      </c>
      <c r="D219" s="56">
        <v>527</v>
      </c>
      <c r="E219" s="56">
        <v>1893</v>
      </c>
      <c r="F219" s="56">
        <v>1103</v>
      </c>
      <c r="G219" s="56">
        <v>4400</v>
      </c>
      <c r="H219" s="56">
        <v>526</v>
      </c>
      <c r="I219" s="56">
        <v>2309</v>
      </c>
      <c r="J219" s="56">
        <v>113</v>
      </c>
      <c r="K219" s="56">
        <v>525</v>
      </c>
      <c r="L219" s="56">
        <v>3220</v>
      </c>
      <c r="M219" s="56">
        <v>13911</v>
      </c>
      <c r="N219" s="56">
        <v>5635</v>
      </c>
      <c r="O219" s="56">
        <v>14848</v>
      </c>
      <c r="P219" s="56">
        <v>8278</v>
      </c>
      <c r="Q219" s="56">
        <v>13082</v>
      </c>
      <c r="R219" s="16">
        <f t="shared" si="13"/>
        <v>17133</v>
      </c>
      <c r="T219" s="144">
        <f t="shared" si="14"/>
        <v>38379</v>
      </c>
      <c r="U219" s="154">
        <f>'copy data3'!B273</f>
        <v>1562</v>
      </c>
      <c r="V219" s="38">
        <f t="shared" si="15"/>
        <v>1468.75</v>
      </c>
      <c r="W219" s="71" t="e">
        <f t="shared" si="16"/>
        <v>#DIV/0!</v>
      </c>
      <c r="X219" s="154">
        <f>'copy data3'!D273</f>
        <v>389</v>
      </c>
      <c r="Y219" s="38">
        <f t="shared" si="17"/>
        <v>382.75</v>
      </c>
      <c r="Z219" s="71" t="e">
        <f t="shared" si="18"/>
        <v>#DIV/0!</v>
      </c>
      <c r="AA219" s="152">
        <f>'copy data3'!F273</f>
        <v>1220</v>
      </c>
      <c r="AB219" s="38">
        <f t="shared" si="19"/>
        <v>1184.5</v>
      </c>
      <c r="AC219" s="71" t="e">
        <f t="shared" si="20"/>
        <v>#DIV/0!</v>
      </c>
      <c r="AD219" s="152">
        <f>'copy data3'!H273</f>
        <v>604</v>
      </c>
      <c r="AE219" s="38">
        <f t="shared" si="21"/>
        <v>653.75</v>
      </c>
      <c r="AF219" s="71" t="e">
        <f t="shared" si="22"/>
        <v>#DIV/0!</v>
      </c>
      <c r="AG219" s="152">
        <f>'copy data3'!J273</f>
        <v>111</v>
      </c>
      <c r="AH219" s="38">
        <f t="shared" si="23"/>
        <v>115</v>
      </c>
      <c r="AI219" s="71" t="e">
        <f t="shared" si="24"/>
        <v>#DIV/0!</v>
      </c>
      <c r="AJ219" s="152">
        <f>'copy data3'!L273</f>
        <v>3886</v>
      </c>
      <c r="AK219" s="38">
        <f t="shared" si="25"/>
        <v>3804</v>
      </c>
      <c r="AL219" s="71" t="e">
        <f t="shared" si="26"/>
        <v>#DIV/0!</v>
      </c>
      <c r="AM219" s="152">
        <f>'copy data3'!N273</f>
        <v>6257</v>
      </c>
      <c r="AN219" s="38">
        <f t="shared" si="27"/>
        <v>6813.25</v>
      </c>
      <c r="AO219" s="71" t="e">
        <f t="shared" si="28"/>
        <v>#DIV/0!</v>
      </c>
      <c r="AP219" s="152">
        <f>'copy data3'!P273</f>
        <v>4951</v>
      </c>
      <c r="AQ219" s="38">
        <f t="shared" si="29"/>
        <v>5372.75</v>
      </c>
      <c r="AR219" s="71" t="e">
        <f t="shared" si="30"/>
        <v>#DIV/0!</v>
      </c>
      <c r="AS219" s="153">
        <f>'copy data3'!R273</f>
        <v>15094</v>
      </c>
      <c r="AT219" s="38">
        <f t="shared" si="11"/>
        <v>15990</v>
      </c>
      <c r="AU219" s="71">
        <f t="shared" si="12"/>
        <v>77.216534672590299</v>
      </c>
    </row>
    <row r="220" spans="1:47" ht="15.6" x14ac:dyDescent="0.3">
      <c r="A220" s="55">
        <v>37273</v>
      </c>
      <c r="B220" s="56">
        <v>1192</v>
      </c>
      <c r="C220" s="56">
        <v>5454</v>
      </c>
      <c r="D220" s="56">
        <v>702</v>
      </c>
      <c r="E220" s="56">
        <v>3639</v>
      </c>
      <c r="F220" s="56">
        <v>934</v>
      </c>
      <c r="G220" s="56">
        <v>3554</v>
      </c>
      <c r="H220" s="56">
        <v>595</v>
      </c>
      <c r="I220" s="56">
        <v>2057</v>
      </c>
      <c r="J220" s="56">
        <v>132</v>
      </c>
      <c r="K220" s="56">
        <v>810</v>
      </c>
      <c r="L220" s="56">
        <v>3555</v>
      </c>
      <c r="M220" s="56">
        <v>15514</v>
      </c>
      <c r="N220" s="56">
        <v>7432</v>
      </c>
      <c r="O220" s="56">
        <v>16017</v>
      </c>
      <c r="P220" s="56">
        <v>7522</v>
      </c>
      <c r="Q220" s="56">
        <v>15087</v>
      </c>
      <c r="R220" s="16">
        <f t="shared" si="13"/>
        <v>18509</v>
      </c>
      <c r="T220" s="144">
        <f t="shared" si="14"/>
        <v>38386</v>
      </c>
      <c r="U220" s="154">
        <f>'copy data3'!B274</f>
        <v>1640</v>
      </c>
      <c r="V220" s="38">
        <f t="shared" si="15"/>
        <v>1509</v>
      </c>
      <c r="W220" s="71" t="e">
        <f t="shared" si="16"/>
        <v>#DIV/0!</v>
      </c>
      <c r="X220" s="154">
        <f>'copy data3'!D274</f>
        <v>389</v>
      </c>
      <c r="Y220" s="38">
        <f t="shared" si="17"/>
        <v>388.25</v>
      </c>
      <c r="Z220" s="71" t="e">
        <f t="shared" si="18"/>
        <v>#DIV/0!</v>
      </c>
      <c r="AA220" s="152">
        <f>'copy data3'!F274</f>
        <v>1249</v>
      </c>
      <c r="AB220" s="38">
        <f t="shared" si="19"/>
        <v>1222.75</v>
      </c>
      <c r="AC220" s="71" t="e">
        <f t="shared" si="20"/>
        <v>#DIV/0!</v>
      </c>
      <c r="AD220" s="152">
        <f>'copy data3'!H274</f>
        <v>616</v>
      </c>
      <c r="AE220" s="38">
        <f t="shared" si="21"/>
        <v>624</v>
      </c>
      <c r="AF220" s="71" t="e">
        <f t="shared" si="22"/>
        <v>#DIV/0!</v>
      </c>
      <c r="AG220" s="152">
        <f>'copy data3'!J274</f>
        <v>114</v>
      </c>
      <c r="AH220" s="38">
        <f t="shared" si="23"/>
        <v>114.75</v>
      </c>
      <c r="AI220" s="71" t="e">
        <f t="shared" si="24"/>
        <v>#DIV/0!</v>
      </c>
      <c r="AJ220" s="152">
        <f>'copy data3'!L274</f>
        <v>4007</v>
      </c>
      <c r="AK220" s="38">
        <f t="shared" si="25"/>
        <v>3857.75</v>
      </c>
      <c r="AL220" s="71" t="e">
        <f t="shared" si="26"/>
        <v>#DIV/0!</v>
      </c>
      <c r="AM220" s="152">
        <f>'copy data3'!N274</f>
        <v>6744</v>
      </c>
      <c r="AN220" s="38">
        <f t="shared" si="27"/>
        <v>6749.5</v>
      </c>
      <c r="AO220" s="71" t="e">
        <f t="shared" si="28"/>
        <v>#DIV/0!</v>
      </c>
      <c r="AP220" s="152">
        <f>'copy data3'!P274</f>
        <v>4807</v>
      </c>
      <c r="AQ220" s="38">
        <f t="shared" si="29"/>
        <v>5151.5</v>
      </c>
      <c r="AR220" s="71" t="e">
        <f t="shared" si="30"/>
        <v>#DIV/0!</v>
      </c>
      <c r="AS220" s="153">
        <f>'copy data3'!R274</f>
        <v>15558</v>
      </c>
      <c r="AT220" s="38">
        <f t="shared" si="11"/>
        <v>15758.75</v>
      </c>
      <c r="AU220" s="71">
        <f t="shared" si="12"/>
        <v>77.73269866324668</v>
      </c>
    </row>
    <row r="221" spans="1:47" ht="15.6" x14ac:dyDescent="0.3">
      <c r="A221" s="55">
        <v>37637</v>
      </c>
      <c r="B221" s="56">
        <v>1014</v>
      </c>
      <c r="C221" s="56">
        <v>4887</v>
      </c>
      <c r="D221" s="56">
        <v>497</v>
      </c>
      <c r="E221" s="56">
        <v>2004</v>
      </c>
      <c r="F221" s="56">
        <v>1147</v>
      </c>
      <c r="G221" s="56">
        <v>4478</v>
      </c>
      <c r="H221" s="56">
        <v>533</v>
      </c>
      <c r="I221" s="56">
        <v>2341</v>
      </c>
      <c r="J221" s="56">
        <v>116</v>
      </c>
      <c r="K221" s="56">
        <v>533</v>
      </c>
      <c r="L221" s="56">
        <v>3307</v>
      </c>
      <c r="M221" s="56">
        <v>14242</v>
      </c>
      <c r="N221" s="56">
        <v>5596</v>
      </c>
      <c r="O221" s="56">
        <v>15559</v>
      </c>
      <c r="P221" s="56">
        <v>7921</v>
      </c>
      <c r="Q221" s="56">
        <v>14011</v>
      </c>
      <c r="R221" s="16">
        <f t="shared" si="13"/>
        <v>16824</v>
      </c>
      <c r="T221" s="144">
        <f t="shared" si="14"/>
        <v>38393</v>
      </c>
      <c r="U221" s="154">
        <f>'copy data3'!B275</f>
        <v>1763</v>
      </c>
      <c r="V221" s="38">
        <f t="shared" si="15"/>
        <v>1587.75</v>
      </c>
      <c r="W221" s="71" t="e">
        <f t="shared" si="16"/>
        <v>#DIV/0!</v>
      </c>
      <c r="X221" s="154">
        <f>'copy data3'!D275</f>
        <v>379</v>
      </c>
      <c r="Y221" s="38">
        <f t="shared" si="17"/>
        <v>387.25</v>
      </c>
      <c r="Z221" s="71" t="e">
        <f t="shared" si="18"/>
        <v>#DIV/0!</v>
      </c>
      <c r="AA221" s="152">
        <f>'copy data3'!F275</f>
        <v>1297</v>
      </c>
      <c r="AB221" s="38">
        <f t="shared" si="19"/>
        <v>1239.5</v>
      </c>
      <c r="AC221" s="71" t="e">
        <f t="shared" si="20"/>
        <v>#DIV/0!</v>
      </c>
      <c r="AD221" s="152">
        <f>'copy data3'!H275</f>
        <v>597</v>
      </c>
      <c r="AE221" s="38">
        <f t="shared" si="21"/>
        <v>601.75</v>
      </c>
      <c r="AF221" s="71" t="e">
        <f t="shared" si="22"/>
        <v>#DIV/0!</v>
      </c>
      <c r="AG221" s="152">
        <f>'copy data3'!J275</f>
        <v>102</v>
      </c>
      <c r="AH221" s="38">
        <f t="shared" si="23"/>
        <v>108</v>
      </c>
      <c r="AI221" s="71" t="e">
        <f t="shared" si="24"/>
        <v>#DIV/0!</v>
      </c>
      <c r="AJ221" s="152">
        <f>'copy data3'!L275</f>
        <v>4138</v>
      </c>
      <c r="AK221" s="38">
        <f t="shared" si="25"/>
        <v>3923.75</v>
      </c>
      <c r="AL221" s="71" t="e">
        <f t="shared" si="26"/>
        <v>#DIV/0!</v>
      </c>
      <c r="AM221" s="152">
        <f>'copy data3'!N275</f>
        <v>6769</v>
      </c>
      <c r="AN221" s="38">
        <f t="shared" si="27"/>
        <v>6652.5</v>
      </c>
      <c r="AO221" s="71" t="e">
        <f t="shared" si="28"/>
        <v>#DIV/0!</v>
      </c>
      <c r="AP221" s="152">
        <f>'copy data3'!P275</f>
        <v>4387</v>
      </c>
      <c r="AQ221" s="38">
        <f t="shared" si="29"/>
        <v>4815.25</v>
      </c>
      <c r="AR221" s="71" t="e">
        <f t="shared" si="30"/>
        <v>#DIV/0!</v>
      </c>
      <c r="AS221" s="153">
        <f>'copy data3'!R275</f>
        <v>15294</v>
      </c>
      <c r="AT221" s="38">
        <f t="shared" si="11"/>
        <v>15391.5</v>
      </c>
      <c r="AU221" s="71">
        <f t="shared" si="12"/>
        <v>78.528061224489804</v>
      </c>
    </row>
    <row r="222" spans="1:47" ht="15.6" x14ac:dyDescent="0.3">
      <c r="A222" s="55">
        <v>37280</v>
      </c>
      <c r="B222" s="56">
        <v>1357</v>
      </c>
      <c r="C222" s="56">
        <v>5543</v>
      </c>
      <c r="D222" s="56">
        <v>675</v>
      </c>
      <c r="E222" s="56">
        <v>3731</v>
      </c>
      <c r="F222" s="56">
        <v>963</v>
      </c>
      <c r="G222" s="56">
        <v>3635</v>
      </c>
      <c r="H222" s="56">
        <v>505</v>
      </c>
      <c r="I222" s="56">
        <v>2211</v>
      </c>
      <c r="J222" s="56">
        <v>181</v>
      </c>
      <c r="K222" s="56">
        <v>812</v>
      </c>
      <c r="L222" s="56">
        <v>3681</v>
      </c>
      <c r="M222" s="56">
        <v>15931</v>
      </c>
      <c r="N222" s="56">
        <v>7414</v>
      </c>
      <c r="O222" s="56">
        <v>16777</v>
      </c>
      <c r="P222" s="56">
        <v>7306</v>
      </c>
      <c r="Q222" s="56">
        <v>16026</v>
      </c>
      <c r="R222" s="16">
        <f t="shared" si="13"/>
        <v>18401</v>
      </c>
      <c r="T222" s="144">
        <f t="shared" si="14"/>
        <v>38400</v>
      </c>
      <c r="U222" s="154">
        <f>'copy data3'!B276</f>
        <v>1679</v>
      </c>
      <c r="V222" s="38">
        <f t="shared" si="15"/>
        <v>1661</v>
      </c>
      <c r="W222" s="71" t="e">
        <f t="shared" si="16"/>
        <v>#DIV/0!</v>
      </c>
      <c r="X222" s="154">
        <f>'copy data3'!D276</f>
        <v>389</v>
      </c>
      <c r="Y222" s="38">
        <f t="shared" si="17"/>
        <v>386.5</v>
      </c>
      <c r="Z222" s="71" t="e">
        <f t="shared" si="18"/>
        <v>#DIV/0!</v>
      </c>
      <c r="AA222" s="152">
        <f>'copy data3'!F276</f>
        <v>1322</v>
      </c>
      <c r="AB222" s="38">
        <f t="shared" si="19"/>
        <v>1272</v>
      </c>
      <c r="AC222" s="71" t="e">
        <f t="shared" si="20"/>
        <v>#DIV/0!</v>
      </c>
      <c r="AD222" s="152">
        <f>'copy data3'!H276</f>
        <v>629</v>
      </c>
      <c r="AE222" s="38">
        <f t="shared" si="21"/>
        <v>611.5</v>
      </c>
      <c r="AF222" s="71" t="e">
        <f t="shared" si="22"/>
        <v>#DIV/0!</v>
      </c>
      <c r="AG222" s="152">
        <f>'copy data3'!J276</f>
        <v>112</v>
      </c>
      <c r="AH222" s="38">
        <f t="shared" si="23"/>
        <v>109.75</v>
      </c>
      <c r="AI222" s="71" t="e">
        <f t="shared" si="24"/>
        <v>#DIV/0!</v>
      </c>
      <c r="AJ222" s="152">
        <f>'copy data3'!L276</f>
        <v>4132</v>
      </c>
      <c r="AK222" s="38">
        <f t="shared" si="25"/>
        <v>4040.75</v>
      </c>
      <c r="AL222" s="71" t="e">
        <f t="shared" si="26"/>
        <v>#DIV/0!</v>
      </c>
      <c r="AM222" s="152">
        <f>'copy data3'!N276</f>
        <v>6996</v>
      </c>
      <c r="AN222" s="38">
        <f t="shared" si="27"/>
        <v>6691.5</v>
      </c>
      <c r="AO222" s="71" t="e">
        <f t="shared" si="28"/>
        <v>#DIV/0!</v>
      </c>
      <c r="AP222" s="152">
        <f>'copy data3'!P276</f>
        <v>3824</v>
      </c>
      <c r="AQ222" s="38">
        <f t="shared" si="29"/>
        <v>4492.25</v>
      </c>
      <c r="AR222" s="71" t="e">
        <f t="shared" si="30"/>
        <v>#DIV/0!</v>
      </c>
      <c r="AS222" s="153">
        <f>'copy data3'!R276</f>
        <v>14952</v>
      </c>
      <c r="AT222" s="38">
        <f t="shared" si="11"/>
        <v>15224.5</v>
      </c>
      <c r="AU222" s="71">
        <f t="shared" si="12"/>
        <v>79.910245643501995</v>
      </c>
    </row>
    <row r="223" spans="1:47" ht="15.6" x14ac:dyDescent="0.3">
      <c r="A223" s="55">
        <v>37644</v>
      </c>
      <c r="B223" s="56">
        <v>1066</v>
      </c>
      <c r="C223" s="56">
        <v>4937</v>
      </c>
      <c r="D223" s="56">
        <v>502</v>
      </c>
      <c r="E223" s="56">
        <v>2031</v>
      </c>
      <c r="F223" s="56">
        <v>1234</v>
      </c>
      <c r="G223" s="56">
        <v>4503</v>
      </c>
      <c r="H223" s="56">
        <v>587</v>
      </c>
      <c r="I223" s="56">
        <v>2346</v>
      </c>
      <c r="J223" s="56">
        <v>107</v>
      </c>
      <c r="K223" s="56">
        <v>555</v>
      </c>
      <c r="L223" s="56">
        <v>3496</v>
      </c>
      <c r="M223" s="56">
        <v>14370</v>
      </c>
      <c r="N223" s="56">
        <v>5219</v>
      </c>
      <c r="O223" s="56">
        <v>16266</v>
      </c>
      <c r="P223" s="56">
        <v>7524</v>
      </c>
      <c r="Q223" s="56">
        <v>15097</v>
      </c>
      <c r="R223" s="16">
        <f t="shared" si="13"/>
        <v>16239</v>
      </c>
      <c r="T223" s="144">
        <f t="shared" si="14"/>
        <v>38407</v>
      </c>
      <c r="U223" s="154">
        <f>'copy data3'!B277</f>
        <v>1637</v>
      </c>
      <c r="V223" s="38">
        <f t="shared" si="15"/>
        <v>1679.75</v>
      </c>
      <c r="W223" s="71" t="e">
        <f t="shared" si="16"/>
        <v>#DIV/0!</v>
      </c>
      <c r="X223" s="154">
        <f>'copy data3'!D277</f>
        <v>328</v>
      </c>
      <c r="Y223" s="38">
        <f t="shared" si="17"/>
        <v>371.25</v>
      </c>
      <c r="Z223" s="71" t="e">
        <f t="shared" si="18"/>
        <v>#DIV/0!</v>
      </c>
      <c r="AA223" s="152">
        <f>'copy data3'!F277</f>
        <v>1373</v>
      </c>
      <c r="AB223" s="38">
        <f t="shared" si="19"/>
        <v>1310.25</v>
      </c>
      <c r="AC223" s="71" t="e">
        <f t="shared" si="20"/>
        <v>#DIV/0!</v>
      </c>
      <c r="AD223" s="152">
        <f>'copy data3'!H277</f>
        <v>485</v>
      </c>
      <c r="AE223" s="38">
        <f t="shared" si="21"/>
        <v>581.75</v>
      </c>
      <c r="AF223" s="71" t="e">
        <f t="shared" si="22"/>
        <v>#DIV/0!</v>
      </c>
      <c r="AG223" s="152">
        <f>'copy data3'!J277</f>
        <v>112</v>
      </c>
      <c r="AH223" s="38">
        <f t="shared" si="23"/>
        <v>110</v>
      </c>
      <c r="AI223" s="71" t="e">
        <f t="shared" si="24"/>
        <v>#DIV/0!</v>
      </c>
      <c r="AJ223" s="152">
        <f>'copy data3'!L277</f>
        <v>3935</v>
      </c>
      <c r="AK223" s="38">
        <f t="shared" si="25"/>
        <v>4053</v>
      </c>
      <c r="AL223" s="71" t="e">
        <f t="shared" si="26"/>
        <v>#DIV/0!</v>
      </c>
      <c r="AM223" s="152">
        <f>'copy data3'!N277</f>
        <v>6950</v>
      </c>
      <c r="AN223" s="38">
        <f t="shared" si="27"/>
        <v>6864.75</v>
      </c>
      <c r="AO223" s="71" t="e">
        <f t="shared" si="28"/>
        <v>#DIV/0!</v>
      </c>
      <c r="AP223" s="152">
        <f>'copy data3'!P277</f>
        <v>3691</v>
      </c>
      <c r="AQ223" s="38">
        <f t="shared" si="29"/>
        <v>4177.25</v>
      </c>
      <c r="AR223" s="71" t="e">
        <f t="shared" si="30"/>
        <v>#DIV/0!</v>
      </c>
      <c r="AS223" s="153">
        <f>'copy data3'!R277</f>
        <v>14576</v>
      </c>
      <c r="AT223" s="38">
        <f t="shared" si="11"/>
        <v>15095</v>
      </c>
      <c r="AU223" s="71">
        <f t="shared" si="12"/>
        <v>80.122080679405514</v>
      </c>
    </row>
    <row r="224" spans="1:47" ht="15.6" x14ac:dyDescent="0.3">
      <c r="A224" s="55">
        <v>37287</v>
      </c>
      <c r="B224" s="56">
        <v>1324</v>
      </c>
      <c r="C224" s="56">
        <v>5762</v>
      </c>
      <c r="D224" s="56">
        <v>826</v>
      </c>
      <c r="E224" s="56">
        <v>3794</v>
      </c>
      <c r="F224" s="56">
        <v>878</v>
      </c>
      <c r="G224" s="56">
        <v>3815</v>
      </c>
      <c r="H224" s="56">
        <v>525</v>
      </c>
      <c r="I224" s="56">
        <v>2223</v>
      </c>
      <c r="J224" s="56">
        <v>206</v>
      </c>
      <c r="K224" s="56">
        <v>812</v>
      </c>
      <c r="L224" s="56">
        <v>3759</v>
      </c>
      <c r="M224" s="56">
        <v>16405</v>
      </c>
      <c r="N224" s="56">
        <v>7944</v>
      </c>
      <c r="O224" s="56">
        <v>17637</v>
      </c>
      <c r="P224" s="56">
        <v>6514</v>
      </c>
      <c r="Q224" s="56">
        <v>17122</v>
      </c>
      <c r="R224" s="16">
        <f t="shared" si="13"/>
        <v>18217</v>
      </c>
      <c r="T224" s="144">
        <f t="shared" si="14"/>
        <v>38414</v>
      </c>
      <c r="U224" s="154">
        <f>'copy data3'!B278</f>
        <v>1556</v>
      </c>
      <c r="V224" s="38">
        <f t="shared" si="15"/>
        <v>1658.75</v>
      </c>
      <c r="W224" s="71" t="e">
        <f t="shared" si="16"/>
        <v>#DIV/0!</v>
      </c>
      <c r="X224" s="154">
        <f>'copy data3'!D278</f>
        <v>271</v>
      </c>
      <c r="Y224" s="38">
        <f t="shared" si="17"/>
        <v>341.75</v>
      </c>
      <c r="Z224" s="71" t="e">
        <f t="shared" si="18"/>
        <v>#DIV/0!</v>
      </c>
      <c r="AA224" s="152">
        <f>'copy data3'!F278</f>
        <v>1400</v>
      </c>
      <c r="AB224" s="38">
        <f t="shared" si="19"/>
        <v>1348</v>
      </c>
      <c r="AC224" s="71" t="e">
        <f t="shared" si="20"/>
        <v>#DIV/0!</v>
      </c>
      <c r="AD224" s="152">
        <f>'copy data3'!H278</f>
        <v>517</v>
      </c>
      <c r="AE224" s="38">
        <f t="shared" si="21"/>
        <v>557</v>
      </c>
      <c r="AF224" s="71" t="e">
        <f t="shared" si="22"/>
        <v>#DIV/0!</v>
      </c>
      <c r="AG224" s="152">
        <f>'copy data3'!J278</f>
        <v>107</v>
      </c>
      <c r="AH224" s="38">
        <f t="shared" si="23"/>
        <v>108.25</v>
      </c>
      <c r="AI224" s="71" t="e">
        <f t="shared" si="24"/>
        <v>#DIV/0!</v>
      </c>
      <c r="AJ224" s="152">
        <f>'copy data3'!L278</f>
        <v>3851</v>
      </c>
      <c r="AK224" s="38">
        <f t="shared" si="25"/>
        <v>4014</v>
      </c>
      <c r="AL224" s="71" t="e">
        <f t="shared" si="26"/>
        <v>#DIV/0!</v>
      </c>
      <c r="AM224" s="152">
        <f>'copy data3'!N278</f>
        <v>6746</v>
      </c>
      <c r="AN224" s="38">
        <f t="shared" si="27"/>
        <v>6865.25</v>
      </c>
      <c r="AO224" s="71" t="e">
        <f t="shared" si="28"/>
        <v>#DIV/0!</v>
      </c>
      <c r="AP224" s="152">
        <f>'copy data3'!P278</f>
        <v>3662</v>
      </c>
      <c r="AQ224" s="38">
        <f t="shared" si="29"/>
        <v>3891</v>
      </c>
      <c r="AR224" s="71" t="e">
        <f t="shared" si="30"/>
        <v>#DIV/0!</v>
      </c>
      <c r="AS224" s="153">
        <f>'copy data3'!R278</f>
        <v>14259</v>
      </c>
      <c r="AT224" s="38">
        <f t="shared" si="11"/>
        <v>14770.25</v>
      </c>
      <c r="AU224" s="71">
        <f t="shared" si="12"/>
        <v>87.579306255558848</v>
      </c>
    </row>
    <row r="225" spans="1:47" ht="15.6" x14ac:dyDescent="0.3">
      <c r="A225" s="55">
        <v>37651</v>
      </c>
      <c r="B225" s="56">
        <v>1133</v>
      </c>
      <c r="C225" s="56">
        <v>4998</v>
      </c>
      <c r="D225" s="56">
        <v>425</v>
      </c>
      <c r="E225" s="56">
        <v>2137</v>
      </c>
      <c r="F225" s="56">
        <v>1226</v>
      </c>
      <c r="G225" s="56">
        <v>4603</v>
      </c>
      <c r="H225" s="56">
        <v>636</v>
      </c>
      <c r="I225" s="56">
        <v>2378</v>
      </c>
      <c r="J225" s="56">
        <v>111</v>
      </c>
      <c r="K225" s="56">
        <v>555</v>
      </c>
      <c r="L225" s="56">
        <v>3530</v>
      </c>
      <c r="M225" s="56">
        <v>14670</v>
      </c>
      <c r="N225" s="56">
        <v>5267</v>
      </c>
      <c r="O225" s="56">
        <v>16938</v>
      </c>
      <c r="P225" s="56">
        <v>6568</v>
      </c>
      <c r="Q225" s="56">
        <v>16602</v>
      </c>
      <c r="R225" s="16">
        <f t="shared" si="13"/>
        <v>15365</v>
      </c>
      <c r="T225" s="144">
        <f t="shared" si="14"/>
        <v>38421</v>
      </c>
      <c r="U225" s="154">
        <f>'copy data3'!B279</f>
        <v>1572</v>
      </c>
      <c r="V225" s="38">
        <f t="shared" si="15"/>
        <v>1611</v>
      </c>
      <c r="W225" s="71" t="e">
        <f t="shared" si="16"/>
        <v>#DIV/0!</v>
      </c>
      <c r="X225" s="154">
        <f>'copy data3'!D279</f>
        <v>268</v>
      </c>
      <c r="Y225" s="38">
        <f t="shared" si="17"/>
        <v>314</v>
      </c>
      <c r="Z225" s="71" t="e">
        <f t="shared" si="18"/>
        <v>#DIV/0!</v>
      </c>
      <c r="AA225" s="152">
        <f>'copy data3'!F279</f>
        <v>1536</v>
      </c>
      <c r="AB225" s="38">
        <f t="shared" si="19"/>
        <v>1407.75</v>
      </c>
      <c r="AC225" s="71" t="e">
        <f t="shared" si="20"/>
        <v>#DIV/0!</v>
      </c>
      <c r="AD225" s="152">
        <f>'copy data3'!H279</f>
        <v>612</v>
      </c>
      <c r="AE225" s="38">
        <f t="shared" si="21"/>
        <v>560.75</v>
      </c>
      <c r="AF225" s="71" t="e">
        <f t="shared" si="22"/>
        <v>#DIV/0!</v>
      </c>
      <c r="AG225" s="152">
        <f>'copy data3'!J279</f>
        <v>79</v>
      </c>
      <c r="AH225" s="38">
        <f t="shared" si="23"/>
        <v>102.5</v>
      </c>
      <c r="AI225" s="71" t="e">
        <f t="shared" si="24"/>
        <v>#DIV/0!</v>
      </c>
      <c r="AJ225" s="152">
        <f>'copy data3'!L279</f>
        <v>4068</v>
      </c>
      <c r="AK225" s="38">
        <f t="shared" si="25"/>
        <v>3996.5</v>
      </c>
      <c r="AL225" s="71" t="e">
        <f t="shared" si="26"/>
        <v>#DIV/0!</v>
      </c>
      <c r="AM225" s="152">
        <f>'copy data3'!N279</f>
        <v>7002</v>
      </c>
      <c r="AN225" s="38">
        <f t="shared" si="27"/>
        <v>6923.5</v>
      </c>
      <c r="AO225" s="71" t="e">
        <f t="shared" si="28"/>
        <v>#DIV/0!</v>
      </c>
      <c r="AP225" s="152">
        <f>'copy data3'!P279</f>
        <v>3241</v>
      </c>
      <c r="AQ225" s="38">
        <f t="shared" si="29"/>
        <v>3604.5</v>
      </c>
      <c r="AR225" s="71" t="e">
        <f t="shared" si="30"/>
        <v>#DIV/0!</v>
      </c>
      <c r="AS225" s="153">
        <f>'copy data3'!R279</f>
        <v>14311</v>
      </c>
      <c r="AT225" s="38">
        <f t="shared" si="11"/>
        <v>14524.5</v>
      </c>
      <c r="AU225" s="71">
        <f t="shared" si="12"/>
        <v>87.181872749099639</v>
      </c>
    </row>
    <row r="226" spans="1:47" ht="15.6" x14ac:dyDescent="0.3">
      <c r="A226" s="55">
        <v>37294</v>
      </c>
      <c r="B226" s="56">
        <v>1284</v>
      </c>
      <c r="C226" s="56">
        <v>5904</v>
      </c>
      <c r="D226" s="56">
        <v>794</v>
      </c>
      <c r="E226" s="56">
        <v>3900</v>
      </c>
      <c r="F226" s="56">
        <v>917</v>
      </c>
      <c r="G226" s="56">
        <v>3905</v>
      </c>
      <c r="H226" s="56">
        <v>583</v>
      </c>
      <c r="I226" s="56">
        <v>2290</v>
      </c>
      <c r="J226" s="56">
        <v>186</v>
      </c>
      <c r="K226" s="56">
        <v>838</v>
      </c>
      <c r="L226" s="56">
        <v>3764</v>
      </c>
      <c r="M226" s="56">
        <v>16838</v>
      </c>
      <c r="N226" s="56">
        <v>8339</v>
      </c>
      <c r="O226" s="56">
        <v>18297</v>
      </c>
      <c r="P226" s="56">
        <v>5909</v>
      </c>
      <c r="Q226" s="56">
        <v>17845</v>
      </c>
      <c r="R226" s="16">
        <f t="shared" si="13"/>
        <v>18012</v>
      </c>
      <c r="T226" s="144">
        <f t="shared" si="14"/>
        <v>38428</v>
      </c>
      <c r="U226" s="154">
        <f>'copy data3'!B280</f>
        <v>1576</v>
      </c>
      <c r="V226" s="38">
        <f t="shared" si="15"/>
        <v>1585.25</v>
      </c>
      <c r="W226" s="71" t="e">
        <f t="shared" si="16"/>
        <v>#DIV/0!</v>
      </c>
      <c r="X226" s="154">
        <f>'copy data3'!D280</f>
        <v>241</v>
      </c>
      <c r="Y226" s="38">
        <f t="shared" si="17"/>
        <v>277</v>
      </c>
      <c r="Z226" s="71" t="e">
        <f t="shared" si="18"/>
        <v>#DIV/0!</v>
      </c>
      <c r="AA226" s="152">
        <f>'copy data3'!F280</f>
        <v>1343</v>
      </c>
      <c r="AB226" s="38">
        <f t="shared" si="19"/>
        <v>1413</v>
      </c>
      <c r="AC226" s="71" t="e">
        <f t="shared" si="20"/>
        <v>#DIV/0!</v>
      </c>
      <c r="AD226" s="152">
        <f>'copy data3'!H280</f>
        <v>499</v>
      </c>
      <c r="AE226" s="38">
        <f t="shared" si="21"/>
        <v>528.25</v>
      </c>
      <c r="AF226" s="71" t="e">
        <f t="shared" si="22"/>
        <v>#DIV/0!</v>
      </c>
      <c r="AG226" s="152">
        <f>'copy data3'!J280</f>
        <v>110</v>
      </c>
      <c r="AH226" s="38">
        <f t="shared" si="23"/>
        <v>102</v>
      </c>
      <c r="AI226" s="71" t="e">
        <f t="shared" si="24"/>
        <v>#DIV/0!</v>
      </c>
      <c r="AJ226" s="152">
        <f>'copy data3'!L280</f>
        <v>3769</v>
      </c>
      <c r="AK226" s="38">
        <f t="shared" si="25"/>
        <v>3905.75</v>
      </c>
      <c r="AL226" s="71" t="e">
        <f t="shared" si="26"/>
        <v>#DIV/0!</v>
      </c>
      <c r="AM226" s="152">
        <f>'copy data3'!N280</f>
        <v>7291</v>
      </c>
      <c r="AN226" s="38">
        <f t="shared" si="27"/>
        <v>6997.25</v>
      </c>
      <c r="AO226" s="71" t="e">
        <f t="shared" si="28"/>
        <v>#DIV/0!</v>
      </c>
      <c r="AP226" s="152">
        <f>'copy data3'!P280</f>
        <v>3046</v>
      </c>
      <c r="AQ226" s="38">
        <f t="shared" si="29"/>
        <v>3410</v>
      </c>
      <c r="AR226" s="71" t="e">
        <f t="shared" si="30"/>
        <v>#DIV/0!</v>
      </c>
      <c r="AS226" s="153">
        <f>'copy data3'!R280</f>
        <v>14106</v>
      </c>
      <c r="AT226" s="38">
        <f t="shared" si="11"/>
        <v>14313</v>
      </c>
      <c r="AU226" s="71">
        <f t="shared" si="12"/>
        <v>85.814497272018713</v>
      </c>
    </row>
    <row r="227" spans="1:47" ht="15.6" x14ac:dyDescent="0.3">
      <c r="A227" s="55">
        <v>37658</v>
      </c>
      <c r="B227" s="56">
        <v>1131</v>
      </c>
      <c r="C227" s="56">
        <v>5177</v>
      </c>
      <c r="D227" s="56">
        <v>493</v>
      </c>
      <c r="E227" s="56">
        <v>2150</v>
      </c>
      <c r="F227" s="56">
        <v>1123</v>
      </c>
      <c r="G227" s="56">
        <v>4742</v>
      </c>
      <c r="H227" s="56">
        <v>597</v>
      </c>
      <c r="I227" s="56">
        <v>2491</v>
      </c>
      <c r="J227" s="56">
        <v>96</v>
      </c>
      <c r="K227" s="56">
        <v>557</v>
      </c>
      <c r="L227" s="56">
        <v>3438</v>
      </c>
      <c r="M227" s="56">
        <v>15116</v>
      </c>
      <c r="N227" s="56">
        <v>5029</v>
      </c>
      <c r="O227" s="56">
        <v>17851</v>
      </c>
      <c r="P227" s="56">
        <v>6166</v>
      </c>
      <c r="Q227" s="56">
        <v>17518</v>
      </c>
      <c r="R227" s="16">
        <f t="shared" si="13"/>
        <v>14633</v>
      </c>
      <c r="T227" s="144">
        <f t="shared" si="14"/>
        <v>38435</v>
      </c>
      <c r="U227" s="154">
        <f>'copy data3'!B281</f>
        <v>1463</v>
      </c>
      <c r="V227" s="38">
        <f t="shared" si="15"/>
        <v>1541.75</v>
      </c>
      <c r="W227" s="71" t="e">
        <f t="shared" si="16"/>
        <v>#DIV/0!</v>
      </c>
      <c r="X227" s="154">
        <f>'copy data3'!D281</f>
        <v>226</v>
      </c>
      <c r="Y227" s="38">
        <f t="shared" si="17"/>
        <v>251.5</v>
      </c>
      <c r="Z227" s="71" t="e">
        <f t="shared" si="18"/>
        <v>#DIV/0!</v>
      </c>
      <c r="AA227" s="152">
        <f>'copy data3'!F281</f>
        <v>1298</v>
      </c>
      <c r="AB227" s="38">
        <f t="shared" si="19"/>
        <v>1394.25</v>
      </c>
      <c r="AC227" s="71" t="e">
        <f t="shared" si="20"/>
        <v>#DIV/0!</v>
      </c>
      <c r="AD227" s="152">
        <f>'copy data3'!H281</f>
        <v>553</v>
      </c>
      <c r="AE227" s="38">
        <f t="shared" si="21"/>
        <v>545.25</v>
      </c>
      <c r="AF227" s="71" t="e">
        <f t="shared" si="22"/>
        <v>#DIV/0!</v>
      </c>
      <c r="AG227" s="152">
        <f>'copy data3'!J281</f>
        <v>98</v>
      </c>
      <c r="AH227" s="38">
        <f t="shared" si="23"/>
        <v>98.5</v>
      </c>
      <c r="AI227" s="71" t="e">
        <f t="shared" si="24"/>
        <v>#DIV/0!</v>
      </c>
      <c r="AJ227" s="152">
        <f>'copy data3'!L281</f>
        <v>3611</v>
      </c>
      <c r="AK227" s="38">
        <f t="shared" si="25"/>
        <v>3824.75</v>
      </c>
      <c r="AL227" s="71" t="e">
        <f t="shared" si="26"/>
        <v>#DIV/0!</v>
      </c>
      <c r="AM227" s="152">
        <f>'copy data3'!N281</f>
        <v>7636</v>
      </c>
      <c r="AN227" s="38">
        <f t="shared" si="27"/>
        <v>7168.75</v>
      </c>
      <c r="AO227" s="71" t="e">
        <f t="shared" si="28"/>
        <v>#DIV/0!</v>
      </c>
      <c r="AP227" s="152">
        <f>'copy data3'!P281</f>
        <v>2790</v>
      </c>
      <c r="AQ227" s="38">
        <f t="shared" si="29"/>
        <v>3184.75</v>
      </c>
      <c r="AR227" s="71" t="e">
        <f t="shared" si="30"/>
        <v>#DIV/0!</v>
      </c>
      <c r="AS227" s="153">
        <f>'copy data3'!R281</f>
        <v>14037</v>
      </c>
      <c r="AT227" s="38">
        <f t="shared" si="11"/>
        <v>14178.25</v>
      </c>
      <c r="AU227" s="71">
        <f t="shared" si="12"/>
        <v>91.172593402353542</v>
      </c>
    </row>
    <row r="228" spans="1:47" ht="15.6" x14ac:dyDescent="0.3">
      <c r="A228" s="55">
        <v>37301</v>
      </c>
      <c r="B228" s="56">
        <v>1310</v>
      </c>
      <c r="C228" s="56">
        <v>6042</v>
      </c>
      <c r="D228" s="56">
        <v>753</v>
      </c>
      <c r="E228" s="56">
        <v>3982</v>
      </c>
      <c r="F228" s="56">
        <v>890</v>
      </c>
      <c r="G228" s="56">
        <v>3998</v>
      </c>
      <c r="H228" s="56">
        <v>545</v>
      </c>
      <c r="I228" s="56">
        <v>2357</v>
      </c>
      <c r="J228" s="56">
        <v>169</v>
      </c>
      <c r="K228" s="56">
        <v>887</v>
      </c>
      <c r="L228" s="56">
        <v>3668</v>
      </c>
      <c r="M228" s="56">
        <v>17265</v>
      </c>
      <c r="N228" s="56">
        <v>8530</v>
      </c>
      <c r="O228" s="56">
        <v>19260</v>
      </c>
      <c r="P228" s="56">
        <v>5058</v>
      </c>
      <c r="Q228" s="56">
        <v>19090</v>
      </c>
      <c r="R228" s="16">
        <f t="shared" si="13"/>
        <v>17256</v>
      </c>
      <c r="T228" s="144">
        <f t="shared" si="14"/>
        <v>38442</v>
      </c>
      <c r="U228" s="154">
        <f>'copy data3'!B282</f>
        <v>1367</v>
      </c>
      <c r="V228" s="38">
        <f t="shared" si="15"/>
        <v>1494.5</v>
      </c>
      <c r="W228" s="71" t="e">
        <f t="shared" si="16"/>
        <v>#DIV/0!</v>
      </c>
      <c r="X228" s="154">
        <f>'copy data3'!D282</f>
        <v>231</v>
      </c>
      <c r="Y228" s="38">
        <f t="shared" si="17"/>
        <v>241.5</v>
      </c>
      <c r="Z228" s="71" t="e">
        <f t="shared" si="18"/>
        <v>#DIV/0!</v>
      </c>
      <c r="AA228" s="152">
        <f>'copy data3'!F282</f>
        <v>1291</v>
      </c>
      <c r="AB228" s="38">
        <f t="shared" si="19"/>
        <v>1367</v>
      </c>
      <c r="AC228" s="71" t="e">
        <f t="shared" si="20"/>
        <v>#DIV/0!</v>
      </c>
      <c r="AD228" s="152">
        <f>'copy data3'!H282</f>
        <v>556</v>
      </c>
      <c r="AE228" s="38">
        <f t="shared" si="21"/>
        <v>555</v>
      </c>
      <c r="AF228" s="71" t="e">
        <f t="shared" si="22"/>
        <v>#DIV/0!</v>
      </c>
      <c r="AG228" s="152">
        <f>'copy data3'!J282</f>
        <v>73</v>
      </c>
      <c r="AH228" s="38">
        <f t="shared" si="23"/>
        <v>90</v>
      </c>
      <c r="AI228" s="71" t="e">
        <f t="shared" si="24"/>
        <v>#DIV/0!</v>
      </c>
      <c r="AJ228" s="152">
        <f>'copy data3'!L282</f>
        <v>3519</v>
      </c>
      <c r="AK228" s="38">
        <f t="shared" si="25"/>
        <v>3741.75</v>
      </c>
      <c r="AL228" s="71" t="e">
        <f t="shared" si="26"/>
        <v>#DIV/0!</v>
      </c>
      <c r="AM228" s="152">
        <f>'copy data3'!N282</f>
        <v>7395</v>
      </c>
      <c r="AN228" s="38">
        <f t="shared" si="27"/>
        <v>7331</v>
      </c>
      <c r="AO228" s="71" t="e">
        <f t="shared" si="28"/>
        <v>#DIV/0!</v>
      </c>
      <c r="AP228" s="152">
        <f>'copy data3'!P282</f>
        <v>2640</v>
      </c>
      <c r="AQ228" s="38">
        <f t="shared" si="29"/>
        <v>2929.25</v>
      </c>
      <c r="AR228" s="71" t="e">
        <f t="shared" si="30"/>
        <v>#DIV/0!</v>
      </c>
      <c r="AS228" s="153">
        <f>'copy data3'!R282</f>
        <v>13554</v>
      </c>
      <c r="AT228" s="38">
        <f t="shared" si="11"/>
        <v>14002</v>
      </c>
      <c r="AU228" s="71">
        <f t="shared" si="12"/>
        <v>87.523440430053753</v>
      </c>
    </row>
    <row r="229" spans="1:47" ht="15.6" x14ac:dyDescent="0.3">
      <c r="A229" s="55">
        <v>37665</v>
      </c>
      <c r="B229" s="56">
        <v>1134</v>
      </c>
      <c r="C229" s="56">
        <v>5294</v>
      </c>
      <c r="D229" s="56">
        <v>445</v>
      </c>
      <c r="E229" s="56">
        <v>2194</v>
      </c>
      <c r="F229" s="56">
        <v>1157</v>
      </c>
      <c r="G229" s="56">
        <v>4807</v>
      </c>
      <c r="H229" s="56">
        <v>616</v>
      </c>
      <c r="I229" s="56">
        <v>2545</v>
      </c>
      <c r="J229" s="56">
        <v>128</v>
      </c>
      <c r="K229" s="56">
        <v>557</v>
      </c>
      <c r="L229" s="56">
        <v>3481</v>
      </c>
      <c r="M229" s="56">
        <v>15398</v>
      </c>
      <c r="N229" s="56">
        <v>4827</v>
      </c>
      <c r="O229" s="56">
        <v>18462</v>
      </c>
      <c r="P229" s="56">
        <v>5068</v>
      </c>
      <c r="Q229" s="56">
        <v>18938</v>
      </c>
      <c r="R229" s="16">
        <f t="shared" si="13"/>
        <v>13376</v>
      </c>
      <c r="T229" s="144">
        <f t="shared" si="14"/>
        <v>38449</v>
      </c>
      <c r="U229" s="154">
        <f>'copy data3'!B283</f>
        <v>1394</v>
      </c>
      <c r="V229" s="38">
        <f t="shared" si="15"/>
        <v>1450</v>
      </c>
      <c r="W229" s="71" t="e">
        <f t="shared" si="16"/>
        <v>#DIV/0!</v>
      </c>
      <c r="X229" s="154">
        <f>'copy data3'!D283</f>
        <v>216</v>
      </c>
      <c r="Y229" s="38">
        <f t="shared" si="17"/>
        <v>228.5</v>
      </c>
      <c r="Z229" s="71" t="e">
        <f t="shared" si="18"/>
        <v>#DIV/0!</v>
      </c>
      <c r="AA229" s="152">
        <f>'copy data3'!F283</f>
        <v>1194</v>
      </c>
      <c r="AB229" s="38">
        <f t="shared" si="19"/>
        <v>1281.5</v>
      </c>
      <c r="AC229" s="71" t="e">
        <f t="shared" si="20"/>
        <v>#DIV/0!</v>
      </c>
      <c r="AD229" s="152">
        <f>'copy data3'!H283</f>
        <v>573</v>
      </c>
      <c r="AE229" s="38">
        <f t="shared" si="21"/>
        <v>545.25</v>
      </c>
      <c r="AF229" s="71" t="e">
        <f t="shared" si="22"/>
        <v>#DIV/0!</v>
      </c>
      <c r="AG229" s="152">
        <f>'copy data3'!J283</f>
        <v>63</v>
      </c>
      <c r="AH229" s="38">
        <f t="shared" si="23"/>
        <v>86</v>
      </c>
      <c r="AI229" s="71" t="e">
        <f t="shared" si="24"/>
        <v>#DIV/0!</v>
      </c>
      <c r="AJ229" s="152">
        <f>'copy data3'!L283</f>
        <v>3440</v>
      </c>
      <c r="AK229" s="38">
        <f t="shared" si="25"/>
        <v>3584.75</v>
      </c>
      <c r="AL229" s="71" t="e">
        <f t="shared" si="26"/>
        <v>#DIV/0!</v>
      </c>
      <c r="AM229" s="152">
        <f>'copy data3'!N283</f>
        <v>7576</v>
      </c>
      <c r="AN229" s="38">
        <f t="shared" si="27"/>
        <v>7474.5</v>
      </c>
      <c r="AO229" s="71" t="e">
        <f t="shared" si="28"/>
        <v>#DIV/0!</v>
      </c>
      <c r="AP229" s="152">
        <f>'copy data3'!P283</f>
        <v>2460</v>
      </c>
      <c r="AQ229" s="38">
        <f t="shared" si="29"/>
        <v>2734</v>
      </c>
      <c r="AR229" s="71" t="e">
        <f t="shared" si="30"/>
        <v>#DIV/0!</v>
      </c>
      <c r="AS229" s="153">
        <f>'copy data3'!R283</f>
        <v>13476</v>
      </c>
      <c r="AT229" s="38">
        <f t="shared" si="11"/>
        <v>13793.25</v>
      </c>
      <c r="AU229" s="71">
        <f t="shared" si="12"/>
        <v>86.9359006680953</v>
      </c>
    </row>
    <row r="230" spans="1:47" ht="15.6" x14ac:dyDescent="0.3">
      <c r="A230" s="55">
        <v>37308</v>
      </c>
      <c r="B230" s="56">
        <v>1204</v>
      </c>
      <c r="C230" s="56">
        <v>6264</v>
      </c>
      <c r="D230" s="56">
        <v>733</v>
      </c>
      <c r="E230" s="56">
        <v>4070</v>
      </c>
      <c r="F230" s="56">
        <v>839</v>
      </c>
      <c r="G230" s="56">
        <v>4062</v>
      </c>
      <c r="H230" s="56">
        <v>485</v>
      </c>
      <c r="I230" s="56">
        <v>2417</v>
      </c>
      <c r="J230" s="56">
        <v>139</v>
      </c>
      <c r="K230" s="56">
        <v>952</v>
      </c>
      <c r="L230" s="56">
        <v>3400</v>
      </c>
      <c r="M230" s="56">
        <v>17765</v>
      </c>
      <c r="N230" s="56">
        <v>8410</v>
      </c>
      <c r="O230" s="56">
        <v>20187</v>
      </c>
      <c r="P230" s="56">
        <v>4265</v>
      </c>
      <c r="Q230" s="56">
        <v>20235</v>
      </c>
      <c r="R230" s="16">
        <f t="shared" si="13"/>
        <v>16075</v>
      </c>
      <c r="T230" s="144">
        <f t="shared" si="14"/>
        <v>38456</v>
      </c>
      <c r="U230" s="154">
        <f>'copy data3'!B284</f>
        <v>1358</v>
      </c>
      <c r="V230" s="38">
        <f t="shared" si="15"/>
        <v>1395.5</v>
      </c>
      <c r="W230" s="71" t="e">
        <f t="shared" si="16"/>
        <v>#DIV/0!</v>
      </c>
      <c r="X230" s="154">
        <f>'copy data3'!D284</f>
        <v>189</v>
      </c>
      <c r="Y230" s="38">
        <f t="shared" si="17"/>
        <v>215.5</v>
      </c>
      <c r="Z230" s="71" t="e">
        <f t="shared" si="18"/>
        <v>#DIV/0!</v>
      </c>
      <c r="AA230" s="152">
        <f>'copy data3'!F284</f>
        <v>1273</v>
      </c>
      <c r="AB230" s="38">
        <f t="shared" si="19"/>
        <v>1264</v>
      </c>
      <c r="AC230" s="71" t="e">
        <f t="shared" si="20"/>
        <v>#DIV/0!</v>
      </c>
      <c r="AD230" s="152">
        <f>'copy data3'!H284</f>
        <v>489</v>
      </c>
      <c r="AE230" s="38">
        <f t="shared" si="21"/>
        <v>542.75</v>
      </c>
      <c r="AF230" s="71" t="e">
        <f t="shared" si="22"/>
        <v>#DIV/0!</v>
      </c>
      <c r="AG230" s="152">
        <f>'copy data3'!J284</f>
        <v>130</v>
      </c>
      <c r="AH230" s="38">
        <f t="shared" si="23"/>
        <v>91</v>
      </c>
      <c r="AI230" s="71" t="e">
        <f t="shared" si="24"/>
        <v>#DIV/0!</v>
      </c>
      <c r="AJ230" s="152">
        <f>'copy data3'!L284</f>
        <v>3438</v>
      </c>
      <c r="AK230" s="38">
        <f t="shared" si="25"/>
        <v>3502</v>
      </c>
      <c r="AL230" s="71" t="e">
        <f t="shared" si="26"/>
        <v>#DIV/0!</v>
      </c>
      <c r="AM230" s="152">
        <f>'copy data3'!N284</f>
        <v>7394</v>
      </c>
      <c r="AN230" s="38">
        <f t="shared" si="27"/>
        <v>7500.25</v>
      </c>
      <c r="AO230" s="71" t="e">
        <f t="shared" si="28"/>
        <v>#DIV/0!</v>
      </c>
      <c r="AP230" s="152">
        <f>'copy data3'!P284</f>
        <v>2166</v>
      </c>
      <c r="AQ230" s="38">
        <f t="shared" si="29"/>
        <v>2514</v>
      </c>
      <c r="AR230" s="71" t="e">
        <f t="shared" si="30"/>
        <v>#DIV/0!</v>
      </c>
      <c r="AS230" s="153">
        <f>'copy data3'!R284</f>
        <v>12998</v>
      </c>
      <c r="AT230" s="38">
        <f t="shared" si="11"/>
        <v>13516.25</v>
      </c>
      <c r="AU230" s="71">
        <f t="shared" si="12"/>
        <v>84.725443490252616</v>
      </c>
    </row>
    <row r="231" spans="1:47" ht="15.6" x14ac:dyDescent="0.3">
      <c r="A231" s="55">
        <v>37672</v>
      </c>
      <c r="B231" s="56">
        <v>1086</v>
      </c>
      <c r="C231" s="56">
        <v>5359</v>
      </c>
      <c r="D231" s="56">
        <v>421</v>
      </c>
      <c r="E231" s="56">
        <v>2243</v>
      </c>
      <c r="F231" s="56">
        <v>1208</v>
      </c>
      <c r="G231" s="56">
        <v>4841</v>
      </c>
      <c r="H231" s="56">
        <v>604</v>
      </c>
      <c r="I231" s="56">
        <v>2576</v>
      </c>
      <c r="J231" s="56">
        <v>150</v>
      </c>
      <c r="K231" s="56">
        <v>557</v>
      </c>
      <c r="L231" s="56">
        <v>3468</v>
      </c>
      <c r="M231" s="56">
        <v>15576</v>
      </c>
      <c r="N231" s="56">
        <v>4775</v>
      </c>
      <c r="O231" s="56">
        <v>19208</v>
      </c>
      <c r="P231" s="56">
        <v>4445</v>
      </c>
      <c r="Q231" s="56">
        <v>19863</v>
      </c>
      <c r="R231" s="16">
        <f t="shared" si="13"/>
        <v>12688</v>
      </c>
      <c r="T231" s="144">
        <f t="shared" si="14"/>
        <v>38463</v>
      </c>
      <c r="U231" s="154">
        <f>'copy data3'!B285</f>
        <v>1282</v>
      </c>
      <c r="V231" s="38">
        <f t="shared" si="15"/>
        <v>1350.25</v>
      </c>
      <c r="W231" s="71" t="e">
        <f t="shared" si="16"/>
        <v>#DIV/0!</v>
      </c>
      <c r="X231" s="154">
        <f>'copy data3'!D285</f>
        <v>172</v>
      </c>
      <c r="Y231" s="38">
        <f t="shared" si="17"/>
        <v>202</v>
      </c>
      <c r="Z231" s="71" t="e">
        <f t="shared" si="18"/>
        <v>#DIV/0!</v>
      </c>
      <c r="AA231" s="152">
        <f>'copy data3'!F285</f>
        <v>1333</v>
      </c>
      <c r="AB231" s="38">
        <f t="shared" si="19"/>
        <v>1272.75</v>
      </c>
      <c r="AC231" s="71" t="e">
        <f t="shared" si="20"/>
        <v>#DIV/0!</v>
      </c>
      <c r="AD231" s="152">
        <f>'copy data3'!H285</f>
        <v>506</v>
      </c>
      <c r="AE231" s="38">
        <f t="shared" si="21"/>
        <v>531</v>
      </c>
      <c r="AF231" s="71" t="e">
        <f t="shared" si="22"/>
        <v>#DIV/0!</v>
      </c>
      <c r="AG231" s="152">
        <f>'copy data3'!J285</f>
        <v>135</v>
      </c>
      <c r="AH231" s="38">
        <f t="shared" si="23"/>
        <v>100.25</v>
      </c>
      <c r="AI231" s="71" t="e">
        <f t="shared" si="24"/>
        <v>#DIV/0!</v>
      </c>
      <c r="AJ231" s="152">
        <f>'copy data3'!L285</f>
        <v>3427</v>
      </c>
      <c r="AK231" s="38">
        <f t="shared" si="25"/>
        <v>3456</v>
      </c>
      <c r="AL231" s="71" t="e">
        <f t="shared" si="26"/>
        <v>#DIV/0!</v>
      </c>
      <c r="AM231" s="152">
        <f>'copy data3'!N285</f>
        <v>6885</v>
      </c>
      <c r="AN231" s="38">
        <f t="shared" si="27"/>
        <v>7312.5</v>
      </c>
      <c r="AO231" s="71" t="e">
        <f t="shared" si="28"/>
        <v>#DIV/0!</v>
      </c>
      <c r="AP231" s="152">
        <f>'copy data3'!P285</f>
        <v>1953</v>
      </c>
      <c r="AQ231" s="38">
        <f t="shared" si="29"/>
        <v>2304.75</v>
      </c>
      <c r="AR231" s="71" t="e">
        <f t="shared" si="30"/>
        <v>#DIV/0!</v>
      </c>
      <c r="AS231" s="153">
        <f>'copy data3'!R285</f>
        <v>12265</v>
      </c>
      <c r="AT231" s="38">
        <f t="shared" si="11"/>
        <v>13073.25</v>
      </c>
      <c r="AU231" s="71">
        <f t="shared" si="12"/>
        <v>83.015303530607071</v>
      </c>
    </row>
    <row r="232" spans="1:47" ht="15.6" x14ac:dyDescent="0.3">
      <c r="A232" s="55">
        <v>37315</v>
      </c>
      <c r="B232" s="56">
        <v>1283</v>
      </c>
      <c r="C232" s="56">
        <v>6416</v>
      </c>
      <c r="D232" s="56">
        <v>661</v>
      </c>
      <c r="E232" s="56">
        <v>4159</v>
      </c>
      <c r="F232" s="56">
        <v>826</v>
      </c>
      <c r="G232" s="56">
        <v>4179</v>
      </c>
      <c r="H232" s="56">
        <v>448</v>
      </c>
      <c r="I232" s="56">
        <v>2477</v>
      </c>
      <c r="J232" s="56">
        <v>173</v>
      </c>
      <c r="K232" s="56">
        <v>961</v>
      </c>
      <c r="L232" s="56">
        <v>3390</v>
      </c>
      <c r="M232" s="56">
        <v>18192</v>
      </c>
      <c r="N232" s="56">
        <v>7285</v>
      </c>
      <c r="O232" s="56">
        <v>2170</v>
      </c>
      <c r="P232" s="56">
        <v>4108</v>
      </c>
      <c r="Q232" s="56">
        <v>21070</v>
      </c>
      <c r="R232" s="16">
        <f t="shared" si="13"/>
        <v>14783</v>
      </c>
      <c r="T232" s="144">
        <f t="shared" si="14"/>
        <v>38470</v>
      </c>
      <c r="U232" s="154">
        <f>'copy data3'!B286</f>
        <v>1115</v>
      </c>
      <c r="V232" s="38">
        <f t="shared" si="15"/>
        <v>1287.25</v>
      </c>
      <c r="W232" s="71" t="e">
        <f t="shared" si="16"/>
        <v>#DIV/0!</v>
      </c>
      <c r="X232" s="154">
        <f>'copy data3'!D286</f>
        <v>133</v>
      </c>
      <c r="Y232" s="38">
        <f t="shared" si="17"/>
        <v>177.5</v>
      </c>
      <c r="Z232" s="71" t="e">
        <f t="shared" si="18"/>
        <v>#DIV/0!</v>
      </c>
      <c r="AA232" s="152">
        <f>'copy data3'!F286</f>
        <v>1217</v>
      </c>
      <c r="AB232" s="38">
        <f t="shared" si="19"/>
        <v>1254.25</v>
      </c>
      <c r="AC232" s="71" t="e">
        <f t="shared" si="20"/>
        <v>#DIV/0!</v>
      </c>
      <c r="AD232" s="152">
        <f>'copy data3'!H286</f>
        <v>517</v>
      </c>
      <c r="AE232" s="38">
        <f t="shared" si="21"/>
        <v>521.25</v>
      </c>
      <c r="AF232" s="71" t="e">
        <f t="shared" si="22"/>
        <v>#DIV/0!</v>
      </c>
      <c r="AG232" s="152">
        <f>'copy data3'!J286</f>
        <v>123</v>
      </c>
      <c r="AH232" s="38">
        <f t="shared" si="23"/>
        <v>112.75</v>
      </c>
      <c r="AI232" s="71" t="e">
        <f t="shared" si="24"/>
        <v>#DIV/0!</v>
      </c>
      <c r="AJ232" s="152">
        <f>'copy data3'!L286</f>
        <v>3106</v>
      </c>
      <c r="AK232" s="38">
        <f t="shared" si="25"/>
        <v>3352.75</v>
      </c>
      <c r="AL232" s="71" t="e">
        <f t="shared" si="26"/>
        <v>#DIV/0!</v>
      </c>
      <c r="AM232" s="152">
        <f>'copy data3'!N286</f>
        <v>6566</v>
      </c>
      <c r="AN232" s="38">
        <f t="shared" si="27"/>
        <v>7105.25</v>
      </c>
      <c r="AO232" s="71" t="e">
        <f t="shared" si="28"/>
        <v>#DIV/0!</v>
      </c>
      <c r="AP232" s="152">
        <f>'copy data3'!P286</f>
        <v>1738</v>
      </c>
      <c r="AQ232" s="38">
        <f t="shared" si="29"/>
        <v>2079.25</v>
      </c>
      <c r="AR232" s="71" t="e">
        <f t="shared" si="30"/>
        <v>#DIV/0!</v>
      </c>
      <c r="AS232" s="153">
        <f>'copy data3'!R286</f>
        <v>11410</v>
      </c>
      <c r="AT232" s="38">
        <f t="shared" si="11"/>
        <v>12537.25</v>
      </c>
      <c r="AU232" s="71">
        <f t="shared" si="12"/>
        <v>80.786455312842321</v>
      </c>
    </row>
    <row r="233" spans="1:47" ht="15.6" x14ac:dyDescent="0.3">
      <c r="A233" s="55">
        <v>37679</v>
      </c>
      <c r="B233" s="56">
        <v>1003</v>
      </c>
      <c r="C233" s="56">
        <v>5486</v>
      </c>
      <c r="D233" s="56">
        <v>408</v>
      </c>
      <c r="E233" s="56">
        <v>2261</v>
      </c>
      <c r="F233" s="56">
        <v>1186</v>
      </c>
      <c r="G233" s="56">
        <v>4915</v>
      </c>
      <c r="H233" s="56">
        <v>525</v>
      </c>
      <c r="I233" s="56">
        <v>2693</v>
      </c>
      <c r="J233" s="56">
        <v>150</v>
      </c>
      <c r="K233" s="56">
        <v>558</v>
      </c>
      <c r="L233" s="56">
        <v>3272</v>
      </c>
      <c r="M233" s="56">
        <v>15912</v>
      </c>
      <c r="N233" s="56">
        <v>5465</v>
      </c>
      <c r="O233" s="56">
        <v>19904</v>
      </c>
      <c r="P233" s="56">
        <v>4021</v>
      </c>
      <c r="Q233" s="56">
        <v>20625</v>
      </c>
      <c r="R233" s="16">
        <f t="shared" si="13"/>
        <v>12758</v>
      </c>
      <c r="T233" s="144">
        <f t="shared" si="14"/>
        <v>38477</v>
      </c>
      <c r="U233" s="154">
        <f>'copy data3'!B287</f>
        <v>1052</v>
      </c>
      <c r="V233" s="38">
        <f t="shared" si="15"/>
        <v>1201.75</v>
      </c>
      <c r="W233" s="71" t="e">
        <f t="shared" si="16"/>
        <v>#DIV/0!</v>
      </c>
      <c r="X233" s="154">
        <f>'copy data3'!D287</f>
        <v>125</v>
      </c>
      <c r="Y233" s="38">
        <f t="shared" si="17"/>
        <v>154.75</v>
      </c>
      <c r="Z233" s="71" t="e">
        <f t="shared" si="18"/>
        <v>#DIV/0!</v>
      </c>
      <c r="AA233" s="152">
        <f>'copy data3'!F287</f>
        <v>1087</v>
      </c>
      <c r="AB233" s="38">
        <f t="shared" si="19"/>
        <v>1227.5</v>
      </c>
      <c r="AC233" s="71" t="e">
        <f t="shared" si="20"/>
        <v>#DIV/0!</v>
      </c>
      <c r="AD233" s="152">
        <f>'copy data3'!H287</f>
        <v>489</v>
      </c>
      <c r="AE233" s="38">
        <f t="shared" si="21"/>
        <v>500.25</v>
      </c>
      <c r="AF233" s="71" t="e">
        <f t="shared" si="22"/>
        <v>#DIV/0!</v>
      </c>
      <c r="AG233" s="152">
        <f>'copy data3'!J287</f>
        <v>121</v>
      </c>
      <c r="AH233" s="38">
        <f t="shared" si="23"/>
        <v>127.25</v>
      </c>
      <c r="AI233" s="71" t="e">
        <f t="shared" si="24"/>
        <v>#DIV/0!</v>
      </c>
      <c r="AJ233" s="152">
        <f>'copy data3'!L287</f>
        <v>2874</v>
      </c>
      <c r="AK233" s="38">
        <f t="shared" si="25"/>
        <v>3211.25</v>
      </c>
      <c r="AL233" s="71" t="e">
        <f t="shared" si="26"/>
        <v>#DIV/0!</v>
      </c>
      <c r="AM233" s="152">
        <f>'copy data3'!N287</f>
        <v>7098</v>
      </c>
      <c r="AN233" s="38">
        <f t="shared" si="27"/>
        <v>6985.75</v>
      </c>
      <c r="AO233" s="71" t="e">
        <f t="shared" si="28"/>
        <v>#DIV/0!</v>
      </c>
      <c r="AP233" s="152">
        <f>'copy data3'!P287</f>
        <v>1682</v>
      </c>
      <c r="AQ233" s="38">
        <f t="shared" si="29"/>
        <v>1884.75</v>
      </c>
      <c r="AR233" s="71" t="e">
        <f t="shared" si="30"/>
        <v>#DIV/0!</v>
      </c>
      <c r="AS233" s="153">
        <f>'copy data3'!R287</f>
        <v>11654</v>
      </c>
      <c r="AT233" s="38">
        <f t="shared" si="11"/>
        <v>12081.75</v>
      </c>
      <c r="AU233" s="71">
        <f t="shared" si="12"/>
        <v>84.564639182473584</v>
      </c>
    </row>
    <row r="234" spans="1:47" ht="15.6" x14ac:dyDescent="0.3">
      <c r="A234" s="55">
        <v>37322</v>
      </c>
      <c r="B234" s="56">
        <v>1266</v>
      </c>
      <c r="C234" s="56">
        <v>6538</v>
      </c>
      <c r="D234" s="56">
        <v>710</v>
      </c>
      <c r="E234" s="56">
        <v>4285</v>
      </c>
      <c r="F234" s="56">
        <v>744</v>
      </c>
      <c r="G234" s="56">
        <v>4280</v>
      </c>
      <c r="H234" s="56">
        <v>382</v>
      </c>
      <c r="I234" s="56">
        <v>2569</v>
      </c>
      <c r="J234" s="56">
        <v>129</v>
      </c>
      <c r="K234" s="56">
        <v>994</v>
      </c>
      <c r="L234" s="56">
        <v>3231</v>
      </c>
      <c r="M234" s="56">
        <v>18666</v>
      </c>
      <c r="N234" s="56">
        <v>7338</v>
      </c>
      <c r="O234" s="56">
        <v>22704</v>
      </c>
      <c r="P234" s="56">
        <v>3610</v>
      </c>
      <c r="Q234" s="56">
        <v>21245</v>
      </c>
      <c r="R234" s="16">
        <f t="shared" si="13"/>
        <v>14179</v>
      </c>
      <c r="T234" s="144">
        <f t="shared" si="14"/>
        <v>38484</v>
      </c>
      <c r="U234" s="154">
        <f>'copy data3'!B288</f>
        <v>788</v>
      </c>
      <c r="V234" s="38">
        <f t="shared" si="15"/>
        <v>1059.25</v>
      </c>
      <c r="W234" s="71" t="e">
        <f t="shared" si="16"/>
        <v>#DIV/0!</v>
      </c>
      <c r="X234" s="154">
        <f>'copy data3'!D288</f>
        <v>121</v>
      </c>
      <c r="Y234" s="38">
        <f t="shared" si="17"/>
        <v>137.75</v>
      </c>
      <c r="Z234" s="71" t="e">
        <f t="shared" si="18"/>
        <v>#DIV/0!</v>
      </c>
      <c r="AA234" s="152">
        <f>'copy data3'!F288</f>
        <v>823</v>
      </c>
      <c r="AB234" s="38">
        <f t="shared" si="19"/>
        <v>1115</v>
      </c>
      <c r="AC234" s="71" t="e">
        <f t="shared" si="20"/>
        <v>#DIV/0!</v>
      </c>
      <c r="AD234" s="152">
        <f>'copy data3'!H288</f>
        <v>352</v>
      </c>
      <c r="AE234" s="38">
        <f t="shared" si="21"/>
        <v>466</v>
      </c>
      <c r="AF234" s="71" t="e">
        <f t="shared" si="22"/>
        <v>#DIV/0!</v>
      </c>
      <c r="AG234" s="152">
        <f>'copy data3'!J288</f>
        <v>104</v>
      </c>
      <c r="AH234" s="38">
        <f t="shared" si="23"/>
        <v>120.75</v>
      </c>
      <c r="AI234" s="71" t="e">
        <f t="shared" si="24"/>
        <v>#DIV/0!</v>
      </c>
      <c r="AJ234" s="152">
        <f>'copy data3'!L288</f>
        <v>2188</v>
      </c>
      <c r="AK234" s="38">
        <f t="shared" si="25"/>
        <v>2898.75</v>
      </c>
      <c r="AL234" s="71" t="e">
        <f t="shared" si="26"/>
        <v>#DIV/0!</v>
      </c>
      <c r="AM234" s="152">
        <f>'copy data3'!N288</f>
        <v>7136</v>
      </c>
      <c r="AN234" s="38">
        <f t="shared" si="27"/>
        <v>6921.25</v>
      </c>
      <c r="AO234" s="71" t="e">
        <f t="shared" si="28"/>
        <v>#DIV/0!</v>
      </c>
      <c r="AP234" s="152">
        <f>'copy data3'!P288</f>
        <v>1714</v>
      </c>
      <c r="AQ234" s="38">
        <f t="shared" si="29"/>
        <v>1771.75</v>
      </c>
      <c r="AR234" s="71" t="e">
        <f t="shared" si="30"/>
        <v>#DIV/0!</v>
      </c>
      <c r="AS234" s="153">
        <f>'copy data3'!R288</f>
        <v>11038</v>
      </c>
      <c r="AT234" s="38">
        <f t="shared" si="11"/>
        <v>11591.75</v>
      </c>
      <c r="AU234" s="71">
        <f t="shared" si="12"/>
        <v>84.828027808269297</v>
      </c>
    </row>
    <row r="235" spans="1:47" ht="15.6" x14ac:dyDescent="0.3">
      <c r="A235" s="55" t="s">
        <v>18</v>
      </c>
      <c r="B235" s="56">
        <v>964</v>
      </c>
      <c r="C235" s="56">
        <v>5597</v>
      </c>
      <c r="D235" s="56">
        <v>371</v>
      </c>
      <c r="E235" s="56">
        <v>2315</v>
      </c>
      <c r="F235" s="56">
        <v>1115</v>
      </c>
      <c r="G235" s="56">
        <v>5084</v>
      </c>
      <c r="H235" s="56">
        <v>553</v>
      </c>
      <c r="I235" s="56">
        <v>2756</v>
      </c>
      <c r="J235" s="56">
        <v>144</v>
      </c>
      <c r="K235" s="56">
        <v>567</v>
      </c>
      <c r="L235" s="56">
        <v>3146</v>
      </c>
      <c r="M235" s="56">
        <v>16319</v>
      </c>
      <c r="N235" s="56">
        <v>5631</v>
      </c>
      <c r="O235" s="56">
        <v>20444</v>
      </c>
      <c r="P235" s="56">
        <v>3590</v>
      </c>
      <c r="Q235" s="56">
        <v>21694</v>
      </c>
      <c r="R235" s="16">
        <f t="shared" si="13"/>
        <v>12367</v>
      </c>
      <c r="T235" s="144">
        <f t="shared" si="14"/>
        <v>38491</v>
      </c>
      <c r="U235" s="154">
        <f>'copy data3'!B289</f>
        <v>698</v>
      </c>
      <c r="V235" s="38">
        <f t="shared" si="15"/>
        <v>913.25</v>
      </c>
      <c r="W235" s="71" t="e">
        <f t="shared" si="16"/>
        <v>#DIV/0!</v>
      </c>
      <c r="X235" s="154">
        <f>'copy data3'!D289</f>
        <v>99</v>
      </c>
      <c r="Y235" s="38">
        <f t="shared" si="17"/>
        <v>119.5</v>
      </c>
      <c r="Z235" s="71" t="e">
        <f t="shared" si="18"/>
        <v>#DIV/0!</v>
      </c>
      <c r="AA235" s="152">
        <f>'copy data3'!F289</f>
        <v>703</v>
      </c>
      <c r="AB235" s="38">
        <f t="shared" si="19"/>
        <v>957.5</v>
      </c>
      <c r="AC235" s="71" t="e">
        <f t="shared" si="20"/>
        <v>#DIV/0!</v>
      </c>
      <c r="AD235" s="152">
        <f>'copy data3'!H289</f>
        <v>261</v>
      </c>
      <c r="AE235" s="38">
        <f t="shared" si="21"/>
        <v>404.75</v>
      </c>
      <c r="AF235" s="71" t="e">
        <f t="shared" si="22"/>
        <v>#DIV/0!</v>
      </c>
      <c r="AG235" s="152">
        <f>'copy data3'!J289</f>
        <v>104</v>
      </c>
      <c r="AH235" s="38">
        <f t="shared" si="23"/>
        <v>113</v>
      </c>
      <c r="AI235" s="71" t="e">
        <f t="shared" si="24"/>
        <v>#DIV/0!</v>
      </c>
      <c r="AJ235" s="152">
        <f>'copy data3'!L289</f>
        <v>1865</v>
      </c>
      <c r="AK235" s="38">
        <f t="shared" si="25"/>
        <v>2508.25</v>
      </c>
      <c r="AL235" s="71" t="e">
        <f t="shared" si="26"/>
        <v>#DIV/0!</v>
      </c>
      <c r="AM235" s="152">
        <f>'copy data3'!N289</f>
        <v>6734</v>
      </c>
      <c r="AN235" s="38">
        <f t="shared" si="27"/>
        <v>6883.5</v>
      </c>
      <c r="AO235" s="71" t="e">
        <f t="shared" si="28"/>
        <v>#DIV/0!</v>
      </c>
      <c r="AP235" s="152">
        <f>'copy data3'!P289</f>
        <v>1652</v>
      </c>
      <c r="AQ235" s="38">
        <f t="shared" si="29"/>
        <v>1696.5</v>
      </c>
      <c r="AR235" s="71" t="e">
        <f t="shared" si="30"/>
        <v>#DIV/0!</v>
      </c>
      <c r="AS235" s="153">
        <f>'copy data3'!R289</f>
        <v>10251</v>
      </c>
      <c r="AT235" s="38">
        <f t="shared" si="11"/>
        <v>11088.25</v>
      </c>
      <c r="AU235" s="71">
        <f t="shared" si="12"/>
        <v>85.09132069679994</v>
      </c>
    </row>
    <row r="236" spans="1:47" ht="15.6" x14ac:dyDescent="0.3">
      <c r="A236" s="55">
        <v>37329</v>
      </c>
      <c r="B236" s="56">
        <v>1388</v>
      </c>
      <c r="C236" s="56">
        <v>6718</v>
      </c>
      <c r="D236" s="56">
        <v>648</v>
      </c>
      <c r="E236" s="56">
        <v>4398</v>
      </c>
      <c r="F236" s="56">
        <v>807</v>
      </c>
      <c r="G236" s="56">
        <v>4368</v>
      </c>
      <c r="H236" s="56">
        <v>412</v>
      </c>
      <c r="I236" s="56">
        <v>2605</v>
      </c>
      <c r="J236" s="56">
        <v>129</v>
      </c>
      <c r="K236" s="56">
        <v>1001</v>
      </c>
      <c r="L236" s="56">
        <v>3383</v>
      </c>
      <c r="M236" s="56">
        <v>19090</v>
      </c>
      <c r="N236" s="56">
        <v>7283</v>
      </c>
      <c r="O236" s="56">
        <v>23849</v>
      </c>
      <c r="P236" s="56">
        <v>2955</v>
      </c>
      <c r="Q236" s="56">
        <v>22119</v>
      </c>
      <c r="R236" s="16">
        <f t="shared" si="13"/>
        <v>13621</v>
      </c>
      <c r="T236" s="144">
        <f t="shared" si="14"/>
        <v>38498</v>
      </c>
      <c r="U236" s="154">
        <f>'copy data3'!B290</f>
        <v>491</v>
      </c>
      <c r="V236" s="38">
        <f t="shared" si="15"/>
        <v>757.25</v>
      </c>
      <c r="W236" s="71" t="e">
        <f t="shared" si="16"/>
        <v>#DIV/0!</v>
      </c>
      <c r="X236" s="154">
        <f>'copy data3'!D290</f>
        <v>94</v>
      </c>
      <c r="Y236" s="38">
        <f t="shared" si="17"/>
        <v>109.75</v>
      </c>
      <c r="Z236" s="71" t="e">
        <f t="shared" si="18"/>
        <v>#DIV/0!</v>
      </c>
      <c r="AA236" s="152">
        <f>'copy data3'!F290</f>
        <v>515</v>
      </c>
      <c r="AB236" s="38">
        <f t="shared" si="19"/>
        <v>782</v>
      </c>
      <c r="AC236" s="71" t="e">
        <f t="shared" si="20"/>
        <v>#DIV/0!</v>
      </c>
      <c r="AD236" s="152">
        <f>'copy data3'!H290</f>
        <v>194</v>
      </c>
      <c r="AE236" s="38">
        <f t="shared" si="21"/>
        <v>324</v>
      </c>
      <c r="AF236" s="71" t="e">
        <f t="shared" si="22"/>
        <v>#DIV/0!</v>
      </c>
      <c r="AG236" s="152">
        <f>'copy data3'!J290</f>
        <v>57</v>
      </c>
      <c r="AH236" s="38">
        <f t="shared" si="23"/>
        <v>96.5</v>
      </c>
      <c r="AI236" s="71" t="e">
        <f t="shared" si="24"/>
        <v>#DIV/0!</v>
      </c>
      <c r="AJ236" s="152">
        <f>'copy data3'!L290</f>
        <v>1351</v>
      </c>
      <c r="AK236" s="38">
        <f t="shared" si="25"/>
        <v>2069.5</v>
      </c>
      <c r="AL236" s="71" t="e">
        <f t="shared" si="26"/>
        <v>#DIV/0!</v>
      </c>
      <c r="AM236" s="152">
        <f>'copy data3'!N290</f>
        <v>6668</v>
      </c>
      <c r="AN236" s="38">
        <f t="shared" si="27"/>
        <v>6909</v>
      </c>
      <c r="AO236" s="71" t="e">
        <f t="shared" si="28"/>
        <v>#DIV/0!</v>
      </c>
      <c r="AP236" s="152">
        <f>'copy data3'!P290</f>
        <v>1562</v>
      </c>
      <c r="AQ236" s="38">
        <f t="shared" si="29"/>
        <v>1652.5</v>
      </c>
      <c r="AR236" s="71" t="e">
        <f t="shared" si="30"/>
        <v>#DIV/0!</v>
      </c>
      <c r="AS236" s="153">
        <f>'copy data3'!R290</f>
        <v>9581</v>
      </c>
      <c r="AT236" s="38">
        <f t="shared" si="11"/>
        <v>10631</v>
      </c>
      <c r="AU236" s="71">
        <f t="shared" si="12"/>
        <v>88.121684350132625</v>
      </c>
    </row>
    <row r="237" spans="1:47" ht="15.6" x14ac:dyDescent="0.3">
      <c r="A237" s="55" t="s">
        <v>19</v>
      </c>
      <c r="B237" s="56">
        <v>1074</v>
      </c>
      <c r="C237" s="56">
        <v>5660</v>
      </c>
      <c r="D237" s="56">
        <v>360</v>
      </c>
      <c r="E237" s="56">
        <v>2353</v>
      </c>
      <c r="F237" s="56">
        <v>1163</v>
      </c>
      <c r="G237" s="56">
        <v>5198</v>
      </c>
      <c r="H237" s="56">
        <v>500</v>
      </c>
      <c r="I237" s="56">
        <v>2850</v>
      </c>
      <c r="J237" s="56">
        <v>128</v>
      </c>
      <c r="K237" s="56">
        <v>598</v>
      </c>
      <c r="L237" s="56">
        <v>3224</v>
      </c>
      <c r="M237" s="56">
        <v>16659</v>
      </c>
      <c r="N237" s="56">
        <v>6013</v>
      </c>
      <c r="O237" s="56">
        <v>21231</v>
      </c>
      <c r="P237" s="56">
        <v>3371</v>
      </c>
      <c r="Q237" s="56">
        <v>22246</v>
      </c>
      <c r="R237" s="16">
        <f t="shared" si="13"/>
        <v>12608</v>
      </c>
      <c r="T237" s="144">
        <f t="shared" si="14"/>
        <v>38505</v>
      </c>
      <c r="U237" s="154">
        <f>'copy data3'!B291</f>
        <v>1465</v>
      </c>
      <c r="V237" s="38">
        <f t="shared" si="15"/>
        <v>860.5</v>
      </c>
      <c r="W237" s="71" t="e">
        <f t="shared" si="16"/>
        <v>#DIV/0!</v>
      </c>
      <c r="X237" s="154">
        <f>'copy data3'!D291</f>
        <v>354</v>
      </c>
      <c r="Y237" s="38">
        <f t="shared" si="17"/>
        <v>167</v>
      </c>
      <c r="Z237" s="71" t="e">
        <f t="shared" si="18"/>
        <v>#DIV/0!</v>
      </c>
      <c r="AA237" s="152">
        <f>'copy data3'!F291</f>
        <v>1279</v>
      </c>
      <c r="AB237" s="38">
        <f t="shared" si="19"/>
        <v>830</v>
      </c>
      <c r="AC237" s="71" t="e">
        <f t="shared" si="20"/>
        <v>#DIV/0!</v>
      </c>
      <c r="AD237" s="152">
        <f>'copy data3'!H291</f>
        <v>427</v>
      </c>
      <c r="AE237" s="38">
        <f t="shared" si="21"/>
        <v>308.5</v>
      </c>
      <c r="AF237" s="71" t="e">
        <f t="shared" si="22"/>
        <v>#DIV/0!</v>
      </c>
      <c r="AG237" s="152">
        <f>'copy data3'!J291</f>
        <v>124</v>
      </c>
      <c r="AH237" s="38">
        <f t="shared" si="23"/>
        <v>97.25</v>
      </c>
      <c r="AI237" s="71" t="e">
        <f t="shared" si="24"/>
        <v>#DIV/0!</v>
      </c>
      <c r="AJ237" s="152">
        <f>'copy data3'!L291</f>
        <v>3649</v>
      </c>
      <c r="AK237" s="38">
        <f t="shared" si="25"/>
        <v>2263.25</v>
      </c>
      <c r="AL237" s="71" t="e">
        <f t="shared" si="26"/>
        <v>#DIV/0!</v>
      </c>
      <c r="AM237" s="152">
        <f>'copy data3'!N291</f>
        <v>6386</v>
      </c>
      <c r="AN237" s="38">
        <f t="shared" si="27"/>
        <v>6731</v>
      </c>
      <c r="AO237" s="71" t="e">
        <f t="shared" si="28"/>
        <v>#DIV/0!</v>
      </c>
      <c r="AP237" s="152">
        <f>'copy data3'!P291</f>
        <v>1522</v>
      </c>
      <c r="AQ237" s="38">
        <f t="shared" si="29"/>
        <v>1612.5</v>
      </c>
      <c r="AR237" s="71" t="e">
        <f t="shared" si="30"/>
        <v>#DIV/0!</v>
      </c>
      <c r="AS237" s="153">
        <f>'copy data3'!R291</f>
        <v>11557</v>
      </c>
      <c r="AT237" s="38">
        <f t="shared" si="11"/>
        <v>10606.75</v>
      </c>
      <c r="AU237" s="71">
        <f t="shared" si="12"/>
        <v>69.307043910088865</v>
      </c>
    </row>
    <row r="238" spans="1:47" ht="15.6" x14ac:dyDescent="0.3">
      <c r="A238" s="55" t="s">
        <v>85</v>
      </c>
      <c r="B238" s="56">
        <v>1290</v>
      </c>
      <c r="C238" s="56">
        <v>6985</v>
      </c>
      <c r="D238" s="56">
        <v>878</v>
      </c>
      <c r="E238" s="56">
        <v>4532</v>
      </c>
      <c r="F238" s="56">
        <v>712</v>
      </c>
      <c r="G238" s="56">
        <v>4499</v>
      </c>
      <c r="H238" s="56">
        <v>449</v>
      </c>
      <c r="I238" s="56">
        <v>2616</v>
      </c>
      <c r="J238" s="56">
        <v>122</v>
      </c>
      <c r="K238" s="56">
        <v>1006</v>
      </c>
      <c r="L238" s="56">
        <v>3450</v>
      </c>
      <c r="M238" s="56">
        <v>19638</v>
      </c>
      <c r="N238" s="56">
        <v>7090</v>
      </c>
      <c r="O238" s="56">
        <v>24831</v>
      </c>
      <c r="P238" s="56">
        <v>2736</v>
      </c>
      <c r="Q238" s="56">
        <v>22585</v>
      </c>
      <c r="R238" s="16">
        <f t="shared" si="13"/>
        <v>13276</v>
      </c>
      <c r="T238" s="144">
        <f t="shared" si="14"/>
        <v>38512</v>
      </c>
      <c r="U238" s="154">
        <f>'copy data3'!B292</f>
        <v>1480</v>
      </c>
      <c r="V238" s="38">
        <f t="shared" si="15"/>
        <v>1033.5</v>
      </c>
      <c r="W238" s="71" t="e">
        <f t="shared" si="16"/>
        <v>#DIV/0!</v>
      </c>
      <c r="X238" s="154">
        <f>'copy data3'!D292</f>
        <v>327</v>
      </c>
      <c r="Y238" s="38">
        <f t="shared" si="17"/>
        <v>218.5</v>
      </c>
      <c r="Z238" s="71" t="e">
        <f t="shared" si="18"/>
        <v>#DIV/0!</v>
      </c>
      <c r="AA238" s="152">
        <f>'copy data3'!F292</f>
        <v>1248</v>
      </c>
      <c r="AB238" s="38">
        <f t="shared" si="19"/>
        <v>936.25</v>
      </c>
      <c r="AC238" s="71" t="e">
        <f t="shared" si="20"/>
        <v>#DIV/0!</v>
      </c>
      <c r="AD238" s="152">
        <f>'copy data3'!H292</f>
        <v>436</v>
      </c>
      <c r="AE238" s="38">
        <f t="shared" si="21"/>
        <v>329.5</v>
      </c>
      <c r="AF238" s="71" t="e">
        <f t="shared" si="22"/>
        <v>#DIV/0!</v>
      </c>
      <c r="AG238" s="152">
        <f>'copy data3'!J292</f>
        <v>100</v>
      </c>
      <c r="AH238" s="38">
        <f t="shared" si="23"/>
        <v>96.25</v>
      </c>
      <c r="AI238" s="71" t="e">
        <f t="shared" si="24"/>
        <v>#DIV/0!</v>
      </c>
      <c r="AJ238" s="152">
        <f>'copy data3'!L292</f>
        <v>3590</v>
      </c>
      <c r="AK238" s="38">
        <f t="shared" si="25"/>
        <v>2613.75</v>
      </c>
      <c r="AL238" s="71" t="e">
        <f t="shared" si="26"/>
        <v>#DIV/0!</v>
      </c>
      <c r="AM238" s="152">
        <f>'copy data3'!N292</f>
        <v>6208</v>
      </c>
      <c r="AN238" s="38">
        <f t="shared" si="27"/>
        <v>6499</v>
      </c>
      <c r="AO238" s="71" t="e">
        <f t="shared" si="28"/>
        <v>#DIV/0!</v>
      </c>
      <c r="AP238" s="152">
        <f>'copy data3'!P292</f>
        <v>1481</v>
      </c>
      <c r="AQ238" s="38">
        <f t="shared" si="29"/>
        <v>1554.25</v>
      </c>
      <c r="AR238" s="71" t="e">
        <f t="shared" si="30"/>
        <v>#DIV/0!</v>
      </c>
      <c r="AS238" s="153">
        <f>'copy data3'!R292</f>
        <v>11279</v>
      </c>
      <c r="AT238" s="38">
        <f t="shared" si="11"/>
        <v>10667</v>
      </c>
      <c r="AU238" s="71">
        <f t="shared" si="12"/>
        <v>71.370266291984478</v>
      </c>
    </row>
    <row r="239" spans="1:47" ht="15.6" x14ac:dyDescent="0.3">
      <c r="A239" s="55" t="s">
        <v>86</v>
      </c>
      <c r="B239" s="56">
        <v>1085</v>
      </c>
      <c r="C239" s="56">
        <v>5765</v>
      </c>
      <c r="D239" s="56">
        <v>369</v>
      </c>
      <c r="E239" s="56">
        <v>2387</v>
      </c>
      <c r="F239" s="56">
        <v>1186</v>
      </c>
      <c r="G239" s="56">
        <v>5280</v>
      </c>
      <c r="H239" s="56">
        <v>557</v>
      </c>
      <c r="I239" s="56">
        <v>2921</v>
      </c>
      <c r="J239" s="56">
        <v>107</v>
      </c>
      <c r="K239" s="56">
        <v>598</v>
      </c>
      <c r="L239" s="56">
        <v>3304</v>
      </c>
      <c r="M239" s="56">
        <v>16952</v>
      </c>
      <c r="N239" s="56">
        <v>6066</v>
      </c>
      <c r="O239" s="56">
        <v>21880</v>
      </c>
      <c r="P239" s="56">
        <v>3024</v>
      </c>
      <c r="Q239" s="56">
        <v>22921</v>
      </c>
      <c r="R239" s="16">
        <f t="shared" si="13"/>
        <v>12394</v>
      </c>
      <c r="T239" s="144">
        <f t="shared" si="14"/>
        <v>38519</v>
      </c>
      <c r="U239" s="154">
        <f>'copy data3'!B293</f>
        <v>1630</v>
      </c>
      <c r="V239" s="38">
        <f t="shared" si="15"/>
        <v>1266.5</v>
      </c>
      <c r="W239" s="71" t="e">
        <f t="shared" si="16"/>
        <v>#DIV/0!</v>
      </c>
      <c r="X239" s="154">
        <f>'copy data3'!D293</f>
        <v>245</v>
      </c>
      <c r="Y239" s="38">
        <f t="shared" si="17"/>
        <v>255</v>
      </c>
      <c r="Z239" s="71" t="e">
        <f t="shared" si="18"/>
        <v>#DIV/0!</v>
      </c>
      <c r="AA239" s="152">
        <f>'copy data3'!F293</f>
        <v>1300</v>
      </c>
      <c r="AB239" s="38">
        <f t="shared" si="19"/>
        <v>1085.5</v>
      </c>
      <c r="AC239" s="71" t="e">
        <f t="shared" si="20"/>
        <v>#DIV/0!</v>
      </c>
      <c r="AD239" s="152">
        <f>'copy data3'!H293</f>
        <v>483</v>
      </c>
      <c r="AE239" s="38">
        <f t="shared" si="21"/>
        <v>385</v>
      </c>
      <c r="AF239" s="71" t="e">
        <f t="shared" si="22"/>
        <v>#DIV/0!</v>
      </c>
      <c r="AG239" s="152">
        <f>'copy data3'!J293</f>
        <v>117</v>
      </c>
      <c r="AH239" s="38">
        <f t="shared" si="23"/>
        <v>99.5</v>
      </c>
      <c r="AI239" s="71" t="e">
        <f t="shared" si="24"/>
        <v>#DIV/0!</v>
      </c>
      <c r="AJ239" s="152">
        <f>'copy data3'!L293</f>
        <v>3775</v>
      </c>
      <c r="AK239" s="38">
        <f t="shared" si="25"/>
        <v>3091.25</v>
      </c>
      <c r="AL239" s="71" t="e">
        <f t="shared" si="26"/>
        <v>#DIV/0!</v>
      </c>
      <c r="AM239" s="152">
        <f>'copy data3'!N293</f>
        <v>5650</v>
      </c>
      <c r="AN239" s="38">
        <f t="shared" si="27"/>
        <v>6228</v>
      </c>
      <c r="AO239" s="71" t="e">
        <f t="shared" si="28"/>
        <v>#DIV/0!</v>
      </c>
      <c r="AP239" s="152">
        <f>'copy data3'!P293</f>
        <v>1344</v>
      </c>
      <c r="AQ239" s="38">
        <f t="shared" si="29"/>
        <v>1477.25</v>
      </c>
      <c r="AR239" s="71" t="e">
        <f t="shared" si="30"/>
        <v>#DIV/0!</v>
      </c>
      <c r="AS239" s="153">
        <f>'copy data3'!R293</f>
        <v>10769</v>
      </c>
      <c r="AT239" s="38">
        <f t="shared" si="11"/>
        <v>10796.5</v>
      </c>
      <c r="AU239" s="71">
        <f t="shared" si="12"/>
        <v>75.834094261431488</v>
      </c>
    </row>
    <row r="240" spans="1:47" ht="15.6" x14ac:dyDescent="0.3">
      <c r="A240" s="55">
        <v>37343</v>
      </c>
      <c r="B240" s="56">
        <v>1213</v>
      </c>
      <c r="C240" s="56">
        <v>5140</v>
      </c>
      <c r="D240" s="56">
        <v>829</v>
      </c>
      <c r="E240" s="56">
        <v>4592</v>
      </c>
      <c r="F240" s="56">
        <v>711</v>
      </c>
      <c r="G240" s="56">
        <v>4583</v>
      </c>
      <c r="H240" s="56">
        <v>454</v>
      </c>
      <c r="I240" s="56">
        <v>2658</v>
      </c>
      <c r="J240" s="56">
        <v>122</v>
      </c>
      <c r="K240" s="56">
        <v>1006</v>
      </c>
      <c r="L240" s="56">
        <v>3329</v>
      </c>
      <c r="M240" s="56">
        <v>19979</v>
      </c>
      <c r="N240" s="56">
        <v>6788</v>
      </c>
      <c r="O240" s="56">
        <v>26090</v>
      </c>
      <c r="P240" s="56">
        <v>2405</v>
      </c>
      <c r="Q240" s="56">
        <v>22990</v>
      </c>
      <c r="R240" s="16">
        <f t="shared" si="13"/>
        <v>12522</v>
      </c>
      <c r="T240" s="144">
        <f t="shared" si="14"/>
        <v>38526</v>
      </c>
      <c r="U240" s="154">
        <f>'copy data3'!B294</f>
        <v>1789</v>
      </c>
      <c r="V240" s="38">
        <f t="shared" si="15"/>
        <v>1591</v>
      </c>
      <c r="W240" s="71" t="e">
        <f t="shared" si="16"/>
        <v>#DIV/0!</v>
      </c>
      <c r="X240" s="154">
        <f>'copy data3'!D294</f>
        <v>256</v>
      </c>
      <c r="Y240" s="38">
        <f t="shared" si="17"/>
        <v>295.5</v>
      </c>
      <c r="Z240" s="71" t="e">
        <f t="shared" si="18"/>
        <v>#DIV/0!</v>
      </c>
      <c r="AA240" s="152">
        <f>'copy data3'!F294</f>
        <v>1305</v>
      </c>
      <c r="AB240" s="38">
        <f t="shared" si="19"/>
        <v>1283</v>
      </c>
      <c r="AC240" s="71" t="e">
        <f t="shared" si="20"/>
        <v>#DIV/0!</v>
      </c>
      <c r="AD240" s="152">
        <f>'copy data3'!H294</f>
        <v>487</v>
      </c>
      <c r="AE240" s="38">
        <f t="shared" si="21"/>
        <v>458.25</v>
      </c>
      <c r="AF240" s="71" t="e">
        <f t="shared" si="22"/>
        <v>#DIV/0!</v>
      </c>
      <c r="AG240" s="152">
        <f>'copy data3'!J294</f>
        <v>108</v>
      </c>
      <c r="AH240" s="38">
        <f t="shared" si="23"/>
        <v>112.25</v>
      </c>
      <c r="AI240" s="71" t="e">
        <f t="shared" si="24"/>
        <v>#DIV/0!</v>
      </c>
      <c r="AJ240" s="152">
        <f>'copy data3'!L294</f>
        <v>3946</v>
      </c>
      <c r="AK240" s="38">
        <f t="shared" si="25"/>
        <v>3740</v>
      </c>
      <c r="AL240" s="71" t="e">
        <f t="shared" si="26"/>
        <v>#DIV/0!</v>
      </c>
      <c r="AM240" s="152">
        <f>'copy data3'!N294</f>
        <v>5809</v>
      </c>
      <c r="AN240" s="38">
        <f t="shared" si="27"/>
        <v>6013.25</v>
      </c>
      <c r="AO240" s="71" t="e">
        <f t="shared" si="28"/>
        <v>#DIV/0!</v>
      </c>
      <c r="AP240" s="152">
        <f>'copy data3'!P294</f>
        <v>1339</v>
      </c>
      <c r="AQ240" s="38">
        <f t="shared" si="29"/>
        <v>1421.5</v>
      </c>
      <c r="AR240" s="71" t="e">
        <f t="shared" si="30"/>
        <v>#DIV/0!</v>
      </c>
      <c r="AS240" s="153">
        <f>'copy data3'!R294</f>
        <v>11094</v>
      </c>
      <c r="AT240" s="38">
        <f t="shared" si="11"/>
        <v>11174.75</v>
      </c>
      <c r="AU240" s="71">
        <f t="shared" si="12"/>
        <v>78.761981956583028</v>
      </c>
    </row>
    <row r="241" spans="1:47" ht="15.6" x14ac:dyDescent="0.3">
      <c r="A241" s="55" t="s">
        <v>20</v>
      </c>
      <c r="B241" s="56">
        <v>1056</v>
      </c>
      <c r="C241" s="56">
        <v>5887</v>
      </c>
      <c r="D241" s="56">
        <v>217</v>
      </c>
      <c r="E241" s="56">
        <v>2546</v>
      </c>
      <c r="F241" s="56">
        <v>1033</v>
      </c>
      <c r="G241" s="56">
        <v>5458</v>
      </c>
      <c r="H241" s="56">
        <v>521</v>
      </c>
      <c r="I241" s="56">
        <v>2989</v>
      </c>
      <c r="J241" s="56">
        <v>71</v>
      </c>
      <c r="K241" s="56">
        <v>634</v>
      </c>
      <c r="L241" s="56">
        <v>2896</v>
      </c>
      <c r="M241" s="56">
        <v>17515</v>
      </c>
      <c r="N241" s="56">
        <v>5571</v>
      </c>
      <c r="O241" s="56">
        <v>22733</v>
      </c>
      <c r="P241" s="56">
        <v>2841</v>
      </c>
      <c r="Q241" s="56">
        <v>23311</v>
      </c>
      <c r="R241" s="16">
        <f t="shared" si="13"/>
        <v>11308</v>
      </c>
      <c r="S241" s="13"/>
      <c r="T241" s="144">
        <f t="shared" si="14"/>
        <v>38533</v>
      </c>
      <c r="U241" s="154">
        <f>'copy data3'!B295</f>
        <v>1963</v>
      </c>
      <c r="V241" s="38">
        <f t="shared" si="15"/>
        <v>1715.5</v>
      </c>
      <c r="W241" s="71" t="e">
        <f t="shared" si="16"/>
        <v>#DIV/0!</v>
      </c>
      <c r="X241" s="154">
        <f>'copy data3'!D295</f>
        <v>335</v>
      </c>
      <c r="Y241" s="38">
        <f t="shared" si="17"/>
        <v>290.75</v>
      </c>
      <c r="Z241" s="71" t="e">
        <f t="shared" si="18"/>
        <v>#DIV/0!</v>
      </c>
      <c r="AA241" s="152">
        <f>'copy data3'!F295</f>
        <v>1249</v>
      </c>
      <c r="AB241" s="38">
        <f t="shared" si="19"/>
        <v>1275.5</v>
      </c>
      <c r="AC241" s="71" t="e">
        <f t="shared" si="20"/>
        <v>#DIV/0!</v>
      </c>
      <c r="AD241" s="152">
        <f>'copy data3'!H295</f>
        <v>443</v>
      </c>
      <c r="AE241" s="38">
        <f t="shared" si="21"/>
        <v>462.25</v>
      </c>
      <c r="AF241" s="71" t="e">
        <f t="shared" si="22"/>
        <v>#DIV/0!</v>
      </c>
      <c r="AG241" s="152">
        <f>'copy data3'!J295</f>
        <v>129</v>
      </c>
      <c r="AH241" s="38">
        <f t="shared" si="23"/>
        <v>113.5</v>
      </c>
      <c r="AI241" s="71" t="e">
        <f t="shared" si="24"/>
        <v>#DIV/0!</v>
      </c>
      <c r="AJ241" s="152">
        <f>'copy data3'!L295</f>
        <v>4119</v>
      </c>
      <c r="AK241" s="38">
        <f t="shared" si="25"/>
        <v>3857.5</v>
      </c>
      <c r="AL241" s="71" t="e">
        <f t="shared" si="26"/>
        <v>#DIV/0!</v>
      </c>
      <c r="AM241" s="152">
        <f>'copy data3'!N295</f>
        <v>5977</v>
      </c>
      <c r="AN241" s="38">
        <f t="shared" si="27"/>
        <v>5911</v>
      </c>
      <c r="AO241" s="71" t="e">
        <f t="shared" si="28"/>
        <v>#DIV/0!</v>
      </c>
      <c r="AP241" s="152">
        <f>'copy data3'!P295</f>
        <v>1334</v>
      </c>
      <c r="AQ241" s="38">
        <f t="shared" si="29"/>
        <v>1374.5</v>
      </c>
      <c r="AR241" s="71" t="e">
        <f t="shared" si="30"/>
        <v>#DIV/0!</v>
      </c>
      <c r="AS241" s="153">
        <f>'copy data3'!R295</f>
        <v>11430</v>
      </c>
      <c r="AT241" s="38">
        <f t="shared" si="11"/>
        <v>11143</v>
      </c>
      <c r="AU241" s="71">
        <f t="shared" si="12"/>
        <v>81.022322402384944</v>
      </c>
    </row>
    <row r="242" spans="1:47" ht="15.6" x14ac:dyDescent="0.3">
      <c r="A242" s="55">
        <v>37350</v>
      </c>
      <c r="B242" s="56">
        <v>1118</v>
      </c>
      <c r="C242" s="56">
        <v>7301</v>
      </c>
      <c r="D242" s="56">
        <v>734</v>
      </c>
      <c r="E242" s="56">
        <v>4706</v>
      </c>
      <c r="F242" s="56">
        <v>659</v>
      </c>
      <c r="G242" s="56">
        <v>4700</v>
      </c>
      <c r="H242" s="56">
        <v>424</v>
      </c>
      <c r="I242" s="56">
        <v>2720</v>
      </c>
      <c r="J242" s="56">
        <v>104</v>
      </c>
      <c r="K242" s="56">
        <v>1025</v>
      </c>
      <c r="L242" s="56">
        <v>3038</v>
      </c>
      <c r="M242" s="56">
        <v>20452</v>
      </c>
      <c r="N242" s="56">
        <v>6302</v>
      </c>
      <c r="O242" s="56">
        <v>27020</v>
      </c>
      <c r="P242" s="56">
        <v>2538</v>
      </c>
      <c r="Q242" s="56">
        <v>23261</v>
      </c>
      <c r="R242" s="16">
        <f t="shared" si="13"/>
        <v>11878</v>
      </c>
      <c r="T242" s="144">
        <f t="shared" si="14"/>
        <v>38540</v>
      </c>
      <c r="U242" s="154">
        <f>'copy data3'!B296</f>
        <v>1994</v>
      </c>
      <c r="V242" s="38">
        <f t="shared" si="15"/>
        <v>1844</v>
      </c>
      <c r="W242" s="71" t="e">
        <f t="shared" si="16"/>
        <v>#DIV/0!</v>
      </c>
      <c r="X242" s="154">
        <f>'copy data3'!D296</f>
        <v>326</v>
      </c>
      <c r="Y242" s="38">
        <f t="shared" si="17"/>
        <v>290.5</v>
      </c>
      <c r="Z242" s="71" t="e">
        <f t="shared" si="18"/>
        <v>#DIV/0!</v>
      </c>
      <c r="AA242" s="152">
        <f>'copy data3'!F296</f>
        <v>1225</v>
      </c>
      <c r="AB242" s="38">
        <f t="shared" si="19"/>
        <v>1269.75</v>
      </c>
      <c r="AC242" s="71" t="e">
        <f t="shared" si="20"/>
        <v>#DIV/0!</v>
      </c>
      <c r="AD242" s="152">
        <f>'copy data3'!H296</f>
        <v>469</v>
      </c>
      <c r="AE242" s="38">
        <f t="shared" si="21"/>
        <v>470.5</v>
      </c>
      <c r="AF242" s="71" t="e">
        <f t="shared" si="22"/>
        <v>#DIV/0!</v>
      </c>
      <c r="AG242" s="152">
        <f>'copy data3'!J296</f>
        <v>113</v>
      </c>
      <c r="AH242" s="38">
        <f t="shared" si="23"/>
        <v>116.75</v>
      </c>
      <c r="AI242" s="71" t="e">
        <f t="shared" si="24"/>
        <v>#DIV/0!</v>
      </c>
      <c r="AJ242" s="152">
        <f>'copy data3'!L296</f>
        <v>4126</v>
      </c>
      <c r="AK242" s="38">
        <f t="shared" si="25"/>
        <v>3991.5</v>
      </c>
      <c r="AL242" s="71" t="e">
        <f t="shared" si="26"/>
        <v>#DIV/0!</v>
      </c>
      <c r="AM242" s="152">
        <f>'copy data3'!N296</f>
        <v>5725</v>
      </c>
      <c r="AN242" s="38">
        <f t="shared" si="27"/>
        <v>5790.25</v>
      </c>
      <c r="AO242" s="71" t="e">
        <f t="shared" si="28"/>
        <v>#DIV/0!</v>
      </c>
      <c r="AP242" s="152">
        <f>'copy data3'!P296</f>
        <v>1297</v>
      </c>
      <c r="AQ242" s="38">
        <f t="shared" si="29"/>
        <v>1328.5</v>
      </c>
      <c r="AR242" s="71" t="e">
        <f t="shared" si="30"/>
        <v>#DIV/0!</v>
      </c>
      <c r="AS242" s="153">
        <f>'copy data3'!R296</f>
        <v>11148</v>
      </c>
      <c r="AT242" s="38">
        <f t="shared" si="11"/>
        <v>11110.25</v>
      </c>
      <c r="AU242" s="71">
        <f t="shared" si="12"/>
        <v>83.812990343995182</v>
      </c>
    </row>
    <row r="243" spans="1:47" ht="15.6" x14ac:dyDescent="0.3">
      <c r="A243" s="55" t="s">
        <v>21</v>
      </c>
      <c r="B243" s="56">
        <v>1033</v>
      </c>
      <c r="C243" s="56">
        <v>5970</v>
      </c>
      <c r="D243" s="56">
        <v>223</v>
      </c>
      <c r="E243" s="56">
        <v>2576</v>
      </c>
      <c r="F243" s="56">
        <v>992</v>
      </c>
      <c r="G243" s="56">
        <v>5543</v>
      </c>
      <c r="H243" s="56">
        <v>445</v>
      </c>
      <c r="I243" s="56">
        <v>3080</v>
      </c>
      <c r="J243" s="56">
        <v>81</v>
      </c>
      <c r="K243" s="56">
        <v>643</v>
      </c>
      <c r="L243" s="56">
        <v>2774</v>
      </c>
      <c r="M243" s="56">
        <v>17803</v>
      </c>
      <c r="N243" s="56">
        <v>5458</v>
      </c>
      <c r="O243" s="56">
        <v>23706</v>
      </c>
      <c r="P243" s="56">
        <v>2934</v>
      </c>
      <c r="Q243" s="56">
        <v>23848</v>
      </c>
      <c r="R243" s="16">
        <f t="shared" si="13"/>
        <v>11166</v>
      </c>
      <c r="T243" s="144">
        <f t="shared" si="14"/>
        <v>38547</v>
      </c>
      <c r="U243" s="154">
        <f>'copy data3'!B297</f>
        <v>2077</v>
      </c>
      <c r="V243" s="38">
        <f t="shared" si="15"/>
        <v>1955.75</v>
      </c>
      <c r="W243" s="71" t="e">
        <f t="shared" si="16"/>
        <v>#DIV/0!</v>
      </c>
      <c r="X243" s="154">
        <f>'copy data3'!D297</f>
        <v>348</v>
      </c>
      <c r="Y243" s="38">
        <f t="shared" si="17"/>
        <v>316.25</v>
      </c>
      <c r="Z243" s="71" t="e">
        <f t="shared" si="18"/>
        <v>#DIV/0!</v>
      </c>
      <c r="AA243" s="152">
        <f>'copy data3'!F297</f>
        <v>1270</v>
      </c>
      <c r="AB243" s="38">
        <f t="shared" si="19"/>
        <v>1262.25</v>
      </c>
      <c r="AC243" s="71" t="e">
        <f t="shared" si="20"/>
        <v>#DIV/0!</v>
      </c>
      <c r="AD243" s="152">
        <f>'copy data3'!H297</f>
        <v>496</v>
      </c>
      <c r="AE243" s="38">
        <f t="shared" si="21"/>
        <v>473.75</v>
      </c>
      <c r="AF243" s="71" t="e">
        <f t="shared" si="22"/>
        <v>#DIV/0!</v>
      </c>
      <c r="AG243" s="152">
        <f>'copy data3'!J297</f>
        <v>95</v>
      </c>
      <c r="AH243" s="38">
        <f t="shared" si="23"/>
        <v>111.25</v>
      </c>
      <c r="AI243" s="71" t="e">
        <f t="shared" si="24"/>
        <v>#DIV/0!</v>
      </c>
      <c r="AJ243" s="152">
        <f>'copy data3'!L297</f>
        <v>4286</v>
      </c>
      <c r="AK243" s="38">
        <f t="shared" si="25"/>
        <v>4119.25</v>
      </c>
      <c r="AL243" s="71" t="e">
        <f t="shared" si="26"/>
        <v>#DIV/0!</v>
      </c>
      <c r="AM243" s="152">
        <f>'copy data3'!N297</f>
        <v>5508</v>
      </c>
      <c r="AN243" s="38">
        <f t="shared" si="27"/>
        <v>5754.75</v>
      </c>
      <c r="AO243" s="71" t="e">
        <f t="shared" si="28"/>
        <v>#DIV/0!</v>
      </c>
      <c r="AP243" s="152">
        <f>'copy data3'!P297</f>
        <v>1267</v>
      </c>
      <c r="AQ243" s="38">
        <f t="shared" si="29"/>
        <v>1309.25</v>
      </c>
      <c r="AR243" s="71" t="e">
        <f t="shared" si="30"/>
        <v>#DIV/0!</v>
      </c>
      <c r="AS243" s="153">
        <f>'copy data3'!R297</f>
        <v>11061</v>
      </c>
      <c r="AT243" s="38">
        <f t="shared" si="11"/>
        <v>11183.25</v>
      </c>
      <c r="AU243" s="71">
        <f t="shared" si="12"/>
        <v>90.093047611375169</v>
      </c>
    </row>
    <row r="244" spans="1:47" ht="15.6" x14ac:dyDescent="0.3">
      <c r="A244" s="55">
        <v>37357</v>
      </c>
      <c r="B244" s="56">
        <v>1022</v>
      </c>
      <c r="C244" s="56">
        <v>7484</v>
      </c>
      <c r="D244" s="56">
        <v>727</v>
      </c>
      <c r="E244" s="56">
        <v>4749</v>
      </c>
      <c r="F244" s="56">
        <v>697</v>
      </c>
      <c r="G244" s="56">
        <v>4765</v>
      </c>
      <c r="H244" s="56">
        <v>438</v>
      </c>
      <c r="I244" s="56">
        <v>2743</v>
      </c>
      <c r="J244" s="56">
        <v>101</v>
      </c>
      <c r="K244" s="56">
        <v>1029</v>
      </c>
      <c r="L244" s="56">
        <v>2985</v>
      </c>
      <c r="M244" s="56">
        <v>20771</v>
      </c>
      <c r="N244" s="56">
        <v>6315</v>
      </c>
      <c r="O244" s="56">
        <v>27893</v>
      </c>
      <c r="P244" s="56">
        <v>2563</v>
      </c>
      <c r="Q244" s="56">
        <v>23550</v>
      </c>
      <c r="R244" s="16">
        <f t="shared" si="13"/>
        <v>11863</v>
      </c>
      <c r="T244" s="144">
        <f t="shared" si="14"/>
        <v>38554</v>
      </c>
      <c r="U244" s="154">
        <f>'copy data3'!B298</f>
        <v>1975</v>
      </c>
      <c r="V244" s="38">
        <f t="shared" si="15"/>
        <v>2002.25</v>
      </c>
      <c r="W244" s="71" t="e">
        <f t="shared" si="16"/>
        <v>#DIV/0!</v>
      </c>
      <c r="X244" s="154">
        <f>'copy data3'!D298</f>
        <v>340</v>
      </c>
      <c r="Y244" s="38">
        <f t="shared" si="17"/>
        <v>337.25</v>
      </c>
      <c r="Z244" s="71" t="e">
        <f t="shared" si="18"/>
        <v>#DIV/0!</v>
      </c>
      <c r="AA244" s="152">
        <f>'copy data3'!F298</f>
        <v>1283</v>
      </c>
      <c r="AB244" s="38">
        <f t="shared" si="19"/>
        <v>1256.75</v>
      </c>
      <c r="AC244" s="71" t="e">
        <f t="shared" si="20"/>
        <v>#DIV/0!</v>
      </c>
      <c r="AD244" s="152">
        <f>'copy data3'!H298</f>
        <v>617</v>
      </c>
      <c r="AE244" s="38">
        <f t="shared" si="21"/>
        <v>506.25</v>
      </c>
      <c r="AF244" s="71" t="e">
        <f t="shared" si="22"/>
        <v>#DIV/0!</v>
      </c>
      <c r="AG244" s="152">
        <f>'copy data3'!J298</f>
        <v>117</v>
      </c>
      <c r="AH244" s="38">
        <f t="shared" si="23"/>
        <v>113.5</v>
      </c>
      <c r="AI244" s="71" t="e">
        <f t="shared" si="24"/>
        <v>#DIV/0!</v>
      </c>
      <c r="AJ244" s="152">
        <f>'copy data3'!L298</f>
        <v>4331</v>
      </c>
      <c r="AK244" s="38">
        <f t="shared" si="25"/>
        <v>4215.5</v>
      </c>
      <c r="AL244" s="71" t="e">
        <f t="shared" si="26"/>
        <v>#DIV/0!</v>
      </c>
      <c r="AM244" s="152">
        <f>'copy data3'!N298</f>
        <v>5160</v>
      </c>
      <c r="AN244" s="38">
        <f t="shared" si="27"/>
        <v>5592.5</v>
      </c>
      <c r="AO244" s="71" t="e">
        <f t="shared" si="28"/>
        <v>#DIV/0!</v>
      </c>
      <c r="AP244" s="152">
        <f>'copy data3'!P298</f>
        <v>1008</v>
      </c>
      <c r="AQ244" s="38">
        <f t="shared" si="29"/>
        <v>1226.5</v>
      </c>
      <c r="AR244" s="71" t="e">
        <f t="shared" si="30"/>
        <v>#DIV/0!</v>
      </c>
      <c r="AS244" s="153">
        <f>'copy data3'!R298</f>
        <v>10499</v>
      </c>
      <c r="AT244" s="38">
        <f t="shared" si="11"/>
        <v>11034.5</v>
      </c>
      <c r="AU244" s="71">
        <f t="shared" si="12"/>
        <v>91.67151283542411</v>
      </c>
    </row>
    <row r="245" spans="1:47" ht="15.6" x14ac:dyDescent="0.3">
      <c r="A245" s="55" t="s">
        <v>22</v>
      </c>
      <c r="B245" s="56">
        <v>998</v>
      </c>
      <c r="C245" s="56">
        <v>6088</v>
      </c>
      <c r="D245" s="56">
        <v>218</v>
      </c>
      <c r="E245" s="56">
        <v>2616</v>
      </c>
      <c r="F245" s="56">
        <v>1049</v>
      </c>
      <c r="G245" s="56">
        <v>5673</v>
      </c>
      <c r="H245" s="56">
        <v>444</v>
      </c>
      <c r="I245" s="56">
        <v>3123</v>
      </c>
      <c r="J245" s="56">
        <v>91</v>
      </c>
      <c r="K245" s="56">
        <v>634</v>
      </c>
      <c r="L245" s="56">
        <v>2802</v>
      </c>
      <c r="M245" s="56">
        <v>18133</v>
      </c>
      <c r="N245" s="56">
        <v>5380</v>
      </c>
      <c r="O245" s="56">
        <v>24469</v>
      </c>
      <c r="P245" s="56">
        <v>2858</v>
      </c>
      <c r="Q245" s="56">
        <v>24163</v>
      </c>
      <c r="R245" s="16">
        <f t="shared" si="13"/>
        <v>11040</v>
      </c>
      <c r="T245" s="144">
        <f t="shared" si="14"/>
        <v>38561</v>
      </c>
      <c r="U245" s="154">
        <f>'copy data3'!B299</f>
        <v>2181</v>
      </c>
      <c r="V245" s="38">
        <f t="shared" si="15"/>
        <v>2056.75</v>
      </c>
      <c r="W245" s="71" t="e">
        <f t="shared" si="16"/>
        <v>#DIV/0!</v>
      </c>
      <c r="X245" s="154">
        <f>'copy data3'!D299</f>
        <v>308</v>
      </c>
      <c r="Y245" s="38">
        <f t="shared" si="17"/>
        <v>330.5</v>
      </c>
      <c r="Z245" s="71" t="e">
        <f t="shared" si="18"/>
        <v>#DIV/0!</v>
      </c>
      <c r="AA245" s="152">
        <f>'copy data3'!F299</f>
        <v>1266</v>
      </c>
      <c r="AB245" s="38">
        <f t="shared" si="19"/>
        <v>1261</v>
      </c>
      <c r="AC245" s="71" t="e">
        <f t="shared" si="20"/>
        <v>#DIV/0!</v>
      </c>
      <c r="AD245" s="152">
        <f>'copy data3'!H299</f>
        <v>674</v>
      </c>
      <c r="AE245" s="38">
        <f t="shared" si="21"/>
        <v>564</v>
      </c>
      <c r="AF245" s="71" t="e">
        <f t="shared" si="22"/>
        <v>#DIV/0!</v>
      </c>
      <c r="AG245" s="152">
        <f>'copy data3'!J299</f>
        <v>142</v>
      </c>
      <c r="AH245" s="38">
        <f t="shared" si="23"/>
        <v>116.75</v>
      </c>
      <c r="AI245" s="71" t="e">
        <f t="shared" si="24"/>
        <v>#DIV/0!</v>
      </c>
      <c r="AJ245" s="152">
        <f>'copy data3'!L299</f>
        <v>4569</v>
      </c>
      <c r="AK245" s="38">
        <f t="shared" si="25"/>
        <v>4328</v>
      </c>
      <c r="AL245" s="71" t="e">
        <f t="shared" si="26"/>
        <v>#DIV/0!</v>
      </c>
      <c r="AM245" s="152">
        <f>'copy data3'!N299</f>
        <v>4498</v>
      </c>
      <c r="AN245" s="38">
        <f t="shared" si="27"/>
        <v>5222.75</v>
      </c>
      <c r="AO245" s="71" t="e">
        <f t="shared" si="28"/>
        <v>#DIV/0!</v>
      </c>
      <c r="AP245" s="152">
        <f>'copy data3'!P299</f>
        <v>999</v>
      </c>
      <c r="AQ245" s="38">
        <f t="shared" si="29"/>
        <v>1142.75</v>
      </c>
      <c r="AR245" s="71" t="e">
        <f t="shared" si="30"/>
        <v>#DIV/0!</v>
      </c>
      <c r="AS245" s="153">
        <f>'copy data3'!R299</f>
        <v>10066</v>
      </c>
      <c r="AT245" s="38">
        <f t="shared" si="11"/>
        <v>10693.5</v>
      </c>
      <c r="AU245" s="71">
        <f t="shared" si="12"/>
        <v>94.859398562937997</v>
      </c>
    </row>
    <row r="246" spans="1:47" ht="15.6" x14ac:dyDescent="0.3">
      <c r="A246" s="55">
        <v>37364</v>
      </c>
      <c r="B246" s="56">
        <v>1005</v>
      </c>
      <c r="C246" s="56">
        <v>7629</v>
      </c>
      <c r="D246" s="56">
        <v>697</v>
      </c>
      <c r="E246" s="56">
        <v>4805</v>
      </c>
      <c r="F246" s="56">
        <v>639</v>
      </c>
      <c r="G246" s="56">
        <v>4898</v>
      </c>
      <c r="H246" s="56">
        <v>409</v>
      </c>
      <c r="I246" s="56">
        <v>2800</v>
      </c>
      <c r="J246" s="56">
        <v>65</v>
      </c>
      <c r="K246" s="56">
        <v>1051</v>
      </c>
      <c r="L246" s="56">
        <v>2816</v>
      </c>
      <c r="M246" s="56">
        <v>21183</v>
      </c>
      <c r="N246" s="56">
        <v>6281</v>
      </c>
      <c r="O246" s="56">
        <v>28841</v>
      </c>
      <c r="P246" s="56">
        <v>2613</v>
      </c>
      <c r="Q246" s="56">
        <v>23717</v>
      </c>
      <c r="R246" s="16">
        <f t="shared" si="13"/>
        <v>11710</v>
      </c>
      <c r="T246" s="144">
        <f t="shared" si="14"/>
        <v>38568</v>
      </c>
      <c r="U246" s="154">
        <f>'copy data3'!B300</f>
        <v>2067</v>
      </c>
      <c r="V246" s="38">
        <f t="shared" si="15"/>
        <v>2075</v>
      </c>
      <c r="W246" s="71" t="e">
        <f t="shared" si="16"/>
        <v>#DIV/0!</v>
      </c>
      <c r="X246" s="154">
        <f>'copy data3'!D300</f>
        <v>332</v>
      </c>
      <c r="Y246" s="38">
        <f t="shared" si="17"/>
        <v>332</v>
      </c>
      <c r="Z246" s="71" t="e">
        <f t="shared" si="18"/>
        <v>#DIV/0!</v>
      </c>
      <c r="AA246" s="152">
        <f>'copy data3'!F300</f>
        <v>1200</v>
      </c>
      <c r="AB246" s="38">
        <f t="shared" si="19"/>
        <v>1254.75</v>
      </c>
      <c r="AC246" s="71" t="e">
        <f t="shared" si="20"/>
        <v>#DIV/0!</v>
      </c>
      <c r="AD246" s="152">
        <f>'copy data3'!H300</f>
        <v>707</v>
      </c>
      <c r="AE246" s="38">
        <f t="shared" si="21"/>
        <v>623.5</v>
      </c>
      <c r="AF246" s="71" t="e">
        <f t="shared" si="22"/>
        <v>#DIV/0!</v>
      </c>
      <c r="AG246" s="152">
        <f>'copy data3'!J300</f>
        <v>145</v>
      </c>
      <c r="AH246" s="38">
        <f t="shared" si="23"/>
        <v>124.75</v>
      </c>
      <c r="AI246" s="71" t="e">
        <f t="shared" si="24"/>
        <v>#DIV/0!</v>
      </c>
      <c r="AJ246" s="152">
        <f>'copy data3'!L300</f>
        <v>4450</v>
      </c>
      <c r="AK246" s="38">
        <f t="shared" si="25"/>
        <v>4409</v>
      </c>
      <c r="AL246" s="71" t="e">
        <f t="shared" si="26"/>
        <v>#DIV/0!</v>
      </c>
      <c r="AM246" s="152">
        <f>'copy data3'!N300</f>
        <v>4609</v>
      </c>
      <c r="AN246" s="38">
        <f t="shared" si="27"/>
        <v>4943.75</v>
      </c>
      <c r="AO246" s="71" t="e">
        <f t="shared" si="28"/>
        <v>#DIV/0!</v>
      </c>
      <c r="AP246" s="152">
        <f>'copy data3'!P300</f>
        <v>958</v>
      </c>
      <c r="AQ246" s="38">
        <f t="shared" si="29"/>
        <v>1058</v>
      </c>
      <c r="AR246" s="71" t="e">
        <f t="shared" si="30"/>
        <v>#DIV/0!</v>
      </c>
      <c r="AS246" s="153">
        <f>'copy data3'!R300</f>
        <v>10017</v>
      </c>
      <c r="AT246" s="38">
        <f t="shared" si="11"/>
        <v>10410.75</v>
      </c>
      <c r="AU246" s="71">
        <f t="shared" si="12"/>
        <v>97.80862457722661</v>
      </c>
    </row>
    <row r="247" spans="1:47" ht="15.6" x14ac:dyDescent="0.3">
      <c r="A247" s="55" t="s">
        <v>23</v>
      </c>
      <c r="B247" s="56">
        <v>916</v>
      </c>
      <c r="C247" s="56">
        <v>6231</v>
      </c>
      <c r="D247" s="56">
        <v>224</v>
      </c>
      <c r="E247" s="56">
        <v>2648</v>
      </c>
      <c r="F247" s="56">
        <v>1083</v>
      </c>
      <c r="G247" s="56">
        <v>5703</v>
      </c>
      <c r="H247" s="56">
        <v>487</v>
      </c>
      <c r="I247" s="56">
        <v>3132</v>
      </c>
      <c r="J247" s="56">
        <v>105</v>
      </c>
      <c r="K247" s="56">
        <v>640</v>
      </c>
      <c r="L247" s="56">
        <v>2814</v>
      </c>
      <c r="M247" s="56">
        <v>18354</v>
      </c>
      <c r="N247" s="56">
        <v>5152</v>
      </c>
      <c r="O247" s="56">
        <v>25283</v>
      </c>
      <c r="P247" s="56">
        <v>2679</v>
      </c>
      <c r="Q247" s="56">
        <v>24515</v>
      </c>
      <c r="R247" s="16">
        <f t="shared" si="13"/>
        <v>10645</v>
      </c>
      <c r="T247" s="144">
        <f t="shared" si="14"/>
        <v>38575</v>
      </c>
      <c r="U247" s="154">
        <f>'copy data3'!B301</f>
        <v>2045</v>
      </c>
      <c r="V247" s="38">
        <f t="shared" si="15"/>
        <v>2067</v>
      </c>
      <c r="W247" s="71" t="e">
        <f t="shared" si="16"/>
        <v>#DIV/0!</v>
      </c>
      <c r="X247" s="154">
        <f>'copy data3'!D301</f>
        <v>303</v>
      </c>
      <c r="Y247" s="38">
        <f t="shared" si="17"/>
        <v>320.75</v>
      </c>
      <c r="Z247" s="71" t="e">
        <f t="shared" si="18"/>
        <v>#DIV/0!</v>
      </c>
      <c r="AA247" s="152">
        <f>'copy data3'!F301</f>
        <v>1191</v>
      </c>
      <c r="AB247" s="38">
        <f t="shared" si="19"/>
        <v>1235</v>
      </c>
      <c r="AC247" s="71" t="e">
        <f t="shared" si="20"/>
        <v>#DIV/0!</v>
      </c>
      <c r="AD247" s="152">
        <f>'copy data3'!H301</f>
        <v>708</v>
      </c>
      <c r="AE247" s="38">
        <f t="shared" si="21"/>
        <v>676.5</v>
      </c>
      <c r="AF247" s="71" t="e">
        <f t="shared" si="22"/>
        <v>#DIV/0!</v>
      </c>
      <c r="AG247" s="152">
        <f>'copy data3'!J301</f>
        <v>103</v>
      </c>
      <c r="AH247" s="38">
        <f t="shared" si="23"/>
        <v>126.75</v>
      </c>
      <c r="AI247" s="71" t="e">
        <f t="shared" si="24"/>
        <v>#DIV/0!</v>
      </c>
      <c r="AJ247" s="152">
        <f>'copy data3'!L301</f>
        <v>4350</v>
      </c>
      <c r="AK247" s="38">
        <f t="shared" si="25"/>
        <v>4425</v>
      </c>
      <c r="AL247" s="71" t="e">
        <f t="shared" si="26"/>
        <v>#DIV/0!</v>
      </c>
      <c r="AM247" s="152">
        <f>'copy data3'!N301</f>
        <v>4330</v>
      </c>
      <c r="AN247" s="38">
        <f t="shared" si="27"/>
        <v>4649.25</v>
      </c>
      <c r="AO247" s="71" t="e">
        <f t="shared" si="28"/>
        <v>#DIV/0!</v>
      </c>
      <c r="AP247" s="152">
        <f>'copy data3'!P301</f>
        <v>901</v>
      </c>
      <c r="AQ247" s="38">
        <f t="shared" si="29"/>
        <v>966.5</v>
      </c>
      <c r="AR247" s="71" t="e">
        <f t="shared" si="30"/>
        <v>#DIV/0!</v>
      </c>
      <c r="AS247" s="153">
        <f>'copy data3'!R301</f>
        <v>9581</v>
      </c>
      <c r="AT247" s="38">
        <f t="shared" si="11"/>
        <v>10040.75</v>
      </c>
      <c r="AU247" s="71">
        <f t="shared" si="12"/>
        <v>99.364176150420576</v>
      </c>
    </row>
    <row r="248" spans="1:47" ht="15.6" x14ac:dyDescent="0.3">
      <c r="A248" s="55">
        <v>37371</v>
      </c>
      <c r="B248" s="56">
        <v>875</v>
      </c>
      <c r="C248" s="56">
        <v>7811</v>
      </c>
      <c r="D248" s="56">
        <v>593</v>
      </c>
      <c r="E248" s="56">
        <v>4971</v>
      </c>
      <c r="F248" s="56">
        <v>556</v>
      </c>
      <c r="G248" s="56">
        <v>5025</v>
      </c>
      <c r="H248" s="56">
        <v>438</v>
      </c>
      <c r="I248" s="56">
        <v>2863</v>
      </c>
      <c r="J248" s="56">
        <v>38</v>
      </c>
      <c r="K248" s="56">
        <v>1077</v>
      </c>
      <c r="L248" s="56">
        <v>2500</v>
      </c>
      <c r="M248" s="56">
        <v>21747</v>
      </c>
      <c r="N248" s="56">
        <v>6522</v>
      </c>
      <c r="O248" s="56">
        <v>29745</v>
      </c>
      <c r="P248" s="56">
        <v>2698</v>
      </c>
      <c r="Q248" s="56">
        <v>23989</v>
      </c>
      <c r="R248" s="16">
        <f t="shared" si="13"/>
        <v>11720</v>
      </c>
      <c r="T248" s="144">
        <f t="shared" si="14"/>
        <v>38582</v>
      </c>
      <c r="U248" s="154">
        <f>'copy data3'!B302</f>
        <v>2376</v>
      </c>
      <c r="V248" s="38">
        <f t="shared" si="15"/>
        <v>2167.25</v>
      </c>
      <c r="W248" s="71" t="e">
        <f t="shared" si="16"/>
        <v>#DIV/0!</v>
      </c>
      <c r="X248" s="154">
        <f>'copy data3'!D302</f>
        <v>361</v>
      </c>
      <c r="Y248" s="38">
        <f t="shared" si="17"/>
        <v>326</v>
      </c>
      <c r="Z248" s="71" t="e">
        <f t="shared" si="18"/>
        <v>#DIV/0!</v>
      </c>
      <c r="AA248" s="152">
        <f>'copy data3'!F302</f>
        <v>1177</v>
      </c>
      <c r="AB248" s="38">
        <f t="shared" si="19"/>
        <v>1208.5</v>
      </c>
      <c r="AC248" s="71" t="e">
        <f t="shared" si="20"/>
        <v>#DIV/0!</v>
      </c>
      <c r="AD248" s="152">
        <f>'copy data3'!H302</f>
        <v>819</v>
      </c>
      <c r="AE248" s="38">
        <f t="shared" si="21"/>
        <v>727</v>
      </c>
      <c r="AF248" s="71" t="e">
        <f t="shared" si="22"/>
        <v>#DIV/0!</v>
      </c>
      <c r="AG248" s="152">
        <f>'copy data3'!J302</f>
        <v>83</v>
      </c>
      <c r="AH248" s="38">
        <f t="shared" si="23"/>
        <v>118.25</v>
      </c>
      <c r="AI248" s="71" t="e">
        <f t="shared" si="24"/>
        <v>#DIV/0!</v>
      </c>
      <c r="AJ248" s="152">
        <f>'copy data3'!L302</f>
        <v>4815</v>
      </c>
      <c r="AK248" s="38">
        <f t="shared" si="25"/>
        <v>4546</v>
      </c>
      <c r="AL248" s="71" t="e">
        <f t="shared" si="26"/>
        <v>#DIV/0!</v>
      </c>
      <c r="AM248" s="152">
        <f>'copy data3'!N302</f>
        <v>3799</v>
      </c>
      <c r="AN248" s="38">
        <f t="shared" si="27"/>
        <v>4309</v>
      </c>
      <c r="AO248" s="71" t="e">
        <f t="shared" si="28"/>
        <v>#DIV/0!</v>
      </c>
      <c r="AP248" s="152">
        <f>'copy data3'!P302</f>
        <v>853</v>
      </c>
      <c r="AQ248" s="38">
        <f t="shared" si="29"/>
        <v>927.75</v>
      </c>
      <c r="AR248" s="71" t="e">
        <f t="shared" si="30"/>
        <v>#DIV/0!</v>
      </c>
      <c r="AS248" s="153">
        <f>'copy data3'!R302</f>
        <v>9467</v>
      </c>
      <c r="AT248" s="38">
        <f t="shared" si="11"/>
        <v>9782.75</v>
      </c>
      <c r="AU248" s="71">
        <f t="shared" si="12"/>
        <v>106.38049151805133</v>
      </c>
    </row>
    <row r="249" spans="1:47" ht="15.6" x14ac:dyDescent="0.3">
      <c r="A249" s="55" t="s">
        <v>24</v>
      </c>
      <c r="B249" s="56">
        <v>893</v>
      </c>
      <c r="C249" s="56">
        <v>6291</v>
      </c>
      <c r="D249" s="56">
        <v>179</v>
      </c>
      <c r="E249" s="56">
        <v>2698</v>
      </c>
      <c r="F249" s="56">
        <v>1077</v>
      </c>
      <c r="G249" s="56">
        <v>5857</v>
      </c>
      <c r="H249" s="56">
        <v>471</v>
      </c>
      <c r="I249" s="56">
        <v>3193</v>
      </c>
      <c r="J249" s="56">
        <v>55</v>
      </c>
      <c r="K249" s="56">
        <v>687</v>
      </c>
      <c r="L249" s="56">
        <v>2675</v>
      </c>
      <c r="M249" s="56">
        <v>18725</v>
      </c>
      <c r="N249" s="56">
        <v>5379</v>
      </c>
      <c r="O249" s="56">
        <v>25967</v>
      </c>
      <c r="P249" s="56">
        <v>2497</v>
      </c>
      <c r="Q249" s="56">
        <v>24918</v>
      </c>
      <c r="R249" s="16">
        <f t="shared" si="13"/>
        <v>10551</v>
      </c>
      <c r="T249" s="144">
        <f t="shared" si="14"/>
        <v>38589</v>
      </c>
      <c r="U249" s="154">
        <f>'copy data3'!B303</f>
        <v>2338</v>
      </c>
      <c r="V249" s="38">
        <f t="shared" si="15"/>
        <v>2206.5</v>
      </c>
      <c r="W249" s="71" t="e">
        <f t="shared" si="16"/>
        <v>#DIV/0!</v>
      </c>
      <c r="X249" s="154">
        <f>'copy data3'!D303</f>
        <v>385</v>
      </c>
      <c r="Y249" s="38">
        <f t="shared" si="17"/>
        <v>345.25</v>
      </c>
      <c r="Z249" s="71" t="e">
        <f t="shared" si="18"/>
        <v>#DIV/0!</v>
      </c>
      <c r="AA249" s="152">
        <f>'copy data3'!F303</f>
        <v>1182</v>
      </c>
      <c r="AB249" s="38">
        <f t="shared" si="19"/>
        <v>1187.5</v>
      </c>
      <c r="AC249" s="71" t="e">
        <f t="shared" si="20"/>
        <v>#DIV/0!</v>
      </c>
      <c r="AD249" s="152">
        <f>'copy data3'!H303</f>
        <v>663</v>
      </c>
      <c r="AE249" s="38">
        <f t="shared" si="21"/>
        <v>724.25</v>
      </c>
      <c r="AF249" s="71" t="e">
        <f t="shared" si="22"/>
        <v>#DIV/0!</v>
      </c>
      <c r="AG249" s="152">
        <f>'copy data3'!J303</f>
        <v>77</v>
      </c>
      <c r="AH249" s="38">
        <f t="shared" si="23"/>
        <v>102</v>
      </c>
      <c r="AI249" s="71" t="e">
        <f t="shared" si="24"/>
        <v>#DIV/0!</v>
      </c>
      <c r="AJ249" s="152">
        <f>'copy data3'!L303</f>
        <v>4645</v>
      </c>
      <c r="AK249" s="38">
        <f t="shared" si="25"/>
        <v>4565</v>
      </c>
      <c r="AL249" s="71" t="e">
        <f t="shared" si="26"/>
        <v>#DIV/0!</v>
      </c>
      <c r="AM249" s="152">
        <f>'copy data3'!N303</f>
        <v>2780</v>
      </c>
      <c r="AN249" s="38">
        <f t="shared" si="27"/>
        <v>3879.5</v>
      </c>
      <c r="AO249" s="71" t="e">
        <f t="shared" si="28"/>
        <v>#DIV/0!</v>
      </c>
      <c r="AP249" s="152">
        <f>'copy data3'!P303</f>
        <v>699</v>
      </c>
      <c r="AQ249" s="38">
        <f t="shared" si="29"/>
        <v>852.75</v>
      </c>
      <c r="AR249" s="71" t="e">
        <f t="shared" si="30"/>
        <v>#DIV/0!</v>
      </c>
      <c r="AS249" s="153">
        <f>'copy data3'!R303</f>
        <v>8124</v>
      </c>
      <c r="AT249" s="38">
        <f t="shared" si="11"/>
        <v>9297.25</v>
      </c>
      <c r="AU249" s="71">
        <f t="shared" si="12"/>
        <v>112.36705342035292</v>
      </c>
    </row>
    <row r="250" spans="1:47" ht="15.6" x14ac:dyDescent="0.3">
      <c r="A250" s="55">
        <v>37378</v>
      </c>
      <c r="B250" s="56">
        <v>704</v>
      </c>
      <c r="C250" s="56">
        <v>8073</v>
      </c>
      <c r="D250" s="56">
        <v>501</v>
      </c>
      <c r="E250" s="56">
        <v>5074</v>
      </c>
      <c r="F250" s="56">
        <v>476</v>
      </c>
      <c r="G250" s="56">
        <v>5130</v>
      </c>
      <c r="H250" s="56">
        <v>368</v>
      </c>
      <c r="I250" s="56">
        <v>2946</v>
      </c>
      <c r="J250" s="56">
        <v>38</v>
      </c>
      <c r="K250" s="56">
        <v>1080</v>
      </c>
      <c r="L250" s="56">
        <v>2088</v>
      </c>
      <c r="M250" s="56">
        <v>22303</v>
      </c>
      <c r="N250" s="56">
        <v>6405</v>
      </c>
      <c r="O250" s="56">
        <v>30601</v>
      </c>
      <c r="P250" s="56">
        <v>2711</v>
      </c>
      <c r="Q250" s="56">
        <v>24236</v>
      </c>
      <c r="R250" s="16">
        <f t="shared" si="13"/>
        <v>11204</v>
      </c>
      <c r="T250" s="144">
        <f t="shared" si="14"/>
        <v>38596</v>
      </c>
      <c r="U250" s="154">
        <f>'copy data3'!B304</f>
        <v>2482</v>
      </c>
      <c r="V250" s="38">
        <f t="shared" si="15"/>
        <v>2310.25</v>
      </c>
      <c r="W250" s="71" t="e">
        <f t="shared" si="16"/>
        <v>#DIV/0!</v>
      </c>
      <c r="X250" s="154">
        <f>'copy data3'!D304</f>
        <v>421</v>
      </c>
      <c r="Y250" s="38">
        <f t="shared" si="17"/>
        <v>367.5</v>
      </c>
      <c r="Z250" s="71" t="e">
        <f t="shared" si="18"/>
        <v>#DIV/0!</v>
      </c>
      <c r="AA250" s="152">
        <f>'copy data3'!F304</f>
        <v>1237</v>
      </c>
      <c r="AB250" s="38">
        <f t="shared" si="19"/>
        <v>1196.75</v>
      </c>
      <c r="AC250" s="71" t="e">
        <f t="shared" si="20"/>
        <v>#DIV/0!</v>
      </c>
      <c r="AD250" s="152">
        <f>'copy data3'!H304</f>
        <v>830</v>
      </c>
      <c r="AE250" s="38">
        <f t="shared" si="21"/>
        <v>755</v>
      </c>
      <c r="AF250" s="71" t="e">
        <f t="shared" si="22"/>
        <v>#DIV/0!</v>
      </c>
      <c r="AG250" s="152">
        <f>'copy data3'!J304</f>
        <v>97</v>
      </c>
      <c r="AH250" s="38">
        <f t="shared" si="23"/>
        <v>90</v>
      </c>
      <c r="AI250" s="71" t="e">
        <f t="shared" si="24"/>
        <v>#DIV/0!</v>
      </c>
      <c r="AJ250" s="152">
        <f>'copy data3'!L304</f>
        <v>5067</v>
      </c>
      <c r="AK250" s="38">
        <f t="shared" si="25"/>
        <v>4719.25</v>
      </c>
      <c r="AL250" s="71" t="e">
        <f t="shared" si="26"/>
        <v>#DIV/0!</v>
      </c>
      <c r="AM250" s="152">
        <f>'copy data3'!N304</f>
        <v>7864</v>
      </c>
      <c r="AN250" s="38">
        <f t="shared" si="27"/>
        <v>4693.25</v>
      </c>
      <c r="AO250" s="71" t="e">
        <f t="shared" si="28"/>
        <v>#DIV/0!</v>
      </c>
      <c r="AP250" s="152">
        <f>'copy data3'!P304</f>
        <v>439</v>
      </c>
      <c r="AQ250" s="38">
        <f t="shared" si="29"/>
        <v>723</v>
      </c>
      <c r="AR250" s="71" t="e">
        <f t="shared" si="30"/>
        <v>#DIV/0!</v>
      </c>
      <c r="AS250" s="153">
        <f>'copy data3'!R304</f>
        <v>13370</v>
      </c>
      <c r="AT250" s="38">
        <f t="shared" si="11"/>
        <v>10135.5</v>
      </c>
      <c r="AU250" s="71">
        <f t="shared" si="12"/>
        <v>55.108199217050888</v>
      </c>
    </row>
    <row r="251" spans="1:47" ht="15.6" x14ac:dyDescent="0.3">
      <c r="A251" s="55" t="s">
        <v>25</v>
      </c>
      <c r="B251" s="56">
        <v>824</v>
      </c>
      <c r="C251" s="56">
        <v>6493</v>
      </c>
      <c r="D251" s="56">
        <v>174</v>
      </c>
      <c r="E251" s="56">
        <v>2717</v>
      </c>
      <c r="F251" s="56">
        <v>945</v>
      </c>
      <c r="G251" s="56">
        <v>6016</v>
      </c>
      <c r="H251" s="56">
        <v>373</v>
      </c>
      <c r="I251" s="56">
        <v>3300</v>
      </c>
      <c r="J251" s="56">
        <v>60</v>
      </c>
      <c r="K251" s="56">
        <v>694</v>
      </c>
      <c r="L251" s="56">
        <v>2375</v>
      </c>
      <c r="M251" s="56">
        <v>19219</v>
      </c>
      <c r="N251" s="56">
        <v>5431</v>
      </c>
      <c r="O251" s="56">
        <v>26483</v>
      </c>
      <c r="P251" s="56">
        <v>2169</v>
      </c>
      <c r="Q251" s="56">
        <v>25282</v>
      </c>
      <c r="R251" s="16">
        <f t="shared" si="13"/>
        <v>9975</v>
      </c>
      <c r="T251" s="144">
        <f t="shared" si="14"/>
        <v>38603</v>
      </c>
      <c r="U251" s="154">
        <f>'copy data3'!B305</f>
        <v>2559</v>
      </c>
      <c r="V251" s="38">
        <f t="shared" si="15"/>
        <v>2438.75</v>
      </c>
      <c r="W251" s="71" t="e">
        <f t="shared" si="16"/>
        <v>#DIV/0!</v>
      </c>
      <c r="X251" s="154">
        <f>'copy data3'!D305</f>
        <v>437</v>
      </c>
      <c r="Y251" s="38">
        <f t="shared" si="17"/>
        <v>401</v>
      </c>
      <c r="Z251" s="71" t="e">
        <f t="shared" si="18"/>
        <v>#DIV/0!</v>
      </c>
      <c r="AA251" s="152">
        <f>'copy data3'!F305</f>
        <v>1321</v>
      </c>
      <c r="AB251" s="38">
        <f t="shared" si="19"/>
        <v>1229.25</v>
      </c>
      <c r="AC251" s="71" t="e">
        <f t="shared" si="20"/>
        <v>#DIV/0!</v>
      </c>
      <c r="AD251" s="152">
        <f>'copy data3'!H305</f>
        <v>876</v>
      </c>
      <c r="AE251" s="38">
        <f t="shared" si="21"/>
        <v>797</v>
      </c>
      <c r="AF251" s="71" t="e">
        <f t="shared" si="22"/>
        <v>#DIV/0!</v>
      </c>
      <c r="AG251" s="152">
        <f>'copy data3'!J305</f>
        <v>70</v>
      </c>
      <c r="AH251" s="38">
        <f t="shared" si="23"/>
        <v>81.75</v>
      </c>
      <c r="AI251" s="71" t="e">
        <f t="shared" si="24"/>
        <v>#DIV/0!</v>
      </c>
      <c r="AJ251" s="152">
        <f>'copy data3'!L305</f>
        <v>5263</v>
      </c>
      <c r="AK251" s="38">
        <f t="shared" si="25"/>
        <v>4947.5</v>
      </c>
      <c r="AL251" s="71" t="e">
        <f t="shared" si="26"/>
        <v>#DIV/0!</v>
      </c>
      <c r="AM251" s="152">
        <f>'copy data3'!N305</f>
        <v>7896</v>
      </c>
      <c r="AN251" s="38">
        <f t="shared" si="27"/>
        <v>5584.75</v>
      </c>
      <c r="AO251" s="71" t="e">
        <f t="shared" si="28"/>
        <v>#DIV/0!</v>
      </c>
      <c r="AP251" s="152">
        <f>'copy data3'!P305</f>
        <v>4422</v>
      </c>
      <c r="AQ251" s="38">
        <f t="shared" si="29"/>
        <v>1603.25</v>
      </c>
      <c r="AR251" s="71" t="e">
        <f t="shared" si="30"/>
        <v>#DIV/0!</v>
      </c>
      <c r="AS251" s="153">
        <f>'copy data3'!R305</f>
        <v>17581</v>
      </c>
      <c r="AT251" s="38">
        <f t="shared" si="11"/>
        <v>12135.5</v>
      </c>
      <c r="AU251" s="71">
        <f t="shared" si="12"/>
        <v>63.985553095012129</v>
      </c>
    </row>
    <row r="252" spans="1:47" ht="15.6" x14ac:dyDescent="0.3">
      <c r="A252" s="55">
        <v>37385</v>
      </c>
      <c r="B252" s="56">
        <v>591</v>
      </c>
      <c r="C252" s="56">
        <v>8277</v>
      </c>
      <c r="D252" s="56">
        <v>320</v>
      </c>
      <c r="E252" s="56">
        <v>5265</v>
      </c>
      <c r="F252" s="56">
        <v>392</v>
      </c>
      <c r="G252" s="56">
        <v>5291</v>
      </c>
      <c r="H252" s="56">
        <v>332</v>
      </c>
      <c r="I252" s="56">
        <v>2991</v>
      </c>
      <c r="J252" s="56">
        <v>19</v>
      </c>
      <c r="K252" s="56">
        <v>1105</v>
      </c>
      <c r="L252" s="56">
        <v>1653</v>
      </c>
      <c r="M252" s="56">
        <v>22929</v>
      </c>
      <c r="N252" s="56">
        <v>6836</v>
      </c>
      <c r="O252" s="56">
        <v>31637</v>
      </c>
      <c r="P252" s="56">
        <v>2495</v>
      </c>
      <c r="Q252" s="56">
        <v>24804</v>
      </c>
      <c r="R252" s="16">
        <f t="shared" si="13"/>
        <v>10984</v>
      </c>
      <c r="T252" s="144">
        <f t="shared" si="14"/>
        <v>38610</v>
      </c>
      <c r="U252" s="154">
        <f>'copy data3'!B306</f>
        <v>2496</v>
      </c>
      <c r="V252" s="38">
        <f t="shared" si="15"/>
        <v>2468.75</v>
      </c>
      <c r="W252" s="71" t="e">
        <f t="shared" si="16"/>
        <v>#DIV/0!</v>
      </c>
      <c r="X252" s="154">
        <f>'copy data3'!D306</f>
        <v>389</v>
      </c>
      <c r="Y252" s="38">
        <f t="shared" si="17"/>
        <v>408</v>
      </c>
      <c r="Z252" s="71" t="e">
        <f t="shared" si="18"/>
        <v>#DIV/0!</v>
      </c>
      <c r="AA252" s="152">
        <f>'copy data3'!F306</f>
        <v>1281</v>
      </c>
      <c r="AB252" s="38">
        <f t="shared" si="19"/>
        <v>1255.25</v>
      </c>
      <c r="AC252" s="71" t="e">
        <f t="shared" si="20"/>
        <v>#DIV/0!</v>
      </c>
      <c r="AD252" s="152">
        <f>'copy data3'!H306</f>
        <v>993</v>
      </c>
      <c r="AE252" s="38">
        <f t="shared" si="21"/>
        <v>840.5</v>
      </c>
      <c r="AF252" s="71" t="e">
        <f t="shared" si="22"/>
        <v>#DIV/0!</v>
      </c>
      <c r="AG252" s="152">
        <f>'copy data3'!J306</f>
        <v>94</v>
      </c>
      <c r="AH252" s="38">
        <f t="shared" si="23"/>
        <v>84.5</v>
      </c>
      <c r="AI252" s="71" t="e">
        <f t="shared" si="24"/>
        <v>#DIV/0!</v>
      </c>
      <c r="AJ252" s="152">
        <f>'copy data3'!L306</f>
        <v>5252</v>
      </c>
      <c r="AK252" s="38">
        <f t="shared" si="25"/>
        <v>5056.75</v>
      </c>
      <c r="AL252" s="71" t="e">
        <f t="shared" si="26"/>
        <v>#DIV/0!</v>
      </c>
      <c r="AM252" s="152">
        <f>'copy data3'!N306</f>
        <v>7818</v>
      </c>
      <c r="AN252" s="38">
        <f t="shared" si="27"/>
        <v>6589.5</v>
      </c>
      <c r="AO252" s="71" t="e">
        <f t="shared" si="28"/>
        <v>#DIV/0!</v>
      </c>
      <c r="AP252" s="152">
        <f>'copy data3'!P306</f>
        <v>5017</v>
      </c>
      <c r="AQ252" s="38">
        <f t="shared" si="29"/>
        <v>2644.25</v>
      </c>
      <c r="AR252" s="71" t="e">
        <f t="shared" si="30"/>
        <v>#DIV/0!</v>
      </c>
      <c r="AS252" s="153">
        <f>'copy data3'!R306</f>
        <v>18087</v>
      </c>
      <c r="AT252" s="38">
        <f t="shared" si="11"/>
        <v>14290.5</v>
      </c>
      <c r="AU252" s="71">
        <f t="shared" si="12"/>
        <v>71.171373076348416</v>
      </c>
    </row>
    <row r="253" spans="1:47" ht="15.6" x14ac:dyDescent="0.3">
      <c r="A253" s="55" t="s">
        <v>26</v>
      </c>
      <c r="B253" s="56">
        <v>752</v>
      </c>
      <c r="C253" s="56">
        <v>6629</v>
      </c>
      <c r="D253" s="56">
        <v>130</v>
      </c>
      <c r="E253" s="56">
        <v>2761</v>
      </c>
      <c r="F253" s="56">
        <v>845</v>
      </c>
      <c r="G253" s="56">
        <v>6213</v>
      </c>
      <c r="H253" s="56">
        <v>437</v>
      </c>
      <c r="I253" s="56">
        <v>3342</v>
      </c>
      <c r="J253" s="56">
        <v>42</v>
      </c>
      <c r="K253" s="56">
        <v>714</v>
      </c>
      <c r="L253" s="56">
        <v>2174</v>
      </c>
      <c r="M253" s="56">
        <v>19659</v>
      </c>
      <c r="N253" s="56">
        <v>5879</v>
      </c>
      <c r="O253" s="56">
        <v>27099</v>
      </c>
      <c r="P253" s="56">
        <v>2003</v>
      </c>
      <c r="Q253" s="56">
        <v>25591</v>
      </c>
      <c r="R253" s="16">
        <f t="shared" si="13"/>
        <v>10056</v>
      </c>
      <c r="T253" s="144">
        <f t="shared" si="14"/>
        <v>38617</v>
      </c>
      <c r="U253" s="154">
        <f>'copy data3'!B307</f>
        <v>2600</v>
      </c>
      <c r="V253" s="38">
        <f t="shared" si="15"/>
        <v>2534.25</v>
      </c>
      <c r="W253" s="71" t="e">
        <f t="shared" si="16"/>
        <v>#DIV/0!</v>
      </c>
      <c r="X253" s="154">
        <f>'copy data3'!D307</f>
        <v>365</v>
      </c>
      <c r="Y253" s="38">
        <f t="shared" si="17"/>
        <v>403</v>
      </c>
      <c r="Z253" s="71" t="e">
        <f t="shared" si="18"/>
        <v>#DIV/0!</v>
      </c>
      <c r="AA253" s="152">
        <f>'copy data3'!F307</f>
        <v>1178</v>
      </c>
      <c r="AB253" s="38">
        <f t="shared" si="19"/>
        <v>1254.25</v>
      </c>
      <c r="AC253" s="71" t="e">
        <f t="shared" si="20"/>
        <v>#DIV/0!</v>
      </c>
      <c r="AD253" s="152">
        <f>'copy data3'!H307</f>
        <v>993</v>
      </c>
      <c r="AE253" s="38">
        <f t="shared" si="21"/>
        <v>923</v>
      </c>
      <c r="AF253" s="71" t="e">
        <f t="shared" si="22"/>
        <v>#DIV/0!</v>
      </c>
      <c r="AG253" s="152">
        <f>'copy data3'!J307</f>
        <v>100</v>
      </c>
      <c r="AH253" s="38">
        <f t="shared" si="23"/>
        <v>90.25</v>
      </c>
      <c r="AI253" s="71" t="e">
        <f t="shared" si="24"/>
        <v>#DIV/0!</v>
      </c>
      <c r="AJ253" s="152">
        <f>'copy data3'!L307</f>
        <v>5237</v>
      </c>
      <c r="AK253" s="38">
        <f t="shared" si="25"/>
        <v>5204.75</v>
      </c>
      <c r="AL253" s="71" t="e">
        <f t="shared" si="26"/>
        <v>#DIV/0!</v>
      </c>
      <c r="AM253" s="152">
        <f>'copy data3'!N307</f>
        <v>7564</v>
      </c>
      <c r="AN253" s="38">
        <f t="shared" si="27"/>
        <v>7785.5</v>
      </c>
      <c r="AO253" s="71" t="e">
        <f t="shared" si="28"/>
        <v>#DIV/0!</v>
      </c>
      <c r="AP253" s="152">
        <f>'copy data3'!P307</f>
        <v>5473</v>
      </c>
      <c r="AQ253" s="38">
        <f t="shared" si="29"/>
        <v>3837.75</v>
      </c>
      <c r="AR253" s="71" t="e">
        <f t="shared" si="30"/>
        <v>#DIV/0!</v>
      </c>
      <c r="AS253" s="153">
        <f>'copy data3'!R307</f>
        <v>18274</v>
      </c>
      <c r="AT253" s="38">
        <f t="shared" si="11"/>
        <v>16828</v>
      </c>
      <c r="AU253" s="71">
        <f t="shared" ref="AU253:AU316" si="31">(AT253/AS201)*100</f>
        <v>83.497072541430981</v>
      </c>
    </row>
    <row r="254" spans="1:47" ht="15.6" x14ac:dyDescent="0.3">
      <c r="A254" s="55">
        <v>37392</v>
      </c>
      <c r="B254" s="56">
        <v>571</v>
      </c>
      <c r="C254" s="56">
        <v>8401</v>
      </c>
      <c r="D254" s="56">
        <v>278</v>
      </c>
      <c r="E254" s="56">
        <v>5386</v>
      </c>
      <c r="F254" s="56">
        <v>397</v>
      </c>
      <c r="G254" s="56">
        <v>5338</v>
      </c>
      <c r="H254" s="56">
        <v>317</v>
      </c>
      <c r="I254" s="56">
        <v>3045</v>
      </c>
      <c r="J254" s="56">
        <v>21</v>
      </c>
      <c r="K254" s="56">
        <v>1108</v>
      </c>
      <c r="L254" s="56">
        <v>1583</v>
      </c>
      <c r="M254" s="56">
        <v>23279</v>
      </c>
      <c r="N254" s="56">
        <v>6814</v>
      </c>
      <c r="O254" s="56">
        <v>32618</v>
      </c>
      <c r="P254" s="56">
        <v>2429</v>
      </c>
      <c r="Q254" s="56">
        <v>25202</v>
      </c>
      <c r="R254" s="16">
        <f t="shared" si="13"/>
        <v>10826</v>
      </c>
      <c r="T254" s="144">
        <f t="shared" si="14"/>
        <v>38624</v>
      </c>
      <c r="U254" s="154">
        <f>'copy data3'!B308</f>
        <v>2520</v>
      </c>
      <c r="V254" s="38">
        <f t="shared" si="15"/>
        <v>2543.75</v>
      </c>
      <c r="W254" s="71" t="e">
        <f t="shared" si="16"/>
        <v>#DIV/0!</v>
      </c>
      <c r="X254" s="154">
        <f>'copy data3'!D308</f>
        <v>365</v>
      </c>
      <c r="Y254" s="38">
        <f t="shared" si="17"/>
        <v>389</v>
      </c>
      <c r="Z254" s="71" t="e">
        <f t="shared" si="18"/>
        <v>#DIV/0!</v>
      </c>
      <c r="AA254" s="152">
        <f>'copy data3'!F308</f>
        <v>1282</v>
      </c>
      <c r="AB254" s="38">
        <f t="shared" si="19"/>
        <v>1265.5</v>
      </c>
      <c r="AC254" s="71" t="e">
        <f t="shared" si="20"/>
        <v>#DIV/0!</v>
      </c>
      <c r="AD254" s="152">
        <f>'copy data3'!H308</f>
        <v>871</v>
      </c>
      <c r="AE254" s="38">
        <f t="shared" si="21"/>
        <v>933.25</v>
      </c>
      <c r="AF254" s="71" t="e">
        <f t="shared" si="22"/>
        <v>#DIV/0!</v>
      </c>
      <c r="AG254" s="152">
        <f>'copy data3'!J308</f>
        <v>90</v>
      </c>
      <c r="AH254" s="38">
        <f t="shared" si="23"/>
        <v>88.5</v>
      </c>
      <c r="AI254" s="71" t="e">
        <f t="shared" si="24"/>
        <v>#DIV/0!</v>
      </c>
      <c r="AJ254" s="152">
        <f>'copy data3'!L308</f>
        <v>5128</v>
      </c>
      <c r="AK254" s="38">
        <f t="shared" si="25"/>
        <v>5220</v>
      </c>
      <c r="AL254" s="71" t="e">
        <f t="shared" si="26"/>
        <v>#DIV/0!</v>
      </c>
      <c r="AM254" s="152">
        <f>'copy data3'!N308</f>
        <v>7735</v>
      </c>
      <c r="AN254" s="38">
        <f t="shared" si="27"/>
        <v>7753.25</v>
      </c>
      <c r="AO254" s="71" t="e">
        <f t="shared" si="28"/>
        <v>#DIV/0!</v>
      </c>
      <c r="AP254" s="152">
        <f>'copy data3'!P308</f>
        <v>5809</v>
      </c>
      <c r="AQ254" s="38">
        <f t="shared" si="29"/>
        <v>5180.25</v>
      </c>
      <c r="AR254" s="71" t="e">
        <f t="shared" si="30"/>
        <v>#DIV/0!</v>
      </c>
      <c r="AS254" s="153">
        <f>'copy data3'!R308</f>
        <v>18672</v>
      </c>
      <c r="AT254" s="38">
        <f t="shared" si="11"/>
        <v>18153.5</v>
      </c>
      <c r="AU254" s="71">
        <f t="shared" si="31"/>
        <v>88.957220561572015</v>
      </c>
    </row>
    <row r="255" spans="1:47" ht="15.6" x14ac:dyDescent="0.3">
      <c r="A255" s="55" t="s">
        <v>27</v>
      </c>
      <c r="B255" s="56">
        <v>619</v>
      </c>
      <c r="C255" s="56">
        <v>6742</v>
      </c>
      <c r="D255" s="56">
        <v>108</v>
      </c>
      <c r="E255" s="56">
        <v>2801</v>
      </c>
      <c r="F255" s="56">
        <v>775</v>
      </c>
      <c r="G255" s="56">
        <v>6347</v>
      </c>
      <c r="H255" s="56">
        <v>390</v>
      </c>
      <c r="I255" s="56">
        <v>3404</v>
      </c>
      <c r="J255" s="56">
        <v>38</v>
      </c>
      <c r="K255" s="56">
        <v>720</v>
      </c>
      <c r="L255" s="56">
        <v>1929</v>
      </c>
      <c r="M255" s="56">
        <v>20013</v>
      </c>
      <c r="N255" s="56">
        <v>5804</v>
      </c>
      <c r="O255" s="56">
        <v>27930</v>
      </c>
      <c r="P255" s="56">
        <v>1997</v>
      </c>
      <c r="Q255" s="56">
        <v>25701</v>
      </c>
      <c r="R255" s="16">
        <f t="shared" si="13"/>
        <v>9730</v>
      </c>
      <c r="T255" s="144">
        <f t="shared" si="14"/>
        <v>38631</v>
      </c>
      <c r="U255" s="154">
        <f>'copy data3'!B309</f>
        <v>2469</v>
      </c>
      <c r="V255" s="38">
        <f t="shared" si="15"/>
        <v>2521.25</v>
      </c>
      <c r="W255" s="71" t="e">
        <f t="shared" si="16"/>
        <v>#DIV/0!</v>
      </c>
      <c r="X255" s="154">
        <f>'copy data3'!D309</f>
        <v>298</v>
      </c>
      <c r="Y255" s="38">
        <f t="shared" si="17"/>
        <v>354.25</v>
      </c>
      <c r="Z255" s="71" t="e">
        <f t="shared" si="18"/>
        <v>#DIV/0!</v>
      </c>
      <c r="AA255" s="152">
        <f>'copy data3'!F309</f>
        <v>1158</v>
      </c>
      <c r="AB255" s="38">
        <f t="shared" si="19"/>
        <v>1224.75</v>
      </c>
      <c r="AC255" s="71" t="e">
        <f t="shared" si="20"/>
        <v>#DIV/0!</v>
      </c>
      <c r="AD255" s="152">
        <f>'copy data3'!H309</f>
        <v>800</v>
      </c>
      <c r="AE255" s="38">
        <f t="shared" si="21"/>
        <v>914.25</v>
      </c>
      <c r="AF255" s="71" t="e">
        <f t="shared" si="22"/>
        <v>#DIV/0!</v>
      </c>
      <c r="AG255" s="152">
        <f>'copy data3'!J309</f>
        <v>84</v>
      </c>
      <c r="AH255" s="38">
        <f t="shared" si="23"/>
        <v>92</v>
      </c>
      <c r="AI255" s="71" t="e">
        <f t="shared" si="24"/>
        <v>#DIV/0!</v>
      </c>
      <c r="AJ255" s="152">
        <f>'copy data3'!L309</f>
        <v>4809</v>
      </c>
      <c r="AK255" s="38">
        <f t="shared" si="25"/>
        <v>5106.5</v>
      </c>
      <c r="AL255" s="71" t="e">
        <f t="shared" si="26"/>
        <v>#DIV/0!</v>
      </c>
      <c r="AM255" s="152">
        <f>'copy data3'!N309</f>
        <v>7645</v>
      </c>
      <c r="AN255" s="38">
        <f t="shared" si="27"/>
        <v>7690.5</v>
      </c>
      <c r="AO255" s="71" t="e">
        <f t="shared" si="28"/>
        <v>#DIV/0!</v>
      </c>
      <c r="AP255" s="152">
        <f>'copy data3'!P309</f>
        <v>6096</v>
      </c>
      <c r="AQ255" s="38">
        <f t="shared" si="29"/>
        <v>5598.75</v>
      </c>
      <c r="AR255" s="71" t="e">
        <f t="shared" si="30"/>
        <v>#DIV/0!</v>
      </c>
      <c r="AS255" s="153">
        <f>'copy data3'!R309</f>
        <v>18550</v>
      </c>
      <c r="AT255" s="38">
        <f t="shared" si="11"/>
        <v>18395.75</v>
      </c>
      <c r="AU255" s="71">
        <f t="shared" si="31"/>
        <v>85.569587868638948</v>
      </c>
    </row>
    <row r="256" spans="1:47" ht="15.6" x14ac:dyDescent="0.3">
      <c r="A256" s="55">
        <v>37399</v>
      </c>
      <c r="B256" s="56">
        <v>440</v>
      </c>
      <c r="C256" s="56">
        <v>8550</v>
      </c>
      <c r="D256" s="56">
        <v>203</v>
      </c>
      <c r="E256" s="56">
        <v>5430</v>
      </c>
      <c r="F256" s="56">
        <v>312</v>
      </c>
      <c r="G256" s="56">
        <v>5469</v>
      </c>
      <c r="H256" s="56">
        <v>335</v>
      </c>
      <c r="I256" s="56">
        <v>3094</v>
      </c>
      <c r="J256" s="56">
        <v>21</v>
      </c>
      <c r="K256" s="56">
        <v>1113</v>
      </c>
      <c r="L256" s="56">
        <v>1309</v>
      </c>
      <c r="M256" s="56">
        <v>23656</v>
      </c>
      <c r="N256" s="56">
        <v>6582</v>
      </c>
      <c r="O256" s="56">
        <v>33979</v>
      </c>
      <c r="P256" s="56">
        <v>2522</v>
      </c>
      <c r="Q256" s="56">
        <v>25454</v>
      </c>
      <c r="R256" s="16">
        <f t="shared" si="13"/>
        <v>10413</v>
      </c>
      <c r="T256" s="144">
        <f t="shared" si="14"/>
        <v>38638</v>
      </c>
      <c r="U256" s="154">
        <f>'copy data3'!B310</f>
        <v>2355</v>
      </c>
      <c r="V256" s="38">
        <f t="shared" si="15"/>
        <v>2486</v>
      </c>
      <c r="W256" s="71" t="e">
        <f t="shared" si="16"/>
        <v>#DIV/0!</v>
      </c>
      <c r="X256" s="154">
        <f>'copy data3'!D310</f>
        <v>313</v>
      </c>
      <c r="Y256" s="38">
        <f t="shared" si="17"/>
        <v>335.25</v>
      </c>
      <c r="Z256" s="71" t="e">
        <f t="shared" si="18"/>
        <v>#DIV/0!</v>
      </c>
      <c r="AA256" s="152">
        <f>'copy data3'!F310</f>
        <v>1137</v>
      </c>
      <c r="AB256" s="38">
        <f t="shared" si="19"/>
        <v>1188.75</v>
      </c>
      <c r="AC256" s="71" t="e">
        <f t="shared" si="20"/>
        <v>#DIV/0!</v>
      </c>
      <c r="AD256" s="152">
        <f>'copy data3'!H310</f>
        <v>777</v>
      </c>
      <c r="AE256" s="38">
        <f t="shared" si="21"/>
        <v>860.25</v>
      </c>
      <c r="AF256" s="71" t="e">
        <f t="shared" si="22"/>
        <v>#DIV/0!</v>
      </c>
      <c r="AG256" s="152">
        <f>'copy data3'!J310</f>
        <v>70</v>
      </c>
      <c r="AH256" s="38">
        <f t="shared" si="23"/>
        <v>86</v>
      </c>
      <c r="AI256" s="71" t="e">
        <f t="shared" si="24"/>
        <v>#DIV/0!</v>
      </c>
      <c r="AJ256" s="152">
        <f>'copy data3'!L310</f>
        <v>4651</v>
      </c>
      <c r="AK256" s="38">
        <f t="shared" si="25"/>
        <v>4956.25</v>
      </c>
      <c r="AL256" s="71" t="e">
        <f t="shared" si="26"/>
        <v>#DIV/0!</v>
      </c>
      <c r="AM256" s="152">
        <f>'copy data3'!N310</f>
        <v>7380</v>
      </c>
      <c r="AN256" s="38">
        <f t="shared" si="27"/>
        <v>7581</v>
      </c>
      <c r="AO256" s="71" t="e">
        <f t="shared" si="28"/>
        <v>#DIV/0!</v>
      </c>
      <c r="AP256" s="152">
        <f>'copy data3'!P310</f>
        <v>5987</v>
      </c>
      <c r="AQ256" s="38">
        <f t="shared" si="29"/>
        <v>5841.25</v>
      </c>
      <c r="AR256" s="71" t="e">
        <f t="shared" si="30"/>
        <v>#DIV/0!</v>
      </c>
      <c r="AS256" s="153">
        <f>'copy data3'!R310</f>
        <v>18018</v>
      </c>
      <c r="AT256" s="38">
        <f t="shared" si="11"/>
        <v>18378.5</v>
      </c>
      <c r="AU256" s="71">
        <f t="shared" si="31"/>
        <v>83.553827968721578</v>
      </c>
    </row>
    <row r="257" spans="1:47" ht="15.6" x14ac:dyDescent="0.3">
      <c r="A257" s="55" t="s">
        <v>28</v>
      </c>
      <c r="B257" s="56">
        <v>585</v>
      </c>
      <c r="C257" s="56">
        <v>6772</v>
      </c>
      <c r="D257" s="56">
        <v>99</v>
      </c>
      <c r="E257" s="56">
        <v>2847</v>
      </c>
      <c r="F257" s="56">
        <v>620</v>
      </c>
      <c r="G257" s="56">
        <v>6473</v>
      </c>
      <c r="H257" s="56">
        <v>306</v>
      </c>
      <c r="I257" s="56">
        <v>3497</v>
      </c>
      <c r="J257" s="56">
        <v>38</v>
      </c>
      <c r="K257" s="56">
        <v>720</v>
      </c>
      <c r="L257" s="56">
        <v>1656</v>
      </c>
      <c r="M257" s="56">
        <v>20309</v>
      </c>
      <c r="N257" s="56">
        <v>5640</v>
      </c>
      <c r="O257" s="56">
        <v>28723</v>
      </c>
      <c r="P257" s="56">
        <v>1903</v>
      </c>
      <c r="Q257" s="56">
        <v>26055</v>
      </c>
      <c r="R257" s="16">
        <f t="shared" si="13"/>
        <v>9199</v>
      </c>
      <c r="T257" s="144">
        <f t="shared" si="14"/>
        <v>38645</v>
      </c>
      <c r="U257" s="154">
        <f>'copy data3'!B311</f>
        <v>2156</v>
      </c>
      <c r="V257" s="38">
        <f t="shared" si="15"/>
        <v>2375</v>
      </c>
      <c r="W257" s="71" t="e">
        <f t="shared" si="16"/>
        <v>#DIV/0!</v>
      </c>
      <c r="X257" s="154">
        <f>'copy data3'!D311</f>
        <v>285</v>
      </c>
      <c r="Y257" s="38">
        <f t="shared" si="17"/>
        <v>315.25</v>
      </c>
      <c r="Z257" s="71" t="e">
        <f t="shared" si="18"/>
        <v>#DIV/0!</v>
      </c>
      <c r="AA257" s="152">
        <f>'copy data3'!F311</f>
        <v>1112</v>
      </c>
      <c r="AB257" s="38">
        <f t="shared" si="19"/>
        <v>1172.25</v>
      </c>
      <c r="AC257" s="71" t="e">
        <f t="shared" si="20"/>
        <v>#DIV/0!</v>
      </c>
      <c r="AD257" s="152">
        <f>'copy data3'!H311</f>
        <v>711</v>
      </c>
      <c r="AE257" s="38">
        <f t="shared" si="21"/>
        <v>789.75</v>
      </c>
      <c r="AF257" s="71" t="e">
        <f t="shared" si="22"/>
        <v>#DIV/0!</v>
      </c>
      <c r="AG257" s="152">
        <f>'copy data3'!J311</f>
        <v>68</v>
      </c>
      <c r="AH257" s="38">
        <f t="shared" si="23"/>
        <v>78</v>
      </c>
      <c r="AI257" s="71" t="e">
        <f t="shared" si="24"/>
        <v>#DIV/0!</v>
      </c>
      <c r="AJ257" s="152">
        <f>'copy data3'!L311</f>
        <v>4332</v>
      </c>
      <c r="AK257" s="38">
        <f t="shared" si="25"/>
        <v>4730</v>
      </c>
      <c r="AL257" s="71" t="e">
        <f t="shared" si="26"/>
        <v>#DIV/0!</v>
      </c>
      <c r="AM257" s="152">
        <f>'copy data3'!N311</f>
        <v>7150</v>
      </c>
      <c r="AN257" s="38">
        <f t="shared" si="27"/>
        <v>7477.5</v>
      </c>
      <c r="AO257" s="71" t="e">
        <f t="shared" si="28"/>
        <v>#DIV/0!</v>
      </c>
      <c r="AP257" s="152">
        <f>'copy data3'!P311</f>
        <v>5923</v>
      </c>
      <c r="AQ257" s="38">
        <f t="shared" si="29"/>
        <v>5953.75</v>
      </c>
      <c r="AR257" s="71" t="e">
        <f t="shared" si="30"/>
        <v>#DIV/0!</v>
      </c>
      <c r="AS257" s="153">
        <f>'copy data3'!R311</f>
        <v>17405</v>
      </c>
      <c r="AT257" s="38">
        <f t="shared" si="11"/>
        <v>18161.25</v>
      </c>
      <c r="AU257" s="71">
        <f t="shared" si="31"/>
        <v>83.423288929719803</v>
      </c>
    </row>
    <row r="258" spans="1:47" ht="15.6" x14ac:dyDescent="0.3">
      <c r="A258" s="55">
        <v>37406</v>
      </c>
      <c r="B258" s="56">
        <v>356</v>
      </c>
      <c r="C258" s="56">
        <v>8704</v>
      </c>
      <c r="D258" s="56">
        <v>148</v>
      </c>
      <c r="E258" s="56">
        <v>5485</v>
      </c>
      <c r="F258" s="56">
        <v>267</v>
      </c>
      <c r="G258" s="56">
        <v>5554</v>
      </c>
      <c r="H258" s="56">
        <v>292</v>
      </c>
      <c r="I258" s="56">
        <v>3127</v>
      </c>
      <c r="J258" s="56">
        <v>3</v>
      </c>
      <c r="K258" s="56">
        <v>1133</v>
      </c>
      <c r="L258" s="56">
        <v>1066</v>
      </c>
      <c r="M258" s="56">
        <v>24003</v>
      </c>
      <c r="N258" s="56">
        <v>6219</v>
      </c>
      <c r="O258" s="56">
        <v>34761</v>
      </c>
      <c r="P258" s="56">
        <v>2606</v>
      </c>
      <c r="Q258" s="56">
        <v>25633</v>
      </c>
      <c r="R258" s="16">
        <f t="shared" si="13"/>
        <v>9891</v>
      </c>
      <c r="T258" s="144">
        <f t="shared" si="14"/>
        <v>38652</v>
      </c>
      <c r="U258" s="154">
        <f>'copy data3'!B312</f>
        <v>1967</v>
      </c>
      <c r="V258" s="38">
        <f t="shared" si="15"/>
        <v>2236.75</v>
      </c>
      <c r="W258" s="71" t="e">
        <f t="shared" si="16"/>
        <v>#DIV/0!</v>
      </c>
      <c r="X258" s="154">
        <f>'copy data3'!D312</f>
        <v>283</v>
      </c>
      <c r="Y258" s="38">
        <f t="shared" si="17"/>
        <v>294.75</v>
      </c>
      <c r="Z258" s="71" t="e">
        <f t="shared" si="18"/>
        <v>#DIV/0!</v>
      </c>
      <c r="AA258" s="152">
        <f>'copy data3'!F312</f>
        <v>1172</v>
      </c>
      <c r="AB258" s="38">
        <f t="shared" si="19"/>
        <v>1144.75</v>
      </c>
      <c r="AC258" s="71" t="e">
        <f t="shared" si="20"/>
        <v>#DIV/0!</v>
      </c>
      <c r="AD258" s="152">
        <f>'copy data3'!H312</f>
        <v>695</v>
      </c>
      <c r="AE258" s="38">
        <f t="shared" si="21"/>
        <v>745.75</v>
      </c>
      <c r="AF258" s="71" t="e">
        <f t="shared" si="22"/>
        <v>#DIV/0!</v>
      </c>
      <c r="AG258" s="152">
        <f>'copy data3'!J312</f>
        <v>102</v>
      </c>
      <c r="AH258" s="38">
        <f t="shared" si="23"/>
        <v>81</v>
      </c>
      <c r="AI258" s="71" t="e">
        <f t="shared" si="24"/>
        <v>#DIV/0!</v>
      </c>
      <c r="AJ258" s="152">
        <f>'copy data3'!L312</f>
        <v>4219</v>
      </c>
      <c r="AK258" s="38">
        <f t="shared" si="25"/>
        <v>4502.75</v>
      </c>
      <c r="AL258" s="71" t="e">
        <f t="shared" si="26"/>
        <v>#DIV/0!</v>
      </c>
      <c r="AM258" s="152">
        <f>'copy data3'!N312</f>
        <v>7354</v>
      </c>
      <c r="AN258" s="38">
        <f t="shared" si="27"/>
        <v>7382.25</v>
      </c>
      <c r="AO258" s="71" t="e">
        <f t="shared" si="28"/>
        <v>#DIV/0!</v>
      </c>
      <c r="AP258" s="152">
        <f>'copy data3'!P312</f>
        <v>5673</v>
      </c>
      <c r="AQ258" s="38">
        <f t="shared" si="29"/>
        <v>5919.75</v>
      </c>
      <c r="AR258" s="71" t="e">
        <f t="shared" si="30"/>
        <v>#DIV/0!</v>
      </c>
      <c r="AS258" s="153">
        <f>'copy data3'!R312</f>
        <v>17246</v>
      </c>
      <c r="AT258" s="38">
        <f t="shared" si="11"/>
        <v>17804.75</v>
      </c>
      <c r="AU258" s="71">
        <f t="shared" si="31"/>
        <v>84.266884376922718</v>
      </c>
    </row>
    <row r="259" spans="1:47" ht="15.6" x14ac:dyDescent="0.3">
      <c r="A259" s="55" t="s">
        <v>29</v>
      </c>
      <c r="B259" s="56">
        <v>475</v>
      </c>
      <c r="C259" s="56">
        <v>6896</v>
      </c>
      <c r="D259" s="56">
        <v>59</v>
      </c>
      <c r="E259" s="56">
        <v>2899</v>
      </c>
      <c r="F259" s="56">
        <v>456</v>
      </c>
      <c r="G259" s="56">
        <v>6645</v>
      </c>
      <c r="H259" s="56">
        <v>297</v>
      </c>
      <c r="I259" s="56">
        <v>3517</v>
      </c>
      <c r="J259" s="56">
        <v>38</v>
      </c>
      <c r="K259" s="56">
        <v>720</v>
      </c>
      <c r="L259" s="56">
        <v>1323</v>
      </c>
      <c r="M259" s="56">
        <v>20677</v>
      </c>
      <c r="N259" s="56">
        <v>5289</v>
      </c>
      <c r="O259" s="56">
        <v>29608</v>
      </c>
      <c r="P259" s="56">
        <v>1887</v>
      </c>
      <c r="Q259" s="56">
        <v>26183</v>
      </c>
      <c r="R259" s="16">
        <f t="shared" si="13"/>
        <v>8499</v>
      </c>
      <c r="T259" s="144">
        <f t="shared" si="14"/>
        <v>38659</v>
      </c>
      <c r="U259" s="154">
        <f>'copy data3'!B313</f>
        <v>2861</v>
      </c>
      <c r="V259" s="38">
        <f t="shared" si="15"/>
        <v>2334.75</v>
      </c>
      <c r="W259" s="71" t="e">
        <f t="shared" si="16"/>
        <v>#DIV/0!</v>
      </c>
      <c r="X259" s="154">
        <f>'copy data3'!D313</f>
        <v>247</v>
      </c>
      <c r="Y259" s="38">
        <f t="shared" si="17"/>
        <v>282</v>
      </c>
      <c r="Z259" s="71" t="e">
        <f t="shared" si="18"/>
        <v>#DIV/0!</v>
      </c>
      <c r="AA259" s="152">
        <f>'copy data3'!F313</f>
        <v>1133</v>
      </c>
      <c r="AB259" s="38">
        <f t="shared" si="19"/>
        <v>1138.5</v>
      </c>
      <c r="AC259" s="71" t="e">
        <f t="shared" si="20"/>
        <v>#DIV/0!</v>
      </c>
      <c r="AD259" s="152">
        <f>'copy data3'!H313</f>
        <v>828</v>
      </c>
      <c r="AE259" s="38">
        <f t="shared" si="21"/>
        <v>752.75</v>
      </c>
      <c r="AF259" s="71" t="e">
        <f t="shared" si="22"/>
        <v>#DIV/0!</v>
      </c>
      <c r="AG259" s="152">
        <f>'copy data3'!J313</f>
        <v>101</v>
      </c>
      <c r="AH259" s="38">
        <f t="shared" si="23"/>
        <v>85.25</v>
      </c>
      <c r="AI259" s="71" t="e">
        <f t="shared" si="24"/>
        <v>#DIV/0!</v>
      </c>
      <c r="AJ259" s="152">
        <f>'copy data3'!L313</f>
        <v>5169</v>
      </c>
      <c r="AK259" s="38">
        <f t="shared" si="25"/>
        <v>4592.75</v>
      </c>
      <c r="AL259" s="71" t="e">
        <f t="shared" si="26"/>
        <v>#DIV/0!</v>
      </c>
      <c r="AM259" s="152">
        <f>'copy data3'!N313</f>
        <v>7315</v>
      </c>
      <c r="AN259" s="38">
        <f t="shared" si="27"/>
        <v>7299.75</v>
      </c>
      <c r="AO259" s="71" t="e">
        <f t="shared" si="28"/>
        <v>#DIV/0!</v>
      </c>
      <c r="AP259" s="152">
        <f>'copy data3'!P313</f>
        <v>5242</v>
      </c>
      <c r="AQ259" s="38">
        <f t="shared" si="29"/>
        <v>5706.25</v>
      </c>
      <c r="AR259" s="71" t="e">
        <f t="shared" si="30"/>
        <v>#DIV/0!</v>
      </c>
      <c r="AS259" s="153">
        <f>'copy data3'!R313</f>
        <v>17726</v>
      </c>
      <c r="AT259" s="38">
        <f t="shared" si="11"/>
        <v>17598.75</v>
      </c>
      <c r="AU259" s="71">
        <f t="shared" si="31"/>
        <v>85.356242118537196</v>
      </c>
    </row>
    <row r="260" spans="1:47" ht="15.6" x14ac:dyDescent="0.3">
      <c r="A260" s="55">
        <v>37413</v>
      </c>
      <c r="B260" s="56">
        <v>1108</v>
      </c>
      <c r="C260" s="56">
        <v>181</v>
      </c>
      <c r="D260" s="56">
        <v>458</v>
      </c>
      <c r="E260" s="56">
        <v>35</v>
      </c>
      <c r="F260" s="56">
        <v>819</v>
      </c>
      <c r="G260" s="56">
        <v>44</v>
      </c>
      <c r="H260" s="56">
        <v>603</v>
      </c>
      <c r="I260" s="56">
        <v>37</v>
      </c>
      <c r="J260" s="56">
        <v>78</v>
      </c>
      <c r="K260" s="56">
        <v>2</v>
      </c>
      <c r="L260" s="56">
        <v>3066</v>
      </c>
      <c r="M260" s="56">
        <v>300</v>
      </c>
      <c r="N260" s="56">
        <v>6465</v>
      </c>
      <c r="O260" s="56">
        <v>35817</v>
      </c>
      <c r="P260" s="56">
        <v>2548</v>
      </c>
      <c r="Q260" s="56">
        <v>26167</v>
      </c>
      <c r="R260" s="16">
        <f t="shared" si="13"/>
        <v>12079</v>
      </c>
      <c r="T260" s="144">
        <f t="shared" si="14"/>
        <v>38666</v>
      </c>
      <c r="U260" s="154">
        <f>'copy data3'!B314</f>
        <v>3083</v>
      </c>
      <c r="V260" s="38">
        <f t="shared" si="15"/>
        <v>2516.75</v>
      </c>
      <c r="W260" s="71" t="e">
        <f t="shared" si="16"/>
        <v>#DIV/0!</v>
      </c>
      <c r="X260" s="154">
        <f>'copy data3'!D314</f>
        <v>269</v>
      </c>
      <c r="Y260" s="38">
        <f t="shared" si="17"/>
        <v>271</v>
      </c>
      <c r="Z260" s="71" t="e">
        <f t="shared" si="18"/>
        <v>#DIV/0!</v>
      </c>
      <c r="AA260" s="152">
        <f>'copy data3'!F314</f>
        <v>1147</v>
      </c>
      <c r="AB260" s="38">
        <f t="shared" si="19"/>
        <v>1141</v>
      </c>
      <c r="AC260" s="71" t="e">
        <f t="shared" si="20"/>
        <v>#DIV/0!</v>
      </c>
      <c r="AD260" s="152">
        <f>'copy data3'!H314</f>
        <v>765</v>
      </c>
      <c r="AE260" s="38">
        <f t="shared" si="21"/>
        <v>749.75</v>
      </c>
      <c r="AF260" s="71" t="e">
        <f t="shared" si="22"/>
        <v>#DIV/0!</v>
      </c>
      <c r="AG260" s="152">
        <f>'copy data3'!J314</f>
        <v>92</v>
      </c>
      <c r="AH260" s="38">
        <f t="shared" si="23"/>
        <v>90.75</v>
      </c>
      <c r="AI260" s="71" t="e">
        <f t="shared" si="24"/>
        <v>#DIV/0!</v>
      </c>
      <c r="AJ260" s="152">
        <f>'copy data3'!L314</f>
        <v>5356</v>
      </c>
      <c r="AK260" s="38">
        <f t="shared" si="25"/>
        <v>4769</v>
      </c>
      <c r="AL260" s="71" t="e">
        <f t="shared" si="26"/>
        <v>#DIV/0!</v>
      </c>
      <c r="AM260" s="152">
        <f>'copy data3'!N314</f>
        <v>7748</v>
      </c>
      <c r="AN260" s="38">
        <f t="shared" si="27"/>
        <v>7391.75</v>
      </c>
      <c r="AO260" s="71" t="e">
        <f t="shared" si="28"/>
        <v>#DIV/0!</v>
      </c>
      <c r="AP260" s="152">
        <f>'copy data3'!P314</f>
        <v>5147</v>
      </c>
      <c r="AQ260" s="38">
        <f t="shared" si="29"/>
        <v>5496.25</v>
      </c>
      <c r="AR260" s="71" t="e">
        <f t="shared" si="30"/>
        <v>#DIV/0!</v>
      </c>
      <c r="AS260" s="153">
        <f>'copy data3'!R314</f>
        <v>18251</v>
      </c>
      <c r="AT260" s="38">
        <f t="shared" si="11"/>
        <v>17657</v>
      </c>
      <c r="AU260" s="71">
        <f t="shared" si="31"/>
        <v>88.413199138751182</v>
      </c>
    </row>
    <row r="261" spans="1:47" ht="15.6" x14ac:dyDescent="0.3">
      <c r="A261" s="55" t="s">
        <v>30</v>
      </c>
      <c r="B261" s="56">
        <v>1369</v>
      </c>
      <c r="C261" s="56">
        <v>121</v>
      </c>
      <c r="D261" s="56">
        <v>325</v>
      </c>
      <c r="E261" s="56">
        <v>13</v>
      </c>
      <c r="F261" s="56">
        <v>1003</v>
      </c>
      <c r="G261" s="56">
        <v>90</v>
      </c>
      <c r="H261" s="56">
        <v>536</v>
      </c>
      <c r="I261" s="56">
        <v>53</v>
      </c>
      <c r="J261" s="56">
        <v>175</v>
      </c>
      <c r="K261" s="56">
        <v>0</v>
      </c>
      <c r="L261" s="56">
        <v>3408</v>
      </c>
      <c r="M261" s="56">
        <v>276</v>
      </c>
      <c r="N261" s="56">
        <v>5302</v>
      </c>
      <c r="O261" s="56">
        <v>30325</v>
      </c>
      <c r="P261" s="56">
        <v>1861</v>
      </c>
      <c r="Q261" s="56">
        <v>26378</v>
      </c>
      <c r="R261" s="16">
        <f t="shared" si="13"/>
        <v>10571</v>
      </c>
      <c r="T261" s="144">
        <f t="shared" si="14"/>
        <v>38673</v>
      </c>
      <c r="U261" s="154">
        <f>'copy data3'!B315</f>
        <v>2950</v>
      </c>
      <c r="V261" s="38">
        <f t="shared" si="15"/>
        <v>2715.25</v>
      </c>
      <c r="W261" s="71" t="e">
        <f t="shared" si="16"/>
        <v>#DIV/0!</v>
      </c>
      <c r="X261" s="154">
        <f>'copy data3'!D315</f>
        <v>272</v>
      </c>
      <c r="Y261" s="38">
        <f t="shared" si="17"/>
        <v>267.75</v>
      </c>
      <c r="Z261" s="71" t="e">
        <f t="shared" si="18"/>
        <v>#DIV/0!</v>
      </c>
      <c r="AA261" s="152">
        <f>'copy data3'!F315</f>
        <v>1209</v>
      </c>
      <c r="AB261" s="38">
        <f t="shared" si="19"/>
        <v>1165.25</v>
      </c>
      <c r="AC261" s="71" t="e">
        <f t="shared" si="20"/>
        <v>#DIV/0!</v>
      </c>
      <c r="AD261" s="152">
        <f>'copy data3'!H315</f>
        <v>803</v>
      </c>
      <c r="AE261" s="38">
        <f t="shared" si="21"/>
        <v>772.75</v>
      </c>
      <c r="AF261" s="71" t="e">
        <f t="shared" si="22"/>
        <v>#DIV/0!</v>
      </c>
      <c r="AG261" s="152">
        <f>'copy data3'!J315</f>
        <v>103</v>
      </c>
      <c r="AH261" s="38">
        <f t="shared" si="23"/>
        <v>99.5</v>
      </c>
      <c r="AI261" s="71" t="e">
        <f t="shared" si="24"/>
        <v>#DIV/0!</v>
      </c>
      <c r="AJ261" s="152">
        <f>'copy data3'!L315</f>
        <v>5337</v>
      </c>
      <c r="AK261" s="38">
        <f t="shared" si="25"/>
        <v>5020.25</v>
      </c>
      <c r="AL261" s="71" t="e">
        <f t="shared" si="26"/>
        <v>#DIV/0!</v>
      </c>
      <c r="AM261" s="152">
        <f>'copy data3'!N315</f>
        <v>7814</v>
      </c>
      <c r="AN261" s="38">
        <f t="shared" si="27"/>
        <v>7557.75</v>
      </c>
      <c r="AO261" s="71" t="e">
        <f t="shared" si="28"/>
        <v>#DIV/0!</v>
      </c>
      <c r="AP261" s="152">
        <f>'copy data3'!P315</f>
        <v>4384</v>
      </c>
      <c r="AQ261" s="38">
        <f t="shared" si="29"/>
        <v>5111.5</v>
      </c>
      <c r="AR261" s="71" t="e">
        <f t="shared" si="30"/>
        <v>#DIV/0!</v>
      </c>
      <c r="AS261" s="153">
        <f>'copy data3'!R315</f>
        <v>17535</v>
      </c>
      <c r="AT261" s="38">
        <f t="shared" si="11"/>
        <v>17689.5</v>
      </c>
      <c r="AU261" s="71">
        <f t="shared" si="31"/>
        <v>87.321058347319578</v>
      </c>
    </row>
    <row r="262" spans="1:47" ht="15.6" x14ac:dyDescent="0.3">
      <c r="A262" s="55">
        <v>37420</v>
      </c>
      <c r="B262" s="56">
        <v>1201</v>
      </c>
      <c r="C262" s="56">
        <v>239</v>
      </c>
      <c r="D262" s="56">
        <v>313</v>
      </c>
      <c r="E262" s="56">
        <v>79</v>
      </c>
      <c r="F262" s="56">
        <v>828</v>
      </c>
      <c r="G262" s="56">
        <v>145</v>
      </c>
      <c r="H262" s="56">
        <v>475</v>
      </c>
      <c r="I262" s="56">
        <v>212</v>
      </c>
      <c r="J262" s="56">
        <v>80</v>
      </c>
      <c r="K262" s="56">
        <v>3</v>
      </c>
      <c r="L262" s="56">
        <v>2897</v>
      </c>
      <c r="M262" s="56">
        <v>677</v>
      </c>
      <c r="N262" s="56">
        <v>6414</v>
      </c>
      <c r="O262" s="56">
        <v>36917</v>
      </c>
      <c r="P262" s="56">
        <v>2652</v>
      </c>
      <c r="Q262" s="56">
        <v>26301</v>
      </c>
      <c r="R262" s="16">
        <f t="shared" ref="R262:R325" si="32">P262+N262+L262</f>
        <v>11963</v>
      </c>
      <c r="T262" s="144">
        <f t="shared" si="14"/>
        <v>38680</v>
      </c>
      <c r="U262" s="154">
        <f>'copy data3'!B316</f>
        <v>2738</v>
      </c>
      <c r="V262" s="38">
        <f t="shared" si="15"/>
        <v>2908</v>
      </c>
      <c r="W262" s="71" t="e">
        <f t="shared" si="16"/>
        <v>#DIV/0!</v>
      </c>
      <c r="X262" s="154">
        <f>'copy data3'!D316</f>
        <v>297</v>
      </c>
      <c r="Y262" s="38">
        <f t="shared" si="17"/>
        <v>271.25</v>
      </c>
      <c r="Z262" s="71" t="e">
        <f t="shared" si="18"/>
        <v>#DIV/0!</v>
      </c>
      <c r="AA262" s="152">
        <f>'copy data3'!F316</f>
        <v>1089</v>
      </c>
      <c r="AB262" s="38">
        <f t="shared" si="19"/>
        <v>1144.5</v>
      </c>
      <c r="AC262" s="71" t="e">
        <f t="shared" si="20"/>
        <v>#DIV/0!</v>
      </c>
      <c r="AD262" s="152">
        <f>'copy data3'!H316</f>
        <v>822</v>
      </c>
      <c r="AE262" s="38">
        <f t="shared" si="21"/>
        <v>804.5</v>
      </c>
      <c r="AF262" s="71" t="e">
        <f t="shared" si="22"/>
        <v>#DIV/0!</v>
      </c>
      <c r="AG262" s="152">
        <f>'copy data3'!J316</f>
        <v>95</v>
      </c>
      <c r="AH262" s="38">
        <f t="shared" si="23"/>
        <v>97.75</v>
      </c>
      <c r="AI262" s="71" t="e">
        <f t="shared" si="24"/>
        <v>#DIV/0!</v>
      </c>
      <c r="AJ262" s="152">
        <f>'copy data3'!L316</f>
        <v>5041</v>
      </c>
      <c r="AK262" s="38">
        <f t="shared" si="25"/>
        <v>5225.75</v>
      </c>
      <c r="AL262" s="71" t="e">
        <f t="shared" si="26"/>
        <v>#DIV/0!</v>
      </c>
      <c r="AM262" s="152">
        <f>'copy data3'!N316</f>
        <v>7759</v>
      </c>
      <c r="AN262" s="38">
        <f t="shared" si="27"/>
        <v>7659</v>
      </c>
      <c r="AO262" s="71" t="e">
        <f t="shared" si="28"/>
        <v>#DIV/0!</v>
      </c>
      <c r="AP262" s="152">
        <f>'copy data3'!P316</f>
        <v>3926</v>
      </c>
      <c r="AQ262" s="38">
        <f t="shared" si="29"/>
        <v>4674.75</v>
      </c>
      <c r="AR262" s="71" t="e">
        <f t="shared" si="30"/>
        <v>#DIV/0!</v>
      </c>
      <c r="AS262" s="153">
        <f>'copy data3'!R316</f>
        <v>16726</v>
      </c>
      <c r="AT262" s="38">
        <f t="shared" si="11"/>
        <v>17559.5</v>
      </c>
      <c r="AU262" s="71">
        <f t="shared" si="31"/>
        <v>90.662432878975636</v>
      </c>
    </row>
    <row r="263" spans="1:47" ht="15.6" x14ac:dyDescent="0.3">
      <c r="A263" s="55" t="s">
        <v>31</v>
      </c>
      <c r="B263" s="56">
        <v>1467</v>
      </c>
      <c r="C263" s="56">
        <v>304</v>
      </c>
      <c r="D263" s="56">
        <v>385</v>
      </c>
      <c r="E263" s="56">
        <v>29</v>
      </c>
      <c r="F263" s="56">
        <v>1046</v>
      </c>
      <c r="G263" s="56">
        <v>197</v>
      </c>
      <c r="H263" s="56">
        <v>556</v>
      </c>
      <c r="I263" s="56">
        <v>118</v>
      </c>
      <c r="J263" s="56">
        <v>158</v>
      </c>
      <c r="K263" s="56">
        <v>16</v>
      </c>
      <c r="L263" s="56">
        <v>3612</v>
      </c>
      <c r="M263" s="56">
        <v>664</v>
      </c>
      <c r="N263" s="56">
        <v>5178</v>
      </c>
      <c r="O263" s="56">
        <v>31191</v>
      </c>
      <c r="P263" s="56">
        <v>1860</v>
      </c>
      <c r="Q263" s="56">
        <v>26547</v>
      </c>
      <c r="R263" s="16">
        <f t="shared" si="32"/>
        <v>10650</v>
      </c>
      <c r="T263" s="144">
        <f t="shared" si="14"/>
        <v>38687</v>
      </c>
      <c r="U263" s="154">
        <f>'copy data3'!B317</f>
        <v>2728</v>
      </c>
      <c r="V263" s="38">
        <f t="shared" si="15"/>
        <v>2874.75</v>
      </c>
      <c r="W263" s="71" t="e">
        <f t="shared" si="16"/>
        <v>#DIV/0!</v>
      </c>
      <c r="X263" s="154">
        <f>'copy data3'!D317</f>
        <v>288</v>
      </c>
      <c r="Y263" s="38">
        <f t="shared" si="17"/>
        <v>281.5</v>
      </c>
      <c r="Z263" s="71" t="e">
        <f t="shared" si="18"/>
        <v>#DIV/0!</v>
      </c>
      <c r="AA263" s="152">
        <f>'copy data3'!F317</f>
        <v>1067</v>
      </c>
      <c r="AB263" s="38">
        <f t="shared" si="19"/>
        <v>1128</v>
      </c>
      <c r="AC263" s="71" t="e">
        <f t="shared" si="20"/>
        <v>#DIV/0!</v>
      </c>
      <c r="AD263" s="152">
        <f>'copy data3'!H317</f>
        <v>824</v>
      </c>
      <c r="AE263" s="38">
        <f t="shared" si="21"/>
        <v>803.5</v>
      </c>
      <c r="AF263" s="71" t="e">
        <f t="shared" si="22"/>
        <v>#DIV/0!</v>
      </c>
      <c r="AG263" s="152">
        <f>'copy data3'!J317</f>
        <v>77</v>
      </c>
      <c r="AH263" s="38">
        <f t="shared" si="23"/>
        <v>91.75</v>
      </c>
      <c r="AI263" s="71" t="e">
        <f t="shared" si="24"/>
        <v>#DIV/0!</v>
      </c>
      <c r="AJ263" s="152">
        <f>'copy data3'!L317</f>
        <v>5001</v>
      </c>
      <c r="AK263" s="38">
        <f t="shared" si="25"/>
        <v>5183.75</v>
      </c>
      <c r="AL263" s="71" t="e">
        <f t="shared" si="26"/>
        <v>#DIV/0!</v>
      </c>
      <c r="AM263" s="152">
        <f>'copy data3'!N317</f>
        <v>7432</v>
      </c>
      <c r="AN263" s="38">
        <f t="shared" si="27"/>
        <v>7688.25</v>
      </c>
      <c r="AO263" s="71" t="e">
        <f t="shared" si="28"/>
        <v>#DIV/0!</v>
      </c>
      <c r="AP263" s="152">
        <f>'copy data3'!P317</f>
        <v>4079</v>
      </c>
      <c r="AQ263" s="38">
        <f t="shared" si="29"/>
        <v>4384</v>
      </c>
      <c r="AR263" s="71" t="e">
        <f t="shared" si="30"/>
        <v>#DIV/0!</v>
      </c>
      <c r="AS263" s="153">
        <f>'copy data3'!R317</f>
        <v>16512</v>
      </c>
      <c r="AT263" s="38">
        <f t="shared" si="11"/>
        <v>17256</v>
      </c>
      <c r="AU263" s="71">
        <f t="shared" si="31"/>
        <v>93.164885001619695</v>
      </c>
    </row>
    <row r="264" spans="1:47" ht="15.6" x14ac:dyDescent="0.3">
      <c r="A264" s="55">
        <v>37427</v>
      </c>
      <c r="B264" s="56">
        <v>1116</v>
      </c>
      <c r="C264" s="56">
        <v>401</v>
      </c>
      <c r="D264" s="56">
        <v>373</v>
      </c>
      <c r="E264" s="56">
        <v>163</v>
      </c>
      <c r="F264" s="56">
        <v>869</v>
      </c>
      <c r="G264" s="56">
        <v>204</v>
      </c>
      <c r="H264" s="56">
        <v>498</v>
      </c>
      <c r="I264" s="56">
        <v>233</v>
      </c>
      <c r="J264" s="56">
        <v>138</v>
      </c>
      <c r="K264" s="56">
        <v>26</v>
      </c>
      <c r="L264" s="56">
        <v>2993</v>
      </c>
      <c r="M264" s="56">
        <v>1027</v>
      </c>
      <c r="N264" s="56">
        <v>6335</v>
      </c>
      <c r="O264" s="56">
        <v>37922</v>
      </c>
      <c r="P264" s="56">
        <v>2614</v>
      </c>
      <c r="Q264" s="56">
        <v>26614</v>
      </c>
      <c r="R264" s="16">
        <f t="shared" si="32"/>
        <v>11942</v>
      </c>
      <c r="T264" s="144">
        <f t="shared" si="14"/>
        <v>38694</v>
      </c>
      <c r="U264" s="154">
        <f>'copy data3'!B318</f>
        <v>2807</v>
      </c>
      <c r="V264" s="38">
        <f t="shared" si="15"/>
        <v>2805.75</v>
      </c>
      <c r="W264" s="71" t="e">
        <f t="shared" si="16"/>
        <v>#DIV/0!</v>
      </c>
      <c r="X264" s="154">
        <f>'copy data3'!D318</f>
        <v>292</v>
      </c>
      <c r="Y264" s="38">
        <f t="shared" si="17"/>
        <v>287.25</v>
      </c>
      <c r="Z264" s="71" t="e">
        <f t="shared" si="18"/>
        <v>#DIV/0!</v>
      </c>
      <c r="AA264" s="152">
        <f>'copy data3'!F318</f>
        <v>1092</v>
      </c>
      <c r="AB264" s="38">
        <f t="shared" si="19"/>
        <v>1114.25</v>
      </c>
      <c r="AC264" s="71" t="e">
        <f t="shared" si="20"/>
        <v>#DIV/0!</v>
      </c>
      <c r="AD264" s="152">
        <f>'copy data3'!H318</f>
        <v>793</v>
      </c>
      <c r="AE264" s="38">
        <f t="shared" si="21"/>
        <v>810.5</v>
      </c>
      <c r="AF264" s="71" t="e">
        <f t="shared" si="22"/>
        <v>#DIV/0!</v>
      </c>
      <c r="AG264" s="152">
        <f>'copy data3'!J318</f>
        <v>35</v>
      </c>
      <c r="AH264" s="38">
        <f t="shared" si="23"/>
        <v>77.5</v>
      </c>
      <c r="AI264" s="71" t="e">
        <f t="shared" si="24"/>
        <v>#DIV/0!</v>
      </c>
      <c r="AJ264" s="152">
        <f>'copy data3'!L318</f>
        <v>5018</v>
      </c>
      <c r="AK264" s="38">
        <f t="shared" si="25"/>
        <v>5099.25</v>
      </c>
      <c r="AL264" s="71" t="e">
        <f t="shared" si="26"/>
        <v>#DIV/0!</v>
      </c>
      <c r="AM264" s="152">
        <f>'copy data3'!N318</f>
        <v>7334</v>
      </c>
      <c r="AN264" s="38">
        <f t="shared" si="27"/>
        <v>7584.75</v>
      </c>
      <c r="AO264" s="71" t="e">
        <f t="shared" si="28"/>
        <v>#DIV/0!</v>
      </c>
      <c r="AP264" s="152">
        <f>'copy data3'!P318</f>
        <v>3944</v>
      </c>
      <c r="AQ264" s="38">
        <f t="shared" si="29"/>
        <v>4083.25</v>
      </c>
      <c r="AR264" s="71" t="e">
        <f t="shared" si="30"/>
        <v>#DIV/0!</v>
      </c>
      <c r="AS264" s="153">
        <f>'copy data3'!R318</f>
        <v>16296</v>
      </c>
      <c r="AT264" s="38">
        <f t="shared" si="11"/>
        <v>16767.25</v>
      </c>
      <c r="AU264" s="71">
        <f t="shared" si="31"/>
        <v>93.249819253656639</v>
      </c>
    </row>
    <row r="265" spans="1:47" ht="15.6" x14ac:dyDescent="0.3">
      <c r="A265" s="55" t="s">
        <v>32</v>
      </c>
      <c r="B265" s="56">
        <v>1530</v>
      </c>
      <c r="C265" s="56">
        <v>481</v>
      </c>
      <c r="D265" s="56">
        <v>386</v>
      </c>
      <c r="E265" s="56">
        <v>45</v>
      </c>
      <c r="F265" s="56">
        <v>1223</v>
      </c>
      <c r="G265" s="56">
        <v>221</v>
      </c>
      <c r="H265" s="56">
        <v>569</v>
      </c>
      <c r="I265" s="56">
        <v>163</v>
      </c>
      <c r="J265" s="56">
        <v>142</v>
      </c>
      <c r="K265" s="56">
        <v>34</v>
      </c>
      <c r="L265" s="56">
        <v>3851</v>
      </c>
      <c r="M265" s="56">
        <v>943</v>
      </c>
      <c r="N265" s="56">
        <v>5264</v>
      </c>
      <c r="O265" s="56">
        <v>31918</v>
      </c>
      <c r="P265" s="56">
        <v>1959</v>
      </c>
      <c r="Q265" s="56">
        <v>26680</v>
      </c>
      <c r="R265" s="16">
        <f t="shared" si="32"/>
        <v>11074</v>
      </c>
      <c r="T265" s="144">
        <f t="shared" si="14"/>
        <v>38701</v>
      </c>
      <c r="U265" s="154">
        <f>'copy data3'!B319</f>
        <v>2868</v>
      </c>
      <c r="V265" s="38">
        <f t="shared" si="15"/>
        <v>2785.25</v>
      </c>
      <c r="W265" s="71" t="e">
        <f t="shared" si="16"/>
        <v>#DIV/0!</v>
      </c>
      <c r="X265" s="154">
        <f>'copy data3'!D319</f>
        <v>279</v>
      </c>
      <c r="Y265" s="38">
        <f t="shared" si="17"/>
        <v>289</v>
      </c>
      <c r="Z265" s="71" t="e">
        <f t="shared" si="18"/>
        <v>#DIV/0!</v>
      </c>
      <c r="AA265" s="152">
        <f>'copy data3'!F319</f>
        <v>1139</v>
      </c>
      <c r="AB265" s="38">
        <f t="shared" si="19"/>
        <v>1096.75</v>
      </c>
      <c r="AC265" s="71" t="e">
        <f t="shared" si="20"/>
        <v>#DIV/0!</v>
      </c>
      <c r="AD265" s="152">
        <f>'copy data3'!H319</f>
        <v>800</v>
      </c>
      <c r="AE265" s="38">
        <f t="shared" si="21"/>
        <v>809.75</v>
      </c>
      <c r="AF265" s="71" t="e">
        <f t="shared" si="22"/>
        <v>#DIV/0!</v>
      </c>
      <c r="AG265" s="152">
        <f>'copy data3'!J319</f>
        <v>30</v>
      </c>
      <c r="AH265" s="38">
        <f t="shared" si="23"/>
        <v>59.25</v>
      </c>
      <c r="AI265" s="71" t="e">
        <f t="shared" si="24"/>
        <v>#DIV/0!</v>
      </c>
      <c r="AJ265" s="152">
        <f>'copy data3'!L319</f>
        <v>5116</v>
      </c>
      <c r="AK265" s="38">
        <f t="shared" si="25"/>
        <v>5044</v>
      </c>
      <c r="AL265" s="71" t="e">
        <f t="shared" si="26"/>
        <v>#DIV/0!</v>
      </c>
      <c r="AM265" s="152">
        <f>'copy data3'!N319</f>
        <v>7037</v>
      </c>
      <c r="AN265" s="38">
        <f t="shared" si="27"/>
        <v>7390.5</v>
      </c>
      <c r="AO265" s="71" t="e">
        <f t="shared" si="28"/>
        <v>#DIV/0!</v>
      </c>
      <c r="AP265" s="152">
        <f>'copy data3'!P319</f>
        <v>4004</v>
      </c>
      <c r="AQ265" s="38">
        <f t="shared" si="29"/>
        <v>3988.25</v>
      </c>
      <c r="AR265" s="71" t="e">
        <f t="shared" si="30"/>
        <v>#DIV/0!</v>
      </c>
      <c r="AS265" s="153">
        <f>'copy data3'!R319</f>
        <v>16157</v>
      </c>
      <c r="AT265" s="38">
        <f t="shared" ref="AT265:AT328" si="33">AVERAGE(AS262:AS265)</f>
        <v>16422.75</v>
      </c>
      <c r="AU265" s="71">
        <f t="shared" si="31"/>
        <v>92.465232813467708</v>
      </c>
    </row>
    <row r="266" spans="1:47" ht="15.6" x14ac:dyDescent="0.3">
      <c r="A266" s="55" t="s">
        <v>33</v>
      </c>
      <c r="B266" s="56">
        <v>1137</v>
      </c>
      <c r="C266" s="56">
        <v>551</v>
      </c>
      <c r="D266" s="56">
        <v>396</v>
      </c>
      <c r="E266" s="56">
        <v>226</v>
      </c>
      <c r="F266" s="56">
        <v>1043</v>
      </c>
      <c r="G266" s="56">
        <v>240</v>
      </c>
      <c r="H266" s="56">
        <v>515</v>
      </c>
      <c r="I266" s="56">
        <v>258</v>
      </c>
      <c r="J266" s="56">
        <v>182</v>
      </c>
      <c r="K266" s="56">
        <v>32</v>
      </c>
      <c r="L266" s="56">
        <v>3272</v>
      </c>
      <c r="M266" s="56">
        <v>1307</v>
      </c>
      <c r="N266" s="56">
        <v>6623</v>
      </c>
      <c r="O266" s="56">
        <v>38618</v>
      </c>
      <c r="P266" s="56">
        <v>2574</v>
      </c>
      <c r="Q266" s="56">
        <v>26916</v>
      </c>
      <c r="R266" s="16">
        <f t="shared" si="32"/>
        <v>12469</v>
      </c>
      <c r="T266" s="144">
        <f t="shared" ref="T266:T329" si="34">T265+7</f>
        <v>38708</v>
      </c>
      <c r="U266" s="154">
        <f>'copy data3'!B320</f>
        <v>2719</v>
      </c>
      <c r="V266" s="38">
        <f t="shared" si="15"/>
        <v>2780.5</v>
      </c>
      <c r="W266" s="71" t="e">
        <f t="shared" si="16"/>
        <v>#DIV/0!</v>
      </c>
      <c r="X266" s="154">
        <f>'copy data3'!D320</f>
        <v>291</v>
      </c>
      <c r="Y266" s="38">
        <f t="shared" si="17"/>
        <v>287.5</v>
      </c>
      <c r="Z266" s="71" t="e">
        <f t="shared" si="18"/>
        <v>#DIV/0!</v>
      </c>
      <c r="AA266" s="152">
        <f>'copy data3'!F320</f>
        <v>1092</v>
      </c>
      <c r="AB266" s="38">
        <f t="shared" si="19"/>
        <v>1097.5</v>
      </c>
      <c r="AC266" s="71" t="e">
        <f t="shared" si="20"/>
        <v>#DIV/0!</v>
      </c>
      <c r="AD266" s="152">
        <f>'copy data3'!H320</f>
        <v>704</v>
      </c>
      <c r="AE266" s="38">
        <f t="shared" si="21"/>
        <v>780.25</v>
      </c>
      <c r="AF266" s="71" t="e">
        <f t="shared" si="22"/>
        <v>#DIV/0!</v>
      </c>
      <c r="AG266" s="152">
        <f>'copy data3'!J320</f>
        <v>28</v>
      </c>
      <c r="AH266" s="38">
        <f t="shared" si="23"/>
        <v>42.5</v>
      </c>
      <c r="AI266" s="71" t="e">
        <f t="shared" si="24"/>
        <v>#DIV/0!</v>
      </c>
      <c r="AJ266" s="152">
        <f>'copy data3'!L320</f>
        <v>4834</v>
      </c>
      <c r="AK266" s="38">
        <f t="shared" si="25"/>
        <v>4992.25</v>
      </c>
      <c r="AL266" s="71" t="e">
        <f t="shared" si="26"/>
        <v>#DIV/0!</v>
      </c>
      <c r="AM266" s="152">
        <f>'copy data3'!N320</f>
        <v>6619</v>
      </c>
      <c r="AN266" s="38">
        <f t="shared" si="27"/>
        <v>7105.5</v>
      </c>
      <c r="AO266" s="71" t="e">
        <f t="shared" si="28"/>
        <v>#DIV/0!</v>
      </c>
      <c r="AP266" s="152">
        <f>'copy data3'!P320</f>
        <v>4286</v>
      </c>
      <c r="AQ266" s="38">
        <f t="shared" si="29"/>
        <v>4078.25</v>
      </c>
      <c r="AR266" s="71" t="e">
        <f t="shared" si="30"/>
        <v>#DIV/0!</v>
      </c>
      <c r="AS266" s="153">
        <f>'copy data3'!R320</f>
        <v>15739</v>
      </c>
      <c r="AT266" s="38">
        <f t="shared" si="33"/>
        <v>16176</v>
      </c>
      <c r="AU266" s="71">
        <f t="shared" si="31"/>
        <v>93.029675638371288</v>
      </c>
    </row>
    <row r="267" spans="1:47" ht="15.6" x14ac:dyDescent="0.3">
      <c r="A267" s="55" t="s">
        <v>34</v>
      </c>
      <c r="B267" s="56">
        <v>1793</v>
      </c>
      <c r="C267" s="56">
        <v>610</v>
      </c>
      <c r="D267" s="56">
        <v>403</v>
      </c>
      <c r="E267" s="56">
        <v>98</v>
      </c>
      <c r="F267" s="56">
        <v>1317</v>
      </c>
      <c r="G267" s="56">
        <v>271</v>
      </c>
      <c r="H267" s="56">
        <v>552</v>
      </c>
      <c r="I267" s="56">
        <v>196</v>
      </c>
      <c r="J267" s="56">
        <v>135</v>
      </c>
      <c r="K267" s="56">
        <v>81</v>
      </c>
      <c r="L267" s="56">
        <v>4199</v>
      </c>
      <c r="M267" s="56">
        <v>1255</v>
      </c>
      <c r="N267" s="56">
        <v>5117</v>
      </c>
      <c r="O267" s="56">
        <v>32836</v>
      </c>
      <c r="P267" s="56">
        <v>1917</v>
      </c>
      <c r="Q267" s="56">
        <v>26917</v>
      </c>
      <c r="R267" s="16">
        <f t="shared" si="32"/>
        <v>11233</v>
      </c>
      <c r="T267" s="144">
        <f t="shared" si="34"/>
        <v>38715</v>
      </c>
      <c r="U267" s="154">
        <f>'copy data3'!B321</f>
        <v>2692</v>
      </c>
      <c r="V267" s="38">
        <f t="shared" si="15"/>
        <v>2771.5</v>
      </c>
      <c r="W267" s="71" t="e">
        <f t="shared" si="16"/>
        <v>#DIV/0!</v>
      </c>
      <c r="X267" s="154">
        <f>'copy data3'!D321</f>
        <v>307</v>
      </c>
      <c r="Y267" s="38">
        <f t="shared" si="17"/>
        <v>292.25</v>
      </c>
      <c r="Z267" s="71" t="e">
        <f t="shared" si="18"/>
        <v>#DIV/0!</v>
      </c>
      <c r="AA267" s="152">
        <f>'copy data3'!F321</f>
        <v>1036</v>
      </c>
      <c r="AB267" s="38">
        <f t="shared" si="19"/>
        <v>1089.75</v>
      </c>
      <c r="AC267" s="71" t="e">
        <f t="shared" si="20"/>
        <v>#DIV/0!</v>
      </c>
      <c r="AD267" s="152">
        <f>'copy data3'!H321</f>
        <v>661</v>
      </c>
      <c r="AE267" s="38">
        <f t="shared" si="21"/>
        <v>739.5</v>
      </c>
      <c r="AF267" s="71" t="e">
        <f t="shared" si="22"/>
        <v>#DIV/0!</v>
      </c>
      <c r="AG267" s="152">
        <f>'copy data3'!J321</f>
        <v>31</v>
      </c>
      <c r="AH267" s="38">
        <f t="shared" si="23"/>
        <v>31</v>
      </c>
      <c r="AI267" s="71" t="e">
        <f t="shared" si="24"/>
        <v>#DIV/0!</v>
      </c>
      <c r="AJ267" s="152">
        <f>'copy data3'!L321</f>
        <v>4727</v>
      </c>
      <c r="AK267" s="38">
        <f t="shared" si="25"/>
        <v>4923.75</v>
      </c>
      <c r="AL267" s="71" t="e">
        <f t="shared" si="26"/>
        <v>#DIV/0!</v>
      </c>
      <c r="AM267" s="152">
        <f>'copy data3'!N321</f>
        <v>5991</v>
      </c>
      <c r="AN267" s="38">
        <f t="shared" si="27"/>
        <v>6745.25</v>
      </c>
      <c r="AO267" s="71" t="e">
        <f t="shared" si="28"/>
        <v>#DIV/0!</v>
      </c>
      <c r="AP267" s="152">
        <f>'copy data3'!P321</f>
        <v>4375</v>
      </c>
      <c r="AQ267" s="38">
        <f t="shared" si="29"/>
        <v>4152.25</v>
      </c>
      <c r="AR267" s="71" t="e">
        <f t="shared" si="30"/>
        <v>#DIV/0!</v>
      </c>
      <c r="AS267" s="153">
        <f>'copy data3'!R321</f>
        <v>15093</v>
      </c>
      <c r="AT267" s="38">
        <f t="shared" si="33"/>
        <v>15821.25</v>
      </c>
      <c r="AU267" s="71">
        <f t="shared" si="31"/>
        <v>97.421490147783246</v>
      </c>
    </row>
    <row r="268" spans="1:47" ht="15.6" x14ac:dyDescent="0.3">
      <c r="A268" s="55" t="s">
        <v>13</v>
      </c>
      <c r="B268" s="56">
        <v>994</v>
      </c>
      <c r="C268" s="56">
        <v>713</v>
      </c>
      <c r="D268" s="56">
        <v>396</v>
      </c>
      <c r="E268" s="56">
        <v>327</v>
      </c>
      <c r="F268" s="56">
        <v>886</v>
      </c>
      <c r="G268" s="56">
        <v>369</v>
      </c>
      <c r="H268" s="56">
        <v>559</v>
      </c>
      <c r="I268" s="56">
        <v>280</v>
      </c>
      <c r="J268" s="56">
        <v>127</v>
      </c>
      <c r="K268" s="56">
        <v>98</v>
      </c>
      <c r="L268" s="56">
        <v>2962</v>
      </c>
      <c r="M268" s="56">
        <v>1786</v>
      </c>
      <c r="N268" s="56">
        <v>5933</v>
      </c>
      <c r="O268" s="56">
        <v>39667</v>
      </c>
      <c r="P268" s="56">
        <v>2372</v>
      </c>
      <c r="Q268" s="56">
        <v>27205</v>
      </c>
      <c r="R268" s="16">
        <f t="shared" si="32"/>
        <v>11267</v>
      </c>
      <c r="T268" s="144">
        <f t="shared" si="34"/>
        <v>38722</v>
      </c>
      <c r="U268" s="154">
        <f>'copy data3'!B322</f>
        <v>2413</v>
      </c>
      <c r="V268" s="38">
        <f t="shared" si="15"/>
        <v>2673</v>
      </c>
      <c r="W268" s="71">
        <f t="shared" si="16"/>
        <v>180.73022312373226</v>
      </c>
      <c r="X268" s="154">
        <f>'copy data3'!D322</f>
        <v>337</v>
      </c>
      <c r="Y268" s="38">
        <f t="shared" si="17"/>
        <v>303.5</v>
      </c>
      <c r="Z268" s="71">
        <f t="shared" si="18"/>
        <v>82.697547683923716</v>
      </c>
      <c r="AA268" s="152">
        <f>'copy data3'!F322</f>
        <v>1003</v>
      </c>
      <c r="AB268" s="38">
        <f t="shared" si="19"/>
        <v>1067.5</v>
      </c>
      <c r="AC268" s="71">
        <f t="shared" si="20"/>
        <v>97.399635036496349</v>
      </c>
      <c r="AD268" s="152">
        <f>'copy data3'!H322</f>
        <v>657</v>
      </c>
      <c r="AE268" s="38">
        <f t="shared" si="21"/>
        <v>705.5</v>
      </c>
      <c r="AF268" s="71">
        <f t="shared" si="22"/>
        <v>95.986394557823132</v>
      </c>
      <c r="AG268" s="152">
        <f>'copy data3'!J322</f>
        <v>84</v>
      </c>
      <c r="AH268" s="38">
        <f t="shared" si="23"/>
        <v>43.25</v>
      </c>
      <c r="AI268" s="71">
        <f t="shared" si="24"/>
        <v>37.608695652173914</v>
      </c>
      <c r="AJ268" s="152">
        <f>'copy data3'!L322</f>
        <v>4494</v>
      </c>
      <c r="AK268" s="38">
        <f t="shared" si="25"/>
        <v>4792.75</v>
      </c>
      <c r="AL268" s="71">
        <f t="shared" si="26"/>
        <v>126.3910864978903</v>
      </c>
      <c r="AM268" s="152">
        <f>'copy data3'!N322</f>
        <v>5905</v>
      </c>
      <c r="AN268" s="38">
        <f t="shared" si="27"/>
        <v>6388</v>
      </c>
      <c r="AO268" s="71">
        <f t="shared" si="28"/>
        <v>91.27018145449351</v>
      </c>
      <c r="AP268" s="152">
        <f>'copy data3'!P322</f>
        <v>4149</v>
      </c>
      <c r="AQ268" s="38">
        <f t="shared" si="29"/>
        <v>4203.5</v>
      </c>
      <c r="AR268" s="71">
        <f t="shared" si="30"/>
        <v>73.849262122276883</v>
      </c>
      <c r="AS268" s="153">
        <f>'copy data3'!R322</f>
        <v>14548</v>
      </c>
      <c r="AT268" s="38">
        <f t="shared" si="33"/>
        <v>15384.25</v>
      </c>
      <c r="AU268" s="71">
        <f t="shared" si="31"/>
        <v>93.334041133288849</v>
      </c>
    </row>
    <row r="269" spans="1:47" ht="15.6" x14ac:dyDescent="0.3">
      <c r="A269" s="55" t="s">
        <v>14</v>
      </c>
      <c r="B269" s="56">
        <v>1760</v>
      </c>
      <c r="C269" s="56">
        <v>805</v>
      </c>
      <c r="D269" s="56">
        <v>551</v>
      </c>
      <c r="E269" s="56">
        <v>127</v>
      </c>
      <c r="F269" s="56">
        <v>1257</v>
      </c>
      <c r="G269" s="56">
        <v>416</v>
      </c>
      <c r="H269" s="56">
        <v>604</v>
      </c>
      <c r="I269" s="56">
        <v>270</v>
      </c>
      <c r="J269" s="56">
        <v>145</v>
      </c>
      <c r="K269" s="56">
        <v>81</v>
      </c>
      <c r="L269" s="56">
        <v>4316</v>
      </c>
      <c r="M269" s="56">
        <v>1699</v>
      </c>
      <c r="N269" s="56">
        <v>5075</v>
      </c>
      <c r="O269" s="56">
        <v>33596</v>
      </c>
      <c r="P269" s="56">
        <v>1793</v>
      </c>
      <c r="Q269" s="56">
        <v>27272</v>
      </c>
      <c r="R269" s="16">
        <f t="shared" si="32"/>
        <v>11184</v>
      </c>
      <c r="T269" s="144">
        <f t="shared" si="34"/>
        <v>38729</v>
      </c>
      <c r="U269" s="154">
        <f>'copy data3'!B323</f>
        <v>2319</v>
      </c>
      <c r="V269" s="38">
        <f t="shared" si="15"/>
        <v>2535.75</v>
      </c>
      <c r="W269" s="71">
        <f t="shared" si="16"/>
        <v>175.12085635359117</v>
      </c>
      <c r="X269" s="154">
        <f>'copy data3'!D323</f>
        <v>309</v>
      </c>
      <c r="Y269" s="38">
        <f t="shared" si="17"/>
        <v>311</v>
      </c>
      <c r="Z269" s="71">
        <f t="shared" si="18"/>
        <v>81.201044386422979</v>
      </c>
      <c r="AA269" s="152">
        <f>'copy data3'!F323</f>
        <v>1067</v>
      </c>
      <c r="AB269" s="38">
        <f t="shared" si="19"/>
        <v>1049.5</v>
      </c>
      <c r="AC269" s="71">
        <f t="shared" si="20"/>
        <v>85.325203252032523</v>
      </c>
      <c r="AD269" s="152">
        <f>'copy data3'!H323</f>
        <v>732</v>
      </c>
      <c r="AE269" s="38">
        <f t="shared" si="21"/>
        <v>688.5</v>
      </c>
      <c r="AF269" s="71">
        <f t="shared" si="22"/>
        <v>100.36443148688046</v>
      </c>
      <c r="AG269" s="152">
        <f>'copy data3'!J323</f>
        <v>97</v>
      </c>
      <c r="AH269" s="38">
        <f t="shared" si="23"/>
        <v>60</v>
      </c>
      <c r="AI269" s="71">
        <f t="shared" si="24"/>
        <v>46.511627906976742</v>
      </c>
      <c r="AJ269" s="152">
        <f>'copy data3'!L323</f>
        <v>4525</v>
      </c>
      <c r="AK269" s="38">
        <f t="shared" si="25"/>
        <v>4645</v>
      </c>
      <c r="AL269" s="71">
        <f t="shared" si="26"/>
        <v>119.90191017036655</v>
      </c>
      <c r="AM269" s="152">
        <f>'copy data3'!N323</f>
        <v>6184</v>
      </c>
      <c r="AN269" s="38">
        <f t="shared" si="27"/>
        <v>6174.75</v>
      </c>
      <c r="AO269" s="71">
        <f t="shared" si="28"/>
        <v>86.275674165152992</v>
      </c>
      <c r="AP269" s="152">
        <f>'copy data3'!P323</f>
        <v>4870</v>
      </c>
      <c r="AQ269" s="38">
        <f t="shared" si="29"/>
        <v>4420</v>
      </c>
      <c r="AR269" s="71">
        <f t="shared" si="30"/>
        <v>77.110956036287504</v>
      </c>
      <c r="AS269" s="153">
        <f>'copy data3'!R323</f>
        <v>15579</v>
      </c>
      <c r="AT269" s="38">
        <f t="shared" si="33"/>
        <v>15239.75</v>
      </c>
      <c r="AU269" s="71">
        <f t="shared" si="31"/>
        <v>90.913022728628519</v>
      </c>
    </row>
    <row r="270" spans="1:47" ht="15.6" x14ac:dyDescent="0.3">
      <c r="A270" s="55" t="s">
        <v>40</v>
      </c>
      <c r="B270" s="56">
        <v>1040</v>
      </c>
      <c r="C270" s="56">
        <v>1017</v>
      </c>
      <c r="D270" s="56">
        <v>406</v>
      </c>
      <c r="E270" s="56">
        <v>374</v>
      </c>
      <c r="F270" s="56">
        <v>1063</v>
      </c>
      <c r="G270" s="56">
        <v>475</v>
      </c>
      <c r="H270" s="56">
        <v>611</v>
      </c>
      <c r="I270" s="56">
        <v>376</v>
      </c>
      <c r="J270" s="56">
        <v>131</v>
      </c>
      <c r="K270" s="56">
        <v>108</v>
      </c>
      <c r="L270" s="56">
        <v>3251</v>
      </c>
      <c r="M270" s="56">
        <v>2347</v>
      </c>
      <c r="N270" s="56">
        <v>5717</v>
      </c>
      <c r="O270" s="56">
        <v>40599</v>
      </c>
      <c r="P270" s="56">
        <v>2200</v>
      </c>
      <c r="Q270" s="56">
        <v>27585</v>
      </c>
      <c r="R270" s="16">
        <f t="shared" si="32"/>
        <v>11168</v>
      </c>
      <c r="T270" s="144">
        <f t="shared" si="34"/>
        <v>38736</v>
      </c>
      <c r="U270" s="154">
        <f>'copy data3'!B324</f>
        <v>2159</v>
      </c>
      <c r="V270" s="38">
        <f t="shared" si="15"/>
        <v>2395.75</v>
      </c>
      <c r="W270" s="71">
        <f t="shared" si="16"/>
        <v>172.85353535353536</v>
      </c>
      <c r="X270" s="154">
        <f>'copy data3'!D324</f>
        <v>310</v>
      </c>
      <c r="Y270" s="38">
        <f t="shared" si="17"/>
        <v>315.75</v>
      </c>
      <c r="Z270" s="71">
        <f t="shared" si="18"/>
        <v>80.548469387755105</v>
      </c>
      <c r="AA270" s="152">
        <f>'copy data3'!F324</f>
        <v>1083</v>
      </c>
      <c r="AB270" s="38">
        <f t="shared" si="19"/>
        <v>1047.25</v>
      </c>
      <c r="AC270" s="71">
        <f t="shared" si="20"/>
        <v>87.856543624161077</v>
      </c>
      <c r="AD270" s="152">
        <f>'copy data3'!H324</f>
        <v>742</v>
      </c>
      <c r="AE270" s="38">
        <f t="shared" si="21"/>
        <v>698</v>
      </c>
      <c r="AF270" s="71">
        <f t="shared" si="22"/>
        <v>118.30508474576271</v>
      </c>
      <c r="AG270" s="152">
        <f>'copy data3'!J324</f>
        <v>116</v>
      </c>
      <c r="AH270" s="38">
        <f t="shared" si="23"/>
        <v>82</v>
      </c>
      <c r="AI270" s="71">
        <f t="shared" si="24"/>
        <v>78.095238095238102</v>
      </c>
      <c r="AJ270" s="152">
        <f>'copy data3'!L324</f>
        <v>4410</v>
      </c>
      <c r="AK270" s="38">
        <f t="shared" si="25"/>
        <v>4539</v>
      </c>
      <c r="AL270" s="71">
        <f t="shared" si="26"/>
        <v>123.88100436681222</v>
      </c>
      <c r="AM270" s="152">
        <f>'copy data3'!N324</f>
        <v>7416</v>
      </c>
      <c r="AN270" s="38">
        <f t="shared" si="27"/>
        <v>6374</v>
      </c>
      <c r="AO270" s="71">
        <f t="shared" si="28"/>
        <v>93.187134502923968</v>
      </c>
      <c r="AP270" s="152">
        <f>'copy data3'!P324</f>
        <v>4524</v>
      </c>
      <c r="AQ270" s="38">
        <f t="shared" si="29"/>
        <v>4479.5</v>
      </c>
      <c r="AR270" s="71">
        <f t="shared" si="30"/>
        <v>87.558639562157936</v>
      </c>
      <c r="AS270" s="153">
        <f>'copy data3'!R324</f>
        <v>16350</v>
      </c>
      <c r="AT270" s="38">
        <f t="shared" si="33"/>
        <v>15392.5</v>
      </c>
      <c r="AU270" s="71">
        <f t="shared" si="31"/>
        <v>98.543533930857876</v>
      </c>
    </row>
    <row r="271" spans="1:47" ht="15.6" x14ac:dyDescent="0.3">
      <c r="A271" s="55" t="s">
        <v>41</v>
      </c>
      <c r="B271" s="56">
        <v>2071</v>
      </c>
      <c r="C271" s="56">
        <v>939</v>
      </c>
      <c r="D271" s="56">
        <v>595</v>
      </c>
      <c r="E271" s="56">
        <v>177</v>
      </c>
      <c r="F271" s="56">
        <v>1255</v>
      </c>
      <c r="G271" s="56">
        <v>480</v>
      </c>
      <c r="H271" s="56">
        <v>572</v>
      </c>
      <c r="I271" s="56">
        <v>345</v>
      </c>
      <c r="J271" s="56">
        <v>132</v>
      </c>
      <c r="K271" s="56">
        <v>131</v>
      </c>
      <c r="L271" s="56">
        <v>4625</v>
      </c>
      <c r="M271" s="56">
        <v>2049</v>
      </c>
      <c r="N271" s="56">
        <v>4839</v>
      </c>
      <c r="O271" s="56">
        <v>34307</v>
      </c>
      <c r="P271" s="56">
        <v>5430</v>
      </c>
      <c r="Q271" s="56">
        <v>27479</v>
      </c>
      <c r="R271" s="16">
        <f t="shared" si="32"/>
        <v>14894</v>
      </c>
      <c r="T271" s="144">
        <f t="shared" si="34"/>
        <v>38743</v>
      </c>
      <c r="U271" s="154">
        <f>'copy data3'!B325</f>
        <v>2039</v>
      </c>
      <c r="V271" s="38">
        <f t="shared" si="15"/>
        <v>2232.5</v>
      </c>
      <c r="W271" s="71">
        <f t="shared" si="16"/>
        <v>142.92573623559539</v>
      </c>
      <c r="X271" s="154">
        <f>'copy data3'!D325</f>
        <v>264</v>
      </c>
      <c r="Y271" s="38">
        <f t="shared" si="17"/>
        <v>305</v>
      </c>
      <c r="Z271" s="71">
        <f t="shared" si="18"/>
        <v>78.40616966580977</v>
      </c>
      <c r="AA271" s="152">
        <f>'copy data3'!F325</f>
        <v>1057</v>
      </c>
      <c r="AB271" s="38">
        <f t="shared" si="19"/>
        <v>1052.5</v>
      </c>
      <c r="AC271" s="71">
        <f t="shared" si="20"/>
        <v>86.270491803278688</v>
      </c>
      <c r="AD271" s="152">
        <f>'copy data3'!H325</f>
        <v>700</v>
      </c>
      <c r="AE271" s="38">
        <f t="shared" si="21"/>
        <v>707.75</v>
      </c>
      <c r="AF271" s="71">
        <f t="shared" si="22"/>
        <v>117.1771523178808</v>
      </c>
      <c r="AG271" s="152">
        <f>'copy data3'!J325</f>
        <v>126</v>
      </c>
      <c r="AH271" s="38">
        <f t="shared" si="23"/>
        <v>105.75</v>
      </c>
      <c r="AI271" s="71">
        <f t="shared" si="24"/>
        <v>95.270270270270274</v>
      </c>
      <c r="AJ271" s="152">
        <f>'copy data3'!L325</f>
        <v>4185</v>
      </c>
      <c r="AK271" s="38">
        <f t="shared" si="25"/>
        <v>4403.5</v>
      </c>
      <c r="AL271" s="71">
        <f t="shared" si="26"/>
        <v>113.31703551209469</v>
      </c>
      <c r="AM271" s="152">
        <f>'copy data3'!N325</f>
        <v>7858</v>
      </c>
      <c r="AN271" s="38">
        <f t="shared" si="27"/>
        <v>6840.75</v>
      </c>
      <c r="AO271" s="71">
        <f t="shared" si="28"/>
        <v>109.32955090298866</v>
      </c>
      <c r="AP271" s="152">
        <f>'copy data3'!P325</f>
        <v>4403</v>
      </c>
      <c r="AQ271" s="38">
        <f t="shared" si="29"/>
        <v>4486.5</v>
      </c>
      <c r="AR271" s="71">
        <f t="shared" si="30"/>
        <v>90.618056958190266</v>
      </c>
      <c r="AS271" s="153">
        <f>'copy data3'!R325</f>
        <v>16446</v>
      </c>
      <c r="AT271" s="38">
        <f t="shared" si="33"/>
        <v>15730.75</v>
      </c>
      <c r="AU271" s="71">
        <f t="shared" si="31"/>
        <v>104.21856366768252</v>
      </c>
    </row>
    <row r="272" spans="1:47" ht="15.6" x14ac:dyDescent="0.3">
      <c r="A272" s="55" t="s">
        <v>42</v>
      </c>
      <c r="B272" s="56">
        <v>1136</v>
      </c>
      <c r="C272" s="56">
        <v>1195</v>
      </c>
      <c r="D272" s="56">
        <v>449</v>
      </c>
      <c r="E272" s="56">
        <v>421</v>
      </c>
      <c r="F272" s="56">
        <v>984</v>
      </c>
      <c r="G272" s="56">
        <v>653</v>
      </c>
      <c r="H272" s="56">
        <v>671</v>
      </c>
      <c r="I272" s="56">
        <v>395</v>
      </c>
      <c r="J272" s="56">
        <v>116</v>
      </c>
      <c r="K272" s="56">
        <v>138</v>
      </c>
      <c r="L272" s="56">
        <v>3356</v>
      </c>
      <c r="M272" s="56">
        <v>2802</v>
      </c>
      <c r="N272" s="56">
        <v>5402</v>
      </c>
      <c r="O272" s="56">
        <v>41667</v>
      </c>
      <c r="P272" s="56">
        <v>1979</v>
      </c>
      <c r="Q272" s="56">
        <v>27914</v>
      </c>
      <c r="R272" s="16">
        <f t="shared" si="32"/>
        <v>10737</v>
      </c>
      <c r="T272" s="144">
        <f t="shared" si="34"/>
        <v>38750</v>
      </c>
      <c r="U272" s="154">
        <f>'copy data3'!B326</f>
        <v>1751</v>
      </c>
      <c r="V272" s="38">
        <f t="shared" si="15"/>
        <v>2067</v>
      </c>
      <c r="W272" s="71">
        <f t="shared" si="16"/>
        <v>126.03658536585365</v>
      </c>
      <c r="X272" s="154">
        <f>'copy data3'!D326</f>
        <v>299</v>
      </c>
      <c r="Y272" s="38">
        <f t="shared" si="17"/>
        <v>295.5</v>
      </c>
      <c r="Z272" s="71">
        <f t="shared" si="18"/>
        <v>75.964010282776357</v>
      </c>
      <c r="AA272" s="152">
        <f>'copy data3'!F326</f>
        <v>1057</v>
      </c>
      <c r="AB272" s="38">
        <f t="shared" si="19"/>
        <v>1066</v>
      </c>
      <c r="AC272" s="71">
        <f t="shared" si="20"/>
        <v>85.34827862289832</v>
      </c>
      <c r="AD272" s="152">
        <f>'copy data3'!H326</f>
        <v>687</v>
      </c>
      <c r="AE272" s="38">
        <f t="shared" si="21"/>
        <v>715.25</v>
      </c>
      <c r="AF272" s="71">
        <f t="shared" si="22"/>
        <v>116.11201298701299</v>
      </c>
      <c r="AG272" s="152">
        <f>'copy data3'!J326</f>
        <v>104</v>
      </c>
      <c r="AH272" s="38">
        <f t="shared" si="23"/>
        <v>110.75</v>
      </c>
      <c r="AI272" s="71">
        <f t="shared" si="24"/>
        <v>97.149122807017534</v>
      </c>
      <c r="AJ272" s="152">
        <f>'copy data3'!L326</f>
        <v>3898</v>
      </c>
      <c r="AK272" s="38">
        <f t="shared" si="25"/>
        <v>4254.5</v>
      </c>
      <c r="AL272" s="71">
        <f t="shared" si="26"/>
        <v>106.17669079111556</v>
      </c>
      <c r="AM272" s="152">
        <f>'copy data3'!N326</f>
        <v>8455</v>
      </c>
      <c r="AN272" s="38">
        <f t="shared" si="27"/>
        <v>7478.25</v>
      </c>
      <c r="AO272" s="71">
        <f t="shared" si="28"/>
        <v>110.88745551601424</v>
      </c>
      <c r="AP272" s="152">
        <f>'copy data3'!P326</f>
        <v>4247</v>
      </c>
      <c r="AQ272" s="38">
        <f t="shared" si="29"/>
        <v>4511</v>
      </c>
      <c r="AR272" s="71">
        <f t="shared" si="30"/>
        <v>93.842313293114216</v>
      </c>
      <c r="AS272" s="153">
        <f>'copy data3'!R326</f>
        <v>16600</v>
      </c>
      <c r="AT272" s="38">
        <f t="shared" si="33"/>
        <v>16243.75</v>
      </c>
      <c r="AU272" s="71">
        <f t="shared" si="31"/>
        <v>104.40770021853709</v>
      </c>
    </row>
    <row r="273" spans="1:47" ht="15.6" x14ac:dyDescent="0.3">
      <c r="A273" s="55" t="s">
        <v>43</v>
      </c>
      <c r="B273" s="56">
        <v>2019</v>
      </c>
      <c r="C273" s="56">
        <v>1164</v>
      </c>
      <c r="D273" s="56">
        <v>486</v>
      </c>
      <c r="E273" s="56">
        <v>317</v>
      </c>
      <c r="F273" s="56">
        <v>1221</v>
      </c>
      <c r="G273" s="56">
        <v>633</v>
      </c>
      <c r="H273" s="56">
        <v>574</v>
      </c>
      <c r="I273" s="56">
        <v>379</v>
      </c>
      <c r="J273" s="56">
        <v>147</v>
      </c>
      <c r="K273" s="56">
        <v>111</v>
      </c>
      <c r="L273" s="56">
        <v>4446</v>
      </c>
      <c r="M273" s="56">
        <v>2604</v>
      </c>
      <c r="N273" s="56">
        <v>4532</v>
      </c>
      <c r="O273" s="56">
        <v>35086</v>
      </c>
      <c r="P273" s="56">
        <v>1705</v>
      </c>
      <c r="Q273" s="56">
        <v>27771</v>
      </c>
      <c r="R273" s="16">
        <f t="shared" si="32"/>
        <v>10683</v>
      </c>
      <c r="T273" s="144">
        <f t="shared" si="34"/>
        <v>38757</v>
      </c>
      <c r="U273" s="154">
        <f>'copy data3'!B327</f>
        <v>1644</v>
      </c>
      <c r="V273" s="38">
        <f t="shared" si="15"/>
        <v>1898.25</v>
      </c>
      <c r="W273" s="71">
        <f t="shared" si="16"/>
        <v>107.67158252977877</v>
      </c>
      <c r="X273" s="154">
        <f>'copy data3'!D327</f>
        <v>344</v>
      </c>
      <c r="Y273" s="38">
        <f t="shared" si="17"/>
        <v>304.25</v>
      </c>
      <c r="Z273" s="71">
        <f t="shared" si="18"/>
        <v>80.277044854881268</v>
      </c>
      <c r="AA273" s="152">
        <f>'copy data3'!F327</f>
        <v>1170</v>
      </c>
      <c r="AB273" s="38">
        <f t="shared" si="19"/>
        <v>1091.75</v>
      </c>
      <c r="AC273" s="71">
        <f t="shared" si="20"/>
        <v>84.175019275250577</v>
      </c>
      <c r="AD273" s="152">
        <f>'copy data3'!H327</f>
        <v>696</v>
      </c>
      <c r="AE273" s="38">
        <f t="shared" si="21"/>
        <v>706.25</v>
      </c>
      <c r="AF273" s="71">
        <f t="shared" si="22"/>
        <v>118.2998324958124</v>
      </c>
      <c r="AG273" s="152">
        <f>'copy data3'!J327</f>
        <v>147</v>
      </c>
      <c r="AH273" s="38">
        <f t="shared" si="23"/>
        <v>123.25</v>
      </c>
      <c r="AI273" s="71">
        <f t="shared" si="24"/>
        <v>120.83333333333333</v>
      </c>
      <c r="AJ273" s="152">
        <f>'copy data3'!L327</f>
        <v>3999</v>
      </c>
      <c r="AK273" s="38">
        <f t="shared" si="25"/>
        <v>4123</v>
      </c>
      <c r="AL273" s="71">
        <f t="shared" si="26"/>
        <v>99.63750604156597</v>
      </c>
      <c r="AM273" s="152">
        <f>'copy data3'!N327</f>
        <v>8829</v>
      </c>
      <c r="AN273" s="38">
        <f t="shared" si="27"/>
        <v>8139.5</v>
      </c>
      <c r="AO273" s="71">
        <f t="shared" si="28"/>
        <v>120.2467129561235</v>
      </c>
      <c r="AP273" s="152">
        <f>'copy data3'!P327</f>
        <v>3788</v>
      </c>
      <c r="AQ273" s="38">
        <f t="shared" si="29"/>
        <v>4240.5</v>
      </c>
      <c r="AR273" s="71">
        <f t="shared" si="30"/>
        <v>96.660588101208106</v>
      </c>
      <c r="AS273" s="153">
        <f>'copy data3'!R327</f>
        <v>16616</v>
      </c>
      <c r="AT273" s="38">
        <f t="shared" si="33"/>
        <v>16503</v>
      </c>
      <c r="AU273" s="71">
        <f t="shared" si="31"/>
        <v>107.90506080816007</v>
      </c>
    </row>
    <row r="274" spans="1:47" ht="15.6" x14ac:dyDescent="0.3">
      <c r="A274" s="55" t="s">
        <v>44</v>
      </c>
      <c r="B274" s="56">
        <v>1080</v>
      </c>
      <c r="C274" s="56">
        <v>1396</v>
      </c>
      <c r="D274" s="56">
        <v>446</v>
      </c>
      <c r="E274" s="56">
        <v>468</v>
      </c>
      <c r="F274" s="56">
        <v>1030</v>
      </c>
      <c r="G274" s="56">
        <v>738</v>
      </c>
      <c r="H274" s="56">
        <v>611</v>
      </c>
      <c r="I274" s="56">
        <v>421</v>
      </c>
      <c r="J274" s="56">
        <v>82</v>
      </c>
      <c r="K274" s="56">
        <v>174</v>
      </c>
      <c r="L274" s="56">
        <v>3249</v>
      </c>
      <c r="M274" s="56">
        <v>3197</v>
      </c>
      <c r="N274" s="56">
        <v>5026</v>
      </c>
      <c r="O274" s="56">
        <v>42732</v>
      </c>
      <c r="P274" s="56">
        <v>1764</v>
      </c>
      <c r="Q274" s="56">
        <v>28243</v>
      </c>
      <c r="R274" s="16">
        <f t="shared" si="32"/>
        <v>10039</v>
      </c>
      <c r="T274" s="144">
        <f t="shared" si="34"/>
        <v>38764</v>
      </c>
      <c r="U274" s="154">
        <f>'copy data3'!B328</f>
        <v>1668</v>
      </c>
      <c r="V274" s="38">
        <f t="shared" si="15"/>
        <v>1775.5</v>
      </c>
      <c r="W274" s="71">
        <f t="shared" si="16"/>
        <v>105.74746873138774</v>
      </c>
      <c r="X274" s="154">
        <f>'copy data3'!D328</f>
        <v>365</v>
      </c>
      <c r="Y274" s="38">
        <f t="shared" si="17"/>
        <v>318</v>
      </c>
      <c r="Z274" s="71">
        <f t="shared" si="18"/>
        <v>81.748071979434442</v>
      </c>
      <c r="AA274" s="152">
        <f>'copy data3'!F328</f>
        <v>1125</v>
      </c>
      <c r="AB274" s="38">
        <f t="shared" si="19"/>
        <v>1102.25</v>
      </c>
      <c r="AC274" s="71">
        <f t="shared" si="20"/>
        <v>83.377458396369136</v>
      </c>
      <c r="AD274" s="152">
        <f>'copy data3'!H328</f>
        <v>709</v>
      </c>
      <c r="AE274" s="38">
        <f t="shared" si="21"/>
        <v>698</v>
      </c>
      <c r="AF274" s="71">
        <f t="shared" si="22"/>
        <v>110.96979332273449</v>
      </c>
      <c r="AG274" s="152">
        <f>'copy data3'!J328</f>
        <v>192</v>
      </c>
      <c r="AH274" s="38">
        <f t="shared" si="23"/>
        <v>142.25</v>
      </c>
      <c r="AI274" s="71">
        <f t="shared" si="24"/>
        <v>127.00892857142858</v>
      </c>
      <c r="AJ274" s="152">
        <f>'copy data3'!L328</f>
        <v>4059</v>
      </c>
      <c r="AK274" s="38">
        <f t="shared" si="25"/>
        <v>4035.25</v>
      </c>
      <c r="AL274" s="71">
        <f t="shared" si="26"/>
        <v>97.658518877057105</v>
      </c>
      <c r="AM274" s="152">
        <f>'copy data3'!N328</f>
        <v>9281</v>
      </c>
      <c r="AN274" s="38">
        <f t="shared" si="27"/>
        <v>8605.75</v>
      </c>
      <c r="AO274" s="71">
        <f t="shared" si="28"/>
        <v>123.00957690108633</v>
      </c>
      <c r="AP274" s="152">
        <f>'copy data3'!P328</f>
        <v>3544</v>
      </c>
      <c r="AQ274" s="38">
        <f t="shared" si="29"/>
        <v>3995.5</v>
      </c>
      <c r="AR274" s="71">
        <f t="shared" si="30"/>
        <v>104.48483263598327</v>
      </c>
      <c r="AS274" s="153">
        <f>'copy data3'!R328</f>
        <v>16884</v>
      </c>
      <c r="AT274" s="38">
        <f t="shared" si="33"/>
        <v>16636.5</v>
      </c>
      <c r="AU274" s="71">
        <f t="shared" si="31"/>
        <v>111.26605136436598</v>
      </c>
    </row>
    <row r="275" spans="1:47" ht="15.6" x14ac:dyDescent="0.3">
      <c r="A275" s="55" t="s">
        <v>45</v>
      </c>
      <c r="B275" s="56">
        <v>1945</v>
      </c>
      <c r="C275" s="56">
        <v>1440</v>
      </c>
      <c r="D275" s="56">
        <v>482</v>
      </c>
      <c r="E275" s="56">
        <v>433</v>
      </c>
      <c r="F275" s="56">
        <v>1269</v>
      </c>
      <c r="G275" s="56">
        <v>750</v>
      </c>
      <c r="H275" s="56">
        <v>507</v>
      </c>
      <c r="I275" s="56">
        <v>423</v>
      </c>
      <c r="J275" s="56">
        <v>166</v>
      </c>
      <c r="K275" s="56">
        <v>122</v>
      </c>
      <c r="L275" s="56">
        <v>4368</v>
      </c>
      <c r="M275" s="56">
        <v>3168</v>
      </c>
      <c r="N275" s="56">
        <v>4238</v>
      </c>
      <c r="O275" s="56">
        <v>35928</v>
      </c>
      <c r="P275" s="56">
        <v>1706</v>
      </c>
      <c r="Q275" s="56">
        <v>27890</v>
      </c>
      <c r="R275" s="16">
        <f t="shared" si="32"/>
        <v>10312</v>
      </c>
      <c r="T275" s="144">
        <f t="shared" si="34"/>
        <v>38771</v>
      </c>
      <c r="U275" s="154">
        <f>'copy data3'!B329</f>
        <v>1579</v>
      </c>
      <c r="V275" s="38">
        <f t="shared" si="15"/>
        <v>1660.5</v>
      </c>
      <c r="W275" s="71">
        <f t="shared" si="16"/>
        <v>101.43555284056201</v>
      </c>
      <c r="X275" s="154">
        <f>'copy data3'!D329</f>
        <v>375</v>
      </c>
      <c r="Y275" s="38">
        <f t="shared" si="17"/>
        <v>345.75</v>
      </c>
      <c r="Z275" s="71">
        <f t="shared" si="18"/>
        <v>105.41158536585367</v>
      </c>
      <c r="AA275" s="152">
        <f>'copy data3'!F329</f>
        <v>1020</v>
      </c>
      <c r="AB275" s="38">
        <f t="shared" si="19"/>
        <v>1093</v>
      </c>
      <c r="AC275" s="71">
        <f t="shared" si="20"/>
        <v>79.606700655498912</v>
      </c>
      <c r="AD275" s="152">
        <f>'copy data3'!H329</f>
        <v>674</v>
      </c>
      <c r="AE275" s="38">
        <f t="shared" si="21"/>
        <v>691.5</v>
      </c>
      <c r="AF275" s="71">
        <f t="shared" si="22"/>
        <v>142.57731958762886</v>
      </c>
      <c r="AG275" s="152">
        <f>'copy data3'!J329</f>
        <v>156</v>
      </c>
      <c r="AH275" s="38">
        <f t="shared" si="23"/>
        <v>149.75</v>
      </c>
      <c r="AI275" s="71">
        <f t="shared" si="24"/>
        <v>133.70535714285714</v>
      </c>
      <c r="AJ275" s="152">
        <f>'copy data3'!L329</f>
        <v>3804</v>
      </c>
      <c r="AK275" s="38">
        <f t="shared" si="25"/>
        <v>3940</v>
      </c>
      <c r="AL275" s="71">
        <f t="shared" si="26"/>
        <v>100.12706480304956</v>
      </c>
      <c r="AM275" s="152">
        <f>'copy data3'!N329</f>
        <v>8935</v>
      </c>
      <c r="AN275" s="38">
        <f t="shared" si="27"/>
        <v>8875</v>
      </c>
      <c r="AO275" s="71">
        <f t="shared" si="28"/>
        <v>127.69784172661871</v>
      </c>
      <c r="AP275" s="152">
        <f>'copy data3'!P329</f>
        <v>3406</v>
      </c>
      <c r="AQ275" s="38">
        <f t="shared" si="29"/>
        <v>3746.25</v>
      </c>
      <c r="AR275" s="71">
        <f t="shared" si="30"/>
        <v>101.49688431319426</v>
      </c>
      <c r="AS275" s="153">
        <f>'copy data3'!R329</f>
        <v>16145</v>
      </c>
      <c r="AT275" s="38">
        <f t="shared" si="33"/>
        <v>16561.25</v>
      </c>
      <c r="AU275" s="71">
        <f t="shared" si="31"/>
        <v>113.6199917672887</v>
      </c>
    </row>
    <row r="276" spans="1:47" ht="15.6" x14ac:dyDescent="0.3">
      <c r="A276" s="55" t="s">
        <v>46</v>
      </c>
      <c r="B276" s="56">
        <v>1145</v>
      </c>
      <c r="C276" s="56">
        <v>1572</v>
      </c>
      <c r="D276" s="56">
        <v>394</v>
      </c>
      <c r="E276" s="56">
        <v>527</v>
      </c>
      <c r="F276" s="56">
        <v>1175</v>
      </c>
      <c r="G276" s="56">
        <v>836</v>
      </c>
      <c r="H276" s="56">
        <v>685</v>
      </c>
      <c r="I276" s="56">
        <v>485</v>
      </c>
      <c r="J276" s="56">
        <v>127</v>
      </c>
      <c r="K276" s="56">
        <v>176</v>
      </c>
      <c r="L276" s="56">
        <v>3524</v>
      </c>
      <c r="M276" s="56">
        <v>3596</v>
      </c>
      <c r="N276" s="56">
        <v>4596</v>
      </c>
      <c r="O276" s="56">
        <v>43489</v>
      </c>
      <c r="P276" s="56">
        <v>1405</v>
      </c>
      <c r="Q276" s="56">
        <v>28677</v>
      </c>
      <c r="R276" s="16">
        <f t="shared" si="32"/>
        <v>9525</v>
      </c>
      <c r="T276" s="144">
        <f t="shared" si="34"/>
        <v>38778</v>
      </c>
      <c r="U276" s="154">
        <f>'copy data3'!B330</f>
        <v>1444</v>
      </c>
      <c r="V276" s="38">
        <f t="shared" si="15"/>
        <v>1583.75</v>
      </c>
      <c r="W276" s="71">
        <f t="shared" si="16"/>
        <v>101.78341902313626</v>
      </c>
      <c r="X276" s="154">
        <f>'copy data3'!D330</f>
        <v>368</v>
      </c>
      <c r="Y276" s="38">
        <f t="shared" si="17"/>
        <v>363</v>
      </c>
      <c r="Z276" s="71">
        <f t="shared" si="18"/>
        <v>133.94833948339485</v>
      </c>
      <c r="AA276" s="152">
        <f>'copy data3'!F330</f>
        <v>1039</v>
      </c>
      <c r="AB276" s="38">
        <f t="shared" si="19"/>
        <v>1088.5</v>
      </c>
      <c r="AC276" s="71">
        <f t="shared" si="20"/>
        <v>77.75</v>
      </c>
      <c r="AD276" s="152">
        <f>'copy data3'!H330</f>
        <v>686</v>
      </c>
      <c r="AE276" s="38">
        <f t="shared" si="21"/>
        <v>691.25</v>
      </c>
      <c r="AF276" s="71">
        <f t="shared" si="22"/>
        <v>133.70406189555126</v>
      </c>
      <c r="AG276" s="152">
        <f>'copy data3'!J330</f>
        <v>174</v>
      </c>
      <c r="AH276" s="38">
        <f t="shared" si="23"/>
        <v>167.25</v>
      </c>
      <c r="AI276" s="71">
        <f t="shared" si="24"/>
        <v>156.30841121495328</v>
      </c>
      <c r="AJ276" s="152">
        <f>'copy data3'!L330</f>
        <v>3710</v>
      </c>
      <c r="AK276" s="38">
        <f t="shared" si="25"/>
        <v>3893</v>
      </c>
      <c r="AL276" s="71">
        <f t="shared" si="26"/>
        <v>101.09062581147754</v>
      </c>
      <c r="AM276" s="152">
        <f>'copy data3'!N330</f>
        <v>9246</v>
      </c>
      <c r="AN276" s="38">
        <f t="shared" si="27"/>
        <v>9072.75</v>
      </c>
      <c r="AO276" s="71">
        <f t="shared" si="28"/>
        <v>134.49080936851468</v>
      </c>
      <c r="AP276" s="152">
        <f>'copy data3'!P330</f>
        <v>3134</v>
      </c>
      <c r="AQ276" s="38">
        <f t="shared" si="29"/>
        <v>3468</v>
      </c>
      <c r="AR276" s="71">
        <f t="shared" si="30"/>
        <v>94.702348443473511</v>
      </c>
      <c r="AS276" s="153">
        <f>'copy data3'!R330</f>
        <v>16090</v>
      </c>
      <c r="AT276" s="38">
        <f t="shared" si="33"/>
        <v>16433.75</v>
      </c>
      <c r="AU276" s="71">
        <f t="shared" si="31"/>
        <v>115.25177081141736</v>
      </c>
    </row>
    <row r="277" spans="1:47" ht="15.6" x14ac:dyDescent="0.3">
      <c r="A277" s="55" t="s">
        <v>47</v>
      </c>
      <c r="B277" s="56">
        <v>1930</v>
      </c>
      <c r="C277" s="56">
        <v>1701</v>
      </c>
      <c r="D277" s="56">
        <v>404</v>
      </c>
      <c r="E277" s="56">
        <v>577</v>
      </c>
      <c r="F277" s="56">
        <v>1292</v>
      </c>
      <c r="G277" s="56">
        <v>840</v>
      </c>
      <c r="H277" s="56">
        <v>504</v>
      </c>
      <c r="I277" s="56">
        <v>564</v>
      </c>
      <c r="J277" s="56">
        <v>149</v>
      </c>
      <c r="K277" s="56">
        <v>146</v>
      </c>
      <c r="L277" s="56">
        <v>4279</v>
      </c>
      <c r="M277" s="56">
        <v>3827</v>
      </c>
      <c r="N277" s="56">
        <v>3851</v>
      </c>
      <c r="O277" s="56">
        <v>36739</v>
      </c>
      <c r="P277" s="56">
        <v>1569</v>
      </c>
      <c r="Q277" s="56">
        <v>28161</v>
      </c>
      <c r="R277" s="16">
        <f t="shared" si="32"/>
        <v>9699</v>
      </c>
      <c r="T277" s="144">
        <f t="shared" si="34"/>
        <v>38785</v>
      </c>
      <c r="U277" s="154">
        <f>'copy data3'!B331</f>
        <v>1324</v>
      </c>
      <c r="V277" s="38">
        <f t="shared" si="15"/>
        <v>1503.75</v>
      </c>
      <c r="W277" s="71">
        <f t="shared" si="16"/>
        <v>95.658396946564878</v>
      </c>
      <c r="X277" s="154">
        <f>'copy data3'!D331</f>
        <v>294</v>
      </c>
      <c r="Y277" s="38">
        <f t="shared" si="17"/>
        <v>350.5</v>
      </c>
      <c r="Z277" s="71">
        <f t="shared" si="18"/>
        <v>130.78358208955223</v>
      </c>
      <c r="AA277" s="152">
        <f>'copy data3'!F331</f>
        <v>1042</v>
      </c>
      <c r="AB277" s="38">
        <f t="shared" si="19"/>
        <v>1056.5</v>
      </c>
      <c r="AC277" s="71">
        <f t="shared" si="20"/>
        <v>68.782552083333343</v>
      </c>
      <c r="AD277" s="152">
        <f>'copy data3'!H331</f>
        <v>589</v>
      </c>
      <c r="AE277" s="38">
        <f t="shared" si="21"/>
        <v>664.5</v>
      </c>
      <c r="AF277" s="71">
        <f t="shared" si="22"/>
        <v>108.57843137254901</v>
      </c>
      <c r="AG277" s="152">
        <f>'copy data3'!J331</f>
        <v>225</v>
      </c>
      <c r="AH277" s="38">
        <f t="shared" si="23"/>
        <v>186.75</v>
      </c>
      <c r="AI277" s="71">
        <f t="shared" si="24"/>
        <v>236.39240506329116</v>
      </c>
      <c r="AJ277" s="152">
        <f>'copy data3'!L331</f>
        <v>3474</v>
      </c>
      <c r="AK277" s="38">
        <f t="shared" si="25"/>
        <v>3761.75</v>
      </c>
      <c r="AL277" s="71">
        <f t="shared" si="26"/>
        <v>92.47173058013766</v>
      </c>
      <c r="AM277" s="152">
        <f>'copy data3'!N331</f>
        <v>9443</v>
      </c>
      <c r="AN277" s="38">
        <f t="shared" si="27"/>
        <v>9226.25</v>
      </c>
      <c r="AO277" s="71">
        <f t="shared" si="28"/>
        <v>131.76592402170809</v>
      </c>
      <c r="AP277" s="152">
        <f>'copy data3'!P331</f>
        <v>2675</v>
      </c>
      <c r="AQ277" s="38">
        <f t="shared" si="29"/>
        <v>3189.75</v>
      </c>
      <c r="AR277" s="71">
        <f t="shared" si="30"/>
        <v>98.418697932736805</v>
      </c>
      <c r="AS277" s="153">
        <f>'copy data3'!R331</f>
        <v>15592</v>
      </c>
      <c r="AT277" s="38">
        <f t="shared" si="33"/>
        <v>16177.75</v>
      </c>
      <c r="AU277" s="71">
        <f t="shared" si="31"/>
        <v>113.04416183355461</v>
      </c>
    </row>
    <row r="278" spans="1:47" ht="15.6" x14ac:dyDescent="0.3">
      <c r="A278" s="55" t="s">
        <v>48</v>
      </c>
      <c r="B278" s="56">
        <v>1168</v>
      </c>
      <c r="C278" s="56">
        <v>1757</v>
      </c>
      <c r="D278" s="56">
        <v>369</v>
      </c>
      <c r="E278" s="56">
        <v>617</v>
      </c>
      <c r="F278" s="56">
        <v>1316</v>
      </c>
      <c r="G278" s="56">
        <v>1006</v>
      </c>
      <c r="H278" s="56">
        <v>709</v>
      </c>
      <c r="I278" s="56">
        <v>579</v>
      </c>
      <c r="J278" s="56">
        <v>113</v>
      </c>
      <c r="K278" s="56">
        <v>198</v>
      </c>
      <c r="L278" s="56">
        <v>3676</v>
      </c>
      <c r="M278" s="56">
        <v>4079</v>
      </c>
      <c r="N278" s="56">
        <v>4271</v>
      </c>
      <c r="O278" s="56">
        <v>44621</v>
      </c>
      <c r="P278" s="56">
        <v>1112</v>
      </c>
      <c r="Q278" s="56">
        <v>28973</v>
      </c>
      <c r="R278" s="16">
        <f t="shared" si="32"/>
        <v>9059</v>
      </c>
      <c r="T278" s="144">
        <f t="shared" si="34"/>
        <v>38792</v>
      </c>
      <c r="U278" s="154">
        <f>'copy data3'!B332</f>
        <v>1169</v>
      </c>
      <c r="V278" s="38">
        <f t="shared" si="15"/>
        <v>1379</v>
      </c>
      <c r="W278" s="71">
        <f t="shared" si="16"/>
        <v>87.5</v>
      </c>
      <c r="X278" s="154">
        <f>'copy data3'!D332</f>
        <v>288</v>
      </c>
      <c r="Y278" s="38">
        <f t="shared" si="17"/>
        <v>331.25</v>
      </c>
      <c r="Z278" s="71">
        <f t="shared" si="18"/>
        <v>137.448132780083</v>
      </c>
      <c r="AA278" s="152">
        <f>'copy data3'!F332</f>
        <v>1094</v>
      </c>
      <c r="AB278" s="38">
        <f t="shared" si="19"/>
        <v>1048.75</v>
      </c>
      <c r="AC278" s="71">
        <f t="shared" si="20"/>
        <v>78.090096798212954</v>
      </c>
      <c r="AD278" s="152">
        <f>'copy data3'!H332</f>
        <v>737</v>
      </c>
      <c r="AE278" s="38">
        <f t="shared" si="21"/>
        <v>671.5</v>
      </c>
      <c r="AF278" s="71">
        <f t="shared" si="22"/>
        <v>134.5691382765531</v>
      </c>
      <c r="AG278" s="152">
        <f>'copy data3'!J332</f>
        <v>224</v>
      </c>
      <c r="AH278" s="38">
        <f t="shared" si="23"/>
        <v>194.75</v>
      </c>
      <c r="AI278" s="71">
        <f t="shared" si="24"/>
        <v>177.04545454545456</v>
      </c>
      <c r="AJ278" s="152">
        <f>'copy data3'!L332</f>
        <v>3512</v>
      </c>
      <c r="AK278" s="38">
        <f t="shared" si="25"/>
        <v>3625</v>
      </c>
      <c r="AL278" s="71">
        <f t="shared" si="26"/>
        <v>96.179357919872643</v>
      </c>
      <c r="AM278" s="152">
        <f>'copy data3'!N332</f>
        <v>9141</v>
      </c>
      <c r="AN278" s="38">
        <f t="shared" si="27"/>
        <v>9191.25</v>
      </c>
      <c r="AO278" s="71">
        <f t="shared" si="28"/>
        <v>126.06295432725278</v>
      </c>
      <c r="AP278" s="152">
        <f>'copy data3'!P332</f>
        <v>2368</v>
      </c>
      <c r="AQ278" s="38">
        <f t="shared" si="29"/>
        <v>2895.75</v>
      </c>
      <c r="AR278" s="71">
        <f t="shared" si="30"/>
        <v>95.067301378857522</v>
      </c>
      <c r="AS278" s="153">
        <f>'copy data3'!R332</f>
        <v>15021</v>
      </c>
      <c r="AT278" s="38">
        <f t="shared" si="33"/>
        <v>15712</v>
      </c>
      <c r="AU278" s="71">
        <f t="shared" si="31"/>
        <v>111.38522614490287</v>
      </c>
    </row>
    <row r="279" spans="1:47" ht="15.6" x14ac:dyDescent="0.3">
      <c r="A279" s="55" t="s">
        <v>49</v>
      </c>
      <c r="B279" s="56">
        <v>1997</v>
      </c>
      <c r="C279" s="56">
        <v>1949</v>
      </c>
      <c r="D279" s="56">
        <v>401</v>
      </c>
      <c r="E279" s="56">
        <v>698</v>
      </c>
      <c r="F279" s="56">
        <v>1219</v>
      </c>
      <c r="G279" s="56">
        <v>928</v>
      </c>
      <c r="H279" s="56">
        <v>578</v>
      </c>
      <c r="I279" s="56">
        <v>620</v>
      </c>
      <c r="J279" s="56">
        <v>210</v>
      </c>
      <c r="K279" s="56">
        <v>149</v>
      </c>
      <c r="L279" s="56">
        <v>4405</v>
      </c>
      <c r="M279" s="56">
        <v>4422</v>
      </c>
      <c r="N279" s="56">
        <v>3684</v>
      </c>
      <c r="O279" s="56">
        <v>37234</v>
      </c>
      <c r="P279" s="56">
        <v>1293</v>
      </c>
      <c r="Q279" s="56">
        <v>28293</v>
      </c>
      <c r="R279" s="16">
        <f t="shared" si="32"/>
        <v>9382</v>
      </c>
      <c r="T279" s="144">
        <f t="shared" si="34"/>
        <v>38799</v>
      </c>
      <c r="U279" s="154">
        <f>'copy data3'!B333</f>
        <v>1325</v>
      </c>
      <c r="V279" s="38">
        <f t="shared" si="15"/>
        <v>1315.5</v>
      </c>
      <c r="W279" s="71">
        <f t="shared" si="16"/>
        <v>89.917976760082013</v>
      </c>
      <c r="X279" s="154">
        <f>'copy data3'!D333</f>
        <v>278</v>
      </c>
      <c r="Y279" s="38">
        <f t="shared" si="17"/>
        <v>307</v>
      </c>
      <c r="Z279" s="71">
        <f t="shared" si="18"/>
        <v>135.84070796460176</v>
      </c>
      <c r="AA279" s="152">
        <f>'copy data3'!F333</f>
        <v>1056</v>
      </c>
      <c r="AB279" s="38">
        <f t="shared" si="19"/>
        <v>1057.75</v>
      </c>
      <c r="AC279" s="71">
        <f t="shared" si="20"/>
        <v>81.490755007704166</v>
      </c>
      <c r="AD279" s="152">
        <f>'copy data3'!H333</f>
        <v>681</v>
      </c>
      <c r="AE279" s="38">
        <f t="shared" si="21"/>
        <v>673.25</v>
      </c>
      <c r="AF279" s="71">
        <f t="shared" si="22"/>
        <v>121.74502712477396</v>
      </c>
      <c r="AG279" s="152">
        <f>'copy data3'!J333</f>
        <v>231</v>
      </c>
      <c r="AH279" s="38">
        <f t="shared" si="23"/>
        <v>213.5</v>
      </c>
      <c r="AI279" s="71">
        <f t="shared" si="24"/>
        <v>217.85714285714283</v>
      </c>
      <c r="AJ279" s="152">
        <f>'copy data3'!L333</f>
        <v>3571</v>
      </c>
      <c r="AK279" s="38">
        <f t="shared" si="25"/>
        <v>3566.75</v>
      </c>
      <c r="AL279" s="71">
        <f t="shared" si="26"/>
        <v>98.774577679313211</v>
      </c>
      <c r="AM279" s="152">
        <f>'copy data3'!N333</f>
        <v>9285</v>
      </c>
      <c r="AN279" s="38">
        <f t="shared" si="27"/>
        <v>9278.75</v>
      </c>
      <c r="AO279" s="71">
        <f t="shared" si="28"/>
        <v>121.51322682032477</v>
      </c>
      <c r="AP279" s="152">
        <f>'copy data3'!P333</f>
        <v>1898</v>
      </c>
      <c r="AQ279" s="38">
        <f t="shared" si="29"/>
        <v>2518.75</v>
      </c>
      <c r="AR279" s="71">
        <f t="shared" si="30"/>
        <v>90.277777777777786</v>
      </c>
      <c r="AS279" s="153">
        <f>'copy data3'!R333</f>
        <v>14754</v>
      </c>
      <c r="AT279" s="38">
        <f t="shared" si="33"/>
        <v>15364.25</v>
      </c>
      <c r="AU279" s="71">
        <f t="shared" si="31"/>
        <v>109.45536795611599</v>
      </c>
    </row>
    <row r="280" spans="1:47" ht="15.6" x14ac:dyDescent="0.3">
      <c r="A280" s="55" t="s">
        <v>50</v>
      </c>
      <c r="B280" s="56">
        <v>1033</v>
      </c>
      <c r="C280" s="56">
        <v>1937</v>
      </c>
      <c r="D280" s="56">
        <v>358</v>
      </c>
      <c r="E280" s="56">
        <v>682</v>
      </c>
      <c r="F280" s="56">
        <v>1168</v>
      </c>
      <c r="G280" s="56">
        <v>1126</v>
      </c>
      <c r="H280" s="56">
        <v>629</v>
      </c>
      <c r="I280" s="56">
        <v>692</v>
      </c>
      <c r="J280" s="56">
        <v>111</v>
      </c>
      <c r="K280" s="56">
        <v>200</v>
      </c>
      <c r="L280" s="56">
        <v>3298</v>
      </c>
      <c r="M280" s="56">
        <v>4637</v>
      </c>
      <c r="N280" s="56">
        <v>3592</v>
      </c>
      <c r="O280" s="56">
        <v>45706</v>
      </c>
      <c r="P280" s="56">
        <v>7740</v>
      </c>
      <c r="Q280" s="56">
        <v>29231</v>
      </c>
      <c r="R280" s="16">
        <f t="shared" si="32"/>
        <v>14630</v>
      </c>
      <c r="T280" s="144">
        <f t="shared" si="34"/>
        <v>38806</v>
      </c>
      <c r="U280" s="154">
        <f>'copy data3'!B334</f>
        <v>1365</v>
      </c>
      <c r="V280" s="38">
        <f t="shared" ref="V280:V343" si="35">AVERAGE(U277:U280)</f>
        <v>1295.75</v>
      </c>
      <c r="W280" s="71">
        <f t="shared" ref="W280:W343" si="36">(V280/U228)*100</f>
        <v>94.787856620336512</v>
      </c>
      <c r="X280" s="154">
        <f>'copy data3'!D334</f>
        <v>285</v>
      </c>
      <c r="Y280" s="38">
        <f t="shared" ref="Y280:Y343" si="37">AVERAGE(X277:X280)</f>
        <v>286.25</v>
      </c>
      <c r="Z280" s="71">
        <f t="shared" ref="Z280:Z343" si="38">(Y280/X228)*100</f>
        <v>123.91774891774891</v>
      </c>
      <c r="AA280" s="152">
        <f>'copy data3'!F334</f>
        <v>1004</v>
      </c>
      <c r="AB280" s="38">
        <f t="shared" ref="AB280:AB343" si="39">AVERAGE(AA277:AA280)</f>
        <v>1049</v>
      </c>
      <c r="AC280" s="71">
        <f t="shared" ref="AC280:AC343" si="40">(AB280/AA228)*100</f>
        <v>81.254841208365619</v>
      </c>
      <c r="AD280" s="152">
        <f>'copy data3'!H334</f>
        <v>641</v>
      </c>
      <c r="AE280" s="38">
        <f t="shared" ref="AE280:AE343" si="41">AVERAGE(AD277:AD280)</f>
        <v>662</v>
      </c>
      <c r="AF280" s="71">
        <f t="shared" ref="AF280:AF343" si="42">(AE280/AD228)*100</f>
        <v>119.06474820143885</v>
      </c>
      <c r="AG280" s="152">
        <f>'copy data3'!J334</f>
        <v>234</v>
      </c>
      <c r="AH280" s="38">
        <f t="shared" ref="AH280:AH343" si="43">AVERAGE(AG277:AG280)</f>
        <v>228.5</v>
      </c>
      <c r="AI280" s="71">
        <f t="shared" ref="AI280:AI343" si="44">(AH280/AG228)*100</f>
        <v>313.01369863013696</v>
      </c>
      <c r="AJ280" s="152">
        <f>'copy data3'!L334</f>
        <v>3528</v>
      </c>
      <c r="AK280" s="38">
        <f t="shared" ref="AK280:AK343" si="45">AVERAGE(AJ277:AJ280)</f>
        <v>3521.25</v>
      </c>
      <c r="AL280" s="71">
        <f t="shared" ref="AL280:AL343" si="46">(AK280/AJ228)*100</f>
        <v>100.06393861892585</v>
      </c>
      <c r="AM280" s="152">
        <f>'copy data3'!N334</f>
        <v>8755</v>
      </c>
      <c r="AN280" s="38">
        <f t="shared" ref="AN280:AN343" si="47">AVERAGE(AM277:AM280)</f>
        <v>9156</v>
      </c>
      <c r="AO280" s="71">
        <f t="shared" ref="AO280:AO343" si="48">(AN280/AM228)*100</f>
        <v>123.81338742393508</v>
      </c>
      <c r="AP280" s="152">
        <f>'copy data3'!P334</f>
        <v>1786</v>
      </c>
      <c r="AQ280" s="38">
        <f t="shared" ref="AQ280:AQ343" si="49">AVERAGE(AP277:AP280)</f>
        <v>2181.75</v>
      </c>
      <c r="AR280" s="71">
        <f t="shared" ref="AR280:AR343" si="50">(AQ280/AP228)*100</f>
        <v>82.642045454545453</v>
      </c>
      <c r="AS280" s="153">
        <f>'copy data3'!R334</f>
        <v>14069</v>
      </c>
      <c r="AT280" s="38">
        <f t="shared" si="33"/>
        <v>14859</v>
      </c>
      <c r="AU280" s="71">
        <f t="shared" si="31"/>
        <v>109.6281540504648</v>
      </c>
    </row>
    <row r="281" spans="1:47" ht="15.6" x14ac:dyDescent="0.3">
      <c r="A281" s="55" t="s">
        <v>51</v>
      </c>
      <c r="B281" s="56">
        <v>2046</v>
      </c>
      <c r="C281" s="56">
        <v>2234</v>
      </c>
      <c r="D281" s="56">
        <v>529</v>
      </c>
      <c r="E281" s="56">
        <v>764</v>
      </c>
      <c r="F281" s="56">
        <v>1242</v>
      </c>
      <c r="G281" s="56">
        <v>1124</v>
      </c>
      <c r="H281" s="56">
        <v>557</v>
      </c>
      <c r="I281" s="56">
        <v>703</v>
      </c>
      <c r="J281" s="56">
        <v>172</v>
      </c>
      <c r="K281" s="56">
        <v>193</v>
      </c>
      <c r="L281" s="56">
        <v>4546</v>
      </c>
      <c r="M281" s="56">
        <v>5019</v>
      </c>
      <c r="N281" s="56">
        <v>3180</v>
      </c>
      <c r="O281" s="56">
        <v>38006</v>
      </c>
      <c r="P281" s="56">
        <v>1088</v>
      </c>
      <c r="Q281" s="56">
        <v>28479</v>
      </c>
      <c r="R281" s="16">
        <f t="shared" si="32"/>
        <v>8814</v>
      </c>
      <c r="T281" s="144">
        <f t="shared" si="34"/>
        <v>38813</v>
      </c>
      <c r="U281" s="154">
        <f>'copy data3'!B335</f>
        <v>1316</v>
      </c>
      <c r="V281" s="38">
        <f t="shared" si="35"/>
        <v>1293.75</v>
      </c>
      <c r="W281" s="71">
        <f t="shared" si="36"/>
        <v>92.80846484935438</v>
      </c>
      <c r="X281" s="154">
        <f>'copy data3'!D335</f>
        <v>291</v>
      </c>
      <c r="Y281" s="38">
        <f t="shared" si="37"/>
        <v>285.5</v>
      </c>
      <c r="Z281" s="71">
        <f t="shared" si="38"/>
        <v>132.17592592592592</v>
      </c>
      <c r="AA281" s="152">
        <f>'copy data3'!F335</f>
        <v>979</v>
      </c>
      <c r="AB281" s="38">
        <f t="shared" si="39"/>
        <v>1033.25</v>
      </c>
      <c r="AC281" s="71">
        <f t="shared" si="40"/>
        <v>86.536850921273029</v>
      </c>
      <c r="AD281" s="152">
        <f>'copy data3'!H335</f>
        <v>633</v>
      </c>
      <c r="AE281" s="38">
        <f t="shared" si="41"/>
        <v>673</v>
      </c>
      <c r="AF281" s="71">
        <f t="shared" si="42"/>
        <v>117.45200698080281</v>
      </c>
      <c r="AG281" s="152">
        <f>'copy data3'!J335</f>
        <v>221</v>
      </c>
      <c r="AH281" s="38">
        <f t="shared" si="43"/>
        <v>227.5</v>
      </c>
      <c r="AI281" s="71">
        <f t="shared" si="44"/>
        <v>361.11111111111114</v>
      </c>
      <c r="AJ281" s="152">
        <f>'copy data3'!L335</f>
        <v>3438</v>
      </c>
      <c r="AK281" s="38">
        <f t="shared" si="45"/>
        <v>3512.25</v>
      </c>
      <c r="AL281" s="71">
        <f t="shared" si="46"/>
        <v>102.10029069767441</v>
      </c>
      <c r="AM281" s="152">
        <f>'copy data3'!N335</f>
        <v>8687</v>
      </c>
      <c r="AN281" s="38">
        <f t="shared" si="47"/>
        <v>8967</v>
      </c>
      <c r="AO281" s="71">
        <f t="shared" si="48"/>
        <v>118.36061246040126</v>
      </c>
      <c r="AP281" s="152">
        <f>'copy data3'!P335</f>
        <v>1942</v>
      </c>
      <c r="AQ281" s="38">
        <f t="shared" si="49"/>
        <v>1998.5</v>
      </c>
      <c r="AR281" s="71">
        <f t="shared" si="50"/>
        <v>81.239837398373979</v>
      </c>
      <c r="AS281" s="153">
        <f>'copy data3'!R335</f>
        <v>14067</v>
      </c>
      <c r="AT281" s="38">
        <f t="shared" si="33"/>
        <v>14477.75</v>
      </c>
      <c r="AU281" s="71">
        <f t="shared" si="31"/>
        <v>107.4335856337192</v>
      </c>
    </row>
    <row r="282" spans="1:47" ht="15.6" x14ac:dyDescent="0.3">
      <c r="A282" s="55" t="s">
        <v>52</v>
      </c>
      <c r="B282" s="56">
        <v>1110</v>
      </c>
      <c r="C282" s="56">
        <v>2146</v>
      </c>
      <c r="D282" s="56">
        <v>338</v>
      </c>
      <c r="E282" s="56">
        <v>768</v>
      </c>
      <c r="F282" s="56">
        <v>1081</v>
      </c>
      <c r="G282" s="56">
        <v>1380</v>
      </c>
      <c r="H282" s="56">
        <v>625</v>
      </c>
      <c r="I282" s="56">
        <v>793</v>
      </c>
      <c r="J282" s="56">
        <v>90</v>
      </c>
      <c r="K282" s="56">
        <v>224</v>
      </c>
      <c r="L282" s="56">
        <v>3244</v>
      </c>
      <c r="M282" s="56">
        <v>5311</v>
      </c>
      <c r="N282" s="56">
        <v>2848</v>
      </c>
      <c r="O282" s="56">
        <v>46634</v>
      </c>
      <c r="P282" s="56">
        <v>690</v>
      </c>
      <c r="Q282" s="56">
        <v>29571</v>
      </c>
      <c r="R282" s="16">
        <f t="shared" si="32"/>
        <v>6782</v>
      </c>
      <c r="T282" s="144">
        <f t="shared" si="34"/>
        <v>38820</v>
      </c>
      <c r="U282" s="154">
        <f>'copy data3'!B336</f>
        <v>1300</v>
      </c>
      <c r="V282" s="38">
        <f t="shared" si="35"/>
        <v>1326.5</v>
      </c>
      <c r="W282" s="71">
        <f t="shared" si="36"/>
        <v>97.680412371134011</v>
      </c>
      <c r="X282" s="154">
        <f>'copy data3'!D336</f>
        <v>269</v>
      </c>
      <c r="Y282" s="38">
        <f t="shared" si="37"/>
        <v>280.75</v>
      </c>
      <c r="Z282" s="71">
        <f t="shared" si="38"/>
        <v>148.54497354497354</v>
      </c>
      <c r="AA282" s="152">
        <f>'copy data3'!F336</f>
        <v>1029</v>
      </c>
      <c r="AB282" s="38">
        <f t="shared" si="39"/>
        <v>1017</v>
      </c>
      <c r="AC282" s="71">
        <f t="shared" si="40"/>
        <v>79.89002356637863</v>
      </c>
      <c r="AD282" s="152">
        <f>'copy data3'!H336</f>
        <v>611</v>
      </c>
      <c r="AE282" s="38">
        <f t="shared" si="41"/>
        <v>641.5</v>
      </c>
      <c r="AF282" s="71">
        <f t="shared" si="42"/>
        <v>131.18609406952964</v>
      </c>
      <c r="AG282" s="152">
        <f>'copy data3'!J336</f>
        <v>220</v>
      </c>
      <c r="AH282" s="38">
        <f t="shared" si="43"/>
        <v>226.5</v>
      </c>
      <c r="AI282" s="71">
        <f t="shared" si="44"/>
        <v>174.23076923076923</v>
      </c>
      <c r="AJ282" s="152">
        <f>'copy data3'!L336</f>
        <v>3430</v>
      </c>
      <c r="AK282" s="38">
        <f t="shared" si="45"/>
        <v>3491.75</v>
      </c>
      <c r="AL282" s="71">
        <f t="shared" si="46"/>
        <v>101.56340895869691</v>
      </c>
      <c r="AM282" s="152">
        <f>'copy data3'!N336</f>
        <v>8888</v>
      </c>
      <c r="AN282" s="38">
        <f t="shared" si="47"/>
        <v>8903.75</v>
      </c>
      <c r="AO282" s="71">
        <f t="shared" si="48"/>
        <v>120.41858263456857</v>
      </c>
      <c r="AP282" s="152">
        <f>'copy data3'!P336</f>
        <v>1848</v>
      </c>
      <c r="AQ282" s="38">
        <f t="shared" si="49"/>
        <v>1868.5</v>
      </c>
      <c r="AR282" s="71">
        <f t="shared" si="50"/>
        <v>86.265004616805172</v>
      </c>
      <c r="AS282" s="153">
        <f>'copy data3'!R336</f>
        <v>14166</v>
      </c>
      <c r="AT282" s="38">
        <f t="shared" si="33"/>
        <v>14264</v>
      </c>
      <c r="AU282" s="71">
        <f t="shared" si="31"/>
        <v>109.7399599938452</v>
      </c>
    </row>
    <row r="283" spans="1:47" ht="15.6" x14ac:dyDescent="0.3">
      <c r="A283" s="55" t="s">
        <v>53</v>
      </c>
      <c r="B283" s="56">
        <v>2273</v>
      </c>
      <c r="C283" s="56">
        <v>2649</v>
      </c>
      <c r="D283" s="56">
        <v>653</v>
      </c>
      <c r="E283" s="56">
        <v>794</v>
      </c>
      <c r="F283" s="56">
        <v>1330</v>
      </c>
      <c r="G283" s="56">
        <v>1346</v>
      </c>
      <c r="H283" s="56">
        <v>647</v>
      </c>
      <c r="I283" s="56">
        <v>759</v>
      </c>
      <c r="J283" s="56">
        <v>209</v>
      </c>
      <c r="K283" s="56">
        <v>193</v>
      </c>
      <c r="L283" s="56">
        <v>5111</v>
      </c>
      <c r="M283" s="56">
        <v>5740</v>
      </c>
      <c r="N283" s="56">
        <v>2653</v>
      </c>
      <c r="O283" s="56">
        <v>38728</v>
      </c>
      <c r="P283" s="56">
        <v>940</v>
      </c>
      <c r="Q283" s="56">
        <v>28739</v>
      </c>
      <c r="R283" s="16">
        <f t="shared" si="32"/>
        <v>8704</v>
      </c>
      <c r="T283" s="144">
        <f t="shared" si="34"/>
        <v>38827</v>
      </c>
      <c r="U283" s="154">
        <f>'copy data3'!B337</f>
        <v>1177</v>
      </c>
      <c r="V283" s="38">
        <f t="shared" si="35"/>
        <v>1289.5</v>
      </c>
      <c r="W283" s="71">
        <f t="shared" si="36"/>
        <v>100.58502340093605</v>
      </c>
      <c r="X283" s="154">
        <f>'copy data3'!D337</f>
        <v>262</v>
      </c>
      <c r="Y283" s="38">
        <f t="shared" si="37"/>
        <v>276.75</v>
      </c>
      <c r="Z283" s="71">
        <f t="shared" si="38"/>
        <v>160.9011627906977</v>
      </c>
      <c r="AA283" s="152">
        <f>'copy data3'!F337</f>
        <v>949</v>
      </c>
      <c r="AB283" s="38">
        <f t="shared" si="39"/>
        <v>990.25</v>
      </c>
      <c r="AC283" s="71">
        <f t="shared" si="40"/>
        <v>74.287321830457614</v>
      </c>
      <c r="AD283" s="152">
        <f>'copy data3'!H337</f>
        <v>537</v>
      </c>
      <c r="AE283" s="38">
        <f t="shared" si="41"/>
        <v>605.5</v>
      </c>
      <c r="AF283" s="71">
        <f t="shared" si="42"/>
        <v>119.66403162055337</v>
      </c>
      <c r="AG283" s="152">
        <f>'copy data3'!J337</f>
        <v>152</v>
      </c>
      <c r="AH283" s="38">
        <f t="shared" si="43"/>
        <v>206.75</v>
      </c>
      <c r="AI283" s="71">
        <f t="shared" si="44"/>
        <v>153.14814814814815</v>
      </c>
      <c r="AJ283" s="152">
        <f>'copy data3'!L337</f>
        <v>3076</v>
      </c>
      <c r="AK283" s="38">
        <f t="shared" si="45"/>
        <v>3368</v>
      </c>
      <c r="AL283" s="71">
        <f t="shared" si="46"/>
        <v>98.27837758972862</v>
      </c>
      <c r="AM283" s="152">
        <f>'copy data3'!N337</f>
        <v>8475</v>
      </c>
      <c r="AN283" s="38">
        <f t="shared" si="47"/>
        <v>8701.25</v>
      </c>
      <c r="AO283" s="71">
        <f t="shared" si="48"/>
        <v>126.37981118373276</v>
      </c>
      <c r="AP283" s="152">
        <f>'copy data3'!P337</f>
        <v>1687</v>
      </c>
      <c r="AQ283" s="38">
        <f t="shared" si="49"/>
        <v>1815.75</v>
      </c>
      <c r="AR283" s="71">
        <f t="shared" si="50"/>
        <v>92.972350230414747</v>
      </c>
      <c r="AS283" s="153">
        <f>'copy data3'!R337</f>
        <v>13238</v>
      </c>
      <c r="AT283" s="38">
        <f t="shared" si="33"/>
        <v>13885</v>
      </c>
      <c r="AU283" s="71">
        <f t="shared" si="31"/>
        <v>113.2083163473298</v>
      </c>
    </row>
    <row r="284" spans="1:47" ht="15.6" x14ac:dyDescent="0.3">
      <c r="A284" s="55" t="s">
        <v>54</v>
      </c>
      <c r="B284" s="56">
        <v>1246</v>
      </c>
      <c r="C284" s="56">
        <v>2320</v>
      </c>
      <c r="D284" s="56">
        <v>327</v>
      </c>
      <c r="E284" s="56">
        <v>867</v>
      </c>
      <c r="F284" s="56">
        <v>1236</v>
      </c>
      <c r="G284" s="56">
        <v>1534</v>
      </c>
      <c r="H284" s="56">
        <v>597</v>
      </c>
      <c r="I284" s="56">
        <v>895</v>
      </c>
      <c r="J284" s="56">
        <v>90</v>
      </c>
      <c r="K284" s="56">
        <v>258</v>
      </c>
      <c r="L284" s="56">
        <v>3495</v>
      </c>
      <c r="M284" s="56">
        <v>5873</v>
      </c>
      <c r="N284" s="56">
        <v>2082</v>
      </c>
      <c r="O284" s="56">
        <v>47460</v>
      </c>
      <c r="P284" s="56">
        <v>494</v>
      </c>
      <c r="Q284" s="56">
        <v>29838</v>
      </c>
      <c r="R284" s="16">
        <f t="shared" si="32"/>
        <v>6071</v>
      </c>
      <c r="T284" s="144">
        <f t="shared" si="34"/>
        <v>38834</v>
      </c>
      <c r="U284" s="154">
        <f>'copy data3'!B338</f>
        <v>1066</v>
      </c>
      <c r="V284" s="38">
        <f t="shared" si="35"/>
        <v>1214.75</v>
      </c>
      <c r="W284" s="71">
        <f t="shared" si="36"/>
        <v>108.94618834080718</v>
      </c>
      <c r="X284" s="154">
        <f>'copy data3'!D338</f>
        <v>282</v>
      </c>
      <c r="Y284" s="38">
        <f t="shared" si="37"/>
        <v>276</v>
      </c>
      <c r="Z284" s="71">
        <f t="shared" si="38"/>
        <v>207.51879699248121</v>
      </c>
      <c r="AA284" s="152">
        <f>'copy data3'!F338</f>
        <v>912</v>
      </c>
      <c r="AB284" s="38">
        <f t="shared" si="39"/>
        <v>967.25</v>
      </c>
      <c r="AC284" s="71">
        <f t="shared" si="40"/>
        <v>79.478225143796223</v>
      </c>
      <c r="AD284" s="152">
        <f>'copy data3'!H338</f>
        <v>436</v>
      </c>
      <c r="AE284" s="38">
        <f t="shared" si="41"/>
        <v>554.25</v>
      </c>
      <c r="AF284" s="71">
        <f t="shared" si="42"/>
        <v>107.20502901353966</v>
      </c>
      <c r="AG284" s="152">
        <f>'copy data3'!J338</f>
        <v>163</v>
      </c>
      <c r="AH284" s="38">
        <f t="shared" si="43"/>
        <v>189</v>
      </c>
      <c r="AI284" s="71">
        <f t="shared" si="44"/>
        <v>153.65853658536585</v>
      </c>
      <c r="AJ284" s="152">
        <f>'copy data3'!L338</f>
        <v>2859</v>
      </c>
      <c r="AK284" s="38">
        <f t="shared" si="45"/>
        <v>3200.75</v>
      </c>
      <c r="AL284" s="71">
        <f t="shared" si="46"/>
        <v>103.05054732775274</v>
      </c>
      <c r="AM284" s="152">
        <f>'copy data3'!N338</f>
        <v>8703</v>
      </c>
      <c r="AN284" s="38">
        <f t="shared" si="47"/>
        <v>8688.25</v>
      </c>
      <c r="AO284" s="71">
        <f t="shared" si="48"/>
        <v>132.32180932074323</v>
      </c>
      <c r="AP284" s="152">
        <f>'copy data3'!P338</f>
        <v>1509</v>
      </c>
      <c r="AQ284" s="38">
        <f t="shared" si="49"/>
        <v>1746.5</v>
      </c>
      <c r="AR284" s="71">
        <f t="shared" si="50"/>
        <v>100.4890678941312</v>
      </c>
      <c r="AS284" s="153">
        <f>'copy data3'!R338</f>
        <v>13071</v>
      </c>
      <c r="AT284" s="38">
        <f t="shared" si="33"/>
        <v>13635.5</v>
      </c>
      <c r="AU284" s="71">
        <f t="shared" si="31"/>
        <v>119.5048203330412</v>
      </c>
    </row>
    <row r="285" spans="1:47" ht="15.6" x14ac:dyDescent="0.3">
      <c r="A285" s="55" t="s">
        <v>55</v>
      </c>
      <c r="B285" s="56">
        <v>2375</v>
      </c>
      <c r="C285" s="56">
        <v>2836</v>
      </c>
      <c r="D285" s="56">
        <v>565</v>
      </c>
      <c r="E285" s="56">
        <v>952</v>
      </c>
      <c r="F285" s="56">
        <v>1324</v>
      </c>
      <c r="G285" s="56">
        <v>1492</v>
      </c>
      <c r="H285" s="56">
        <v>655</v>
      </c>
      <c r="I285" s="56">
        <v>844</v>
      </c>
      <c r="J285" s="56">
        <v>166</v>
      </c>
      <c r="K285" s="56">
        <v>232</v>
      </c>
      <c r="L285" s="56">
        <v>5085</v>
      </c>
      <c r="M285" s="56">
        <v>6355</v>
      </c>
      <c r="N285" s="56">
        <v>1900</v>
      </c>
      <c r="O285" s="56">
        <v>39646</v>
      </c>
      <c r="P285" s="56">
        <v>599</v>
      </c>
      <c r="Q285" s="56">
        <v>28908</v>
      </c>
      <c r="R285" s="16">
        <f t="shared" si="32"/>
        <v>7584</v>
      </c>
      <c r="T285" s="144">
        <f t="shared" si="34"/>
        <v>38841</v>
      </c>
      <c r="U285" s="154">
        <f>'copy data3'!B339</f>
        <v>882</v>
      </c>
      <c r="V285" s="38">
        <f t="shared" si="35"/>
        <v>1106.25</v>
      </c>
      <c r="W285" s="71">
        <f t="shared" si="36"/>
        <v>105.15684410646389</v>
      </c>
      <c r="X285" s="154">
        <f>'copy data3'!D339</f>
        <v>305</v>
      </c>
      <c r="Y285" s="38">
        <f t="shared" si="37"/>
        <v>279.5</v>
      </c>
      <c r="Z285" s="71">
        <f t="shared" si="38"/>
        <v>223.60000000000002</v>
      </c>
      <c r="AA285" s="152">
        <f>'copy data3'!F339</f>
        <v>794</v>
      </c>
      <c r="AB285" s="38">
        <f t="shared" si="39"/>
        <v>921</v>
      </c>
      <c r="AC285" s="71">
        <f t="shared" si="40"/>
        <v>84.728610855565776</v>
      </c>
      <c r="AD285" s="152">
        <f>'copy data3'!H339</f>
        <v>477</v>
      </c>
      <c r="AE285" s="38">
        <f t="shared" si="41"/>
        <v>515.25</v>
      </c>
      <c r="AF285" s="71">
        <f t="shared" si="42"/>
        <v>105.3680981595092</v>
      </c>
      <c r="AG285" s="152">
        <f>'copy data3'!J339</f>
        <v>122</v>
      </c>
      <c r="AH285" s="38">
        <f t="shared" si="43"/>
        <v>164.25</v>
      </c>
      <c r="AI285" s="71">
        <f t="shared" si="44"/>
        <v>135.74380165289256</v>
      </c>
      <c r="AJ285" s="152">
        <f>'copy data3'!L339</f>
        <v>2579</v>
      </c>
      <c r="AK285" s="38">
        <f t="shared" si="45"/>
        <v>2986</v>
      </c>
      <c r="AL285" s="71">
        <f t="shared" si="46"/>
        <v>103.89700765483647</v>
      </c>
      <c r="AM285" s="152">
        <f>'copy data3'!N339</f>
        <v>8703</v>
      </c>
      <c r="AN285" s="38">
        <f t="shared" si="47"/>
        <v>8692.25</v>
      </c>
      <c r="AO285" s="71">
        <f t="shared" si="48"/>
        <v>122.46055226824457</v>
      </c>
      <c r="AP285" s="152">
        <f>'copy data3'!P339</f>
        <v>1634</v>
      </c>
      <c r="AQ285" s="38">
        <f t="shared" si="49"/>
        <v>1669.5</v>
      </c>
      <c r="AR285" s="71">
        <f t="shared" si="50"/>
        <v>99.256837098692031</v>
      </c>
      <c r="AS285" s="153">
        <f>'copy data3'!R339</f>
        <v>12916</v>
      </c>
      <c r="AT285" s="38">
        <f t="shared" si="33"/>
        <v>13347.75</v>
      </c>
      <c r="AU285" s="71">
        <f t="shared" si="31"/>
        <v>114.53363651964989</v>
      </c>
    </row>
    <row r="286" spans="1:47" ht="15.6" x14ac:dyDescent="0.3">
      <c r="A286" s="55" t="s">
        <v>56</v>
      </c>
      <c r="B286" s="56">
        <v>1250</v>
      </c>
      <c r="C286" s="56">
        <v>2544</v>
      </c>
      <c r="D286" s="56">
        <v>328</v>
      </c>
      <c r="E286" s="56">
        <v>910</v>
      </c>
      <c r="F286" s="56">
        <v>1187</v>
      </c>
      <c r="G286" s="56">
        <v>1769</v>
      </c>
      <c r="H286" s="56">
        <v>560</v>
      </c>
      <c r="I286" s="56">
        <v>979</v>
      </c>
      <c r="J286" s="56">
        <v>90</v>
      </c>
      <c r="K286" s="56">
        <v>258</v>
      </c>
      <c r="L286" s="56">
        <v>3415</v>
      </c>
      <c r="M286" s="56">
        <v>6459</v>
      </c>
      <c r="N286" s="56">
        <v>6206</v>
      </c>
      <c r="O286" s="56">
        <v>439</v>
      </c>
      <c r="P286" s="56">
        <v>5802</v>
      </c>
      <c r="Q286" s="56">
        <v>109</v>
      </c>
      <c r="R286" s="16">
        <f t="shared" si="32"/>
        <v>15423</v>
      </c>
      <c r="T286" s="144">
        <f t="shared" si="34"/>
        <v>38848</v>
      </c>
      <c r="U286" s="154">
        <f>'copy data3'!B340</f>
        <v>843</v>
      </c>
      <c r="V286" s="38">
        <f t="shared" si="35"/>
        <v>992</v>
      </c>
      <c r="W286" s="71">
        <f t="shared" si="36"/>
        <v>125.88832487309645</v>
      </c>
      <c r="X286" s="154">
        <f>'copy data3'!D340</f>
        <v>283</v>
      </c>
      <c r="Y286" s="38">
        <f t="shared" si="37"/>
        <v>283</v>
      </c>
      <c r="Z286" s="71">
        <f t="shared" si="38"/>
        <v>233.88429752066116</v>
      </c>
      <c r="AA286" s="152">
        <f>'copy data3'!F340</f>
        <v>645</v>
      </c>
      <c r="AB286" s="38">
        <f t="shared" si="39"/>
        <v>825</v>
      </c>
      <c r="AC286" s="71">
        <f t="shared" si="40"/>
        <v>100.24301336573511</v>
      </c>
      <c r="AD286" s="152">
        <f>'copy data3'!H340</f>
        <v>417</v>
      </c>
      <c r="AE286" s="38">
        <f t="shared" si="41"/>
        <v>466.75</v>
      </c>
      <c r="AF286" s="71">
        <f t="shared" si="42"/>
        <v>132.59943181818181</v>
      </c>
      <c r="AG286" s="152">
        <f>'copy data3'!J340</f>
        <v>86</v>
      </c>
      <c r="AH286" s="38">
        <f t="shared" si="43"/>
        <v>130.75</v>
      </c>
      <c r="AI286" s="71">
        <f t="shared" si="44"/>
        <v>125.72115384615385</v>
      </c>
      <c r="AJ286" s="152">
        <f>'copy data3'!L340</f>
        <v>2274</v>
      </c>
      <c r="AK286" s="38">
        <f t="shared" si="45"/>
        <v>2697</v>
      </c>
      <c r="AL286" s="71">
        <f t="shared" si="46"/>
        <v>123.26325411334551</v>
      </c>
      <c r="AM286" s="152">
        <f>'copy data3'!N340</f>
        <v>9157</v>
      </c>
      <c r="AN286" s="38">
        <f t="shared" si="47"/>
        <v>8759.5</v>
      </c>
      <c r="AO286" s="71">
        <f t="shared" si="48"/>
        <v>122.75084080717488</v>
      </c>
      <c r="AP286" s="152">
        <f>'copy data3'!P340</f>
        <v>1764</v>
      </c>
      <c r="AQ286" s="38">
        <f t="shared" si="49"/>
        <v>1648.5</v>
      </c>
      <c r="AR286" s="71">
        <f t="shared" si="50"/>
        <v>96.178529754959158</v>
      </c>
      <c r="AS286" s="153">
        <f>'copy data3'!R340</f>
        <v>13195</v>
      </c>
      <c r="AT286" s="38">
        <f t="shared" si="33"/>
        <v>13105</v>
      </c>
      <c r="AU286" s="71">
        <f t="shared" si="31"/>
        <v>118.72621851784744</v>
      </c>
    </row>
    <row r="287" spans="1:47" ht="15.6" x14ac:dyDescent="0.3">
      <c r="A287" s="55" t="s">
        <v>57</v>
      </c>
      <c r="B287" s="56">
        <v>2262</v>
      </c>
      <c r="C287" s="56">
        <v>3161</v>
      </c>
      <c r="D287" s="56">
        <v>568</v>
      </c>
      <c r="E287" s="56">
        <v>1028</v>
      </c>
      <c r="F287" s="56">
        <v>1355</v>
      </c>
      <c r="G287" s="56">
        <v>1606</v>
      </c>
      <c r="H287" s="56">
        <v>747</v>
      </c>
      <c r="I287" s="56">
        <v>945</v>
      </c>
      <c r="J287" s="56">
        <v>178</v>
      </c>
      <c r="K287" s="56">
        <v>250</v>
      </c>
      <c r="L287" s="56">
        <v>5108</v>
      </c>
      <c r="M287" s="56">
        <v>6990</v>
      </c>
      <c r="N287" s="56">
        <v>7626</v>
      </c>
      <c r="O287" s="56">
        <v>461</v>
      </c>
      <c r="P287" s="56">
        <v>8064</v>
      </c>
      <c r="Q287" s="56">
        <v>40</v>
      </c>
      <c r="R287" s="16">
        <f t="shared" si="32"/>
        <v>20798</v>
      </c>
      <c r="T287" s="144">
        <f t="shared" si="34"/>
        <v>38855</v>
      </c>
      <c r="U287" s="154">
        <f>'copy data3'!B341</f>
        <v>678</v>
      </c>
      <c r="V287" s="38">
        <f t="shared" si="35"/>
        <v>867.25</v>
      </c>
      <c r="W287" s="71">
        <f t="shared" si="36"/>
        <v>124.24785100286533</v>
      </c>
      <c r="X287" s="154">
        <f>'copy data3'!D341</f>
        <v>244</v>
      </c>
      <c r="Y287" s="38">
        <f t="shared" si="37"/>
        <v>278.5</v>
      </c>
      <c r="Z287" s="71">
        <f t="shared" si="38"/>
        <v>281.31313131313129</v>
      </c>
      <c r="AA287" s="152">
        <f>'copy data3'!F341</f>
        <v>518</v>
      </c>
      <c r="AB287" s="38">
        <f t="shared" si="39"/>
        <v>717.25</v>
      </c>
      <c r="AC287" s="71">
        <f t="shared" si="40"/>
        <v>102.02702702702702</v>
      </c>
      <c r="AD287" s="152">
        <f>'copy data3'!H341</f>
        <v>347</v>
      </c>
      <c r="AE287" s="38">
        <f t="shared" si="41"/>
        <v>419.25</v>
      </c>
      <c r="AF287" s="71">
        <f t="shared" si="42"/>
        <v>160.63218390804596</v>
      </c>
      <c r="AG287" s="152">
        <f>'copy data3'!J341</f>
        <v>35</v>
      </c>
      <c r="AH287" s="38">
        <f t="shared" si="43"/>
        <v>101.5</v>
      </c>
      <c r="AI287" s="71">
        <f t="shared" si="44"/>
        <v>97.59615384615384</v>
      </c>
      <c r="AJ287" s="152">
        <f>'copy data3'!L341</f>
        <v>1821</v>
      </c>
      <c r="AK287" s="38">
        <f t="shared" si="45"/>
        <v>2383.25</v>
      </c>
      <c r="AL287" s="71">
        <f t="shared" si="46"/>
        <v>127.7882037533512</v>
      </c>
      <c r="AM287" s="152">
        <f>'copy data3'!N341</f>
        <v>8816</v>
      </c>
      <c r="AN287" s="38">
        <f t="shared" si="47"/>
        <v>8844.75</v>
      </c>
      <c r="AO287" s="71">
        <f t="shared" si="48"/>
        <v>131.34466884466883</v>
      </c>
      <c r="AP287" s="152">
        <f>'copy data3'!P341</f>
        <v>1818</v>
      </c>
      <c r="AQ287" s="38">
        <f t="shared" si="49"/>
        <v>1681.25</v>
      </c>
      <c r="AR287" s="71">
        <f t="shared" si="50"/>
        <v>101.77058111380146</v>
      </c>
      <c r="AS287" s="153">
        <f>'copy data3'!R341</f>
        <v>12455</v>
      </c>
      <c r="AT287" s="38">
        <f t="shared" si="33"/>
        <v>12909.25</v>
      </c>
      <c r="AU287" s="71">
        <f t="shared" si="31"/>
        <v>125.93161642766559</v>
      </c>
    </row>
    <row r="288" spans="1:47" ht="15.6" x14ac:dyDescent="0.3">
      <c r="A288" s="55" t="s">
        <v>58</v>
      </c>
      <c r="B288" s="56">
        <v>1387</v>
      </c>
      <c r="C288" s="56">
        <v>2709</v>
      </c>
      <c r="D288" s="56">
        <v>380</v>
      </c>
      <c r="E288" s="56">
        <v>949</v>
      </c>
      <c r="F288" s="56">
        <v>1374</v>
      </c>
      <c r="G288" s="56">
        <v>1849</v>
      </c>
      <c r="H288" s="56">
        <v>652</v>
      </c>
      <c r="I288" s="56">
        <v>1043</v>
      </c>
      <c r="J288" s="56">
        <v>102</v>
      </c>
      <c r="K288" s="56">
        <v>260</v>
      </c>
      <c r="L288" s="56">
        <v>3872</v>
      </c>
      <c r="M288" s="56">
        <v>6810</v>
      </c>
      <c r="N288" s="56">
        <v>6418</v>
      </c>
      <c r="O288" s="56">
        <v>1270</v>
      </c>
      <c r="P288" s="56">
        <v>6204</v>
      </c>
      <c r="Q288" s="56">
        <v>335</v>
      </c>
      <c r="R288" s="16">
        <f t="shared" si="32"/>
        <v>16494</v>
      </c>
      <c r="T288" s="144">
        <f t="shared" si="34"/>
        <v>38862</v>
      </c>
      <c r="U288" s="154">
        <f>'copy data3'!B342</f>
        <v>473</v>
      </c>
      <c r="V288" s="38">
        <f t="shared" si="35"/>
        <v>719</v>
      </c>
      <c r="W288" s="71">
        <f t="shared" si="36"/>
        <v>146.43584521384929</v>
      </c>
      <c r="X288" s="154">
        <f>'copy data3'!D342</f>
        <v>167</v>
      </c>
      <c r="Y288" s="38">
        <f t="shared" si="37"/>
        <v>249.75</v>
      </c>
      <c r="Z288" s="71">
        <f t="shared" si="38"/>
        <v>265.69148936170211</v>
      </c>
      <c r="AA288" s="152">
        <f>'copy data3'!F342</f>
        <v>380</v>
      </c>
      <c r="AB288" s="38">
        <f t="shared" si="39"/>
        <v>584.25</v>
      </c>
      <c r="AC288" s="71">
        <f t="shared" si="40"/>
        <v>113.44660194174759</v>
      </c>
      <c r="AD288" s="152">
        <f>'copy data3'!H342</f>
        <v>312</v>
      </c>
      <c r="AE288" s="38">
        <f t="shared" si="41"/>
        <v>388.25</v>
      </c>
      <c r="AF288" s="71">
        <f t="shared" si="42"/>
        <v>200.12886597938143</v>
      </c>
      <c r="AG288" s="152">
        <f>'copy data3'!J342</f>
        <v>9</v>
      </c>
      <c r="AH288" s="38">
        <f t="shared" si="43"/>
        <v>63</v>
      </c>
      <c r="AI288" s="71">
        <f t="shared" si="44"/>
        <v>110.5263157894737</v>
      </c>
      <c r="AJ288" s="152">
        <f>'copy data3'!L342</f>
        <v>1341</v>
      </c>
      <c r="AK288" s="38">
        <f t="shared" si="45"/>
        <v>2003.75</v>
      </c>
      <c r="AL288" s="71">
        <f t="shared" si="46"/>
        <v>148.31606217616579</v>
      </c>
      <c r="AM288" s="152">
        <f>'copy data3'!N342</f>
        <v>8717</v>
      </c>
      <c r="AN288" s="38">
        <f t="shared" si="47"/>
        <v>8848.25</v>
      </c>
      <c r="AO288" s="71">
        <f t="shared" si="48"/>
        <v>132.69721055788841</v>
      </c>
      <c r="AP288" s="152">
        <f>'copy data3'!P342</f>
        <v>1809</v>
      </c>
      <c r="AQ288" s="38">
        <f t="shared" si="49"/>
        <v>1756.25</v>
      </c>
      <c r="AR288" s="71">
        <f t="shared" si="50"/>
        <v>112.43597951344431</v>
      </c>
      <c r="AS288" s="153">
        <f>'copy data3'!R342</f>
        <v>11867</v>
      </c>
      <c r="AT288" s="38">
        <f t="shared" si="33"/>
        <v>12608.25</v>
      </c>
      <c r="AU288" s="71">
        <f t="shared" si="31"/>
        <v>131.59638868594092</v>
      </c>
    </row>
    <row r="289" spans="1:47" ht="15.6" x14ac:dyDescent="0.3">
      <c r="A289" s="55" t="s">
        <v>59</v>
      </c>
      <c r="B289" s="56">
        <v>2191</v>
      </c>
      <c r="C289" s="56">
        <v>3404</v>
      </c>
      <c r="D289" s="56">
        <v>631</v>
      </c>
      <c r="E289" s="56">
        <v>1095</v>
      </c>
      <c r="F289" s="56">
        <v>1268</v>
      </c>
      <c r="G289" s="56">
        <v>1871</v>
      </c>
      <c r="H289" s="56">
        <v>864</v>
      </c>
      <c r="I289" s="56">
        <v>1013</v>
      </c>
      <c r="J289" s="56">
        <v>187</v>
      </c>
      <c r="K289" s="56">
        <v>277</v>
      </c>
      <c r="L289" s="56">
        <v>5141</v>
      </c>
      <c r="M289" s="56">
        <v>7661</v>
      </c>
      <c r="N289" s="56">
        <v>7683</v>
      </c>
      <c r="O289" s="56">
        <v>1319</v>
      </c>
      <c r="P289" s="56">
        <v>8468</v>
      </c>
      <c r="Q289" s="56">
        <v>225</v>
      </c>
      <c r="R289" s="16">
        <f t="shared" si="32"/>
        <v>21292</v>
      </c>
      <c r="T289" s="144">
        <f t="shared" si="34"/>
        <v>38869</v>
      </c>
      <c r="U289" s="154">
        <f>'copy data3'!B343</f>
        <v>969</v>
      </c>
      <c r="V289" s="38">
        <f t="shared" si="35"/>
        <v>740.75</v>
      </c>
      <c r="W289" s="71">
        <f t="shared" si="36"/>
        <v>50.563139931740622</v>
      </c>
      <c r="X289" s="154">
        <f>'copy data3'!D343</f>
        <v>504</v>
      </c>
      <c r="Y289" s="38">
        <f t="shared" si="37"/>
        <v>299.5</v>
      </c>
      <c r="Z289" s="71">
        <f t="shared" si="38"/>
        <v>84.604519774011294</v>
      </c>
      <c r="AA289" s="152">
        <f>'copy data3'!F343</f>
        <v>1192</v>
      </c>
      <c r="AB289" s="38">
        <f t="shared" si="39"/>
        <v>683.75</v>
      </c>
      <c r="AC289" s="71">
        <f t="shared" si="40"/>
        <v>53.459734167318217</v>
      </c>
      <c r="AD289" s="152">
        <f>'copy data3'!H343</f>
        <v>761</v>
      </c>
      <c r="AE289" s="38">
        <f t="shared" si="41"/>
        <v>459.25</v>
      </c>
      <c r="AF289" s="71">
        <f t="shared" si="42"/>
        <v>107.55269320843091</v>
      </c>
      <c r="AG289" s="152">
        <f>'copy data3'!J343</f>
        <v>225</v>
      </c>
      <c r="AH289" s="38">
        <f t="shared" si="43"/>
        <v>88.75</v>
      </c>
      <c r="AI289" s="71">
        <f t="shared" si="44"/>
        <v>71.572580645161281</v>
      </c>
      <c r="AJ289" s="152">
        <f>'copy data3'!L343</f>
        <v>3651</v>
      </c>
      <c r="AK289" s="38">
        <f t="shared" si="45"/>
        <v>2271.75</v>
      </c>
      <c r="AL289" s="71">
        <f t="shared" si="46"/>
        <v>62.256782680186348</v>
      </c>
      <c r="AM289" s="152">
        <f>'copy data3'!N343</f>
        <v>8420</v>
      </c>
      <c r="AN289" s="38">
        <f t="shared" si="47"/>
        <v>8777.5</v>
      </c>
      <c r="AO289" s="71">
        <f t="shared" si="48"/>
        <v>137.44910742248669</v>
      </c>
      <c r="AP289" s="152">
        <f>'copy data3'!P343</f>
        <v>1733</v>
      </c>
      <c r="AQ289" s="38">
        <f t="shared" si="49"/>
        <v>1781</v>
      </c>
      <c r="AR289" s="71">
        <f t="shared" si="50"/>
        <v>117.01708278580816</v>
      </c>
      <c r="AS289" s="153">
        <f>'copy data3'!R343</f>
        <v>13804</v>
      </c>
      <c r="AT289" s="38">
        <f t="shared" si="33"/>
        <v>12830.25</v>
      </c>
      <c r="AU289" s="71">
        <f t="shared" si="31"/>
        <v>111.01713247382538</v>
      </c>
    </row>
    <row r="290" spans="1:47" ht="15.6" x14ac:dyDescent="0.3">
      <c r="A290" s="55" t="s">
        <v>60</v>
      </c>
      <c r="B290" s="56">
        <v>1591</v>
      </c>
      <c r="C290" s="56">
        <v>2899</v>
      </c>
      <c r="D290" s="56">
        <v>372</v>
      </c>
      <c r="E290" s="56">
        <v>1000</v>
      </c>
      <c r="F290" s="56">
        <v>1542</v>
      </c>
      <c r="G290" s="56">
        <v>2007</v>
      </c>
      <c r="H290" s="56">
        <v>673</v>
      </c>
      <c r="I290" s="56">
        <v>1137</v>
      </c>
      <c r="J290" s="56">
        <v>102</v>
      </c>
      <c r="K290" s="56">
        <v>260</v>
      </c>
      <c r="L290" s="56">
        <v>4280</v>
      </c>
      <c r="M290" s="56">
        <v>7304</v>
      </c>
      <c r="N290" s="56">
        <v>6352</v>
      </c>
      <c r="O290" s="56">
        <v>2074</v>
      </c>
      <c r="P290" s="56">
        <v>6801</v>
      </c>
      <c r="Q290" s="56">
        <v>444</v>
      </c>
      <c r="R290" s="16">
        <f t="shared" si="32"/>
        <v>17433</v>
      </c>
      <c r="T290" s="144">
        <f t="shared" si="34"/>
        <v>38876</v>
      </c>
      <c r="U290" s="154">
        <f>'copy data3'!B344</f>
        <v>1028</v>
      </c>
      <c r="V290" s="38">
        <f t="shared" si="35"/>
        <v>787</v>
      </c>
      <c r="W290" s="71">
        <f t="shared" si="36"/>
        <v>53.17567567567567</v>
      </c>
      <c r="X290" s="154">
        <f>'copy data3'!D344</f>
        <v>448</v>
      </c>
      <c r="Y290" s="38">
        <f t="shared" si="37"/>
        <v>340.75</v>
      </c>
      <c r="Z290" s="71">
        <f t="shared" si="38"/>
        <v>104.20489296636086</v>
      </c>
      <c r="AA290" s="152">
        <f>'copy data3'!F344</f>
        <v>1217</v>
      </c>
      <c r="AB290" s="38">
        <f t="shared" si="39"/>
        <v>826.75</v>
      </c>
      <c r="AC290" s="71">
        <f t="shared" si="40"/>
        <v>66.245993589743591</v>
      </c>
      <c r="AD290" s="152">
        <f>'copy data3'!H344</f>
        <v>727</v>
      </c>
      <c r="AE290" s="38">
        <f t="shared" si="41"/>
        <v>536.75</v>
      </c>
      <c r="AF290" s="71">
        <f t="shared" si="42"/>
        <v>123.10779816513761</v>
      </c>
      <c r="AG290" s="152">
        <f>'copy data3'!J344</f>
        <v>305</v>
      </c>
      <c r="AH290" s="38">
        <f t="shared" si="43"/>
        <v>143.5</v>
      </c>
      <c r="AI290" s="71">
        <f t="shared" si="44"/>
        <v>143.5</v>
      </c>
      <c r="AJ290" s="152">
        <f>'copy data3'!L344</f>
        <v>3724</v>
      </c>
      <c r="AK290" s="38">
        <f t="shared" si="45"/>
        <v>2634.25</v>
      </c>
      <c r="AL290" s="71">
        <f t="shared" si="46"/>
        <v>73.377437325905291</v>
      </c>
      <c r="AM290" s="152">
        <f>'copy data3'!N344</f>
        <v>8746</v>
      </c>
      <c r="AN290" s="38">
        <f t="shared" si="47"/>
        <v>8674.75</v>
      </c>
      <c r="AO290" s="71">
        <f t="shared" si="48"/>
        <v>139.73501932989691</v>
      </c>
      <c r="AP290" s="152">
        <f>'copy data3'!P344</f>
        <v>1901</v>
      </c>
      <c r="AQ290" s="38">
        <f t="shared" si="49"/>
        <v>1815.25</v>
      </c>
      <c r="AR290" s="71">
        <f t="shared" si="50"/>
        <v>122.56920999324781</v>
      </c>
      <c r="AS290" s="153">
        <f>'copy data3'!R344</f>
        <v>14371</v>
      </c>
      <c r="AT290" s="38">
        <f t="shared" si="33"/>
        <v>13124.25</v>
      </c>
      <c r="AU290" s="71">
        <f t="shared" si="31"/>
        <v>116.36004964979165</v>
      </c>
    </row>
    <row r="291" spans="1:47" ht="15.6" x14ac:dyDescent="0.3">
      <c r="A291" s="55" t="s">
        <v>61</v>
      </c>
      <c r="B291" s="56">
        <v>2201</v>
      </c>
      <c r="C291" s="56">
        <v>3714</v>
      </c>
      <c r="D291" s="56">
        <v>539</v>
      </c>
      <c r="E291" s="56">
        <v>1331</v>
      </c>
      <c r="F291" s="56">
        <v>1177</v>
      </c>
      <c r="G291" s="56">
        <v>2068</v>
      </c>
      <c r="H291" s="56">
        <v>893</v>
      </c>
      <c r="I291" s="56">
        <v>1176</v>
      </c>
      <c r="J291" s="56">
        <v>173</v>
      </c>
      <c r="K291" s="56">
        <v>298</v>
      </c>
      <c r="L291" s="56">
        <v>4983</v>
      </c>
      <c r="M291" s="56">
        <v>8588</v>
      </c>
      <c r="N291" s="56">
        <v>8252</v>
      </c>
      <c r="O291" s="56">
        <v>2127</v>
      </c>
      <c r="P291" s="56">
        <v>9078</v>
      </c>
      <c r="Q291" s="56">
        <v>368</v>
      </c>
      <c r="R291" s="16">
        <f t="shared" si="32"/>
        <v>22313</v>
      </c>
      <c r="T291" s="144">
        <f t="shared" si="34"/>
        <v>38883</v>
      </c>
      <c r="U291" s="154">
        <f>'copy data3'!B345</f>
        <v>1034</v>
      </c>
      <c r="V291" s="38">
        <f t="shared" si="35"/>
        <v>876</v>
      </c>
      <c r="W291" s="71">
        <f t="shared" si="36"/>
        <v>53.742331288343557</v>
      </c>
      <c r="X291" s="154">
        <f>'copy data3'!D345</f>
        <v>454</v>
      </c>
      <c r="Y291" s="38">
        <f t="shared" si="37"/>
        <v>393.25</v>
      </c>
      <c r="Z291" s="71">
        <f t="shared" si="38"/>
        <v>160.51020408163265</v>
      </c>
      <c r="AA291" s="152">
        <f>'copy data3'!F345</f>
        <v>1172</v>
      </c>
      <c r="AB291" s="38">
        <f t="shared" si="39"/>
        <v>990.25</v>
      </c>
      <c r="AC291" s="71">
        <f t="shared" si="40"/>
        <v>76.17307692307692</v>
      </c>
      <c r="AD291" s="152">
        <f>'copy data3'!H345</f>
        <v>683</v>
      </c>
      <c r="AE291" s="38">
        <f t="shared" si="41"/>
        <v>620.75</v>
      </c>
      <c r="AF291" s="71">
        <f t="shared" si="42"/>
        <v>128.51966873706004</v>
      </c>
      <c r="AG291" s="152">
        <f>'copy data3'!J345</f>
        <v>257</v>
      </c>
      <c r="AH291" s="38">
        <f t="shared" si="43"/>
        <v>199</v>
      </c>
      <c r="AI291" s="71">
        <f t="shared" si="44"/>
        <v>170.08547008547009</v>
      </c>
      <c r="AJ291" s="152">
        <f>'copy data3'!L345</f>
        <v>3600</v>
      </c>
      <c r="AK291" s="38">
        <f t="shared" si="45"/>
        <v>3079</v>
      </c>
      <c r="AL291" s="71">
        <f t="shared" si="46"/>
        <v>81.562913907284766</v>
      </c>
      <c r="AM291" s="152">
        <f>'copy data3'!N345</f>
        <v>9037</v>
      </c>
      <c r="AN291" s="38">
        <f t="shared" si="47"/>
        <v>8730</v>
      </c>
      <c r="AO291" s="71">
        <f t="shared" si="48"/>
        <v>154.51327433628319</v>
      </c>
      <c r="AP291" s="152">
        <f>'copy data3'!P345</f>
        <v>1893</v>
      </c>
      <c r="AQ291" s="38">
        <f t="shared" si="49"/>
        <v>1834</v>
      </c>
      <c r="AR291" s="71">
        <f t="shared" si="50"/>
        <v>136.45833333333331</v>
      </c>
      <c r="AS291" s="153">
        <f>'copy data3'!R345</f>
        <v>14530</v>
      </c>
      <c r="AT291" s="38">
        <f t="shared" si="33"/>
        <v>13643</v>
      </c>
      <c r="AU291" s="71">
        <f t="shared" si="31"/>
        <v>126.68771473674437</v>
      </c>
    </row>
    <row r="292" spans="1:47" ht="15.6" x14ac:dyDescent="0.3">
      <c r="A292" s="55" t="s">
        <v>62</v>
      </c>
      <c r="B292" s="56">
        <v>1629</v>
      </c>
      <c r="C292" s="56">
        <v>2969</v>
      </c>
      <c r="D292" s="56">
        <v>403</v>
      </c>
      <c r="E292" s="56">
        <v>1000</v>
      </c>
      <c r="F292" s="56">
        <v>1581</v>
      </c>
      <c r="G292" s="56">
        <v>2085</v>
      </c>
      <c r="H292" s="56">
        <v>734</v>
      </c>
      <c r="I292" s="56">
        <v>1187</v>
      </c>
      <c r="J292" s="56">
        <v>177</v>
      </c>
      <c r="K292" s="56">
        <v>280</v>
      </c>
      <c r="L292" s="56">
        <v>4524</v>
      </c>
      <c r="M292" s="56">
        <v>7520</v>
      </c>
      <c r="N292" s="56">
        <v>6582</v>
      </c>
      <c r="O292" s="56">
        <v>2530</v>
      </c>
      <c r="P292" s="56">
        <v>6854</v>
      </c>
      <c r="Q292" s="56">
        <v>659</v>
      </c>
      <c r="R292" s="16">
        <f t="shared" si="32"/>
        <v>17960</v>
      </c>
      <c r="T292" s="144">
        <f t="shared" si="34"/>
        <v>38890</v>
      </c>
      <c r="U292" s="154">
        <f>'copy data3'!B346</f>
        <v>1094</v>
      </c>
      <c r="V292" s="38">
        <f t="shared" si="35"/>
        <v>1031.25</v>
      </c>
      <c r="W292" s="71">
        <f t="shared" si="36"/>
        <v>57.643935159306878</v>
      </c>
      <c r="X292" s="154">
        <f>'copy data3'!D346</f>
        <v>481</v>
      </c>
      <c r="Y292" s="38">
        <f t="shared" si="37"/>
        <v>471.75</v>
      </c>
      <c r="Z292" s="71">
        <f t="shared" si="38"/>
        <v>184.27734375</v>
      </c>
      <c r="AA292" s="152">
        <f>'copy data3'!F346</f>
        <v>1181</v>
      </c>
      <c r="AB292" s="38">
        <f t="shared" si="39"/>
        <v>1190.5</v>
      </c>
      <c r="AC292" s="71">
        <f t="shared" si="40"/>
        <v>91.226053639846739</v>
      </c>
      <c r="AD292" s="152">
        <f>'copy data3'!H346</f>
        <v>762</v>
      </c>
      <c r="AE292" s="38">
        <f t="shared" si="41"/>
        <v>733.25</v>
      </c>
      <c r="AF292" s="71">
        <f t="shared" si="42"/>
        <v>150.564681724846</v>
      </c>
      <c r="AG292" s="152">
        <f>'copy data3'!J346</f>
        <v>252</v>
      </c>
      <c r="AH292" s="38">
        <f t="shared" si="43"/>
        <v>259.75</v>
      </c>
      <c r="AI292" s="71">
        <f t="shared" si="44"/>
        <v>240.50925925925927</v>
      </c>
      <c r="AJ292" s="152">
        <f>'copy data3'!L346</f>
        <v>3770</v>
      </c>
      <c r="AK292" s="38">
        <f t="shared" si="45"/>
        <v>3686.25</v>
      </c>
      <c r="AL292" s="71">
        <f t="shared" si="46"/>
        <v>93.417384693360361</v>
      </c>
      <c r="AM292" s="152">
        <f>'copy data3'!N346</f>
        <v>9214</v>
      </c>
      <c r="AN292" s="38">
        <f t="shared" si="47"/>
        <v>8854.25</v>
      </c>
      <c r="AO292" s="71">
        <f t="shared" si="48"/>
        <v>152.42296436563953</v>
      </c>
      <c r="AP292" s="152">
        <f>'copy data3'!P346</f>
        <v>1954</v>
      </c>
      <c r="AQ292" s="38">
        <f t="shared" si="49"/>
        <v>1870.25</v>
      </c>
      <c r="AR292" s="71">
        <f t="shared" si="50"/>
        <v>139.67513069454819</v>
      </c>
      <c r="AS292" s="153">
        <f>'copy data3'!R346</f>
        <v>14938</v>
      </c>
      <c r="AT292" s="38">
        <f t="shared" si="33"/>
        <v>14410.75</v>
      </c>
      <c r="AU292" s="71">
        <f t="shared" si="31"/>
        <v>129.89679105822967</v>
      </c>
    </row>
    <row r="293" spans="1:47" ht="15.6" x14ac:dyDescent="0.3">
      <c r="A293" s="55" t="s">
        <v>63</v>
      </c>
      <c r="B293" s="56">
        <v>2244</v>
      </c>
      <c r="C293" s="56">
        <v>3979</v>
      </c>
      <c r="D293" s="56">
        <v>497</v>
      </c>
      <c r="E293" s="56">
        <v>1375</v>
      </c>
      <c r="F293" s="56">
        <v>1127</v>
      </c>
      <c r="G293" s="56">
        <v>2281</v>
      </c>
      <c r="H293" s="56">
        <v>1020</v>
      </c>
      <c r="I293" s="56">
        <v>1212</v>
      </c>
      <c r="J293" s="56">
        <v>196</v>
      </c>
      <c r="K293" s="56">
        <v>402</v>
      </c>
      <c r="L293" s="56">
        <v>5085</v>
      </c>
      <c r="M293" s="56">
        <v>9249</v>
      </c>
      <c r="N293" s="56">
        <v>8274</v>
      </c>
      <c r="O293" s="56">
        <v>3021</v>
      </c>
      <c r="P293" s="56">
        <v>9579</v>
      </c>
      <c r="Q293" s="56">
        <v>568</v>
      </c>
      <c r="R293" s="16">
        <f t="shared" si="32"/>
        <v>22938</v>
      </c>
      <c r="T293" s="144">
        <f t="shared" si="34"/>
        <v>38897</v>
      </c>
      <c r="U293" s="154">
        <f>'copy data3'!B347</f>
        <v>1107</v>
      </c>
      <c r="V293" s="38">
        <f t="shared" si="35"/>
        <v>1065.75</v>
      </c>
      <c r="W293" s="71">
        <f t="shared" si="36"/>
        <v>54.29190015282731</v>
      </c>
      <c r="X293" s="154">
        <f>'copy data3'!D347</f>
        <v>467</v>
      </c>
      <c r="Y293" s="38">
        <f t="shared" si="37"/>
        <v>462.5</v>
      </c>
      <c r="Z293" s="71">
        <f t="shared" si="38"/>
        <v>138.05970149253733</v>
      </c>
      <c r="AA293" s="152">
        <f>'copy data3'!F347</f>
        <v>1154</v>
      </c>
      <c r="AB293" s="38">
        <f t="shared" si="39"/>
        <v>1181</v>
      </c>
      <c r="AC293" s="71">
        <f t="shared" si="40"/>
        <v>94.555644515612485</v>
      </c>
      <c r="AD293" s="152">
        <f>'copy data3'!H347</f>
        <v>692</v>
      </c>
      <c r="AE293" s="38">
        <f t="shared" si="41"/>
        <v>716</v>
      </c>
      <c r="AF293" s="71">
        <f t="shared" si="42"/>
        <v>161.62528216704288</v>
      </c>
      <c r="AG293" s="152">
        <f>'copy data3'!J347</f>
        <v>266</v>
      </c>
      <c r="AH293" s="38">
        <f t="shared" si="43"/>
        <v>270</v>
      </c>
      <c r="AI293" s="71">
        <f t="shared" si="44"/>
        <v>209.30232558139537</v>
      </c>
      <c r="AJ293" s="152">
        <f>'copy data3'!L347</f>
        <v>3686</v>
      </c>
      <c r="AK293" s="38">
        <f t="shared" si="45"/>
        <v>3695</v>
      </c>
      <c r="AL293" s="71">
        <f t="shared" si="46"/>
        <v>89.706239378489926</v>
      </c>
      <c r="AM293" s="152">
        <f>'copy data3'!N347</f>
        <v>9000</v>
      </c>
      <c r="AN293" s="38">
        <f t="shared" si="47"/>
        <v>8999.25</v>
      </c>
      <c r="AO293" s="71">
        <f t="shared" si="48"/>
        <v>150.56466454743182</v>
      </c>
      <c r="AP293" s="152">
        <f>'copy data3'!P347</f>
        <v>1943</v>
      </c>
      <c r="AQ293" s="38">
        <f t="shared" si="49"/>
        <v>1922.75</v>
      </c>
      <c r="AR293" s="71">
        <f t="shared" si="50"/>
        <v>144.13418290854574</v>
      </c>
      <c r="AS293" s="153">
        <f>'copy data3'!R347</f>
        <v>14629</v>
      </c>
      <c r="AT293" s="38">
        <f t="shared" si="33"/>
        <v>14617</v>
      </c>
      <c r="AU293" s="71">
        <f t="shared" si="31"/>
        <v>127.8827646544182</v>
      </c>
    </row>
    <row r="294" spans="1:47" ht="15.6" x14ac:dyDescent="0.3">
      <c r="A294" s="55" t="s">
        <v>64</v>
      </c>
      <c r="B294" s="56">
        <v>1658</v>
      </c>
      <c r="C294" s="56">
        <v>3084</v>
      </c>
      <c r="D294" s="56">
        <v>436</v>
      </c>
      <c r="E294" s="56">
        <v>1035</v>
      </c>
      <c r="F294" s="56">
        <v>1626</v>
      </c>
      <c r="G294" s="56">
        <v>2228</v>
      </c>
      <c r="H294" s="56">
        <v>849</v>
      </c>
      <c r="I294" s="56">
        <v>1187</v>
      </c>
      <c r="J294" s="56">
        <v>160</v>
      </c>
      <c r="K294" s="56">
        <v>334</v>
      </c>
      <c r="L294" s="56">
        <v>4729</v>
      </c>
      <c r="M294" s="56">
        <v>7867</v>
      </c>
      <c r="N294" s="56">
        <v>7024</v>
      </c>
      <c r="O294" s="56">
        <v>3051</v>
      </c>
      <c r="P294" s="56">
        <v>7134</v>
      </c>
      <c r="Q294" s="56">
        <v>895</v>
      </c>
      <c r="R294" s="16">
        <f t="shared" si="32"/>
        <v>18887</v>
      </c>
      <c r="T294" s="144">
        <f t="shared" si="34"/>
        <v>38904</v>
      </c>
      <c r="U294" s="154">
        <f>'copy data3'!B348</f>
        <v>1087</v>
      </c>
      <c r="V294" s="38">
        <f t="shared" si="35"/>
        <v>1080.5</v>
      </c>
      <c r="W294" s="71">
        <f t="shared" si="36"/>
        <v>54.187562688064197</v>
      </c>
      <c r="X294" s="154">
        <f>'copy data3'!D348</f>
        <v>473</v>
      </c>
      <c r="Y294" s="38">
        <f t="shared" si="37"/>
        <v>468.75</v>
      </c>
      <c r="Z294" s="71">
        <f t="shared" si="38"/>
        <v>143.78834355828221</v>
      </c>
      <c r="AA294" s="152">
        <f>'copy data3'!F348</f>
        <v>1045</v>
      </c>
      <c r="AB294" s="38">
        <f t="shared" si="39"/>
        <v>1138</v>
      </c>
      <c r="AC294" s="71">
        <f t="shared" si="40"/>
        <v>92.897959183673478</v>
      </c>
      <c r="AD294" s="152">
        <f>'copy data3'!H348</f>
        <v>705</v>
      </c>
      <c r="AE294" s="38">
        <f t="shared" si="41"/>
        <v>710.5</v>
      </c>
      <c r="AF294" s="71">
        <f t="shared" si="42"/>
        <v>151.49253731343285</v>
      </c>
      <c r="AG294" s="152">
        <f>'copy data3'!J348</f>
        <v>284</v>
      </c>
      <c r="AH294" s="38">
        <f t="shared" si="43"/>
        <v>264.75</v>
      </c>
      <c r="AI294" s="71">
        <f t="shared" si="44"/>
        <v>234.29203539823007</v>
      </c>
      <c r="AJ294" s="152">
        <f>'copy data3'!L348</f>
        <v>3592</v>
      </c>
      <c r="AK294" s="38">
        <f t="shared" si="45"/>
        <v>3662</v>
      </c>
      <c r="AL294" s="71">
        <f t="shared" si="46"/>
        <v>88.754241396025208</v>
      </c>
      <c r="AM294" s="152">
        <f>'copy data3'!N348</f>
        <v>8656</v>
      </c>
      <c r="AN294" s="38">
        <f t="shared" si="47"/>
        <v>8976.75</v>
      </c>
      <c r="AO294" s="71">
        <f t="shared" si="48"/>
        <v>156.79912663755456</v>
      </c>
      <c r="AP294" s="152">
        <f>'copy data3'!P348</f>
        <v>2119</v>
      </c>
      <c r="AQ294" s="38">
        <f t="shared" si="49"/>
        <v>1977.25</v>
      </c>
      <c r="AR294" s="71">
        <f t="shared" si="50"/>
        <v>152.44795682343869</v>
      </c>
      <c r="AS294" s="153">
        <f>'copy data3'!R348</f>
        <v>14367</v>
      </c>
      <c r="AT294" s="38">
        <f t="shared" si="33"/>
        <v>14616</v>
      </c>
      <c r="AU294" s="71">
        <f t="shared" si="31"/>
        <v>131.10871905274487</v>
      </c>
    </row>
    <row r="295" spans="1:47" ht="15.6" x14ac:dyDescent="0.3">
      <c r="A295" s="55" t="s">
        <v>65</v>
      </c>
      <c r="B295" s="56">
        <v>2197</v>
      </c>
      <c r="C295" s="56">
        <v>4287</v>
      </c>
      <c r="D295" s="56">
        <v>428</v>
      </c>
      <c r="E295" s="56">
        <v>1441</v>
      </c>
      <c r="F295" s="56">
        <v>1044</v>
      </c>
      <c r="G295" s="56">
        <v>2441</v>
      </c>
      <c r="H295" s="56">
        <v>875</v>
      </c>
      <c r="I295" s="56">
        <v>1341</v>
      </c>
      <c r="J295" s="56">
        <v>204</v>
      </c>
      <c r="K295" s="56">
        <v>426</v>
      </c>
      <c r="L295" s="56">
        <v>4748</v>
      </c>
      <c r="M295" s="56">
        <v>9935</v>
      </c>
      <c r="N295" s="56">
        <v>8451</v>
      </c>
      <c r="O295" s="56">
        <v>3800</v>
      </c>
      <c r="P295" s="56">
        <v>9814</v>
      </c>
      <c r="Q295" s="56">
        <v>806</v>
      </c>
      <c r="R295" s="16">
        <f t="shared" si="32"/>
        <v>23013</v>
      </c>
      <c r="T295" s="144">
        <f t="shared" si="34"/>
        <v>38911</v>
      </c>
      <c r="U295" s="154">
        <f>'copy data3'!B349</f>
        <v>989</v>
      </c>
      <c r="V295" s="38">
        <f t="shared" si="35"/>
        <v>1069.25</v>
      </c>
      <c r="W295" s="71">
        <f t="shared" si="36"/>
        <v>51.48050072219548</v>
      </c>
      <c r="X295" s="154">
        <f>'copy data3'!D349</f>
        <v>511</v>
      </c>
      <c r="Y295" s="38">
        <f t="shared" si="37"/>
        <v>483</v>
      </c>
      <c r="Z295" s="71">
        <f t="shared" si="38"/>
        <v>138.79310344827587</v>
      </c>
      <c r="AA295" s="152">
        <f>'copy data3'!F349</f>
        <v>982</v>
      </c>
      <c r="AB295" s="38">
        <f t="shared" si="39"/>
        <v>1090.5</v>
      </c>
      <c r="AC295" s="71">
        <f t="shared" si="40"/>
        <v>85.866141732283467</v>
      </c>
      <c r="AD295" s="152">
        <f>'copy data3'!H349</f>
        <v>696</v>
      </c>
      <c r="AE295" s="38">
        <f t="shared" si="41"/>
        <v>713.75</v>
      </c>
      <c r="AF295" s="71">
        <f t="shared" si="42"/>
        <v>143.90120967741936</v>
      </c>
      <c r="AG295" s="152">
        <f>'copy data3'!J349</f>
        <v>283</v>
      </c>
      <c r="AH295" s="38">
        <f t="shared" si="43"/>
        <v>271.25</v>
      </c>
      <c r="AI295" s="71">
        <f t="shared" si="44"/>
        <v>285.5263157894737</v>
      </c>
      <c r="AJ295" s="152">
        <f>'copy data3'!L349</f>
        <v>3461</v>
      </c>
      <c r="AK295" s="38">
        <f t="shared" si="45"/>
        <v>3627.25</v>
      </c>
      <c r="AL295" s="71">
        <f t="shared" si="46"/>
        <v>84.630191320578632</v>
      </c>
      <c r="AM295" s="152">
        <f>'copy data3'!N349</f>
        <v>7794</v>
      </c>
      <c r="AN295" s="38">
        <f t="shared" si="47"/>
        <v>8666</v>
      </c>
      <c r="AO295" s="71">
        <f t="shared" si="48"/>
        <v>157.33478576615832</v>
      </c>
      <c r="AP295" s="152">
        <f>'copy data3'!P349</f>
        <v>2000</v>
      </c>
      <c r="AQ295" s="38">
        <f t="shared" si="49"/>
        <v>2004</v>
      </c>
      <c r="AR295" s="71">
        <f t="shared" si="50"/>
        <v>158.16890292028413</v>
      </c>
      <c r="AS295" s="153">
        <f>'copy data3'!R349</f>
        <v>13255</v>
      </c>
      <c r="AT295" s="38">
        <f t="shared" si="33"/>
        <v>14297.25</v>
      </c>
      <c r="AU295" s="71">
        <f t="shared" si="31"/>
        <v>129.2582045023054</v>
      </c>
    </row>
    <row r="296" spans="1:47" ht="15.6" x14ac:dyDescent="0.3">
      <c r="A296" s="55" t="s">
        <v>66</v>
      </c>
      <c r="B296" s="56">
        <v>1683</v>
      </c>
      <c r="C296" s="56">
        <v>4462</v>
      </c>
      <c r="D296" s="56">
        <v>480</v>
      </c>
      <c r="E296" s="56">
        <v>1062</v>
      </c>
      <c r="F296" s="56">
        <v>1675</v>
      </c>
      <c r="G296" s="56">
        <v>2384</v>
      </c>
      <c r="H296" s="56">
        <v>819</v>
      </c>
      <c r="I296" s="56">
        <v>1187</v>
      </c>
      <c r="J296" s="56">
        <v>107</v>
      </c>
      <c r="K296" s="56">
        <v>338</v>
      </c>
      <c r="L296" s="56">
        <v>4764</v>
      </c>
      <c r="M296" s="56">
        <v>8147</v>
      </c>
      <c r="N296" s="56">
        <v>6890</v>
      </c>
      <c r="O296" s="56">
        <v>3836</v>
      </c>
      <c r="P296" s="56">
        <v>7362</v>
      </c>
      <c r="Q296" s="56">
        <v>1227</v>
      </c>
      <c r="R296" s="16">
        <f t="shared" si="32"/>
        <v>19016</v>
      </c>
      <c r="T296" s="144">
        <f t="shared" si="34"/>
        <v>38918</v>
      </c>
      <c r="U296" s="154">
        <f>'copy data3'!B350</f>
        <v>952</v>
      </c>
      <c r="V296" s="38">
        <f t="shared" si="35"/>
        <v>1033.75</v>
      </c>
      <c r="W296" s="71">
        <f t="shared" si="36"/>
        <v>52.341772151898738</v>
      </c>
      <c r="X296" s="154">
        <f>'copy data3'!D350</f>
        <v>481</v>
      </c>
      <c r="Y296" s="38">
        <f t="shared" si="37"/>
        <v>483</v>
      </c>
      <c r="Z296" s="71">
        <f t="shared" si="38"/>
        <v>142.05882352941177</v>
      </c>
      <c r="AA296" s="152">
        <f>'copy data3'!F350</f>
        <v>1001</v>
      </c>
      <c r="AB296" s="38">
        <f t="shared" si="39"/>
        <v>1045.5</v>
      </c>
      <c r="AC296" s="71">
        <f t="shared" si="40"/>
        <v>81.488698363211228</v>
      </c>
      <c r="AD296" s="152">
        <f>'copy data3'!H350</f>
        <v>702</v>
      </c>
      <c r="AE296" s="38">
        <f t="shared" si="41"/>
        <v>698.75</v>
      </c>
      <c r="AF296" s="71">
        <f t="shared" si="42"/>
        <v>113.24959481361425</v>
      </c>
      <c r="AG296" s="152">
        <f>'copy data3'!J350</f>
        <v>264</v>
      </c>
      <c r="AH296" s="38">
        <f t="shared" si="43"/>
        <v>274.25</v>
      </c>
      <c r="AI296" s="71">
        <f t="shared" si="44"/>
        <v>234.40170940170941</v>
      </c>
      <c r="AJ296" s="152">
        <f>'copy data3'!L350</f>
        <v>3399</v>
      </c>
      <c r="AK296" s="38">
        <f t="shared" si="45"/>
        <v>3534.5</v>
      </c>
      <c r="AL296" s="71">
        <f t="shared" si="46"/>
        <v>81.609328099746008</v>
      </c>
      <c r="AM296" s="152">
        <f>'copy data3'!N350</f>
        <v>7387</v>
      </c>
      <c r="AN296" s="38">
        <f t="shared" si="47"/>
        <v>8209.25</v>
      </c>
      <c r="AO296" s="71">
        <f t="shared" si="48"/>
        <v>159.09399224806202</v>
      </c>
      <c r="AP296" s="152">
        <f>'copy data3'!P350</f>
        <v>1901</v>
      </c>
      <c r="AQ296" s="38">
        <f t="shared" si="49"/>
        <v>1990.75</v>
      </c>
      <c r="AR296" s="71">
        <f t="shared" si="50"/>
        <v>197.49503968253967</v>
      </c>
      <c r="AS296" s="153">
        <f>'copy data3'!R350</f>
        <v>12687</v>
      </c>
      <c r="AT296" s="38">
        <f t="shared" si="33"/>
        <v>13734.5</v>
      </c>
      <c r="AU296" s="71">
        <f t="shared" si="31"/>
        <v>130.81722068768454</v>
      </c>
    </row>
    <row r="297" spans="1:47" ht="15.6" x14ac:dyDescent="0.3">
      <c r="A297" s="55" t="s">
        <v>67</v>
      </c>
      <c r="B297" s="56">
        <v>2161</v>
      </c>
      <c r="C297" s="56">
        <v>3176</v>
      </c>
      <c r="D297" s="56">
        <v>322</v>
      </c>
      <c r="E297" s="56">
        <v>1606</v>
      </c>
      <c r="F297" s="56">
        <v>1066</v>
      </c>
      <c r="G297" s="56">
        <v>2568</v>
      </c>
      <c r="H297" s="56">
        <v>816</v>
      </c>
      <c r="I297" s="56">
        <v>1452</v>
      </c>
      <c r="J297" s="56">
        <v>192</v>
      </c>
      <c r="K297" s="56">
        <v>463</v>
      </c>
      <c r="L297" s="56">
        <v>4556</v>
      </c>
      <c r="M297" s="56">
        <v>10550</v>
      </c>
      <c r="N297" s="56">
        <v>9229</v>
      </c>
      <c r="O297" s="56">
        <v>4699</v>
      </c>
      <c r="P297" s="56">
        <v>10393</v>
      </c>
      <c r="Q297" s="56">
        <v>1436</v>
      </c>
      <c r="R297" s="16">
        <f t="shared" si="32"/>
        <v>24178</v>
      </c>
      <c r="T297" s="144">
        <f t="shared" si="34"/>
        <v>38925</v>
      </c>
      <c r="U297" s="154">
        <f>'copy data3'!B351</f>
        <v>965</v>
      </c>
      <c r="V297" s="38">
        <f t="shared" si="35"/>
        <v>998.25</v>
      </c>
      <c r="W297" s="71">
        <f t="shared" si="36"/>
        <v>45.770288858321869</v>
      </c>
      <c r="X297" s="154">
        <f>'copy data3'!D351</f>
        <v>511</v>
      </c>
      <c r="Y297" s="38">
        <f t="shared" si="37"/>
        <v>494</v>
      </c>
      <c r="Z297" s="71">
        <f t="shared" si="38"/>
        <v>160.3896103896104</v>
      </c>
      <c r="AA297" s="152">
        <f>'copy data3'!F351</f>
        <v>1086</v>
      </c>
      <c r="AB297" s="38">
        <f t="shared" si="39"/>
        <v>1028.5</v>
      </c>
      <c r="AC297" s="71">
        <f t="shared" si="40"/>
        <v>81.240126382306471</v>
      </c>
      <c r="AD297" s="152">
        <f>'copy data3'!H351</f>
        <v>763</v>
      </c>
      <c r="AE297" s="38">
        <f t="shared" si="41"/>
        <v>716.5</v>
      </c>
      <c r="AF297" s="71">
        <f t="shared" si="42"/>
        <v>106.30563798219586</v>
      </c>
      <c r="AG297" s="152">
        <f>'copy data3'!J351</f>
        <v>287</v>
      </c>
      <c r="AH297" s="38">
        <f t="shared" si="43"/>
        <v>279.5</v>
      </c>
      <c r="AI297" s="71">
        <f t="shared" si="44"/>
        <v>196.83098591549296</v>
      </c>
      <c r="AJ297" s="152">
        <f>'copy data3'!L351</f>
        <v>3612</v>
      </c>
      <c r="AK297" s="38">
        <f t="shared" si="45"/>
        <v>3516</v>
      </c>
      <c r="AL297" s="71">
        <f t="shared" si="46"/>
        <v>76.953381483913333</v>
      </c>
      <c r="AM297" s="152">
        <f>'copy data3'!N351</f>
        <v>7114</v>
      </c>
      <c r="AN297" s="38">
        <f t="shared" si="47"/>
        <v>7737.75</v>
      </c>
      <c r="AO297" s="71">
        <f t="shared" si="48"/>
        <v>172.02645620275678</v>
      </c>
      <c r="AP297" s="152">
        <f>'copy data3'!P351</f>
        <v>1842</v>
      </c>
      <c r="AQ297" s="38">
        <f t="shared" si="49"/>
        <v>1965.5</v>
      </c>
      <c r="AR297" s="71">
        <f t="shared" si="50"/>
        <v>196.74674674674674</v>
      </c>
      <c r="AS297" s="153">
        <f>'copy data3'!R351</f>
        <v>12568</v>
      </c>
      <c r="AT297" s="38">
        <f t="shared" si="33"/>
        <v>13219.25</v>
      </c>
      <c r="AU297" s="71">
        <f t="shared" si="31"/>
        <v>131.32575004967217</v>
      </c>
    </row>
    <row r="298" spans="1:47" ht="15.6" x14ac:dyDescent="0.3">
      <c r="A298" s="55" t="s">
        <v>68</v>
      </c>
      <c r="B298" s="56">
        <v>1608</v>
      </c>
      <c r="C298" s="56">
        <v>3348</v>
      </c>
      <c r="D298" s="56">
        <v>670</v>
      </c>
      <c r="E298" s="56">
        <v>1138</v>
      </c>
      <c r="F298" s="56">
        <v>1641</v>
      </c>
      <c r="G298" s="56">
        <v>2667</v>
      </c>
      <c r="H298" s="56">
        <v>917</v>
      </c>
      <c r="I298" s="56">
        <v>1221</v>
      </c>
      <c r="J298" s="56">
        <v>103</v>
      </c>
      <c r="K298" s="56">
        <v>383</v>
      </c>
      <c r="L298" s="56">
        <v>4939</v>
      </c>
      <c r="M298" s="56">
        <v>8756</v>
      </c>
      <c r="N298" s="56">
        <v>6584</v>
      </c>
      <c r="O298" s="56">
        <v>4660</v>
      </c>
      <c r="P298" s="56">
        <v>7783</v>
      </c>
      <c r="Q298" s="56">
        <v>2015</v>
      </c>
      <c r="R298" s="16">
        <f t="shared" si="32"/>
        <v>19306</v>
      </c>
      <c r="T298" s="144">
        <f t="shared" si="34"/>
        <v>38932</v>
      </c>
      <c r="U298" s="154">
        <f>'copy data3'!B352</f>
        <v>902</v>
      </c>
      <c r="V298" s="38">
        <f t="shared" si="35"/>
        <v>952</v>
      </c>
      <c r="W298" s="71">
        <f t="shared" si="36"/>
        <v>46.057087566521524</v>
      </c>
      <c r="X298" s="154">
        <f>'copy data3'!D352</f>
        <v>437</v>
      </c>
      <c r="Y298" s="38">
        <f t="shared" si="37"/>
        <v>485</v>
      </c>
      <c r="Z298" s="71">
        <f t="shared" si="38"/>
        <v>146.08433734939757</v>
      </c>
      <c r="AA298" s="152">
        <f>'copy data3'!F352</f>
        <v>1097</v>
      </c>
      <c r="AB298" s="38">
        <f t="shared" si="39"/>
        <v>1041.5</v>
      </c>
      <c r="AC298" s="71">
        <f t="shared" si="40"/>
        <v>86.791666666666671</v>
      </c>
      <c r="AD298" s="152">
        <f>'copy data3'!H352</f>
        <v>723</v>
      </c>
      <c r="AE298" s="38">
        <f t="shared" si="41"/>
        <v>721</v>
      </c>
      <c r="AF298" s="71">
        <f t="shared" si="42"/>
        <v>101.98019801980197</v>
      </c>
      <c r="AG298" s="152">
        <f>'copy data3'!J352</f>
        <v>293</v>
      </c>
      <c r="AH298" s="38">
        <f t="shared" si="43"/>
        <v>281.75</v>
      </c>
      <c r="AI298" s="71">
        <f t="shared" si="44"/>
        <v>194.31034482758619</v>
      </c>
      <c r="AJ298" s="152">
        <f>'copy data3'!L352</f>
        <v>3451</v>
      </c>
      <c r="AK298" s="38">
        <f t="shared" si="45"/>
        <v>3480.75</v>
      </c>
      <c r="AL298" s="71">
        <f t="shared" si="46"/>
        <v>78.219101123595507</v>
      </c>
      <c r="AM298" s="152">
        <f>'copy data3'!N352</f>
        <v>6961</v>
      </c>
      <c r="AN298" s="38">
        <f t="shared" si="47"/>
        <v>7314</v>
      </c>
      <c r="AO298" s="71">
        <f t="shared" si="48"/>
        <v>158.68952050336298</v>
      </c>
      <c r="AP298" s="152">
        <f>'copy data3'!P352</f>
        <v>1662</v>
      </c>
      <c r="AQ298" s="38">
        <f t="shared" si="49"/>
        <v>1851.25</v>
      </c>
      <c r="AR298" s="71">
        <f t="shared" si="50"/>
        <v>193.241127348643</v>
      </c>
      <c r="AS298" s="153">
        <f>'copy data3'!R352</f>
        <v>12074</v>
      </c>
      <c r="AT298" s="38">
        <f t="shared" si="33"/>
        <v>12646</v>
      </c>
      <c r="AU298" s="71">
        <f t="shared" si="31"/>
        <v>126.24538284915643</v>
      </c>
    </row>
    <row r="299" spans="1:47" ht="15.6" x14ac:dyDescent="0.3">
      <c r="A299" s="55" t="s">
        <v>69</v>
      </c>
      <c r="B299" s="56">
        <v>2131</v>
      </c>
      <c r="C299" s="56">
        <v>4673</v>
      </c>
      <c r="D299" s="56">
        <v>458</v>
      </c>
      <c r="E299" s="56">
        <v>1628</v>
      </c>
      <c r="F299" s="56">
        <v>1047</v>
      </c>
      <c r="G299" s="56">
        <v>2764</v>
      </c>
      <c r="H299" s="56">
        <v>831</v>
      </c>
      <c r="I299" s="56">
        <v>1508</v>
      </c>
      <c r="J299" s="56">
        <v>143</v>
      </c>
      <c r="K299" s="56">
        <v>514</v>
      </c>
      <c r="L299" s="56">
        <v>4610</v>
      </c>
      <c r="M299" s="56">
        <v>11088</v>
      </c>
      <c r="N299" s="56">
        <v>9062</v>
      </c>
      <c r="O299" s="56">
        <v>5581</v>
      </c>
      <c r="P299" s="56">
        <v>10561</v>
      </c>
      <c r="Q299" s="56">
        <v>2220</v>
      </c>
      <c r="R299" s="16">
        <f t="shared" si="32"/>
        <v>24233</v>
      </c>
      <c r="T299" s="144">
        <f t="shared" si="34"/>
        <v>38939</v>
      </c>
      <c r="U299" s="154">
        <f>'copy data3'!B353</f>
        <v>887</v>
      </c>
      <c r="V299" s="38">
        <f t="shared" si="35"/>
        <v>926.5</v>
      </c>
      <c r="W299" s="71">
        <f t="shared" si="36"/>
        <v>45.30562347188264</v>
      </c>
      <c r="X299" s="154">
        <f>'copy data3'!D353</f>
        <v>405</v>
      </c>
      <c r="Y299" s="38">
        <f t="shared" si="37"/>
        <v>458.5</v>
      </c>
      <c r="Z299" s="71">
        <f t="shared" si="38"/>
        <v>151.32013201320132</v>
      </c>
      <c r="AA299" s="152">
        <f>'copy data3'!F353</f>
        <v>1135</v>
      </c>
      <c r="AB299" s="38">
        <f t="shared" si="39"/>
        <v>1079.75</v>
      </c>
      <c r="AC299" s="71">
        <f t="shared" si="40"/>
        <v>90.659109991603685</v>
      </c>
      <c r="AD299" s="152">
        <f>'copy data3'!H353</f>
        <v>756</v>
      </c>
      <c r="AE299" s="38">
        <f t="shared" si="41"/>
        <v>736</v>
      </c>
      <c r="AF299" s="71">
        <f t="shared" si="42"/>
        <v>103.954802259887</v>
      </c>
      <c r="AG299" s="152">
        <f>'copy data3'!J353</f>
        <v>268</v>
      </c>
      <c r="AH299" s="38">
        <f t="shared" si="43"/>
        <v>278</v>
      </c>
      <c r="AI299" s="71">
        <f t="shared" si="44"/>
        <v>269.90291262135923</v>
      </c>
      <c r="AJ299" s="152">
        <f>'copy data3'!L353</f>
        <v>3451</v>
      </c>
      <c r="AK299" s="38">
        <f t="shared" si="45"/>
        <v>3478.25</v>
      </c>
      <c r="AL299" s="71">
        <f t="shared" si="46"/>
        <v>79.959770114942529</v>
      </c>
      <c r="AM299" s="152">
        <f>'copy data3'!N353</f>
        <v>6306</v>
      </c>
      <c r="AN299" s="38">
        <f t="shared" si="47"/>
        <v>6942</v>
      </c>
      <c r="AO299" s="71">
        <f t="shared" si="48"/>
        <v>160.32332563510391</v>
      </c>
      <c r="AP299" s="152">
        <f>'copy data3'!P353</f>
        <v>1733</v>
      </c>
      <c r="AQ299" s="38">
        <f t="shared" si="49"/>
        <v>1784.5</v>
      </c>
      <c r="AR299" s="71">
        <f t="shared" si="50"/>
        <v>198.05771365149835</v>
      </c>
      <c r="AS299" s="153">
        <f>'copy data3'!R353</f>
        <v>11490</v>
      </c>
      <c r="AT299" s="38">
        <f t="shared" si="33"/>
        <v>12204.75</v>
      </c>
      <c r="AU299" s="71">
        <f t="shared" si="31"/>
        <v>127.3849285043315</v>
      </c>
    </row>
    <row r="300" spans="1:47" ht="15.6" x14ac:dyDescent="0.3">
      <c r="A300" s="55" t="s">
        <v>70</v>
      </c>
      <c r="B300" s="56">
        <v>1540</v>
      </c>
      <c r="C300" s="56">
        <v>3471</v>
      </c>
      <c r="D300" s="56">
        <v>691</v>
      </c>
      <c r="E300" s="56">
        <v>1166</v>
      </c>
      <c r="F300" s="56">
        <v>1582</v>
      </c>
      <c r="G300" s="56">
        <v>2876</v>
      </c>
      <c r="H300" s="56">
        <v>778</v>
      </c>
      <c r="I300" s="56">
        <v>1494</v>
      </c>
      <c r="J300" s="56">
        <v>169</v>
      </c>
      <c r="K300" s="56">
        <v>383</v>
      </c>
      <c r="L300" s="56">
        <v>4758</v>
      </c>
      <c r="M300" s="56">
        <v>9389</v>
      </c>
      <c r="N300" s="56">
        <v>6973</v>
      </c>
      <c r="O300" s="56">
        <v>5299</v>
      </c>
      <c r="P300" s="56">
        <v>8357</v>
      </c>
      <c r="Q300" s="56">
        <v>3072</v>
      </c>
      <c r="R300" s="16">
        <f t="shared" si="32"/>
        <v>20088</v>
      </c>
      <c r="T300" s="144">
        <f t="shared" si="34"/>
        <v>38946</v>
      </c>
      <c r="U300" s="154">
        <f>'copy data3'!B354</f>
        <v>764</v>
      </c>
      <c r="V300" s="38">
        <f t="shared" si="35"/>
        <v>879.5</v>
      </c>
      <c r="W300" s="71">
        <f t="shared" si="36"/>
        <v>37.015993265993266</v>
      </c>
      <c r="X300" s="154">
        <f>'copy data3'!D354</f>
        <v>484</v>
      </c>
      <c r="Y300" s="38">
        <f t="shared" si="37"/>
        <v>459.25</v>
      </c>
      <c r="Z300" s="71">
        <f t="shared" si="38"/>
        <v>127.21606648199446</v>
      </c>
      <c r="AA300" s="152">
        <f>'copy data3'!F354</f>
        <v>1159</v>
      </c>
      <c r="AB300" s="38">
        <f t="shared" si="39"/>
        <v>1119.25</v>
      </c>
      <c r="AC300" s="71">
        <f t="shared" si="40"/>
        <v>95.09345794392523</v>
      </c>
      <c r="AD300" s="152">
        <f>'copy data3'!H354</f>
        <v>783</v>
      </c>
      <c r="AE300" s="38">
        <f t="shared" si="41"/>
        <v>756.25</v>
      </c>
      <c r="AF300" s="71">
        <f t="shared" si="42"/>
        <v>92.338217338217348</v>
      </c>
      <c r="AG300" s="152">
        <f>'copy data3'!J354</f>
        <v>263</v>
      </c>
      <c r="AH300" s="38">
        <f t="shared" si="43"/>
        <v>277.75</v>
      </c>
      <c r="AI300" s="71">
        <f t="shared" si="44"/>
        <v>334.63855421686748</v>
      </c>
      <c r="AJ300" s="152">
        <f>'copy data3'!L354</f>
        <v>3454</v>
      </c>
      <c r="AK300" s="38">
        <f t="shared" si="45"/>
        <v>3492</v>
      </c>
      <c r="AL300" s="71">
        <f t="shared" si="46"/>
        <v>72.523364485981318</v>
      </c>
      <c r="AM300" s="152">
        <f>'copy data3'!N354</f>
        <v>5305</v>
      </c>
      <c r="AN300" s="38">
        <f t="shared" si="47"/>
        <v>6421.5</v>
      </c>
      <c r="AO300" s="71">
        <f t="shared" si="48"/>
        <v>169.03132403264016</v>
      </c>
      <c r="AP300" s="152">
        <f>'copy data3'!P354</f>
        <v>1451</v>
      </c>
      <c r="AQ300" s="38">
        <f t="shared" si="49"/>
        <v>1672</v>
      </c>
      <c r="AR300" s="71">
        <f t="shared" si="50"/>
        <v>196.01406799531068</v>
      </c>
      <c r="AS300" s="153">
        <f>'copy data3'!R354</f>
        <v>10210</v>
      </c>
      <c r="AT300" s="38">
        <f t="shared" si="33"/>
        <v>11585.5</v>
      </c>
      <c r="AU300" s="71">
        <f t="shared" si="31"/>
        <v>122.37773317840922</v>
      </c>
    </row>
    <row r="301" spans="1:47" ht="15.6" x14ac:dyDescent="0.3">
      <c r="A301" s="55" t="s">
        <v>71</v>
      </c>
      <c r="B301" s="56">
        <v>2048</v>
      </c>
      <c r="C301" s="56">
        <v>4793</v>
      </c>
      <c r="D301" s="56">
        <v>353</v>
      </c>
      <c r="E301" s="56">
        <v>1715</v>
      </c>
      <c r="F301" s="56">
        <v>970</v>
      </c>
      <c r="G301" s="56">
        <v>2849</v>
      </c>
      <c r="H301" s="56">
        <v>571</v>
      </c>
      <c r="I301" s="56">
        <v>1759</v>
      </c>
      <c r="J301" s="56">
        <v>117</v>
      </c>
      <c r="K301" s="56">
        <v>541</v>
      </c>
      <c r="L301" s="56">
        <v>4059</v>
      </c>
      <c r="M301" s="56">
        <v>11656</v>
      </c>
      <c r="N301" s="56">
        <v>9634</v>
      </c>
      <c r="O301" s="56">
        <v>6490</v>
      </c>
      <c r="P301" s="56">
        <v>11047</v>
      </c>
      <c r="Q301" s="56">
        <v>3538</v>
      </c>
      <c r="R301" s="16">
        <f t="shared" si="32"/>
        <v>24740</v>
      </c>
      <c r="T301" s="144">
        <f t="shared" si="34"/>
        <v>38953</v>
      </c>
      <c r="U301" s="154">
        <f>'copy data3'!B355</f>
        <v>816</v>
      </c>
      <c r="V301" s="38">
        <f t="shared" si="35"/>
        <v>842.25</v>
      </c>
      <c r="W301" s="71">
        <f t="shared" si="36"/>
        <v>36.024379811804963</v>
      </c>
      <c r="X301" s="154">
        <f>'copy data3'!D355</f>
        <v>598</v>
      </c>
      <c r="Y301" s="38">
        <f t="shared" si="37"/>
        <v>481</v>
      </c>
      <c r="Z301" s="71">
        <f t="shared" si="38"/>
        <v>124.93506493506494</v>
      </c>
      <c r="AA301" s="152">
        <f>'copy data3'!F355</f>
        <v>1155</v>
      </c>
      <c r="AB301" s="38">
        <f t="shared" si="39"/>
        <v>1136.5</v>
      </c>
      <c r="AC301" s="71">
        <f t="shared" si="40"/>
        <v>96.150592216582069</v>
      </c>
      <c r="AD301" s="152">
        <f>'copy data3'!H355</f>
        <v>661</v>
      </c>
      <c r="AE301" s="38">
        <f t="shared" si="41"/>
        <v>730.75</v>
      </c>
      <c r="AF301" s="71">
        <f t="shared" si="42"/>
        <v>110.2187028657617</v>
      </c>
      <c r="AG301" s="152">
        <f>'copy data3'!J355</f>
        <v>252</v>
      </c>
      <c r="AH301" s="38">
        <f t="shared" si="43"/>
        <v>269</v>
      </c>
      <c r="AI301" s="71">
        <f t="shared" si="44"/>
        <v>349.35064935064935</v>
      </c>
      <c r="AJ301" s="152">
        <f>'copy data3'!L355</f>
        <v>3464</v>
      </c>
      <c r="AK301" s="38">
        <f t="shared" si="45"/>
        <v>3455</v>
      </c>
      <c r="AL301" s="71">
        <f t="shared" si="46"/>
        <v>74.381054897739503</v>
      </c>
      <c r="AM301" s="152">
        <f>'copy data3'!N355</f>
        <v>3470</v>
      </c>
      <c r="AN301" s="38">
        <f t="shared" si="47"/>
        <v>5510.5</v>
      </c>
      <c r="AO301" s="71">
        <f t="shared" si="48"/>
        <v>198.21942446043167</v>
      </c>
      <c r="AP301" s="152">
        <f>'copy data3'!P355</f>
        <v>1103</v>
      </c>
      <c r="AQ301" s="38">
        <f t="shared" si="49"/>
        <v>1487.25</v>
      </c>
      <c r="AR301" s="71">
        <f t="shared" si="50"/>
        <v>212.76824034334766</v>
      </c>
      <c r="AS301" s="153">
        <f>'copy data3'!R355</f>
        <v>8037</v>
      </c>
      <c r="AT301" s="38">
        <f t="shared" si="33"/>
        <v>10452.75</v>
      </c>
      <c r="AU301" s="71">
        <f t="shared" si="31"/>
        <v>128.66506646971936</v>
      </c>
    </row>
    <row r="302" spans="1:47" ht="15.6" x14ac:dyDescent="0.3">
      <c r="A302" s="55" t="s">
        <v>72</v>
      </c>
      <c r="B302" s="56">
        <v>1418</v>
      </c>
      <c r="C302" s="56">
        <v>3625</v>
      </c>
      <c r="D302" s="56">
        <v>685</v>
      </c>
      <c r="E302" s="56">
        <v>1185</v>
      </c>
      <c r="F302" s="56">
        <v>1630</v>
      </c>
      <c r="G302" s="56">
        <v>2978</v>
      </c>
      <c r="H302" s="56">
        <v>790</v>
      </c>
      <c r="I302" s="56">
        <v>1562</v>
      </c>
      <c r="J302" s="56">
        <v>177</v>
      </c>
      <c r="K302" s="56">
        <v>386</v>
      </c>
      <c r="L302" s="56">
        <v>4700</v>
      </c>
      <c r="M302" s="56">
        <v>9735</v>
      </c>
      <c r="N302" s="56">
        <v>7629</v>
      </c>
      <c r="O302" s="56">
        <v>5729</v>
      </c>
      <c r="P302" s="56">
        <v>7843</v>
      </c>
      <c r="Q302" s="56">
        <v>4377</v>
      </c>
      <c r="R302" s="16">
        <f t="shared" si="32"/>
        <v>20172</v>
      </c>
      <c r="T302" s="144">
        <f t="shared" si="34"/>
        <v>38960</v>
      </c>
      <c r="U302" s="154">
        <f>'copy data3'!B356</f>
        <v>764</v>
      </c>
      <c r="V302" s="38">
        <f t="shared" si="35"/>
        <v>807.75</v>
      </c>
      <c r="W302" s="71">
        <f t="shared" si="36"/>
        <v>32.544319097502019</v>
      </c>
      <c r="X302" s="154">
        <f>'copy data3'!D356</f>
        <v>489</v>
      </c>
      <c r="Y302" s="38">
        <f t="shared" si="37"/>
        <v>494</v>
      </c>
      <c r="Z302" s="71">
        <f t="shared" si="38"/>
        <v>117.3396674584323</v>
      </c>
      <c r="AA302" s="152">
        <f>'copy data3'!F356</f>
        <v>1011</v>
      </c>
      <c r="AB302" s="38">
        <f t="shared" si="39"/>
        <v>1115</v>
      </c>
      <c r="AC302" s="71">
        <f t="shared" si="40"/>
        <v>90.137429264349237</v>
      </c>
      <c r="AD302" s="152">
        <f>'copy data3'!H356</f>
        <v>773</v>
      </c>
      <c r="AE302" s="38">
        <f t="shared" si="41"/>
        <v>743.25</v>
      </c>
      <c r="AF302" s="71">
        <f t="shared" si="42"/>
        <v>89.548192771084331</v>
      </c>
      <c r="AG302" s="152">
        <f>'copy data3'!J356</f>
        <v>187</v>
      </c>
      <c r="AH302" s="38">
        <f t="shared" si="43"/>
        <v>242.5</v>
      </c>
      <c r="AI302" s="71">
        <f t="shared" si="44"/>
        <v>250</v>
      </c>
      <c r="AJ302" s="152">
        <f>'copy data3'!L356</f>
        <v>3222</v>
      </c>
      <c r="AK302" s="38">
        <f t="shared" si="45"/>
        <v>3397.75</v>
      </c>
      <c r="AL302" s="71">
        <f t="shared" si="46"/>
        <v>67.05644365502269</v>
      </c>
      <c r="AM302" s="152">
        <f>'copy data3'!N356</f>
        <v>2454</v>
      </c>
      <c r="AN302" s="38">
        <f t="shared" si="47"/>
        <v>4383.75</v>
      </c>
      <c r="AO302" s="71">
        <f t="shared" si="48"/>
        <v>55.74453204476093</v>
      </c>
      <c r="AP302" s="152">
        <f>'copy data3'!P356</f>
        <v>814</v>
      </c>
      <c r="AQ302" s="38">
        <f t="shared" si="49"/>
        <v>1275.25</v>
      </c>
      <c r="AR302" s="71">
        <f t="shared" si="50"/>
        <v>290.48974943052389</v>
      </c>
      <c r="AS302" s="153">
        <f>'copy data3'!R356</f>
        <v>6490</v>
      </c>
      <c r="AT302" s="38">
        <f t="shared" si="33"/>
        <v>9056.75</v>
      </c>
      <c r="AU302" s="71">
        <f t="shared" si="31"/>
        <v>67.739341810022438</v>
      </c>
    </row>
    <row r="303" spans="1:47" ht="15.6" x14ac:dyDescent="0.3">
      <c r="A303" s="55" t="s">
        <v>73</v>
      </c>
      <c r="B303" s="56">
        <v>2220</v>
      </c>
      <c r="C303" s="56">
        <v>5037</v>
      </c>
      <c r="D303" s="56">
        <v>550</v>
      </c>
      <c r="E303" s="56">
        <v>1771</v>
      </c>
      <c r="F303" s="56">
        <v>998</v>
      </c>
      <c r="G303" s="56">
        <v>2996</v>
      </c>
      <c r="H303" s="56">
        <v>576</v>
      </c>
      <c r="I303" s="56">
        <v>1827</v>
      </c>
      <c r="J303" s="56">
        <v>147</v>
      </c>
      <c r="K303" s="56">
        <v>541</v>
      </c>
      <c r="L303" s="56">
        <v>4490</v>
      </c>
      <c r="M303" s="56">
        <v>12172</v>
      </c>
      <c r="N303" s="56">
        <v>10207</v>
      </c>
      <c r="O303" s="56">
        <v>7364</v>
      </c>
      <c r="P303" s="56">
        <v>11392</v>
      </c>
      <c r="Q303" s="56">
        <v>4862</v>
      </c>
      <c r="R303" s="16">
        <f t="shared" si="32"/>
        <v>26089</v>
      </c>
      <c r="T303" s="144">
        <f t="shared" si="34"/>
        <v>38967</v>
      </c>
      <c r="U303" s="154">
        <f>'copy data3'!B357</f>
        <v>793</v>
      </c>
      <c r="V303" s="38">
        <f t="shared" si="35"/>
        <v>784.25</v>
      </c>
      <c r="W303" s="71">
        <f t="shared" si="36"/>
        <v>30.646737006643221</v>
      </c>
      <c r="X303" s="154">
        <f>'copy data3'!D357</f>
        <v>554</v>
      </c>
      <c r="Y303" s="38">
        <f t="shared" si="37"/>
        <v>531.25</v>
      </c>
      <c r="Z303" s="71">
        <f t="shared" si="38"/>
        <v>121.5675057208238</v>
      </c>
      <c r="AA303" s="152">
        <f>'copy data3'!F357</f>
        <v>991</v>
      </c>
      <c r="AB303" s="38">
        <f t="shared" si="39"/>
        <v>1079</v>
      </c>
      <c r="AC303" s="71">
        <f t="shared" si="40"/>
        <v>81.680545041635128</v>
      </c>
      <c r="AD303" s="152">
        <f>'copy data3'!H357</f>
        <v>815</v>
      </c>
      <c r="AE303" s="38">
        <f t="shared" si="41"/>
        <v>758</v>
      </c>
      <c r="AF303" s="71">
        <f t="shared" si="42"/>
        <v>86.529680365296798</v>
      </c>
      <c r="AG303" s="152">
        <f>'copy data3'!J357</f>
        <v>189</v>
      </c>
      <c r="AH303" s="38">
        <f t="shared" si="43"/>
        <v>222.75</v>
      </c>
      <c r="AI303" s="71">
        <f t="shared" si="44"/>
        <v>318.21428571428567</v>
      </c>
      <c r="AJ303" s="152">
        <f>'copy data3'!L357</f>
        <v>3343</v>
      </c>
      <c r="AK303" s="38">
        <f t="shared" si="45"/>
        <v>3370.75</v>
      </c>
      <c r="AL303" s="71">
        <f t="shared" si="46"/>
        <v>64.046171385141562</v>
      </c>
      <c r="AM303" s="152">
        <f>'copy data3'!N357</f>
        <v>11501</v>
      </c>
      <c r="AN303" s="38">
        <f t="shared" si="47"/>
        <v>5682.5</v>
      </c>
      <c r="AO303" s="71">
        <f t="shared" si="48"/>
        <v>71.96681864235056</v>
      </c>
      <c r="AP303" s="152">
        <f>'copy data3'!P357</f>
        <v>7004</v>
      </c>
      <c r="AQ303" s="38">
        <f t="shared" si="49"/>
        <v>2593</v>
      </c>
      <c r="AR303" s="71">
        <f t="shared" si="50"/>
        <v>58.63862505653551</v>
      </c>
      <c r="AS303" s="153">
        <f>'copy data3'!R357</f>
        <v>21848</v>
      </c>
      <c r="AT303" s="38">
        <f t="shared" si="33"/>
        <v>11646.25</v>
      </c>
      <c r="AU303" s="71">
        <f t="shared" si="31"/>
        <v>66.243387748137195</v>
      </c>
    </row>
    <row r="304" spans="1:47" ht="15.6" x14ac:dyDescent="0.3">
      <c r="A304" s="55" t="s">
        <v>74</v>
      </c>
      <c r="B304" s="56">
        <v>1384</v>
      </c>
      <c r="C304" s="56">
        <v>3740</v>
      </c>
      <c r="D304" s="56">
        <v>723</v>
      </c>
      <c r="E304" s="56">
        <v>1216</v>
      </c>
      <c r="F304" s="56">
        <v>1625</v>
      </c>
      <c r="G304" s="56">
        <v>3087</v>
      </c>
      <c r="H304" s="56">
        <v>741</v>
      </c>
      <c r="I304" s="56">
        <v>1632</v>
      </c>
      <c r="J304" s="56">
        <v>183</v>
      </c>
      <c r="K304" s="56">
        <v>404</v>
      </c>
      <c r="L304" s="56">
        <v>4655</v>
      </c>
      <c r="M304" s="56">
        <v>10079</v>
      </c>
      <c r="N304" s="56">
        <v>7986</v>
      </c>
      <c r="O304" s="56">
        <v>6521</v>
      </c>
      <c r="P304" s="56">
        <v>7403</v>
      </c>
      <c r="Q304" s="56">
        <v>5613</v>
      </c>
      <c r="R304" s="16">
        <f t="shared" si="32"/>
        <v>20044</v>
      </c>
      <c r="T304" s="144">
        <f t="shared" si="34"/>
        <v>38974</v>
      </c>
      <c r="U304" s="154">
        <f>'copy data3'!B358</f>
        <v>698</v>
      </c>
      <c r="V304" s="38">
        <f t="shared" si="35"/>
        <v>767.75</v>
      </c>
      <c r="W304" s="71">
        <f t="shared" si="36"/>
        <v>30.759214743589741</v>
      </c>
      <c r="X304" s="154">
        <f>'copy data3'!D358</f>
        <v>648</v>
      </c>
      <c r="Y304" s="38">
        <f t="shared" si="37"/>
        <v>572.25</v>
      </c>
      <c r="Z304" s="71">
        <f t="shared" si="38"/>
        <v>147.10796915167094</v>
      </c>
      <c r="AA304" s="152">
        <f>'copy data3'!F358</f>
        <v>980</v>
      </c>
      <c r="AB304" s="38">
        <f t="shared" si="39"/>
        <v>1034.25</v>
      </c>
      <c r="AC304" s="71">
        <f t="shared" si="40"/>
        <v>80.737704918032776</v>
      </c>
      <c r="AD304" s="152">
        <f>'copy data3'!H358</f>
        <v>851</v>
      </c>
      <c r="AE304" s="38">
        <f t="shared" si="41"/>
        <v>775</v>
      </c>
      <c r="AF304" s="71">
        <f t="shared" si="42"/>
        <v>78.046324269889226</v>
      </c>
      <c r="AG304" s="152">
        <f>'copy data3'!J358</f>
        <v>157</v>
      </c>
      <c r="AH304" s="38">
        <f t="shared" si="43"/>
        <v>196.25</v>
      </c>
      <c r="AI304" s="71">
        <f t="shared" si="44"/>
        <v>208.77659574468086</v>
      </c>
      <c r="AJ304" s="152">
        <f>'copy data3'!L358</f>
        <v>3334</v>
      </c>
      <c r="AK304" s="38">
        <f t="shared" si="45"/>
        <v>3340.75</v>
      </c>
      <c r="AL304" s="71">
        <f t="shared" si="46"/>
        <v>63.60910129474486</v>
      </c>
      <c r="AM304" s="152">
        <f>'copy data3'!N358</f>
        <v>11138</v>
      </c>
      <c r="AN304" s="38">
        <f t="shared" si="47"/>
        <v>7140.75</v>
      </c>
      <c r="AO304" s="71">
        <f t="shared" si="48"/>
        <v>91.337298541826556</v>
      </c>
      <c r="AP304" s="152">
        <f>'copy data3'!P358</f>
        <v>7409</v>
      </c>
      <c r="AQ304" s="38">
        <f t="shared" si="49"/>
        <v>4082.5</v>
      </c>
      <c r="AR304" s="71">
        <f t="shared" si="50"/>
        <v>81.373330675702618</v>
      </c>
      <c r="AS304" s="153">
        <f>'copy data3'!R358</f>
        <v>21881</v>
      </c>
      <c r="AT304" s="38">
        <f t="shared" si="33"/>
        <v>14564</v>
      </c>
      <c r="AU304" s="71">
        <f t="shared" si="31"/>
        <v>80.521921822303312</v>
      </c>
    </row>
    <row r="305" spans="1:47" ht="15.6" x14ac:dyDescent="0.3">
      <c r="A305" s="55" t="s">
        <v>75</v>
      </c>
      <c r="B305" s="56">
        <v>2346</v>
      </c>
      <c r="C305" s="56">
        <v>5297</v>
      </c>
      <c r="D305" s="56">
        <v>473</v>
      </c>
      <c r="E305" s="56">
        <v>1866</v>
      </c>
      <c r="F305" s="56">
        <v>919</v>
      </c>
      <c r="G305" s="56">
        <v>3094</v>
      </c>
      <c r="H305" s="56">
        <v>609</v>
      </c>
      <c r="I305" s="56">
        <v>1873</v>
      </c>
      <c r="J305" s="56">
        <v>122</v>
      </c>
      <c r="K305" s="56">
        <v>602</v>
      </c>
      <c r="L305" s="56">
        <v>4468</v>
      </c>
      <c r="M305" s="56">
        <v>12731</v>
      </c>
      <c r="N305" s="56">
        <v>10239</v>
      </c>
      <c r="O305" s="56">
        <v>8062</v>
      </c>
      <c r="P305" s="56">
        <v>10711</v>
      </c>
      <c r="Q305" s="56">
        <v>6460</v>
      </c>
      <c r="R305" s="16">
        <f t="shared" si="32"/>
        <v>25418</v>
      </c>
      <c r="T305" s="144">
        <f t="shared" si="34"/>
        <v>38981</v>
      </c>
      <c r="U305" s="154">
        <f>'copy data3'!B359</f>
        <v>711</v>
      </c>
      <c r="V305" s="38">
        <f t="shared" si="35"/>
        <v>741.5</v>
      </c>
      <c r="W305" s="71">
        <f t="shared" si="36"/>
        <v>28.51923076923077</v>
      </c>
      <c r="X305" s="154">
        <f>'copy data3'!D359</f>
        <v>601</v>
      </c>
      <c r="Y305" s="38">
        <f t="shared" si="37"/>
        <v>573</v>
      </c>
      <c r="Z305" s="71">
        <f t="shared" si="38"/>
        <v>156.98630136986301</v>
      </c>
      <c r="AA305" s="152">
        <f>'copy data3'!F359</f>
        <v>1065</v>
      </c>
      <c r="AB305" s="38">
        <f t="shared" si="39"/>
        <v>1011.75</v>
      </c>
      <c r="AC305" s="71">
        <f t="shared" si="40"/>
        <v>85.887096774193552</v>
      </c>
      <c r="AD305" s="152">
        <f>'copy data3'!H359</f>
        <v>897</v>
      </c>
      <c r="AE305" s="38">
        <f t="shared" si="41"/>
        <v>834</v>
      </c>
      <c r="AF305" s="71">
        <f t="shared" si="42"/>
        <v>83.987915407854985</v>
      </c>
      <c r="AG305" s="152">
        <f>'copy data3'!J359</f>
        <v>150</v>
      </c>
      <c r="AH305" s="38">
        <f t="shared" si="43"/>
        <v>170.75</v>
      </c>
      <c r="AI305" s="71">
        <f t="shared" si="44"/>
        <v>170.75</v>
      </c>
      <c r="AJ305" s="152">
        <f>'copy data3'!L359</f>
        <v>3424</v>
      </c>
      <c r="AK305" s="38">
        <f t="shared" si="45"/>
        <v>3330.75</v>
      </c>
      <c r="AL305" s="71">
        <f t="shared" si="46"/>
        <v>63.6003437082299</v>
      </c>
      <c r="AM305" s="152">
        <f>'copy data3'!N359</f>
        <v>10732</v>
      </c>
      <c r="AN305" s="38">
        <f t="shared" si="47"/>
        <v>8956.25</v>
      </c>
      <c r="AO305" s="71">
        <f t="shared" si="48"/>
        <v>118.40626652564781</v>
      </c>
      <c r="AP305" s="152">
        <f>'copy data3'!P359</f>
        <v>7971</v>
      </c>
      <c r="AQ305" s="38">
        <f t="shared" si="49"/>
        <v>5799.5</v>
      </c>
      <c r="AR305" s="71">
        <f t="shared" si="50"/>
        <v>105.96564955234788</v>
      </c>
      <c r="AS305" s="153">
        <f>'copy data3'!R359</f>
        <v>22127</v>
      </c>
      <c r="AT305" s="38">
        <f t="shared" si="33"/>
        <v>18086.5</v>
      </c>
      <c r="AU305" s="71">
        <f t="shared" si="31"/>
        <v>98.973952063040386</v>
      </c>
    </row>
    <row r="306" spans="1:47" ht="15.6" x14ac:dyDescent="0.3">
      <c r="A306" s="55" t="s">
        <v>76</v>
      </c>
      <c r="B306" s="56">
        <v>1427</v>
      </c>
      <c r="C306" s="56">
        <v>3887</v>
      </c>
      <c r="D306" s="56">
        <v>789</v>
      </c>
      <c r="E306" s="56">
        <v>1275</v>
      </c>
      <c r="F306" s="56">
        <v>1555</v>
      </c>
      <c r="G306" s="56">
        <v>3291</v>
      </c>
      <c r="H306" s="56">
        <v>876</v>
      </c>
      <c r="I306" s="56">
        <v>1667</v>
      </c>
      <c r="J306" s="56">
        <v>165</v>
      </c>
      <c r="K306" s="56">
        <v>426</v>
      </c>
      <c r="L306" s="56">
        <v>4812</v>
      </c>
      <c r="M306" s="56">
        <v>10545</v>
      </c>
      <c r="N306" s="56">
        <v>8119</v>
      </c>
      <c r="O306" s="56">
        <v>7322</v>
      </c>
      <c r="P306" s="56">
        <v>7513</v>
      </c>
      <c r="Q306" s="56">
        <v>6673</v>
      </c>
      <c r="R306" s="16">
        <f t="shared" si="32"/>
        <v>20444</v>
      </c>
      <c r="T306" s="144">
        <f t="shared" si="34"/>
        <v>38988</v>
      </c>
      <c r="U306" s="154">
        <f>'copy data3'!B360</f>
        <v>670</v>
      </c>
      <c r="V306" s="38">
        <f t="shared" si="35"/>
        <v>718</v>
      </c>
      <c r="W306" s="71">
        <f t="shared" si="36"/>
        <v>28.49206349206349</v>
      </c>
      <c r="X306" s="154">
        <f>'copy data3'!D360</f>
        <v>610</v>
      </c>
      <c r="Y306" s="38">
        <f t="shared" si="37"/>
        <v>603.25</v>
      </c>
      <c r="Z306" s="71">
        <f t="shared" si="38"/>
        <v>165.27397260273972</v>
      </c>
      <c r="AA306" s="152">
        <f>'copy data3'!F360</f>
        <v>1041</v>
      </c>
      <c r="AB306" s="38">
        <f t="shared" si="39"/>
        <v>1019.25</v>
      </c>
      <c r="AC306" s="71">
        <f t="shared" si="40"/>
        <v>79.504680187207484</v>
      </c>
      <c r="AD306" s="152">
        <f>'copy data3'!H360</f>
        <v>873</v>
      </c>
      <c r="AE306" s="38">
        <f t="shared" si="41"/>
        <v>859</v>
      </c>
      <c r="AF306" s="71">
        <f t="shared" si="42"/>
        <v>98.622273249138928</v>
      </c>
      <c r="AG306" s="152">
        <f>'copy data3'!J360</f>
        <v>110</v>
      </c>
      <c r="AH306" s="38">
        <f t="shared" si="43"/>
        <v>151.5</v>
      </c>
      <c r="AI306" s="71">
        <f t="shared" si="44"/>
        <v>168.33333333333334</v>
      </c>
      <c r="AJ306" s="152">
        <f>'copy data3'!L360</f>
        <v>3304</v>
      </c>
      <c r="AK306" s="38">
        <f t="shared" si="45"/>
        <v>3351.25</v>
      </c>
      <c r="AL306" s="71">
        <f t="shared" si="46"/>
        <v>65.351989079563182</v>
      </c>
      <c r="AM306" s="152">
        <f>'copy data3'!N360</f>
        <v>10707</v>
      </c>
      <c r="AN306" s="38">
        <f t="shared" si="47"/>
        <v>11019.5</v>
      </c>
      <c r="AO306" s="71">
        <f t="shared" si="48"/>
        <v>142.46283128636071</v>
      </c>
      <c r="AP306" s="152">
        <f>'copy data3'!P360</f>
        <v>8592</v>
      </c>
      <c r="AQ306" s="38">
        <f t="shared" si="49"/>
        <v>7744</v>
      </c>
      <c r="AR306" s="71">
        <f t="shared" si="50"/>
        <v>133.31038044413842</v>
      </c>
      <c r="AS306" s="153">
        <f>'copy data3'!R360</f>
        <v>22603</v>
      </c>
      <c r="AT306" s="38">
        <f t="shared" si="33"/>
        <v>22114.75</v>
      </c>
      <c r="AU306" s="71">
        <f t="shared" si="31"/>
        <v>118.43803556126822</v>
      </c>
    </row>
    <row r="307" spans="1:47" ht="15.6" x14ac:dyDescent="0.3">
      <c r="A307" s="55" t="s">
        <v>77</v>
      </c>
      <c r="B307" s="56">
        <v>2652</v>
      </c>
      <c r="C307" s="56">
        <v>5535</v>
      </c>
      <c r="D307" s="56">
        <v>597</v>
      </c>
      <c r="E307" s="56">
        <v>1946</v>
      </c>
      <c r="F307" s="56">
        <v>1005</v>
      </c>
      <c r="G307" s="56">
        <v>3170</v>
      </c>
      <c r="H307" s="56">
        <v>649</v>
      </c>
      <c r="I307" s="56">
        <v>1992</v>
      </c>
      <c r="J307" s="56">
        <v>148</v>
      </c>
      <c r="K307" s="56">
        <v>602</v>
      </c>
      <c r="L307" s="56">
        <v>5050</v>
      </c>
      <c r="M307" s="56">
        <v>13245</v>
      </c>
      <c r="N307" s="56">
        <v>10243</v>
      </c>
      <c r="O307" s="56">
        <v>8975</v>
      </c>
      <c r="P307" s="56">
        <v>10420</v>
      </c>
      <c r="Q307" s="56">
        <v>7465</v>
      </c>
      <c r="R307" s="16">
        <f t="shared" si="32"/>
        <v>25713</v>
      </c>
      <c r="T307" s="144">
        <f t="shared" si="34"/>
        <v>38995</v>
      </c>
      <c r="U307" s="154">
        <f>'copy data3'!B361</f>
        <v>920</v>
      </c>
      <c r="V307" s="38">
        <f t="shared" si="35"/>
        <v>749.75</v>
      </c>
      <c r="W307" s="71">
        <f t="shared" si="36"/>
        <v>30.366545159983797</v>
      </c>
      <c r="X307" s="154">
        <f>'copy data3'!D361</f>
        <v>657</v>
      </c>
      <c r="Y307" s="38">
        <f t="shared" si="37"/>
        <v>629</v>
      </c>
      <c r="Z307" s="71">
        <f t="shared" si="38"/>
        <v>211.07382550335569</v>
      </c>
      <c r="AA307" s="152">
        <f>'copy data3'!F361</f>
        <v>1018</v>
      </c>
      <c r="AB307" s="38">
        <f t="shared" si="39"/>
        <v>1026</v>
      </c>
      <c r="AC307" s="71">
        <f t="shared" si="40"/>
        <v>88.601036269430054</v>
      </c>
      <c r="AD307" s="152">
        <f>'copy data3'!H361</f>
        <v>840</v>
      </c>
      <c r="AE307" s="38">
        <f t="shared" si="41"/>
        <v>865.25</v>
      </c>
      <c r="AF307" s="71">
        <f t="shared" si="42"/>
        <v>108.15625</v>
      </c>
      <c r="AG307" s="152">
        <f>'copy data3'!J361</f>
        <v>110</v>
      </c>
      <c r="AH307" s="38">
        <f t="shared" si="43"/>
        <v>131.75</v>
      </c>
      <c r="AI307" s="71">
        <f t="shared" si="44"/>
        <v>156.8452380952381</v>
      </c>
      <c r="AJ307" s="152">
        <f>'copy data3'!L361</f>
        <v>3545</v>
      </c>
      <c r="AK307" s="38">
        <f t="shared" si="45"/>
        <v>3401.75</v>
      </c>
      <c r="AL307" s="71">
        <f t="shared" si="46"/>
        <v>70.737159492618005</v>
      </c>
      <c r="AM307" s="152">
        <f>'copy data3'!N361</f>
        <v>10893</v>
      </c>
      <c r="AN307" s="38">
        <f t="shared" si="47"/>
        <v>10867.5</v>
      </c>
      <c r="AO307" s="71">
        <f t="shared" si="48"/>
        <v>142.15173315892739</v>
      </c>
      <c r="AP307" s="152">
        <f>'copy data3'!P361</f>
        <v>8954</v>
      </c>
      <c r="AQ307" s="38">
        <f t="shared" si="49"/>
        <v>8231.5</v>
      </c>
      <c r="AR307" s="71">
        <f t="shared" si="50"/>
        <v>135.03116797900262</v>
      </c>
      <c r="AS307" s="153">
        <f>'copy data3'!R361</f>
        <v>23392</v>
      </c>
      <c r="AT307" s="38">
        <f t="shared" si="33"/>
        <v>22500.75</v>
      </c>
      <c r="AU307" s="71">
        <f t="shared" si="31"/>
        <v>121.29784366576818</v>
      </c>
    </row>
    <row r="308" spans="1:47" ht="15.6" x14ac:dyDescent="0.3">
      <c r="A308" s="55" t="s">
        <v>78</v>
      </c>
      <c r="B308" s="56">
        <v>1276</v>
      </c>
      <c r="C308" s="56">
        <v>4074</v>
      </c>
      <c r="D308" s="56">
        <v>787</v>
      </c>
      <c r="E308" s="56">
        <v>1309</v>
      </c>
      <c r="F308" s="56">
        <v>1557</v>
      </c>
      <c r="G308" s="56">
        <v>3494</v>
      </c>
      <c r="H308" s="56">
        <v>852</v>
      </c>
      <c r="I308" s="56">
        <v>1733</v>
      </c>
      <c r="J308" s="56">
        <v>162</v>
      </c>
      <c r="K308" s="56">
        <v>439</v>
      </c>
      <c r="L308" s="56">
        <v>4633</v>
      </c>
      <c r="M308" s="56">
        <v>11049</v>
      </c>
      <c r="N308" s="56">
        <v>8308</v>
      </c>
      <c r="O308" s="56">
        <v>8285</v>
      </c>
      <c r="P308" s="56">
        <v>7603</v>
      </c>
      <c r="Q308" s="56">
        <v>7562</v>
      </c>
      <c r="R308" s="16">
        <f t="shared" si="32"/>
        <v>20544</v>
      </c>
      <c r="T308" s="144">
        <f t="shared" si="34"/>
        <v>39002</v>
      </c>
      <c r="U308" s="154">
        <f>'copy data3'!B362</f>
        <v>953</v>
      </c>
      <c r="V308" s="38">
        <f t="shared" si="35"/>
        <v>813.5</v>
      </c>
      <c r="W308" s="71">
        <f t="shared" si="36"/>
        <v>34.543524416135881</v>
      </c>
      <c r="X308" s="154">
        <f>'copy data3'!D362</f>
        <v>554</v>
      </c>
      <c r="Y308" s="38">
        <f t="shared" si="37"/>
        <v>605.5</v>
      </c>
      <c r="Z308" s="71">
        <f t="shared" si="38"/>
        <v>193.45047923322684</v>
      </c>
      <c r="AA308" s="152">
        <f>'copy data3'!F362</f>
        <v>914</v>
      </c>
      <c r="AB308" s="38">
        <f t="shared" si="39"/>
        <v>1009.5</v>
      </c>
      <c r="AC308" s="71">
        <f t="shared" si="40"/>
        <v>88.786279683377316</v>
      </c>
      <c r="AD308" s="152">
        <f>'copy data3'!H362</f>
        <v>905</v>
      </c>
      <c r="AE308" s="38">
        <f t="shared" si="41"/>
        <v>878.75</v>
      </c>
      <c r="AF308" s="71">
        <f t="shared" si="42"/>
        <v>113.09523809523809</v>
      </c>
      <c r="AG308" s="152">
        <f>'copy data3'!J362</f>
        <v>80</v>
      </c>
      <c r="AH308" s="38">
        <f t="shared" si="43"/>
        <v>112.5</v>
      </c>
      <c r="AI308" s="71">
        <f t="shared" si="44"/>
        <v>160.71428571428572</v>
      </c>
      <c r="AJ308" s="152">
        <f>'copy data3'!L362</f>
        <v>3405</v>
      </c>
      <c r="AK308" s="38">
        <f t="shared" si="45"/>
        <v>3419.5</v>
      </c>
      <c r="AL308" s="71">
        <f t="shared" si="46"/>
        <v>73.521823263814241</v>
      </c>
      <c r="AM308" s="152">
        <f>'copy data3'!N362</f>
        <v>10626</v>
      </c>
      <c r="AN308" s="38">
        <f t="shared" si="47"/>
        <v>10739.5</v>
      </c>
      <c r="AO308" s="71">
        <f t="shared" si="48"/>
        <v>145.52168021680217</v>
      </c>
      <c r="AP308" s="152">
        <f>'copy data3'!P362</f>
        <v>8996</v>
      </c>
      <c r="AQ308" s="38">
        <f t="shared" si="49"/>
        <v>8628.25</v>
      </c>
      <c r="AR308" s="71">
        <f t="shared" si="50"/>
        <v>144.1164189076332</v>
      </c>
      <c r="AS308" s="153">
        <f>'copy data3'!R362</f>
        <v>23027</v>
      </c>
      <c r="AT308" s="38">
        <f t="shared" si="33"/>
        <v>22787.25</v>
      </c>
      <c r="AU308" s="71">
        <f t="shared" si="31"/>
        <v>126.46936396936397</v>
      </c>
    </row>
    <row r="309" spans="1:47" ht="15.6" x14ac:dyDescent="0.3">
      <c r="A309" s="55" t="s">
        <v>79</v>
      </c>
      <c r="B309" s="56">
        <v>2854</v>
      </c>
      <c r="C309" s="56">
        <v>5857</v>
      </c>
      <c r="D309" s="56">
        <v>593</v>
      </c>
      <c r="E309" s="56">
        <v>2034</v>
      </c>
      <c r="F309" s="56">
        <v>937</v>
      </c>
      <c r="G309" s="56">
        <v>3428</v>
      </c>
      <c r="H309" s="56">
        <v>950</v>
      </c>
      <c r="I309" s="56">
        <v>2026</v>
      </c>
      <c r="J309" s="56">
        <v>150</v>
      </c>
      <c r="K309" s="56">
        <v>602</v>
      </c>
      <c r="L309" s="56">
        <v>5483</v>
      </c>
      <c r="M309" s="56">
        <v>13946</v>
      </c>
      <c r="N309" s="56">
        <v>10601</v>
      </c>
      <c r="O309" s="56">
        <v>10219</v>
      </c>
      <c r="P309" s="56">
        <v>10346</v>
      </c>
      <c r="Q309" s="56">
        <v>8393</v>
      </c>
      <c r="R309" s="16">
        <f t="shared" si="32"/>
        <v>26430</v>
      </c>
      <c r="T309" s="144">
        <f t="shared" si="34"/>
        <v>39009</v>
      </c>
      <c r="U309" s="154">
        <f>'copy data3'!B363</f>
        <v>1086</v>
      </c>
      <c r="V309" s="38">
        <f t="shared" si="35"/>
        <v>907.25</v>
      </c>
      <c r="W309" s="71">
        <f t="shared" si="36"/>
        <v>42.08024118738404</v>
      </c>
      <c r="X309" s="154">
        <f>'copy data3'!D363</f>
        <v>418</v>
      </c>
      <c r="Y309" s="38">
        <f t="shared" si="37"/>
        <v>559.75</v>
      </c>
      <c r="Z309" s="71">
        <f t="shared" si="38"/>
        <v>196.40350877192984</v>
      </c>
      <c r="AA309" s="152">
        <f>'copy data3'!F363</f>
        <v>980</v>
      </c>
      <c r="AB309" s="38">
        <f t="shared" si="39"/>
        <v>988.25</v>
      </c>
      <c r="AC309" s="71">
        <f t="shared" si="40"/>
        <v>88.871402877697847</v>
      </c>
      <c r="AD309" s="152">
        <f>'copy data3'!H363</f>
        <v>864</v>
      </c>
      <c r="AE309" s="38">
        <f t="shared" si="41"/>
        <v>870.5</v>
      </c>
      <c r="AF309" s="71">
        <f t="shared" si="42"/>
        <v>122.43319268635724</v>
      </c>
      <c r="AG309" s="152">
        <f>'copy data3'!J363</f>
        <v>90</v>
      </c>
      <c r="AH309" s="38">
        <f t="shared" si="43"/>
        <v>97.5</v>
      </c>
      <c r="AI309" s="71">
        <f t="shared" si="44"/>
        <v>143.38235294117646</v>
      </c>
      <c r="AJ309" s="152">
        <f>'copy data3'!L363</f>
        <v>3438</v>
      </c>
      <c r="AK309" s="38">
        <f t="shared" si="45"/>
        <v>3423</v>
      </c>
      <c r="AL309" s="71">
        <f t="shared" si="46"/>
        <v>79.016620498614955</v>
      </c>
      <c r="AM309" s="152">
        <f>'copy data3'!N363</f>
        <v>10872</v>
      </c>
      <c r="AN309" s="38">
        <f t="shared" si="47"/>
        <v>10774.5</v>
      </c>
      <c r="AO309" s="71">
        <f t="shared" si="48"/>
        <v>150.69230769230771</v>
      </c>
      <c r="AP309" s="152">
        <f>'copy data3'!P363</f>
        <v>8439</v>
      </c>
      <c r="AQ309" s="38">
        <f t="shared" si="49"/>
        <v>8745.25</v>
      </c>
      <c r="AR309" s="71">
        <f t="shared" si="50"/>
        <v>147.64899544149924</v>
      </c>
      <c r="AS309" s="153">
        <f>'copy data3'!R363</f>
        <v>22749</v>
      </c>
      <c r="AT309" s="38">
        <f t="shared" si="33"/>
        <v>22942.75</v>
      </c>
      <c r="AU309" s="71">
        <f t="shared" si="31"/>
        <v>131.81700660729675</v>
      </c>
    </row>
    <row r="310" spans="1:47" ht="15.6" x14ac:dyDescent="0.3">
      <c r="A310" s="55">
        <v>37588</v>
      </c>
      <c r="B310" s="56">
        <v>1204.7</v>
      </c>
      <c r="C310" s="56">
        <v>4276.6000000000004</v>
      </c>
      <c r="D310" s="56">
        <v>754.6</v>
      </c>
      <c r="E310" s="56">
        <v>1362.2</v>
      </c>
      <c r="F310" s="56">
        <v>1443</v>
      </c>
      <c r="G310" s="56">
        <v>3620.1</v>
      </c>
      <c r="H310" s="56">
        <v>795.2</v>
      </c>
      <c r="I310" s="56">
        <v>1801.5</v>
      </c>
      <c r="J310" s="56">
        <v>157.5</v>
      </c>
      <c r="K310" s="56">
        <v>448.6</v>
      </c>
      <c r="L310" s="56">
        <v>4355</v>
      </c>
      <c r="M310" s="56">
        <v>11509</v>
      </c>
      <c r="N310" s="56">
        <v>7922.4</v>
      </c>
      <c r="O310" s="56">
        <v>9344.6</v>
      </c>
      <c r="P310" s="56">
        <v>7483.3</v>
      </c>
      <c r="Q310" s="56">
        <v>8375.9</v>
      </c>
      <c r="R310" s="16">
        <f t="shared" si="32"/>
        <v>19760.7</v>
      </c>
      <c r="T310" s="144">
        <f t="shared" si="34"/>
        <v>39016</v>
      </c>
      <c r="U310" s="154">
        <f>'copy data3'!B364</f>
        <v>1463</v>
      </c>
      <c r="V310" s="38">
        <f t="shared" si="35"/>
        <v>1105.5</v>
      </c>
      <c r="W310" s="71">
        <f t="shared" si="36"/>
        <v>56.20233858668022</v>
      </c>
      <c r="X310" s="154">
        <f>'copy data3'!D364</f>
        <v>436</v>
      </c>
      <c r="Y310" s="38">
        <f t="shared" si="37"/>
        <v>516.25</v>
      </c>
      <c r="Z310" s="71">
        <f t="shared" si="38"/>
        <v>182.42049469964664</v>
      </c>
      <c r="AA310" s="152">
        <f>'copy data3'!F364</f>
        <v>1068</v>
      </c>
      <c r="AB310" s="38">
        <f t="shared" si="39"/>
        <v>995</v>
      </c>
      <c r="AC310" s="71">
        <f t="shared" si="40"/>
        <v>84.897610921501709</v>
      </c>
      <c r="AD310" s="152">
        <f>'copy data3'!H364</f>
        <v>972</v>
      </c>
      <c r="AE310" s="38">
        <f t="shared" si="41"/>
        <v>895.25</v>
      </c>
      <c r="AF310" s="71">
        <f t="shared" si="42"/>
        <v>128.81294964028777</v>
      </c>
      <c r="AG310" s="152">
        <f>'copy data3'!J364</f>
        <v>90</v>
      </c>
      <c r="AH310" s="38">
        <f t="shared" si="43"/>
        <v>92.5</v>
      </c>
      <c r="AI310" s="71">
        <f t="shared" si="44"/>
        <v>90.686274509803923</v>
      </c>
      <c r="AJ310" s="152">
        <f>'copy data3'!L364</f>
        <v>4028</v>
      </c>
      <c r="AK310" s="38">
        <f t="shared" si="45"/>
        <v>3604</v>
      </c>
      <c r="AL310" s="71">
        <f t="shared" si="46"/>
        <v>85.423086039345819</v>
      </c>
      <c r="AM310" s="152">
        <f>'copy data3'!N364</f>
        <v>10797</v>
      </c>
      <c r="AN310" s="38">
        <f t="shared" si="47"/>
        <v>10797</v>
      </c>
      <c r="AO310" s="71">
        <f t="shared" si="48"/>
        <v>146.81805819961926</v>
      </c>
      <c r="AP310" s="152">
        <f>'copy data3'!P364</f>
        <v>7853</v>
      </c>
      <c r="AQ310" s="38">
        <f t="shared" si="49"/>
        <v>8560.5</v>
      </c>
      <c r="AR310" s="71">
        <f t="shared" si="50"/>
        <v>150.89899524061343</v>
      </c>
      <c r="AS310" s="153">
        <f>'copy data3'!R364</f>
        <v>22678</v>
      </c>
      <c r="AT310" s="38">
        <f t="shared" si="33"/>
        <v>22961.5</v>
      </c>
      <c r="AU310" s="71">
        <f t="shared" si="31"/>
        <v>133.14101820712051</v>
      </c>
    </row>
    <row r="311" spans="1:47" ht="15.6" x14ac:dyDescent="0.3">
      <c r="A311" s="55">
        <v>37952</v>
      </c>
      <c r="B311" s="56">
        <v>2950</v>
      </c>
      <c r="C311" s="56">
        <v>6058.3</v>
      </c>
      <c r="D311" s="56">
        <v>584</v>
      </c>
      <c r="E311" s="56">
        <v>2086.4</v>
      </c>
      <c r="F311" s="56">
        <v>1197.5</v>
      </c>
      <c r="G311" s="56">
        <v>3540.9</v>
      </c>
      <c r="H311" s="56">
        <v>1030.7</v>
      </c>
      <c r="I311" s="56">
        <v>2100.1999999999998</v>
      </c>
      <c r="J311" s="56">
        <v>165.4</v>
      </c>
      <c r="K311" s="56">
        <v>607.1</v>
      </c>
      <c r="L311" s="56">
        <v>5927.8</v>
      </c>
      <c r="M311" s="56">
        <v>14393</v>
      </c>
      <c r="N311" s="56">
        <v>10312.9</v>
      </c>
      <c r="O311" s="56">
        <v>11356.4</v>
      </c>
      <c r="P311" s="56">
        <v>9399.9</v>
      </c>
      <c r="Q311" s="56">
        <v>9594.7000000000007</v>
      </c>
      <c r="R311" s="16">
        <f t="shared" si="32"/>
        <v>25640.6</v>
      </c>
      <c r="T311" s="144">
        <f t="shared" si="34"/>
        <v>39023</v>
      </c>
      <c r="U311" s="154">
        <f>'copy data3'!B365</f>
        <v>1543</v>
      </c>
      <c r="V311" s="38">
        <f t="shared" si="35"/>
        <v>1261.25</v>
      </c>
      <c r="W311" s="71">
        <f t="shared" si="36"/>
        <v>44.084236281020623</v>
      </c>
      <c r="X311" s="154">
        <f>'copy data3'!D365</f>
        <v>456</v>
      </c>
      <c r="Y311" s="38">
        <f t="shared" si="37"/>
        <v>466</v>
      </c>
      <c r="Z311" s="71">
        <f t="shared" si="38"/>
        <v>188.66396761133603</v>
      </c>
      <c r="AA311" s="152">
        <f>'copy data3'!F365</f>
        <v>1168</v>
      </c>
      <c r="AB311" s="38">
        <f t="shared" si="39"/>
        <v>1032.5</v>
      </c>
      <c r="AC311" s="71">
        <f t="shared" si="40"/>
        <v>91.129744042365402</v>
      </c>
      <c r="AD311" s="152">
        <f>'copy data3'!H365</f>
        <v>1089</v>
      </c>
      <c r="AE311" s="38">
        <f t="shared" si="41"/>
        <v>957.5</v>
      </c>
      <c r="AF311" s="71">
        <f t="shared" si="42"/>
        <v>115.64009661835748</v>
      </c>
      <c r="AG311" s="152">
        <f>'copy data3'!J365</f>
        <v>89</v>
      </c>
      <c r="AH311" s="38">
        <f t="shared" si="43"/>
        <v>87.25</v>
      </c>
      <c r="AI311" s="71">
        <f t="shared" si="44"/>
        <v>86.386138613861391</v>
      </c>
      <c r="AJ311" s="152">
        <f>'copy data3'!L365</f>
        <v>4344</v>
      </c>
      <c r="AK311" s="38">
        <f t="shared" si="45"/>
        <v>3803.75</v>
      </c>
      <c r="AL311" s="71">
        <f t="shared" si="46"/>
        <v>73.58773457148385</v>
      </c>
      <c r="AM311" s="152">
        <f>'copy data3'!N365</f>
        <v>11552</v>
      </c>
      <c r="AN311" s="38">
        <f t="shared" si="47"/>
        <v>10961.75</v>
      </c>
      <c r="AO311" s="71">
        <f t="shared" si="48"/>
        <v>149.85304169514694</v>
      </c>
      <c r="AP311" s="152">
        <f>'copy data3'!P365</f>
        <v>7497</v>
      </c>
      <c r="AQ311" s="38">
        <f t="shared" si="49"/>
        <v>8196.25</v>
      </c>
      <c r="AR311" s="71">
        <f t="shared" si="50"/>
        <v>156.3573063716139</v>
      </c>
      <c r="AS311" s="153">
        <f>'copy data3'!R365</f>
        <v>23393</v>
      </c>
      <c r="AT311" s="38">
        <f t="shared" si="33"/>
        <v>22961.75</v>
      </c>
      <c r="AU311" s="71">
        <f t="shared" si="31"/>
        <v>129.53712061378766</v>
      </c>
    </row>
    <row r="312" spans="1:47" ht="15.6" x14ac:dyDescent="0.3">
      <c r="A312" s="55">
        <v>37595</v>
      </c>
      <c r="B312" s="56">
        <v>1154</v>
      </c>
      <c r="C312" s="56">
        <v>4361.8999999999996</v>
      </c>
      <c r="D312" s="56">
        <v>726.4</v>
      </c>
      <c r="E312" s="56">
        <v>1412</v>
      </c>
      <c r="F312" s="56">
        <v>1389</v>
      </c>
      <c r="G312" s="56">
        <v>3650.4</v>
      </c>
      <c r="H312" s="56">
        <v>722.2</v>
      </c>
      <c r="I312" s="56">
        <v>1873.7</v>
      </c>
      <c r="J312" s="56">
        <v>152.5</v>
      </c>
      <c r="K312" s="56">
        <v>468.6</v>
      </c>
      <c r="L312" s="56">
        <v>4144.1000000000004</v>
      </c>
      <c r="M312" s="56">
        <v>11851.5</v>
      </c>
      <c r="N312" s="56">
        <v>7414.6</v>
      </c>
      <c r="O312" s="56">
        <v>10398.6</v>
      </c>
      <c r="P312" s="56">
        <v>7939.3</v>
      </c>
      <c r="Q312" s="56">
        <v>9247.4</v>
      </c>
      <c r="R312" s="16">
        <f t="shared" si="32"/>
        <v>19498</v>
      </c>
      <c r="T312" s="144">
        <f t="shared" si="34"/>
        <v>39030</v>
      </c>
      <c r="U312" s="154">
        <f>'copy data3'!B366</f>
        <v>1593</v>
      </c>
      <c r="V312" s="38">
        <f t="shared" si="35"/>
        <v>1421.25</v>
      </c>
      <c r="W312" s="71">
        <f t="shared" si="36"/>
        <v>46.099578332792731</v>
      </c>
      <c r="X312" s="154">
        <f>'copy data3'!D366</f>
        <v>466</v>
      </c>
      <c r="Y312" s="38">
        <f t="shared" si="37"/>
        <v>444</v>
      </c>
      <c r="Z312" s="71">
        <f t="shared" si="38"/>
        <v>165.05576208178439</v>
      </c>
      <c r="AA312" s="152">
        <f>'copy data3'!F366</f>
        <v>1078</v>
      </c>
      <c r="AB312" s="38">
        <f t="shared" si="39"/>
        <v>1073.5</v>
      </c>
      <c r="AC312" s="71">
        <f t="shared" si="40"/>
        <v>93.591979075850034</v>
      </c>
      <c r="AD312" s="152">
        <f>'copy data3'!H366</f>
        <v>1083</v>
      </c>
      <c r="AE312" s="38">
        <f t="shared" si="41"/>
        <v>1002</v>
      </c>
      <c r="AF312" s="71">
        <f t="shared" si="42"/>
        <v>130.98039215686273</v>
      </c>
      <c r="AG312" s="152">
        <f>'copy data3'!J366</f>
        <v>107</v>
      </c>
      <c r="AH312" s="38">
        <f t="shared" si="43"/>
        <v>94</v>
      </c>
      <c r="AI312" s="71">
        <f t="shared" si="44"/>
        <v>102.17391304347827</v>
      </c>
      <c r="AJ312" s="152">
        <f>'copy data3'!L366</f>
        <v>4327</v>
      </c>
      <c r="AK312" s="38">
        <f t="shared" si="45"/>
        <v>4034.25</v>
      </c>
      <c r="AL312" s="71">
        <f t="shared" si="46"/>
        <v>75.322068707991036</v>
      </c>
      <c r="AM312" s="152">
        <f>'copy data3'!N366</f>
        <v>11944</v>
      </c>
      <c r="AN312" s="38">
        <f t="shared" si="47"/>
        <v>11291.25</v>
      </c>
      <c r="AO312" s="71">
        <f t="shared" si="48"/>
        <v>145.73115642746515</v>
      </c>
      <c r="AP312" s="152">
        <f>'copy data3'!P366</f>
        <v>7080</v>
      </c>
      <c r="AQ312" s="38">
        <f t="shared" si="49"/>
        <v>7717.25</v>
      </c>
      <c r="AR312" s="71">
        <f t="shared" si="50"/>
        <v>149.93685642121625</v>
      </c>
      <c r="AS312" s="153">
        <f>'copy data3'!R366</f>
        <v>23351</v>
      </c>
      <c r="AT312" s="38">
        <f t="shared" si="33"/>
        <v>23042.75</v>
      </c>
      <c r="AU312" s="71">
        <f t="shared" si="31"/>
        <v>126.25472576845105</v>
      </c>
    </row>
    <row r="313" spans="1:47" ht="15.6" x14ac:dyDescent="0.3">
      <c r="A313" s="55">
        <v>37959</v>
      </c>
      <c r="B313" s="56">
        <v>2831.4</v>
      </c>
      <c r="C313" s="56">
        <v>6332.2</v>
      </c>
      <c r="D313" s="56">
        <v>604.1</v>
      </c>
      <c r="E313" s="56">
        <v>2126.1999999999998</v>
      </c>
      <c r="F313" s="56">
        <v>1189</v>
      </c>
      <c r="G313" s="56">
        <v>3735.1</v>
      </c>
      <c r="H313" s="56">
        <v>1043.4000000000001</v>
      </c>
      <c r="I313" s="56">
        <v>2180.9</v>
      </c>
      <c r="J313" s="56">
        <v>206.3</v>
      </c>
      <c r="K313" s="56">
        <v>621.4</v>
      </c>
      <c r="L313" s="56">
        <v>5874.1</v>
      </c>
      <c r="M313" s="56">
        <v>14911.1</v>
      </c>
      <c r="N313" s="56">
        <v>10341.5</v>
      </c>
      <c r="O313" s="56">
        <v>12365.7</v>
      </c>
      <c r="P313" s="56">
        <v>8681</v>
      </c>
      <c r="Q313" s="56">
        <v>10666.8</v>
      </c>
      <c r="R313" s="16">
        <f t="shared" si="32"/>
        <v>24896.6</v>
      </c>
      <c r="T313" s="144">
        <f t="shared" si="34"/>
        <v>39037</v>
      </c>
      <c r="U313" s="154">
        <f>'copy data3'!B367</f>
        <v>1615</v>
      </c>
      <c r="V313" s="38">
        <f t="shared" si="35"/>
        <v>1553.5</v>
      </c>
      <c r="W313" s="71">
        <f t="shared" si="36"/>
        <v>52.66101694915254</v>
      </c>
      <c r="X313" s="154">
        <f>'copy data3'!D367</f>
        <v>415</v>
      </c>
      <c r="Y313" s="38">
        <f t="shared" si="37"/>
        <v>443.25</v>
      </c>
      <c r="Z313" s="71">
        <f t="shared" si="38"/>
        <v>162.95955882352942</v>
      </c>
      <c r="AA313" s="152">
        <f>'copy data3'!F367</f>
        <v>1135</v>
      </c>
      <c r="AB313" s="38">
        <f t="shared" si="39"/>
        <v>1112.25</v>
      </c>
      <c r="AC313" s="71">
        <f t="shared" si="40"/>
        <v>91.997518610421835</v>
      </c>
      <c r="AD313" s="152">
        <f>'copy data3'!H367</f>
        <v>1094</v>
      </c>
      <c r="AE313" s="38">
        <f t="shared" si="41"/>
        <v>1059.5</v>
      </c>
      <c r="AF313" s="71">
        <f t="shared" si="42"/>
        <v>131.94271481942715</v>
      </c>
      <c r="AG313" s="152">
        <f>'copy data3'!J367</f>
        <v>113</v>
      </c>
      <c r="AH313" s="38">
        <f t="shared" si="43"/>
        <v>99.75</v>
      </c>
      <c r="AI313" s="71">
        <f t="shared" si="44"/>
        <v>96.844660194174764</v>
      </c>
      <c r="AJ313" s="152">
        <f>'copy data3'!L367</f>
        <v>4373</v>
      </c>
      <c r="AK313" s="38">
        <f t="shared" si="45"/>
        <v>4268</v>
      </c>
      <c r="AL313" s="71">
        <f t="shared" si="46"/>
        <v>79.970020610830048</v>
      </c>
      <c r="AM313" s="152">
        <f>'copy data3'!N367</f>
        <v>11765</v>
      </c>
      <c r="AN313" s="38">
        <f t="shared" si="47"/>
        <v>11514.5</v>
      </c>
      <c r="AO313" s="71">
        <f t="shared" si="48"/>
        <v>147.35730739697979</v>
      </c>
      <c r="AP313" s="152">
        <f>'copy data3'!P367</f>
        <v>7273</v>
      </c>
      <c r="AQ313" s="38">
        <f t="shared" si="49"/>
        <v>7425.75</v>
      </c>
      <c r="AR313" s="71">
        <f t="shared" si="50"/>
        <v>169.38298357664235</v>
      </c>
      <c r="AS313" s="153">
        <f>'copy data3'!R367</f>
        <v>23411</v>
      </c>
      <c r="AT313" s="38">
        <f t="shared" si="33"/>
        <v>23208.25</v>
      </c>
      <c r="AU313" s="71">
        <f t="shared" si="31"/>
        <v>132.35386370116908</v>
      </c>
    </row>
    <row r="314" spans="1:47" ht="15.6" x14ac:dyDescent="0.3">
      <c r="A314" s="55">
        <v>37602</v>
      </c>
      <c r="B314" s="56">
        <v>1114</v>
      </c>
      <c r="C314" s="56">
        <v>4446</v>
      </c>
      <c r="D314" s="56">
        <v>765</v>
      </c>
      <c r="E314" s="56">
        <v>1436</v>
      </c>
      <c r="F314" s="56">
        <v>1266</v>
      </c>
      <c r="G314" s="56">
        <v>3901</v>
      </c>
      <c r="H314" s="56">
        <v>697</v>
      </c>
      <c r="I314" s="56">
        <v>1980</v>
      </c>
      <c r="J314" s="56">
        <v>137</v>
      </c>
      <c r="K314" s="56">
        <v>503</v>
      </c>
      <c r="L314" s="56">
        <v>4009</v>
      </c>
      <c r="M314" s="56">
        <v>12265</v>
      </c>
      <c r="N314" s="56">
        <v>7081</v>
      </c>
      <c r="O314" s="56">
        <v>11444</v>
      </c>
      <c r="P314" s="56">
        <v>8242</v>
      </c>
      <c r="Q314" s="56">
        <v>9990</v>
      </c>
      <c r="R314" s="16">
        <f t="shared" si="32"/>
        <v>19332</v>
      </c>
      <c r="T314" s="144">
        <f t="shared" si="34"/>
        <v>39044</v>
      </c>
      <c r="U314" s="154">
        <f>'copy data3'!B368</f>
        <v>1602</v>
      </c>
      <c r="V314" s="38">
        <f t="shared" si="35"/>
        <v>1588.25</v>
      </c>
      <c r="W314" s="71">
        <f t="shared" si="36"/>
        <v>58.007669831994157</v>
      </c>
      <c r="X314" s="154">
        <f>'copy data3'!D368</f>
        <v>451</v>
      </c>
      <c r="Y314" s="38">
        <f t="shared" si="37"/>
        <v>447</v>
      </c>
      <c r="Z314" s="71">
        <f t="shared" si="38"/>
        <v>150.50505050505049</v>
      </c>
      <c r="AA314" s="152">
        <f>'copy data3'!F368</f>
        <v>1252</v>
      </c>
      <c r="AB314" s="38">
        <f t="shared" si="39"/>
        <v>1158.25</v>
      </c>
      <c r="AC314" s="71">
        <f t="shared" si="40"/>
        <v>106.35904499540862</v>
      </c>
      <c r="AD314" s="152">
        <f>'copy data3'!H368</f>
        <v>1047</v>
      </c>
      <c r="AE314" s="38">
        <f t="shared" si="41"/>
        <v>1078.25</v>
      </c>
      <c r="AF314" s="71">
        <f t="shared" si="42"/>
        <v>131.17396593673968</v>
      </c>
      <c r="AG314" s="152">
        <f>'copy data3'!J368</f>
        <v>161</v>
      </c>
      <c r="AH314" s="38">
        <f t="shared" si="43"/>
        <v>117.5</v>
      </c>
      <c r="AI314" s="71">
        <f t="shared" si="44"/>
        <v>123.68421052631579</v>
      </c>
      <c r="AJ314" s="152">
        <f>'copy data3'!L368</f>
        <v>4512</v>
      </c>
      <c r="AK314" s="38">
        <f t="shared" si="45"/>
        <v>4389</v>
      </c>
      <c r="AL314" s="71">
        <f t="shared" si="46"/>
        <v>87.066058321761545</v>
      </c>
      <c r="AM314" s="152">
        <f>'copy data3'!N368</f>
        <v>11889</v>
      </c>
      <c r="AN314" s="38">
        <f t="shared" si="47"/>
        <v>11787.5</v>
      </c>
      <c r="AO314" s="71">
        <f t="shared" si="48"/>
        <v>151.92035056063926</v>
      </c>
      <c r="AP314" s="152">
        <f>'copy data3'!P368</f>
        <v>7331</v>
      </c>
      <c r="AQ314" s="38">
        <f t="shared" si="49"/>
        <v>7295.25</v>
      </c>
      <c r="AR314" s="71">
        <f t="shared" si="50"/>
        <v>185.81889964340294</v>
      </c>
      <c r="AS314" s="153">
        <f>'copy data3'!R368</f>
        <v>23732</v>
      </c>
      <c r="AT314" s="38">
        <f t="shared" si="33"/>
        <v>23471.75</v>
      </c>
      <c r="AU314" s="71">
        <f t="shared" si="31"/>
        <v>140.33092191797203</v>
      </c>
    </row>
    <row r="315" spans="1:47" ht="15.6" x14ac:dyDescent="0.3">
      <c r="A315" s="55">
        <v>37966</v>
      </c>
      <c r="B315" s="56">
        <v>3183</v>
      </c>
      <c r="C315" s="56">
        <v>6335</v>
      </c>
      <c r="D315" s="56">
        <v>658</v>
      </c>
      <c r="E315" s="56">
        <v>2145</v>
      </c>
      <c r="F315" s="56">
        <v>1336</v>
      </c>
      <c r="G315" s="56">
        <v>3755</v>
      </c>
      <c r="H315" s="56">
        <v>1249</v>
      </c>
      <c r="I315" s="56">
        <v>2180.9</v>
      </c>
      <c r="J315" s="56">
        <v>202</v>
      </c>
      <c r="K315" s="56">
        <v>654</v>
      </c>
      <c r="L315" s="56">
        <v>6628</v>
      </c>
      <c r="M315" s="56">
        <v>15170</v>
      </c>
      <c r="N315" s="56">
        <v>10319</v>
      </c>
      <c r="O315" s="56">
        <v>13312</v>
      </c>
      <c r="P315" s="56">
        <v>7816</v>
      </c>
      <c r="Q315" s="56">
        <v>17737</v>
      </c>
      <c r="R315" s="16">
        <f t="shared" si="32"/>
        <v>24763</v>
      </c>
      <c r="T315" s="144">
        <f t="shared" si="34"/>
        <v>39051</v>
      </c>
      <c r="U315" s="154">
        <f>'copy data3'!B369</f>
        <v>1565</v>
      </c>
      <c r="V315" s="38">
        <f t="shared" si="35"/>
        <v>1593.75</v>
      </c>
      <c r="W315" s="71">
        <f t="shared" si="36"/>
        <v>58.421920821114369</v>
      </c>
      <c r="X315" s="154">
        <f>'copy data3'!D369</f>
        <v>531</v>
      </c>
      <c r="Y315" s="38">
        <f t="shared" si="37"/>
        <v>465.75</v>
      </c>
      <c r="Z315" s="71">
        <f t="shared" si="38"/>
        <v>161.71875</v>
      </c>
      <c r="AA315" s="152">
        <f>'copy data3'!F369</f>
        <v>1164</v>
      </c>
      <c r="AB315" s="38">
        <f t="shared" si="39"/>
        <v>1157.25</v>
      </c>
      <c r="AC315" s="71">
        <f t="shared" si="40"/>
        <v>108.45829428303655</v>
      </c>
      <c r="AD315" s="152">
        <f>'copy data3'!H369</f>
        <v>1019</v>
      </c>
      <c r="AE315" s="38">
        <f t="shared" si="41"/>
        <v>1060.75</v>
      </c>
      <c r="AF315" s="71">
        <f t="shared" si="42"/>
        <v>128.73179611650485</v>
      </c>
      <c r="AG315" s="152">
        <f>'copy data3'!J369</f>
        <v>139</v>
      </c>
      <c r="AH315" s="38">
        <f t="shared" si="43"/>
        <v>130</v>
      </c>
      <c r="AI315" s="71">
        <f t="shared" si="44"/>
        <v>168.83116883116881</v>
      </c>
      <c r="AJ315" s="152">
        <f>'copy data3'!L369</f>
        <v>4417</v>
      </c>
      <c r="AK315" s="38">
        <f t="shared" si="45"/>
        <v>4407.25</v>
      </c>
      <c r="AL315" s="71">
        <f t="shared" si="46"/>
        <v>88.127374525094979</v>
      </c>
      <c r="AM315" s="152">
        <f>'copy data3'!N369</f>
        <v>11329</v>
      </c>
      <c r="AN315" s="38">
        <f t="shared" si="47"/>
        <v>11731.75</v>
      </c>
      <c r="AO315" s="71">
        <f t="shared" si="48"/>
        <v>157.85454790096878</v>
      </c>
      <c r="AP315" s="152">
        <f>'copy data3'!P369</f>
        <v>7068</v>
      </c>
      <c r="AQ315" s="38">
        <f t="shared" si="49"/>
        <v>7188</v>
      </c>
      <c r="AR315" s="71">
        <f t="shared" si="50"/>
        <v>176.21966168178474</v>
      </c>
      <c r="AS315" s="153">
        <f>'copy data3'!R369</f>
        <v>22814</v>
      </c>
      <c r="AT315" s="38">
        <f t="shared" si="33"/>
        <v>23327</v>
      </c>
      <c r="AU315" s="71">
        <f t="shared" si="31"/>
        <v>141.27301356589149</v>
      </c>
    </row>
    <row r="316" spans="1:47" ht="15.6" x14ac:dyDescent="0.3">
      <c r="A316" s="55">
        <v>37609</v>
      </c>
      <c r="B316" s="56">
        <v>1172</v>
      </c>
      <c r="C316" s="56">
        <v>4506.2</v>
      </c>
      <c r="D316" s="56">
        <v>799.7</v>
      </c>
      <c r="E316" s="56">
        <v>1451.9</v>
      </c>
      <c r="F316" s="56">
        <v>1357</v>
      </c>
      <c r="G316" s="56">
        <v>3987.4</v>
      </c>
      <c r="H316" s="56">
        <v>678.6</v>
      </c>
      <c r="I316" s="56">
        <v>2028.8</v>
      </c>
      <c r="J316" s="56">
        <v>135.4</v>
      </c>
      <c r="K316" s="56">
        <v>508.2</v>
      </c>
      <c r="L316" s="56">
        <v>4142.6000000000004</v>
      </c>
      <c r="M316" s="56">
        <v>12482.5</v>
      </c>
      <c r="N316" s="56">
        <v>6635.2</v>
      </c>
      <c r="O316" s="56">
        <v>12568.4</v>
      </c>
      <c r="P316" s="56">
        <v>8749</v>
      </c>
      <c r="Q316" s="56">
        <v>10607.5</v>
      </c>
      <c r="R316" s="16">
        <f t="shared" si="32"/>
        <v>19526.800000000003</v>
      </c>
      <c r="T316" s="144">
        <f t="shared" si="34"/>
        <v>39058</v>
      </c>
      <c r="U316" s="154">
        <f>'copy data3'!B370</f>
        <v>1697</v>
      </c>
      <c r="V316" s="38">
        <f t="shared" si="35"/>
        <v>1619.75</v>
      </c>
      <c r="W316" s="71">
        <f t="shared" si="36"/>
        <v>57.703954399714995</v>
      </c>
      <c r="X316" s="154">
        <f>'copy data3'!D370</f>
        <v>489</v>
      </c>
      <c r="Y316" s="38">
        <f t="shared" si="37"/>
        <v>471.5</v>
      </c>
      <c r="Z316" s="71">
        <f t="shared" si="38"/>
        <v>161.47260273972603</v>
      </c>
      <c r="AA316" s="152">
        <f>'copy data3'!F370</f>
        <v>1173</v>
      </c>
      <c r="AB316" s="38">
        <f t="shared" si="39"/>
        <v>1181</v>
      </c>
      <c r="AC316" s="71">
        <f t="shared" si="40"/>
        <v>108.15018315018314</v>
      </c>
      <c r="AD316" s="152">
        <f>'copy data3'!H370</f>
        <v>977</v>
      </c>
      <c r="AE316" s="38">
        <f t="shared" si="41"/>
        <v>1034.25</v>
      </c>
      <c r="AF316" s="71">
        <f t="shared" si="42"/>
        <v>130.42244640605296</v>
      </c>
      <c r="AG316" s="152">
        <f>'copy data3'!J370</f>
        <v>139</v>
      </c>
      <c r="AH316" s="38">
        <f t="shared" si="43"/>
        <v>138</v>
      </c>
      <c r="AI316" s="71">
        <f t="shared" si="44"/>
        <v>394.28571428571433</v>
      </c>
      <c r="AJ316" s="152">
        <f>'copy data3'!L370</f>
        <v>4475</v>
      </c>
      <c r="AK316" s="38">
        <f t="shared" si="45"/>
        <v>4444.25</v>
      </c>
      <c r="AL316" s="71">
        <f t="shared" si="46"/>
        <v>88.566161817457157</v>
      </c>
      <c r="AM316" s="152">
        <f>'copy data3'!N370</f>
        <v>11493</v>
      </c>
      <c r="AN316" s="38">
        <f t="shared" si="47"/>
        <v>11619</v>
      </c>
      <c r="AO316" s="71">
        <f t="shared" si="48"/>
        <v>158.42650668121078</v>
      </c>
      <c r="AP316" s="152">
        <f>'copy data3'!P370</f>
        <v>6898</v>
      </c>
      <c r="AQ316" s="38">
        <f t="shared" si="49"/>
        <v>7142.5</v>
      </c>
      <c r="AR316" s="71">
        <f t="shared" si="50"/>
        <v>181.09787018255579</v>
      </c>
      <c r="AS316" s="153">
        <f>'copy data3'!R370</f>
        <v>22866</v>
      </c>
      <c r="AT316" s="38">
        <f t="shared" si="33"/>
        <v>23205.75</v>
      </c>
      <c r="AU316" s="71">
        <f t="shared" si="31"/>
        <v>142.40150957290132</v>
      </c>
    </row>
    <row r="317" spans="1:47" ht="15.6" x14ac:dyDescent="0.3">
      <c r="A317" s="55">
        <v>37973</v>
      </c>
      <c r="B317" s="56">
        <v>3312.6</v>
      </c>
      <c r="C317" s="56">
        <v>6589.5</v>
      </c>
      <c r="D317" s="56">
        <v>705.9</v>
      </c>
      <c r="E317" s="56">
        <v>2169.5</v>
      </c>
      <c r="F317" s="56">
        <v>1487.1</v>
      </c>
      <c r="G317" s="56">
        <v>3838.8</v>
      </c>
      <c r="H317" s="56">
        <v>1380.4</v>
      </c>
      <c r="I317" s="56">
        <v>2226.3000000000002</v>
      </c>
      <c r="J317" s="56">
        <v>173.3</v>
      </c>
      <c r="K317" s="56">
        <v>674.3</v>
      </c>
      <c r="L317" s="56">
        <v>7059.3</v>
      </c>
      <c r="M317" s="56">
        <v>15498.4</v>
      </c>
      <c r="N317" s="56">
        <v>9846.9</v>
      </c>
      <c r="O317" s="56">
        <v>14737</v>
      </c>
      <c r="P317" s="56">
        <v>8301.1</v>
      </c>
      <c r="Q317" s="56">
        <v>12730.7</v>
      </c>
      <c r="R317" s="16">
        <f t="shared" si="32"/>
        <v>25207.3</v>
      </c>
      <c r="T317" s="144">
        <f t="shared" si="34"/>
        <v>39065</v>
      </c>
      <c r="U317" s="154">
        <f>'copy data3'!B371</f>
        <v>1673</v>
      </c>
      <c r="V317" s="38">
        <f t="shared" si="35"/>
        <v>1634.25</v>
      </c>
      <c r="W317" s="71">
        <f t="shared" si="36"/>
        <v>56.98221757322176</v>
      </c>
      <c r="X317" s="154">
        <f>'copy data3'!D371</f>
        <v>532</v>
      </c>
      <c r="Y317" s="38">
        <f t="shared" si="37"/>
        <v>500.75</v>
      </c>
      <c r="Z317" s="71">
        <f t="shared" si="38"/>
        <v>179.48028673835125</v>
      </c>
      <c r="AA317" s="152">
        <f>'copy data3'!F371</f>
        <v>1234</v>
      </c>
      <c r="AB317" s="38">
        <f t="shared" si="39"/>
        <v>1205.75</v>
      </c>
      <c r="AC317" s="71">
        <f t="shared" si="40"/>
        <v>105.86040386303775</v>
      </c>
      <c r="AD317" s="152">
        <f>'copy data3'!H371</f>
        <v>1026</v>
      </c>
      <c r="AE317" s="38">
        <f t="shared" si="41"/>
        <v>1017.25</v>
      </c>
      <c r="AF317" s="71">
        <f t="shared" si="42"/>
        <v>127.15625</v>
      </c>
      <c r="AG317" s="152">
        <f>'copy data3'!J371</f>
        <v>103</v>
      </c>
      <c r="AH317" s="38">
        <f t="shared" si="43"/>
        <v>135.5</v>
      </c>
      <c r="AI317" s="71">
        <f t="shared" si="44"/>
        <v>451.66666666666669</v>
      </c>
      <c r="AJ317" s="152">
        <f>'copy data3'!L371</f>
        <v>4568</v>
      </c>
      <c r="AK317" s="38">
        <f t="shared" si="45"/>
        <v>4493</v>
      </c>
      <c r="AL317" s="71">
        <f t="shared" si="46"/>
        <v>87.822517591868646</v>
      </c>
      <c r="AM317" s="152">
        <f>'copy data3'!N371</f>
        <v>11855</v>
      </c>
      <c r="AN317" s="38">
        <f t="shared" si="47"/>
        <v>11641.5</v>
      </c>
      <c r="AO317" s="71">
        <f t="shared" si="48"/>
        <v>165.4327128037516</v>
      </c>
      <c r="AP317" s="152">
        <f>'copy data3'!P371</f>
        <v>7011</v>
      </c>
      <c r="AQ317" s="38">
        <f t="shared" si="49"/>
        <v>7077</v>
      </c>
      <c r="AR317" s="71">
        <f t="shared" si="50"/>
        <v>176.74825174825176</v>
      </c>
      <c r="AS317" s="153">
        <f>'copy data3'!R371</f>
        <v>23434</v>
      </c>
      <c r="AT317" s="38">
        <f t="shared" si="33"/>
        <v>23211.5</v>
      </c>
      <c r="AU317" s="71">
        <f t="shared" ref="AU317:AU380" si="51">(AT317/AS265)*100</f>
        <v>143.66218976295104</v>
      </c>
    </row>
    <row r="318" spans="1:47" ht="15.6" x14ac:dyDescent="0.3">
      <c r="A318" s="55">
        <v>37616</v>
      </c>
      <c r="B318" s="56">
        <v>1083</v>
      </c>
      <c r="C318" s="56">
        <v>4581</v>
      </c>
      <c r="D318" s="56">
        <v>730</v>
      </c>
      <c r="E318" s="56">
        <v>1546</v>
      </c>
      <c r="F318" s="56">
        <v>1230</v>
      </c>
      <c r="G318" s="56">
        <v>4104</v>
      </c>
      <c r="H318" s="56">
        <v>618</v>
      </c>
      <c r="I318" s="56">
        <v>2068</v>
      </c>
      <c r="J318" s="56">
        <v>123</v>
      </c>
      <c r="K318" s="56">
        <v>521</v>
      </c>
      <c r="L318" s="56">
        <v>3783</v>
      </c>
      <c r="M318" s="56">
        <v>12820</v>
      </c>
      <c r="N318" s="56">
        <v>6561</v>
      </c>
      <c r="O318" s="56">
        <v>13013</v>
      </c>
      <c r="P318" s="56">
        <v>8262</v>
      </c>
      <c r="Q318" s="56">
        <v>11347</v>
      </c>
      <c r="R318" s="16">
        <f t="shared" si="32"/>
        <v>18606</v>
      </c>
      <c r="T318" s="144">
        <f t="shared" si="34"/>
        <v>39072</v>
      </c>
      <c r="U318" s="154">
        <f>'copy data3'!B372</f>
        <v>1681</v>
      </c>
      <c r="V318" s="38">
        <f t="shared" si="35"/>
        <v>1654</v>
      </c>
      <c r="W318" s="71">
        <f t="shared" si="36"/>
        <v>60.831187936741451</v>
      </c>
      <c r="X318" s="154">
        <f>'copy data3'!D372</f>
        <v>553</v>
      </c>
      <c r="Y318" s="38">
        <f t="shared" si="37"/>
        <v>526.25</v>
      </c>
      <c r="Z318" s="71">
        <f t="shared" si="38"/>
        <v>180.84192439862542</v>
      </c>
      <c r="AA318" s="152">
        <f>'copy data3'!F372</f>
        <v>1280</v>
      </c>
      <c r="AB318" s="38">
        <f t="shared" si="39"/>
        <v>1212.75</v>
      </c>
      <c r="AC318" s="71">
        <f t="shared" si="40"/>
        <v>111.05769230769231</v>
      </c>
      <c r="AD318" s="152">
        <f>'copy data3'!H372</f>
        <v>1033</v>
      </c>
      <c r="AE318" s="38">
        <f t="shared" si="41"/>
        <v>1013.75</v>
      </c>
      <c r="AF318" s="71">
        <f t="shared" si="42"/>
        <v>143.99857954545453</v>
      </c>
      <c r="AG318" s="152">
        <f>'copy data3'!J372</f>
        <v>83</v>
      </c>
      <c r="AH318" s="38">
        <f t="shared" si="43"/>
        <v>116</v>
      </c>
      <c r="AI318" s="71">
        <f t="shared" si="44"/>
        <v>414.28571428571433</v>
      </c>
      <c r="AJ318" s="152">
        <f>'copy data3'!L372</f>
        <v>4630</v>
      </c>
      <c r="AK318" s="38">
        <f t="shared" si="45"/>
        <v>4522.5</v>
      </c>
      <c r="AL318" s="71">
        <f t="shared" si="46"/>
        <v>93.556061232933388</v>
      </c>
      <c r="AM318" s="152">
        <f>'copy data3'!N372</f>
        <v>11890</v>
      </c>
      <c r="AN318" s="38">
        <f t="shared" si="47"/>
        <v>11641.75</v>
      </c>
      <c r="AO318" s="71">
        <f t="shared" si="48"/>
        <v>175.88381930805258</v>
      </c>
      <c r="AP318" s="152">
        <f>'copy data3'!P372</f>
        <v>7376</v>
      </c>
      <c r="AQ318" s="38">
        <f t="shared" si="49"/>
        <v>7088.25</v>
      </c>
      <c r="AR318" s="71">
        <f t="shared" si="50"/>
        <v>165.38147456836211</v>
      </c>
      <c r="AS318" s="153">
        <f>'copy data3'!R372</f>
        <v>23896</v>
      </c>
      <c r="AT318" s="38">
        <f t="shared" si="33"/>
        <v>23252.5</v>
      </c>
      <c r="AU318" s="71">
        <f t="shared" si="51"/>
        <v>147.73810280195693</v>
      </c>
    </row>
    <row r="319" spans="1:47" ht="15.6" x14ac:dyDescent="0.3">
      <c r="A319" s="55">
        <v>37980</v>
      </c>
      <c r="B319" s="56">
        <v>3331</v>
      </c>
      <c r="C319" s="56">
        <v>6815</v>
      </c>
      <c r="D319" s="56">
        <v>735</v>
      </c>
      <c r="E319" s="56">
        <v>2185</v>
      </c>
      <c r="F319" s="56">
        <v>1412</v>
      </c>
      <c r="G319" s="56">
        <v>3958</v>
      </c>
      <c r="H319" s="56">
        <v>1315</v>
      </c>
      <c r="I319" s="56">
        <v>2386</v>
      </c>
      <c r="J319" s="56">
        <v>190</v>
      </c>
      <c r="K319" s="56">
        <v>674.3</v>
      </c>
      <c r="L319" s="56">
        <v>6983</v>
      </c>
      <c r="M319" s="56">
        <v>16018</v>
      </c>
      <c r="N319" s="56">
        <v>9763</v>
      </c>
      <c r="O319" s="56">
        <v>15579</v>
      </c>
      <c r="P319" s="56">
        <v>8199</v>
      </c>
      <c r="Q319" s="56">
        <v>13378</v>
      </c>
      <c r="R319" s="16">
        <f t="shared" si="32"/>
        <v>24945</v>
      </c>
      <c r="T319" s="144">
        <f t="shared" si="34"/>
        <v>39079</v>
      </c>
      <c r="U319" s="154">
        <f>'copy data3'!B373</f>
        <v>1460</v>
      </c>
      <c r="V319" s="38">
        <f t="shared" si="35"/>
        <v>1627.75</v>
      </c>
      <c r="W319" s="71">
        <f t="shared" si="36"/>
        <v>60.466196136701335</v>
      </c>
      <c r="X319" s="154">
        <f>'copy data3'!D373</f>
        <v>550</v>
      </c>
      <c r="Y319" s="38">
        <f t="shared" si="37"/>
        <v>531</v>
      </c>
      <c r="Z319" s="71">
        <f t="shared" si="38"/>
        <v>172.9641693811075</v>
      </c>
      <c r="AA319" s="152">
        <f>'copy data3'!F373</f>
        <v>1301</v>
      </c>
      <c r="AB319" s="38">
        <f t="shared" si="39"/>
        <v>1247</v>
      </c>
      <c r="AC319" s="71">
        <f t="shared" si="40"/>
        <v>120.36679536679537</v>
      </c>
      <c r="AD319" s="152">
        <f>'copy data3'!H373</f>
        <v>880</v>
      </c>
      <c r="AE319" s="38">
        <f t="shared" si="41"/>
        <v>979</v>
      </c>
      <c r="AF319" s="71">
        <f t="shared" si="42"/>
        <v>148.10892586989411</v>
      </c>
      <c r="AG319" s="152">
        <f>'copy data3'!J373</f>
        <v>86</v>
      </c>
      <c r="AH319" s="38">
        <f t="shared" si="43"/>
        <v>102.75</v>
      </c>
      <c r="AI319" s="71">
        <f t="shared" si="44"/>
        <v>331.45161290322579</v>
      </c>
      <c r="AJ319" s="152">
        <f>'copy data3'!L373</f>
        <v>4277</v>
      </c>
      <c r="AK319" s="38">
        <f t="shared" si="45"/>
        <v>4487.5</v>
      </c>
      <c r="AL319" s="71">
        <f t="shared" si="46"/>
        <v>94.933361540088853</v>
      </c>
      <c r="AM319" s="152">
        <f>'copy data3'!N373</f>
        <v>11503</v>
      </c>
      <c r="AN319" s="38">
        <f t="shared" si="47"/>
        <v>11685.25</v>
      </c>
      <c r="AO319" s="71">
        <f t="shared" si="48"/>
        <v>195.04673677182441</v>
      </c>
      <c r="AP319" s="152">
        <f>'copy data3'!P373</f>
        <v>6886</v>
      </c>
      <c r="AQ319" s="38">
        <f t="shared" si="49"/>
        <v>7042.75</v>
      </c>
      <c r="AR319" s="71">
        <f t="shared" si="50"/>
        <v>160.97714285714287</v>
      </c>
      <c r="AS319" s="153">
        <f>'copy data3'!R373</f>
        <v>22666</v>
      </c>
      <c r="AT319" s="38">
        <f t="shared" si="33"/>
        <v>23215.5</v>
      </c>
      <c r="AU319" s="71">
        <f t="shared" si="51"/>
        <v>153.81633870005965</v>
      </c>
    </row>
    <row r="320" spans="1:47" ht="15.6" x14ac:dyDescent="0.3">
      <c r="A320" s="55">
        <v>37623</v>
      </c>
      <c r="B320" s="56">
        <v>1017</v>
      </c>
      <c r="C320" s="56">
        <v>7004</v>
      </c>
      <c r="D320" s="56">
        <v>580</v>
      </c>
      <c r="E320" s="56">
        <v>2322</v>
      </c>
      <c r="F320" s="56">
        <v>1161</v>
      </c>
      <c r="G320" s="56">
        <v>4037</v>
      </c>
      <c r="H320" s="56">
        <v>535</v>
      </c>
      <c r="I320" s="56">
        <v>2476</v>
      </c>
      <c r="J320" s="56">
        <v>123</v>
      </c>
      <c r="K320" s="56">
        <v>693</v>
      </c>
      <c r="L320" s="56">
        <v>3415</v>
      </c>
      <c r="M320" s="56">
        <v>16531</v>
      </c>
      <c r="N320" s="56">
        <v>5860</v>
      </c>
      <c r="O320" s="56">
        <v>16608</v>
      </c>
      <c r="P320" s="56">
        <v>7980</v>
      </c>
      <c r="Q320" s="56">
        <v>14021</v>
      </c>
      <c r="R320" s="16">
        <f t="shared" si="32"/>
        <v>17255</v>
      </c>
      <c r="T320" s="144">
        <f t="shared" si="34"/>
        <v>39086</v>
      </c>
      <c r="U320" s="154">
        <f>'copy data3'!B374</f>
        <v>1334</v>
      </c>
      <c r="V320" s="38">
        <f t="shared" si="35"/>
        <v>1537</v>
      </c>
      <c r="W320" s="71">
        <f t="shared" si="36"/>
        <v>63.696643182760049</v>
      </c>
      <c r="X320" s="154">
        <f>'copy data3'!D374</f>
        <v>512</v>
      </c>
      <c r="Y320" s="38">
        <f t="shared" si="37"/>
        <v>536.75</v>
      </c>
      <c r="Z320" s="71">
        <f t="shared" si="38"/>
        <v>159.27299703264094</v>
      </c>
      <c r="AA320" s="152">
        <f>'copy data3'!F374</f>
        <v>1132</v>
      </c>
      <c r="AB320" s="38">
        <f t="shared" si="39"/>
        <v>1236.75</v>
      </c>
      <c r="AC320" s="71">
        <f t="shared" si="40"/>
        <v>123.30508474576271</v>
      </c>
      <c r="AD320" s="152">
        <f>'copy data3'!H374</f>
        <v>963</v>
      </c>
      <c r="AE320" s="38">
        <f t="shared" si="41"/>
        <v>975.5</v>
      </c>
      <c r="AF320" s="71">
        <f t="shared" si="42"/>
        <v>148.47792998477928</v>
      </c>
      <c r="AG320" s="152">
        <f>'copy data3'!J374</f>
        <v>86</v>
      </c>
      <c r="AH320" s="38">
        <f t="shared" si="43"/>
        <v>89.5</v>
      </c>
      <c r="AI320" s="71">
        <f t="shared" si="44"/>
        <v>106.54761904761905</v>
      </c>
      <c r="AJ320" s="152">
        <f>'copy data3'!L374</f>
        <v>4028</v>
      </c>
      <c r="AK320" s="38">
        <f t="shared" si="45"/>
        <v>4375.75</v>
      </c>
      <c r="AL320" s="71">
        <f t="shared" si="46"/>
        <v>97.368713840676463</v>
      </c>
      <c r="AM320" s="152">
        <f>'copy data3'!N374</f>
        <v>11827</v>
      </c>
      <c r="AN320" s="38">
        <f t="shared" si="47"/>
        <v>11768.75</v>
      </c>
      <c r="AO320" s="71">
        <f t="shared" si="48"/>
        <v>199.30143945808635</v>
      </c>
      <c r="AP320" s="152">
        <f>'copy data3'!P374</f>
        <v>6918</v>
      </c>
      <c r="AQ320" s="38">
        <f t="shared" si="49"/>
        <v>7047.75</v>
      </c>
      <c r="AR320" s="71">
        <f t="shared" si="50"/>
        <v>169.86623282718728</v>
      </c>
      <c r="AS320" s="153">
        <f>'copy data3'!R374</f>
        <v>22773</v>
      </c>
      <c r="AT320" s="38">
        <f t="shared" si="33"/>
        <v>23192.25</v>
      </c>
      <c r="AU320" s="71">
        <f t="shared" si="51"/>
        <v>159.41882045642012</v>
      </c>
    </row>
    <row r="321" spans="1:47" ht="15.6" x14ac:dyDescent="0.3">
      <c r="A321" s="55">
        <v>37987</v>
      </c>
      <c r="B321" s="56">
        <v>3172</v>
      </c>
      <c r="C321" s="56">
        <v>4682</v>
      </c>
      <c r="D321" s="56">
        <v>611</v>
      </c>
      <c r="E321" s="56">
        <v>1707</v>
      </c>
      <c r="F321" s="56">
        <v>1401</v>
      </c>
      <c r="G321" s="56">
        <v>4244</v>
      </c>
      <c r="H321" s="56">
        <v>1246</v>
      </c>
      <c r="I321" s="56">
        <v>2181</v>
      </c>
      <c r="J321" s="56">
        <v>182</v>
      </c>
      <c r="K321" s="56">
        <v>521</v>
      </c>
      <c r="L321" s="56">
        <v>6613</v>
      </c>
      <c r="M321" s="56">
        <v>13335</v>
      </c>
      <c r="N321" s="56">
        <v>9150</v>
      </c>
      <c r="O321" s="56">
        <v>13998</v>
      </c>
      <c r="P321" s="56">
        <v>7697</v>
      </c>
      <c r="Q321" s="56">
        <v>12010</v>
      </c>
      <c r="R321" s="16">
        <f t="shared" si="32"/>
        <v>23460</v>
      </c>
      <c r="T321" s="144">
        <f t="shared" si="34"/>
        <v>39093</v>
      </c>
      <c r="U321" s="154">
        <f>'copy data3'!B375</f>
        <v>1545</v>
      </c>
      <c r="V321" s="38">
        <f t="shared" si="35"/>
        <v>1505</v>
      </c>
      <c r="W321" s="71">
        <f t="shared" si="36"/>
        <v>64.898663216903842</v>
      </c>
      <c r="X321" s="154">
        <f>'copy data3'!D375</f>
        <v>570</v>
      </c>
      <c r="Y321" s="38">
        <f t="shared" si="37"/>
        <v>546.25</v>
      </c>
      <c r="Z321" s="71">
        <f t="shared" si="38"/>
        <v>176.7799352750809</v>
      </c>
      <c r="AA321" s="152">
        <f>'copy data3'!F375</f>
        <v>1191</v>
      </c>
      <c r="AB321" s="38">
        <f t="shared" si="39"/>
        <v>1226</v>
      </c>
      <c r="AC321" s="71">
        <f t="shared" si="40"/>
        <v>114.90159325210871</v>
      </c>
      <c r="AD321" s="152">
        <f>'copy data3'!H375</f>
        <v>1088</v>
      </c>
      <c r="AE321" s="38">
        <f t="shared" si="41"/>
        <v>991</v>
      </c>
      <c r="AF321" s="71">
        <f t="shared" si="42"/>
        <v>135.38251366120218</v>
      </c>
      <c r="AG321" s="152">
        <f>'copy data3'!J375</f>
        <v>74</v>
      </c>
      <c r="AH321" s="38">
        <f t="shared" si="43"/>
        <v>82.25</v>
      </c>
      <c r="AI321" s="71">
        <f t="shared" si="44"/>
        <v>84.793814432989691</v>
      </c>
      <c r="AJ321" s="152">
        <f>'copy data3'!L375</f>
        <v>4468</v>
      </c>
      <c r="AK321" s="38">
        <f t="shared" si="45"/>
        <v>4350.75</v>
      </c>
      <c r="AL321" s="71">
        <f t="shared" si="46"/>
        <v>96.149171270718242</v>
      </c>
      <c r="AM321" s="152">
        <f>'copy data3'!N375</f>
        <v>12246</v>
      </c>
      <c r="AN321" s="38">
        <f t="shared" si="47"/>
        <v>11866.5</v>
      </c>
      <c r="AO321" s="71">
        <f t="shared" si="48"/>
        <v>191.89036222509702</v>
      </c>
      <c r="AP321" s="152">
        <f>'copy data3'!P375</f>
        <v>7139</v>
      </c>
      <c r="AQ321" s="38">
        <f t="shared" si="49"/>
        <v>7079.75</v>
      </c>
      <c r="AR321" s="71">
        <f t="shared" si="50"/>
        <v>145.3747433264887</v>
      </c>
      <c r="AS321" s="153">
        <f>'copy data3'!R375</f>
        <v>23853</v>
      </c>
      <c r="AT321" s="38">
        <f t="shared" si="33"/>
        <v>23297</v>
      </c>
      <c r="AU321" s="71">
        <f t="shared" si="51"/>
        <v>149.54104884780796</v>
      </c>
    </row>
    <row r="322" spans="1:47" ht="15.6" x14ac:dyDescent="0.3">
      <c r="A322" s="55">
        <v>37630</v>
      </c>
      <c r="B322" s="56">
        <v>951</v>
      </c>
      <c r="C322" s="56">
        <v>7270</v>
      </c>
      <c r="D322" s="56">
        <v>527</v>
      </c>
      <c r="E322" s="56">
        <v>2367</v>
      </c>
      <c r="F322" s="56">
        <v>1103</v>
      </c>
      <c r="G322" s="56">
        <v>4067</v>
      </c>
      <c r="H322" s="56">
        <v>526</v>
      </c>
      <c r="I322" s="56">
        <v>2679</v>
      </c>
      <c r="J322" s="56">
        <v>113</v>
      </c>
      <c r="K322" s="56">
        <v>693</v>
      </c>
      <c r="L322" s="56">
        <v>3220</v>
      </c>
      <c r="M322" s="56">
        <v>17076</v>
      </c>
      <c r="N322" s="56">
        <v>5635</v>
      </c>
      <c r="O322" s="56">
        <v>17611</v>
      </c>
      <c r="P322" s="56">
        <v>8278</v>
      </c>
      <c r="Q322" s="56">
        <v>14730</v>
      </c>
      <c r="R322" s="16">
        <f t="shared" si="32"/>
        <v>17133</v>
      </c>
      <c r="T322" s="144">
        <f t="shared" si="34"/>
        <v>39100</v>
      </c>
      <c r="U322" s="154">
        <f>'copy data3'!B376</f>
        <v>1456</v>
      </c>
      <c r="V322" s="38">
        <f t="shared" si="35"/>
        <v>1448.75</v>
      </c>
      <c r="W322" s="71">
        <f t="shared" si="36"/>
        <v>67.102825382121353</v>
      </c>
      <c r="X322" s="154">
        <f>'copy data3'!D376</f>
        <v>496</v>
      </c>
      <c r="Y322" s="38">
        <f t="shared" si="37"/>
        <v>532</v>
      </c>
      <c r="Z322" s="71">
        <f t="shared" si="38"/>
        <v>171.61290322580643</v>
      </c>
      <c r="AA322" s="152">
        <f>'copy data3'!F376</f>
        <v>1126</v>
      </c>
      <c r="AB322" s="38">
        <f t="shared" si="39"/>
        <v>1187.5</v>
      </c>
      <c r="AC322" s="71">
        <f t="shared" si="40"/>
        <v>109.64912280701755</v>
      </c>
      <c r="AD322" s="152">
        <f>'copy data3'!H376</f>
        <v>1031</v>
      </c>
      <c r="AE322" s="38">
        <f t="shared" si="41"/>
        <v>990.5</v>
      </c>
      <c r="AF322" s="71">
        <f t="shared" si="42"/>
        <v>133.49056603773585</v>
      </c>
      <c r="AG322" s="152">
        <f>'copy data3'!J376</f>
        <v>74</v>
      </c>
      <c r="AH322" s="38">
        <f t="shared" si="43"/>
        <v>80</v>
      </c>
      <c r="AI322" s="71">
        <f t="shared" si="44"/>
        <v>68.965517241379317</v>
      </c>
      <c r="AJ322" s="152">
        <f>'copy data3'!L376</f>
        <v>4184</v>
      </c>
      <c r="AK322" s="38">
        <f t="shared" si="45"/>
        <v>4239.25</v>
      </c>
      <c r="AL322" s="71">
        <f t="shared" si="46"/>
        <v>96.128117913832199</v>
      </c>
      <c r="AM322" s="152">
        <f>'copy data3'!N376</f>
        <v>12204</v>
      </c>
      <c r="AN322" s="38">
        <f t="shared" si="47"/>
        <v>11945</v>
      </c>
      <c r="AO322" s="71">
        <f t="shared" si="48"/>
        <v>161.07065803667746</v>
      </c>
      <c r="AP322" s="152">
        <f>'copy data3'!P376</f>
        <v>7124</v>
      </c>
      <c r="AQ322" s="38">
        <f t="shared" si="49"/>
        <v>7016.75</v>
      </c>
      <c r="AR322" s="71">
        <f t="shared" si="50"/>
        <v>155.10057471264366</v>
      </c>
      <c r="AS322" s="153">
        <f>'copy data3'!R376</f>
        <v>23512</v>
      </c>
      <c r="AT322" s="38">
        <f t="shared" si="33"/>
        <v>23201</v>
      </c>
      <c r="AU322" s="71">
        <f t="shared" si="51"/>
        <v>141.90214067278288</v>
      </c>
    </row>
    <row r="323" spans="1:47" ht="15.6" x14ac:dyDescent="0.3">
      <c r="A323" s="55">
        <v>37994</v>
      </c>
      <c r="B323" s="56">
        <v>3127</v>
      </c>
      <c r="C323" s="56">
        <v>4786</v>
      </c>
      <c r="D323" s="56">
        <v>657</v>
      </c>
      <c r="E323" s="56">
        <v>1893</v>
      </c>
      <c r="F323" s="56">
        <v>1379</v>
      </c>
      <c r="G323" s="56">
        <v>4400</v>
      </c>
      <c r="H323" s="56">
        <v>1043</v>
      </c>
      <c r="I323" s="56">
        <v>2309</v>
      </c>
      <c r="J323" s="56">
        <v>190</v>
      </c>
      <c r="K323" s="56">
        <v>528</v>
      </c>
      <c r="L323" s="56">
        <v>6392</v>
      </c>
      <c r="M323" s="56">
        <v>13914</v>
      </c>
      <c r="N323" s="56">
        <v>8986</v>
      </c>
      <c r="O323" s="56">
        <v>14839</v>
      </c>
      <c r="P323" s="56">
        <v>7447</v>
      </c>
      <c r="Q323" s="56">
        <v>13082</v>
      </c>
      <c r="R323" s="16">
        <f t="shared" si="32"/>
        <v>22825</v>
      </c>
      <c r="T323" s="144">
        <f t="shared" si="34"/>
        <v>39107</v>
      </c>
      <c r="U323" s="154">
        <f>'copy data3'!B377</f>
        <v>1528</v>
      </c>
      <c r="V323" s="38">
        <f t="shared" si="35"/>
        <v>1465.75</v>
      </c>
      <c r="W323" s="71">
        <f t="shared" si="36"/>
        <v>71.885728298185384</v>
      </c>
      <c r="X323" s="154">
        <f>'copy data3'!D377</f>
        <v>590</v>
      </c>
      <c r="Y323" s="38">
        <f t="shared" si="37"/>
        <v>542</v>
      </c>
      <c r="Z323" s="71">
        <f t="shared" si="38"/>
        <v>205.30303030303031</v>
      </c>
      <c r="AA323" s="152">
        <f>'copy data3'!F377</f>
        <v>1074</v>
      </c>
      <c r="AB323" s="38">
        <f t="shared" si="39"/>
        <v>1130.75</v>
      </c>
      <c r="AC323" s="71">
        <f t="shared" si="40"/>
        <v>106.97729422894986</v>
      </c>
      <c r="AD323" s="152">
        <f>'copy data3'!H377</f>
        <v>884</v>
      </c>
      <c r="AE323" s="38">
        <f t="shared" si="41"/>
        <v>991.5</v>
      </c>
      <c r="AF323" s="71">
        <f t="shared" si="42"/>
        <v>141.64285714285714</v>
      </c>
      <c r="AG323" s="152">
        <f>'copy data3'!J377</f>
        <v>94</v>
      </c>
      <c r="AH323" s="38">
        <f t="shared" si="43"/>
        <v>82</v>
      </c>
      <c r="AI323" s="71">
        <f t="shared" si="44"/>
        <v>65.079365079365076</v>
      </c>
      <c r="AJ323" s="152">
        <f>'copy data3'!L377</f>
        <v>4170</v>
      </c>
      <c r="AK323" s="38">
        <f t="shared" si="45"/>
        <v>4212.5</v>
      </c>
      <c r="AL323" s="71">
        <f t="shared" si="46"/>
        <v>100.65710872162485</v>
      </c>
      <c r="AM323" s="152">
        <f>'copy data3'!N377</f>
        <v>11800</v>
      </c>
      <c r="AN323" s="38">
        <f t="shared" si="47"/>
        <v>12019.25</v>
      </c>
      <c r="AO323" s="71">
        <f t="shared" si="48"/>
        <v>152.9555866632731</v>
      </c>
      <c r="AP323" s="152">
        <f>'copy data3'!P377</f>
        <v>6778</v>
      </c>
      <c r="AQ323" s="38">
        <f t="shared" si="49"/>
        <v>6989.75</v>
      </c>
      <c r="AR323" s="71">
        <f t="shared" si="50"/>
        <v>158.74971610265729</v>
      </c>
      <c r="AS323" s="153">
        <f>'copy data3'!R377</f>
        <v>22748</v>
      </c>
      <c r="AT323" s="38">
        <f t="shared" si="33"/>
        <v>23221.5</v>
      </c>
      <c r="AU323" s="71">
        <f t="shared" si="51"/>
        <v>141.19846771251366</v>
      </c>
    </row>
    <row r="324" spans="1:47" ht="15.6" x14ac:dyDescent="0.3">
      <c r="A324" s="55">
        <v>37637</v>
      </c>
      <c r="B324" s="56">
        <v>1014</v>
      </c>
      <c r="C324" s="56">
        <v>4887</v>
      </c>
      <c r="D324" s="56">
        <v>497</v>
      </c>
      <c r="E324" s="56">
        <v>2004</v>
      </c>
      <c r="F324" s="56">
        <v>1147</v>
      </c>
      <c r="G324" s="56">
        <v>4475</v>
      </c>
      <c r="H324" s="56">
        <v>533</v>
      </c>
      <c r="I324" s="56">
        <v>2341</v>
      </c>
      <c r="J324" s="56">
        <v>116</v>
      </c>
      <c r="K324" s="56">
        <v>536</v>
      </c>
      <c r="L324" s="56">
        <v>3307</v>
      </c>
      <c r="M324" s="56">
        <v>14241</v>
      </c>
      <c r="N324" s="56">
        <v>5596</v>
      </c>
      <c r="O324" s="56">
        <v>15525</v>
      </c>
      <c r="P324" s="56">
        <v>7921</v>
      </c>
      <c r="Q324" s="56">
        <v>14011</v>
      </c>
      <c r="R324" s="16">
        <f t="shared" si="32"/>
        <v>16824</v>
      </c>
      <c r="T324" s="144">
        <f t="shared" si="34"/>
        <v>39114</v>
      </c>
      <c r="U324" s="154">
        <f>'copy data3'!B378</f>
        <v>1526</v>
      </c>
      <c r="V324" s="38">
        <f t="shared" si="35"/>
        <v>1513.75</v>
      </c>
      <c r="W324" s="71">
        <f t="shared" si="36"/>
        <v>86.450599657338671</v>
      </c>
      <c r="X324" s="154">
        <f>'copy data3'!D378</f>
        <v>656</v>
      </c>
      <c r="Y324" s="38">
        <f t="shared" si="37"/>
        <v>578</v>
      </c>
      <c r="Z324" s="71">
        <f t="shared" si="38"/>
        <v>193.31103678929767</v>
      </c>
      <c r="AA324" s="152">
        <f>'copy data3'!F378</f>
        <v>1013</v>
      </c>
      <c r="AB324" s="38">
        <f t="shared" si="39"/>
        <v>1101</v>
      </c>
      <c r="AC324" s="71">
        <f t="shared" si="40"/>
        <v>104.16272469252601</v>
      </c>
      <c r="AD324" s="152">
        <f>'copy data3'!H378</f>
        <v>1004</v>
      </c>
      <c r="AE324" s="38">
        <f t="shared" si="41"/>
        <v>1001.75</v>
      </c>
      <c r="AF324" s="71">
        <f t="shared" si="42"/>
        <v>145.81513828238718</v>
      </c>
      <c r="AG324" s="152">
        <f>'copy data3'!J378</f>
        <v>114</v>
      </c>
      <c r="AH324" s="38">
        <f t="shared" si="43"/>
        <v>89</v>
      </c>
      <c r="AI324" s="71">
        <f t="shared" si="44"/>
        <v>85.576923076923066</v>
      </c>
      <c r="AJ324" s="152">
        <f>'copy data3'!L378</f>
        <v>4313</v>
      </c>
      <c r="AK324" s="38">
        <f t="shared" si="45"/>
        <v>4283.75</v>
      </c>
      <c r="AL324" s="71">
        <f t="shared" si="46"/>
        <v>109.89610056439199</v>
      </c>
      <c r="AM324" s="152">
        <f>'copy data3'!N378</f>
        <v>11687</v>
      </c>
      <c r="AN324" s="38">
        <f t="shared" si="47"/>
        <v>11984.25</v>
      </c>
      <c r="AO324" s="71">
        <f t="shared" si="48"/>
        <v>141.74157303370788</v>
      </c>
      <c r="AP324" s="152">
        <f>'copy data3'!P378</f>
        <v>6686</v>
      </c>
      <c r="AQ324" s="38">
        <f t="shared" si="49"/>
        <v>6931.75</v>
      </c>
      <c r="AR324" s="71">
        <f t="shared" si="50"/>
        <v>163.2152107369908</v>
      </c>
      <c r="AS324" s="153">
        <f>'copy data3'!R378</f>
        <v>22686</v>
      </c>
      <c r="AT324" s="38">
        <f t="shared" si="33"/>
        <v>23199.75</v>
      </c>
      <c r="AU324" s="71">
        <f t="shared" si="51"/>
        <v>139.75753012048193</v>
      </c>
    </row>
    <row r="325" spans="1:47" ht="15.6" x14ac:dyDescent="0.3">
      <c r="A325" s="55">
        <v>38001</v>
      </c>
      <c r="B325" s="56">
        <v>3136</v>
      </c>
      <c r="C325" s="56">
        <v>7658</v>
      </c>
      <c r="D325" s="56">
        <v>987</v>
      </c>
      <c r="E325" s="56">
        <v>2395</v>
      </c>
      <c r="F325" s="56">
        <v>1414</v>
      </c>
      <c r="G325" s="56">
        <v>4224</v>
      </c>
      <c r="H325" s="56">
        <v>1092</v>
      </c>
      <c r="I325" s="56">
        <v>2741</v>
      </c>
      <c r="J325" s="56">
        <v>189</v>
      </c>
      <c r="K325" s="56">
        <v>713</v>
      </c>
      <c r="L325" s="56">
        <v>6818</v>
      </c>
      <c r="M325" s="56">
        <v>17732</v>
      </c>
      <c r="N325" s="56">
        <v>9113</v>
      </c>
      <c r="O325" s="56">
        <v>18483</v>
      </c>
      <c r="P325" s="56">
        <v>3536</v>
      </c>
      <c r="Q325" s="56">
        <v>15654</v>
      </c>
      <c r="R325" s="16">
        <f t="shared" si="32"/>
        <v>19467</v>
      </c>
      <c r="T325" s="144">
        <f t="shared" si="34"/>
        <v>39121</v>
      </c>
      <c r="U325" s="154">
        <f>'copy data3'!B379</f>
        <v>1452</v>
      </c>
      <c r="V325" s="38">
        <f t="shared" si="35"/>
        <v>1490.5</v>
      </c>
      <c r="W325" s="71">
        <f t="shared" si="36"/>
        <v>90.663017031630162</v>
      </c>
      <c r="X325" s="154">
        <f>'copy data3'!D379</f>
        <v>715</v>
      </c>
      <c r="Y325" s="38">
        <f t="shared" si="37"/>
        <v>614.25</v>
      </c>
      <c r="Z325" s="71">
        <f t="shared" si="38"/>
        <v>178.56104651162789</v>
      </c>
      <c r="AA325" s="152">
        <f>'copy data3'!F379</f>
        <v>1035</v>
      </c>
      <c r="AB325" s="38">
        <f t="shared" si="39"/>
        <v>1062</v>
      </c>
      <c r="AC325" s="71">
        <f t="shared" si="40"/>
        <v>90.769230769230774</v>
      </c>
      <c r="AD325" s="152">
        <f>'copy data3'!H379</f>
        <v>948</v>
      </c>
      <c r="AE325" s="38">
        <f t="shared" si="41"/>
        <v>966.75</v>
      </c>
      <c r="AF325" s="71">
        <f t="shared" si="42"/>
        <v>138.90086206896552</v>
      </c>
      <c r="AG325" s="152">
        <f>'copy data3'!J379</f>
        <v>116</v>
      </c>
      <c r="AH325" s="38">
        <f t="shared" si="43"/>
        <v>99.5</v>
      </c>
      <c r="AI325" s="71">
        <f t="shared" si="44"/>
        <v>67.687074829931973</v>
      </c>
      <c r="AJ325" s="152">
        <f>'copy data3'!L379</f>
        <v>4265</v>
      </c>
      <c r="AK325" s="38">
        <f t="shared" si="45"/>
        <v>4233</v>
      </c>
      <c r="AL325" s="71">
        <f t="shared" si="46"/>
        <v>105.85146286571643</v>
      </c>
      <c r="AM325" s="152">
        <f>'copy data3'!N379</f>
        <v>12077</v>
      </c>
      <c r="AN325" s="38">
        <f t="shared" si="47"/>
        <v>11942</v>
      </c>
      <c r="AO325" s="71">
        <f t="shared" si="48"/>
        <v>135.25880620681846</v>
      </c>
      <c r="AP325" s="152">
        <f>'copy data3'!P379</f>
        <v>5863</v>
      </c>
      <c r="AQ325" s="38">
        <f t="shared" si="49"/>
        <v>6612.75</v>
      </c>
      <c r="AR325" s="71">
        <f t="shared" si="50"/>
        <v>174.57101372756071</v>
      </c>
      <c r="AS325" s="153">
        <f>'copy data3'!R379</f>
        <v>22205</v>
      </c>
      <c r="AT325" s="38">
        <f t="shared" si="33"/>
        <v>22787.75</v>
      </c>
      <c r="AU325" s="71">
        <f t="shared" si="51"/>
        <v>137.14341598459316</v>
      </c>
    </row>
    <row r="326" spans="1:47" ht="15.6" x14ac:dyDescent="0.3">
      <c r="A326" s="55">
        <v>37644</v>
      </c>
      <c r="B326" s="56">
        <v>1066</v>
      </c>
      <c r="C326" s="56">
        <v>4937</v>
      </c>
      <c r="D326" s="56">
        <v>502</v>
      </c>
      <c r="E326" s="56">
        <v>2031</v>
      </c>
      <c r="F326" s="56">
        <v>1234</v>
      </c>
      <c r="G326" s="56">
        <v>4503</v>
      </c>
      <c r="H326" s="56">
        <v>587</v>
      </c>
      <c r="I326" s="56">
        <v>2346</v>
      </c>
      <c r="J326" s="56">
        <v>107</v>
      </c>
      <c r="K326" s="56">
        <v>557</v>
      </c>
      <c r="L326" s="56">
        <v>3496</v>
      </c>
      <c r="M326" s="56">
        <v>14373</v>
      </c>
      <c r="N326" s="56">
        <v>5219</v>
      </c>
      <c r="O326" s="56">
        <v>16241</v>
      </c>
      <c r="P326" s="56">
        <v>7524</v>
      </c>
      <c r="Q326" s="56">
        <v>15097</v>
      </c>
      <c r="R326" s="16">
        <f t="shared" ref="R326:R335" si="52">P326+N326+L326</f>
        <v>16239</v>
      </c>
      <c r="T326" s="144">
        <f t="shared" si="34"/>
        <v>39128</v>
      </c>
      <c r="U326" s="154">
        <f>'copy data3'!B380</f>
        <v>1403</v>
      </c>
      <c r="V326" s="38">
        <f t="shared" si="35"/>
        <v>1477.25</v>
      </c>
      <c r="W326" s="71">
        <f t="shared" si="36"/>
        <v>88.564148681055158</v>
      </c>
      <c r="X326" s="154">
        <f>'copy data3'!D380</f>
        <v>729</v>
      </c>
      <c r="Y326" s="38">
        <f t="shared" si="37"/>
        <v>672.5</v>
      </c>
      <c r="Z326" s="71">
        <f t="shared" si="38"/>
        <v>184.24657534246575</v>
      </c>
      <c r="AA326" s="152">
        <f>'copy data3'!F380</f>
        <v>1126</v>
      </c>
      <c r="AB326" s="38">
        <f t="shared" si="39"/>
        <v>1062</v>
      </c>
      <c r="AC326" s="71">
        <f t="shared" si="40"/>
        <v>94.399999999999991</v>
      </c>
      <c r="AD326" s="152">
        <f>'copy data3'!H380</f>
        <v>914</v>
      </c>
      <c r="AE326" s="38">
        <f t="shared" si="41"/>
        <v>937.5</v>
      </c>
      <c r="AF326" s="71">
        <f t="shared" si="42"/>
        <v>132.22849083215797</v>
      </c>
      <c r="AG326" s="152">
        <f>'copy data3'!J380</f>
        <v>116</v>
      </c>
      <c r="AH326" s="38">
        <f t="shared" si="43"/>
        <v>110</v>
      </c>
      <c r="AI326" s="71">
        <f t="shared" si="44"/>
        <v>57.291666666666664</v>
      </c>
      <c r="AJ326" s="152">
        <f>'copy data3'!L380</f>
        <v>4287</v>
      </c>
      <c r="AK326" s="38">
        <f t="shared" si="45"/>
        <v>4258.75</v>
      </c>
      <c r="AL326" s="71">
        <f t="shared" si="46"/>
        <v>104.92116284799211</v>
      </c>
      <c r="AM326" s="152">
        <f>'copy data3'!N380</f>
        <v>11657</v>
      </c>
      <c r="AN326" s="38">
        <f t="shared" si="47"/>
        <v>11805.25</v>
      </c>
      <c r="AO326" s="71">
        <f t="shared" si="48"/>
        <v>127.19803900441762</v>
      </c>
      <c r="AP326" s="152">
        <f>'copy data3'!P380</f>
        <v>5736</v>
      </c>
      <c r="AQ326" s="38">
        <f t="shared" si="49"/>
        <v>6265.75</v>
      </c>
      <c r="AR326" s="71">
        <f t="shared" si="50"/>
        <v>176.79881489841986</v>
      </c>
      <c r="AS326" s="153">
        <f>'copy data3'!R380</f>
        <v>21680</v>
      </c>
      <c r="AT326" s="38">
        <f t="shared" si="33"/>
        <v>22329.75</v>
      </c>
      <c r="AU326" s="71">
        <f t="shared" si="51"/>
        <v>132.25390902629707</v>
      </c>
    </row>
    <row r="327" spans="1:47" ht="15.6" x14ac:dyDescent="0.3">
      <c r="A327" s="55">
        <v>38008</v>
      </c>
      <c r="B327" s="56">
        <v>2872</v>
      </c>
      <c r="C327" s="56">
        <v>8107</v>
      </c>
      <c r="D327" s="56">
        <v>1102</v>
      </c>
      <c r="E327" s="56">
        <v>2446</v>
      </c>
      <c r="F327" s="56">
        <v>1315</v>
      </c>
      <c r="G327" s="56">
        <v>4374</v>
      </c>
      <c r="H327" s="56">
        <v>1115</v>
      </c>
      <c r="I327" s="56">
        <v>2891</v>
      </c>
      <c r="J327" s="56">
        <v>170</v>
      </c>
      <c r="K327" s="56">
        <v>737</v>
      </c>
      <c r="L327" s="56">
        <v>6574</v>
      </c>
      <c r="M327" s="56">
        <v>18556</v>
      </c>
      <c r="N327" s="56">
        <v>8944</v>
      </c>
      <c r="O327" s="56">
        <v>19427</v>
      </c>
      <c r="P327" s="56">
        <v>5548</v>
      </c>
      <c r="Q327" s="56">
        <v>16513</v>
      </c>
      <c r="R327" s="16">
        <f t="shared" si="52"/>
        <v>21066</v>
      </c>
      <c r="T327" s="144">
        <f t="shared" si="34"/>
        <v>39135</v>
      </c>
      <c r="U327" s="154">
        <f>'copy data3'!B381</f>
        <v>1315</v>
      </c>
      <c r="V327" s="38">
        <f t="shared" si="35"/>
        <v>1424</v>
      </c>
      <c r="W327" s="71">
        <f t="shared" si="36"/>
        <v>90.183660544648518</v>
      </c>
      <c r="X327" s="154">
        <f>'copy data3'!D381</f>
        <v>653</v>
      </c>
      <c r="Y327" s="38">
        <f t="shared" si="37"/>
        <v>688.25</v>
      </c>
      <c r="Z327" s="71">
        <f t="shared" si="38"/>
        <v>183.53333333333333</v>
      </c>
      <c r="AA327" s="152">
        <f>'copy data3'!F381</f>
        <v>1065</v>
      </c>
      <c r="AB327" s="38">
        <f t="shared" si="39"/>
        <v>1059.75</v>
      </c>
      <c r="AC327" s="71">
        <f t="shared" si="40"/>
        <v>103.89705882352942</v>
      </c>
      <c r="AD327" s="152">
        <f>'copy data3'!H381</f>
        <v>861</v>
      </c>
      <c r="AE327" s="38">
        <f t="shared" si="41"/>
        <v>931.75</v>
      </c>
      <c r="AF327" s="71">
        <f t="shared" si="42"/>
        <v>138.24183976261128</v>
      </c>
      <c r="AG327" s="152">
        <f>'copy data3'!J381</f>
        <v>103</v>
      </c>
      <c r="AH327" s="38">
        <f t="shared" si="43"/>
        <v>112.25</v>
      </c>
      <c r="AI327" s="71">
        <f t="shared" si="44"/>
        <v>71.955128205128204</v>
      </c>
      <c r="AJ327" s="152">
        <f>'copy data3'!L381</f>
        <v>3997</v>
      </c>
      <c r="AK327" s="38">
        <f t="shared" si="45"/>
        <v>4215.5</v>
      </c>
      <c r="AL327" s="71">
        <f t="shared" si="46"/>
        <v>110.81756046267088</v>
      </c>
      <c r="AM327" s="152">
        <f>'copy data3'!N381</f>
        <v>11084</v>
      </c>
      <c r="AN327" s="38">
        <f t="shared" si="47"/>
        <v>11626.25</v>
      </c>
      <c r="AO327" s="71">
        <f t="shared" si="48"/>
        <v>130.12031337437045</v>
      </c>
      <c r="AP327" s="152">
        <f>'copy data3'!P381</f>
        <v>5217</v>
      </c>
      <c r="AQ327" s="38">
        <f t="shared" si="49"/>
        <v>5875.5</v>
      </c>
      <c r="AR327" s="71">
        <f t="shared" si="50"/>
        <v>172.50440399295363</v>
      </c>
      <c r="AS327" s="153">
        <f>'copy data3'!R381</f>
        <v>20298</v>
      </c>
      <c r="AT327" s="38">
        <f t="shared" si="33"/>
        <v>21717.25</v>
      </c>
      <c r="AU327" s="71">
        <f t="shared" si="51"/>
        <v>134.51378135645712</v>
      </c>
    </row>
    <row r="328" spans="1:47" ht="15.6" x14ac:dyDescent="0.3">
      <c r="A328" s="55">
        <v>37651</v>
      </c>
      <c r="B328" s="56">
        <v>1133</v>
      </c>
      <c r="C328" s="56">
        <v>4998</v>
      </c>
      <c r="D328" s="56">
        <v>425</v>
      </c>
      <c r="E328" s="56">
        <v>2137</v>
      </c>
      <c r="F328" s="56">
        <v>1226</v>
      </c>
      <c r="G328" s="56">
        <v>4603</v>
      </c>
      <c r="H328" s="56">
        <v>636</v>
      </c>
      <c r="I328" s="56">
        <v>2378</v>
      </c>
      <c r="J328" s="56">
        <v>111</v>
      </c>
      <c r="K328" s="56">
        <v>557</v>
      </c>
      <c r="L328" s="56">
        <v>3530</v>
      </c>
      <c r="M328" s="56">
        <v>14672</v>
      </c>
      <c r="N328" s="56">
        <v>5267</v>
      </c>
      <c r="O328" s="56">
        <v>16938</v>
      </c>
      <c r="P328" s="56">
        <v>6568</v>
      </c>
      <c r="Q328" s="56">
        <v>16602</v>
      </c>
      <c r="R328" s="16">
        <f t="shared" si="52"/>
        <v>15365</v>
      </c>
      <c r="T328" s="144">
        <f t="shared" si="34"/>
        <v>39142</v>
      </c>
      <c r="U328" s="154">
        <f>'copy data3'!B382</f>
        <v>1324</v>
      </c>
      <c r="V328" s="38">
        <f t="shared" si="35"/>
        <v>1373.5</v>
      </c>
      <c r="W328" s="71">
        <f t="shared" si="36"/>
        <v>95.11772853185596</v>
      </c>
      <c r="X328" s="154">
        <f>'copy data3'!D382</f>
        <v>733</v>
      </c>
      <c r="Y328" s="38">
        <f t="shared" si="37"/>
        <v>707.5</v>
      </c>
      <c r="Z328" s="71">
        <f t="shared" si="38"/>
        <v>192.25543478260869</v>
      </c>
      <c r="AA328" s="152">
        <f>'copy data3'!F382</f>
        <v>984</v>
      </c>
      <c r="AB328" s="38">
        <f t="shared" si="39"/>
        <v>1052.5</v>
      </c>
      <c r="AC328" s="71">
        <f t="shared" si="40"/>
        <v>101.29932627526468</v>
      </c>
      <c r="AD328" s="152">
        <f>'copy data3'!H382</f>
        <v>826</v>
      </c>
      <c r="AE328" s="38">
        <f t="shared" si="41"/>
        <v>887.25</v>
      </c>
      <c r="AF328" s="71">
        <f t="shared" si="42"/>
        <v>129.33673469387753</v>
      </c>
      <c r="AG328" s="152">
        <f>'copy data3'!J382</f>
        <v>98</v>
      </c>
      <c r="AH328" s="38">
        <f t="shared" si="43"/>
        <v>108.25</v>
      </c>
      <c r="AI328" s="71">
        <f t="shared" si="44"/>
        <v>62.212643678160916</v>
      </c>
      <c r="AJ328" s="152">
        <f>'copy data3'!L382</f>
        <v>3965</v>
      </c>
      <c r="AK328" s="38">
        <f t="shared" si="45"/>
        <v>4128.5</v>
      </c>
      <c r="AL328" s="71">
        <f t="shared" si="46"/>
        <v>111.28032345013477</v>
      </c>
      <c r="AM328" s="152">
        <f>'copy data3'!N382</f>
        <v>10731</v>
      </c>
      <c r="AN328" s="38">
        <f t="shared" si="47"/>
        <v>11387.25</v>
      </c>
      <c r="AO328" s="71">
        <f t="shared" si="48"/>
        <v>123.15866320571058</v>
      </c>
      <c r="AP328" s="152">
        <f>'copy data3'!P382</f>
        <v>4920</v>
      </c>
      <c r="AQ328" s="38">
        <f t="shared" si="49"/>
        <v>5434</v>
      </c>
      <c r="AR328" s="71">
        <f t="shared" si="50"/>
        <v>173.38864071474154</v>
      </c>
      <c r="AS328" s="153">
        <f>'copy data3'!R382</f>
        <v>19616</v>
      </c>
      <c r="AT328" s="38">
        <f t="shared" si="33"/>
        <v>20949.75</v>
      </c>
      <c r="AU328" s="71">
        <f t="shared" si="51"/>
        <v>130.20354257302674</v>
      </c>
    </row>
    <row r="329" spans="1:47" ht="15.6" x14ac:dyDescent="0.3">
      <c r="A329" s="55">
        <v>38015</v>
      </c>
      <c r="B329" s="56">
        <v>2812</v>
      </c>
      <c r="C329" s="56">
        <v>8402</v>
      </c>
      <c r="D329" s="56">
        <v>1102</v>
      </c>
      <c r="E329" s="56">
        <v>2480</v>
      </c>
      <c r="F329" s="56">
        <v>1301</v>
      </c>
      <c r="G329" s="56">
        <v>4500</v>
      </c>
      <c r="H329" s="56">
        <v>1166</v>
      </c>
      <c r="I329" s="56">
        <v>3002</v>
      </c>
      <c r="J329" s="56">
        <v>170</v>
      </c>
      <c r="K329" s="56">
        <v>742</v>
      </c>
      <c r="L329" s="56">
        <v>6550</v>
      </c>
      <c r="M329" s="56">
        <v>19126</v>
      </c>
      <c r="N329" s="56">
        <v>9043</v>
      </c>
      <c r="O329" s="56">
        <v>20315</v>
      </c>
      <c r="P329" s="56">
        <v>5115</v>
      </c>
      <c r="Q329" s="56">
        <v>17314</v>
      </c>
      <c r="R329" s="16">
        <f t="shared" si="52"/>
        <v>20708</v>
      </c>
      <c r="T329" s="144">
        <f t="shared" si="34"/>
        <v>39149</v>
      </c>
      <c r="U329" s="154">
        <f>'copy data3'!B383</f>
        <v>1275</v>
      </c>
      <c r="V329" s="38">
        <f t="shared" si="35"/>
        <v>1329.25</v>
      </c>
      <c r="W329" s="71">
        <f t="shared" si="36"/>
        <v>100.3965256797583</v>
      </c>
      <c r="X329" s="154">
        <f>'copy data3'!D383</f>
        <v>642</v>
      </c>
      <c r="Y329" s="38">
        <f t="shared" si="37"/>
        <v>689.25</v>
      </c>
      <c r="Z329" s="71">
        <f t="shared" si="38"/>
        <v>234.43877551020407</v>
      </c>
      <c r="AA329" s="152">
        <f>'copy data3'!F383</f>
        <v>990</v>
      </c>
      <c r="AB329" s="38">
        <f t="shared" si="39"/>
        <v>1041.25</v>
      </c>
      <c r="AC329" s="71">
        <f t="shared" si="40"/>
        <v>99.928023032629554</v>
      </c>
      <c r="AD329" s="152">
        <f>'copy data3'!H383</f>
        <v>895</v>
      </c>
      <c r="AE329" s="38">
        <f t="shared" si="41"/>
        <v>874</v>
      </c>
      <c r="AF329" s="71">
        <f t="shared" si="42"/>
        <v>148.38709677419354</v>
      </c>
      <c r="AG329" s="152">
        <f>'copy data3'!J383</f>
        <v>65</v>
      </c>
      <c r="AH329" s="38">
        <f t="shared" si="43"/>
        <v>95.5</v>
      </c>
      <c r="AI329" s="71">
        <f t="shared" si="44"/>
        <v>42.444444444444443</v>
      </c>
      <c r="AJ329" s="152">
        <f>'copy data3'!L383</f>
        <v>3865</v>
      </c>
      <c r="AK329" s="38">
        <f t="shared" si="45"/>
        <v>4028.5</v>
      </c>
      <c r="AL329" s="71">
        <f t="shared" si="46"/>
        <v>115.96142774899252</v>
      </c>
      <c r="AM329" s="152">
        <f>'copy data3'!N383</f>
        <v>10330</v>
      </c>
      <c r="AN329" s="38">
        <f t="shared" si="47"/>
        <v>10950.5</v>
      </c>
      <c r="AO329" s="71">
        <f t="shared" si="48"/>
        <v>115.96420629037382</v>
      </c>
      <c r="AP329" s="152">
        <f>'copy data3'!P383</f>
        <v>4587</v>
      </c>
      <c r="AQ329" s="38">
        <f t="shared" si="49"/>
        <v>5115</v>
      </c>
      <c r="AR329" s="71">
        <f t="shared" si="50"/>
        <v>191.21495327102804</v>
      </c>
      <c r="AS329" s="153">
        <f>'copy data3'!R383</f>
        <v>18782</v>
      </c>
      <c r="AT329" s="38">
        <f t="shared" ref="AT329:AT392" si="53">AVERAGE(AS326:AS329)</f>
        <v>20094</v>
      </c>
      <c r="AU329" s="71">
        <f t="shared" si="51"/>
        <v>128.87378142637249</v>
      </c>
    </row>
    <row r="330" spans="1:47" ht="15.6" x14ac:dyDescent="0.3">
      <c r="A330" s="55">
        <v>37658</v>
      </c>
      <c r="B330" s="56">
        <v>1131</v>
      </c>
      <c r="C330" s="56">
        <v>5177</v>
      </c>
      <c r="D330" s="56">
        <v>493</v>
      </c>
      <c r="E330" s="56">
        <v>2150</v>
      </c>
      <c r="F330" s="56">
        <v>1123</v>
      </c>
      <c r="G330" s="56">
        <v>4742</v>
      </c>
      <c r="H330" s="56">
        <v>597</v>
      </c>
      <c r="I330" s="56">
        <v>2491</v>
      </c>
      <c r="J330" s="56">
        <v>95</v>
      </c>
      <c r="K330" s="56">
        <v>559</v>
      </c>
      <c r="L330" s="56">
        <v>3438</v>
      </c>
      <c r="M330" s="56">
        <v>15119</v>
      </c>
      <c r="N330" s="56">
        <v>5029</v>
      </c>
      <c r="O330" s="56">
        <v>17793</v>
      </c>
      <c r="P330" s="56">
        <v>6089</v>
      </c>
      <c r="Q330" s="56">
        <v>17519</v>
      </c>
      <c r="R330" s="16">
        <f t="shared" si="52"/>
        <v>14556</v>
      </c>
      <c r="T330" s="144">
        <f t="shared" ref="T330:T393" si="54">T329+7</f>
        <v>39156</v>
      </c>
      <c r="U330" s="154">
        <f>'copy data3'!B384</f>
        <v>1268</v>
      </c>
      <c r="V330" s="38">
        <f t="shared" si="35"/>
        <v>1295.5</v>
      </c>
      <c r="W330" s="71">
        <f t="shared" si="36"/>
        <v>110.82121471343027</v>
      </c>
      <c r="X330" s="154">
        <f>'copy data3'!D384</f>
        <v>595</v>
      </c>
      <c r="Y330" s="38">
        <f t="shared" si="37"/>
        <v>655.75</v>
      </c>
      <c r="Z330" s="71">
        <f t="shared" si="38"/>
        <v>227.69097222222223</v>
      </c>
      <c r="AA330" s="152">
        <f>'copy data3'!F384</f>
        <v>1044</v>
      </c>
      <c r="AB330" s="38">
        <f t="shared" si="39"/>
        <v>1020.75</v>
      </c>
      <c r="AC330" s="71">
        <f t="shared" si="40"/>
        <v>93.304387568555754</v>
      </c>
      <c r="AD330" s="152">
        <f>'copy data3'!H384</f>
        <v>932</v>
      </c>
      <c r="AE330" s="38">
        <f t="shared" si="41"/>
        <v>878.5</v>
      </c>
      <c r="AF330" s="71">
        <f t="shared" si="42"/>
        <v>119.19945725915875</v>
      </c>
      <c r="AG330" s="152">
        <f>'copy data3'!J384</f>
        <v>74</v>
      </c>
      <c r="AH330" s="38">
        <f t="shared" si="43"/>
        <v>85</v>
      </c>
      <c r="AI330" s="71">
        <f t="shared" si="44"/>
        <v>37.946428571428569</v>
      </c>
      <c r="AJ330" s="152">
        <f>'copy data3'!L384</f>
        <v>3913</v>
      </c>
      <c r="AK330" s="38">
        <f t="shared" si="45"/>
        <v>3935</v>
      </c>
      <c r="AL330" s="71">
        <f t="shared" si="46"/>
        <v>112.04441913439635</v>
      </c>
      <c r="AM330" s="152">
        <f>'copy data3'!N384</f>
        <v>10066</v>
      </c>
      <c r="AN330" s="38">
        <f t="shared" si="47"/>
        <v>10552.75</v>
      </c>
      <c r="AO330" s="71">
        <f t="shared" si="48"/>
        <v>115.44415271852095</v>
      </c>
      <c r="AP330" s="152">
        <f>'copy data3'!P384</f>
        <v>4602</v>
      </c>
      <c r="AQ330" s="38">
        <f t="shared" si="49"/>
        <v>4831.5</v>
      </c>
      <c r="AR330" s="71">
        <f t="shared" si="50"/>
        <v>204.03293918918922</v>
      </c>
      <c r="AS330" s="153">
        <f>'copy data3'!R384</f>
        <v>18581</v>
      </c>
      <c r="AT330" s="38">
        <f t="shared" si="53"/>
        <v>19319.25</v>
      </c>
      <c r="AU330" s="71">
        <f t="shared" si="51"/>
        <v>128.61493908528061</v>
      </c>
    </row>
    <row r="331" spans="1:47" ht="15.6" x14ac:dyDescent="0.3">
      <c r="A331" s="55">
        <v>38022</v>
      </c>
      <c r="B331" s="56">
        <v>2668</v>
      </c>
      <c r="C331" s="56">
        <v>8686</v>
      </c>
      <c r="D331" s="56">
        <v>1072</v>
      </c>
      <c r="E331" s="56">
        <v>2536</v>
      </c>
      <c r="F331" s="56">
        <v>1217</v>
      </c>
      <c r="G331" s="56">
        <v>4642</v>
      </c>
      <c r="H331" s="56">
        <v>988</v>
      </c>
      <c r="I331" s="56">
        <v>3264</v>
      </c>
      <c r="J331" s="56">
        <v>198</v>
      </c>
      <c r="K331" s="56">
        <v>742</v>
      </c>
      <c r="L331" s="56">
        <v>6146</v>
      </c>
      <c r="M331" s="56">
        <v>19870</v>
      </c>
      <c r="N331" s="56">
        <v>9441</v>
      </c>
      <c r="O331" s="56">
        <v>21092</v>
      </c>
      <c r="P331" s="56">
        <v>4686</v>
      </c>
      <c r="Q331" s="56">
        <v>17889</v>
      </c>
      <c r="R331" s="16">
        <f t="shared" si="52"/>
        <v>20273</v>
      </c>
      <c r="T331" s="144">
        <f t="shared" si="54"/>
        <v>39163</v>
      </c>
      <c r="U331" s="154">
        <f>'copy data3'!B385</f>
        <v>1237</v>
      </c>
      <c r="V331" s="38">
        <f t="shared" si="35"/>
        <v>1276</v>
      </c>
      <c r="W331" s="71">
        <f t="shared" si="36"/>
        <v>96.301886792452834</v>
      </c>
      <c r="X331" s="154">
        <f>'copy data3'!D385</f>
        <v>784</v>
      </c>
      <c r="Y331" s="38">
        <f t="shared" si="37"/>
        <v>688.5</v>
      </c>
      <c r="Z331" s="71">
        <f t="shared" si="38"/>
        <v>247.66187050359713</v>
      </c>
      <c r="AA331" s="152">
        <f>'copy data3'!F385</f>
        <v>1025</v>
      </c>
      <c r="AB331" s="38">
        <f t="shared" si="39"/>
        <v>1010.75</v>
      </c>
      <c r="AC331" s="71">
        <f t="shared" si="40"/>
        <v>95.714962121212125</v>
      </c>
      <c r="AD331" s="152">
        <f>'copy data3'!H385</f>
        <v>931</v>
      </c>
      <c r="AE331" s="38">
        <f t="shared" si="41"/>
        <v>896</v>
      </c>
      <c r="AF331" s="71">
        <f t="shared" si="42"/>
        <v>131.5712187958884</v>
      </c>
      <c r="AG331" s="152">
        <f>'copy data3'!J385</f>
        <v>87</v>
      </c>
      <c r="AH331" s="38">
        <f t="shared" si="43"/>
        <v>81</v>
      </c>
      <c r="AI331" s="71">
        <f t="shared" si="44"/>
        <v>35.064935064935064</v>
      </c>
      <c r="AJ331" s="152">
        <f>'copy data3'!L385</f>
        <v>4064</v>
      </c>
      <c r="AK331" s="38">
        <f t="shared" si="45"/>
        <v>3951.75</v>
      </c>
      <c r="AL331" s="71">
        <f t="shared" si="46"/>
        <v>110.66227947353681</v>
      </c>
      <c r="AM331" s="152">
        <f>'copy data3'!N385</f>
        <v>10043</v>
      </c>
      <c r="AN331" s="38">
        <f t="shared" si="47"/>
        <v>10292.5</v>
      </c>
      <c r="AO331" s="71">
        <f t="shared" si="48"/>
        <v>110.85083467959073</v>
      </c>
      <c r="AP331" s="152">
        <f>'copy data3'!P385</f>
        <v>4316</v>
      </c>
      <c r="AQ331" s="38">
        <f t="shared" si="49"/>
        <v>4606.25</v>
      </c>
      <c r="AR331" s="71">
        <f t="shared" si="50"/>
        <v>242.6896733403583</v>
      </c>
      <c r="AS331" s="153">
        <f>'copy data3'!R385</f>
        <v>18423</v>
      </c>
      <c r="AT331" s="38">
        <f t="shared" si="53"/>
        <v>18850.5</v>
      </c>
      <c r="AU331" s="71">
        <f t="shared" si="51"/>
        <v>127.7653517690118</v>
      </c>
    </row>
    <row r="332" spans="1:47" ht="15.6" x14ac:dyDescent="0.3">
      <c r="A332" s="55">
        <v>37665</v>
      </c>
      <c r="B332" s="56">
        <v>1134</v>
      </c>
      <c r="C332" s="56">
        <v>5294</v>
      </c>
      <c r="D332" s="56">
        <v>445</v>
      </c>
      <c r="E332" s="56">
        <v>2194</v>
      </c>
      <c r="F332" s="56">
        <v>1157</v>
      </c>
      <c r="G332" s="56">
        <v>4807</v>
      </c>
      <c r="H332" s="56">
        <v>616</v>
      </c>
      <c r="I332" s="56">
        <v>2545</v>
      </c>
      <c r="J332" s="56">
        <v>128</v>
      </c>
      <c r="K332" s="56">
        <v>559</v>
      </c>
      <c r="L332" s="56">
        <v>3481</v>
      </c>
      <c r="M332" s="56">
        <v>15400</v>
      </c>
      <c r="N332" s="56">
        <v>4827</v>
      </c>
      <c r="O332" s="56">
        <v>18443</v>
      </c>
      <c r="P332" s="56">
        <v>5068</v>
      </c>
      <c r="Q332" s="56">
        <v>18936</v>
      </c>
      <c r="R332" s="16">
        <f t="shared" si="52"/>
        <v>13376</v>
      </c>
      <c r="T332" s="144">
        <f t="shared" si="54"/>
        <v>39170</v>
      </c>
      <c r="U332" s="154">
        <f>'copy data3'!B386</f>
        <v>1192</v>
      </c>
      <c r="V332" s="38">
        <f t="shared" si="35"/>
        <v>1243</v>
      </c>
      <c r="W332" s="71">
        <f t="shared" si="36"/>
        <v>91.062271062271066</v>
      </c>
      <c r="X332" s="154">
        <f>'copy data3'!D386</f>
        <v>729</v>
      </c>
      <c r="Y332" s="38">
        <f t="shared" si="37"/>
        <v>687.5</v>
      </c>
      <c r="Z332" s="71">
        <f t="shared" si="38"/>
        <v>241.2280701754386</v>
      </c>
      <c r="AA332" s="152">
        <f>'copy data3'!F386</f>
        <v>1003</v>
      </c>
      <c r="AB332" s="38">
        <f t="shared" si="39"/>
        <v>1015.5</v>
      </c>
      <c r="AC332" s="71">
        <f t="shared" si="40"/>
        <v>101.14541832669323</v>
      </c>
      <c r="AD332" s="152">
        <f>'copy data3'!H386</f>
        <v>879</v>
      </c>
      <c r="AE332" s="38">
        <f t="shared" si="41"/>
        <v>909.25</v>
      </c>
      <c r="AF332" s="71">
        <f t="shared" si="42"/>
        <v>141.84867394695789</v>
      </c>
      <c r="AG332" s="152">
        <f>'copy data3'!J386</f>
        <v>81</v>
      </c>
      <c r="AH332" s="38">
        <f t="shared" si="43"/>
        <v>76.75</v>
      </c>
      <c r="AI332" s="71">
        <f t="shared" si="44"/>
        <v>32.799145299145302</v>
      </c>
      <c r="AJ332" s="152">
        <f>'copy data3'!L386</f>
        <v>3884</v>
      </c>
      <c r="AK332" s="38">
        <f t="shared" si="45"/>
        <v>3931.5</v>
      </c>
      <c r="AL332" s="71">
        <f t="shared" si="46"/>
        <v>111.43707482993197</v>
      </c>
      <c r="AM332" s="152">
        <f>'copy data3'!N386</f>
        <v>9656</v>
      </c>
      <c r="AN332" s="38">
        <f t="shared" si="47"/>
        <v>10023.75</v>
      </c>
      <c r="AO332" s="71">
        <f t="shared" si="48"/>
        <v>114.49171901770416</v>
      </c>
      <c r="AP332" s="152">
        <f>'copy data3'!P386</f>
        <v>3789</v>
      </c>
      <c r="AQ332" s="38">
        <f t="shared" si="49"/>
        <v>4323.5</v>
      </c>
      <c r="AR332" s="71">
        <f t="shared" si="50"/>
        <v>242.07726763717807</v>
      </c>
      <c r="AS332" s="153">
        <f>'copy data3'!R386</f>
        <v>17329</v>
      </c>
      <c r="AT332" s="38">
        <f t="shared" si="53"/>
        <v>18278.75</v>
      </c>
      <c r="AU332" s="71">
        <f t="shared" si="51"/>
        <v>129.92216930840857</v>
      </c>
    </row>
    <row r="333" spans="1:47" ht="15.6" x14ac:dyDescent="0.3">
      <c r="A333" s="55">
        <v>38029</v>
      </c>
      <c r="B333" s="56">
        <v>2514</v>
      </c>
      <c r="C333" s="56">
        <v>8980</v>
      </c>
      <c r="D333" s="56">
        <v>1023</v>
      </c>
      <c r="E333" s="56">
        <v>2629</v>
      </c>
      <c r="F333" s="56">
        <v>1183</v>
      </c>
      <c r="G333" s="56">
        <v>4732</v>
      </c>
      <c r="H333" s="56">
        <v>892</v>
      </c>
      <c r="I333" s="56">
        <v>3436</v>
      </c>
      <c r="J333" s="56">
        <v>201</v>
      </c>
      <c r="K333" s="56">
        <v>762</v>
      </c>
      <c r="L333" s="56">
        <v>5813</v>
      </c>
      <c r="M333" s="56">
        <v>20540</v>
      </c>
      <c r="N333" s="56">
        <v>9522</v>
      </c>
      <c r="O333" s="56">
        <v>21936</v>
      </c>
      <c r="P333" s="56">
        <v>4265</v>
      </c>
      <c r="Q333" s="56">
        <v>18524</v>
      </c>
      <c r="R333" s="16">
        <f t="shared" si="52"/>
        <v>19600</v>
      </c>
      <c r="T333" s="144">
        <f t="shared" si="54"/>
        <v>39177</v>
      </c>
      <c r="U333" s="154">
        <f>'copy data3'!B387</f>
        <v>1277</v>
      </c>
      <c r="V333" s="38">
        <f t="shared" si="35"/>
        <v>1243.5</v>
      </c>
      <c r="W333" s="71">
        <f t="shared" si="36"/>
        <v>94.49088145896657</v>
      </c>
      <c r="X333" s="154">
        <f>'copy data3'!D387</f>
        <v>830</v>
      </c>
      <c r="Y333" s="38">
        <f t="shared" si="37"/>
        <v>734.5</v>
      </c>
      <c r="Z333" s="71">
        <f t="shared" si="38"/>
        <v>252.40549828178695</v>
      </c>
      <c r="AA333" s="152">
        <f>'copy data3'!F387</f>
        <v>1139</v>
      </c>
      <c r="AB333" s="38">
        <f t="shared" si="39"/>
        <v>1052.75</v>
      </c>
      <c r="AC333" s="71">
        <f t="shared" si="40"/>
        <v>107.53319713993872</v>
      </c>
      <c r="AD333" s="152">
        <f>'copy data3'!H387</f>
        <v>832</v>
      </c>
      <c r="AE333" s="38">
        <f t="shared" si="41"/>
        <v>893.5</v>
      </c>
      <c r="AF333" s="71">
        <f t="shared" si="42"/>
        <v>141.15323854660346</v>
      </c>
      <c r="AG333" s="152">
        <f>'copy data3'!J387</f>
        <v>114</v>
      </c>
      <c r="AH333" s="38">
        <f t="shared" si="43"/>
        <v>89</v>
      </c>
      <c r="AI333" s="71">
        <f t="shared" si="44"/>
        <v>40.271493212669682</v>
      </c>
      <c r="AJ333" s="152">
        <f>'copy data3'!L387</f>
        <v>4193</v>
      </c>
      <c r="AK333" s="38">
        <f t="shared" si="45"/>
        <v>4013.5</v>
      </c>
      <c r="AL333" s="71">
        <f t="shared" si="46"/>
        <v>116.73938336242</v>
      </c>
      <c r="AM333" s="152">
        <f>'copy data3'!N387</f>
        <v>10247</v>
      </c>
      <c r="AN333" s="38">
        <f t="shared" si="47"/>
        <v>10003</v>
      </c>
      <c r="AO333" s="71">
        <f t="shared" si="48"/>
        <v>115.14907332796132</v>
      </c>
      <c r="AP333" s="152">
        <f>'copy data3'!P387</f>
        <v>3394</v>
      </c>
      <c r="AQ333" s="38">
        <f t="shared" si="49"/>
        <v>4025.25</v>
      </c>
      <c r="AR333" s="71">
        <f t="shared" si="50"/>
        <v>207.27342945417098</v>
      </c>
      <c r="AS333" s="153">
        <f>'copy data3'!R387</f>
        <v>17834</v>
      </c>
      <c r="AT333" s="38">
        <f t="shared" si="53"/>
        <v>18041.75</v>
      </c>
      <c r="AU333" s="71">
        <f t="shared" si="51"/>
        <v>128.25584701784319</v>
      </c>
    </row>
    <row r="334" spans="1:47" ht="15.6" x14ac:dyDescent="0.3">
      <c r="A334" s="55">
        <v>37672</v>
      </c>
      <c r="B334" s="56">
        <v>1086</v>
      </c>
      <c r="C334" s="56">
        <v>5359</v>
      </c>
      <c r="D334" s="56">
        <v>421</v>
      </c>
      <c r="E334" s="56">
        <v>2243</v>
      </c>
      <c r="F334" s="56">
        <v>1207</v>
      </c>
      <c r="G334" s="56">
        <v>4841</v>
      </c>
      <c r="H334" s="56">
        <v>604</v>
      </c>
      <c r="I334" s="56">
        <v>2576</v>
      </c>
      <c r="J334" s="56">
        <v>150</v>
      </c>
      <c r="K334" s="56">
        <v>559</v>
      </c>
      <c r="L334" s="56">
        <v>3468</v>
      </c>
      <c r="M334" s="56">
        <v>15579</v>
      </c>
      <c r="N334" s="56">
        <v>4775</v>
      </c>
      <c r="O334" s="56">
        <v>19183</v>
      </c>
      <c r="P334" s="56">
        <v>4445</v>
      </c>
      <c r="Q334" s="56">
        <v>19861</v>
      </c>
      <c r="R334" s="16">
        <f t="shared" si="52"/>
        <v>12688</v>
      </c>
      <c r="T334" s="144">
        <f t="shared" si="54"/>
        <v>39184</v>
      </c>
      <c r="U334" s="154">
        <f>'copy data3'!B388</f>
        <v>1169</v>
      </c>
      <c r="V334" s="38">
        <f t="shared" si="35"/>
        <v>1218.75</v>
      </c>
      <c r="W334" s="71">
        <f t="shared" si="36"/>
        <v>93.75</v>
      </c>
      <c r="X334" s="154">
        <f>'copy data3'!D388</f>
        <v>740</v>
      </c>
      <c r="Y334" s="38">
        <f t="shared" si="37"/>
        <v>770.75</v>
      </c>
      <c r="Z334" s="71">
        <f t="shared" si="38"/>
        <v>286.52416356877325</v>
      </c>
      <c r="AA334" s="152">
        <f>'copy data3'!F388</f>
        <v>1084</v>
      </c>
      <c r="AB334" s="38">
        <f t="shared" si="39"/>
        <v>1062.75</v>
      </c>
      <c r="AC334" s="71">
        <f t="shared" si="40"/>
        <v>103.27988338192419</v>
      </c>
      <c r="AD334" s="152">
        <f>'copy data3'!H388</f>
        <v>722</v>
      </c>
      <c r="AE334" s="38">
        <f t="shared" si="41"/>
        <v>841</v>
      </c>
      <c r="AF334" s="71">
        <f t="shared" si="42"/>
        <v>137.64320785597383</v>
      </c>
      <c r="AG334" s="152">
        <f>'copy data3'!J388</f>
        <v>128</v>
      </c>
      <c r="AH334" s="38">
        <f t="shared" si="43"/>
        <v>102.5</v>
      </c>
      <c r="AI334" s="71">
        <f t="shared" si="44"/>
        <v>46.590909090909086</v>
      </c>
      <c r="AJ334" s="152">
        <f>'copy data3'!L388</f>
        <v>3842</v>
      </c>
      <c r="AK334" s="38">
        <f t="shared" si="45"/>
        <v>3995.75</v>
      </c>
      <c r="AL334" s="71">
        <f t="shared" si="46"/>
        <v>116.49416909620992</v>
      </c>
      <c r="AM334" s="152">
        <f>'copy data3'!N388</f>
        <v>10152</v>
      </c>
      <c r="AN334" s="38">
        <f t="shared" si="47"/>
        <v>10024.5</v>
      </c>
      <c r="AO334" s="71">
        <f t="shared" si="48"/>
        <v>112.78690369036903</v>
      </c>
      <c r="AP334" s="152">
        <f>'copy data3'!P388</f>
        <v>3201</v>
      </c>
      <c r="AQ334" s="38">
        <f t="shared" si="49"/>
        <v>3675</v>
      </c>
      <c r="AR334" s="71">
        <f t="shared" si="50"/>
        <v>198.86363636363635</v>
      </c>
      <c r="AS334" s="153">
        <f>'copy data3'!R388</f>
        <v>17195</v>
      </c>
      <c r="AT334" s="38">
        <f t="shared" si="53"/>
        <v>17695.25</v>
      </c>
      <c r="AU334" s="71">
        <f t="shared" si="51"/>
        <v>124.91352534236906</v>
      </c>
    </row>
    <row r="335" spans="1:47" ht="15.6" x14ac:dyDescent="0.3">
      <c r="A335" s="55">
        <v>38036</v>
      </c>
      <c r="B335" s="56">
        <v>2351</v>
      </c>
      <c r="C335" s="56">
        <v>9185</v>
      </c>
      <c r="D335" s="56">
        <v>1003</v>
      </c>
      <c r="E335" s="56">
        <v>2700</v>
      </c>
      <c r="F335" s="56">
        <v>1266</v>
      </c>
      <c r="G335" s="56">
        <v>4792</v>
      </c>
      <c r="H335" s="56">
        <v>1044</v>
      </c>
      <c r="I335" s="56">
        <v>3458</v>
      </c>
      <c r="J335" s="56">
        <v>203</v>
      </c>
      <c r="K335" s="56">
        <v>765</v>
      </c>
      <c r="L335" s="56">
        <v>5867</v>
      </c>
      <c r="M335" s="56">
        <v>20901</v>
      </c>
      <c r="N335" s="56">
        <v>9512</v>
      </c>
      <c r="O335" s="56">
        <v>22933</v>
      </c>
      <c r="P335" s="56">
        <v>3673</v>
      </c>
      <c r="Q335" s="56">
        <v>19111</v>
      </c>
      <c r="R335" s="16">
        <f t="shared" si="52"/>
        <v>19052</v>
      </c>
      <c r="T335" s="144">
        <f t="shared" si="54"/>
        <v>39191</v>
      </c>
      <c r="U335" s="154">
        <f>'copy data3'!B389</f>
        <v>1196</v>
      </c>
      <c r="V335" s="38">
        <f t="shared" si="35"/>
        <v>1208.5</v>
      </c>
      <c r="W335" s="71">
        <f t="shared" si="36"/>
        <v>102.67629566694987</v>
      </c>
      <c r="X335" s="154">
        <f>'copy data3'!D389</f>
        <v>716</v>
      </c>
      <c r="Y335" s="38">
        <f t="shared" si="37"/>
        <v>753.75</v>
      </c>
      <c r="Z335" s="71">
        <f t="shared" si="38"/>
        <v>287.69083969465646</v>
      </c>
      <c r="AA335" s="152">
        <f>'copy data3'!F389</f>
        <v>1051</v>
      </c>
      <c r="AB335" s="38">
        <f t="shared" si="39"/>
        <v>1069.25</v>
      </c>
      <c r="AC335" s="71">
        <f t="shared" si="40"/>
        <v>112.67123287671232</v>
      </c>
      <c r="AD335" s="152">
        <f>'copy data3'!H389</f>
        <v>685</v>
      </c>
      <c r="AE335" s="38">
        <f t="shared" si="41"/>
        <v>779.5</v>
      </c>
      <c r="AF335" s="71">
        <f t="shared" si="42"/>
        <v>145.15828677839849</v>
      </c>
      <c r="AG335" s="152">
        <f>'copy data3'!J389</f>
        <v>123</v>
      </c>
      <c r="AH335" s="38">
        <f t="shared" si="43"/>
        <v>111.5</v>
      </c>
      <c r="AI335" s="71">
        <f t="shared" si="44"/>
        <v>73.35526315789474</v>
      </c>
      <c r="AJ335" s="152">
        <f>'copy data3'!L389</f>
        <v>3771</v>
      </c>
      <c r="AK335" s="38">
        <f t="shared" si="45"/>
        <v>3922.5</v>
      </c>
      <c r="AL335" s="71">
        <f t="shared" si="46"/>
        <v>127.51950585175553</v>
      </c>
      <c r="AM335" s="152">
        <f>'copy data3'!N389</f>
        <v>10350</v>
      </c>
      <c r="AN335" s="38">
        <f t="shared" si="47"/>
        <v>10101.25</v>
      </c>
      <c r="AO335" s="71">
        <f t="shared" si="48"/>
        <v>119.18879056047199</v>
      </c>
      <c r="AP335" s="152">
        <f>'copy data3'!P389</f>
        <v>3169</v>
      </c>
      <c r="AQ335" s="38">
        <f t="shared" si="49"/>
        <v>3388.25</v>
      </c>
      <c r="AR335" s="71">
        <f t="shared" si="50"/>
        <v>200.84469472436277</v>
      </c>
      <c r="AS335" s="153">
        <f>'copy data3'!R389</f>
        <v>17290</v>
      </c>
      <c r="AT335" s="38">
        <f t="shared" si="53"/>
        <v>17412</v>
      </c>
      <c r="AU335" s="71">
        <f t="shared" si="51"/>
        <v>131.53044266505515</v>
      </c>
    </row>
    <row r="336" spans="1:47" ht="15.6" x14ac:dyDescent="0.3">
      <c r="A336" s="55">
        <v>37679</v>
      </c>
      <c r="B336" s="56">
        <v>1003</v>
      </c>
      <c r="C336" s="56">
        <v>5486</v>
      </c>
      <c r="D336" s="56">
        <v>408</v>
      </c>
      <c r="E336" s="56">
        <v>2261</v>
      </c>
      <c r="F336" s="56">
        <v>1186</v>
      </c>
      <c r="G336" s="56">
        <v>4914</v>
      </c>
      <c r="H336" s="56">
        <v>525</v>
      </c>
      <c r="I336" s="56">
        <v>2693</v>
      </c>
      <c r="J336" s="56">
        <v>150</v>
      </c>
      <c r="K336" s="56">
        <v>560</v>
      </c>
      <c r="L336" s="56">
        <v>3272</v>
      </c>
      <c r="M336" s="56">
        <v>15914</v>
      </c>
      <c r="N336" s="56">
        <v>5465</v>
      </c>
      <c r="O336" s="56">
        <v>19904</v>
      </c>
      <c r="P336" s="56">
        <v>4445</v>
      </c>
      <c r="Q336" s="56">
        <v>19861</v>
      </c>
      <c r="R336" s="16">
        <f t="shared" ref="R336:R399" si="55">P336+N336+L336</f>
        <v>13182</v>
      </c>
      <c r="T336" s="144">
        <f t="shared" si="54"/>
        <v>39198</v>
      </c>
      <c r="U336" s="154">
        <f>'copy data3'!B390</f>
        <v>1141</v>
      </c>
      <c r="V336" s="38">
        <f t="shared" si="35"/>
        <v>1195.75</v>
      </c>
      <c r="W336" s="71">
        <f t="shared" si="36"/>
        <v>112.17166979362101</v>
      </c>
      <c r="X336" s="154">
        <f>'copy data3'!D390</f>
        <v>651</v>
      </c>
      <c r="Y336" s="38">
        <f t="shared" si="37"/>
        <v>734.25</v>
      </c>
      <c r="Z336" s="71">
        <f t="shared" si="38"/>
        <v>260.37234042553189</v>
      </c>
      <c r="AA336" s="152">
        <f>'copy data3'!F390</f>
        <v>946</v>
      </c>
      <c r="AB336" s="38">
        <f t="shared" si="39"/>
        <v>1055</v>
      </c>
      <c r="AC336" s="71">
        <f t="shared" si="40"/>
        <v>115.67982456140351</v>
      </c>
      <c r="AD336" s="152">
        <f>'copy data3'!H390</f>
        <v>617</v>
      </c>
      <c r="AE336" s="38">
        <f t="shared" si="41"/>
        <v>714</v>
      </c>
      <c r="AF336" s="71">
        <f t="shared" si="42"/>
        <v>163.76146788990826</v>
      </c>
      <c r="AG336" s="152">
        <f>'copy data3'!J390</f>
        <v>123</v>
      </c>
      <c r="AH336" s="38">
        <f t="shared" si="43"/>
        <v>122</v>
      </c>
      <c r="AI336" s="71">
        <f t="shared" si="44"/>
        <v>74.846625766871171</v>
      </c>
      <c r="AJ336" s="152">
        <f>'copy data3'!L390</f>
        <v>3478</v>
      </c>
      <c r="AK336" s="38">
        <f t="shared" si="45"/>
        <v>3821</v>
      </c>
      <c r="AL336" s="71">
        <f t="shared" si="46"/>
        <v>133.64812871633438</v>
      </c>
      <c r="AM336" s="152">
        <f>'copy data3'!N390</f>
        <v>9880</v>
      </c>
      <c r="AN336" s="38">
        <f t="shared" si="47"/>
        <v>10157.25</v>
      </c>
      <c r="AO336" s="71">
        <f t="shared" si="48"/>
        <v>116.70975525680799</v>
      </c>
      <c r="AP336" s="152">
        <f>'copy data3'!P390</f>
        <v>2667</v>
      </c>
      <c r="AQ336" s="38">
        <f t="shared" si="49"/>
        <v>3107.75</v>
      </c>
      <c r="AR336" s="71">
        <f t="shared" si="50"/>
        <v>205.94764744864148</v>
      </c>
      <c r="AS336" s="153">
        <f>'copy data3'!R390</f>
        <v>16025</v>
      </c>
      <c r="AT336" s="38">
        <f t="shared" si="53"/>
        <v>17086</v>
      </c>
      <c r="AU336" s="71">
        <f t="shared" si="51"/>
        <v>130.71685410450615</v>
      </c>
    </row>
    <row r="337" spans="1:47" ht="15.6" x14ac:dyDescent="0.3">
      <c r="A337" s="55">
        <v>38043</v>
      </c>
      <c r="B337" s="56">
        <v>2252</v>
      </c>
      <c r="C337" s="56">
        <v>9475</v>
      </c>
      <c r="D337" s="56">
        <v>961</v>
      </c>
      <c r="E337" s="56">
        <v>2786</v>
      </c>
      <c r="F337" s="56">
        <v>1386</v>
      </c>
      <c r="G337" s="56">
        <v>4897</v>
      </c>
      <c r="H337" s="56">
        <v>902</v>
      </c>
      <c r="I337" s="56">
        <v>3701</v>
      </c>
      <c r="J337" s="56">
        <v>173</v>
      </c>
      <c r="K337" s="56">
        <v>799</v>
      </c>
      <c r="L337" s="56">
        <v>5673</v>
      </c>
      <c r="M337" s="56">
        <v>21658</v>
      </c>
      <c r="N337" s="56">
        <v>9094</v>
      </c>
      <c r="O337" s="56">
        <v>23745</v>
      </c>
      <c r="P337" s="56">
        <v>3673</v>
      </c>
      <c r="Q337" s="56">
        <v>19111</v>
      </c>
      <c r="R337" s="16">
        <f t="shared" si="55"/>
        <v>18440</v>
      </c>
      <c r="T337" s="144">
        <f t="shared" si="54"/>
        <v>39205</v>
      </c>
      <c r="U337" s="154">
        <f>'copy data3'!B391</f>
        <v>1036</v>
      </c>
      <c r="V337" s="38">
        <f t="shared" si="35"/>
        <v>1135.5</v>
      </c>
      <c r="W337" s="71">
        <f t="shared" si="36"/>
        <v>128.74149659863946</v>
      </c>
      <c r="X337" s="154">
        <f>'copy data3'!D391</f>
        <v>526</v>
      </c>
      <c r="Y337" s="38">
        <f t="shared" si="37"/>
        <v>658.25</v>
      </c>
      <c r="Z337" s="71">
        <f t="shared" si="38"/>
        <v>215.81967213114751</v>
      </c>
      <c r="AA337" s="152">
        <f>'copy data3'!F391</f>
        <v>950</v>
      </c>
      <c r="AB337" s="38">
        <f t="shared" si="39"/>
        <v>1007.75</v>
      </c>
      <c r="AC337" s="71">
        <f t="shared" si="40"/>
        <v>126.9206549118388</v>
      </c>
      <c r="AD337" s="152">
        <f>'copy data3'!H391</f>
        <v>609</v>
      </c>
      <c r="AE337" s="38">
        <f t="shared" si="41"/>
        <v>658.25</v>
      </c>
      <c r="AF337" s="71">
        <f t="shared" si="42"/>
        <v>137.99790356394129</v>
      </c>
      <c r="AG337" s="152">
        <f>'copy data3'!J391</f>
        <v>105</v>
      </c>
      <c r="AH337" s="38">
        <f t="shared" si="43"/>
        <v>119.75</v>
      </c>
      <c r="AI337" s="71">
        <f t="shared" si="44"/>
        <v>98.155737704918039</v>
      </c>
      <c r="AJ337" s="152">
        <f>'copy data3'!L391</f>
        <v>3226</v>
      </c>
      <c r="AK337" s="38">
        <f t="shared" si="45"/>
        <v>3579.25</v>
      </c>
      <c r="AL337" s="71">
        <f t="shared" si="46"/>
        <v>138.78441256300891</v>
      </c>
      <c r="AM337" s="152">
        <f>'copy data3'!N391</f>
        <v>9468</v>
      </c>
      <c r="AN337" s="38">
        <f t="shared" si="47"/>
        <v>9962.5</v>
      </c>
      <c r="AO337" s="71">
        <f t="shared" si="48"/>
        <v>114.47202114213491</v>
      </c>
      <c r="AP337" s="152">
        <f>'copy data3'!P391</f>
        <v>2475</v>
      </c>
      <c r="AQ337" s="38">
        <f t="shared" si="49"/>
        <v>2878</v>
      </c>
      <c r="AR337" s="71">
        <f t="shared" si="50"/>
        <v>176.13219094247245</v>
      </c>
      <c r="AS337" s="153">
        <f>'copy data3'!R391</f>
        <v>15169</v>
      </c>
      <c r="AT337" s="38">
        <f t="shared" si="53"/>
        <v>16419.75</v>
      </c>
      <c r="AU337" s="71">
        <f t="shared" si="51"/>
        <v>127.12720656550016</v>
      </c>
    </row>
    <row r="338" spans="1:47" ht="15.6" x14ac:dyDescent="0.3">
      <c r="A338" s="55">
        <v>37686</v>
      </c>
      <c r="B338" s="56">
        <v>964</v>
      </c>
      <c r="C338" s="56">
        <v>5597</v>
      </c>
      <c r="D338" s="56">
        <v>371</v>
      </c>
      <c r="E338" s="56">
        <v>2315</v>
      </c>
      <c r="F338" s="56">
        <v>1115</v>
      </c>
      <c r="G338" s="56">
        <v>5084</v>
      </c>
      <c r="H338" s="56">
        <v>553</v>
      </c>
      <c r="I338" s="56">
        <v>2756</v>
      </c>
      <c r="J338" s="56">
        <v>144</v>
      </c>
      <c r="K338" s="56">
        <v>570</v>
      </c>
      <c r="L338" s="56">
        <v>3146</v>
      </c>
      <c r="M338" s="56">
        <v>16321</v>
      </c>
      <c r="N338" s="56">
        <v>5631</v>
      </c>
      <c r="O338" s="56">
        <v>20444</v>
      </c>
      <c r="P338" s="56">
        <v>3590</v>
      </c>
      <c r="Q338" s="56">
        <v>21689</v>
      </c>
      <c r="R338" s="16">
        <f t="shared" si="55"/>
        <v>12367</v>
      </c>
      <c r="T338" s="144">
        <f t="shared" si="54"/>
        <v>39212</v>
      </c>
      <c r="U338" s="154">
        <f>'copy data3'!B392</f>
        <v>971</v>
      </c>
      <c r="V338" s="38">
        <f t="shared" si="35"/>
        <v>1086</v>
      </c>
      <c r="W338" s="71">
        <f t="shared" si="36"/>
        <v>128.82562277580072</v>
      </c>
      <c r="X338" s="154">
        <f>'copy data3'!D392</f>
        <v>426</v>
      </c>
      <c r="Y338" s="38">
        <f t="shared" si="37"/>
        <v>579.75</v>
      </c>
      <c r="Z338" s="71">
        <f t="shared" si="38"/>
        <v>204.85865724381625</v>
      </c>
      <c r="AA338" s="152">
        <f>'copy data3'!F392</f>
        <v>789</v>
      </c>
      <c r="AB338" s="38">
        <f t="shared" si="39"/>
        <v>934</v>
      </c>
      <c r="AC338" s="71">
        <f t="shared" si="40"/>
        <v>144.80620155038758</v>
      </c>
      <c r="AD338" s="152">
        <f>'copy data3'!H392</f>
        <v>432</v>
      </c>
      <c r="AE338" s="38">
        <f t="shared" si="41"/>
        <v>585.75</v>
      </c>
      <c r="AF338" s="71">
        <f t="shared" si="42"/>
        <v>140.46762589928056</v>
      </c>
      <c r="AG338" s="152">
        <f>'copy data3'!J392</f>
        <v>99</v>
      </c>
      <c r="AH338" s="38">
        <f t="shared" si="43"/>
        <v>112.5</v>
      </c>
      <c r="AI338" s="71">
        <f t="shared" si="44"/>
        <v>130.81395348837211</v>
      </c>
      <c r="AJ338" s="152">
        <f>'copy data3'!L392</f>
        <v>2716</v>
      </c>
      <c r="AK338" s="38">
        <f t="shared" si="45"/>
        <v>3297.75</v>
      </c>
      <c r="AL338" s="71">
        <f t="shared" si="46"/>
        <v>145.01978891820579</v>
      </c>
      <c r="AM338" s="152">
        <f>'copy data3'!N392</f>
        <v>9835</v>
      </c>
      <c r="AN338" s="38">
        <f t="shared" si="47"/>
        <v>9883.25</v>
      </c>
      <c r="AO338" s="71">
        <f t="shared" si="48"/>
        <v>107.93109096865786</v>
      </c>
      <c r="AP338" s="152">
        <f>'copy data3'!P392</f>
        <v>2454</v>
      </c>
      <c r="AQ338" s="38">
        <f t="shared" si="49"/>
        <v>2691.25</v>
      </c>
      <c r="AR338" s="71">
        <f t="shared" si="50"/>
        <v>152.56519274376416</v>
      </c>
      <c r="AS338" s="153">
        <f>'copy data3'!R392</f>
        <v>15005</v>
      </c>
      <c r="AT338" s="38">
        <f t="shared" si="53"/>
        <v>15872.25</v>
      </c>
      <c r="AU338" s="71">
        <f t="shared" si="51"/>
        <v>120.28988253126185</v>
      </c>
    </row>
    <row r="339" spans="1:47" ht="15.6" x14ac:dyDescent="0.3">
      <c r="A339" s="55">
        <v>38050</v>
      </c>
      <c r="B339" s="56">
        <v>2234</v>
      </c>
      <c r="C339" s="56">
        <v>9720</v>
      </c>
      <c r="D339" s="56">
        <v>911</v>
      </c>
      <c r="E339" s="56">
        <v>2876</v>
      </c>
      <c r="F339" s="56">
        <v>1422</v>
      </c>
      <c r="G339" s="56">
        <v>5005</v>
      </c>
      <c r="H339" s="56">
        <v>1001</v>
      </c>
      <c r="I339" s="56">
        <v>3782</v>
      </c>
      <c r="J339" s="56">
        <v>146</v>
      </c>
      <c r="K339" s="56">
        <v>823</v>
      </c>
      <c r="L339" s="56">
        <v>5715</v>
      </c>
      <c r="M339" s="56">
        <v>22205</v>
      </c>
      <c r="N339" s="56">
        <v>8330</v>
      </c>
      <c r="O339" s="56">
        <v>25060</v>
      </c>
      <c r="P339" s="56">
        <v>2820</v>
      </c>
      <c r="Q339" s="56">
        <v>20196</v>
      </c>
      <c r="R339" s="16">
        <f t="shared" si="55"/>
        <v>16865</v>
      </c>
      <c r="T339" s="144">
        <f t="shared" si="54"/>
        <v>39219</v>
      </c>
      <c r="U339" s="154">
        <f>'copy data3'!B393</f>
        <v>820</v>
      </c>
      <c r="V339" s="38">
        <f t="shared" si="35"/>
        <v>992</v>
      </c>
      <c r="W339" s="71">
        <f t="shared" si="36"/>
        <v>146.31268436578171</v>
      </c>
      <c r="X339" s="154">
        <f>'copy data3'!D393</f>
        <v>336</v>
      </c>
      <c r="Y339" s="38">
        <f t="shared" si="37"/>
        <v>484.75</v>
      </c>
      <c r="Z339" s="71">
        <f t="shared" si="38"/>
        <v>198.66803278688525</v>
      </c>
      <c r="AA339" s="152">
        <f>'copy data3'!F393</f>
        <v>577</v>
      </c>
      <c r="AB339" s="38">
        <f t="shared" si="39"/>
        <v>815.5</v>
      </c>
      <c r="AC339" s="71">
        <f t="shared" si="40"/>
        <v>157.43243243243242</v>
      </c>
      <c r="AD339" s="152">
        <f>'copy data3'!H393</f>
        <v>287</v>
      </c>
      <c r="AE339" s="38">
        <f t="shared" si="41"/>
        <v>486.25</v>
      </c>
      <c r="AF339" s="71">
        <f t="shared" si="42"/>
        <v>140.12968299711815</v>
      </c>
      <c r="AG339" s="152">
        <f>'copy data3'!J393</f>
        <v>28</v>
      </c>
      <c r="AH339" s="38">
        <f t="shared" si="43"/>
        <v>88.75</v>
      </c>
      <c r="AI339" s="71">
        <f t="shared" si="44"/>
        <v>253.57142857142856</v>
      </c>
      <c r="AJ339" s="152">
        <f>'copy data3'!L393</f>
        <v>2048</v>
      </c>
      <c r="AK339" s="38">
        <f t="shared" si="45"/>
        <v>2867</v>
      </c>
      <c r="AL339" s="71">
        <f t="shared" si="46"/>
        <v>157.44096650192202</v>
      </c>
      <c r="AM339" s="152">
        <f>'copy data3'!N393</f>
        <v>9682</v>
      </c>
      <c r="AN339" s="38">
        <f t="shared" si="47"/>
        <v>9716.25</v>
      </c>
      <c r="AO339" s="71">
        <f t="shared" si="48"/>
        <v>110.21154718693285</v>
      </c>
      <c r="AP339" s="152">
        <f>'copy data3'!P393</f>
        <v>2207</v>
      </c>
      <c r="AQ339" s="38">
        <f t="shared" si="49"/>
        <v>2450.75</v>
      </c>
      <c r="AR339" s="71">
        <f t="shared" si="50"/>
        <v>134.8047304730473</v>
      </c>
      <c r="AS339" s="153">
        <f>'copy data3'!R393</f>
        <v>13937</v>
      </c>
      <c r="AT339" s="38">
        <f t="shared" si="53"/>
        <v>15034</v>
      </c>
      <c r="AU339" s="71">
        <f t="shared" si="51"/>
        <v>120.7065435568045</v>
      </c>
    </row>
    <row r="340" spans="1:47" ht="15.6" x14ac:dyDescent="0.3">
      <c r="A340" s="55">
        <v>37693</v>
      </c>
      <c r="B340" s="56">
        <v>1074</v>
      </c>
      <c r="C340" s="56">
        <v>5660</v>
      </c>
      <c r="D340" s="56">
        <v>360</v>
      </c>
      <c r="E340" s="56">
        <v>2353</v>
      </c>
      <c r="F340" s="56">
        <v>1163</v>
      </c>
      <c r="G340" s="56">
        <v>5198</v>
      </c>
      <c r="H340" s="56">
        <v>500</v>
      </c>
      <c r="I340" s="56">
        <v>2850</v>
      </c>
      <c r="J340" s="56">
        <v>128</v>
      </c>
      <c r="K340" s="56">
        <v>601</v>
      </c>
      <c r="L340" s="56">
        <v>3224</v>
      </c>
      <c r="M340" s="56">
        <v>16601</v>
      </c>
      <c r="N340" s="56">
        <v>6013</v>
      </c>
      <c r="O340" s="56">
        <v>21231</v>
      </c>
      <c r="P340" s="56">
        <v>3371</v>
      </c>
      <c r="Q340" s="56">
        <v>22246</v>
      </c>
      <c r="R340" s="16">
        <f t="shared" si="55"/>
        <v>12608</v>
      </c>
      <c r="T340" s="144">
        <f t="shared" si="54"/>
        <v>39226</v>
      </c>
      <c r="U340" s="154">
        <f>'copy data3'!B394</f>
        <v>560</v>
      </c>
      <c r="V340" s="38">
        <f t="shared" si="35"/>
        <v>846.75</v>
      </c>
      <c r="W340" s="71">
        <f t="shared" si="36"/>
        <v>179.01691331923891</v>
      </c>
      <c r="X340" s="154">
        <f>'copy data3'!D394</f>
        <v>290</v>
      </c>
      <c r="Y340" s="38">
        <f t="shared" si="37"/>
        <v>394.5</v>
      </c>
      <c r="Z340" s="71">
        <f t="shared" si="38"/>
        <v>236.22754491017966</v>
      </c>
      <c r="AA340" s="152">
        <f>'copy data3'!F394</f>
        <v>375</v>
      </c>
      <c r="AB340" s="38">
        <f t="shared" si="39"/>
        <v>672.75</v>
      </c>
      <c r="AC340" s="71">
        <f t="shared" si="40"/>
        <v>177.03947368421055</v>
      </c>
      <c r="AD340" s="152">
        <f>'copy data3'!H394</f>
        <v>167</v>
      </c>
      <c r="AE340" s="38">
        <f t="shared" si="41"/>
        <v>373.75</v>
      </c>
      <c r="AF340" s="71">
        <f t="shared" si="42"/>
        <v>119.79166666666667</v>
      </c>
      <c r="AG340" s="152">
        <f>'copy data3'!J394</f>
        <v>27</v>
      </c>
      <c r="AH340" s="38">
        <f t="shared" si="43"/>
        <v>64.75</v>
      </c>
      <c r="AI340" s="71">
        <f t="shared" si="44"/>
        <v>719.44444444444446</v>
      </c>
      <c r="AJ340" s="152">
        <f>'copy data3'!L394</f>
        <v>1419</v>
      </c>
      <c r="AK340" s="38">
        <f t="shared" si="45"/>
        <v>2352.25</v>
      </c>
      <c r="AL340" s="71">
        <f t="shared" si="46"/>
        <v>175.41014168530947</v>
      </c>
      <c r="AM340" s="152">
        <f>'copy data3'!N394</f>
        <v>9268</v>
      </c>
      <c r="AN340" s="38">
        <f t="shared" si="47"/>
        <v>9563.25</v>
      </c>
      <c r="AO340" s="71">
        <f t="shared" si="48"/>
        <v>109.70804175748536</v>
      </c>
      <c r="AP340" s="152">
        <f>'copy data3'!P394</f>
        <v>2332</v>
      </c>
      <c r="AQ340" s="38">
        <f t="shared" si="49"/>
        <v>2367</v>
      </c>
      <c r="AR340" s="71">
        <f t="shared" si="50"/>
        <v>130.84577114427859</v>
      </c>
      <c r="AS340" s="153">
        <f>'copy data3'!R394</f>
        <v>13019</v>
      </c>
      <c r="AT340" s="38">
        <f t="shared" si="53"/>
        <v>14282.5</v>
      </c>
      <c r="AU340" s="71">
        <f t="shared" si="51"/>
        <v>120.35476531558102</v>
      </c>
    </row>
    <row r="341" spans="1:47" ht="15.6" x14ac:dyDescent="0.3">
      <c r="A341" s="55">
        <v>38057</v>
      </c>
      <c r="B341" s="56">
        <v>2191</v>
      </c>
      <c r="C341" s="56">
        <v>9997</v>
      </c>
      <c r="D341" s="56">
        <v>837</v>
      </c>
      <c r="E341" s="56">
        <v>2970</v>
      </c>
      <c r="F341" s="56">
        <v>1309</v>
      </c>
      <c r="G341" s="56">
        <v>5225</v>
      </c>
      <c r="H341" s="56">
        <v>909</v>
      </c>
      <c r="I341" s="56">
        <v>3928</v>
      </c>
      <c r="J341" s="56">
        <v>142</v>
      </c>
      <c r="K341" s="56">
        <v>833</v>
      </c>
      <c r="L341" s="56">
        <v>5388</v>
      </c>
      <c r="M341" s="56">
        <v>22952</v>
      </c>
      <c r="N341" s="56">
        <v>8707</v>
      </c>
      <c r="O341" s="56">
        <v>25998</v>
      </c>
      <c r="P341" s="56">
        <v>2525</v>
      </c>
      <c r="Q341" s="56">
        <v>20538</v>
      </c>
      <c r="R341" s="16">
        <f t="shared" si="55"/>
        <v>16620</v>
      </c>
      <c r="T341" s="144">
        <f t="shared" si="54"/>
        <v>39233</v>
      </c>
      <c r="U341" s="154">
        <f>'copy data3'!B395</f>
        <v>362</v>
      </c>
      <c r="V341" s="38">
        <f t="shared" si="35"/>
        <v>678.25</v>
      </c>
      <c r="W341" s="71">
        <f t="shared" si="36"/>
        <v>69.994840041279673</v>
      </c>
      <c r="X341" s="154">
        <f>'copy data3'!D395</f>
        <v>216</v>
      </c>
      <c r="Y341" s="38">
        <f t="shared" si="37"/>
        <v>317</v>
      </c>
      <c r="Z341" s="71">
        <f t="shared" si="38"/>
        <v>62.896825396825392</v>
      </c>
      <c r="AA341" s="152">
        <f>'copy data3'!F395</f>
        <v>171</v>
      </c>
      <c r="AB341" s="38">
        <f t="shared" si="39"/>
        <v>478</v>
      </c>
      <c r="AC341" s="71">
        <f t="shared" si="40"/>
        <v>40.100671140939596</v>
      </c>
      <c r="AD341" s="152">
        <f>'copy data3'!H395</f>
        <v>132</v>
      </c>
      <c r="AE341" s="38">
        <f t="shared" si="41"/>
        <v>254.5</v>
      </c>
      <c r="AF341" s="71">
        <f t="shared" si="42"/>
        <v>33.442838370565049</v>
      </c>
      <c r="AG341" s="152">
        <f>'copy data3'!J395</f>
        <v>6</v>
      </c>
      <c r="AH341" s="38">
        <f t="shared" si="43"/>
        <v>40</v>
      </c>
      <c r="AI341" s="71">
        <f t="shared" si="44"/>
        <v>17.777777777777779</v>
      </c>
      <c r="AJ341" s="152">
        <f>'copy data3'!L395</f>
        <v>886</v>
      </c>
      <c r="AK341" s="38">
        <f t="shared" si="45"/>
        <v>1767.25</v>
      </c>
      <c r="AL341" s="71">
        <f t="shared" si="46"/>
        <v>48.404546699534372</v>
      </c>
      <c r="AM341" s="152">
        <f>'copy data3'!N395</f>
        <v>8642</v>
      </c>
      <c r="AN341" s="38">
        <f t="shared" si="47"/>
        <v>9356.75</v>
      </c>
      <c r="AO341" s="71">
        <f t="shared" si="48"/>
        <v>111.12529691211401</v>
      </c>
      <c r="AP341" s="152">
        <f>'copy data3'!P395</f>
        <v>2392</v>
      </c>
      <c r="AQ341" s="38">
        <f t="shared" si="49"/>
        <v>2346.25</v>
      </c>
      <c r="AR341" s="71">
        <f t="shared" si="50"/>
        <v>135.38661281015581</v>
      </c>
      <c r="AS341" s="153">
        <f>'copy data3'!R395</f>
        <v>11920</v>
      </c>
      <c r="AT341" s="38">
        <f t="shared" si="53"/>
        <v>13470.25</v>
      </c>
      <c r="AU341" s="71">
        <f t="shared" si="51"/>
        <v>97.582222544190088</v>
      </c>
    </row>
    <row r="342" spans="1:47" ht="15.6" x14ac:dyDescent="0.3">
      <c r="A342" s="55">
        <v>37700</v>
      </c>
      <c r="B342" s="56">
        <v>1085</v>
      </c>
      <c r="C342" s="56">
        <v>5765</v>
      </c>
      <c r="D342" s="56">
        <v>369</v>
      </c>
      <c r="E342" s="56">
        <v>2387</v>
      </c>
      <c r="F342" s="56">
        <v>1186</v>
      </c>
      <c r="G342" s="56">
        <v>5280</v>
      </c>
      <c r="H342" s="56">
        <v>557</v>
      </c>
      <c r="I342" s="56">
        <v>2921</v>
      </c>
      <c r="J342" s="56">
        <v>107</v>
      </c>
      <c r="K342" s="56">
        <v>601</v>
      </c>
      <c r="L342" s="56">
        <v>3304</v>
      </c>
      <c r="M342" s="56">
        <v>16955</v>
      </c>
      <c r="N342" s="56">
        <v>6066</v>
      </c>
      <c r="O342" s="56">
        <v>21880</v>
      </c>
      <c r="P342" s="56">
        <v>3024</v>
      </c>
      <c r="Q342" s="56">
        <v>22921</v>
      </c>
      <c r="R342" s="16">
        <f t="shared" si="55"/>
        <v>12394</v>
      </c>
      <c r="T342" s="144">
        <f t="shared" si="54"/>
        <v>39240</v>
      </c>
      <c r="U342" s="154">
        <f>'copy data3'!B396</f>
        <v>1595</v>
      </c>
      <c r="V342" s="38">
        <f t="shared" si="35"/>
        <v>834.25</v>
      </c>
      <c r="W342" s="71">
        <f t="shared" si="36"/>
        <v>81.152723735408557</v>
      </c>
      <c r="X342" s="154">
        <f>'copy data3'!D396</f>
        <v>1033</v>
      </c>
      <c r="Y342" s="38">
        <f t="shared" si="37"/>
        <v>468.75</v>
      </c>
      <c r="Z342" s="71">
        <f t="shared" si="38"/>
        <v>104.63169642857142</v>
      </c>
      <c r="AA342" s="152">
        <f>'copy data3'!F396</f>
        <v>922</v>
      </c>
      <c r="AB342" s="38">
        <f t="shared" si="39"/>
        <v>511.25</v>
      </c>
      <c r="AC342" s="71">
        <f t="shared" si="40"/>
        <v>42.009038619556286</v>
      </c>
      <c r="AD342" s="152">
        <f>'copy data3'!H396</f>
        <v>718</v>
      </c>
      <c r="AE342" s="38">
        <f t="shared" si="41"/>
        <v>326</v>
      </c>
      <c r="AF342" s="71">
        <f t="shared" si="42"/>
        <v>44.84181568088033</v>
      </c>
      <c r="AG342" s="152">
        <f>'copy data3'!J396</f>
        <v>209</v>
      </c>
      <c r="AH342" s="38">
        <f t="shared" si="43"/>
        <v>67.5</v>
      </c>
      <c r="AI342" s="71">
        <f t="shared" si="44"/>
        <v>22.131147540983605</v>
      </c>
      <c r="AJ342" s="152">
        <f>'copy data3'!L396</f>
        <v>4476</v>
      </c>
      <c r="AK342" s="38">
        <f t="shared" si="45"/>
        <v>2207.25</v>
      </c>
      <c r="AL342" s="71">
        <f t="shared" si="46"/>
        <v>59.27094522019334</v>
      </c>
      <c r="AM342" s="152">
        <f>'copy data3'!N396</f>
        <v>8343</v>
      </c>
      <c r="AN342" s="38">
        <f t="shared" si="47"/>
        <v>8983.75</v>
      </c>
      <c r="AO342" s="71">
        <f t="shared" si="48"/>
        <v>102.71838554767893</v>
      </c>
      <c r="AP342" s="152">
        <f>'copy data3'!P396</f>
        <v>2262</v>
      </c>
      <c r="AQ342" s="38">
        <f t="shared" si="49"/>
        <v>2298.25</v>
      </c>
      <c r="AR342" s="71">
        <f t="shared" si="50"/>
        <v>120.8968963703314</v>
      </c>
      <c r="AS342" s="153">
        <f>'copy data3'!R396</f>
        <v>15081</v>
      </c>
      <c r="AT342" s="38">
        <f t="shared" si="53"/>
        <v>13489.25</v>
      </c>
      <c r="AU342" s="71">
        <f t="shared" si="51"/>
        <v>93.864379653468788</v>
      </c>
    </row>
    <row r="343" spans="1:47" ht="15.6" x14ac:dyDescent="0.3">
      <c r="A343" s="55">
        <v>38064</v>
      </c>
      <c r="B343" s="56">
        <v>2255</v>
      </c>
      <c r="C343" s="56">
        <v>10229</v>
      </c>
      <c r="D343" s="56">
        <v>872</v>
      </c>
      <c r="E343" s="56">
        <v>3032</v>
      </c>
      <c r="F343" s="56">
        <v>1334</v>
      </c>
      <c r="G343" s="56">
        <v>5288</v>
      </c>
      <c r="H343" s="56">
        <v>985</v>
      </c>
      <c r="I343" s="56">
        <v>4035</v>
      </c>
      <c r="J343" s="56">
        <v>158</v>
      </c>
      <c r="K343" s="56">
        <v>843</v>
      </c>
      <c r="L343" s="56">
        <v>5603</v>
      </c>
      <c r="M343" s="56">
        <v>23427</v>
      </c>
      <c r="N343" s="56">
        <v>8829</v>
      </c>
      <c r="O343" s="56">
        <v>27065</v>
      </c>
      <c r="P343" s="56">
        <v>2247</v>
      </c>
      <c r="Q343" s="56">
        <v>21026</v>
      </c>
      <c r="R343" s="16">
        <f t="shared" si="55"/>
        <v>16679</v>
      </c>
      <c r="T343" s="144">
        <f t="shared" si="54"/>
        <v>39247</v>
      </c>
      <c r="U343" s="154">
        <f>'copy data3'!B397</f>
        <v>1560</v>
      </c>
      <c r="V343" s="38">
        <f t="shared" si="35"/>
        <v>1019.25</v>
      </c>
      <c r="W343" s="71">
        <f t="shared" si="36"/>
        <v>98.573500967117994</v>
      </c>
      <c r="X343" s="154">
        <f>'copy data3'!D397</f>
        <v>1100</v>
      </c>
      <c r="Y343" s="38">
        <f t="shared" si="37"/>
        <v>659.75</v>
      </c>
      <c r="Z343" s="71">
        <f t="shared" si="38"/>
        <v>145.31938325991189</v>
      </c>
      <c r="AA343" s="152">
        <f>'copy data3'!F397</f>
        <v>1023</v>
      </c>
      <c r="AB343" s="38">
        <f t="shared" si="39"/>
        <v>622.75</v>
      </c>
      <c r="AC343" s="71">
        <f t="shared" si="40"/>
        <v>53.135665529010232</v>
      </c>
      <c r="AD343" s="152">
        <f>'copy data3'!H397</f>
        <v>754</v>
      </c>
      <c r="AE343" s="38">
        <f t="shared" si="41"/>
        <v>442.75</v>
      </c>
      <c r="AF343" s="71">
        <f t="shared" si="42"/>
        <v>64.82430453879941</v>
      </c>
      <c r="AG343" s="152">
        <f>'copy data3'!J397</f>
        <v>209</v>
      </c>
      <c r="AH343" s="38">
        <f t="shared" si="43"/>
        <v>112.75</v>
      </c>
      <c r="AI343" s="71">
        <f t="shared" si="44"/>
        <v>43.871595330739297</v>
      </c>
      <c r="AJ343" s="152">
        <f>'copy data3'!L397</f>
        <v>4646</v>
      </c>
      <c r="AK343" s="38">
        <f t="shared" si="45"/>
        <v>2856.75</v>
      </c>
      <c r="AL343" s="71">
        <f t="shared" si="46"/>
        <v>79.354166666666671</v>
      </c>
      <c r="AM343" s="152">
        <f>'copy data3'!N397</f>
        <v>8274</v>
      </c>
      <c r="AN343" s="38">
        <f t="shared" si="47"/>
        <v>8631.75</v>
      </c>
      <c r="AO343" s="71">
        <f t="shared" si="48"/>
        <v>95.515657851056773</v>
      </c>
      <c r="AP343" s="152">
        <f>'copy data3'!P397</f>
        <v>2454</v>
      </c>
      <c r="AQ343" s="38">
        <f t="shared" si="49"/>
        <v>2360</v>
      </c>
      <c r="AR343" s="71">
        <f t="shared" si="50"/>
        <v>124.66983623877444</v>
      </c>
      <c r="AS343" s="153">
        <f>'copy data3'!R397</f>
        <v>15374</v>
      </c>
      <c r="AT343" s="38">
        <f t="shared" si="53"/>
        <v>13848.5</v>
      </c>
      <c r="AU343" s="71">
        <f t="shared" si="51"/>
        <v>95.309704060564343</v>
      </c>
    </row>
    <row r="344" spans="1:47" ht="15.6" x14ac:dyDescent="0.3">
      <c r="A344" s="55">
        <v>37707</v>
      </c>
      <c r="B344" s="56">
        <v>1056</v>
      </c>
      <c r="C344" s="56">
        <v>5887</v>
      </c>
      <c r="D344" s="56">
        <v>217</v>
      </c>
      <c r="E344" s="56">
        <v>2546</v>
      </c>
      <c r="F344" s="56">
        <v>1033</v>
      </c>
      <c r="G344" s="56">
        <v>5458</v>
      </c>
      <c r="H344" s="56">
        <v>521</v>
      </c>
      <c r="I344" s="56">
        <v>2989</v>
      </c>
      <c r="J344" s="56">
        <v>71</v>
      </c>
      <c r="K344" s="56">
        <v>637</v>
      </c>
      <c r="L344" s="56">
        <v>2896</v>
      </c>
      <c r="M344" s="56">
        <v>17517</v>
      </c>
      <c r="N344" s="56">
        <v>5571</v>
      </c>
      <c r="O344" s="56">
        <v>22732</v>
      </c>
      <c r="P344" s="56">
        <v>2841</v>
      </c>
      <c r="Q344" s="56">
        <v>23311</v>
      </c>
      <c r="R344" s="16">
        <f t="shared" si="55"/>
        <v>11308</v>
      </c>
      <c r="T344" s="144">
        <f t="shared" si="54"/>
        <v>39254</v>
      </c>
      <c r="U344" s="154">
        <f>'copy data3'!B398</f>
        <v>1572</v>
      </c>
      <c r="V344" s="38">
        <f t="shared" ref="V344:V407" si="56">AVERAGE(U341:U344)</f>
        <v>1272.25</v>
      </c>
      <c r="W344" s="71">
        <f t="shared" ref="W344:W407" si="57">(V344/U292)*100</f>
        <v>116.29341864716636</v>
      </c>
      <c r="X344" s="154">
        <f>'copy data3'!D398</f>
        <v>985</v>
      </c>
      <c r="Y344" s="38">
        <f t="shared" ref="Y344:Y407" si="58">AVERAGE(X341:X344)</f>
        <v>833.5</v>
      </c>
      <c r="Z344" s="71">
        <f t="shared" ref="Z344:Z407" si="59">(Y344/X292)*100</f>
        <v>173.28482328482329</v>
      </c>
      <c r="AA344" s="152">
        <f>'copy data3'!F398</f>
        <v>1325</v>
      </c>
      <c r="AB344" s="38">
        <f t="shared" ref="AB344:AB407" si="60">AVERAGE(AA341:AA344)</f>
        <v>860.25</v>
      </c>
      <c r="AC344" s="71">
        <f t="shared" ref="AC344:AC407" si="61">(AB344/AA292)*100</f>
        <v>72.840812870448772</v>
      </c>
      <c r="AD344" s="152">
        <f>'copy data3'!H398</f>
        <v>719</v>
      </c>
      <c r="AE344" s="38">
        <f t="shared" ref="AE344:AE407" si="62">AVERAGE(AD341:AD344)</f>
        <v>580.75</v>
      </c>
      <c r="AF344" s="71">
        <f t="shared" ref="AF344:AF407" si="63">(AE344/AD292)*100</f>
        <v>76.213910761154864</v>
      </c>
      <c r="AG344" s="152">
        <f>'copy data3'!J398</f>
        <v>225</v>
      </c>
      <c r="AH344" s="38">
        <f t="shared" ref="AH344:AH407" si="64">AVERAGE(AG341:AG344)</f>
        <v>162.25</v>
      </c>
      <c r="AI344" s="71">
        <f t="shared" ref="AI344:AI407" si="65">(AH344/AG292)*100</f>
        <v>64.384920634920633</v>
      </c>
      <c r="AJ344" s="152">
        <f>'copy data3'!L398</f>
        <v>4825</v>
      </c>
      <c r="AK344" s="38">
        <f t="shared" ref="AK344:AK407" si="66">AVERAGE(AJ341:AJ344)</f>
        <v>3708.25</v>
      </c>
      <c r="AL344" s="71">
        <f t="shared" ref="AL344:AL407" si="67">(AK344/AJ292)*100</f>
        <v>98.362068965517253</v>
      </c>
      <c r="AM344" s="152">
        <f>'copy data3'!N398</f>
        <v>8171</v>
      </c>
      <c r="AN344" s="38">
        <f t="shared" ref="AN344:AN407" si="68">AVERAGE(AM341:AM344)</f>
        <v>8357.5</v>
      </c>
      <c r="AO344" s="71">
        <f t="shared" ref="AO344:AO407" si="69">(AN344/AM292)*100</f>
        <v>90.704362925982196</v>
      </c>
      <c r="AP344" s="152">
        <f>'copy data3'!P398</f>
        <v>2282</v>
      </c>
      <c r="AQ344" s="38">
        <f t="shared" ref="AQ344:AQ407" si="70">AVERAGE(AP341:AP344)</f>
        <v>2347.5</v>
      </c>
      <c r="AR344" s="71">
        <f t="shared" ref="AR344:AR407" si="71">(AQ344/AP292)*100</f>
        <v>120.1381780962129</v>
      </c>
      <c r="AS344" s="153">
        <f>'copy data3'!R398</f>
        <v>15278</v>
      </c>
      <c r="AT344" s="38">
        <f t="shared" si="53"/>
        <v>14413.25</v>
      </c>
      <c r="AU344" s="71">
        <f t="shared" si="51"/>
        <v>96.487146873744805</v>
      </c>
    </row>
    <row r="345" spans="1:47" ht="15.6" x14ac:dyDescent="0.3">
      <c r="A345" s="55">
        <v>38071</v>
      </c>
      <c r="B345" s="56">
        <v>2004</v>
      </c>
      <c r="C345" s="56">
        <v>10469</v>
      </c>
      <c r="D345" s="56">
        <v>789</v>
      </c>
      <c r="E345" s="56">
        <v>3145</v>
      </c>
      <c r="F345" s="56">
        <v>1256</v>
      </c>
      <c r="G345" s="56">
        <v>5486</v>
      </c>
      <c r="H345" s="56">
        <v>904</v>
      </c>
      <c r="I345" s="56">
        <v>4148</v>
      </c>
      <c r="J345" s="56">
        <v>123</v>
      </c>
      <c r="K345" s="56">
        <v>874</v>
      </c>
      <c r="L345" s="56">
        <v>5074</v>
      </c>
      <c r="M345" s="56">
        <v>24122</v>
      </c>
      <c r="N345" s="56">
        <v>8450</v>
      </c>
      <c r="O345" s="56">
        <v>28139</v>
      </c>
      <c r="P345" s="56">
        <v>2027</v>
      </c>
      <c r="Q345" s="56">
        <v>21421</v>
      </c>
      <c r="R345" s="16">
        <f t="shared" si="55"/>
        <v>15551</v>
      </c>
      <c r="T345" s="144">
        <f t="shared" si="54"/>
        <v>39261</v>
      </c>
      <c r="U345" s="154">
        <f>'copy data3'!B399</f>
        <v>1625</v>
      </c>
      <c r="V345" s="38">
        <f t="shared" si="56"/>
        <v>1588</v>
      </c>
      <c r="W345" s="71">
        <f t="shared" si="57"/>
        <v>143.45076784101173</v>
      </c>
      <c r="X345" s="154">
        <f>'copy data3'!D399</f>
        <v>925</v>
      </c>
      <c r="Y345" s="38">
        <f t="shared" si="58"/>
        <v>1010.75</v>
      </c>
      <c r="Z345" s="71">
        <f t="shared" si="59"/>
        <v>216.43468950749462</v>
      </c>
      <c r="AA345" s="152">
        <f>'copy data3'!F399</f>
        <v>1244</v>
      </c>
      <c r="AB345" s="38">
        <f t="shared" si="60"/>
        <v>1128.5</v>
      </c>
      <c r="AC345" s="71">
        <f t="shared" si="61"/>
        <v>97.790294627383005</v>
      </c>
      <c r="AD345" s="152">
        <f>'copy data3'!H399</f>
        <v>759</v>
      </c>
      <c r="AE345" s="38">
        <f t="shared" si="62"/>
        <v>737.5</v>
      </c>
      <c r="AF345" s="71">
        <f t="shared" si="63"/>
        <v>106.57514450867052</v>
      </c>
      <c r="AG345" s="152">
        <f>'copy data3'!J399</f>
        <v>219</v>
      </c>
      <c r="AH345" s="38">
        <f t="shared" si="64"/>
        <v>215.5</v>
      </c>
      <c r="AI345" s="71">
        <f t="shared" si="65"/>
        <v>81.015037593984957</v>
      </c>
      <c r="AJ345" s="152">
        <f>'copy data3'!L399</f>
        <v>4773</v>
      </c>
      <c r="AK345" s="38">
        <f t="shared" si="66"/>
        <v>4680</v>
      </c>
      <c r="AL345" s="71">
        <f t="shared" si="67"/>
        <v>126.96690179055888</v>
      </c>
      <c r="AM345" s="152">
        <f>'copy data3'!N399</f>
        <v>8378</v>
      </c>
      <c r="AN345" s="38">
        <f t="shared" si="68"/>
        <v>8291.5</v>
      </c>
      <c r="AO345" s="71">
        <f t="shared" si="69"/>
        <v>92.12777777777778</v>
      </c>
      <c r="AP345" s="152">
        <f>'copy data3'!P399</f>
        <v>2190</v>
      </c>
      <c r="AQ345" s="38">
        <f t="shared" si="70"/>
        <v>2297</v>
      </c>
      <c r="AR345" s="71">
        <f t="shared" si="71"/>
        <v>118.21924858466288</v>
      </c>
      <c r="AS345" s="153">
        <f>'copy data3'!R399</f>
        <v>15341</v>
      </c>
      <c r="AT345" s="38">
        <f t="shared" si="53"/>
        <v>15268.5</v>
      </c>
      <c r="AU345" s="71">
        <f t="shared" si="51"/>
        <v>104.37145396130974</v>
      </c>
    </row>
    <row r="346" spans="1:47" ht="15.6" x14ac:dyDescent="0.3">
      <c r="A346" s="55">
        <v>37714</v>
      </c>
      <c r="B346" s="56">
        <v>1033</v>
      </c>
      <c r="C346" s="56">
        <v>5970</v>
      </c>
      <c r="D346" s="56">
        <v>223</v>
      </c>
      <c r="E346" s="56">
        <v>2576</v>
      </c>
      <c r="F346" s="56">
        <v>992</v>
      </c>
      <c r="G346" s="56">
        <v>5543</v>
      </c>
      <c r="H346" s="56">
        <v>445</v>
      </c>
      <c r="I346" s="56">
        <v>3080</v>
      </c>
      <c r="J346" s="56">
        <v>81</v>
      </c>
      <c r="K346" s="56">
        <v>637</v>
      </c>
      <c r="L346" s="56">
        <v>2774</v>
      </c>
      <c r="M346" s="56">
        <v>17806</v>
      </c>
      <c r="N346" s="56">
        <v>5458</v>
      </c>
      <c r="O346" s="56">
        <v>23706</v>
      </c>
      <c r="P346" s="56">
        <v>2934</v>
      </c>
      <c r="Q346" s="56">
        <v>23826</v>
      </c>
      <c r="R346" s="16">
        <f t="shared" si="55"/>
        <v>11166</v>
      </c>
      <c r="T346" s="144">
        <f t="shared" si="54"/>
        <v>39268</v>
      </c>
      <c r="U346" s="154">
        <f>'copy data3'!B400</f>
        <v>1842</v>
      </c>
      <c r="V346" s="38">
        <f t="shared" si="56"/>
        <v>1649.75</v>
      </c>
      <c r="W346" s="71">
        <f t="shared" si="57"/>
        <v>151.77092916283348</v>
      </c>
      <c r="X346" s="154">
        <f>'copy data3'!D400</f>
        <v>1205</v>
      </c>
      <c r="Y346" s="38">
        <f t="shared" si="58"/>
        <v>1053.75</v>
      </c>
      <c r="Z346" s="71">
        <f t="shared" si="59"/>
        <v>222.78012684989429</v>
      </c>
      <c r="AA346" s="152">
        <f>'copy data3'!F400</f>
        <v>1390</v>
      </c>
      <c r="AB346" s="38">
        <f t="shared" si="60"/>
        <v>1245.5</v>
      </c>
      <c r="AC346" s="71">
        <f t="shared" si="61"/>
        <v>119.1866028708134</v>
      </c>
      <c r="AD346" s="152">
        <f>'copy data3'!H400</f>
        <v>949</v>
      </c>
      <c r="AE346" s="38">
        <f t="shared" si="62"/>
        <v>795.25</v>
      </c>
      <c r="AF346" s="71">
        <f t="shared" si="63"/>
        <v>112.80141843971631</v>
      </c>
      <c r="AG346" s="152">
        <f>'copy data3'!J400</f>
        <v>248</v>
      </c>
      <c r="AH346" s="38">
        <f t="shared" si="64"/>
        <v>225.25</v>
      </c>
      <c r="AI346" s="71">
        <f t="shared" si="65"/>
        <v>79.313380281690144</v>
      </c>
      <c r="AJ346" s="152">
        <f>'copy data3'!L400</f>
        <v>5633</v>
      </c>
      <c r="AK346" s="38">
        <f t="shared" si="66"/>
        <v>4969.25</v>
      </c>
      <c r="AL346" s="71">
        <f t="shared" si="67"/>
        <v>138.34214922048997</v>
      </c>
      <c r="AM346" s="152">
        <f>'copy data3'!N400</f>
        <v>8573</v>
      </c>
      <c r="AN346" s="38">
        <f t="shared" si="68"/>
        <v>8349</v>
      </c>
      <c r="AO346" s="71">
        <f t="shared" si="69"/>
        <v>96.453327171903879</v>
      </c>
      <c r="AP346" s="152">
        <f>'copy data3'!P400</f>
        <v>2147</v>
      </c>
      <c r="AQ346" s="38">
        <f t="shared" si="70"/>
        <v>2268.25</v>
      </c>
      <c r="AR346" s="71">
        <f t="shared" si="71"/>
        <v>107.04341670599339</v>
      </c>
      <c r="AS346" s="153">
        <f>'copy data3'!R400</f>
        <v>16353</v>
      </c>
      <c r="AT346" s="38">
        <f t="shared" si="53"/>
        <v>15586.5</v>
      </c>
      <c r="AU346" s="71">
        <f t="shared" si="51"/>
        <v>108.48820212988097</v>
      </c>
    </row>
    <row r="347" spans="1:47" ht="15.6" x14ac:dyDescent="0.3">
      <c r="A347" s="55">
        <v>38078</v>
      </c>
      <c r="B347" s="56">
        <v>1991</v>
      </c>
      <c r="C347" s="56">
        <v>10762</v>
      </c>
      <c r="D347" s="56">
        <v>776</v>
      </c>
      <c r="E347" s="56">
        <v>3180</v>
      </c>
      <c r="F347" s="56">
        <v>1297</v>
      </c>
      <c r="G347" s="56">
        <v>5565</v>
      </c>
      <c r="H347" s="56">
        <v>845</v>
      </c>
      <c r="I347" s="56">
        <v>4210</v>
      </c>
      <c r="J347" s="56">
        <v>124</v>
      </c>
      <c r="K347" s="56">
        <v>904</v>
      </c>
      <c r="L347" s="56">
        <v>5033</v>
      </c>
      <c r="M347" s="56">
        <v>24620</v>
      </c>
      <c r="N347" s="56">
        <v>9051</v>
      </c>
      <c r="O347" s="56">
        <v>28854</v>
      </c>
      <c r="P347" s="56">
        <v>1914</v>
      </c>
      <c r="Q347" s="56">
        <v>21636</v>
      </c>
      <c r="R347" s="16">
        <f t="shared" si="55"/>
        <v>15998</v>
      </c>
      <c r="T347" s="144">
        <f t="shared" si="54"/>
        <v>39275</v>
      </c>
      <c r="U347" s="154">
        <f>'copy data3'!B401</f>
        <v>1915</v>
      </c>
      <c r="V347" s="38">
        <f t="shared" si="56"/>
        <v>1738.5</v>
      </c>
      <c r="W347" s="71">
        <f t="shared" si="57"/>
        <v>175.78361981799796</v>
      </c>
      <c r="X347" s="154">
        <f>'copy data3'!D401</f>
        <v>1280</v>
      </c>
      <c r="Y347" s="38">
        <f t="shared" si="58"/>
        <v>1098.75</v>
      </c>
      <c r="Z347" s="71">
        <f t="shared" si="59"/>
        <v>215.01956947162429</v>
      </c>
      <c r="AA347" s="152">
        <f>'copy data3'!F401</f>
        <v>1495</v>
      </c>
      <c r="AB347" s="38">
        <f t="shared" si="60"/>
        <v>1363.5</v>
      </c>
      <c r="AC347" s="71">
        <f t="shared" si="61"/>
        <v>138.84928716904278</v>
      </c>
      <c r="AD347" s="152">
        <f>'copy data3'!H401</f>
        <v>960</v>
      </c>
      <c r="AE347" s="38">
        <f t="shared" si="62"/>
        <v>846.75</v>
      </c>
      <c r="AF347" s="71">
        <f t="shared" si="63"/>
        <v>121.65948275862068</v>
      </c>
      <c r="AG347" s="152">
        <f>'copy data3'!J401</f>
        <v>277</v>
      </c>
      <c r="AH347" s="38">
        <f t="shared" si="64"/>
        <v>242.25</v>
      </c>
      <c r="AI347" s="71">
        <f t="shared" si="65"/>
        <v>85.600706713780923</v>
      </c>
      <c r="AJ347" s="152">
        <f>'copy data3'!L401</f>
        <v>5927</v>
      </c>
      <c r="AK347" s="38">
        <f t="shared" si="66"/>
        <v>5289.5</v>
      </c>
      <c r="AL347" s="71">
        <f t="shared" si="67"/>
        <v>152.8315515746894</v>
      </c>
      <c r="AM347" s="152">
        <f>'copy data3'!N401</f>
        <v>8041</v>
      </c>
      <c r="AN347" s="38">
        <f t="shared" si="68"/>
        <v>8290.75</v>
      </c>
      <c r="AO347" s="71">
        <f t="shared" si="69"/>
        <v>106.37349243007441</v>
      </c>
      <c r="AP347" s="152">
        <f>'copy data3'!P401</f>
        <v>2005</v>
      </c>
      <c r="AQ347" s="38">
        <f t="shared" si="70"/>
        <v>2156</v>
      </c>
      <c r="AR347" s="71">
        <f t="shared" si="71"/>
        <v>107.80000000000001</v>
      </c>
      <c r="AS347" s="153">
        <f>'copy data3'!R401</f>
        <v>15973</v>
      </c>
      <c r="AT347" s="38">
        <f t="shared" si="53"/>
        <v>15736.25</v>
      </c>
      <c r="AU347" s="71">
        <f t="shared" si="51"/>
        <v>118.71935118823085</v>
      </c>
    </row>
    <row r="348" spans="1:47" ht="15.6" x14ac:dyDescent="0.3">
      <c r="A348" s="55">
        <v>37721</v>
      </c>
      <c r="B348" s="56">
        <v>1000</v>
      </c>
      <c r="C348" s="56">
        <v>6088</v>
      </c>
      <c r="D348" s="56">
        <v>218</v>
      </c>
      <c r="E348" s="56">
        <v>2616</v>
      </c>
      <c r="F348" s="56">
        <v>1049</v>
      </c>
      <c r="G348" s="56">
        <v>5673</v>
      </c>
      <c r="H348" s="56">
        <v>444</v>
      </c>
      <c r="I348" s="56">
        <v>3123</v>
      </c>
      <c r="J348" s="56">
        <v>91</v>
      </c>
      <c r="K348" s="56">
        <v>637</v>
      </c>
      <c r="L348" s="56">
        <v>2802</v>
      </c>
      <c r="M348" s="56">
        <v>18136</v>
      </c>
      <c r="N348" s="56">
        <v>5380</v>
      </c>
      <c r="O348" s="56">
        <v>24469</v>
      </c>
      <c r="P348" s="56">
        <v>2858</v>
      </c>
      <c r="Q348" s="56">
        <v>24163</v>
      </c>
      <c r="R348" s="16">
        <f t="shared" si="55"/>
        <v>11040</v>
      </c>
      <c r="T348" s="144">
        <f t="shared" si="54"/>
        <v>39282</v>
      </c>
      <c r="U348" s="154">
        <f>'copy data3'!B402</f>
        <v>2714</v>
      </c>
      <c r="V348" s="38">
        <f t="shared" si="56"/>
        <v>2024</v>
      </c>
      <c r="W348" s="71">
        <f t="shared" si="57"/>
        <v>212.60504201680672</v>
      </c>
      <c r="X348" s="154">
        <f>'copy data3'!D402</f>
        <v>1859</v>
      </c>
      <c r="Y348" s="38">
        <f t="shared" si="58"/>
        <v>1317.25</v>
      </c>
      <c r="Z348" s="71">
        <f t="shared" si="59"/>
        <v>273.85654885654884</v>
      </c>
      <c r="AA348" s="152">
        <f>'copy data3'!F402</f>
        <v>1587</v>
      </c>
      <c r="AB348" s="38">
        <f t="shared" si="60"/>
        <v>1429</v>
      </c>
      <c r="AC348" s="71">
        <f t="shared" si="61"/>
        <v>142.75724275724275</v>
      </c>
      <c r="AD348" s="152">
        <f>'copy data3'!H402</f>
        <v>948</v>
      </c>
      <c r="AE348" s="38">
        <f t="shared" si="62"/>
        <v>904</v>
      </c>
      <c r="AF348" s="71">
        <f t="shared" si="63"/>
        <v>128.77492877492878</v>
      </c>
      <c r="AG348" s="152">
        <f>'copy data3'!J402</f>
        <v>464</v>
      </c>
      <c r="AH348" s="38">
        <f t="shared" si="64"/>
        <v>302</v>
      </c>
      <c r="AI348" s="71">
        <f t="shared" si="65"/>
        <v>114.39393939393941</v>
      </c>
      <c r="AJ348" s="152">
        <f>'copy data3'!L402</f>
        <v>7572</v>
      </c>
      <c r="AK348" s="38">
        <f t="shared" si="66"/>
        <v>5976.25</v>
      </c>
      <c r="AL348" s="71">
        <f t="shared" si="67"/>
        <v>175.8237716975581</v>
      </c>
      <c r="AM348" s="152">
        <f>'copy data3'!N402</f>
        <v>7540</v>
      </c>
      <c r="AN348" s="38">
        <f t="shared" si="68"/>
        <v>8133</v>
      </c>
      <c r="AO348" s="71">
        <f t="shared" si="69"/>
        <v>110.09882225531338</v>
      </c>
      <c r="AP348" s="152">
        <f>'copy data3'!P402</f>
        <v>2119</v>
      </c>
      <c r="AQ348" s="38">
        <f t="shared" si="70"/>
        <v>2115.25</v>
      </c>
      <c r="AR348" s="71">
        <f t="shared" si="71"/>
        <v>111.27038400841663</v>
      </c>
      <c r="AS348" s="153">
        <f>'copy data3'!R402</f>
        <v>17231</v>
      </c>
      <c r="AT348" s="38">
        <f t="shared" si="53"/>
        <v>16224.5</v>
      </c>
      <c r="AU348" s="71">
        <f t="shared" si="51"/>
        <v>127.88287223141799</v>
      </c>
    </row>
    <row r="349" spans="1:47" ht="15.6" x14ac:dyDescent="0.3">
      <c r="A349" s="55">
        <v>38085</v>
      </c>
      <c r="B349" s="56">
        <v>1929</v>
      </c>
      <c r="C349" s="56">
        <v>11055</v>
      </c>
      <c r="D349" s="56">
        <v>762</v>
      </c>
      <c r="E349" s="56">
        <v>3235</v>
      </c>
      <c r="F349" s="56">
        <v>1210</v>
      </c>
      <c r="G349" s="56">
        <v>5732</v>
      </c>
      <c r="H349" s="56">
        <v>831</v>
      </c>
      <c r="I349" s="56">
        <v>4259</v>
      </c>
      <c r="J349" s="56">
        <v>93</v>
      </c>
      <c r="K349" s="56">
        <v>940</v>
      </c>
      <c r="L349" s="56">
        <v>4825</v>
      </c>
      <c r="M349" s="56">
        <v>25220</v>
      </c>
      <c r="N349" s="56">
        <v>9144</v>
      </c>
      <c r="O349" s="56">
        <v>30019</v>
      </c>
      <c r="P349" s="56">
        <v>1897</v>
      </c>
      <c r="Q349" s="56">
        <v>21832</v>
      </c>
      <c r="R349" s="16">
        <f t="shared" si="55"/>
        <v>15866</v>
      </c>
      <c r="T349" s="144">
        <f t="shared" si="54"/>
        <v>39289</v>
      </c>
      <c r="U349" s="154">
        <f>'copy data3'!B403</f>
        <v>3567</v>
      </c>
      <c r="V349" s="38">
        <f t="shared" si="56"/>
        <v>2509.5</v>
      </c>
      <c r="W349" s="71">
        <f t="shared" si="57"/>
        <v>260.05181347150261</v>
      </c>
      <c r="X349" s="154">
        <f>'copy data3'!D403</f>
        <v>1930</v>
      </c>
      <c r="Y349" s="38">
        <f t="shared" si="58"/>
        <v>1568.5</v>
      </c>
      <c r="Z349" s="71">
        <f t="shared" si="59"/>
        <v>306.94716242661445</v>
      </c>
      <c r="AA349" s="152">
        <f>'copy data3'!F403</f>
        <v>1957</v>
      </c>
      <c r="AB349" s="38">
        <f t="shared" si="60"/>
        <v>1607.25</v>
      </c>
      <c r="AC349" s="71">
        <f t="shared" si="61"/>
        <v>147.99723756906079</v>
      </c>
      <c r="AD349" s="152">
        <f>'copy data3'!H403</f>
        <v>974</v>
      </c>
      <c r="AE349" s="38">
        <f t="shared" si="62"/>
        <v>957.75</v>
      </c>
      <c r="AF349" s="71">
        <f t="shared" si="63"/>
        <v>125.52424639580605</v>
      </c>
      <c r="AG349" s="152">
        <f>'copy data3'!J403</f>
        <v>427</v>
      </c>
      <c r="AH349" s="38">
        <f t="shared" si="64"/>
        <v>354</v>
      </c>
      <c r="AI349" s="71">
        <f t="shared" si="65"/>
        <v>123.34494773519165</v>
      </c>
      <c r="AJ349" s="152">
        <f>'copy data3'!L403</f>
        <v>8855</v>
      </c>
      <c r="AK349" s="38">
        <f t="shared" si="66"/>
        <v>6996.75</v>
      </c>
      <c r="AL349" s="71">
        <f t="shared" si="67"/>
        <v>193.70847176079735</v>
      </c>
      <c r="AM349" s="152">
        <f>'copy data3'!N403</f>
        <v>7270</v>
      </c>
      <c r="AN349" s="38">
        <f t="shared" si="68"/>
        <v>7856</v>
      </c>
      <c r="AO349" s="71">
        <f t="shared" si="69"/>
        <v>110.43013775653641</v>
      </c>
      <c r="AP349" s="152">
        <f>'copy data3'!P403</f>
        <v>2149</v>
      </c>
      <c r="AQ349" s="38">
        <f t="shared" si="70"/>
        <v>2105</v>
      </c>
      <c r="AR349" s="71">
        <f t="shared" si="71"/>
        <v>114.27795874049946</v>
      </c>
      <c r="AS349" s="153">
        <f>'copy data3'!R403</f>
        <v>18274</v>
      </c>
      <c r="AT349" s="38">
        <f t="shared" si="53"/>
        <v>16957.75</v>
      </c>
      <c r="AU349" s="71">
        <f t="shared" si="51"/>
        <v>134.92799172501591</v>
      </c>
    </row>
    <row r="350" spans="1:47" ht="15.6" x14ac:dyDescent="0.3">
      <c r="A350" s="55">
        <v>37728</v>
      </c>
      <c r="B350" s="56">
        <v>916</v>
      </c>
      <c r="C350" s="56">
        <v>6231</v>
      </c>
      <c r="D350" s="56">
        <v>224</v>
      </c>
      <c r="E350" s="56">
        <v>2648</v>
      </c>
      <c r="F350" s="56">
        <v>1083</v>
      </c>
      <c r="G350" s="56">
        <v>5703</v>
      </c>
      <c r="H350" s="56">
        <v>487</v>
      </c>
      <c r="I350" s="56">
        <v>3132</v>
      </c>
      <c r="J350" s="56">
        <v>105</v>
      </c>
      <c r="K350" s="56">
        <v>642</v>
      </c>
      <c r="L350" s="56">
        <v>2814</v>
      </c>
      <c r="M350" s="56">
        <v>18357</v>
      </c>
      <c r="N350" s="56">
        <v>5152</v>
      </c>
      <c r="O350" s="56">
        <v>25283</v>
      </c>
      <c r="P350" s="56">
        <v>2679</v>
      </c>
      <c r="Q350" s="56">
        <v>24515</v>
      </c>
      <c r="R350" s="16">
        <f t="shared" si="55"/>
        <v>10645</v>
      </c>
      <c r="T350" s="144">
        <f t="shared" si="54"/>
        <v>39296</v>
      </c>
      <c r="U350" s="154">
        <f>'copy data3'!B404</f>
        <v>3672</v>
      </c>
      <c r="V350" s="38">
        <f t="shared" si="56"/>
        <v>2967</v>
      </c>
      <c r="W350" s="71">
        <f t="shared" si="57"/>
        <v>328.93569844789357</v>
      </c>
      <c r="X350" s="154">
        <f>'copy data3'!D404</f>
        <v>1801</v>
      </c>
      <c r="Y350" s="38">
        <f t="shared" si="58"/>
        <v>1717.5</v>
      </c>
      <c r="Z350" s="71">
        <f t="shared" si="59"/>
        <v>393.02059496567506</v>
      </c>
      <c r="AA350" s="152">
        <f>'copy data3'!F404</f>
        <v>1995</v>
      </c>
      <c r="AB350" s="38">
        <f t="shared" si="60"/>
        <v>1758.5</v>
      </c>
      <c r="AC350" s="71">
        <f t="shared" si="61"/>
        <v>160.30082041932542</v>
      </c>
      <c r="AD350" s="152">
        <f>'copy data3'!H404</f>
        <v>994</v>
      </c>
      <c r="AE350" s="38">
        <f t="shared" si="62"/>
        <v>969</v>
      </c>
      <c r="AF350" s="71">
        <f t="shared" si="63"/>
        <v>134.02489626556016</v>
      </c>
      <c r="AG350" s="152">
        <f>'copy data3'!J404</f>
        <v>452</v>
      </c>
      <c r="AH350" s="38">
        <f t="shared" si="64"/>
        <v>405</v>
      </c>
      <c r="AI350" s="71">
        <f t="shared" si="65"/>
        <v>138.22525597269623</v>
      </c>
      <c r="AJ350" s="152">
        <f>'copy data3'!L404</f>
        <v>8914</v>
      </c>
      <c r="AK350" s="38">
        <f t="shared" si="66"/>
        <v>7817</v>
      </c>
      <c r="AL350" s="71">
        <f t="shared" si="67"/>
        <v>226.51405389742104</v>
      </c>
      <c r="AM350" s="152">
        <f>'copy data3'!N404</f>
        <v>6844</v>
      </c>
      <c r="AN350" s="38">
        <f t="shared" si="68"/>
        <v>7423.75</v>
      </c>
      <c r="AO350" s="71">
        <f t="shared" si="69"/>
        <v>106.64775175980463</v>
      </c>
      <c r="AP350" s="152">
        <f>'copy data3'!P404</f>
        <v>1853</v>
      </c>
      <c r="AQ350" s="38">
        <f t="shared" si="70"/>
        <v>2031.5</v>
      </c>
      <c r="AR350" s="71">
        <f t="shared" si="71"/>
        <v>122.23225030084235</v>
      </c>
      <c r="AS350" s="153">
        <f>'copy data3'!R404</f>
        <v>17611</v>
      </c>
      <c r="AT350" s="38">
        <f t="shared" si="53"/>
        <v>17272.25</v>
      </c>
      <c r="AU350" s="71">
        <f t="shared" si="51"/>
        <v>143.05325492794435</v>
      </c>
    </row>
    <row r="351" spans="1:47" ht="15.6" x14ac:dyDescent="0.3">
      <c r="A351" s="55">
        <v>38092</v>
      </c>
      <c r="B351" s="56">
        <v>1832</v>
      </c>
      <c r="C351" s="56">
        <v>11207</v>
      </c>
      <c r="D351" s="56">
        <v>697</v>
      </c>
      <c r="E351" s="56">
        <v>3266</v>
      </c>
      <c r="F351" s="56">
        <v>1208</v>
      </c>
      <c r="G351" s="56">
        <v>5814</v>
      </c>
      <c r="H351" s="56">
        <v>674</v>
      </c>
      <c r="I351" s="56">
        <v>4397</v>
      </c>
      <c r="J351" s="56">
        <v>85</v>
      </c>
      <c r="K351" s="56">
        <v>953</v>
      </c>
      <c r="L351" s="56">
        <v>4495</v>
      </c>
      <c r="M351" s="56">
        <v>25636</v>
      </c>
      <c r="N351" s="56">
        <v>9657</v>
      </c>
      <c r="O351" s="56">
        <v>30619</v>
      </c>
      <c r="P351" s="56">
        <v>1801</v>
      </c>
      <c r="Q351" s="56">
        <v>22054</v>
      </c>
      <c r="R351" s="16">
        <f t="shared" si="55"/>
        <v>15953</v>
      </c>
      <c r="T351" s="144">
        <f t="shared" si="54"/>
        <v>39303</v>
      </c>
      <c r="U351" s="154">
        <f>'copy data3'!B405</f>
        <v>3788</v>
      </c>
      <c r="V351" s="38">
        <f t="shared" si="56"/>
        <v>3435.25</v>
      </c>
      <c r="W351" s="71">
        <f t="shared" si="57"/>
        <v>387.28861330326947</v>
      </c>
      <c r="X351" s="154">
        <f>'copy data3'!D405</f>
        <v>1729</v>
      </c>
      <c r="Y351" s="38">
        <f t="shared" si="58"/>
        <v>1829.75</v>
      </c>
      <c r="Z351" s="71">
        <f t="shared" si="59"/>
        <v>451.79012345679013</v>
      </c>
      <c r="AA351" s="152">
        <f>'copy data3'!F405</f>
        <v>2228</v>
      </c>
      <c r="AB351" s="38">
        <f t="shared" si="60"/>
        <v>1941.75</v>
      </c>
      <c r="AC351" s="71">
        <f t="shared" si="61"/>
        <v>171.07929515418502</v>
      </c>
      <c r="AD351" s="152">
        <f>'copy data3'!H405</f>
        <v>1176</v>
      </c>
      <c r="AE351" s="38">
        <f t="shared" si="62"/>
        <v>1023</v>
      </c>
      <c r="AF351" s="71">
        <f t="shared" si="63"/>
        <v>135.31746031746033</v>
      </c>
      <c r="AG351" s="152">
        <f>'copy data3'!J405</f>
        <v>521</v>
      </c>
      <c r="AH351" s="38">
        <f t="shared" si="64"/>
        <v>466</v>
      </c>
      <c r="AI351" s="71">
        <f t="shared" si="65"/>
        <v>173.88059701492537</v>
      </c>
      <c r="AJ351" s="152">
        <f>'copy data3'!L405</f>
        <v>9443</v>
      </c>
      <c r="AK351" s="38">
        <f t="shared" si="66"/>
        <v>8696</v>
      </c>
      <c r="AL351" s="71">
        <f t="shared" si="67"/>
        <v>251.984931903796</v>
      </c>
      <c r="AM351" s="152">
        <f>'copy data3'!N405</f>
        <v>5489</v>
      </c>
      <c r="AN351" s="38">
        <f t="shared" si="68"/>
        <v>6785.75</v>
      </c>
      <c r="AO351" s="71">
        <f t="shared" si="69"/>
        <v>107.60783380907073</v>
      </c>
      <c r="AP351" s="152">
        <f>'copy data3'!P405</f>
        <v>1915</v>
      </c>
      <c r="AQ351" s="38">
        <f t="shared" si="70"/>
        <v>2009</v>
      </c>
      <c r="AR351" s="71">
        <f t="shared" si="71"/>
        <v>115.92613964223889</v>
      </c>
      <c r="AS351" s="153">
        <f>'copy data3'!R405</f>
        <v>16847</v>
      </c>
      <c r="AT351" s="38">
        <f t="shared" si="53"/>
        <v>17490.75</v>
      </c>
      <c r="AU351" s="71">
        <f t="shared" si="51"/>
        <v>152.22584856396867</v>
      </c>
    </row>
    <row r="352" spans="1:47" ht="15.6" x14ac:dyDescent="0.3">
      <c r="A352" s="55">
        <v>37735</v>
      </c>
      <c r="B352" s="56">
        <v>893</v>
      </c>
      <c r="C352" s="56">
        <v>6291</v>
      </c>
      <c r="D352" s="56">
        <v>179</v>
      </c>
      <c r="E352" s="56">
        <v>2698</v>
      </c>
      <c r="F352" s="56">
        <v>1077</v>
      </c>
      <c r="G352" s="56">
        <v>5857</v>
      </c>
      <c r="H352" s="56">
        <v>471</v>
      </c>
      <c r="I352" s="56">
        <v>3193</v>
      </c>
      <c r="J352" s="56">
        <v>55</v>
      </c>
      <c r="K352" s="56">
        <v>690</v>
      </c>
      <c r="L352" s="56">
        <v>2675</v>
      </c>
      <c r="M352" s="56">
        <v>18728</v>
      </c>
      <c r="N352" s="56">
        <v>5379</v>
      </c>
      <c r="O352" s="56">
        <v>25955</v>
      </c>
      <c r="P352" s="56">
        <v>2497</v>
      </c>
      <c r="Q352" s="56">
        <v>24913</v>
      </c>
      <c r="R352" s="16">
        <f t="shared" si="55"/>
        <v>10551</v>
      </c>
      <c r="T352" s="144">
        <f t="shared" si="54"/>
        <v>39310</v>
      </c>
      <c r="U352" s="154">
        <f>'copy data3'!B406</f>
        <v>3646</v>
      </c>
      <c r="V352" s="38">
        <f t="shared" si="56"/>
        <v>3668.25</v>
      </c>
      <c r="W352" s="71">
        <f t="shared" si="57"/>
        <v>480.13743455497382</v>
      </c>
      <c r="X352" s="154">
        <f>'copy data3'!D406</f>
        <v>1848</v>
      </c>
      <c r="Y352" s="38">
        <f t="shared" si="58"/>
        <v>1827</v>
      </c>
      <c r="Z352" s="71">
        <f t="shared" si="59"/>
        <v>377.47933884297521</v>
      </c>
      <c r="AA352" s="152">
        <f>'copy data3'!F406</f>
        <v>2228</v>
      </c>
      <c r="AB352" s="38">
        <f t="shared" si="60"/>
        <v>2102</v>
      </c>
      <c r="AC352" s="71">
        <f t="shared" si="61"/>
        <v>181.36324417601381</v>
      </c>
      <c r="AD352" s="152">
        <f>'copy data3'!H406</f>
        <v>1128</v>
      </c>
      <c r="AE352" s="38">
        <f t="shared" si="62"/>
        <v>1068</v>
      </c>
      <c r="AF352" s="71">
        <f t="shared" si="63"/>
        <v>136.39846743295018</v>
      </c>
      <c r="AG352" s="152">
        <f>'copy data3'!J406</f>
        <v>494</v>
      </c>
      <c r="AH352" s="38">
        <f t="shared" si="64"/>
        <v>473.5</v>
      </c>
      <c r="AI352" s="71">
        <f t="shared" si="65"/>
        <v>180.0380228136882</v>
      </c>
      <c r="AJ352" s="152">
        <f>'copy data3'!L406</f>
        <v>9344</v>
      </c>
      <c r="AK352" s="38">
        <f t="shared" si="66"/>
        <v>9139</v>
      </c>
      <c r="AL352" s="71">
        <f t="shared" si="67"/>
        <v>264.59177764910248</v>
      </c>
      <c r="AM352" s="152">
        <f>'copy data3'!N406</f>
        <v>4677</v>
      </c>
      <c r="AN352" s="38">
        <f t="shared" si="68"/>
        <v>6070</v>
      </c>
      <c r="AO352" s="71">
        <f t="shared" si="69"/>
        <v>114.42035815268613</v>
      </c>
      <c r="AP352" s="152">
        <f>'copy data3'!P406</f>
        <v>1650</v>
      </c>
      <c r="AQ352" s="38">
        <f t="shared" si="70"/>
        <v>1891.75</v>
      </c>
      <c r="AR352" s="71">
        <f t="shared" si="71"/>
        <v>130.37560303239147</v>
      </c>
      <c r="AS352" s="153">
        <f>'copy data3'!R406</f>
        <v>15671</v>
      </c>
      <c r="AT352" s="38">
        <f t="shared" si="53"/>
        <v>17100.75</v>
      </c>
      <c r="AU352" s="71">
        <f t="shared" si="51"/>
        <v>167.49020568070517</v>
      </c>
    </row>
    <row r="353" spans="1:47" ht="15.6" x14ac:dyDescent="0.3">
      <c r="A353" s="55">
        <v>38099</v>
      </c>
      <c r="B353" s="56">
        <v>1612</v>
      </c>
      <c r="C353" s="56">
        <v>11508</v>
      </c>
      <c r="D353" s="56">
        <v>577</v>
      </c>
      <c r="E353" s="56">
        <v>3399</v>
      </c>
      <c r="F353" s="56">
        <v>1153</v>
      </c>
      <c r="G353" s="56">
        <v>6026</v>
      </c>
      <c r="H353" s="56">
        <v>647</v>
      </c>
      <c r="I353" s="56">
        <v>4466</v>
      </c>
      <c r="J353" s="56">
        <v>111</v>
      </c>
      <c r="K353" s="56">
        <v>971</v>
      </c>
      <c r="L353" s="56">
        <v>4099</v>
      </c>
      <c r="M353" s="56">
        <v>26370</v>
      </c>
      <c r="N353" s="56">
        <v>9921</v>
      </c>
      <c r="O353" s="56">
        <v>31280</v>
      </c>
      <c r="P353" s="56">
        <v>1728</v>
      </c>
      <c r="Q353" s="56">
        <v>22176</v>
      </c>
      <c r="R353" s="16">
        <f t="shared" si="55"/>
        <v>15748</v>
      </c>
      <c r="T353" s="144">
        <f t="shared" si="54"/>
        <v>39317</v>
      </c>
      <c r="U353" s="154">
        <f>'copy data3'!B407</f>
        <v>3744</v>
      </c>
      <c r="V353" s="38">
        <f t="shared" si="56"/>
        <v>3712.5</v>
      </c>
      <c r="W353" s="71">
        <f t="shared" si="57"/>
        <v>454.96323529411768</v>
      </c>
      <c r="X353" s="154">
        <f>'copy data3'!D407</f>
        <v>1964</v>
      </c>
      <c r="Y353" s="38">
        <f t="shared" si="58"/>
        <v>1835.5</v>
      </c>
      <c r="Z353" s="71">
        <f t="shared" si="59"/>
        <v>306.9397993311037</v>
      </c>
      <c r="AA353" s="152">
        <f>'copy data3'!F407</f>
        <v>2194</v>
      </c>
      <c r="AB353" s="38">
        <f t="shared" si="60"/>
        <v>2161.25</v>
      </c>
      <c r="AC353" s="71">
        <f t="shared" si="61"/>
        <v>187.12121212121212</v>
      </c>
      <c r="AD353" s="152">
        <f>'copy data3'!H407</f>
        <v>1214</v>
      </c>
      <c r="AE353" s="38">
        <f t="shared" si="62"/>
        <v>1128</v>
      </c>
      <c r="AF353" s="71">
        <f t="shared" si="63"/>
        <v>170.65052950075642</v>
      </c>
      <c r="AG353" s="152">
        <f>'copy data3'!J407</f>
        <v>448</v>
      </c>
      <c r="AH353" s="38">
        <f t="shared" si="64"/>
        <v>478.75</v>
      </c>
      <c r="AI353" s="71">
        <f t="shared" si="65"/>
        <v>189.98015873015873</v>
      </c>
      <c r="AJ353" s="152">
        <f>'copy data3'!L407</f>
        <v>9564</v>
      </c>
      <c r="AK353" s="38">
        <f t="shared" si="66"/>
        <v>9316.25</v>
      </c>
      <c r="AL353" s="71">
        <f t="shared" si="67"/>
        <v>268.94486143187066</v>
      </c>
      <c r="AM353" s="152">
        <f>'copy data3'!N407</f>
        <v>3584</v>
      </c>
      <c r="AN353" s="38">
        <f t="shared" si="68"/>
        <v>5148.5</v>
      </c>
      <c r="AO353" s="71">
        <f t="shared" si="69"/>
        <v>148.37175792507205</v>
      </c>
      <c r="AP353" s="152">
        <f>'copy data3'!P407</f>
        <v>1246</v>
      </c>
      <c r="AQ353" s="38">
        <f t="shared" si="70"/>
        <v>1666</v>
      </c>
      <c r="AR353" s="71">
        <f t="shared" si="71"/>
        <v>151.04261106074344</v>
      </c>
      <c r="AS353" s="153">
        <f>'copy data3'!R407</f>
        <v>14394</v>
      </c>
      <c r="AT353" s="38">
        <f t="shared" si="53"/>
        <v>16130.75</v>
      </c>
      <c r="AU353" s="71">
        <f t="shared" si="51"/>
        <v>200.70610924474309</v>
      </c>
    </row>
    <row r="354" spans="1:47" ht="15.6" x14ac:dyDescent="0.3">
      <c r="A354" s="55">
        <v>37742</v>
      </c>
      <c r="B354" s="56">
        <v>824</v>
      </c>
      <c r="C354" s="56">
        <v>6493</v>
      </c>
      <c r="D354" s="56">
        <v>174</v>
      </c>
      <c r="E354" s="56">
        <v>2717</v>
      </c>
      <c r="F354" s="56">
        <v>945</v>
      </c>
      <c r="G354" s="56">
        <v>6016</v>
      </c>
      <c r="H354" s="56">
        <v>373</v>
      </c>
      <c r="I354" s="56">
        <v>3300</v>
      </c>
      <c r="J354" s="56">
        <v>60</v>
      </c>
      <c r="K354" s="56">
        <v>699</v>
      </c>
      <c r="L354" s="56">
        <v>2375</v>
      </c>
      <c r="M354" s="56">
        <v>19225</v>
      </c>
      <c r="N354" s="56">
        <v>5431</v>
      </c>
      <c r="O354" s="56">
        <v>26496</v>
      </c>
      <c r="P354" s="56">
        <v>2169</v>
      </c>
      <c r="Q354" s="56">
        <v>25277</v>
      </c>
      <c r="R354" s="16">
        <f t="shared" si="55"/>
        <v>9975</v>
      </c>
      <c r="T354" s="144">
        <f t="shared" si="54"/>
        <v>39324</v>
      </c>
      <c r="U354" s="154">
        <f>'copy data3'!B408</f>
        <v>3654</v>
      </c>
      <c r="V354" s="38">
        <f t="shared" si="56"/>
        <v>3708</v>
      </c>
      <c r="W354" s="71">
        <f t="shared" si="57"/>
        <v>485.34031413612564</v>
      </c>
      <c r="X354" s="154">
        <f>'copy data3'!D408</f>
        <v>1687</v>
      </c>
      <c r="Y354" s="38">
        <f t="shared" si="58"/>
        <v>1807</v>
      </c>
      <c r="Z354" s="71">
        <f t="shared" si="59"/>
        <v>369.52965235173821</v>
      </c>
      <c r="AA354" s="152">
        <f>'copy data3'!F408</f>
        <v>2152</v>
      </c>
      <c r="AB354" s="38">
        <f t="shared" si="60"/>
        <v>2200.5</v>
      </c>
      <c r="AC354" s="71">
        <f t="shared" si="61"/>
        <v>217.65578635014836</v>
      </c>
      <c r="AD354" s="152">
        <f>'copy data3'!H408</f>
        <v>1177</v>
      </c>
      <c r="AE354" s="38">
        <f t="shared" si="62"/>
        <v>1173.75</v>
      </c>
      <c r="AF354" s="71">
        <f t="shared" si="63"/>
        <v>151.84346701164296</v>
      </c>
      <c r="AG354" s="152">
        <f>'copy data3'!J408</f>
        <v>454</v>
      </c>
      <c r="AH354" s="38">
        <f t="shared" si="64"/>
        <v>479.25</v>
      </c>
      <c r="AI354" s="71">
        <f t="shared" si="65"/>
        <v>256.28342245989307</v>
      </c>
      <c r="AJ354" s="152">
        <f>'copy data3'!L408</f>
        <v>9124</v>
      </c>
      <c r="AK354" s="38">
        <f t="shared" si="66"/>
        <v>9368.75</v>
      </c>
      <c r="AL354" s="71">
        <f t="shared" si="67"/>
        <v>290.77436374922405</v>
      </c>
      <c r="AM354" s="152">
        <f>'copy data3'!N408</f>
        <v>2771</v>
      </c>
      <c r="AN354" s="38">
        <f t="shared" si="68"/>
        <v>4130.25</v>
      </c>
      <c r="AO354" s="71">
        <f t="shared" si="69"/>
        <v>168.30684596577018</v>
      </c>
      <c r="AP354" s="152">
        <f>'copy data3'!P408</f>
        <v>990</v>
      </c>
      <c r="AQ354" s="38">
        <f t="shared" si="70"/>
        <v>1450.25</v>
      </c>
      <c r="AR354" s="71">
        <f t="shared" si="71"/>
        <v>178.16339066339066</v>
      </c>
      <c r="AS354" s="153">
        <f>'copy data3'!R408</f>
        <v>12885</v>
      </c>
      <c r="AT354" s="38">
        <f t="shared" si="53"/>
        <v>14949.25</v>
      </c>
      <c r="AU354" s="71">
        <f t="shared" si="51"/>
        <v>230.34283513097074</v>
      </c>
    </row>
    <row r="355" spans="1:47" ht="15.6" x14ac:dyDescent="0.3">
      <c r="A355" s="55">
        <v>38106</v>
      </c>
      <c r="B355" s="56">
        <v>1542</v>
      </c>
      <c r="C355" s="56">
        <v>11753</v>
      </c>
      <c r="D355" s="56">
        <v>428</v>
      </c>
      <c r="E355" s="56">
        <v>3509</v>
      </c>
      <c r="F355" s="56">
        <v>1052</v>
      </c>
      <c r="G355" s="56">
        <v>6185</v>
      </c>
      <c r="H355" s="56">
        <v>485</v>
      </c>
      <c r="I355" s="56">
        <v>4637</v>
      </c>
      <c r="J355" s="56">
        <v>122</v>
      </c>
      <c r="K355" s="56">
        <v>1039</v>
      </c>
      <c r="L355" s="56">
        <v>3629</v>
      </c>
      <c r="M355" s="56">
        <v>27121</v>
      </c>
      <c r="N355" s="56">
        <v>10215</v>
      </c>
      <c r="O355" s="56">
        <v>32081</v>
      </c>
      <c r="P355" s="56">
        <v>1675</v>
      </c>
      <c r="Q355" s="56">
        <v>22363</v>
      </c>
      <c r="R355" s="16">
        <f t="shared" si="55"/>
        <v>15519</v>
      </c>
      <c r="T355" s="144">
        <f t="shared" si="54"/>
        <v>39331</v>
      </c>
      <c r="U355" s="154">
        <f>'copy data3'!B409</f>
        <v>4667</v>
      </c>
      <c r="V355" s="38">
        <f t="shared" si="56"/>
        <v>3927.75</v>
      </c>
      <c r="W355" s="71">
        <f t="shared" si="57"/>
        <v>495.30264817150061</v>
      </c>
      <c r="X355" s="154">
        <f>'copy data3'!D409</f>
        <v>1642</v>
      </c>
      <c r="Y355" s="38">
        <f t="shared" si="58"/>
        <v>1785.25</v>
      </c>
      <c r="Z355" s="71">
        <f t="shared" si="59"/>
        <v>322.24729241877259</v>
      </c>
      <c r="AA355" s="152">
        <f>'copy data3'!F409</f>
        <v>2500</v>
      </c>
      <c r="AB355" s="38">
        <f t="shared" si="60"/>
        <v>2268.5</v>
      </c>
      <c r="AC355" s="71">
        <f t="shared" si="61"/>
        <v>228.91019172552976</v>
      </c>
      <c r="AD355" s="152">
        <f>'copy data3'!H409</f>
        <v>1283</v>
      </c>
      <c r="AE355" s="38">
        <f t="shared" si="62"/>
        <v>1200.5</v>
      </c>
      <c r="AF355" s="71">
        <f t="shared" si="63"/>
        <v>147.3006134969325</v>
      </c>
      <c r="AG355" s="152">
        <f>'copy data3'!J409</f>
        <v>435</v>
      </c>
      <c r="AH355" s="38">
        <f t="shared" si="64"/>
        <v>457.75</v>
      </c>
      <c r="AI355" s="71">
        <f t="shared" si="65"/>
        <v>242.19576719576722</v>
      </c>
      <c r="AJ355" s="152">
        <f>'copy data3'!L409</f>
        <v>10528</v>
      </c>
      <c r="AK355" s="38">
        <f t="shared" si="66"/>
        <v>9640</v>
      </c>
      <c r="AL355" s="71">
        <f t="shared" si="67"/>
        <v>288.36374513909664</v>
      </c>
      <c r="AM355" s="152">
        <f>'copy data3'!N409</f>
        <v>15762</v>
      </c>
      <c r="AN355" s="38">
        <f t="shared" si="68"/>
        <v>6698.5</v>
      </c>
      <c r="AO355" s="71">
        <f t="shared" si="69"/>
        <v>58.242761499000082</v>
      </c>
      <c r="AP355" s="152">
        <f>'copy data3'!P409</f>
        <v>7997</v>
      </c>
      <c r="AQ355" s="38">
        <f t="shared" si="70"/>
        <v>2970.75</v>
      </c>
      <c r="AR355" s="71">
        <f t="shared" si="71"/>
        <v>42.415048543689323</v>
      </c>
      <c r="AS355" s="153">
        <f>'copy data3'!R409</f>
        <v>34287</v>
      </c>
      <c r="AT355" s="38">
        <f t="shared" si="53"/>
        <v>19309.25</v>
      </c>
      <c r="AU355" s="71">
        <f t="shared" si="51"/>
        <v>88.379943244232891</v>
      </c>
    </row>
    <row r="356" spans="1:47" ht="15.6" x14ac:dyDescent="0.3">
      <c r="A356" s="55">
        <v>37749</v>
      </c>
      <c r="B356" s="56">
        <v>725</v>
      </c>
      <c r="C356" s="56">
        <v>6629</v>
      </c>
      <c r="D356" s="56">
        <v>130</v>
      </c>
      <c r="E356" s="56">
        <v>2761</v>
      </c>
      <c r="F356" s="56">
        <v>845</v>
      </c>
      <c r="G356" s="56">
        <v>6213</v>
      </c>
      <c r="H356" s="56">
        <v>434</v>
      </c>
      <c r="I356" s="56">
        <v>3342</v>
      </c>
      <c r="J356" s="56">
        <v>42</v>
      </c>
      <c r="K356" s="56">
        <v>719</v>
      </c>
      <c r="L356" s="56">
        <v>2174</v>
      </c>
      <c r="M356" s="56">
        <v>19665</v>
      </c>
      <c r="N356" s="56">
        <v>5879</v>
      </c>
      <c r="O356" s="56">
        <v>27092</v>
      </c>
      <c r="P356" s="56">
        <v>2003</v>
      </c>
      <c r="Q356" s="56">
        <v>25586</v>
      </c>
      <c r="R356" s="16">
        <f t="shared" si="55"/>
        <v>10056</v>
      </c>
      <c r="T356" s="144">
        <f t="shared" si="54"/>
        <v>39338</v>
      </c>
      <c r="U356" s="154">
        <f>'copy data3'!B410</f>
        <v>4885</v>
      </c>
      <c r="V356" s="38">
        <f t="shared" si="56"/>
        <v>4237.5</v>
      </c>
      <c r="W356" s="71">
        <f t="shared" si="57"/>
        <v>607.09169054441259</v>
      </c>
      <c r="X356" s="154">
        <f>'copy data3'!D410</f>
        <v>1686</v>
      </c>
      <c r="Y356" s="38">
        <f t="shared" si="58"/>
        <v>1744.75</v>
      </c>
      <c r="Z356" s="71">
        <f t="shared" si="59"/>
        <v>269.25154320987656</v>
      </c>
      <c r="AA356" s="152">
        <f>'copy data3'!F410</f>
        <v>2647</v>
      </c>
      <c r="AB356" s="38">
        <f t="shared" si="60"/>
        <v>2373.25</v>
      </c>
      <c r="AC356" s="71">
        <f t="shared" si="61"/>
        <v>242.16836734693877</v>
      </c>
      <c r="AD356" s="152">
        <f>'copy data3'!H410</f>
        <v>1405</v>
      </c>
      <c r="AE356" s="38">
        <f t="shared" si="62"/>
        <v>1269.75</v>
      </c>
      <c r="AF356" s="71">
        <f t="shared" si="63"/>
        <v>149.20681551116331</v>
      </c>
      <c r="AG356" s="152">
        <f>'copy data3'!J410</f>
        <v>425</v>
      </c>
      <c r="AH356" s="38">
        <f t="shared" si="64"/>
        <v>440.5</v>
      </c>
      <c r="AI356" s="71">
        <f t="shared" si="65"/>
        <v>280.57324840764329</v>
      </c>
      <c r="AJ356" s="152">
        <f>'copy data3'!L410</f>
        <v>11047</v>
      </c>
      <c r="AK356" s="38">
        <f t="shared" si="66"/>
        <v>10065.75</v>
      </c>
      <c r="AL356" s="71">
        <f t="shared" si="67"/>
        <v>301.91211757648466</v>
      </c>
      <c r="AM356" s="152">
        <f>'copy data3'!N410</f>
        <v>16920</v>
      </c>
      <c r="AN356" s="38">
        <f t="shared" si="68"/>
        <v>9759.25</v>
      </c>
      <c r="AO356" s="71">
        <f t="shared" si="69"/>
        <v>87.621206679834799</v>
      </c>
      <c r="AP356" s="152">
        <f>'copy data3'!P410</f>
        <v>8106</v>
      </c>
      <c r="AQ356" s="38">
        <f t="shared" si="70"/>
        <v>4584.75</v>
      </c>
      <c r="AR356" s="71">
        <f t="shared" si="71"/>
        <v>61.880820623565938</v>
      </c>
      <c r="AS356" s="153">
        <f>'copy data3'!R410</f>
        <v>36073</v>
      </c>
      <c r="AT356" s="38">
        <f t="shared" si="53"/>
        <v>24409.75</v>
      </c>
      <c r="AU356" s="71">
        <f t="shared" si="51"/>
        <v>111.55683012659385</v>
      </c>
    </row>
    <row r="357" spans="1:47" ht="15.6" x14ac:dyDescent="0.3">
      <c r="A357" s="55">
        <v>38113</v>
      </c>
      <c r="B357" s="56">
        <v>1434</v>
      </c>
      <c r="C357" s="56">
        <v>11883</v>
      </c>
      <c r="D357" s="56">
        <v>301</v>
      </c>
      <c r="E357" s="56">
        <v>3644</v>
      </c>
      <c r="F357" s="56">
        <v>902</v>
      </c>
      <c r="G357" s="56">
        <v>6336</v>
      </c>
      <c r="H357" s="56">
        <v>404</v>
      </c>
      <c r="I357" s="56">
        <v>4724</v>
      </c>
      <c r="J357" s="56">
        <v>144</v>
      </c>
      <c r="K357" s="56">
        <v>1041</v>
      </c>
      <c r="L357" s="56">
        <v>3185</v>
      </c>
      <c r="M357" s="56">
        <v>27629</v>
      </c>
      <c r="N357" s="56">
        <v>9699</v>
      </c>
      <c r="O357" s="56">
        <v>33103</v>
      </c>
      <c r="P357" s="56">
        <v>1403</v>
      </c>
      <c r="Q357" s="56">
        <v>22594</v>
      </c>
      <c r="R357" s="16">
        <f t="shared" si="55"/>
        <v>14287</v>
      </c>
      <c r="T357" s="144">
        <f t="shared" si="54"/>
        <v>39345</v>
      </c>
      <c r="U357" s="154">
        <f>'copy data3'!B411</f>
        <v>5440</v>
      </c>
      <c r="V357" s="38">
        <f t="shared" si="56"/>
        <v>4661.5</v>
      </c>
      <c r="W357" s="71">
        <f t="shared" si="57"/>
        <v>655.62587904360055</v>
      </c>
      <c r="X357" s="154">
        <f>'copy data3'!D411</f>
        <v>1389</v>
      </c>
      <c r="Y357" s="38">
        <f t="shared" si="58"/>
        <v>1601</v>
      </c>
      <c r="Z357" s="71">
        <f t="shared" si="59"/>
        <v>266.38935108153078</v>
      </c>
      <c r="AA357" s="152">
        <f>'copy data3'!F411</f>
        <v>2777</v>
      </c>
      <c r="AB357" s="38">
        <f t="shared" si="60"/>
        <v>2519</v>
      </c>
      <c r="AC357" s="71">
        <f t="shared" si="61"/>
        <v>236.5258215962441</v>
      </c>
      <c r="AD357" s="152">
        <f>'copy data3'!H411</f>
        <v>1472</v>
      </c>
      <c r="AE357" s="38">
        <f t="shared" si="62"/>
        <v>1334.25</v>
      </c>
      <c r="AF357" s="71">
        <f t="shared" si="63"/>
        <v>148.74581939799333</v>
      </c>
      <c r="AG357" s="152">
        <f>'copy data3'!J411</f>
        <v>449</v>
      </c>
      <c r="AH357" s="38">
        <f t="shared" si="64"/>
        <v>440.75</v>
      </c>
      <c r="AI357" s="71">
        <f t="shared" si="65"/>
        <v>293.83333333333337</v>
      </c>
      <c r="AJ357" s="152">
        <f>'copy data3'!L411</f>
        <v>11527</v>
      </c>
      <c r="AK357" s="38">
        <f t="shared" si="66"/>
        <v>10556.5</v>
      </c>
      <c r="AL357" s="71">
        <f t="shared" si="67"/>
        <v>308.30899532710282</v>
      </c>
      <c r="AM357" s="152">
        <f>'copy data3'!N411</f>
        <v>17415</v>
      </c>
      <c r="AN357" s="38">
        <f t="shared" si="68"/>
        <v>13217</v>
      </c>
      <c r="AO357" s="71">
        <f t="shared" si="69"/>
        <v>123.15505031680954</v>
      </c>
      <c r="AP357" s="152">
        <f>'copy data3'!P411</f>
        <v>8366</v>
      </c>
      <c r="AQ357" s="38">
        <f t="shared" si="70"/>
        <v>6364.75</v>
      </c>
      <c r="AR357" s="71">
        <f t="shared" si="71"/>
        <v>79.848826997867278</v>
      </c>
      <c r="AS357" s="153">
        <f>'copy data3'!R411</f>
        <v>37308</v>
      </c>
      <c r="AT357" s="38">
        <f t="shared" si="53"/>
        <v>30138.25</v>
      </c>
      <c r="AU357" s="71">
        <f t="shared" si="51"/>
        <v>136.20576671035388</v>
      </c>
    </row>
    <row r="358" spans="1:47" ht="15.6" x14ac:dyDescent="0.3">
      <c r="A358" s="55">
        <v>37756</v>
      </c>
      <c r="B358" s="56">
        <v>619</v>
      </c>
      <c r="C358" s="56">
        <v>6742</v>
      </c>
      <c r="D358" s="56">
        <v>108</v>
      </c>
      <c r="E358" s="56">
        <v>2801</v>
      </c>
      <c r="F358" s="56">
        <v>775</v>
      </c>
      <c r="G358" s="56">
        <v>6347</v>
      </c>
      <c r="H358" s="56">
        <v>390</v>
      </c>
      <c r="I358" s="56">
        <v>3404</v>
      </c>
      <c r="J358" s="56">
        <v>38</v>
      </c>
      <c r="K358" s="56">
        <v>726</v>
      </c>
      <c r="L358" s="56">
        <v>1929</v>
      </c>
      <c r="M358" s="56">
        <v>20019</v>
      </c>
      <c r="N358" s="56">
        <v>5804</v>
      </c>
      <c r="O358" s="56">
        <v>27923</v>
      </c>
      <c r="P358" s="56">
        <v>1997</v>
      </c>
      <c r="Q358" s="56">
        <v>25701</v>
      </c>
      <c r="R358" s="16">
        <f t="shared" si="55"/>
        <v>9730</v>
      </c>
      <c r="T358" s="144">
        <f t="shared" si="54"/>
        <v>39352</v>
      </c>
      <c r="U358" s="154">
        <f>'copy data3'!B412</f>
        <v>5857</v>
      </c>
      <c r="V358" s="38">
        <f t="shared" si="56"/>
        <v>5212.25</v>
      </c>
      <c r="W358" s="71">
        <f t="shared" si="57"/>
        <v>777.94776119402979</v>
      </c>
      <c r="X358" s="154">
        <f>'copy data3'!D412</f>
        <v>1239</v>
      </c>
      <c r="Y358" s="38">
        <f t="shared" si="58"/>
        <v>1489</v>
      </c>
      <c r="Z358" s="71">
        <f t="shared" si="59"/>
        <v>244.09836065573768</v>
      </c>
      <c r="AA358" s="152">
        <f>'copy data3'!F412</f>
        <v>2854</v>
      </c>
      <c r="AB358" s="38">
        <f t="shared" si="60"/>
        <v>2694.5</v>
      </c>
      <c r="AC358" s="71">
        <f t="shared" si="61"/>
        <v>258.83765609990394</v>
      </c>
      <c r="AD358" s="152">
        <f>'copy data3'!H412</f>
        <v>1619</v>
      </c>
      <c r="AE358" s="38">
        <f t="shared" si="62"/>
        <v>1444.75</v>
      </c>
      <c r="AF358" s="71">
        <f t="shared" si="63"/>
        <v>165.49255441008017</v>
      </c>
      <c r="AG358" s="152">
        <f>'copy data3'!J412</f>
        <v>404</v>
      </c>
      <c r="AH358" s="38">
        <f t="shared" si="64"/>
        <v>428.25</v>
      </c>
      <c r="AI358" s="71">
        <f t="shared" si="65"/>
        <v>389.31818181818181</v>
      </c>
      <c r="AJ358" s="152">
        <f>'copy data3'!L412</f>
        <v>11973</v>
      </c>
      <c r="AK358" s="38">
        <f t="shared" si="66"/>
        <v>11268.75</v>
      </c>
      <c r="AL358" s="71">
        <f t="shared" si="67"/>
        <v>341.06386198547216</v>
      </c>
      <c r="AM358" s="152">
        <f>'copy data3'!N412</f>
        <v>17341</v>
      </c>
      <c r="AN358" s="38">
        <f t="shared" si="68"/>
        <v>16859.5</v>
      </c>
      <c r="AO358" s="71">
        <f t="shared" si="69"/>
        <v>157.46240777061735</v>
      </c>
      <c r="AP358" s="152">
        <f>'copy data3'!P412</f>
        <v>8753</v>
      </c>
      <c r="AQ358" s="38">
        <f t="shared" si="70"/>
        <v>8305.5</v>
      </c>
      <c r="AR358" s="71">
        <f t="shared" si="71"/>
        <v>96.665502793296085</v>
      </c>
      <c r="AS358" s="153">
        <f>'copy data3'!R412</f>
        <v>38067</v>
      </c>
      <c r="AT358" s="38">
        <f t="shared" si="53"/>
        <v>36433.75</v>
      </c>
      <c r="AU358" s="71">
        <f t="shared" si="51"/>
        <v>161.18988629827899</v>
      </c>
    </row>
    <row r="359" spans="1:47" ht="15.6" x14ac:dyDescent="0.3">
      <c r="A359" s="55">
        <v>38120</v>
      </c>
      <c r="B359" s="56">
        <v>1110</v>
      </c>
      <c r="C359" s="56">
        <v>12207</v>
      </c>
      <c r="D359" s="56">
        <v>287</v>
      </c>
      <c r="E359" s="56">
        <v>3674</v>
      </c>
      <c r="F359" s="56">
        <v>689</v>
      </c>
      <c r="G359" s="56">
        <v>6550</v>
      </c>
      <c r="H359" s="56">
        <v>397</v>
      </c>
      <c r="I359" s="56">
        <v>4730</v>
      </c>
      <c r="J359" s="56">
        <v>79</v>
      </c>
      <c r="K359" s="56">
        <v>1041</v>
      </c>
      <c r="L359" s="56">
        <v>2561</v>
      </c>
      <c r="M359" s="56">
        <v>28202</v>
      </c>
      <c r="N359" s="56">
        <v>9781</v>
      </c>
      <c r="O359" s="56">
        <v>33755</v>
      </c>
      <c r="P359" s="56">
        <v>1323</v>
      </c>
      <c r="Q359" s="56">
        <v>22693</v>
      </c>
      <c r="R359" s="16">
        <f t="shared" si="55"/>
        <v>13665</v>
      </c>
      <c r="T359" s="144">
        <f t="shared" si="54"/>
        <v>39359</v>
      </c>
      <c r="U359" s="154">
        <f>'copy data3'!B413</f>
        <v>5758</v>
      </c>
      <c r="V359" s="38">
        <f t="shared" si="56"/>
        <v>5485</v>
      </c>
      <c r="W359" s="71">
        <f t="shared" si="57"/>
        <v>596.19565217391312</v>
      </c>
      <c r="X359" s="154">
        <f>'copy data3'!D413</f>
        <v>1174</v>
      </c>
      <c r="Y359" s="38">
        <f t="shared" si="58"/>
        <v>1372</v>
      </c>
      <c r="Z359" s="71">
        <f t="shared" si="59"/>
        <v>208.82800608828006</v>
      </c>
      <c r="AA359" s="152">
        <f>'copy data3'!F413</f>
        <v>3091</v>
      </c>
      <c r="AB359" s="38">
        <f t="shared" si="60"/>
        <v>2842.25</v>
      </c>
      <c r="AC359" s="71">
        <f t="shared" si="61"/>
        <v>279.19941060903733</v>
      </c>
      <c r="AD359" s="152">
        <f>'copy data3'!H413</f>
        <v>1576</v>
      </c>
      <c r="AE359" s="38">
        <f t="shared" si="62"/>
        <v>1518</v>
      </c>
      <c r="AF359" s="71">
        <f t="shared" si="63"/>
        <v>180.71428571428572</v>
      </c>
      <c r="AG359" s="152">
        <f>'copy data3'!J413</f>
        <v>426</v>
      </c>
      <c r="AH359" s="38">
        <f t="shared" si="64"/>
        <v>426</v>
      </c>
      <c r="AI359" s="71">
        <f t="shared" si="65"/>
        <v>387.27272727272725</v>
      </c>
      <c r="AJ359" s="152">
        <f>'copy data3'!L413</f>
        <v>12025</v>
      </c>
      <c r="AK359" s="38">
        <f t="shared" si="66"/>
        <v>11643</v>
      </c>
      <c r="AL359" s="71">
        <f t="shared" si="67"/>
        <v>328.43441466854728</v>
      </c>
      <c r="AM359" s="152">
        <f>'copy data3'!N413</f>
        <v>18468</v>
      </c>
      <c r="AN359" s="38">
        <f t="shared" si="68"/>
        <v>17536</v>
      </c>
      <c r="AO359" s="71">
        <f t="shared" si="69"/>
        <v>160.98411824107222</v>
      </c>
      <c r="AP359" s="152">
        <f>'copy data3'!P413</f>
        <v>8772</v>
      </c>
      <c r="AQ359" s="38">
        <f t="shared" si="70"/>
        <v>8499.25</v>
      </c>
      <c r="AR359" s="71">
        <f t="shared" si="71"/>
        <v>94.92126423944606</v>
      </c>
      <c r="AS359" s="153">
        <f>'copy data3'!R413</f>
        <v>39265</v>
      </c>
      <c r="AT359" s="38">
        <f t="shared" si="53"/>
        <v>37678.25</v>
      </c>
      <c r="AU359" s="71">
        <f t="shared" si="51"/>
        <v>161.0732301641587</v>
      </c>
    </row>
    <row r="360" spans="1:47" ht="15.6" x14ac:dyDescent="0.3">
      <c r="A360" s="55">
        <v>37763</v>
      </c>
      <c r="B360" s="56">
        <v>585</v>
      </c>
      <c r="C360" s="56">
        <v>6772</v>
      </c>
      <c r="D360" s="56">
        <v>99</v>
      </c>
      <c r="E360" s="56">
        <v>2847</v>
      </c>
      <c r="F360" s="56">
        <v>620</v>
      </c>
      <c r="G360" s="56">
        <v>6473</v>
      </c>
      <c r="H360" s="56">
        <v>316</v>
      </c>
      <c r="I360" s="56">
        <v>3497</v>
      </c>
      <c r="J360" s="56">
        <v>38</v>
      </c>
      <c r="K360" s="56">
        <v>726</v>
      </c>
      <c r="L360" s="56">
        <v>1656</v>
      </c>
      <c r="M360" s="56">
        <v>20315</v>
      </c>
      <c r="N360" s="56">
        <v>5640</v>
      </c>
      <c r="O360" s="56">
        <v>28722</v>
      </c>
      <c r="P360" s="56">
        <v>1903</v>
      </c>
      <c r="Q360" s="56">
        <v>26055</v>
      </c>
      <c r="R360" s="16">
        <f t="shared" si="55"/>
        <v>9199</v>
      </c>
      <c r="T360" s="144">
        <f t="shared" si="54"/>
        <v>39366</v>
      </c>
      <c r="U360" s="154">
        <f>'copy data3'!B414</f>
        <v>5793</v>
      </c>
      <c r="V360" s="38">
        <f t="shared" si="56"/>
        <v>5712</v>
      </c>
      <c r="W360" s="71">
        <f t="shared" si="57"/>
        <v>599.37040923399798</v>
      </c>
      <c r="X360" s="154">
        <f>'copy data3'!D414</f>
        <v>1090</v>
      </c>
      <c r="Y360" s="38">
        <f t="shared" si="58"/>
        <v>1223</v>
      </c>
      <c r="Z360" s="71">
        <f t="shared" si="59"/>
        <v>220.75812274368229</v>
      </c>
      <c r="AA360" s="152">
        <f>'copy data3'!F414</f>
        <v>3070</v>
      </c>
      <c r="AB360" s="38">
        <f t="shared" si="60"/>
        <v>2948</v>
      </c>
      <c r="AC360" s="71">
        <f t="shared" si="61"/>
        <v>322.53829321663022</v>
      </c>
      <c r="AD360" s="152">
        <f>'copy data3'!H414</f>
        <v>1647</v>
      </c>
      <c r="AE360" s="38">
        <f t="shared" si="62"/>
        <v>1578.5</v>
      </c>
      <c r="AF360" s="71">
        <f t="shared" si="63"/>
        <v>174.41988950276243</v>
      </c>
      <c r="AG360" s="152">
        <f>'copy data3'!J414</f>
        <v>420</v>
      </c>
      <c r="AH360" s="38">
        <f t="shared" si="64"/>
        <v>424.75</v>
      </c>
      <c r="AI360" s="71">
        <f t="shared" si="65"/>
        <v>530.9375</v>
      </c>
      <c r="AJ360" s="152">
        <f>'copy data3'!L414</f>
        <v>12019</v>
      </c>
      <c r="AK360" s="38">
        <f t="shared" si="66"/>
        <v>11886</v>
      </c>
      <c r="AL360" s="71">
        <f t="shared" si="67"/>
        <v>349.07488986784142</v>
      </c>
      <c r="AM360" s="152">
        <f>'copy data3'!N414</f>
        <v>19158</v>
      </c>
      <c r="AN360" s="38">
        <f t="shared" si="68"/>
        <v>18095.5</v>
      </c>
      <c r="AO360" s="71">
        <f t="shared" si="69"/>
        <v>170.29456051195183</v>
      </c>
      <c r="AP360" s="152">
        <f>'copy data3'!P414</f>
        <v>8536</v>
      </c>
      <c r="AQ360" s="38">
        <f t="shared" si="70"/>
        <v>8606.75</v>
      </c>
      <c r="AR360" s="71">
        <f t="shared" si="71"/>
        <v>95.673076923076934</v>
      </c>
      <c r="AS360" s="153">
        <f>'copy data3'!R414</f>
        <v>39713</v>
      </c>
      <c r="AT360" s="38">
        <f t="shared" si="53"/>
        <v>38588.25</v>
      </c>
      <c r="AU360" s="71">
        <f t="shared" si="51"/>
        <v>167.57827767403484</v>
      </c>
    </row>
    <row r="361" spans="1:47" ht="15.6" x14ac:dyDescent="0.3">
      <c r="A361" s="55">
        <v>38127</v>
      </c>
      <c r="B361" s="56">
        <v>912</v>
      </c>
      <c r="C361" s="56">
        <v>12429</v>
      </c>
      <c r="D361" s="56">
        <v>224</v>
      </c>
      <c r="E361" s="56">
        <v>3745</v>
      </c>
      <c r="F361" s="56">
        <v>452</v>
      </c>
      <c r="G361" s="56">
        <v>6785</v>
      </c>
      <c r="H361" s="56">
        <v>325</v>
      </c>
      <c r="I361" s="56">
        <v>4786</v>
      </c>
      <c r="J361" s="56">
        <v>54</v>
      </c>
      <c r="K361" s="56">
        <v>1049</v>
      </c>
      <c r="L361" s="56">
        <v>1967</v>
      </c>
      <c r="M361" s="56">
        <v>28792</v>
      </c>
      <c r="N361" s="56">
        <v>9894</v>
      </c>
      <c r="O361" s="56">
        <v>34905</v>
      </c>
      <c r="P361" s="56">
        <v>1170</v>
      </c>
      <c r="Q361" s="56">
        <v>22833</v>
      </c>
      <c r="R361" s="16">
        <f t="shared" si="55"/>
        <v>13031</v>
      </c>
      <c r="T361" s="144">
        <f t="shared" si="54"/>
        <v>39373</v>
      </c>
      <c r="U361" s="154">
        <f>'copy data3'!B415</f>
        <v>5490</v>
      </c>
      <c r="V361" s="38">
        <f t="shared" si="56"/>
        <v>5724.5</v>
      </c>
      <c r="W361" s="71">
        <f t="shared" si="57"/>
        <v>527.11786372007361</v>
      </c>
      <c r="X361" s="154">
        <f>'copy data3'!D415</f>
        <v>1111</v>
      </c>
      <c r="Y361" s="38">
        <f t="shared" si="58"/>
        <v>1153.5</v>
      </c>
      <c r="Z361" s="71">
        <f t="shared" si="59"/>
        <v>275.95693779904303</v>
      </c>
      <c r="AA361" s="152">
        <f>'copy data3'!F415</f>
        <v>3170</v>
      </c>
      <c r="AB361" s="38">
        <f t="shared" si="60"/>
        <v>3046.25</v>
      </c>
      <c r="AC361" s="71">
        <f t="shared" si="61"/>
        <v>310.84183673469391</v>
      </c>
      <c r="AD361" s="152">
        <f>'copy data3'!H415</f>
        <v>1569</v>
      </c>
      <c r="AE361" s="38">
        <f t="shared" si="62"/>
        <v>1602.75</v>
      </c>
      <c r="AF361" s="71">
        <f t="shared" si="63"/>
        <v>185.50347222222223</v>
      </c>
      <c r="AG361" s="152">
        <f>'copy data3'!J415</f>
        <v>374</v>
      </c>
      <c r="AH361" s="38">
        <f t="shared" si="64"/>
        <v>406</v>
      </c>
      <c r="AI361" s="71">
        <f t="shared" si="65"/>
        <v>451.11111111111109</v>
      </c>
      <c r="AJ361" s="152">
        <f>'copy data3'!L415</f>
        <v>11714</v>
      </c>
      <c r="AK361" s="38">
        <f t="shared" si="66"/>
        <v>11932.75</v>
      </c>
      <c r="AL361" s="71">
        <f t="shared" si="67"/>
        <v>347.08406050029083</v>
      </c>
      <c r="AM361" s="152">
        <f>'copy data3'!N415</f>
        <v>19421</v>
      </c>
      <c r="AN361" s="38">
        <f t="shared" si="68"/>
        <v>18597</v>
      </c>
      <c r="AO361" s="71">
        <f t="shared" si="69"/>
        <v>171.05408388520971</v>
      </c>
      <c r="AP361" s="152">
        <f>'copy data3'!P415</f>
        <v>8133</v>
      </c>
      <c r="AQ361" s="38">
        <f t="shared" si="70"/>
        <v>8548.5</v>
      </c>
      <c r="AR361" s="71">
        <f t="shared" si="71"/>
        <v>101.29754710273728</v>
      </c>
      <c r="AS361" s="153">
        <f>'copy data3'!R415</f>
        <v>39268</v>
      </c>
      <c r="AT361" s="38">
        <f t="shared" si="53"/>
        <v>39078.25</v>
      </c>
      <c r="AU361" s="71">
        <f t="shared" si="51"/>
        <v>171.78007824519759</v>
      </c>
    </row>
    <row r="362" spans="1:47" ht="15.6" x14ac:dyDescent="0.3">
      <c r="A362" s="55">
        <v>37770</v>
      </c>
      <c r="B362" s="56">
        <v>475</v>
      </c>
      <c r="C362" s="56">
        <v>6896</v>
      </c>
      <c r="D362" s="56">
        <v>59</v>
      </c>
      <c r="E362" s="56">
        <v>2899</v>
      </c>
      <c r="F362" s="56">
        <v>456</v>
      </c>
      <c r="G362" s="56">
        <v>6645</v>
      </c>
      <c r="H362" s="56">
        <v>297</v>
      </c>
      <c r="I362" s="56">
        <v>3617</v>
      </c>
      <c r="J362" s="56">
        <v>38</v>
      </c>
      <c r="K362" s="56">
        <v>726</v>
      </c>
      <c r="L362" s="56">
        <v>1323</v>
      </c>
      <c r="M362" s="56">
        <v>20682</v>
      </c>
      <c r="N362" s="56">
        <v>5289</v>
      </c>
      <c r="O362" s="56">
        <v>29607</v>
      </c>
      <c r="P362" s="56">
        <v>1887</v>
      </c>
      <c r="Q362" s="56">
        <v>26183</v>
      </c>
      <c r="R362" s="16">
        <f t="shared" si="55"/>
        <v>8499</v>
      </c>
      <c r="T362" s="144">
        <f t="shared" si="54"/>
        <v>39380</v>
      </c>
      <c r="U362" s="154">
        <f>'copy data3'!B416</f>
        <v>5262</v>
      </c>
      <c r="V362" s="38">
        <f t="shared" si="56"/>
        <v>5575.75</v>
      </c>
      <c r="W362" s="71">
        <f t="shared" si="57"/>
        <v>381.11756664388247</v>
      </c>
      <c r="X362" s="154">
        <f>'copy data3'!D416</f>
        <v>993</v>
      </c>
      <c r="Y362" s="38">
        <f t="shared" si="58"/>
        <v>1092</v>
      </c>
      <c r="Z362" s="71">
        <f t="shared" si="59"/>
        <v>250.45871559633025</v>
      </c>
      <c r="AA362" s="152">
        <f>'copy data3'!F416</f>
        <v>2965</v>
      </c>
      <c r="AB362" s="38">
        <f t="shared" si="60"/>
        <v>3074</v>
      </c>
      <c r="AC362" s="71">
        <f t="shared" si="61"/>
        <v>287.82771535580525</v>
      </c>
      <c r="AD362" s="152">
        <f>'copy data3'!H416</f>
        <v>1474</v>
      </c>
      <c r="AE362" s="38">
        <f t="shared" si="62"/>
        <v>1566.5</v>
      </c>
      <c r="AF362" s="71">
        <f t="shared" si="63"/>
        <v>161.16255144032922</v>
      </c>
      <c r="AG362" s="152">
        <f>'copy data3'!J416</f>
        <v>355</v>
      </c>
      <c r="AH362" s="38">
        <f t="shared" si="64"/>
        <v>393.75</v>
      </c>
      <c r="AI362" s="71">
        <f t="shared" si="65"/>
        <v>437.5</v>
      </c>
      <c r="AJ362" s="152">
        <f>'copy data3'!L416</f>
        <v>11048</v>
      </c>
      <c r="AK362" s="38">
        <f t="shared" si="66"/>
        <v>11701.5</v>
      </c>
      <c r="AL362" s="71">
        <f t="shared" si="67"/>
        <v>290.50397219463753</v>
      </c>
      <c r="AM362" s="152">
        <f>'copy data3'!N416</f>
        <v>18806</v>
      </c>
      <c r="AN362" s="38">
        <f t="shared" si="68"/>
        <v>18963.25</v>
      </c>
      <c r="AO362" s="71">
        <f t="shared" si="69"/>
        <v>175.63443549134018</v>
      </c>
      <c r="AP362" s="152">
        <f>'copy data3'!P416</f>
        <v>8069</v>
      </c>
      <c r="AQ362" s="38">
        <f t="shared" si="70"/>
        <v>8377.5</v>
      </c>
      <c r="AR362" s="71">
        <f t="shared" si="71"/>
        <v>106.67897618744429</v>
      </c>
      <c r="AS362" s="153">
        <f>'copy data3'!R416</f>
        <v>37923</v>
      </c>
      <c r="AT362" s="38">
        <f t="shared" si="53"/>
        <v>39042.25</v>
      </c>
      <c r="AU362" s="71">
        <f t="shared" si="51"/>
        <v>172.15914101772643</v>
      </c>
    </row>
    <row r="363" spans="1:47" ht="15.6" x14ac:dyDescent="0.3">
      <c r="A363" s="55">
        <v>38134</v>
      </c>
      <c r="B363" s="56">
        <v>665</v>
      </c>
      <c r="C363" s="56">
        <v>12697</v>
      </c>
      <c r="D363" s="56">
        <v>206</v>
      </c>
      <c r="E363" s="56">
        <v>3785</v>
      </c>
      <c r="F363" s="56">
        <v>360</v>
      </c>
      <c r="G363" s="56">
        <v>6928</v>
      </c>
      <c r="H363" s="56">
        <v>224</v>
      </c>
      <c r="I363" s="56">
        <v>4889</v>
      </c>
      <c r="J363" s="56">
        <v>28</v>
      </c>
      <c r="K363" s="56">
        <v>1053</v>
      </c>
      <c r="L363" s="56">
        <v>1484</v>
      </c>
      <c r="M363" s="56">
        <v>29353</v>
      </c>
      <c r="N363" s="56">
        <v>9450</v>
      </c>
      <c r="O363" s="56">
        <v>35780</v>
      </c>
      <c r="P363" s="56">
        <v>1130</v>
      </c>
      <c r="Q363" s="56">
        <v>22894</v>
      </c>
      <c r="R363" s="16">
        <f t="shared" si="55"/>
        <v>12064</v>
      </c>
      <c r="T363" s="144">
        <f t="shared" si="54"/>
        <v>39387</v>
      </c>
      <c r="U363" s="154">
        <f>'copy data3'!B417</f>
        <v>4845</v>
      </c>
      <c r="V363" s="38">
        <f t="shared" si="56"/>
        <v>5347.5</v>
      </c>
      <c r="W363" s="71">
        <f t="shared" si="57"/>
        <v>346.56513285806869</v>
      </c>
      <c r="X363" s="154">
        <f>'copy data3'!D417</f>
        <v>973</v>
      </c>
      <c r="Y363" s="38">
        <f t="shared" si="58"/>
        <v>1041.75</v>
      </c>
      <c r="Z363" s="71">
        <f t="shared" si="59"/>
        <v>228.45394736842107</v>
      </c>
      <c r="AA363" s="152">
        <f>'copy data3'!F417</f>
        <v>2683</v>
      </c>
      <c r="AB363" s="38">
        <f t="shared" si="60"/>
        <v>2972</v>
      </c>
      <c r="AC363" s="71">
        <f t="shared" si="61"/>
        <v>254.45205479452056</v>
      </c>
      <c r="AD363" s="152">
        <f>'copy data3'!H417</f>
        <v>1443</v>
      </c>
      <c r="AE363" s="38">
        <f t="shared" si="62"/>
        <v>1533.25</v>
      </c>
      <c r="AF363" s="71">
        <f t="shared" si="63"/>
        <v>140.79430670339761</v>
      </c>
      <c r="AG363" s="152">
        <f>'copy data3'!J417</f>
        <v>355</v>
      </c>
      <c r="AH363" s="38">
        <f t="shared" si="64"/>
        <v>376</v>
      </c>
      <c r="AI363" s="71">
        <f t="shared" si="65"/>
        <v>422.47191011235952</v>
      </c>
      <c r="AJ363" s="152">
        <f>'copy data3'!L417</f>
        <v>10300</v>
      </c>
      <c r="AK363" s="38">
        <f t="shared" si="66"/>
        <v>11270.25</v>
      </c>
      <c r="AL363" s="71">
        <f t="shared" si="67"/>
        <v>259.44406077348066</v>
      </c>
      <c r="AM363" s="152">
        <f>'copy data3'!N417</f>
        <v>18788</v>
      </c>
      <c r="AN363" s="38">
        <f t="shared" si="68"/>
        <v>19043.25</v>
      </c>
      <c r="AO363" s="71">
        <f t="shared" si="69"/>
        <v>164.84807825484765</v>
      </c>
      <c r="AP363" s="152">
        <f>'copy data3'!P417</f>
        <v>7856</v>
      </c>
      <c r="AQ363" s="38">
        <f t="shared" si="70"/>
        <v>8148.5</v>
      </c>
      <c r="AR363" s="71">
        <f t="shared" si="71"/>
        <v>108.69014272375617</v>
      </c>
      <c r="AS363" s="153">
        <f>'copy data3'!R417</f>
        <v>36944</v>
      </c>
      <c r="AT363" s="38">
        <f t="shared" si="53"/>
        <v>38462</v>
      </c>
      <c r="AU363" s="71">
        <f t="shared" si="51"/>
        <v>164.41670585217801</v>
      </c>
    </row>
    <row r="364" spans="1:47" ht="15.6" x14ac:dyDescent="0.3">
      <c r="A364" s="55">
        <v>37777</v>
      </c>
      <c r="B364" s="56">
        <v>1369</v>
      </c>
      <c r="C364" s="56">
        <v>121</v>
      </c>
      <c r="D364" s="56">
        <v>325</v>
      </c>
      <c r="E364" s="56">
        <v>13</v>
      </c>
      <c r="F364" s="56">
        <v>1003</v>
      </c>
      <c r="G364" s="56">
        <v>90</v>
      </c>
      <c r="H364" s="56">
        <v>536</v>
      </c>
      <c r="I364" s="56">
        <v>53</v>
      </c>
      <c r="J364" s="56">
        <v>175</v>
      </c>
      <c r="K364" s="56">
        <v>0</v>
      </c>
      <c r="L364" s="56">
        <v>3408</v>
      </c>
      <c r="M364" s="56">
        <v>276</v>
      </c>
      <c r="N364" s="56">
        <v>5302</v>
      </c>
      <c r="O364" s="56">
        <v>30325</v>
      </c>
      <c r="P364" s="56">
        <v>2075</v>
      </c>
      <c r="Q364" s="56">
        <v>26378</v>
      </c>
      <c r="R364" s="16">
        <f t="shared" si="55"/>
        <v>10785</v>
      </c>
      <c r="T364" s="144">
        <f t="shared" si="54"/>
        <v>39394</v>
      </c>
      <c r="U364" s="154">
        <f>'copy data3'!B418</f>
        <v>4718</v>
      </c>
      <c r="V364" s="38">
        <f t="shared" si="56"/>
        <v>5078.75</v>
      </c>
      <c r="W364" s="71">
        <f t="shared" si="57"/>
        <v>318.81669805398622</v>
      </c>
      <c r="X364" s="154">
        <f>'copy data3'!D418</f>
        <v>994</v>
      </c>
      <c r="Y364" s="38">
        <f t="shared" si="58"/>
        <v>1017.75</v>
      </c>
      <c r="Z364" s="71">
        <f t="shared" si="59"/>
        <v>218.40128755364807</v>
      </c>
      <c r="AA364" s="152">
        <f>'copy data3'!F418</f>
        <v>2660</v>
      </c>
      <c r="AB364" s="38">
        <f t="shared" si="60"/>
        <v>2869.5</v>
      </c>
      <c r="AC364" s="71">
        <f t="shared" si="61"/>
        <v>266.18738404452688</v>
      </c>
      <c r="AD364" s="152">
        <f>'copy data3'!H418</f>
        <v>1391</v>
      </c>
      <c r="AE364" s="38">
        <f t="shared" si="62"/>
        <v>1469.25</v>
      </c>
      <c r="AF364" s="71">
        <f t="shared" si="63"/>
        <v>135.66481994459835</v>
      </c>
      <c r="AG364" s="152">
        <f>'copy data3'!J418</f>
        <v>362</v>
      </c>
      <c r="AH364" s="38">
        <f t="shared" si="64"/>
        <v>361.5</v>
      </c>
      <c r="AI364" s="71">
        <f t="shared" si="65"/>
        <v>337.85046728971963</v>
      </c>
      <c r="AJ364" s="152">
        <f>'copy data3'!L418</f>
        <v>10126</v>
      </c>
      <c r="AK364" s="38">
        <f t="shared" si="66"/>
        <v>10797</v>
      </c>
      <c r="AL364" s="71">
        <f t="shared" si="67"/>
        <v>249.52623064478851</v>
      </c>
      <c r="AM364" s="152">
        <f>'copy data3'!N418</f>
        <v>18642</v>
      </c>
      <c r="AN364" s="38">
        <f t="shared" si="68"/>
        <v>18914.25</v>
      </c>
      <c r="AO364" s="71">
        <f t="shared" si="69"/>
        <v>158.35775284661756</v>
      </c>
      <c r="AP364" s="152">
        <f>'copy data3'!P418</f>
        <v>8440</v>
      </c>
      <c r="AQ364" s="38">
        <f t="shared" si="70"/>
        <v>8124.5</v>
      </c>
      <c r="AR364" s="71">
        <f t="shared" si="71"/>
        <v>114.75282485875707</v>
      </c>
      <c r="AS364" s="153">
        <f>'copy data3'!R418</f>
        <v>37208</v>
      </c>
      <c r="AT364" s="38">
        <f t="shared" si="53"/>
        <v>37835.75</v>
      </c>
      <c r="AU364" s="71">
        <f t="shared" si="51"/>
        <v>162.03053402423879</v>
      </c>
    </row>
    <row r="365" spans="1:47" ht="15.6" x14ac:dyDescent="0.3">
      <c r="A365" s="55">
        <v>38141</v>
      </c>
      <c r="B365" s="56">
        <v>1807</v>
      </c>
      <c r="C365" s="56">
        <v>134</v>
      </c>
      <c r="D365" s="56">
        <v>1497</v>
      </c>
      <c r="E365" s="56">
        <v>18</v>
      </c>
      <c r="F365" s="56">
        <v>1451</v>
      </c>
      <c r="G365" s="56">
        <v>54</v>
      </c>
      <c r="H365" s="56">
        <v>743</v>
      </c>
      <c r="I365" s="56">
        <v>63</v>
      </c>
      <c r="J365" s="56">
        <v>175</v>
      </c>
      <c r="K365" s="56">
        <v>22</v>
      </c>
      <c r="L365" s="56">
        <v>5673</v>
      </c>
      <c r="M365" s="56">
        <v>290</v>
      </c>
      <c r="N365" s="56">
        <v>8520</v>
      </c>
      <c r="O365" s="56">
        <v>36742</v>
      </c>
      <c r="P365" s="56">
        <v>1111</v>
      </c>
      <c r="Q365" s="56">
        <v>22918</v>
      </c>
      <c r="R365" s="16">
        <f t="shared" si="55"/>
        <v>15304</v>
      </c>
      <c r="T365" s="144">
        <f t="shared" si="54"/>
        <v>39401</v>
      </c>
      <c r="U365" s="154">
        <f>'copy data3'!B419</f>
        <v>4647.1000000000004</v>
      </c>
      <c r="V365" s="38">
        <f t="shared" si="56"/>
        <v>4868.0249999999996</v>
      </c>
      <c r="W365" s="71">
        <f t="shared" si="57"/>
        <v>301.42569659442722</v>
      </c>
      <c r="X365" s="154">
        <f>'copy data3'!D419</f>
        <v>984.2</v>
      </c>
      <c r="Y365" s="38">
        <f t="shared" si="58"/>
        <v>986.05</v>
      </c>
      <c r="Z365" s="71">
        <f t="shared" si="59"/>
        <v>237.60240963855418</v>
      </c>
      <c r="AA365" s="152">
        <f>'copy data3'!F419</f>
        <v>2651.8</v>
      </c>
      <c r="AB365" s="38">
        <f t="shared" si="60"/>
        <v>2739.95</v>
      </c>
      <c r="AC365" s="71">
        <f t="shared" si="61"/>
        <v>241.40528634361235</v>
      </c>
      <c r="AD365" s="152">
        <f>'copy data3'!H419</f>
        <v>1408.3</v>
      </c>
      <c r="AE365" s="38">
        <f t="shared" si="62"/>
        <v>1429.075</v>
      </c>
      <c r="AF365" s="71">
        <f t="shared" si="63"/>
        <v>130.62842778793419</v>
      </c>
      <c r="AG365" s="152">
        <f>'copy data3'!J419</f>
        <v>308.8</v>
      </c>
      <c r="AH365" s="38">
        <f t="shared" si="64"/>
        <v>345.2</v>
      </c>
      <c r="AI365" s="71">
        <f t="shared" si="65"/>
        <v>305.48672566371681</v>
      </c>
      <c r="AJ365" s="152">
        <f>'copy data3'!L419</f>
        <v>10000.200000000001</v>
      </c>
      <c r="AK365" s="38">
        <f t="shared" si="66"/>
        <v>10368.549999999999</v>
      </c>
      <c r="AL365" s="71">
        <f t="shared" si="67"/>
        <v>237.10381888863478</v>
      </c>
      <c r="AM365" s="152">
        <f>'copy data3'!N419</f>
        <v>19111.3</v>
      </c>
      <c r="AN365" s="38">
        <f t="shared" si="68"/>
        <v>18836.825000000001</v>
      </c>
      <c r="AO365" s="71">
        <f t="shared" si="69"/>
        <v>160.10900977475563</v>
      </c>
      <c r="AP365" s="152">
        <f>'copy data3'!P419</f>
        <v>9589.9</v>
      </c>
      <c r="AQ365" s="38">
        <f t="shared" si="70"/>
        <v>8488.7250000000004</v>
      </c>
      <c r="AR365" s="71">
        <f t="shared" si="71"/>
        <v>116.71559191530318</v>
      </c>
      <c r="AS365" s="153">
        <f>'copy data3'!R419</f>
        <v>38701.4</v>
      </c>
      <c r="AT365" s="38">
        <f t="shared" si="53"/>
        <v>37694.1</v>
      </c>
      <c r="AU365" s="71">
        <f t="shared" si="51"/>
        <v>161.01020887616932</v>
      </c>
    </row>
    <row r="366" spans="1:47" ht="15.6" x14ac:dyDescent="0.3">
      <c r="A366" s="55">
        <v>37784</v>
      </c>
      <c r="B366" s="56">
        <v>1467</v>
      </c>
      <c r="C366" s="56">
        <v>304</v>
      </c>
      <c r="D366" s="56">
        <v>385</v>
      </c>
      <c r="E366" s="56">
        <v>29</v>
      </c>
      <c r="F366" s="56">
        <v>1046</v>
      </c>
      <c r="G366" s="56">
        <v>197</v>
      </c>
      <c r="H366" s="56">
        <v>556</v>
      </c>
      <c r="I366" s="56">
        <v>118</v>
      </c>
      <c r="J366" s="56">
        <v>158</v>
      </c>
      <c r="K366" s="56">
        <v>16</v>
      </c>
      <c r="L366" s="56">
        <v>3612</v>
      </c>
      <c r="M366" s="56">
        <v>664</v>
      </c>
      <c r="N366" s="56">
        <v>5178</v>
      </c>
      <c r="O366" s="56">
        <v>31191</v>
      </c>
      <c r="P366" s="56">
        <v>1860</v>
      </c>
      <c r="Q366" s="56">
        <v>26547</v>
      </c>
      <c r="R366" s="16">
        <f t="shared" si="55"/>
        <v>10650</v>
      </c>
      <c r="T366" s="144">
        <f t="shared" si="54"/>
        <v>39408</v>
      </c>
      <c r="U366" s="154">
        <f>'copy data3'!B420</f>
        <v>4427</v>
      </c>
      <c r="V366" s="38">
        <f t="shared" si="56"/>
        <v>4659.2749999999996</v>
      </c>
      <c r="W366" s="71">
        <f t="shared" si="57"/>
        <v>290.84113607990008</v>
      </c>
      <c r="X366" s="154">
        <f>'copy data3'!D420</f>
        <v>934</v>
      </c>
      <c r="Y366" s="38">
        <f t="shared" si="58"/>
        <v>971.3</v>
      </c>
      <c r="Z366" s="71">
        <f t="shared" si="59"/>
        <v>215.36585365853657</v>
      </c>
      <c r="AA366" s="152">
        <f>'copy data3'!F420</f>
        <v>2646</v>
      </c>
      <c r="AB366" s="38">
        <f t="shared" si="60"/>
        <v>2660.2</v>
      </c>
      <c r="AC366" s="71">
        <f t="shared" si="61"/>
        <v>212.47603833865813</v>
      </c>
      <c r="AD366" s="152">
        <f>'copy data3'!H420</f>
        <v>1518</v>
      </c>
      <c r="AE366" s="38">
        <f t="shared" si="62"/>
        <v>1440.075</v>
      </c>
      <c r="AF366" s="71">
        <f t="shared" si="63"/>
        <v>137.54297994269342</v>
      </c>
      <c r="AG366" s="152">
        <f>'copy data3'!J420</f>
        <v>307</v>
      </c>
      <c r="AH366" s="38">
        <f t="shared" si="64"/>
        <v>333.2</v>
      </c>
      <c r="AI366" s="71">
        <f t="shared" si="65"/>
        <v>206.95652173913044</v>
      </c>
      <c r="AJ366" s="152">
        <f>'copy data3'!L420</f>
        <v>9832</v>
      </c>
      <c r="AK366" s="38">
        <f t="shared" si="66"/>
        <v>10064.549999999999</v>
      </c>
      <c r="AL366" s="71">
        <f t="shared" si="67"/>
        <v>223.06183510638297</v>
      </c>
      <c r="AM366" s="152">
        <f>'copy data3'!N420</f>
        <v>19513</v>
      </c>
      <c r="AN366" s="38">
        <f t="shared" si="68"/>
        <v>19013.575000000001</v>
      </c>
      <c r="AO366" s="71">
        <f t="shared" si="69"/>
        <v>159.92577172175962</v>
      </c>
      <c r="AP366" s="152">
        <f>'copy data3'!P420</f>
        <v>9733</v>
      </c>
      <c r="AQ366" s="38">
        <f t="shared" si="70"/>
        <v>8904.7250000000004</v>
      </c>
      <c r="AR366" s="71">
        <f t="shared" si="71"/>
        <v>121.46671668258082</v>
      </c>
      <c r="AS366" s="153">
        <f>'copy data3'!R420</f>
        <v>39078</v>
      </c>
      <c r="AT366" s="38">
        <f t="shared" si="53"/>
        <v>37982.85</v>
      </c>
      <c r="AU366" s="71">
        <f t="shared" si="51"/>
        <v>160.04908983650765</v>
      </c>
    </row>
    <row r="367" spans="1:47" ht="15.6" x14ac:dyDescent="0.3">
      <c r="A367" s="55">
        <v>38148</v>
      </c>
      <c r="B367" s="56">
        <v>1856</v>
      </c>
      <c r="C367" s="56">
        <v>356</v>
      </c>
      <c r="D367" s="56">
        <v>1433</v>
      </c>
      <c r="E367" s="56">
        <v>68</v>
      </c>
      <c r="F367" s="56">
        <v>1536</v>
      </c>
      <c r="G367" s="56">
        <v>201</v>
      </c>
      <c r="H367" s="56">
        <v>810</v>
      </c>
      <c r="I367" s="56">
        <v>116</v>
      </c>
      <c r="J367" s="56">
        <v>154</v>
      </c>
      <c r="K367" s="56">
        <v>22</v>
      </c>
      <c r="L367" s="56">
        <v>5790</v>
      </c>
      <c r="M367" s="56">
        <v>764</v>
      </c>
      <c r="N367" s="56">
        <v>8094</v>
      </c>
      <c r="O367" s="56">
        <v>37763</v>
      </c>
      <c r="P367" s="56">
        <v>1062</v>
      </c>
      <c r="Q367" s="56">
        <v>23064</v>
      </c>
      <c r="R367" s="16">
        <f t="shared" si="55"/>
        <v>14946</v>
      </c>
      <c r="T367" s="144">
        <f t="shared" si="54"/>
        <v>39415</v>
      </c>
      <c r="U367" s="154">
        <f>'copy data3'!B421</f>
        <v>4357</v>
      </c>
      <c r="V367" s="38">
        <f t="shared" si="56"/>
        <v>4537.2749999999996</v>
      </c>
      <c r="W367" s="71">
        <f t="shared" si="57"/>
        <v>289.92172523961659</v>
      </c>
      <c r="X367" s="154">
        <f>'copy data3'!D421</f>
        <v>829</v>
      </c>
      <c r="Y367" s="38">
        <f t="shared" si="58"/>
        <v>935.3</v>
      </c>
      <c r="Z367" s="71">
        <f t="shared" si="59"/>
        <v>176.13935969868174</v>
      </c>
      <c r="AA367" s="152">
        <f>'copy data3'!F421</f>
        <v>2519</v>
      </c>
      <c r="AB367" s="38">
        <f t="shared" si="60"/>
        <v>2619.1999999999998</v>
      </c>
      <c r="AC367" s="71">
        <f t="shared" si="61"/>
        <v>225.01718213058419</v>
      </c>
      <c r="AD367" s="152">
        <f>'copy data3'!H421</f>
        <v>1460</v>
      </c>
      <c r="AE367" s="38">
        <f t="shared" si="62"/>
        <v>1444.325</v>
      </c>
      <c r="AF367" s="71">
        <f t="shared" si="63"/>
        <v>141.73945044160942</v>
      </c>
      <c r="AG367" s="152">
        <f>'copy data3'!J421</f>
        <v>251</v>
      </c>
      <c r="AH367" s="38">
        <f t="shared" si="64"/>
        <v>307.2</v>
      </c>
      <c r="AI367" s="71">
        <f t="shared" si="65"/>
        <v>221.00719424460431</v>
      </c>
      <c r="AJ367" s="152">
        <f>'copy data3'!L421</f>
        <v>9416</v>
      </c>
      <c r="AK367" s="38">
        <f t="shared" si="66"/>
        <v>9843.5499999999993</v>
      </c>
      <c r="AL367" s="71">
        <f t="shared" si="67"/>
        <v>222.85601086710437</v>
      </c>
      <c r="AM367" s="152">
        <f>'copy data3'!N421</f>
        <v>19044</v>
      </c>
      <c r="AN367" s="38">
        <f t="shared" si="68"/>
        <v>19077.575000000001</v>
      </c>
      <c r="AO367" s="71">
        <f t="shared" si="69"/>
        <v>168.39593079706947</v>
      </c>
      <c r="AP367" s="152">
        <f>'copy data3'!P421</f>
        <v>9797</v>
      </c>
      <c r="AQ367" s="38">
        <f t="shared" si="70"/>
        <v>9389.9750000000004</v>
      </c>
      <c r="AR367" s="71">
        <f t="shared" si="71"/>
        <v>132.85193831352575</v>
      </c>
      <c r="AS367" s="153">
        <f>'copy data3'!R421</f>
        <v>38257</v>
      </c>
      <c r="AT367" s="38">
        <f t="shared" si="53"/>
        <v>38311.1</v>
      </c>
      <c r="AU367" s="71">
        <f t="shared" si="51"/>
        <v>167.92802665030246</v>
      </c>
    </row>
    <row r="368" spans="1:47" ht="15.6" x14ac:dyDescent="0.3">
      <c r="A368" s="55">
        <v>37791</v>
      </c>
      <c r="B368" s="56">
        <v>1530</v>
      </c>
      <c r="C368" s="56">
        <v>481</v>
      </c>
      <c r="D368" s="56">
        <v>386</v>
      </c>
      <c r="E368" s="56">
        <v>45</v>
      </c>
      <c r="F368" s="56">
        <v>1223</v>
      </c>
      <c r="G368" s="56">
        <v>221</v>
      </c>
      <c r="H368" s="56">
        <v>569</v>
      </c>
      <c r="I368" s="56">
        <v>163</v>
      </c>
      <c r="J368" s="56">
        <v>142</v>
      </c>
      <c r="K368" s="56">
        <v>34</v>
      </c>
      <c r="L368" s="56">
        <v>3851</v>
      </c>
      <c r="M368" s="56">
        <v>943</v>
      </c>
      <c r="N368" s="56">
        <v>5264</v>
      </c>
      <c r="O368" s="56">
        <v>31918</v>
      </c>
      <c r="P368" s="56">
        <v>1959</v>
      </c>
      <c r="Q368" s="56">
        <v>26680</v>
      </c>
      <c r="R368" s="16">
        <f t="shared" si="55"/>
        <v>11074</v>
      </c>
      <c r="T368" s="144">
        <f t="shared" si="54"/>
        <v>39422</v>
      </c>
      <c r="U368" s="154">
        <f>'copy data3'!B422</f>
        <v>4268</v>
      </c>
      <c r="V368" s="38">
        <f t="shared" si="56"/>
        <v>4424.7749999999996</v>
      </c>
      <c r="W368" s="71">
        <f t="shared" si="57"/>
        <v>260.74101355332937</v>
      </c>
      <c r="X368" s="154">
        <f>'copy data3'!D422</f>
        <v>951</v>
      </c>
      <c r="Y368" s="38">
        <f t="shared" si="58"/>
        <v>924.55</v>
      </c>
      <c r="Z368" s="71">
        <f t="shared" si="59"/>
        <v>189.06952965235172</v>
      </c>
      <c r="AA368" s="152">
        <f>'copy data3'!F422</f>
        <v>2458</v>
      </c>
      <c r="AB368" s="38">
        <f t="shared" si="60"/>
        <v>2568.6999999999998</v>
      </c>
      <c r="AC368" s="71">
        <f t="shared" si="61"/>
        <v>218.98550724637681</v>
      </c>
      <c r="AD368" s="152">
        <f>'copy data3'!H422</f>
        <v>1410</v>
      </c>
      <c r="AE368" s="38">
        <f t="shared" si="62"/>
        <v>1449.075</v>
      </c>
      <c r="AF368" s="71">
        <f t="shared" si="63"/>
        <v>148.31883316274309</v>
      </c>
      <c r="AG368" s="152">
        <f>'copy data3'!J422</f>
        <v>179</v>
      </c>
      <c r="AH368" s="38">
        <f t="shared" si="64"/>
        <v>261.45</v>
      </c>
      <c r="AI368" s="71">
        <f t="shared" si="65"/>
        <v>188.0935251798561</v>
      </c>
      <c r="AJ368" s="152">
        <f>'copy data3'!L422</f>
        <v>9266</v>
      </c>
      <c r="AK368" s="38">
        <f t="shared" si="66"/>
        <v>9628.5499999999993</v>
      </c>
      <c r="AL368" s="71">
        <f t="shared" si="67"/>
        <v>215.16312849162009</v>
      </c>
      <c r="AM368" s="152">
        <f>'copy data3'!N422</f>
        <v>19144</v>
      </c>
      <c r="AN368" s="38">
        <f t="shared" si="68"/>
        <v>19203.075000000001</v>
      </c>
      <c r="AO368" s="71">
        <f t="shared" si="69"/>
        <v>167.08496476115897</v>
      </c>
      <c r="AP368" s="152">
        <f>'copy data3'!P422</f>
        <v>9869</v>
      </c>
      <c r="AQ368" s="38">
        <f t="shared" si="70"/>
        <v>9747.2250000000004</v>
      </c>
      <c r="AR368" s="71">
        <f t="shared" si="71"/>
        <v>141.30508843142943</v>
      </c>
      <c r="AS368" s="153">
        <f>'copy data3'!R422</f>
        <v>38279</v>
      </c>
      <c r="AT368" s="38">
        <f t="shared" si="53"/>
        <v>38578.85</v>
      </c>
      <c r="AU368" s="71">
        <f t="shared" si="51"/>
        <v>168.71709087728505</v>
      </c>
    </row>
    <row r="369" spans="1:47" ht="15.6" x14ac:dyDescent="0.3">
      <c r="A369" s="55">
        <v>38155</v>
      </c>
      <c r="B369" s="56">
        <v>1770</v>
      </c>
      <c r="C369" s="56">
        <v>592</v>
      </c>
      <c r="D369" s="56">
        <v>1511</v>
      </c>
      <c r="E369" s="56">
        <v>76</v>
      </c>
      <c r="F369" s="56">
        <v>1494</v>
      </c>
      <c r="G369" s="56">
        <v>349</v>
      </c>
      <c r="H369" s="56">
        <v>846</v>
      </c>
      <c r="I369" s="56">
        <v>171</v>
      </c>
      <c r="J369" s="56">
        <v>157</v>
      </c>
      <c r="K369" s="56">
        <v>27</v>
      </c>
      <c r="L369" s="56">
        <v>5778</v>
      </c>
      <c r="M369" s="56">
        <v>1216</v>
      </c>
      <c r="N369" s="56">
        <v>7524</v>
      </c>
      <c r="O369" s="56">
        <v>38492</v>
      </c>
      <c r="P369" s="56">
        <v>935</v>
      </c>
      <c r="Q369" s="56">
        <v>23287</v>
      </c>
      <c r="R369" s="16">
        <f t="shared" si="55"/>
        <v>14237</v>
      </c>
      <c r="T369" s="144">
        <f t="shared" si="54"/>
        <v>39429</v>
      </c>
      <c r="U369" s="154">
        <f>'copy data3'!B423</f>
        <v>4229</v>
      </c>
      <c r="V369" s="38">
        <f t="shared" si="56"/>
        <v>4320.25</v>
      </c>
      <c r="W369" s="71">
        <f t="shared" si="57"/>
        <v>258.23371189479974</v>
      </c>
      <c r="X369" s="154">
        <f>'copy data3'!D423</f>
        <v>830</v>
      </c>
      <c r="Y369" s="38">
        <f t="shared" si="58"/>
        <v>886</v>
      </c>
      <c r="Z369" s="71">
        <f t="shared" si="59"/>
        <v>166.54135338345867</v>
      </c>
      <c r="AA369" s="152">
        <f>'copy data3'!F423</f>
        <v>2353</v>
      </c>
      <c r="AB369" s="38">
        <f t="shared" si="60"/>
        <v>2494</v>
      </c>
      <c r="AC369" s="71">
        <f t="shared" si="61"/>
        <v>202.10696920583467</v>
      </c>
      <c r="AD369" s="152">
        <f>'copy data3'!H423</f>
        <v>1361</v>
      </c>
      <c r="AE369" s="38">
        <f t="shared" si="62"/>
        <v>1437.25</v>
      </c>
      <c r="AF369" s="71">
        <f t="shared" si="63"/>
        <v>140.08284600389865</v>
      </c>
      <c r="AG369" s="152">
        <f>'copy data3'!J423</f>
        <v>173</v>
      </c>
      <c r="AH369" s="38">
        <f t="shared" si="64"/>
        <v>227.5</v>
      </c>
      <c r="AI369" s="71">
        <f t="shared" si="65"/>
        <v>220.873786407767</v>
      </c>
      <c r="AJ369" s="152">
        <f>'copy data3'!L423</f>
        <v>8946</v>
      </c>
      <c r="AK369" s="38">
        <f t="shared" si="66"/>
        <v>9365</v>
      </c>
      <c r="AL369" s="71">
        <f t="shared" si="67"/>
        <v>205.01313485113837</v>
      </c>
      <c r="AM369" s="152">
        <f>'copy data3'!N423</f>
        <v>19083</v>
      </c>
      <c r="AN369" s="38">
        <f t="shared" si="68"/>
        <v>19196</v>
      </c>
      <c r="AO369" s="71">
        <f t="shared" si="69"/>
        <v>161.92323913960354</v>
      </c>
      <c r="AP369" s="152">
        <f>'copy data3'!P423</f>
        <v>9638</v>
      </c>
      <c r="AQ369" s="38">
        <f t="shared" si="70"/>
        <v>9759.25</v>
      </c>
      <c r="AR369" s="71">
        <f t="shared" si="71"/>
        <v>139.1991156753673</v>
      </c>
      <c r="AS369" s="153">
        <f>'copy data3'!R423</f>
        <v>37667</v>
      </c>
      <c r="AT369" s="38">
        <f t="shared" si="53"/>
        <v>38320.25</v>
      </c>
      <c r="AU369" s="71">
        <f t="shared" si="51"/>
        <v>163.5241529401724</v>
      </c>
    </row>
    <row r="370" spans="1:47" ht="15.6" x14ac:dyDescent="0.3">
      <c r="A370" s="55">
        <v>37798</v>
      </c>
      <c r="B370" s="56">
        <v>1793</v>
      </c>
      <c r="C370" s="56">
        <v>610</v>
      </c>
      <c r="D370" s="56">
        <v>403</v>
      </c>
      <c r="E370" s="56">
        <v>98</v>
      </c>
      <c r="F370" s="56">
        <v>1317</v>
      </c>
      <c r="G370" s="56">
        <v>271</v>
      </c>
      <c r="H370" s="56">
        <v>552</v>
      </c>
      <c r="I370" s="56">
        <v>196</v>
      </c>
      <c r="J370" s="56">
        <v>135</v>
      </c>
      <c r="K370" s="56">
        <v>81</v>
      </c>
      <c r="L370" s="56">
        <v>4199</v>
      </c>
      <c r="M370" s="56">
        <v>1255</v>
      </c>
      <c r="N370" s="56">
        <v>5117</v>
      </c>
      <c r="O370" s="56">
        <v>32834</v>
      </c>
      <c r="P370" s="56">
        <v>1917</v>
      </c>
      <c r="Q370" s="56">
        <v>26917</v>
      </c>
      <c r="R370" s="16">
        <f t="shared" si="55"/>
        <v>11233</v>
      </c>
      <c r="T370" s="144">
        <f t="shared" si="54"/>
        <v>39436</v>
      </c>
      <c r="U370" s="154">
        <f>'copy data3'!B424</f>
        <v>4080.7</v>
      </c>
      <c r="V370" s="38">
        <f t="shared" si="56"/>
        <v>4233.6750000000002</v>
      </c>
      <c r="W370" s="71">
        <f t="shared" si="57"/>
        <v>251.85455086258179</v>
      </c>
      <c r="X370" s="154">
        <f>'copy data3'!D424</f>
        <v>830.2</v>
      </c>
      <c r="Y370" s="38">
        <f t="shared" si="58"/>
        <v>860.05</v>
      </c>
      <c r="Z370" s="71">
        <f t="shared" si="59"/>
        <v>155.52441229656421</v>
      </c>
      <c r="AA370" s="152">
        <f>'copy data3'!F424</f>
        <v>2419.9</v>
      </c>
      <c r="AB370" s="38">
        <f t="shared" si="60"/>
        <v>2437.4749999999999</v>
      </c>
      <c r="AC370" s="71">
        <f t="shared" si="61"/>
        <v>190.427734375</v>
      </c>
      <c r="AD370" s="152">
        <f>'copy data3'!H424</f>
        <v>1372.4</v>
      </c>
      <c r="AE370" s="38">
        <f t="shared" si="62"/>
        <v>1400.85</v>
      </c>
      <c r="AF370" s="71">
        <f t="shared" si="63"/>
        <v>135.60987415295256</v>
      </c>
      <c r="AG370" s="152">
        <f>'copy data3'!J424</f>
        <v>173</v>
      </c>
      <c r="AH370" s="38">
        <f t="shared" si="64"/>
        <v>194</v>
      </c>
      <c r="AI370" s="71">
        <f t="shared" si="65"/>
        <v>233.73493975903617</v>
      </c>
      <c r="AJ370" s="152">
        <f>'copy data3'!L424</f>
        <v>8863.7999999999993</v>
      </c>
      <c r="AK370" s="38">
        <f t="shared" si="66"/>
        <v>9122.9500000000007</v>
      </c>
      <c r="AL370" s="71">
        <f t="shared" si="67"/>
        <v>197.03995680345574</v>
      </c>
      <c r="AM370" s="152">
        <f>'copy data3'!N424</f>
        <v>19243.400000000001</v>
      </c>
      <c r="AN370" s="38">
        <f t="shared" si="68"/>
        <v>19128.599999999999</v>
      </c>
      <c r="AO370" s="71">
        <f t="shared" si="69"/>
        <v>160.87973086627417</v>
      </c>
      <c r="AP370" s="152">
        <f>'copy data3'!P424</f>
        <v>9486.7999999999993</v>
      </c>
      <c r="AQ370" s="38">
        <f t="shared" si="70"/>
        <v>9697.7000000000007</v>
      </c>
      <c r="AR370" s="71">
        <f t="shared" si="71"/>
        <v>131.47640997830803</v>
      </c>
      <c r="AS370" s="153">
        <f>'copy data3'!R424</f>
        <v>37594</v>
      </c>
      <c r="AT370" s="38">
        <f t="shared" si="53"/>
        <v>37949.25</v>
      </c>
      <c r="AU370" s="71">
        <f t="shared" si="51"/>
        <v>158.81005189152998</v>
      </c>
    </row>
    <row r="371" spans="1:47" ht="15.6" x14ac:dyDescent="0.3">
      <c r="A371" s="55">
        <v>38162</v>
      </c>
      <c r="B371" s="56">
        <v>1709</v>
      </c>
      <c r="C371" s="56">
        <v>810</v>
      </c>
      <c r="D371" s="56">
        <v>1511</v>
      </c>
      <c r="E371" s="56">
        <v>119</v>
      </c>
      <c r="F371" s="56">
        <v>1560</v>
      </c>
      <c r="G371" s="56">
        <v>524</v>
      </c>
      <c r="H371" s="56">
        <v>859</v>
      </c>
      <c r="I371" s="56">
        <v>189</v>
      </c>
      <c r="J371" s="56">
        <v>153</v>
      </c>
      <c r="K371" s="56">
        <v>54</v>
      </c>
      <c r="L371" s="56">
        <v>5794</v>
      </c>
      <c r="M371" s="56">
        <v>1696</v>
      </c>
      <c r="N371" s="56">
        <v>7533</v>
      </c>
      <c r="O371" s="56">
        <v>39293</v>
      </c>
      <c r="P371" s="56">
        <v>861</v>
      </c>
      <c r="Q371" s="56">
        <v>23777</v>
      </c>
      <c r="R371" s="16">
        <f t="shared" si="55"/>
        <v>14188</v>
      </c>
      <c r="T371" s="144">
        <f t="shared" si="54"/>
        <v>39443</v>
      </c>
      <c r="U371" s="154">
        <f>'copy data3'!B425</f>
        <v>3986</v>
      </c>
      <c r="V371" s="38">
        <f t="shared" si="56"/>
        <v>4140.9250000000002</v>
      </c>
      <c r="W371" s="71">
        <f t="shared" si="57"/>
        <v>283.625</v>
      </c>
      <c r="X371" s="154">
        <f>'copy data3'!D425</f>
        <v>740</v>
      </c>
      <c r="Y371" s="38">
        <f t="shared" si="58"/>
        <v>837.8</v>
      </c>
      <c r="Z371" s="71">
        <f t="shared" si="59"/>
        <v>152.32727272727271</v>
      </c>
      <c r="AA371" s="152">
        <f>'copy data3'!F425</f>
        <v>2322</v>
      </c>
      <c r="AB371" s="38">
        <f t="shared" si="60"/>
        <v>2388.2249999999999</v>
      </c>
      <c r="AC371" s="71">
        <f t="shared" si="61"/>
        <v>183.56840891621829</v>
      </c>
      <c r="AD371" s="152">
        <f>'copy data3'!H425</f>
        <v>1324</v>
      </c>
      <c r="AE371" s="38">
        <f t="shared" si="62"/>
        <v>1366.85</v>
      </c>
      <c r="AF371" s="71">
        <f t="shared" si="63"/>
        <v>155.32386363636363</v>
      </c>
      <c r="AG371" s="152">
        <f>'copy data3'!J425</f>
        <v>173</v>
      </c>
      <c r="AH371" s="38">
        <f t="shared" si="64"/>
        <v>174.5</v>
      </c>
      <c r="AI371" s="71">
        <f t="shared" si="65"/>
        <v>202.90697674418604</v>
      </c>
      <c r="AJ371" s="152">
        <f>'copy data3'!L425</f>
        <v>8545</v>
      </c>
      <c r="AK371" s="38">
        <f t="shared" si="66"/>
        <v>8905.2000000000007</v>
      </c>
      <c r="AL371" s="71">
        <f t="shared" si="67"/>
        <v>208.21136310498014</v>
      </c>
      <c r="AM371" s="152">
        <f>'copy data3'!N425</f>
        <v>18804</v>
      </c>
      <c r="AN371" s="38">
        <f t="shared" si="68"/>
        <v>19068.599999999999</v>
      </c>
      <c r="AO371" s="71">
        <f t="shared" si="69"/>
        <v>165.77066852125532</v>
      </c>
      <c r="AP371" s="152">
        <f>'copy data3'!P425</f>
        <v>9041</v>
      </c>
      <c r="AQ371" s="38">
        <f t="shared" si="70"/>
        <v>9508.7000000000007</v>
      </c>
      <c r="AR371" s="71">
        <f t="shared" si="71"/>
        <v>138.08742375835027</v>
      </c>
      <c r="AS371" s="153">
        <f>'copy data3'!R425</f>
        <v>36390</v>
      </c>
      <c r="AT371" s="38">
        <f t="shared" si="53"/>
        <v>37482.5</v>
      </c>
      <c r="AU371" s="71">
        <f t="shared" si="51"/>
        <v>165.36883437748168</v>
      </c>
    </row>
    <row r="372" spans="1:47" ht="15.6" x14ac:dyDescent="0.3">
      <c r="A372" s="55">
        <v>37805</v>
      </c>
      <c r="B372" s="56">
        <v>1760</v>
      </c>
      <c r="C372" s="56">
        <v>805</v>
      </c>
      <c r="D372" s="56">
        <v>551</v>
      </c>
      <c r="E372" s="56">
        <v>127</v>
      </c>
      <c r="F372" s="56">
        <v>1257</v>
      </c>
      <c r="G372" s="56">
        <v>416</v>
      </c>
      <c r="H372" s="56">
        <v>604</v>
      </c>
      <c r="I372" s="56">
        <v>270</v>
      </c>
      <c r="J372" s="56">
        <v>145</v>
      </c>
      <c r="K372" s="56">
        <v>81</v>
      </c>
      <c r="L372" s="56">
        <v>4316</v>
      </c>
      <c r="M372" s="56">
        <v>1699</v>
      </c>
      <c r="N372" s="56">
        <v>5075</v>
      </c>
      <c r="O372" s="56">
        <v>33596</v>
      </c>
      <c r="P372" s="56">
        <v>1793</v>
      </c>
      <c r="Q372" s="56">
        <v>27272</v>
      </c>
      <c r="R372" s="16">
        <f t="shared" si="55"/>
        <v>11184</v>
      </c>
      <c r="T372" s="144">
        <f t="shared" si="54"/>
        <v>39450</v>
      </c>
      <c r="U372" s="154">
        <f>'copy data3'!B426</f>
        <v>3785</v>
      </c>
      <c r="V372" s="38">
        <f t="shared" si="56"/>
        <v>4020.1750000000002</v>
      </c>
      <c r="W372" s="71">
        <f t="shared" si="57"/>
        <v>301.36244377811096</v>
      </c>
      <c r="X372" s="154">
        <f>'copy data3'!D426</f>
        <v>820</v>
      </c>
      <c r="Y372" s="38">
        <f t="shared" si="58"/>
        <v>805.05</v>
      </c>
      <c r="Z372" s="71">
        <f t="shared" si="59"/>
        <v>157.236328125</v>
      </c>
      <c r="AA372" s="152">
        <f>'copy data3'!F426</f>
        <v>2207</v>
      </c>
      <c r="AB372" s="38">
        <f t="shared" si="60"/>
        <v>2325.4749999999999</v>
      </c>
      <c r="AC372" s="71">
        <f t="shared" si="61"/>
        <v>205.43065371024736</v>
      </c>
      <c r="AD372" s="152">
        <f>'copy data3'!H426</f>
        <v>1282</v>
      </c>
      <c r="AE372" s="38">
        <f t="shared" si="62"/>
        <v>1334.85</v>
      </c>
      <c r="AF372" s="71">
        <f t="shared" si="63"/>
        <v>138.61370716510905</v>
      </c>
      <c r="AG372" s="152">
        <f>'copy data3'!J426</f>
        <v>171</v>
      </c>
      <c r="AH372" s="38">
        <f t="shared" si="64"/>
        <v>172.5</v>
      </c>
      <c r="AI372" s="71">
        <f t="shared" si="65"/>
        <v>200.58139534883722</v>
      </c>
      <c r="AJ372" s="152">
        <f>'copy data3'!L426</f>
        <v>8265</v>
      </c>
      <c r="AK372" s="38">
        <f t="shared" si="66"/>
        <v>8654.9500000000007</v>
      </c>
      <c r="AL372" s="71">
        <f t="shared" si="67"/>
        <v>214.86966236345583</v>
      </c>
      <c r="AM372" s="152">
        <f>'copy data3'!N426</f>
        <v>18496</v>
      </c>
      <c r="AN372" s="38">
        <f t="shared" si="68"/>
        <v>18906.599999999999</v>
      </c>
      <c r="AO372" s="71">
        <f t="shared" si="69"/>
        <v>159.85964318931258</v>
      </c>
      <c r="AP372" s="152">
        <f>'copy data3'!P426</f>
        <v>8218</v>
      </c>
      <c r="AQ372" s="38">
        <f t="shared" si="70"/>
        <v>9095.9500000000007</v>
      </c>
      <c r="AR372" s="71">
        <f t="shared" si="71"/>
        <v>131.48236484533103</v>
      </c>
      <c r="AS372" s="153">
        <f>'copy data3'!R426</f>
        <v>34979</v>
      </c>
      <c r="AT372" s="38">
        <f t="shared" si="53"/>
        <v>36657.5</v>
      </c>
      <c r="AU372" s="71">
        <f t="shared" si="51"/>
        <v>160.96913011021826</v>
      </c>
    </row>
    <row r="373" spans="1:47" ht="15.6" x14ac:dyDescent="0.3">
      <c r="A373" s="55">
        <v>38169</v>
      </c>
      <c r="B373" s="56">
        <v>1691</v>
      </c>
      <c r="C373" s="56">
        <v>1001</v>
      </c>
      <c r="D373" s="56">
        <v>1573</v>
      </c>
      <c r="E373" s="56">
        <v>189</v>
      </c>
      <c r="F373" s="56">
        <v>1571</v>
      </c>
      <c r="G373" s="56">
        <v>603</v>
      </c>
      <c r="H373" s="56">
        <v>894</v>
      </c>
      <c r="I373" s="56">
        <v>277</v>
      </c>
      <c r="J373" s="56">
        <v>136</v>
      </c>
      <c r="K373" s="56">
        <v>70</v>
      </c>
      <c r="L373" s="56">
        <v>5866</v>
      </c>
      <c r="M373" s="56">
        <v>2141</v>
      </c>
      <c r="N373" s="56">
        <v>7158</v>
      </c>
      <c r="O373" s="56">
        <v>40188</v>
      </c>
      <c r="P373" s="56">
        <v>729</v>
      </c>
      <c r="Q373" s="56">
        <v>23513</v>
      </c>
      <c r="R373" s="16">
        <f t="shared" si="55"/>
        <v>13753</v>
      </c>
      <c r="T373" s="144">
        <f t="shared" si="54"/>
        <v>39457</v>
      </c>
      <c r="U373" s="154">
        <f>'copy data3'!B427</f>
        <v>3597</v>
      </c>
      <c r="V373" s="38">
        <f t="shared" si="56"/>
        <v>3862.1750000000002</v>
      </c>
      <c r="W373" s="71">
        <f t="shared" si="57"/>
        <v>249.97896440129449</v>
      </c>
      <c r="X373" s="154">
        <f>'copy data3'!D427</f>
        <v>853</v>
      </c>
      <c r="Y373" s="38">
        <f t="shared" si="58"/>
        <v>810.8</v>
      </c>
      <c r="Z373" s="71">
        <f t="shared" si="59"/>
        <v>142.2456140350877</v>
      </c>
      <c r="AA373" s="152">
        <f>'copy data3'!F427</f>
        <v>2142</v>
      </c>
      <c r="AB373" s="38">
        <f t="shared" si="60"/>
        <v>2272.7249999999999</v>
      </c>
      <c r="AC373" s="71">
        <f t="shared" si="61"/>
        <v>190.82493702770779</v>
      </c>
      <c r="AD373" s="152">
        <f>'copy data3'!H427</f>
        <v>1249</v>
      </c>
      <c r="AE373" s="38">
        <f t="shared" si="62"/>
        <v>1306.8499999999999</v>
      </c>
      <c r="AF373" s="71">
        <f t="shared" si="63"/>
        <v>120.11488970588235</v>
      </c>
      <c r="AG373" s="152">
        <f>'copy data3'!J427</f>
        <v>125</v>
      </c>
      <c r="AH373" s="38">
        <f t="shared" si="64"/>
        <v>160.5</v>
      </c>
      <c r="AI373" s="71">
        <f t="shared" si="65"/>
        <v>216.89189189189187</v>
      </c>
      <c r="AJ373" s="152">
        <f>'copy data3'!L427</f>
        <v>7966</v>
      </c>
      <c r="AK373" s="38">
        <f t="shared" si="66"/>
        <v>8409.9500000000007</v>
      </c>
      <c r="AL373" s="71">
        <f t="shared" si="67"/>
        <v>188.22627573858551</v>
      </c>
      <c r="AM373" s="152">
        <f>'copy data3'!N427</f>
        <v>19363</v>
      </c>
      <c r="AN373" s="38">
        <f t="shared" si="68"/>
        <v>18976.599999999999</v>
      </c>
      <c r="AO373" s="71">
        <f t="shared" si="69"/>
        <v>154.96162012085577</v>
      </c>
      <c r="AP373" s="152">
        <f>'copy data3'!P427</f>
        <v>8428</v>
      </c>
      <c r="AQ373" s="38">
        <f t="shared" si="70"/>
        <v>8793.4500000000007</v>
      </c>
      <c r="AR373" s="71">
        <f t="shared" si="71"/>
        <v>123.17481439977588</v>
      </c>
      <c r="AS373" s="153">
        <f>'copy data3'!R427</f>
        <v>35757</v>
      </c>
      <c r="AT373" s="38">
        <f t="shared" si="53"/>
        <v>36180</v>
      </c>
      <c r="AU373" s="71">
        <f t="shared" si="51"/>
        <v>151.67903408376304</v>
      </c>
    </row>
    <row r="374" spans="1:47" ht="15.6" x14ac:dyDescent="0.3">
      <c r="A374" s="55">
        <v>37812</v>
      </c>
      <c r="B374" s="56">
        <v>2071</v>
      </c>
      <c r="C374" s="56">
        <v>936</v>
      </c>
      <c r="D374" s="56">
        <v>595</v>
      </c>
      <c r="E374" s="56">
        <v>177</v>
      </c>
      <c r="F374" s="56">
        <v>1255</v>
      </c>
      <c r="G374" s="56">
        <v>484</v>
      </c>
      <c r="H374" s="56">
        <v>572</v>
      </c>
      <c r="I374" s="56">
        <v>345</v>
      </c>
      <c r="J374" s="56">
        <v>132</v>
      </c>
      <c r="K374" s="56">
        <v>108</v>
      </c>
      <c r="L374" s="56">
        <v>4625</v>
      </c>
      <c r="M374" s="56">
        <v>2049</v>
      </c>
      <c r="N374" s="56">
        <v>4839</v>
      </c>
      <c r="O374" s="56">
        <v>34309</v>
      </c>
      <c r="P374" s="56">
        <v>1823</v>
      </c>
      <c r="Q374" s="56">
        <v>27469</v>
      </c>
      <c r="R374" s="16">
        <f t="shared" si="55"/>
        <v>11287</v>
      </c>
      <c r="T374" s="144">
        <f t="shared" si="54"/>
        <v>39464</v>
      </c>
      <c r="U374" s="154">
        <f>'copy data3'!B428</f>
        <v>3679</v>
      </c>
      <c r="V374" s="38">
        <f t="shared" si="56"/>
        <v>3761.75</v>
      </c>
      <c r="W374" s="71">
        <f t="shared" si="57"/>
        <v>258.36195054945057</v>
      </c>
      <c r="X374" s="154">
        <f>'copy data3'!D428</f>
        <v>846</v>
      </c>
      <c r="Y374" s="38">
        <f t="shared" si="58"/>
        <v>814.75</v>
      </c>
      <c r="Z374" s="71">
        <f t="shared" si="59"/>
        <v>164.26411290322579</v>
      </c>
      <c r="AA374" s="152">
        <f>'copy data3'!F428</f>
        <v>2084</v>
      </c>
      <c r="AB374" s="38">
        <f t="shared" si="60"/>
        <v>2188.75</v>
      </c>
      <c r="AC374" s="71">
        <f t="shared" si="61"/>
        <v>194.38277087033748</v>
      </c>
      <c r="AD374" s="152">
        <f>'copy data3'!H428</f>
        <v>1165</v>
      </c>
      <c r="AE374" s="38">
        <f t="shared" si="62"/>
        <v>1255</v>
      </c>
      <c r="AF374" s="71">
        <f t="shared" si="63"/>
        <v>121.72647914645975</v>
      </c>
      <c r="AG374" s="152">
        <f>'copy data3'!J428</f>
        <v>120</v>
      </c>
      <c r="AH374" s="38">
        <f t="shared" si="64"/>
        <v>147.25</v>
      </c>
      <c r="AI374" s="71">
        <f t="shared" si="65"/>
        <v>198.98648648648648</v>
      </c>
      <c r="AJ374" s="152">
        <f>'copy data3'!L428</f>
        <v>7894</v>
      </c>
      <c r="AK374" s="38">
        <f t="shared" si="66"/>
        <v>8167.5</v>
      </c>
      <c r="AL374" s="71">
        <f t="shared" si="67"/>
        <v>195.20793499043978</v>
      </c>
      <c r="AM374" s="152">
        <f>'copy data3'!N428</f>
        <v>19623</v>
      </c>
      <c r="AN374" s="38">
        <f t="shared" si="68"/>
        <v>19071.5</v>
      </c>
      <c r="AO374" s="71">
        <f t="shared" si="69"/>
        <v>156.27253359554246</v>
      </c>
      <c r="AP374" s="152">
        <f>'copy data3'!P428</f>
        <v>8085</v>
      </c>
      <c r="AQ374" s="38">
        <f t="shared" si="70"/>
        <v>8443</v>
      </c>
      <c r="AR374" s="71">
        <f t="shared" si="71"/>
        <v>118.51487928130264</v>
      </c>
      <c r="AS374" s="153">
        <f>'copy data3'!R428</f>
        <v>35602</v>
      </c>
      <c r="AT374" s="38">
        <f t="shared" si="53"/>
        <v>35682</v>
      </c>
      <c r="AU374" s="71">
        <f t="shared" si="51"/>
        <v>151.76080299421574</v>
      </c>
    </row>
    <row r="375" spans="1:47" ht="15.6" x14ac:dyDescent="0.3">
      <c r="A375" s="55">
        <v>38176</v>
      </c>
      <c r="B375" s="56">
        <v>1654</v>
      </c>
      <c r="C375" s="56">
        <v>1162</v>
      </c>
      <c r="D375" s="56">
        <v>1497</v>
      </c>
      <c r="E375" s="56">
        <v>275</v>
      </c>
      <c r="F375" s="56">
        <v>1557</v>
      </c>
      <c r="G375" s="56">
        <v>701</v>
      </c>
      <c r="H375" s="56">
        <v>953</v>
      </c>
      <c r="I375" s="56">
        <v>317</v>
      </c>
      <c r="J375" s="56">
        <v>134</v>
      </c>
      <c r="K375" s="56">
        <v>70</v>
      </c>
      <c r="L375" s="56">
        <v>5795</v>
      </c>
      <c r="M375" s="56">
        <v>2525</v>
      </c>
      <c r="N375" s="56">
        <v>6791</v>
      </c>
      <c r="O375" s="56">
        <v>41212</v>
      </c>
      <c r="P375" s="56">
        <v>670</v>
      </c>
      <c r="Q375" s="56">
        <v>23566</v>
      </c>
      <c r="R375" s="16">
        <f t="shared" si="55"/>
        <v>13256</v>
      </c>
      <c r="T375" s="144">
        <f t="shared" si="54"/>
        <v>39471</v>
      </c>
      <c r="U375" s="154">
        <f>'copy data3'!B429</f>
        <v>3604</v>
      </c>
      <c r="V375" s="38">
        <f t="shared" si="56"/>
        <v>3666.25</v>
      </c>
      <c r="W375" s="71">
        <f t="shared" si="57"/>
        <v>239.93782722513092</v>
      </c>
      <c r="X375" s="154">
        <f>'copy data3'!D429</f>
        <v>854</v>
      </c>
      <c r="Y375" s="38">
        <f t="shared" si="58"/>
        <v>843.25</v>
      </c>
      <c r="Z375" s="71">
        <f t="shared" si="59"/>
        <v>142.92372881355934</v>
      </c>
      <c r="AA375" s="152">
        <f>'copy data3'!F429</f>
        <v>2028</v>
      </c>
      <c r="AB375" s="38">
        <f t="shared" si="60"/>
        <v>2115.25</v>
      </c>
      <c r="AC375" s="71">
        <f t="shared" si="61"/>
        <v>196.95065176908753</v>
      </c>
      <c r="AD375" s="152">
        <f>'copy data3'!H429</f>
        <v>1197</v>
      </c>
      <c r="AE375" s="38">
        <f t="shared" si="62"/>
        <v>1223.25</v>
      </c>
      <c r="AF375" s="71">
        <f t="shared" si="63"/>
        <v>138.37669683257917</v>
      </c>
      <c r="AG375" s="152">
        <f>'copy data3'!J429</f>
        <v>95</v>
      </c>
      <c r="AH375" s="38">
        <f t="shared" si="64"/>
        <v>127.75</v>
      </c>
      <c r="AI375" s="71">
        <f t="shared" si="65"/>
        <v>135.90425531914894</v>
      </c>
      <c r="AJ375" s="152">
        <f>'copy data3'!L429</f>
        <v>7779</v>
      </c>
      <c r="AK375" s="38">
        <f t="shared" si="66"/>
        <v>7976</v>
      </c>
      <c r="AL375" s="71">
        <f t="shared" si="67"/>
        <v>191.27098321342925</v>
      </c>
      <c r="AM375" s="152">
        <f>'copy data3'!N429</f>
        <v>20020</v>
      </c>
      <c r="AN375" s="38">
        <f t="shared" si="68"/>
        <v>19375.5</v>
      </c>
      <c r="AO375" s="71">
        <f t="shared" si="69"/>
        <v>164.19915254237287</v>
      </c>
      <c r="AP375" s="152">
        <f>'copy data3'!P429</f>
        <v>7841</v>
      </c>
      <c r="AQ375" s="38">
        <f t="shared" si="70"/>
        <v>8143</v>
      </c>
      <c r="AR375" s="71">
        <f t="shared" si="71"/>
        <v>120.1386839775745</v>
      </c>
      <c r="AS375" s="153">
        <f>'copy data3'!R429</f>
        <v>35640</v>
      </c>
      <c r="AT375" s="38">
        <f t="shared" si="53"/>
        <v>35494.5</v>
      </c>
      <c r="AU375" s="71">
        <f t="shared" si="51"/>
        <v>156.03349745032531</v>
      </c>
    </row>
    <row r="376" spans="1:47" ht="15.6" x14ac:dyDescent="0.3">
      <c r="A376" s="55">
        <v>37819</v>
      </c>
      <c r="B376" s="56">
        <v>2019</v>
      </c>
      <c r="C376" s="56">
        <v>1164</v>
      </c>
      <c r="D376" s="56">
        <v>486</v>
      </c>
      <c r="E376" s="56">
        <v>317</v>
      </c>
      <c r="F376" s="56">
        <v>1221</v>
      </c>
      <c r="G376" s="56">
        <v>633</v>
      </c>
      <c r="H376" s="56">
        <v>574</v>
      </c>
      <c r="I376" s="56">
        <v>379</v>
      </c>
      <c r="J376" s="56">
        <v>147</v>
      </c>
      <c r="K376" s="56">
        <v>111</v>
      </c>
      <c r="L376" s="56">
        <v>4446</v>
      </c>
      <c r="M376" s="56">
        <v>2604</v>
      </c>
      <c r="N376" s="56">
        <v>4532</v>
      </c>
      <c r="O376" s="56">
        <v>35086</v>
      </c>
      <c r="P376" s="56">
        <v>1705</v>
      </c>
      <c r="Q376" s="56">
        <v>27771</v>
      </c>
      <c r="R376" s="16">
        <f t="shared" si="55"/>
        <v>10683</v>
      </c>
      <c r="T376" s="144">
        <f t="shared" si="54"/>
        <v>39478</v>
      </c>
      <c r="U376" s="154">
        <f>'copy data3'!B430</f>
        <v>3636</v>
      </c>
      <c r="V376" s="38">
        <f t="shared" si="56"/>
        <v>3629</v>
      </c>
      <c r="W376" s="71">
        <f t="shared" si="57"/>
        <v>237.81127129750982</v>
      </c>
      <c r="X376" s="154">
        <f>'copy data3'!D430</f>
        <v>818</v>
      </c>
      <c r="Y376" s="38">
        <f t="shared" si="58"/>
        <v>842.75</v>
      </c>
      <c r="Z376" s="71">
        <f t="shared" si="59"/>
        <v>128.46798780487805</v>
      </c>
      <c r="AA376" s="152">
        <f>'copy data3'!F430</f>
        <v>1966</v>
      </c>
      <c r="AB376" s="38">
        <f t="shared" si="60"/>
        <v>2055</v>
      </c>
      <c r="AC376" s="71">
        <f t="shared" si="61"/>
        <v>202.86278381046395</v>
      </c>
      <c r="AD376" s="152">
        <f>'copy data3'!H430</f>
        <v>1126</v>
      </c>
      <c r="AE376" s="38">
        <f t="shared" si="62"/>
        <v>1184.25</v>
      </c>
      <c r="AF376" s="71">
        <f t="shared" si="63"/>
        <v>117.95318725099602</v>
      </c>
      <c r="AG376" s="152">
        <f>'copy data3'!J430</f>
        <v>85</v>
      </c>
      <c r="AH376" s="38">
        <f t="shared" si="64"/>
        <v>106.25</v>
      </c>
      <c r="AI376" s="71">
        <f t="shared" si="65"/>
        <v>93.201754385964904</v>
      </c>
      <c r="AJ376" s="152">
        <f>'copy data3'!L430</f>
        <v>7631</v>
      </c>
      <c r="AK376" s="38">
        <f t="shared" si="66"/>
        <v>7817.5</v>
      </c>
      <c r="AL376" s="71">
        <f t="shared" si="67"/>
        <v>181.25434732204963</v>
      </c>
      <c r="AM376" s="152">
        <f>'copy data3'!N430</f>
        <v>19799</v>
      </c>
      <c r="AN376" s="38">
        <f t="shared" si="68"/>
        <v>19701.25</v>
      </c>
      <c r="AO376" s="71">
        <f t="shared" si="69"/>
        <v>168.57405664413452</v>
      </c>
      <c r="AP376" s="152">
        <f>'copy data3'!P430</f>
        <v>7986</v>
      </c>
      <c r="AQ376" s="38">
        <f t="shared" si="70"/>
        <v>8085</v>
      </c>
      <c r="AR376" s="71">
        <f t="shared" si="71"/>
        <v>120.92431947352678</v>
      </c>
      <c r="AS376" s="153">
        <f>'copy data3'!R430</f>
        <v>35416</v>
      </c>
      <c r="AT376" s="38">
        <f t="shared" si="53"/>
        <v>35603.75</v>
      </c>
      <c r="AU376" s="71">
        <f t="shared" si="51"/>
        <v>156.94150577448647</v>
      </c>
    </row>
    <row r="377" spans="1:47" ht="15.6" x14ac:dyDescent="0.3">
      <c r="A377" s="55">
        <v>38183</v>
      </c>
      <c r="B377" s="56">
        <v>1487</v>
      </c>
      <c r="C377" s="56">
        <v>1492</v>
      </c>
      <c r="D377" s="56">
        <v>1375</v>
      </c>
      <c r="E377" s="56">
        <v>406</v>
      </c>
      <c r="F377" s="56">
        <v>1596</v>
      </c>
      <c r="G377" s="56">
        <v>829</v>
      </c>
      <c r="H377" s="56">
        <v>912</v>
      </c>
      <c r="I377" s="56">
        <v>425</v>
      </c>
      <c r="J377" s="56">
        <v>128</v>
      </c>
      <c r="K377" s="56">
        <v>99</v>
      </c>
      <c r="L377" s="56">
        <v>5497</v>
      </c>
      <c r="M377" s="56">
        <v>3251</v>
      </c>
      <c r="N377" s="56">
        <v>6203</v>
      </c>
      <c r="O377" s="56">
        <v>42158</v>
      </c>
      <c r="P377" s="56">
        <v>713</v>
      </c>
      <c r="Q377" s="56">
        <v>23635</v>
      </c>
      <c r="R377" s="16">
        <f t="shared" si="55"/>
        <v>12413</v>
      </c>
      <c r="T377" s="144">
        <f t="shared" si="54"/>
        <v>39485</v>
      </c>
      <c r="U377" s="154">
        <f>'copy data3'!B431</f>
        <v>3356</v>
      </c>
      <c r="V377" s="38">
        <f t="shared" si="56"/>
        <v>3568.75</v>
      </c>
      <c r="W377" s="71">
        <f t="shared" si="57"/>
        <v>245.78168044077137</v>
      </c>
      <c r="X377" s="154">
        <f>'copy data3'!D431</f>
        <v>842</v>
      </c>
      <c r="Y377" s="38">
        <f t="shared" si="58"/>
        <v>840</v>
      </c>
      <c r="Z377" s="71">
        <f t="shared" si="59"/>
        <v>117.48251748251748</v>
      </c>
      <c r="AA377" s="152">
        <f>'copy data3'!F431</f>
        <v>1832</v>
      </c>
      <c r="AB377" s="38">
        <f t="shared" si="60"/>
        <v>1977.5</v>
      </c>
      <c r="AC377" s="71">
        <f t="shared" si="61"/>
        <v>191.06280193236717</v>
      </c>
      <c r="AD377" s="152">
        <f>'copy data3'!H431</f>
        <v>1056</v>
      </c>
      <c r="AE377" s="38">
        <f t="shared" si="62"/>
        <v>1136</v>
      </c>
      <c r="AF377" s="71">
        <f t="shared" si="63"/>
        <v>119.83122362869199</v>
      </c>
      <c r="AG377" s="152">
        <f>'copy data3'!J431</f>
        <v>82</v>
      </c>
      <c r="AH377" s="38">
        <f t="shared" si="64"/>
        <v>95.5</v>
      </c>
      <c r="AI377" s="71">
        <f t="shared" si="65"/>
        <v>82.327586206896555</v>
      </c>
      <c r="AJ377" s="152">
        <f>'copy data3'!L431</f>
        <v>7168</v>
      </c>
      <c r="AK377" s="38">
        <f t="shared" si="66"/>
        <v>7618</v>
      </c>
      <c r="AL377" s="71">
        <f t="shared" si="67"/>
        <v>178.61664712778429</v>
      </c>
      <c r="AM377" s="152">
        <f>'copy data3'!N431</f>
        <v>19586</v>
      </c>
      <c r="AN377" s="38">
        <f t="shared" si="68"/>
        <v>19757</v>
      </c>
      <c r="AO377" s="71">
        <f t="shared" si="69"/>
        <v>163.59195164362009</v>
      </c>
      <c r="AP377" s="152">
        <f>'copy data3'!P431</f>
        <v>7289</v>
      </c>
      <c r="AQ377" s="38">
        <f t="shared" si="70"/>
        <v>7800.25</v>
      </c>
      <c r="AR377" s="71">
        <f t="shared" si="71"/>
        <v>133.04195804195805</v>
      </c>
      <c r="AS377" s="153">
        <f>'copy data3'!R431</f>
        <v>34043</v>
      </c>
      <c r="AT377" s="38">
        <f t="shared" si="53"/>
        <v>35175.25</v>
      </c>
      <c r="AU377" s="71">
        <f t="shared" si="51"/>
        <v>158.41139383021843</v>
      </c>
    </row>
    <row r="378" spans="1:47" ht="15.6" x14ac:dyDescent="0.3">
      <c r="A378" s="55">
        <v>37826</v>
      </c>
      <c r="B378" s="56">
        <v>1945</v>
      </c>
      <c r="C378" s="56">
        <v>1440</v>
      </c>
      <c r="D378" s="56">
        <v>482</v>
      </c>
      <c r="E378" s="56">
        <v>433</v>
      </c>
      <c r="F378" s="56">
        <v>1269</v>
      </c>
      <c r="G378" s="56">
        <v>750</v>
      </c>
      <c r="H378" s="56">
        <v>507</v>
      </c>
      <c r="I378" s="56">
        <v>423</v>
      </c>
      <c r="J378" s="56">
        <v>166</v>
      </c>
      <c r="K378" s="56">
        <v>122</v>
      </c>
      <c r="L378" s="56">
        <v>4368</v>
      </c>
      <c r="M378" s="56">
        <v>3168</v>
      </c>
      <c r="N378" s="56">
        <v>4238</v>
      </c>
      <c r="O378" s="56">
        <v>35928</v>
      </c>
      <c r="P378" s="56">
        <v>1706</v>
      </c>
      <c r="Q378" s="56">
        <v>27890</v>
      </c>
      <c r="R378" s="16">
        <f t="shared" si="55"/>
        <v>10312</v>
      </c>
      <c r="T378" s="144">
        <f t="shared" si="54"/>
        <v>39492</v>
      </c>
      <c r="U378" s="154">
        <f>'copy data3'!B432</f>
        <v>3190</v>
      </c>
      <c r="V378" s="38">
        <f t="shared" si="56"/>
        <v>3446.5</v>
      </c>
      <c r="W378" s="71">
        <f t="shared" si="57"/>
        <v>245.65217391304347</v>
      </c>
      <c r="X378" s="154">
        <f>'copy data3'!D432</f>
        <v>736</v>
      </c>
      <c r="Y378" s="38">
        <f t="shared" si="58"/>
        <v>812.5</v>
      </c>
      <c r="Z378" s="71">
        <f t="shared" si="59"/>
        <v>111.45404663923182</v>
      </c>
      <c r="AA378" s="152">
        <f>'copy data3'!F432</f>
        <v>1689</v>
      </c>
      <c r="AB378" s="38">
        <f t="shared" si="60"/>
        <v>1878.75</v>
      </c>
      <c r="AC378" s="71">
        <f t="shared" si="61"/>
        <v>166.85168738898756</v>
      </c>
      <c r="AD378" s="152">
        <f>'copy data3'!H432</f>
        <v>966</v>
      </c>
      <c r="AE378" s="38">
        <f t="shared" si="62"/>
        <v>1086.25</v>
      </c>
      <c r="AF378" s="71">
        <f t="shared" si="63"/>
        <v>118.84573304157549</v>
      </c>
      <c r="AG378" s="152">
        <f>'copy data3'!J432</f>
        <v>77</v>
      </c>
      <c r="AH378" s="38">
        <f t="shared" si="64"/>
        <v>84.75</v>
      </c>
      <c r="AI378" s="71">
        <f t="shared" si="65"/>
        <v>73.060344827586206</v>
      </c>
      <c r="AJ378" s="152">
        <f>'copy data3'!L432</f>
        <v>6658</v>
      </c>
      <c r="AK378" s="38">
        <f t="shared" si="66"/>
        <v>7309</v>
      </c>
      <c r="AL378" s="71">
        <f t="shared" si="67"/>
        <v>170.49218567763006</v>
      </c>
      <c r="AM378" s="152">
        <f>'copy data3'!N432</f>
        <v>19316</v>
      </c>
      <c r="AN378" s="38">
        <f t="shared" si="68"/>
        <v>19680.25</v>
      </c>
      <c r="AO378" s="71">
        <f t="shared" si="69"/>
        <v>168.82774298704641</v>
      </c>
      <c r="AP378" s="152">
        <f>'copy data3'!P432</f>
        <v>6977</v>
      </c>
      <c r="AQ378" s="38">
        <f t="shared" si="70"/>
        <v>7523.25</v>
      </c>
      <c r="AR378" s="71">
        <f t="shared" si="71"/>
        <v>131.15847280334728</v>
      </c>
      <c r="AS378" s="153">
        <f>'copy data3'!R432</f>
        <v>32951</v>
      </c>
      <c r="AT378" s="38">
        <f t="shared" si="53"/>
        <v>34512.5</v>
      </c>
      <c r="AU378" s="71">
        <f t="shared" si="51"/>
        <v>159.19049815498155</v>
      </c>
    </row>
    <row r="379" spans="1:47" ht="15.6" x14ac:dyDescent="0.3">
      <c r="A379" s="55">
        <v>38190</v>
      </c>
      <c r="B379" s="56">
        <v>1659</v>
      </c>
      <c r="C379" s="56">
        <v>1599</v>
      </c>
      <c r="D379" s="56">
        <v>1371</v>
      </c>
      <c r="E379" s="56">
        <v>434</v>
      </c>
      <c r="F379" s="56">
        <v>1587</v>
      </c>
      <c r="G379" s="56">
        <v>1009</v>
      </c>
      <c r="H379" s="56">
        <v>1001</v>
      </c>
      <c r="I379" s="56">
        <v>446</v>
      </c>
      <c r="J379" s="56">
        <v>123</v>
      </c>
      <c r="K379" s="56">
        <v>118</v>
      </c>
      <c r="L379" s="56">
        <v>5742</v>
      </c>
      <c r="M379" s="56">
        <v>3605</v>
      </c>
      <c r="N379" s="56">
        <v>5775</v>
      </c>
      <c r="O379" s="56">
        <v>42964</v>
      </c>
      <c r="P379" s="56">
        <v>520</v>
      </c>
      <c r="Q379" s="56">
        <v>23790</v>
      </c>
      <c r="R379" s="16">
        <f t="shared" si="55"/>
        <v>12037</v>
      </c>
      <c r="T379" s="144">
        <f t="shared" si="54"/>
        <v>39499</v>
      </c>
      <c r="U379" s="154">
        <f>'copy data3'!B433</f>
        <v>3187</v>
      </c>
      <c r="V379" s="38">
        <f t="shared" si="56"/>
        <v>3342.25</v>
      </c>
      <c r="W379" s="71">
        <f t="shared" si="57"/>
        <v>254.16349809885932</v>
      </c>
      <c r="X379" s="154">
        <f>'copy data3'!D433</f>
        <v>746</v>
      </c>
      <c r="Y379" s="38">
        <f t="shared" si="58"/>
        <v>785.5</v>
      </c>
      <c r="Z379" s="71">
        <f t="shared" si="59"/>
        <v>120.29096477794793</v>
      </c>
      <c r="AA379" s="152">
        <f>'copy data3'!F433</f>
        <v>1586</v>
      </c>
      <c r="AB379" s="38">
        <f t="shared" si="60"/>
        <v>1768.25</v>
      </c>
      <c r="AC379" s="71">
        <f t="shared" si="61"/>
        <v>166.03286384976525</v>
      </c>
      <c r="AD379" s="152">
        <f>'copy data3'!H433</f>
        <v>860</v>
      </c>
      <c r="AE379" s="38">
        <f t="shared" si="62"/>
        <v>1002</v>
      </c>
      <c r="AF379" s="71">
        <f t="shared" si="63"/>
        <v>116.37630662020906</v>
      </c>
      <c r="AG379" s="152">
        <f>'copy data3'!J433</f>
        <v>77</v>
      </c>
      <c r="AH379" s="38">
        <f t="shared" si="64"/>
        <v>80.25</v>
      </c>
      <c r="AI379" s="71">
        <f t="shared" si="65"/>
        <v>77.912621359223294</v>
      </c>
      <c r="AJ379" s="152">
        <f>'copy data3'!L433</f>
        <v>6456</v>
      </c>
      <c r="AK379" s="38">
        <f t="shared" si="66"/>
        <v>6978.25</v>
      </c>
      <c r="AL379" s="71">
        <f t="shared" si="67"/>
        <v>174.58719039279461</v>
      </c>
      <c r="AM379" s="152">
        <f>'copy data3'!N433</f>
        <v>18670</v>
      </c>
      <c r="AN379" s="38">
        <f t="shared" si="68"/>
        <v>19342.75</v>
      </c>
      <c r="AO379" s="71">
        <f t="shared" si="69"/>
        <v>174.51055575604474</v>
      </c>
      <c r="AP379" s="152">
        <f>'copy data3'!P433</f>
        <v>6893</v>
      </c>
      <c r="AQ379" s="38">
        <f t="shared" si="70"/>
        <v>7286.25</v>
      </c>
      <c r="AR379" s="71">
        <f t="shared" si="71"/>
        <v>139.66359976998274</v>
      </c>
      <c r="AS379" s="153">
        <f>'copy data3'!R433</f>
        <v>32019</v>
      </c>
      <c r="AT379" s="38">
        <f t="shared" si="53"/>
        <v>33607.25</v>
      </c>
      <c r="AU379" s="71">
        <f t="shared" si="51"/>
        <v>165.56926790816829</v>
      </c>
    </row>
    <row r="380" spans="1:47" ht="15.6" x14ac:dyDescent="0.3">
      <c r="A380" s="55">
        <v>37833</v>
      </c>
      <c r="B380" s="56">
        <v>1930</v>
      </c>
      <c r="C380" s="56">
        <v>1701</v>
      </c>
      <c r="D380" s="56">
        <v>404</v>
      </c>
      <c r="E380" s="56">
        <v>575</v>
      </c>
      <c r="F380" s="56">
        <v>1292</v>
      </c>
      <c r="G380" s="56">
        <v>840</v>
      </c>
      <c r="H380" s="56">
        <v>504</v>
      </c>
      <c r="I380" s="56">
        <v>564</v>
      </c>
      <c r="J380" s="56">
        <v>149</v>
      </c>
      <c r="K380" s="56">
        <v>146</v>
      </c>
      <c r="L380" s="56">
        <v>4279</v>
      </c>
      <c r="M380" s="56">
        <v>3825</v>
      </c>
      <c r="N380" s="56">
        <v>3851</v>
      </c>
      <c r="O380" s="56">
        <v>36739</v>
      </c>
      <c r="P380" s="56">
        <v>1568</v>
      </c>
      <c r="Q380" s="56">
        <v>28161</v>
      </c>
      <c r="R380" s="16">
        <f t="shared" si="55"/>
        <v>9698</v>
      </c>
      <c r="T380" s="144">
        <f t="shared" si="54"/>
        <v>39506</v>
      </c>
      <c r="U380" s="154">
        <f>'copy data3'!B434</f>
        <v>3297</v>
      </c>
      <c r="V380" s="38">
        <f t="shared" si="56"/>
        <v>3257.5</v>
      </c>
      <c r="W380" s="71">
        <f t="shared" si="57"/>
        <v>246.03474320241693</v>
      </c>
      <c r="X380" s="154">
        <f>'copy data3'!D434</f>
        <v>746</v>
      </c>
      <c r="Y380" s="38">
        <f t="shared" si="58"/>
        <v>767.5</v>
      </c>
      <c r="Z380" s="71">
        <f t="shared" si="59"/>
        <v>104.70668485675307</v>
      </c>
      <c r="AA380" s="152">
        <f>'copy data3'!F434</f>
        <v>1480</v>
      </c>
      <c r="AB380" s="38">
        <f t="shared" si="60"/>
        <v>1646.75</v>
      </c>
      <c r="AC380" s="71">
        <f t="shared" si="61"/>
        <v>167.35264227642276</v>
      </c>
      <c r="AD380" s="152">
        <f>'copy data3'!H434</f>
        <v>818</v>
      </c>
      <c r="AE380" s="38">
        <f t="shared" si="62"/>
        <v>925</v>
      </c>
      <c r="AF380" s="71">
        <f t="shared" si="63"/>
        <v>111.98547215496369</v>
      </c>
      <c r="AG380" s="152">
        <f>'copy data3'!J434</f>
        <v>67</v>
      </c>
      <c r="AH380" s="38">
        <f t="shared" si="64"/>
        <v>75.75</v>
      </c>
      <c r="AI380" s="71">
        <f t="shared" si="65"/>
        <v>77.295918367346943</v>
      </c>
      <c r="AJ380" s="152">
        <f>'copy data3'!L434</f>
        <v>6409</v>
      </c>
      <c r="AK380" s="38">
        <f t="shared" si="66"/>
        <v>6672.75</v>
      </c>
      <c r="AL380" s="71">
        <f t="shared" si="67"/>
        <v>168.29129886506934</v>
      </c>
      <c r="AM380" s="152">
        <f>'copy data3'!N434</f>
        <v>17986</v>
      </c>
      <c r="AN380" s="38">
        <f t="shared" si="68"/>
        <v>18889.5</v>
      </c>
      <c r="AO380" s="71">
        <f t="shared" si="69"/>
        <v>176.02739726027397</v>
      </c>
      <c r="AP380" s="152">
        <f>'copy data3'!P434</f>
        <v>6138</v>
      </c>
      <c r="AQ380" s="38">
        <f t="shared" si="70"/>
        <v>6824.25</v>
      </c>
      <c r="AR380" s="71">
        <f t="shared" si="71"/>
        <v>138.70426829268291</v>
      </c>
      <c r="AS380" s="153">
        <f>'copy data3'!R434</f>
        <v>30533</v>
      </c>
      <c r="AT380" s="38">
        <f t="shared" si="53"/>
        <v>32386.5</v>
      </c>
      <c r="AU380" s="71">
        <f t="shared" si="51"/>
        <v>165.10246737357258</v>
      </c>
    </row>
    <row r="381" spans="1:47" ht="15.6" x14ac:dyDescent="0.3">
      <c r="A381" s="55">
        <v>38197</v>
      </c>
      <c r="B381" s="56">
        <v>1617</v>
      </c>
      <c r="C381" s="56">
        <v>1855</v>
      </c>
      <c r="D381" s="56">
        <v>1329</v>
      </c>
      <c r="E381" s="56">
        <v>616</v>
      </c>
      <c r="F381" s="56">
        <v>1474</v>
      </c>
      <c r="G381" s="56">
        <v>1147</v>
      </c>
      <c r="H381" s="56">
        <v>1054</v>
      </c>
      <c r="I381" s="56">
        <v>539</v>
      </c>
      <c r="J381" s="56">
        <v>93</v>
      </c>
      <c r="K381" s="56">
        <v>127</v>
      </c>
      <c r="L381" s="56">
        <v>5567</v>
      </c>
      <c r="M381" s="56">
        <v>4283</v>
      </c>
      <c r="N381" s="56">
        <v>5170</v>
      </c>
      <c r="O381" s="56">
        <v>44040</v>
      </c>
      <c r="P381" s="56">
        <v>536</v>
      </c>
      <c r="Q381" s="56">
        <v>23839</v>
      </c>
      <c r="R381" s="16">
        <f t="shared" si="55"/>
        <v>11273</v>
      </c>
      <c r="T381" s="144">
        <f t="shared" si="54"/>
        <v>39513</v>
      </c>
      <c r="U381" s="154">
        <f>'copy data3'!B435</f>
        <v>3224</v>
      </c>
      <c r="V381" s="38">
        <f t="shared" si="56"/>
        <v>3224.5</v>
      </c>
      <c r="W381" s="71">
        <f t="shared" si="57"/>
        <v>252.9019607843137</v>
      </c>
      <c r="X381" s="154">
        <f>'copy data3'!D435</f>
        <v>678</v>
      </c>
      <c r="Y381" s="38">
        <f t="shared" si="58"/>
        <v>726.5</v>
      </c>
      <c r="Z381" s="71">
        <f t="shared" si="59"/>
        <v>113.1619937694704</v>
      </c>
      <c r="AA381" s="152">
        <f>'copy data3'!F435</f>
        <v>1388</v>
      </c>
      <c r="AB381" s="38">
        <f t="shared" si="60"/>
        <v>1535.75</v>
      </c>
      <c r="AC381" s="71">
        <f t="shared" si="61"/>
        <v>155.12626262626264</v>
      </c>
      <c r="AD381" s="152">
        <f>'copy data3'!H435</f>
        <v>747</v>
      </c>
      <c r="AE381" s="38">
        <f t="shared" si="62"/>
        <v>847.75</v>
      </c>
      <c r="AF381" s="71">
        <f t="shared" si="63"/>
        <v>94.720670391061461</v>
      </c>
      <c r="AG381" s="152">
        <f>'copy data3'!J435</f>
        <v>76</v>
      </c>
      <c r="AH381" s="38">
        <f t="shared" si="64"/>
        <v>74.25</v>
      </c>
      <c r="AI381" s="71">
        <f t="shared" si="65"/>
        <v>114.23076923076923</v>
      </c>
      <c r="AJ381" s="152">
        <f>'copy data3'!L435</f>
        <v>6113</v>
      </c>
      <c r="AK381" s="38">
        <f t="shared" si="66"/>
        <v>6409</v>
      </c>
      <c r="AL381" s="71">
        <f t="shared" si="67"/>
        <v>165.82147477360931</v>
      </c>
      <c r="AM381" s="152">
        <f>'copy data3'!N435</f>
        <v>17692</v>
      </c>
      <c r="AN381" s="38">
        <f t="shared" si="68"/>
        <v>18416</v>
      </c>
      <c r="AO381" s="71">
        <f t="shared" si="69"/>
        <v>178.27686350435624</v>
      </c>
      <c r="AP381" s="152">
        <f>'copy data3'!P435</f>
        <v>5509</v>
      </c>
      <c r="AQ381" s="38">
        <f t="shared" si="70"/>
        <v>6379.25</v>
      </c>
      <c r="AR381" s="71">
        <f t="shared" si="71"/>
        <v>139.07237846086767</v>
      </c>
      <c r="AS381" s="153">
        <f>'copy data3'!R435</f>
        <v>29314</v>
      </c>
      <c r="AT381" s="38">
        <f t="shared" si="53"/>
        <v>31204.25</v>
      </c>
      <c r="AU381" s="71">
        <f t="shared" ref="AU381:AU444" si="72">(AT381/AS329)*100</f>
        <v>166.13912256415716</v>
      </c>
    </row>
    <row r="382" spans="1:47" ht="15.6" x14ac:dyDescent="0.3">
      <c r="A382" s="55">
        <v>37840</v>
      </c>
      <c r="B382" s="56">
        <v>1997</v>
      </c>
      <c r="C382" s="56">
        <v>1949</v>
      </c>
      <c r="D382" s="56">
        <v>401</v>
      </c>
      <c r="E382" s="56">
        <v>696</v>
      </c>
      <c r="F382" s="56">
        <v>1219</v>
      </c>
      <c r="G382" s="56">
        <v>1007</v>
      </c>
      <c r="H382" s="56">
        <v>578</v>
      </c>
      <c r="I382" s="56">
        <v>620</v>
      </c>
      <c r="J382" s="56">
        <v>210</v>
      </c>
      <c r="K382" s="56">
        <v>149</v>
      </c>
      <c r="L382" s="56">
        <v>4405</v>
      </c>
      <c r="M382" s="56">
        <v>4421</v>
      </c>
      <c r="N382" s="56">
        <v>3684</v>
      </c>
      <c r="O382" s="56">
        <v>37238</v>
      </c>
      <c r="P382" s="56">
        <v>1293</v>
      </c>
      <c r="Q382" s="56">
        <v>28293</v>
      </c>
      <c r="R382" s="16">
        <f t="shared" si="55"/>
        <v>9382</v>
      </c>
      <c r="T382" s="144">
        <f t="shared" si="54"/>
        <v>39520</v>
      </c>
      <c r="U382" s="154">
        <f>'copy data3'!B436</f>
        <v>2794</v>
      </c>
      <c r="V382" s="38">
        <f t="shared" si="56"/>
        <v>3125.5</v>
      </c>
      <c r="W382" s="71">
        <f t="shared" si="57"/>
        <v>246.4905362776025</v>
      </c>
      <c r="X382" s="154">
        <f>'copy data3'!D436</f>
        <v>664</v>
      </c>
      <c r="Y382" s="38">
        <f t="shared" si="58"/>
        <v>708.5</v>
      </c>
      <c r="Z382" s="71">
        <f t="shared" si="59"/>
        <v>119.07563025210084</v>
      </c>
      <c r="AA382" s="152">
        <f>'copy data3'!F436</f>
        <v>1304</v>
      </c>
      <c r="AB382" s="38">
        <f t="shared" si="60"/>
        <v>1439.5</v>
      </c>
      <c r="AC382" s="71">
        <f t="shared" si="61"/>
        <v>137.88314176245211</v>
      </c>
      <c r="AD382" s="152">
        <f>'copy data3'!H436</f>
        <v>728</v>
      </c>
      <c r="AE382" s="38">
        <f t="shared" si="62"/>
        <v>788.25</v>
      </c>
      <c r="AF382" s="71">
        <f t="shared" si="63"/>
        <v>84.576180257510728</v>
      </c>
      <c r="AG382" s="152">
        <f>'copy data3'!J436</f>
        <v>76</v>
      </c>
      <c r="AH382" s="38">
        <f t="shared" si="64"/>
        <v>74</v>
      </c>
      <c r="AI382" s="71">
        <f t="shared" si="65"/>
        <v>100</v>
      </c>
      <c r="AJ382" s="152">
        <f>'copy data3'!L436</f>
        <v>5566</v>
      </c>
      <c r="AK382" s="38">
        <f t="shared" si="66"/>
        <v>6136</v>
      </c>
      <c r="AL382" s="71">
        <f t="shared" si="67"/>
        <v>156.8106312292359</v>
      </c>
      <c r="AM382" s="152">
        <f>'copy data3'!N436</f>
        <v>16969</v>
      </c>
      <c r="AN382" s="38">
        <f t="shared" si="68"/>
        <v>17829.25</v>
      </c>
      <c r="AO382" s="71">
        <f t="shared" si="69"/>
        <v>177.12348499900656</v>
      </c>
      <c r="AP382" s="152">
        <f>'copy data3'!P436</f>
        <v>5191</v>
      </c>
      <c r="AQ382" s="38">
        <f t="shared" si="70"/>
        <v>5932.75</v>
      </c>
      <c r="AR382" s="71">
        <f t="shared" si="71"/>
        <v>128.9167753150804</v>
      </c>
      <c r="AS382" s="153">
        <f>'copy data3'!R436</f>
        <v>27726</v>
      </c>
      <c r="AT382" s="38">
        <f t="shared" si="53"/>
        <v>29898</v>
      </c>
      <c r="AU382" s="71">
        <f t="shared" si="72"/>
        <v>160.90630213659114</v>
      </c>
    </row>
    <row r="383" spans="1:47" ht="15.6" x14ac:dyDescent="0.3">
      <c r="A383" s="55">
        <v>38204</v>
      </c>
      <c r="B383" s="56">
        <v>1638</v>
      </c>
      <c r="C383" s="56">
        <v>2011</v>
      </c>
      <c r="D383" s="56">
        <v>1305</v>
      </c>
      <c r="E383" s="56">
        <v>769</v>
      </c>
      <c r="F383" s="56">
        <v>1408</v>
      </c>
      <c r="G383" s="56">
        <v>1370</v>
      </c>
      <c r="H383" s="56">
        <v>1040</v>
      </c>
      <c r="I383" s="56">
        <v>637</v>
      </c>
      <c r="J383" s="56">
        <v>112</v>
      </c>
      <c r="K383" s="56">
        <v>127</v>
      </c>
      <c r="L383" s="56">
        <v>5502</v>
      </c>
      <c r="M383" s="56">
        <v>4914</v>
      </c>
      <c r="N383" s="56">
        <v>4678</v>
      </c>
      <c r="O383" s="56">
        <v>44792</v>
      </c>
      <c r="P383" s="56">
        <v>464</v>
      </c>
      <c r="Q383" s="56">
        <v>23912</v>
      </c>
      <c r="R383" s="16">
        <f t="shared" si="55"/>
        <v>10644</v>
      </c>
      <c r="T383" s="144">
        <f t="shared" si="54"/>
        <v>39527</v>
      </c>
      <c r="U383" s="154">
        <f>'copy data3'!B437</f>
        <v>2704</v>
      </c>
      <c r="V383" s="38">
        <f t="shared" si="56"/>
        <v>3004.75</v>
      </c>
      <c r="W383" s="71">
        <f t="shared" si="57"/>
        <v>242.90622473726756</v>
      </c>
      <c r="X383" s="154">
        <f>'copy data3'!D437</f>
        <v>761</v>
      </c>
      <c r="Y383" s="38">
        <f t="shared" si="58"/>
        <v>712.25</v>
      </c>
      <c r="Z383" s="71">
        <f t="shared" si="59"/>
        <v>90.848214285714292</v>
      </c>
      <c r="AA383" s="152">
        <f>'copy data3'!F437</f>
        <v>1200</v>
      </c>
      <c r="AB383" s="38">
        <f t="shared" si="60"/>
        <v>1343</v>
      </c>
      <c r="AC383" s="71">
        <f t="shared" si="61"/>
        <v>131.02439024390245</v>
      </c>
      <c r="AD383" s="152">
        <f>'copy data3'!H437</f>
        <v>696</v>
      </c>
      <c r="AE383" s="38">
        <f t="shared" si="62"/>
        <v>747.25</v>
      </c>
      <c r="AF383" s="71">
        <f t="shared" si="63"/>
        <v>80.26315789473685</v>
      </c>
      <c r="AG383" s="152">
        <f>'copy data3'!J437</f>
        <v>53</v>
      </c>
      <c r="AH383" s="38">
        <f t="shared" si="64"/>
        <v>68</v>
      </c>
      <c r="AI383" s="71">
        <f t="shared" si="65"/>
        <v>78.160919540229884</v>
      </c>
      <c r="AJ383" s="152">
        <f>'copy data3'!L437</f>
        <v>5414</v>
      </c>
      <c r="AK383" s="38">
        <f t="shared" si="66"/>
        <v>5875.5</v>
      </c>
      <c r="AL383" s="71">
        <f t="shared" si="67"/>
        <v>144.57431102362204</v>
      </c>
      <c r="AM383" s="152">
        <f>'copy data3'!N437</f>
        <v>16312</v>
      </c>
      <c r="AN383" s="38">
        <f t="shared" si="68"/>
        <v>17239.75</v>
      </c>
      <c r="AO383" s="71">
        <f t="shared" si="69"/>
        <v>171.65936473165388</v>
      </c>
      <c r="AP383" s="152">
        <f>'copy data3'!P437</f>
        <v>4924</v>
      </c>
      <c r="AQ383" s="38">
        <f t="shared" si="70"/>
        <v>5440.5</v>
      </c>
      <c r="AR383" s="71">
        <f t="shared" si="71"/>
        <v>126.05421686746988</v>
      </c>
      <c r="AS383" s="153">
        <f>'copy data3'!R437</f>
        <v>26650</v>
      </c>
      <c r="AT383" s="38">
        <f t="shared" si="53"/>
        <v>28555.75</v>
      </c>
      <c r="AU383" s="71">
        <f t="shared" si="72"/>
        <v>155.00054279976118</v>
      </c>
    </row>
    <row r="384" spans="1:47" ht="15.6" x14ac:dyDescent="0.3">
      <c r="A384" s="55">
        <v>37847</v>
      </c>
      <c r="B384" s="56">
        <v>2046</v>
      </c>
      <c r="C384" s="56">
        <v>2234</v>
      </c>
      <c r="D384" s="56">
        <v>529</v>
      </c>
      <c r="E384" s="56">
        <v>764</v>
      </c>
      <c r="F384" s="56">
        <v>1242</v>
      </c>
      <c r="G384" s="56">
        <v>1124</v>
      </c>
      <c r="H384" s="56">
        <v>557</v>
      </c>
      <c r="I384" s="56">
        <v>703</v>
      </c>
      <c r="J384" s="56">
        <v>172</v>
      </c>
      <c r="K384" s="56">
        <v>193</v>
      </c>
      <c r="L384" s="56">
        <v>4546</v>
      </c>
      <c r="M384" s="56">
        <v>5019</v>
      </c>
      <c r="N384" s="56">
        <v>3180</v>
      </c>
      <c r="O384" s="56">
        <v>38006</v>
      </c>
      <c r="P384" s="56">
        <v>1147</v>
      </c>
      <c r="Q384" s="56">
        <v>28479</v>
      </c>
      <c r="R384" s="16">
        <f t="shared" si="55"/>
        <v>8873</v>
      </c>
      <c r="T384" s="144">
        <f t="shared" si="54"/>
        <v>39534</v>
      </c>
      <c r="U384" s="154">
        <f>'copy data3'!B438</f>
        <v>2557</v>
      </c>
      <c r="V384" s="38">
        <f t="shared" si="56"/>
        <v>2819.75</v>
      </c>
      <c r="W384" s="71">
        <f t="shared" si="57"/>
        <v>236.55620805369128</v>
      </c>
      <c r="X384" s="154">
        <f>'copy data3'!D438</f>
        <v>914</v>
      </c>
      <c r="Y384" s="38">
        <f t="shared" si="58"/>
        <v>754.25</v>
      </c>
      <c r="Z384" s="71">
        <f t="shared" si="59"/>
        <v>103.4636488340192</v>
      </c>
      <c r="AA384" s="152">
        <f>'copy data3'!F438</f>
        <v>1052</v>
      </c>
      <c r="AB384" s="38">
        <f t="shared" si="60"/>
        <v>1236</v>
      </c>
      <c r="AC384" s="71">
        <f t="shared" si="61"/>
        <v>123.23030907278165</v>
      </c>
      <c r="AD384" s="152">
        <f>'copy data3'!H438</f>
        <v>627</v>
      </c>
      <c r="AE384" s="38">
        <f t="shared" si="62"/>
        <v>699.5</v>
      </c>
      <c r="AF384" s="71">
        <f t="shared" si="63"/>
        <v>79.579067121729238</v>
      </c>
      <c r="AG384" s="152">
        <f>'copy data3'!J438</f>
        <v>53</v>
      </c>
      <c r="AH384" s="38">
        <f t="shared" si="64"/>
        <v>64.5</v>
      </c>
      <c r="AI384" s="71">
        <f t="shared" si="65"/>
        <v>79.629629629629633</v>
      </c>
      <c r="AJ384" s="152">
        <f>'copy data3'!L438</f>
        <v>5203</v>
      </c>
      <c r="AK384" s="38">
        <f t="shared" si="66"/>
        <v>5574</v>
      </c>
      <c r="AL384" s="71">
        <f t="shared" si="67"/>
        <v>143.51184346035015</v>
      </c>
      <c r="AM384" s="152">
        <f>'copy data3'!N438</f>
        <v>15871</v>
      </c>
      <c r="AN384" s="38">
        <f t="shared" si="68"/>
        <v>16711</v>
      </c>
      <c r="AO384" s="71">
        <f t="shared" si="69"/>
        <v>173.06338028169014</v>
      </c>
      <c r="AP384" s="152">
        <f>'copy data3'!P438</f>
        <v>4381</v>
      </c>
      <c r="AQ384" s="38">
        <f t="shared" si="70"/>
        <v>5001.25</v>
      </c>
      <c r="AR384" s="71">
        <f t="shared" si="71"/>
        <v>131.99392979678015</v>
      </c>
      <c r="AS384" s="153">
        <f>'copy data3'!R438</f>
        <v>25455</v>
      </c>
      <c r="AT384" s="38">
        <f t="shared" si="53"/>
        <v>27286.25</v>
      </c>
      <c r="AU384" s="71">
        <f t="shared" si="72"/>
        <v>157.46003808644468</v>
      </c>
    </row>
    <row r="385" spans="1:47" ht="15.6" x14ac:dyDescent="0.3">
      <c r="A385" s="55">
        <v>38211</v>
      </c>
      <c r="B385" s="56">
        <v>1663</v>
      </c>
      <c r="C385" s="56">
        <v>2205</v>
      </c>
      <c r="D385" s="56">
        <v>1294</v>
      </c>
      <c r="E385" s="56">
        <v>847</v>
      </c>
      <c r="F385" s="56">
        <v>1527</v>
      </c>
      <c r="G385" s="56">
        <v>1446</v>
      </c>
      <c r="H385" s="56">
        <v>1212</v>
      </c>
      <c r="I385" s="56">
        <v>731</v>
      </c>
      <c r="J385" s="56">
        <v>104</v>
      </c>
      <c r="K385" s="56">
        <v>132</v>
      </c>
      <c r="L385" s="56">
        <v>5799</v>
      </c>
      <c r="M385" s="56">
        <v>5360</v>
      </c>
      <c r="N385" s="56">
        <v>3862</v>
      </c>
      <c r="O385" s="56">
        <v>45794</v>
      </c>
      <c r="P385" s="56">
        <v>444</v>
      </c>
      <c r="Q385" s="56">
        <v>23956</v>
      </c>
      <c r="R385" s="16">
        <f t="shared" si="55"/>
        <v>10105</v>
      </c>
      <c r="T385" s="144">
        <f t="shared" si="54"/>
        <v>39541</v>
      </c>
      <c r="U385" s="154">
        <f>'copy data3'!B439</f>
        <v>2431</v>
      </c>
      <c r="V385" s="38">
        <f t="shared" si="56"/>
        <v>2621.5</v>
      </c>
      <c r="W385" s="71">
        <f t="shared" si="57"/>
        <v>205.2858261550509</v>
      </c>
      <c r="X385" s="154">
        <f>'copy data3'!D439</f>
        <v>786</v>
      </c>
      <c r="Y385" s="38">
        <f t="shared" si="58"/>
        <v>781.25</v>
      </c>
      <c r="Z385" s="71">
        <f t="shared" si="59"/>
        <v>94.126506024096386</v>
      </c>
      <c r="AA385" s="152">
        <f>'copy data3'!F439</f>
        <v>1023</v>
      </c>
      <c r="AB385" s="38">
        <f t="shared" si="60"/>
        <v>1144.75</v>
      </c>
      <c r="AC385" s="71">
        <f t="shared" si="61"/>
        <v>100.50482879719051</v>
      </c>
      <c r="AD385" s="152">
        <f>'copy data3'!H439</f>
        <v>580</v>
      </c>
      <c r="AE385" s="38">
        <f t="shared" si="62"/>
        <v>657.75</v>
      </c>
      <c r="AF385" s="71">
        <f t="shared" si="63"/>
        <v>79.056490384615387</v>
      </c>
      <c r="AG385" s="152">
        <f>'copy data3'!J439</f>
        <v>77</v>
      </c>
      <c r="AH385" s="38">
        <f t="shared" si="64"/>
        <v>64.75</v>
      </c>
      <c r="AI385" s="71">
        <f t="shared" si="65"/>
        <v>56.798245614035089</v>
      </c>
      <c r="AJ385" s="152">
        <f>'copy data3'!L439</f>
        <v>4897</v>
      </c>
      <c r="AK385" s="38">
        <f t="shared" si="66"/>
        <v>5270</v>
      </c>
      <c r="AL385" s="71">
        <f t="shared" si="67"/>
        <v>125.68566658716908</v>
      </c>
      <c r="AM385" s="152">
        <f>'copy data3'!N439</f>
        <v>15090</v>
      </c>
      <c r="AN385" s="38">
        <f t="shared" si="68"/>
        <v>16060.5</v>
      </c>
      <c r="AO385" s="71">
        <f t="shared" si="69"/>
        <v>156.73367814970237</v>
      </c>
      <c r="AP385" s="152">
        <f>'copy data3'!P439</f>
        <v>4538</v>
      </c>
      <c r="AQ385" s="38">
        <f t="shared" si="70"/>
        <v>4758.5</v>
      </c>
      <c r="AR385" s="71">
        <f t="shared" si="71"/>
        <v>140.20329994107249</v>
      </c>
      <c r="AS385" s="153">
        <f>'copy data3'!R439</f>
        <v>24525</v>
      </c>
      <c r="AT385" s="38">
        <f t="shared" si="53"/>
        <v>26089</v>
      </c>
      <c r="AU385" s="71">
        <f t="shared" si="72"/>
        <v>146.28798923404733</v>
      </c>
    </row>
    <row r="386" spans="1:47" ht="15.6" x14ac:dyDescent="0.3">
      <c r="A386" s="55">
        <v>37854</v>
      </c>
      <c r="B386" s="56">
        <v>2273</v>
      </c>
      <c r="C386" s="56">
        <v>2649</v>
      </c>
      <c r="D386" s="56">
        <v>653</v>
      </c>
      <c r="E386" s="56">
        <v>794</v>
      </c>
      <c r="F386" s="56">
        <v>1330</v>
      </c>
      <c r="G386" s="56">
        <v>1346</v>
      </c>
      <c r="H386" s="56">
        <v>647</v>
      </c>
      <c r="I386" s="56">
        <v>759</v>
      </c>
      <c r="J386" s="56">
        <v>209</v>
      </c>
      <c r="K386" s="56">
        <v>193</v>
      </c>
      <c r="L386" s="56">
        <v>5111</v>
      </c>
      <c r="M386" s="56">
        <v>5740</v>
      </c>
      <c r="N386" s="56">
        <v>2653</v>
      </c>
      <c r="O386" s="56">
        <v>38728</v>
      </c>
      <c r="P386" s="56">
        <v>940</v>
      </c>
      <c r="Q386" s="56">
        <v>28739</v>
      </c>
      <c r="R386" s="16">
        <f t="shared" si="55"/>
        <v>8704</v>
      </c>
      <c r="T386" s="144">
        <f t="shared" si="54"/>
        <v>39548</v>
      </c>
      <c r="U386" s="154">
        <f>'copy data3'!B440</f>
        <v>2341</v>
      </c>
      <c r="V386" s="38">
        <f t="shared" si="56"/>
        <v>2508.25</v>
      </c>
      <c r="W386" s="71">
        <f t="shared" si="57"/>
        <v>214.56372968349018</v>
      </c>
      <c r="X386" s="154">
        <f>'copy data3'!D440</f>
        <v>737</v>
      </c>
      <c r="Y386" s="38">
        <f t="shared" si="58"/>
        <v>799.5</v>
      </c>
      <c r="Z386" s="71">
        <f t="shared" si="59"/>
        <v>108.04054054054053</v>
      </c>
      <c r="AA386" s="152">
        <f>'copy data3'!F440</f>
        <v>972</v>
      </c>
      <c r="AB386" s="38">
        <f t="shared" si="60"/>
        <v>1061.75</v>
      </c>
      <c r="AC386" s="71">
        <f t="shared" si="61"/>
        <v>97.947416974169741</v>
      </c>
      <c r="AD386" s="152">
        <f>'copy data3'!H440</f>
        <v>571</v>
      </c>
      <c r="AE386" s="38">
        <f t="shared" si="62"/>
        <v>618.5</v>
      </c>
      <c r="AF386" s="71">
        <f t="shared" si="63"/>
        <v>85.664819944598335</v>
      </c>
      <c r="AG386" s="152">
        <f>'copy data3'!J440</f>
        <v>83</v>
      </c>
      <c r="AH386" s="38">
        <f t="shared" si="64"/>
        <v>66.5</v>
      </c>
      <c r="AI386" s="71">
        <f t="shared" si="65"/>
        <v>51.953125</v>
      </c>
      <c r="AJ386" s="152">
        <f>'copy data3'!L440</f>
        <v>4704</v>
      </c>
      <c r="AK386" s="38">
        <f t="shared" si="66"/>
        <v>5054.5</v>
      </c>
      <c r="AL386" s="71">
        <f t="shared" si="67"/>
        <v>131.55908381051535</v>
      </c>
      <c r="AM386" s="152">
        <f>'copy data3'!N440</f>
        <v>14847</v>
      </c>
      <c r="AN386" s="38">
        <f t="shared" si="68"/>
        <v>15530</v>
      </c>
      <c r="AO386" s="71">
        <f t="shared" si="69"/>
        <v>152.97478329393223</v>
      </c>
      <c r="AP386" s="152">
        <f>'copy data3'!P440</f>
        <v>4607</v>
      </c>
      <c r="AQ386" s="38">
        <f t="shared" si="70"/>
        <v>4612.5</v>
      </c>
      <c r="AR386" s="71">
        <f t="shared" si="71"/>
        <v>144.09559512652297</v>
      </c>
      <c r="AS386" s="153">
        <f>'copy data3'!R440</f>
        <v>24158</v>
      </c>
      <c r="AT386" s="38">
        <f t="shared" si="53"/>
        <v>25197</v>
      </c>
      <c r="AU386" s="71">
        <f t="shared" si="72"/>
        <v>146.53678394882232</v>
      </c>
    </row>
    <row r="387" spans="1:47" ht="15.6" x14ac:dyDescent="0.3">
      <c r="A387" s="55">
        <v>38218</v>
      </c>
      <c r="B387" s="56">
        <v>1643</v>
      </c>
      <c r="C387" s="56">
        <v>2409</v>
      </c>
      <c r="D387" s="56">
        <v>1275</v>
      </c>
      <c r="E387" s="56">
        <v>952</v>
      </c>
      <c r="F387" s="56">
        <v>1524</v>
      </c>
      <c r="G387" s="56">
        <v>1615</v>
      </c>
      <c r="H387" s="56">
        <v>1260</v>
      </c>
      <c r="I387" s="56">
        <v>855</v>
      </c>
      <c r="J387" s="56">
        <v>88</v>
      </c>
      <c r="K387" s="56">
        <v>149</v>
      </c>
      <c r="L387" s="56">
        <v>5790</v>
      </c>
      <c r="M387" s="56">
        <v>5973</v>
      </c>
      <c r="N387" s="56">
        <v>3019</v>
      </c>
      <c r="O387" s="56">
        <v>46770</v>
      </c>
      <c r="P387" s="56">
        <v>387</v>
      </c>
      <c r="Q387" s="56">
        <v>24031</v>
      </c>
      <c r="R387" s="16">
        <f t="shared" si="55"/>
        <v>9196</v>
      </c>
      <c r="T387" s="144">
        <f t="shared" si="54"/>
        <v>39555</v>
      </c>
      <c r="U387" s="154">
        <f>'copy data3'!B441</f>
        <v>2136</v>
      </c>
      <c r="V387" s="38">
        <f t="shared" si="56"/>
        <v>2366.25</v>
      </c>
      <c r="W387" s="71">
        <f t="shared" si="57"/>
        <v>197.84698996655518</v>
      </c>
      <c r="X387" s="154">
        <f>'copy data3'!D441</f>
        <v>734</v>
      </c>
      <c r="Y387" s="38">
        <f t="shared" si="58"/>
        <v>792.75</v>
      </c>
      <c r="Z387" s="71">
        <f t="shared" si="59"/>
        <v>110.71927374301676</v>
      </c>
      <c r="AA387" s="152">
        <f>'copy data3'!F441</f>
        <v>893</v>
      </c>
      <c r="AB387" s="38">
        <f t="shared" si="60"/>
        <v>985</v>
      </c>
      <c r="AC387" s="71">
        <f t="shared" si="61"/>
        <v>93.720266412940063</v>
      </c>
      <c r="AD387" s="152">
        <f>'copy data3'!H441</f>
        <v>482</v>
      </c>
      <c r="AE387" s="38">
        <f t="shared" si="62"/>
        <v>565</v>
      </c>
      <c r="AF387" s="71">
        <f t="shared" si="63"/>
        <v>82.481751824817522</v>
      </c>
      <c r="AG387" s="152">
        <f>'copy data3'!J441</f>
        <v>67</v>
      </c>
      <c r="AH387" s="38">
        <f t="shared" si="64"/>
        <v>70</v>
      </c>
      <c r="AI387" s="71">
        <f t="shared" si="65"/>
        <v>56.910569105691053</v>
      </c>
      <c r="AJ387" s="152">
        <f>'copy data3'!L441</f>
        <v>4312</v>
      </c>
      <c r="AK387" s="38">
        <f t="shared" si="66"/>
        <v>4779</v>
      </c>
      <c r="AL387" s="71">
        <f t="shared" si="67"/>
        <v>126.73031026252983</v>
      </c>
      <c r="AM387" s="152">
        <f>'copy data3'!N441</f>
        <v>14512</v>
      </c>
      <c r="AN387" s="38">
        <f t="shared" si="68"/>
        <v>15080</v>
      </c>
      <c r="AO387" s="71">
        <f t="shared" si="69"/>
        <v>145.70048309178745</v>
      </c>
      <c r="AP387" s="152">
        <f>'copy data3'!P441</f>
        <v>4444</v>
      </c>
      <c r="AQ387" s="38">
        <f t="shared" si="70"/>
        <v>4492.5</v>
      </c>
      <c r="AR387" s="71">
        <f t="shared" si="71"/>
        <v>141.76396339539286</v>
      </c>
      <c r="AS387" s="153">
        <f>'copy data3'!R441</f>
        <v>23268</v>
      </c>
      <c r="AT387" s="38">
        <f t="shared" si="53"/>
        <v>24351.5</v>
      </c>
      <c r="AU387" s="71">
        <f t="shared" si="72"/>
        <v>140.84152689415848</v>
      </c>
    </row>
    <row r="388" spans="1:47" ht="15.6" x14ac:dyDescent="0.3">
      <c r="A388" s="55">
        <v>37861</v>
      </c>
      <c r="B388" s="56">
        <v>2375</v>
      </c>
      <c r="C388" s="56">
        <v>2836</v>
      </c>
      <c r="D388" s="56">
        <v>565</v>
      </c>
      <c r="E388" s="56">
        <v>952</v>
      </c>
      <c r="F388" s="56">
        <v>1324</v>
      </c>
      <c r="G388" s="56">
        <v>1492</v>
      </c>
      <c r="H388" s="56">
        <v>655</v>
      </c>
      <c r="I388" s="56">
        <v>844</v>
      </c>
      <c r="J388" s="56">
        <v>166</v>
      </c>
      <c r="K388" s="56">
        <v>232</v>
      </c>
      <c r="L388" s="56">
        <v>5085</v>
      </c>
      <c r="M388" s="56">
        <v>6355</v>
      </c>
      <c r="N388" s="56">
        <v>1900</v>
      </c>
      <c r="O388" s="56">
        <v>39646</v>
      </c>
      <c r="P388" s="56">
        <v>599</v>
      </c>
      <c r="Q388" s="56">
        <v>28908</v>
      </c>
      <c r="R388" s="16">
        <f t="shared" si="55"/>
        <v>7584</v>
      </c>
      <c r="T388" s="144">
        <f t="shared" si="54"/>
        <v>39562</v>
      </c>
      <c r="U388" s="154">
        <f>'copy data3'!B442</f>
        <v>1888</v>
      </c>
      <c r="V388" s="38">
        <f t="shared" si="56"/>
        <v>2199</v>
      </c>
      <c r="W388" s="71">
        <f t="shared" si="57"/>
        <v>192.72567922874671</v>
      </c>
      <c r="X388" s="154">
        <f>'copy data3'!D442</f>
        <v>786</v>
      </c>
      <c r="Y388" s="38">
        <f t="shared" si="58"/>
        <v>760.75</v>
      </c>
      <c r="Z388" s="71">
        <f t="shared" si="59"/>
        <v>116.85867895545314</v>
      </c>
      <c r="AA388" s="152">
        <f>'copy data3'!F442</f>
        <v>860</v>
      </c>
      <c r="AB388" s="38">
        <f t="shared" si="60"/>
        <v>937</v>
      </c>
      <c r="AC388" s="71">
        <f t="shared" si="61"/>
        <v>99.048625792811833</v>
      </c>
      <c r="AD388" s="152">
        <f>'copy data3'!H442</f>
        <v>317</v>
      </c>
      <c r="AE388" s="38">
        <f t="shared" si="62"/>
        <v>487.5</v>
      </c>
      <c r="AF388" s="71">
        <f t="shared" si="63"/>
        <v>79.011345218800642</v>
      </c>
      <c r="AG388" s="152">
        <f>'copy data3'!J442</f>
        <v>63</v>
      </c>
      <c r="AH388" s="38">
        <f t="shared" si="64"/>
        <v>72.5</v>
      </c>
      <c r="AI388" s="71">
        <f t="shared" si="65"/>
        <v>58.943089430894311</v>
      </c>
      <c r="AJ388" s="152">
        <f>'copy data3'!L442</f>
        <v>3913</v>
      </c>
      <c r="AK388" s="38">
        <f t="shared" si="66"/>
        <v>4456.5</v>
      </c>
      <c r="AL388" s="71">
        <f t="shared" si="67"/>
        <v>128.13398504887869</v>
      </c>
      <c r="AM388" s="152">
        <f>'copy data3'!N442</f>
        <v>14060</v>
      </c>
      <c r="AN388" s="38">
        <f t="shared" si="68"/>
        <v>14627.25</v>
      </c>
      <c r="AO388" s="71">
        <f t="shared" si="69"/>
        <v>148.04908906882591</v>
      </c>
      <c r="AP388" s="152">
        <f>'copy data3'!P442</f>
        <v>4210</v>
      </c>
      <c r="AQ388" s="38">
        <f t="shared" si="70"/>
        <v>4449.75</v>
      </c>
      <c r="AR388" s="71">
        <f t="shared" si="71"/>
        <v>166.8447694038245</v>
      </c>
      <c r="AS388" s="153">
        <f>'copy data3'!R442</f>
        <v>22183</v>
      </c>
      <c r="AT388" s="38">
        <f t="shared" si="53"/>
        <v>23533.5</v>
      </c>
      <c r="AU388" s="71">
        <f t="shared" si="72"/>
        <v>146.85491419656788</v>
      </c>
    </row>
    <row r="389" spans="1:47" ht="15.6" x14ac:dyDescent="0.3">
      <c r="A389" s="55">
        <v>38225</v>
      </c>
      <c r="B389" s="56">
        <v>1813</v>
      </c>
      <c r="C389" s="56">
        <v>2578</v>
      </c>
      <c r="D389" s="56">
        <v>1067</v>
      </c>
      <c r="E389" s="56">
        <v>1053</v>
      </c>
      <c r="F389" s="56">
        <v>1575</v>
      </c>
      <c r="G389" s="56">
        <v>1798</v>
      </c>
      <c r="H389" s="56">
        <v>1224</v>
      </c>
      <c r="I389" s="56">
        <v>961</v>
      </c>
      <c r="J389" s="56">
        <v>110</v>
      </c>
      <c r="K389" s="56">
        <v>149</v>
      </c>
      <c r="L389" s="56">
        <v>5787</v>
      </c>
      <c r="M389" s="56">
        <v>6539</v>
      </c>
      <c r="N389" s="56">
        <v>2177</v>
      </c>
      <c r="O389" s="56">
        <v>47704</v>
      </c>
      <c r="P389" s="56">
        <v>310</v>
      </c>
      <c r="Q389" s="56">
        <v>24108</v>
      </c>
      <c r="R389" s="16">
        <f t="shared" si="55"/>
        <v>8274</v>
      </c>
      <c r="T389" s="144">
        <f t="shared" si="54"/>
        <v>39569</v>
      </c>
      <c r="U389" s="154">
        <f>'copy data3'!B443</f>
        <v>1683</v>
      </c>
      <c r="V389" s="38">
        <f t="shared" si="56"/>
        <v>2012</v>
      </c>
      <c r="W389" s="71">
        <f t="shared" si="57"/>
        <v>194.20849420849419</v>
      </c>
      <c r="X389" s="154">
        <f>'copy data3'!D443</f>
        <v>743</v>
      </c>
      <c r="Y389" s="38">
        <f t="shared" si="58"/>
        <v>750</v>
      </c>
      <c r="Z389" s="71">
        <f t="shared" si="59"/>
        <v>142.58555133079849</v>
      </c>
      <c r="AA389" s="152">
        <f>'copy data3'!F443</f>
        <v>712</v>
      </c>
      <c r="AB389" s="38">
        <f t="shared" si="60"/>
        <v>859.25</v>
      </c>
      <c r="AC389" s="71">
        <f t="shared" si="61"/>
        <v>90.44736842105263</v>
      </c>
      <c r="AD389" s="152">
        <f>'copy data3'!H443</f>
        <v>257</v>
      </c>
      <c r="AE389" s="38">
        <f t="shared" si="62"/>
        <v>406.75</v>
      </c>
      <c r="AF389" s="71">
        <f t="shared" si="63"/>
        <v>66.789819376026273</v>
      </c>
      <c r="AG389" s="152">
        <f>'copy data3'!J443</f>
        <v>64</v>
      </c>
      <c r="AH389" s="38">
        <f t="shared" si="64"/>
        <v>69.25</v>
      </c>
      <c r="AI389" s="71">
        <f t="shared" si="65"/>
        <v>65.952380952380949</v>
      </c>
      <c r="AJ389" s="152">
        <f>'copy data3'!L443</f>
        <v>3460</v>
      </c>
      <c r="AK389" s="38">
        <f t="shared" si="66"/>
        <v>4097.25</v>
      </c>
      <c r="AL389" s="71">
        <f t="shared" si="67"/>
        <v>127.00712957222567</v>
      </c>
      <c r="AM389" s="152">
        <f>'copy data3'!N443</f>
        <v>13460</v>
      </c>
      <c r="AN389" s="38">
        <f t="shared" si="68"/>
        <v>14219.75</v>
      </c>
      <c r="AO389" s="71">
        <f t="shared" si="69"/>
        <v>150.18747359526827</v>
      </c>
      <c r="AP389" s="152">
        <f>'copy data3'!P443</f>
        <v>3889</v>
      </c>
      <c r="AQ389" s="38">
        <f t="shared" si="70"/>
        <v>4287.5</v>
      </c>
      <c r="AR389" s="71">
        <f t="shared" si="71"/>
        <v>173.23232323232324</v>
      </c>
      <c r="AS389" s="153">
        <f>'copy data3'!R443</f>
        <v>20809</v>
      </c>
      <c r="AT389" s="38">
        <f t="shared" si="53"/>
        <v>22604.5</v>
      </c>
      <c r="AU389" s="71">
        <f t="shared" si="72"/>
        <v>149.01773353550004</v>
      </c>
    </row>
    <row r="390" spans="1:47" ht="15.6" x14ac:dyDescent="0.3">
      <c r="A390" s="55">
        <v>37868</v>
      </c>
      <c r="B390" s="56">
        <v>2262</v>
      </c>
      <c r="C390" s="56">
        <v>3161</v>
      </c>
      <c r="D390" s="56">
        <v>568</v>
      </c>
      <c r="E390" s="56">
        <v>1028</v>
      </c>
      <c r="F390" s="56">
        <v>1355</v>
      </c>
      <c r="G390" s="56">
        <v>1606</v>
      </c>
      <c r="H390" s="56">
        <v>747</v>
      </c>
      <c r="I390" s="56">
        <v>945</v>
      </c>
      <c r="J390" s="56">
        <v>178</v>
      </c>
      <c r="K390" s="56">
        <v>250</v>
      </c>
      <c r="L390" s="56">
        <v>5108</v>
      </c>
      <c r="M390" s="56">
        <v>6990</v>
      </c>
      <c r="N390" s="56">
        <v>7626</v>
      </c>
      <c r="O390" s="56">
        <v>461</v>
      </c>
      <c r="P390" s="56">
        <v>8064</v>
      </c>
      <c r="Q390" s="56">
        <v>40</v>
      </c>
      <c r="R390" s="16">
        <f t="shared" si="55"/>
        <v>20798</v>
      </c>
      <c r="T390" s="144">
        <f t="shared" si="54"/>
        <v>39576</v>
      </c>
      <c r="U390" s="154">
        <f>'copy data3'!B444</f>
        <v>1484</v>
      </c>
      <c r="V390" s="38">
        <f t="shared" si="56"/>
        <v>1797.75</v>
      </c>
      <c r="W390" s="71">
        <f t="shared" si="57"/>
        <v>185.14418125643667</v>
      </c>
      <c r="X390" s="154">
        <f>'copy data3'!D444</f>
        <v>715</v>
      </c>
      <c r="Y390" s="38">
        <f t="shared" si="58"/>
        <v>744.5</v>
      </c>
      <c r="Z390" s="71">
        <f t="shared" si="59"/>
        <v>174.76525821596246</v>
      </c>
      <c r="AA390" s="152">
        <f>'copy data3'!F444</f>
        <v>534</v>
      </c>
      <c r="AB390" s="38">
        <f t="shared" si="60"/>
        <v>749.75</v>
      </c>
      <c r="AC390" s="71">
        <f t="shared" si="61"/>
        <v>95.025348542458815</v>
      </c>
      <c r="AD390" s="152">
        <f>'copy data3'!H444</f>
        <v>209</v>
      </c>
      <c r="AE390" s="38">
        <f t="shared" si="62"/>
        <v>316.25</v>
      </c>
      <c r="AF390" s="71">
        <f t="shared" si="63"/>
        <v>73.206018518518519</v>
      </c>
      <c r="AG390" s="152">
        <f>'copy data3'!J444</f>
        <v>38</v>
      </c>
      <c r="AH390" s="38">
        <f t="shared" si="64"/>
        <v>58</v>
      </c>
      <c r="AI390" s="71">
        <f t="shared" si="65"/>
        <v>58.585858585858588</v>
      </c>
      <c r="AJ390" s="152">
        <f>'copy data3'!L444</f>
        <v>2980</v>
      </c>
      <c r="AK390" s="38">
        <f t="shared" si="66"/>
        <v>3666.25</v>
      </c>
      <c r="AL390" s="71">
        <f t="shared" si="67"/>
        <v>134.98711340206185</v>
      </c>
      <c r="AM390" s="152">
        <f>'copy data3'!N444</f>
        <v>13012</v>
      </c>
      <c r="AN390" s="38">
        <f t="shared" si="68"/>
        <v>13761</v>
      </c>
      <c r="AO390" s="71">
        <f t="shared" si="69"/>
        <v>139.91865785460092</v>
      </c>
      <c r="AP390" s="152">
        <f>'copy data3'!P444</f>
        <v>3603</v>
      </c>
      <c r="AQ390" s="38">
        <f t="shared" si="70"/>
        <v>4036.5</v>
      </c>
      <c r="AR390" s="71">
        <f t="shared" si="71"/>
        <v>164.48655256723717</v>
      </c>
      <c r="AS390" s="153">
        <f>'copy data3'!R444</f>
        <v>19595</v>
      </c>
      <c r="AT390" s="38">
        <f t="shared" si="53"/>
        <v>21463.75</v>
      </c>
      <c r="AU390" s="71">
        <f t="shared" si="72"/>
        <v>143.04398533822061</v>
      </c>
    </row>
    <row r="391" spans="1:47" ht="15.6" x14ac:dyDescent="0.3">
      <c r="A391" s="55">
        <v>38232</v>
      </c>
      <c r="B391" s="56">
        <v>1768</v>
      </c>
      <c r="C391" s="56">
        <v>2784</v>
      </c>
      <c r="D391" s="56">
        <v>898</v>
      </c>
      <c r="E391" s="56">
        <v>1258</v>
      </c>
      <c r="F391" s="56">
        <v>1471</v>
      </c>
      <c r="G391" s="56">
        <v>2013</v>
      </c>
      <c r="H391" s="56">
        <v>1271</v>
      </c>
      <c r="I391" s="56">
        <v>1088</v>
      </c>
      <c r="J391" s="56">
        <v>80</v>
      </c>
      <c r="K391" s="56">
        <v>183</v>
      </c>
      <c r="L391" s="56">
        <v>5488</v>
      </c>
      <c r="M391" s="56">
        <v>7325</v>
      </c>
      <c r="N391" s="56">
        <v>6936</v>
      </c>
      <c r="O391" s="56">
        <v>230</v>
      </c>
      <c r="P391" s="56">
        <v>5968</v>
      </c>
      <c r="Q391" s="56">
        <v>72</v>
      </c>
      <c r="R391" s="16">
        <f t="shared" si="55"/>
        <v>18392</v>
      </c>
      <c r="T391" s="144">
        <f t="shared" si="54"/>
        <v>39583</v>
      </c>
      <c r="U391" s="154">
        <f>'copy data3'!B445</f>
        <v>1362</v>
      </c>
      <c r="V391" s="38">
        <f t="shared" si="56"/>
        <v>1604.25</v>
      </c>
      <c r="W391" s="71">
        <f t="shared" si="57"/>
        <v>195.64024390243901</v>
      </c>
      <c r="X391" s="154">
        <f>'copy data3'!D445</f>
        <v>720</v>
      </c>
      <c r="Y391" s="38">
        <f t="shared" si="58"/>
        <v>741</v>
      </c>
      <c r="Z391" s="71">
        <f t="shared" si="59"/>
        <v>220.53571428571428</v>
      </c>
      <c r="AA391" s="152">
        <f>'copy data3'!F445</f>
        <v>485</v>
      </c>
      <c r="AB391" s="38">
        <f t="shared" si="60"/>
        <v>647.75</v>
      </c>
      <c r="AC391" s="71">
        <f t="shared" si="61"/>
        <v>112.26169844020797</v>
      </c>
      <c r="AD391" s="152">
        <f>'copy data3'!H445</f>
        <v>160</v>
      </c>
      <c r="AE391" s="38">
        <f t="shared" si="62"/>
        <v>235.75</v>
      </c>
      <c r="AF391" s="71">
        <f t="shared" si="63"/>
        <v>82.142857142857139</v>
      </c>
      <c r="AG391" s="152">
        <f>'copy data3'!J445</f>
        <v>26</v>
      </c>
      <c r="AH391" s="38">
        <f t="shared" si="64"/>
        <v>47.75</v>
      </c>
      <c r="AI391" s="71">
        <f t="shared" si="65"/>
        <v>170.53571428571428</v>
      </c>
      <c r="AJ391" s="152">
        <f>'copy data3'!L445</f>
        <v>2752</v>
      </c>
      <c r="AK391" s="38">
        <f t="shared" si="66"/>
        <v>3276.25</v>
      </c>
      <c r="AL391" s="71">
        <f t="shared" si="67"/>
        <v>159.97314453125</v>
      </c>
      <c r="AM391" s="152">
        <f>'copy data3'!N445</f>
        <v>12775</v>
      </c>
      <c r="AN391" s="38">
        <f t="shared" si="68"/>
        <v>13326.75</v>
      </c>
      <c r="AO391" s="71">
        <f t="shared" si="69"/>
        <v>137.64459822350753</v>
      </c>
      <c r="AP391" s="152">
        <f>'copy data3'!P445</f>
        <v>3714</v>
      </c>
      <c r="AQ391" s="38">
        <f t="shared" si="70"/>
        <v>3854</v>
      </c>
      <c r="AR391" s="71">
        <f t="shared" si="71"/>
        <v>174.626189397372</v>
      </c>
      <c r="AS391" s="153">
        <f>'copy data3'!R445</f>
        <v>19241</v>
      </c>
      <c r="AT391" s="38">
        <f t="shared" si="53"/>
        <v>20457</v>
      </c>
      <c r="AU391" s="71">
        <f t="shared" si="72"/>
        <v>146.78194733443354</v>
      </c>
    </row>
    <row r="392" spans="1:47" ht="15.6" x14ac:dyDescent="0.3">
      <c r="A392" s="55">
        <v>37875</v>
      </c>
      <c r="B392" s="56">
        <v>2191</v>
      </c>
      <c r="C392" s="56">
        <v>3402</v>
      </c>
      <c r="D392" s="56">
        <v>631</v>
      </c>
      <c r="E392" s="56">
        <v>1095</v>
      </c>
      <c r="F392" s="56">
        <v>1268</v>
      </c>
      <c r="G392" s="56">
        <v>1843</v>
      </c>
      <c r="H392" s="56">
        <v>864</v>
      </c>
      <c r="I392" s="56">
        <v>1013</v>
      </c>
      <c r="J392" s="56">
        <v>187</v>
      </c>
      <c r="K392" s="56">
        <v>277</v>
      </c>
      <c r="L392" s="56">
        <v>5141</v>
      </c>
      <c r="M392" s="56">
        <v>7632</v>
      </c>
      <c r="N392" s="56">
        <v>7683</v>
      </c>
      <c r="O392" s="56">
        <v>1319</v>
      </c>
      <c r="P392" s="56">
        <v>8468</v>
      </c>
      <c r="Q392" s="56">
        <v>225</v>
      </c>
      <c r="R392" s="16">
        <f t="shared" si="55"/>
        <v>21292</v>
      </c>
      <c r="T392" s="144">
        <f t="shared" si="54"/>
        <v>39590</v>
      </c>
      <c r="U392" s="154">
        <f>'copy data3'!B446</f>
        <v>891</v>
      </c>
      <c r="V392" s="38">
        <f t="shared" si="56"/>
        <v>1355</v>
      </c>
      <c r="W392" s="71">
        <f t="shared" si="57"/>
        <v>241.96428571428572</v>
      </c>
      <c r="X392" s="154">
        <f>'copy data3'!D446</f>
        <v>603</v>
      </c>
      <c r="Y392" s="38">
        <f t="shared" si="58"/>
        <v>695.25</v>
      </c>
      <c r="Z392" s="71">
        <f t="shared" si="59"/>
        <v>239.74137931034485</v>
      </c>
      <c r="AA392" s="152">
        <f>'copy data3'!F446</f>
        <v>387</v>
      </c>
      <c r="AB392" s="38">
        <f t="shared" si="60"/>
        <v>529.5</v>
      </c>
      <c r="AC392" s="71">
        <f t="shared" si="61"/>
        <v>141.19999999999999</v>
      </c>
      <c r="AD392" s="152">
        <f>'copy data3'!H446</f>
        <v>137</v>
      </c>
      <c r="AE392" s="38">
        <f t="shared" si="62"/>
        <v>190.75</v>
      </c>
      <c r="AF392" s="71">
        <f t="shared" si="63"/>
        <v>114.22155688622755</v>
      </c>
      <c r="AG392" s="152">
        <f>'copy data3'!J446</f>
        <v>26</v>
      </c>
      <c r="AH392" s="38">
        <f t="shared" si="64"/>
        <v>38.5</v>
      </c>
      <c r="AI392" s="71">
        <f t="shared" si="65"/>
        <v>142.59259259259258</v>
      </c>
      <c r="AJ392" s="152">
        <f>'copy data3'!L446</f>
        <v>2044</v>
      </c>
      <c r="AK392" s="38">
        <f t="shared" si="66"/>
        <v>2809</v>
      </c>
      <c r="AL392" s="71">
        <f t="shared" si="67"/>
        <v>197.95630725863285</v>
      </c>
      <c r="AM392" s="152">
        <f>'copy data3'!N446</f>
        <v>12180</v>
      </c>
      <c r="AN392" s="38">
        <f t="shared" si="68"/>
        <v>12856.75</v>
      </c>
      <c r="AO392" s="71">
        <f t="shared" si="69"/>
        <v>138.72194648252051</v>
      </c>
      <c r="AP392" s="152">
        <f>'copy data3'!P446</f>
        <v>3575</v>
      </c>
      <c r="AQ392" s="38">
        <f t="shared" si="70"/>
        <v>3695.25</v>
      </c>
      <c r="AR392" s="71">
        <f t="shared" si="71"/>
        <v>158.45840480274441</v>
      </c>
      <c r="AS392" s="153">
        <f>'copy data3'!R446</f>
        <v>17799</v>
      </c>
      <c r="AT392" s="38">
        <f t="shared" si="53"/>
        <v>19361</v>
      </c>
      <c r="AU392" s="71">
        <f t="shared" si="72"/>
        <v>148.71341884937399</v>
      </c>
    </row>
    <row r="393" spans="1:47" ht="15.6" x14ac:dyDescent="0.3">
      <c r="A393" s="55">
        <v>38239</v>
      </c>
      <c r="B393" s="56">
        <v>1702</v>
      </c>
      <c r="C393" s="56">
        <v>2975</v>
      </c>
      <c r="D393" s="56">
        <v>932</v>
      </c>
      <c r="E393" s="56">
        <v>1317</v>
      </c>
      <c r="F393" s="56">
        <v>1321</v>
      </c>
      <c r="G393" s="56">
        <v>2225</v>
      </c>
      <c r="H393" s="56">
        <v>1196</v>
      </c>
      <c r="I393" s="56">
        <v>1229</v>
      </c>
      <c r="J393" s="56">
        <v>79</v>
      </c>
      <c r="K393" s="56">
        <v>188</v>
      </c>
      <c r="L393" s="56">
        <v>5230</v>
      </c>
      <c r="M393" s="56">
        <v>7933</v>
      </c>
      <c r="N393" s="56">
        <v>7431</v>
      </c>
      <c r="O393" s="56">
        <v>943</v>
      </c>
      <c r="P393" s="56">
        <v>6305</v>
      </c>
      <c r="Q393" s="56">
        <v>370</v>
      </c>
      <c r="R393" s="16">
        <f t="shared" si="55"/>
        <v>18966</v>
      </c>
      <c r="T393" s="144">
        <f t="shared" si="54"/>
        <v>39597</v>
      </c>
      <c r="U393" s="154">
        <f>'copy data3'!B447</f>
        <v>697</v>
      </c>
      <c r="V393" s="38">
        <f t="shared" si="56"/>
        <v>1108.5</v>
      </c>
      <c r="W393" s="71">
        <f t="shared" si="57"/>
        <v>306.21546961325964</v>
      </c>
      <c r="X393" s="154">
        <f>'copy data3'!D447</f>
        <v>525</v>
      </c>
      <c r="Y393" s="38">
        <f t="shared" si="58"/>
        <v>640.75</v>
      </c>
      <c r="Z393" s="71">
        <f t="shared" si="59"/>
        <v>296.64351851851853</v>
      </c>
      <c r="AA393" s="152">
        <f>'copy data3'!F447</f>
        <v>271</v>
      </c>
      <c r="AB393" s="38">
        <f t="shared" si="60"/>
        <v>419.25</v>
      </c>
      <c r="AC393" s="71">
        <f t="shared" si="61"/>
        <v>245.17543859649123</v>
      </c>
      <c r="AD393" s="152">
        <f>'copy data3'!H447</f>
        <v>103</v>
      </c>
      <c r="AE393" s="38">
        <f t="shared" si="62"/>
        <v>152.25</v>
      </c>
      <c r="AF393" s="71">
        <f t="shared" si="63"/>
        <v>115.34090909090908</v>
      </c>
      <c r="AG393" s="152">
        <f>'copy data3'!J447</f>
        <v>22</v>
      </c>
      <c r="AH393" s="38">
        <f t="shared" si="64"/>
        <v>28</v>
      </c>
      <c r="AI393" s="71">
        <f t="shared" si="65"/>
        <v>466.66666666666669</v>
      </c>
      <c r="AJ393" s="152">
        <f>'copy data3'!L447</f>
        <v>1614</v>
      </c>
      <c r="AK393" s="38">
        <f t="shared" si="66"/>
        <v>2347.5</v>
      </c>
      <c r="AL393" s="71">
        <f t="shared" si="67"/>
        <v>264.9548532731377</v>
      </c>
      <c r="AM393" s="152">
        <f>'copy data3'!N447</f>
        <v>11725</v>
      </c>
      <c r="AN393" s="38">
        <f t="shared" si="68"/>
        <v>12423</v>
      </c>
      <c r="AO393" s="71">
        <f t="shared" si="69"/>
        <v>143.75144642443877</v>
      </c>
      <c r="AP393" s="152">
        <f>'copy data3'!P447</f>
        <v>3591</v>
      </c>
      <c r="AQ393" s="38">
        <f t="shared" si="70"/>
        <v>3620.75</v>
      </c>
      <c r="AR393" s="71">
        <f t="shared" si="71"/>
        <v>151.36914715719064</v>
      </c>
      <c r="AS393" s="153">
        <f>'copy data3'!R447</f>
        <v>16930</v>
      </c>
      <c r="AT393" s="38">
        <f t="shared" ref="AT393:AT456" si="73">AVERAGE(AS390:AS393)</f>
        <v>18391.25</v>
      </c>
      <c r="AU393" s="71">
        <f t="shared" si="72"/>
        <v>154.28901006711408</v>
      </c>
    </row>
    <row r="394" spans="1:47" ht="15.6" x14ac:dyDescent="0.3">
      <c r="A394" s="55">
        <v>37882</v>
      </c>
      <c r="B394" s="56">
        <v>2201</v>
      </c>
      <c r="C394" s="56">
        <v>3714</v>
      </c>
      <c r="D394" s="56">
        <v>539</v>
      </c>
      <c r="E394" s="56">
        <v>1331</v>
      </c>
      <c r="F394" s="56">
        <v>1177</v>
      </c>
      <c r="G394" s="56">
        <v>2040</v>
      </c>
      <c r="H394" s="56">
        <v>893</v>
      </c>
      <c r="I394" s="56">
        <v>1176</v>
      </c>
      <c r="J394" s="56">
        <v>173</v>
      </c>
      <c r="K394" s="56">
        <v>298</v>
      </c>
      <c r="L394" s="56">
        <v>4983</v>
      </c>
      <c r="M394" s="56">
        <v>8560</v>
      </c>
      <c r="N394" s="56">
        <v>8252</v>
      </c>
      <c r="O394" s="56">
        <v>2127</v>
      </c>
      <c r="P394" s="56">
        <v>9078</v>
      </c>
      <c r="Q394" s="56">
        <v>368</v>
      </c>
      <c r="R394" s="16">
        <f t="shared" si="55"/>
        <v>22313</v>
      </c>
      <c r="T394" s="144">
        <f t="shared" ref="T394:T457" si="74">T393+7</f>
        <v>39604</v>
      </c>
      <c r="U394" s="154">
        <f>'copy data3'!B448</f>
        <v>3458</v>
      </c>
      <c r="V394" s="38">
        <f t="shared" si="56"/>
        <v>1602</v>
      </c>
      <c r="W394" s="71">
        <f t="shared" si="57"/>
        <v>100.43887147335424</v>
      </c>
      <c r="X394" s="154">
        <f>'copy data3'!D448</f>
        <v>1544</v>
      </c>
      <c r="Y394" s="38">
        <f t="shared" si="58"/>
        <v>848</v>
      </c>
      <c r="Z394" s="71">
        <f t="shared" si="59"/>
        <v>82.090997095837366</v>
      </c>
      <c r="AA394" s="152">
        <f>'copy data3'!F448</f>
        <v>1129</v>
      </c>
      <c r="AB394" s="38">
        <f t="shared" si="60"/>
        <v>568</v>
      </c>
      <c r="AC394" s="71">
        <f t="shared" si="61"/>
        <v>61.605206073752719</v>
      </c>
      <c r="AD394" s="152">
        <f>'copy data3'!H448</f>
        <v>812</v>
      </c>
      <c r="AE394" s="38">
        <f t="shared" si="62"/>
        <v>303</v>
      </c>
      <c r="AF394" s="71">
        <f t="shared" si="63"/>
        <v>42.200557103064071</v>
      </c>
      <c r="AG394" s="152">
        <f>'copy data3'!J448</f>
        <v>235</v>
      </c>
      <c r="AH394" s="38">
        <f t="shared" si="64"/>
        <v>77.25</v>
      </c>
      <c r="AI394" s="71">
        <f t="shared" si="65"/>
        <v>36.961722488038276</v>
      </c>
      <c r="AJ394" s="152">
        <f>'copy data3'!L448</f>
        <v>7177</v>
      </c>
      <c r="AK394" s="38">
        <f t="shared" si="66"/>
        <v>3396.75</v>
      </c>
      <c r="AL394" s="71">
        <f t="shared" si="67"/>
        <v>75.888069705093827</v>
      </c>
      <c r="AM394" s="152">
        <f>'copy data3'!N448</f>
        <v>11085</v>
      </c>
      <c r="AN394" s="38">
        <f t="shared" si="68"/>
        <v>11941.25</v>
      </c>
      <c r="AO394" s="71">
        <f t="shared" si="69"/>
        <v>143.12897039434256</v>
      </c>
      <c r="AP394" s="152">
        <f>'copy data3'!P448</f>
        <v>3658</v>
      </c>
      <c r="AQ394" s="38">
        <f t="shared" si="70"/>
        <v>3634.5</v>
      </c>
      <c r="AR394" s="71">
        <f t="shared" si="71"/>
        <v>160.67639257294431</v>
      </c>
      <c r="AS394" s="153">
        <f>'copy data3'!R448</f>
        <v>21920</v>
      </c>
      <c r="AT394" s="38">
        <f t="shared" si="73"/>
        <v>18972.5</v>
      </c>
      <c r="AU394" s="71">
        <f t="shared" si="72"/>
        <v>125.80399177773359</v>
      </c>
    </row>
    <row r="395" spans="1:47" ht="15.6" x14ac:dyDescent="0.3">
      <c r="A395" s="55">
        <v>38246</v>
      </c>
      <c r="B395" s="56">
        <v>1665</v>
      </c>
      <c r="C395" s="56">
        <v>3129</v>
      </c>
      <c r="D395" s="56">
        <v>875</v>
      </c>
      <c r="E395" s="56">
        <v>1416</v>
      </c>
      <c r="F395" s="56">
        <v>1235</v>
      </c>
      <c r="G395" s="56">
        <v>2464</v>
      </c>
      <c r="H395" s="56">
        <v>1109</v>
      </c>
      <c r="I395" s="56">
        <v>1412</v>
      </c>
      <c r="J395" s="56">
        <v>84</v>
      </c>
      <c r="K395" s="56">
        <v>188</v>
      </c>
      <c r="L395" s="56">
        <v>4968</v>
      </c>
      <c r="M395" s="56">
        <v>8609</v>
      </c>
      <c r="N395" s="56">
        <v>7896</v>
      </c>
      <c r="O395" s="56">
        <v>1656</v>
      </c>
      <c r="P395" s="56">
        <v>7215</v>
      </c>
      <c r="Q395" s="56">
        <v>463</v>
      </c>
      <c r="R395" s="16">
        <f t="shared" si="55"/>
        <v>20079</v>
      </c>
      <c r="T395" s="144">
        <f t="shared" si="74"/>
        <v>39611</v>
      </c>
      <c r="U395" s="154">
        <f>'copy data3'!B449</f>
        <v>3481</v>
      </c>
      <c r="V395" s="38">
        <f t="shared" si="56"/>
        <v>2131.75</v>
      </c>
      <c r="W395" s="71">
        <f t="shared" si="57"/>
        <v>136.65064102564102</v>
      </c>
      <c r="X395" s="154">
        <f>'copy data3'!D449</f>
        <v>1577</v>
      </c>
      <c r="Y395" s="38">
        <f t="shared" si="58"/>
        <v>1062.25</v>
      </c>
      <c r="Z395" s="71">
        <f t="shared" si="59"/>
        <v>96.568181818181813</v>
      </c>
      <c r="AA395" s="152">
        <f>'copy data3'!F449</f>
        <v>1194</v>
      </c>
      <c r="AB395" s="38">
        <f t="shared" si="60"/>
        <v>745.25</v>
      </c>
      <c r="AC395" s="71">
        <f t="shared" si="61"/>
        <v>72.849462365591393</v>
      </c>
      <c r="AD395" s="152">
        <f>'copy data3'!H449</f>
        <v>855</v>
      </c>
      <c r="AE395" s="38">
        <f t="shared" si="62"/>
        <v>476.75</v>
      </c>
      <c r="AF395" s="71">
        <f t="shared" si="63"/>
        <v>63.229442970822284</v>
      </c>
      <c r="AG395" s="152">
        <f>'copy data3'!J449</f>
        <v>235</v>
      </c>
      <c r="AH395" s="38">
        <f t="shared" si="64"/>
        <v>129.5</v>
      </c>
      <c r="AI395" s="71">
        <f t="shared" si="65"/>
        <v>61.961722488038276</v>
      </c>
      <c r="AJ395" s="152">
        <f>'copy data3'!L449</f>
        <v>7342</v>
      </c>
      <c r="AK395" s="38">
        <f t="shared" si="66"/>
        <v>4544.25</v>
      </c>
      <c r="AL395" s="71">
        <f t="shared" si="67"/>
        <v>97.809944037882047</v>
      </c>
      <c r="AM395" s="152">
        <f>'copy data3'!N449</f>
        <v>10341</v>
      </c>
      <c r="AN395" s="38">
        <f t="shared" si="68"/>
        <v>11332.75</v>
      </c>
      <c r="AO395" s="71">
        <f t="shared" si="69"/>
        <v>136.96821368141167</v>
      </c>
      <c r="AP395" s="152">
        <f>'copy data3'!P449</f>
        <v>3473</v>
      </c>
      <c r="AQ395" s="38">
        <f t="shared" si="70"/>
        <v>3574.25</v>
      </c>
      <c r="AR395" s="71">
        <f t="shared" si="71"/>
        <v>145.64995925020375</v>
      </c>
      <c r="AS395" s="153">
        <f>'copy data3'!R449</f>
        <v>21156</v>
      </c>
      <c r="AT395" s="38">
        <f t="shared" si="73"/>
        <v>19451.25</v>
      </c>
      <c r="AU395" s="71">
        <f t="shared" si="72"/>
        <v>126.52042409262391</v>
      </c>
    </row>
    <row r="396" spans="1:47" ht="15.6" x14ac:dyDescent="0.3">
      <c r="A396" s="55">
        <v>37889</v>
      </c>
      <c r="B396" s="56">
        <v>2244</v>
      </c>
      <c r="C396" s="56">
        <v>3979</v>
      </c>
      <c r="D396" s="56">
        <v>497</v>
      </c>
      <c r="E396" s="56">
        <v>1375</v>
      </c>
      <c r="F396" s="56">
        <v>1127</v>
      </c>
      <c r="G396" s="56">
        <v>2253</v>
      </c>
      <c r="H396" s="56">
        <v>1020</v>
      </c>
      <c r="I396" s="56">
        <v>1212</v>
      </c>
      <c r="J396" s="56">
        <v>196</v>
      </c>
      <c r="K396" s="56">
        <v>402</v>
      </c>
      <c r="L396" s="56">
        <v>5085</v>
      </c>
      <c r="M396" s="56">
        <v>9221</v>
      </c>
      <c r="N396" s="56">
        <v>8274</v>
      </c>
      <c r="O396" s="56">
        <v>3021</v>
      </c>
      <c r="P396" s="56">
        <v>9579</v>
      </c>
      <c r="Q396" s="56">
        <v>568</v>
      </c>
      <c r="R396" s="16">
        <f t="shared" si="55"/>
        <v>22938</v>
      </c>
      <c r="T396" s="144">
        <f t="shared" si="74"/>
        <v>39618</v>
      </c>
      <c r="U396" s="154">
        <f>'copy data3'!B450</f>
        <v>3379</v>
      </c>
      <c r="V396" s="38">
        <f t="shared" si="56"/>
        <v>2753.75</v>
      </c>
      <c r="W396" s="71">
        <f t="shared" si="57"/>
        <v>175.17493638676845</v>
      </c>
      <c r="X396" s="154">
        <f>'copy data3'!D450</f>
        <v>1593</v>
      </c>
      <c r="Y396" s="38">
        <f t="shared" si="58"/>
        <v>1309.75</v>
      </c>
      <c r="Z396" s="71">
        <f t="shared" si="59"/>
        <v>132.96954314720813</v>
      </c>
      <c r="AA396" s="152">
        <f>'copy data3'!F450</f>
        <v>1261</v>
      </c>
      <c r="AB396" s="38">
        <f t="shared" si="60"/>
        <v>963.75</v>
      </c>
      <c r="AC396" s="71">
        <f t="shared" si="61"/>
        <v>72.735849056603769</v>
      </c>
      <c r="AD396" s="152">
        <f>'copy data3'!H450</f>
        <v>867</v>
      </c>
      <c r="AE396" s="38">
        <f t="shared" si="62"/>
        <v>659.25</v>
      </c>
      <c r="AF396" s="71">
        <f t="shared" si="63"/>
        <v>91.689847009735743</v>
      </c>
      <c r="AG396" s="152">
        <f>'copy data3'!J450</f>
        <v>236</v>
      </c>
      <c r="AH396" s="38">
        <f t="shared" si="64"/>
        <v>182</v>
      </c>
      <c r="AI396" s="71">
        <f t="shared" si="65"/>
        <v>80.888888888888886</v>
      </c>
      <c r="AJ396" s="152">
        <f>'copy data3'!L450</f>
        <v>7336</v>
      </c>
      <c r="AK396" s="38">
        <f t="shared" si="66"/>
        <v>5867.25</v>
      </c>
      <c r="AL396" s="71">
        <f t="shared" si="67"/>
        <v>121.60103626943007</v>
      </c>
      <c r="AM396" s="152">
        <f>'copy data3'!N450</f>
        <v>9588</v>
      </c>
      <c r="AN396" s="38">
        <f t="shared" si="68"/>
        <v>10684.75</v>
      </c>
      <c r="AO396" s="71">
        <f t="shared" si="69"/>
        <v>130.76428833680086</v>
      </c>
      <c r="AP396" s="152">
        <f>'copy data3'!P450</f>
        <v>2877</v>
      </c>
      <c r="AQ396" s="38">
        <f t="shared" si="70"/>
        <v>3399.75</v>
      </c>
      <c r="AR396" s="71">
        <f t="shared" si="71"/>
        <v>148.98115687992987</v>
      </c>
      <c r="AS396" s="153">
        <f>'copy data3'!R450</f>
        <v>19801</v>
      </c>
      <c r="AT396" s="38">
        <f t="shared" si="73"/>
        <v>19951.75</v>
      </c>
      <c r="AU396" s="71">
        <f t="shared" si="72"/>
        <v>130.59137321638957</v>
      </c>
    </row>
    <row r="397" spans="1:47" ht="15.6" x14ac:dyDescent="0.3">
      <c r="A397" s="55">
        <v>38253</v>
      </c>
      <c r="B397" s="56">
        <v>1659</v>
      </c>
      <c r="C397" s="56">
        <v>3345</v>
      </c>
      <c r="D397" s="56">
        <v>766</v>
      </c>
      <c r="E397" s="56">
        <v>1548</v>
      </c>
      <c r="F397" s="56">
        <v>1205</v>
      </c>
      <c r="G397" s="56">
        <v>2617</v>
      </c>
      <c r="H397" s="56">
        <v>1010</v>
      </c>
      <c r="I397" s="56">
        <v>1624</v>
      </c>
      <c r="J397" s="56">
        <v>76</v>
      </c>
      <c r="K397" s="56">
        <v>197</v>
      </c>
      <c r="L397" s="56">
        <v>4717</v>
      </c>
      <c r="M397" s="56">
        <v>9330</v>
      </c>
      <c r="N397" s="56">
        <v>7798</v>
      </c>
      <c r="O397" s="56">
        <v>2638</v>
      </c>
      <c r="P397" s="56">
        <v>7639</v>
      </c>
      <c r="Q397" s="56">
        <v>795</v>
      </c>
      <c r="R397" s="16">
        <f t="shared" si="55"/>
        <v>20154</v>
      </c>
      <c r="S397" s="12">
        <f>+A789</f>
        <v>39625</v>
      </c>
      <c r="T397" s="144">
        <f t="shared" si="74"/>
        <v>39625</v>
      </c>
      <c r="U397" s="154">
        <f>'copy data3'!B451</f>
        <v>3519.7</v>
      </c>
      <c r="V397" s="38">
        <f t="shared" si="56"/>
        <v>3459.4250000000002</v>
      </c>
      <c r="W397" s="71">
        <f t="shared" si="57"/>
        <v>212.88769230769233</v>
      </c>
      <c r="X397" s="154">
        <f>'copy data3'!D451</f>
        <v>1548.3</v>
      </c>
      <c r="Y397" s="38">
        <f t="shared" si="58"/>
        <v>1565.575</v>
      </c>
      <c r="Z397" s="71">
        <f t="shared" si="59"/>
        <v>169.25135135135136</v>
      </c>
      <c r="AA397" s="152">
        <f>'copy data3'!F451</f>
        <v>1345</v>
      </c>
      <c r="AB397" s="38">
        <f t="shared" si="60"/>
        <v>1232.25</v>
      </c>
      <c r="AC397" s="71">
        <f t="shared" si="61"/>
        <v>99.055466237942127</v>
      </c>
      <c r="AD397" s="152">
        <f>'copy data3'!H451</f>
        <v>917.9</v>
      </c>
      <c r="AE397" s="38">
        <f t="shared" si="62"/>
        <v>862.97500000000002</v>
      </c>
      <c r="AF397" s="71">
        <f t="shared" si="63"/>
        <v>113.69894598155467</v>
      </c>
      <c r="AG397" s="152">
        <f>'copy data3'!J451</f>
        <v>236.5</v>
      </c>
      <c r="AH397" s="38">
        <f t="shared" si="64"/>
        <v>235.625</v>
      </c>
      <c r="AI397" s="71">
        <f t="shared" si="65"/>
        <v>107.59132420091323</v>
      </c>
      <c r="AJ397" s="152">
        <f>'copy data3'!L451</f>
        <v>7567.4</v>
      </c>
      <c r="AK397" s="38">
        <f t="shared" si="66"/>
        <v>7355.6</v>
      </c>
      <c r="AL397" s="71">
        <f t="shared" si="67"/>
        <v>154.10852713178295</v>
      </c>
      <c r="AM397" s="152">
        <f>'copy data3'!N451</f>
        <v>8724.4</v>
      </c>
      <c r="AN397" s="38">
        <f t="shared" si="68"/>
        <v>9934.6</v>
      </c>
      <c r="AO397" s="71">
        <f t="shared" si="69"/>
        <v>118.57961327285749</v>
      </c>
      <c r="AP397" s="152">
        <f>'copy data3'!P451</f>
        <v>2786.9</v>
      </c>
      <c r="AQ397" s="38">
        <f t="shared" si="70"/>
        <v>3198.7249999999999</v>
      </c>
      <c r="AR397" s="71">
        <f t="shared" si="71"/>
        <v>146.060502283105</v>
      </c>
      <c r="AS397" s="153">
        <f>'copy data3'!R451</f>
        <v>19078.7</v>
      </c>
      <c r="AT397" s="38">
        <f t="shared" si="73"/>
        <v>20488.924999999999</v>
      </c>
      <c r="AU397" s="71">
        <f t="shared" si="72"/>
        <v>133.55664559024837</v>
      </c>
    </row>
    <row r="398" spans="1:47" ht="15.6" x14ac:dyDescent="0.3">
      <c r="A398" s="55">
        <v>37896</v>
      </c>
      <c r="B398" s="56">
        <v>2196</v>
      </c>
      <c r="C398" s="56">
        <v>4287</v>
      </c>
      <c r="D398" s="56">
        <v>428</v>
      </c>
      <c r="E398" s="56">
        <v>1441</v>
      </c>
      <c r="F398" s="56">
        <v>1044</v>
      </c>
      <c r="G398" s="56">
        <v>2413</v>
      </c>
      <c r="H398" s="56">
        <v>875</v>
      </c>
      <c r="I398" s="56">
        <v>1341</v>
      </c>
      <c r="J398" s="56">
        <v>204</v>
      </c>
      <c r="K398" s="56">
        <v>426</v>
      </c>
      <c r="L398" s="56">
        <v>4748</v>
      </c>
      <c r="M398" s="56">
        <v>9907</v>
      </c>
      <c r="N398" s="56">
        <v>8451</v>
      </c>
      <c r="O398" s="56">
        <v>3800</v>
      </c>
      <c r="P398" s="56">
        <v>9814</v>
      </c>
      <c r="Q398" s="56">
        <v>806</v>
      </c>
      <c r="R398" s="16">
        <f t="shared" si="55"/>
        <v>23013</v>
      </c>
      <c r="T398" s="144">
        <f t="shared" si="74"/>
        <v>39632</v>
      </c>
      <c r="U398" s="154">
        <f>'copy data3'!B452</f>
        <v>3542</v>
      </c>
      <c r="V398" s="38">
        <f t="shared" si="56"/>
        <v>3480.4250000000002</v>
      </c>
      <c r="W398" s="71">
        <f t="shared" si="57"/>
        <v>188.94815418023887</v>
      </c>
      <c r="X398" s="154">
        <f>'copy data3'!D452</f>
        <v>1521</v>
      </c>
      <c r="Y398" s="38">
        <f t="shared" si="58"/>
        <v>1559.825</v>
      </c>
      <c r="Z398" s="71">
        <f t="shared" si="59"/>
        <v>129.44605809128632</v>
      </c>
      <c r="AA398" s="152">
        <f>'copy data3'!F452</f>
        <v>1393</v>
      </c>
      <c r="AB398" s="38">
        <f t="shared" si="60"/>
        <v>1298.25</v>
      </c>
      <c r="AC398" s="71">
        <f t="shared" si="61"/>
        <v>93.399280575539564</v>
      </c>
      <c r="AD398" s="152">
        <f>'copy data3'!H452</f>
        <v>920</v>
      </c>
      <c r="AE398" s="38">
        <f t="shared" si="62"/>
        <v>889.97500000000002</v>
      </c>
      <c r="AF398" s="71">
        <f t="shared" si="63"/>
        <v>93.780295047418335</v>
      </c>
      <c r="AG398" s="152">
        <f>'copy data3'!J452</f>
        <v>236.5</v>
      </c>
      <c r="AH398" s="38">
        <f t="shared" si="64"/>
        <v>236</v>
      </c>
      <c r="AI398" s="71">
        <f t="shared" si="65"/>
        <v>95.161290322580655</v>
      </c>
      <c r="AJ398" s="152">
        <f>'copy data3'!L452</f>
        <v>7612</v>
      </c>
      <c r="AK398" s="38">
        <f t="shared" si="66"/>
        <v>7464.35</v>
      </c>
      <c r="AL398" s="71">
        <f t="shared" si="67"/>
        <v>132.5110953310847</v>
      </c>
      <c r="AM398" s="152">
        <f>'copy data3'!N452</f>
        <v>8131</v>
      </c>
      <c r="AN398" s="38">
        <f t="shared" si="68"/>
        <v>9196.1</v>
      </c>
      <c r="AO398" s="71">
        <f t="shared" si="69"/>
        <v>107.26816750262454</v>
      </c>
      <c r="AP398" s="152">
        <f>'copy data3'!P452</f>
        <v>2550</v>
      </c>
      <c r="AQ398" s="38">
        <f t="shared" si="70"/>
        <v>2921.7249999999999</v>
      </c>
      <c r="AR398" s="71">
        <f t="shared" si="71"/>
        <v>136.08407079646017</v>
      </c>
      <c r="AS398" s="153">
        <f>'copy data3'!R452</f>
        <v>18293</v>
      </c>
      <c r="AT398" s="38">
        <f t="shared" si="73"/>
        <v>19582.174999999999</v>
      </c>
      <c r="AU398" s="71">
        <f t="shared" si="72"/>
        <v>119.74668256589005</v>
      </c>
    </row>
    <row r="399" spans="1:47" ht="15.6" x14ac:dyDescent="0.3">
      <c r="A399" s="55">
        <v>38260</v>
      </c>
      <c r="B399" s="56">
        <v>1610</v>
      </c>
      <c r="C399" s="56">
        <v>3562</v>
      </c>
      <c r="D399" s="56">
        <v>679</v>
      </c>
      <c r="E399" s="56">
        <v>1684</v>
      </c>
      <c r="F399" s="56">
        <v>1359</v>
      </c>
      <c r="G399" s="56">
        <v>2851</v>
      </c>
      <c r="H399" s="56">
        <v>1065</v>
      </c>
      <c r="I399" s="56">
        <v>1723</v>
      </c>
      <c r="J399" s="56">
        <v>91</v>
      </c>
      <c r="K399" s="56">
        <v>228</v>
      </c>
      <c r="L399" s="56">
        <v>4803</v>
      </c>
      <c r="M399" s="56">
        <v>10048</v>
      </c>
      <c r="N399" s="56">
        <v>7397</v>
      </c>
      <c r="O399" s="56">
        <v>3818</v>
      </c>
      <c r="P399" s="56">
        <v>8207</v>
      </c>
      <c r="Q399" s="56">
        <v>1188</v>
      </c>
      <c r="R399" s="16">
        <f t="shared" si="55"/>
        <v>20407</v>
      </c>
      <c r="T399" s="144">
        <f t="shared" si="74"/>
        <v>39639</v>
      </c>
      <c r="U399" s="154">
        <f>'copy data3'!B453</f>
        <v>3529</v>
      </c>
      <c r="V399" s="38">
        <f t="shared" si="56"/>
        <v>3492.4250000000002</v>
      </c>
      <c r="W399" s="71">
        <f t="shared" si="57"/>
        <v>182.3720626631854</v>
      </c>
      <c r="X399" s="154">
        <f>'copy data3'!D453</f>
        <v>1520</v>
      </c>
      <c r="Y399" s="38">
        <f t="shared" si="58"/>
        <v>1545.575</v>
      </c>
      <c r="Z399" s="71">
        <f t="shared" si="59"/>
        <v>120.748046875</v>
      </c>
      <c r="AA399" s="152">
        <f>'copy data3'!F453</f>
        <v>1414</v>
      </c>
      <c r="AB399" s="38">
        <f t="shared" si="60"/>
        <v>1353.25</v>
      </c>
      <c r="AC399" s="71">
        <f t="shared" si="61"/>
        <v>90.518394648829442</v>
      </c>
      <c r="AD399" s="152">
        <f>'copy data3'!H453</f>
        <v>1017</v>
      </c>
      <c r="AE399" s="38">
        <f t="shared" si="62"/>
        <v>930.47500000000002</v>
      </c>
      <c r="AF399" s="71">
        <f t="shared" si="63"/>
        <v>96.924479166666671</v>
      </c>
      <c r="AG399" s="152">
        <f>'copy data3'!J453</f>
        <v>236.5</v>
      </c>
      <c r="AH399" s="38">
        <f t="shared" si="64"/>
        <v>236.375</v>
      </c>
      <c r="AI399" s="71">
        <f t="shared" si="65"/>
        <v>85.333935018050539</v>
      </c>
      <c r="AJ399" s="152">
        <f>'copy data3'!L453</f>
        <v>7716</v>
      </c>
      <c r="AK399" s="38">
        <f t="shared" si="66"/>
        <v>7557.85</v>
      </c>
      <c r="AL399" s="71">
        <f t="shared" si="67"/>
        <v>127.51560654631349</v>
      </c>
      <c r="AM399" s="152">
        <f>'copy data3'!N453</f>
        <v>7811</v>
      </c>
      <c r="AN399" s="38">
        <f t="shared" si="68"/>
        <v>8563.6</v>
      </c>
      <c r="AO399" s="71">
        <f t="shared" si="69"/>
        <v>106.49919164283051</v>
      </c>
      <c r="AP399" s="152">
        <f>'copy data3'!P453</f>
        <v>2360</v>
      </c>
      <c r="AQ399" s="38">
        <f t="shared" si="70"/>
        <v>2643.4749999999999</v>
      </c>
      <c r="AR399" s="71">
        <f t="shared" si="71"/>
        <v>131.84413965087282</v>
      </c>
      <c r="AS399" s="153">
        <f>'copy data3'!R453</f>
        <v>17887</v>
      </c>
      <c r="AT399" s="38">
        <f t="shared" si="73"/>
        <v>18764.924999999999</v>
      </c>
      <c r="AU399" s="71">
        <f t="shared" si="72"/>
        <v>117.47902710824516</v>
      </c>
    </row>
    <row r="400" spans="1:47" ht="15.6" x14ac:dyDescent="0.3">
      <c r="A400" s="55">
        <v>37903</v>
      </c>
      <c r="B400" s="56">
        <v>2161</v>
      </c>
      <c r="C400" s="56">
        <v>4462</v>
      </c>
      <c r="D400" s="56">
        <v>322</v>
      </c>
      <c r="E400" s="56">
        <v>1606</v>
      </c>
      <c r="F400" s="56">
        <v>1066</v>
      </c>
      <c r="G400" s="56">
        <v>2540</v>
      </c>
      <c r="H400" s="56">
        <v>816</v>
      </c>
      <c r="I400" s="56">
        <v>1452</v>
      </c>
      <c r="J400" s="56">
        <v>192</v>
      </c>
      <c r="K400" s="56">
        <v>463</v>
      </c>
      <c r="L400" s="56">
        <v>4556</v>
      </c>
      <c r="M400" s="56">
        <v>10522</v>
      </c>
      <c r="N400" s="56">
        <v>9229</v>
      </c>
      <c r="O400" s="56">
        <v>4661</v>
      </c>
      <c r="P400" s="56">
        <v>10333</v>
      </c>
      <c r="Q400" s="56">
        <v>1436</v>
      </c>
      <c r="R400" s="16">
        <f t="shared" ref="R400:R463" si="75">P400+N400+L400</f>
        <v>24118</v>
      </c>
      <c r="T400" s="144">
        <f t="shared" si="74"/>
        <v>39646</v>
      </c>
      <c r="U400" s="154">
        <f>'copy data3'!B454</f>
        <v>3378</v>
      </c>
      <c r="V400" s="38">
        <f t="shared" si="56"/>
        <v>3492.1750000000002</v>
      </c>
      <c r="W400" s="71">
        <f t="shared" si="57"/>
        <v>128.67262343404568</v>
      </c>
      <c r="X400" s="154">
        <f>'copy data3'!D454</f>
        <v>1333</v>
      </c>
      <c r="Y400" s="38">
        <f t="shared" si="58"/>
        <v>1480.575</v>
      </c>
      <c r="Z400" s="71">
        <f t="shared" si="59"/>
        <v>79.643625605164075</v>
      </c>
      <c r="AA400" s="152">
        <f>'copy data3'!F454</f>
        <v>1475</v>
      </c>
      <c r="AB400" s="38">
        <f t="shared" si="60"/>
        <v>1406.75</v>
      </c>
      <c r="AC400" s="71">
        <f t="shared" si="61"/>
        <v>88.642091997479525</v>
      </c>
      <c r="AD400" s="152">
        <f>'copy data3'!H454</f>
        <v>1094</v>
      </c>
      <c r="AE400" s="38">
        <f t="shared" si="62"/>
        <v>987.22500000000002</v>
      </c>
      <c r="AF400" s="71">
        <f t="shared" si="63"/>
        <v>104.13765822784811</v>
      </c>
      <c r="AG400" s="152">
        <f>'copy data3'!J454</f>
        <v>212</v>
      </c>
      <c r="AH400" s="38">
        <f t="shared" si="64"/>
        <v>230.375</v>
      </c>
      <c r="AI400" s="71">
        <f t="shared" si="65"/>
        <v>49.649784482758619</v>
      </c>
      <c r="AJ400" s="152">
        <f>'copy data3'!L454</f>
        <v>7491</v>
      </c>
      <c r="AK400" s="38">
        <f t="shared" si="66"/>
        <v>7596.6</v>
      </c>
      <c r="AL400" s="71">
        <f t="shared" si="67"/>
        <v>100.32488114104596</v>
      </c>
      <c r="AM400" s="152">
        <f>'copy data3'!N454</f>
        <v>7388</v>
      </c>
      <c r="AN400" s="38">
        <f t="shared" si="68"/>
        <v>8013.6</v>
      </c>
      <c r="AO400" s="71">
        <f t="shared" si="69"/>
        <v>106.28116710875332</v>
      </c>
      <c r="AP400" s="152">
        <f>'copy data3'!P454</f>
        <v>2343</v>
      </c>
      <c r="AQ400" s="38">
        <f t="shared" si="70"/>
        <v>2509.9749999999999</v>
      </c>
      <c r="AR400" s="71">
        <f t="shared" si="71"/>
        <v>118.45092024539876</v>
      </c>
      <c r="AS400" s="153">
        <f>'copy data3'!R454</f>
        <v>17222</v>
      </c>
      <c r="AT400" s="38">
        <f t="shared" si="73"/>
        <v>18120.174999999999</v>
      </c>
      <c r="AU400" s="71">
        <f t="shared" si="72"/>
        <v>105.16032151355115</v>
      </c>
    </row>
    <row r="401" spans="1:47" ht="15.6" x14ac:dyDescent="0.3">
      <c r="A401" s="55">
        <v>38267</v>
      </c>
      <c r="B401" s="56">
        <v>1775</v>
      </c>
      <c r="C401" s="56">
        <v>3683</v>
      </c>
      <c r="D401" s="56">
        <v>623</v>
      </c>
      <c r="E401" s="56">
        <v>1765</v>
      </c>
      <c r="F401" s="56">
        <v>1336</v>
      </c>
      <c r="G401" s="56">
        <v>3090</v>
      </c>
      <c r="H401" s="56">
        <v>1068</v>
      </c>
      <c r="I401" s="56">
        <v>1786</v>
      </c>
      <c r="J401" s="56">
        <v>69</v>
      </c>
      <c r="K401" s="56">
        <v>251</v>
      </c>
      <c r="L401" s="56">
        <v>4870</v>
      </c>
      <c r="M401" s="56">
        <v>10574</v>
      </c>
      <c r="N401" s="56">
        <v>7934</v>
      </c>
      <c r="O401" s="56">
        <v>4765</v>
      </c>
      <c r="P401" s="56">
        <v>8694</v>
      </c>
      <c r="Q401" s="56">
        <v>1681</v>
      </c>
      <c r="R401" s="16">
        <f t="shared" si="75"/>
        <v>21498</v>
      </c>
      <c r="T401" s="144">
        <f t="shared" si="74"/>
        <v>39653</v>
      </c>
      <c r="U401" s="154">
        <f>'copy data3'!B455</f>
        <v>3439</v>
      </c>
      <c r="V401" s="38">
        <f t="shared" si="56"/>
        <v>3472</v>
      </c>
      <c r="W401" s="71">
        <f t="shared" si="57"/>
        <v>97.336697504906084</v>
      </c>
      <c r="X401" s="154">
        <f>'copy data3'!D455</f>
        <v>1393</v>
      </c>
      <c r="Y401" s="38">
        <f t="shared" si="58"/>
        <v>1441.75</v>
      </c>
      <c r="Z401" s="71">
        <f t="shared" si="59"/>
        <v>74.702072538860094</v>
      </c>
      <c r="AA401" s="152">
        <f>'copy data3'!F455</f>
        <v>1509</v>
      </c>
      <c r="AB401" s="38">
        <f t="shared" si="60"/>
        <v>1447.75</v>
      </c>
      <c r="AC401" s="71">
        <f t="shared" si="61"/>
        <v>73.978027593254978</v>
      </c>
      <c r="AD401" s="152">
        <f>'copy data3'!H455</f>
        <v>1087</v>
      </c>
      <c r="AE401" s="38">
        <f t="shared" si="62"/>
        <v>1029.5</v>
      </c>
      <c r="AF401" s="71">
        <f t="shared" si="63"/>
        <v>105.69815195071868</v>
      </c>
      <c r="AG401" s="152">
        <f>'copy data3'!J455</f>
        <v>212</v>
      </c>
      <c r="AH401" s="38">
        <f t="shared" si="64"/>
        <v>224.25</v>
      </c>
      <c r="AI401" s="71">
        <f t="shared" si="65"/>
        <v>52.517564402810301</v>
      </c>
      <c r="AJ401" s="152">
        <f>'copy data3'!L455</f>
        <v>7640</v>
      </c>
      <c r="AK401" s="38">
        <f t="shared" si="66"/>
        <v>7614.75</v>
      </c>
      <c r="AL401" s="71">
        <f t="shared" si="67"/>
        <v>85.993788819875775</v>
      </c>
      <c r="AM401" s="152">
        <f>'copy data3'!N455</f>
        <v>6216</v>
      </c>
      <c r="AN401" s="38">
        <f t="shared" si="68"/>
        <v>7386.5</v>
      </c>
      <c r="AO401" s="71">
        <f t="shared" si="69"/>
        <v>101.60247592847318</v>
      </c>
      <c r="AP401" s="152">
        <f>'copy data3'!P455</f>
        <v>2233</v>
      </c>
      <c r="AQ401" s="38">
        <f t="shared" si="70"/>
        <v>2371.5</v>
      </c>
      <c r="AR401" s="71">
        <f t="shared" si="71"/>
        <v>110.35365286179619</v>
      </c>
      <c r="AS401" s="153">
        <f>'copy data3'!R455</f>
        <v>16089</v>
      </c>
      <c r="AT401" s="38">
        <f t="shared" si="73"/>
        <v>17372.75</v>
      </c>
      <c r="AU401" s="71">
        <f t="shared" si="72"/>
        <v>95.068129583014112</v>
      </c>
    </row>
    <row r="402" spans="1:47" ht="15.6" x14ac:dyDescent="0.3">
      <c r="A402" s="55">
        <v>37910</v>
      </c>
      <c r="B402" s="56">
        <v>2131</v>
      </c>
      <c r="C402" s="56">
        <v>4673</v>
      </c>
      <c r="D402" s="56">
        <v>458</v>
      </c>
      <c r="E402" s="56">
        <v>1628</v>
      </c>
      <c r="F402" s="56">
        <v>1047</v>
      </c>
      <c r="G402" s="56">
        <v>2737</v>
      </c>
      <c r="H402" s="56">
        <v>831</v>
      </c>
      <c r="I402" s="56">
        <v>1508</v>
      </c>
      <c r="J402" s="56">
        <v>143</v>
      </c>
      <c r="K402" s="56">
        <v>514</v>
      </c>
      <c r="L402" s="56">
        <v>4610</v>
      </c>
      <c r="M402" s="56">
        <v>11060</v>
      </c>
      <c r="N402" s="56">
        <v>9062</v>
      </c>
      <c r="O402" s="56">
        <v>5574</v>
      </c>
      <c r="P402" s="56">
        <v>10562</v>
      </c>
      <c r="Q402" s="56">
        <v>2195</v>
      </c>
      <c r="R402" s="16">
        <f t="shared" si="75"/>
        <v>24234</v>
      </c>
      <c r="T402" s="144">
        <f t="shared" si="74"/>
        <v>39660</v>
      </c>
      <c r="U402" s="154">
        <f>'copy data3'!B456</f>
        <v>3433</v>
      </c>
      <c r="V402" s="38">
        <f t="shared" si="56"/>
        <v>3444.75</v>
      </c>
      <c r="W402" s="71">
        <f t="shared" si="57"/>
        <v>93.811274509803923</v>
      </c>
      <c r="X402" s="154">
        <f>'copy data3'!D456</f>
        <v>1339</v>
      </c>
      <c r="Y402" s="38">
        <f t="shared" si="58"/>
        <v>1396.25</v>
      </c>
      <c r="Z402" s="71">
        <f t="shared" si="59"/>
        <v>77.526374236535261</v>
      </c>
      <c r="AA402" s="152">
        <f>'copy data3'!F456</f>
        <v>1467</v>
      </c>
      <c r="AB402" s="38">
        <f t="shared" si="60"/>
        <v>1466.25</v>
      </c>
      <c r="AC402" s="71">
        <f t="shared" si="61"/>
        <v>73.496240601503757</v>
      </c>
      <c r="AD402" s="152">
        <f>'copy data3'!H456</f>
        <v>1071</v>
      </c>
      <c r="AE402" s="38">
        <f t="shared" si="62"/>
        <v>1067.25</v>
      </c>
      <c r="AF402" s="71">
        <f t="shared" si="63"/>
        <v>107.36921529175049</v>
      </c>
      <c r="AG402" s="152">
        <f>'copy data3'!J456</f>
        <v>212</v>
      </c>
      <c r="AH402" s="38">
        <f t="shared" si="64"/>
        <v>218.125</v>
      </c>
      <c r="AI402" s="71">
        <f t="shared" si="65"/>
        <v>48.257743362831853</v>
      </c>
      <c r="AJ402" s="152">
        <f>'copy data3'!L456</f>
        <v>7522</v>
      </c>
      <c r="AK402" s="38">
        <f t="shared" si="66"/>
        <v>7592.25</v>
      </c>
      <c r="AL402" s="71">
        <f t="shared" si="67"/>
        <v>85.172201032084359</v>
      </c>
      <c r="AM402" s="152">
        <f>'copy data3'!N456</f>
        <v>5677</v>
      </c>
      <c r="AN402" s="38">
        <f t="shared" si="68"/>
        <v>6773</v>
      </c>
      <c r="AO402" s="71">
        <f t="shared" si="69"/>
        <v>98.962594973699595</v>
      </c>
      <c r="AP402" s="152">
        <f>'copy data3'!P456</f>
        <v>2223</v>
      </c>
      <c r="AQ402" s="38">
        <f t="shared" si="70"/>
        <v>2289.75</v>
      </c>
      <c r="AR402" s="71">
        <f t="shared" si="71"/>
        <v>123.56988667026442</v>
      </c>
      <c r="AS402" s="153">
        <f>'copy data3'!R456</f>
        <v>15422</v>
      </c>
      <c r="AT402" s="38">
        <f t="shared" si="73"/>
        <v>16655</v>
      </c>
      <c r="AU402" s="71">
        <f t="shared" si="72"/>
        <v>94.571574584066781</v>
      </c>
    </row>
    <row r="403" spans="1:47" ht="15.6" x14ac:dyDescent="0.3">
      <c r="A403" s="55">
        <v>38274</v>
      </c>
      <c r="B403" s="56">
        <v>1622</v>
      </c>
      <c r="C403" s="56">
        <v>3883</v>
      </c>
      <c r="D403" s="56">
        <v>612</v>
      </c>
      <c r="E403" s="56">
        <v>1847</v>
      </c>
      <c r="F403" s="56">
        <v>1329</v>
      </c>
      <c r="G403" s="56">
        <v>3242</v>
      </c>
      <c r="H403" s="56">
        <v>990</v>
      </c>
      <c r="I403" s="56">
        <v>1891</v>
      </c>
      <c r="J403" s="56">
        <v>96</v>
      </c>
      <c r="K403" s="56">
        <v>251</v>
      </c>
      <c r="L403" s="56">
        <v>4649</v>
      </c>
      <c r="M403" s="56">
        <v>11114</v>
      </c>
      <c r="N403" s="56">
        <v>8638</v>
      </c>
      <c r="O403" s="56">
        <v>5372</v>
      </c>
      <c r="P403" s="56">
        <v>8709</v>
      </c>
      <c r="Q403" s="56">
        <v>2654</v>
      </c>
      <c r="R403" s="16">
        <f t="shared" si="75"/>
        <v>21996</v>
      </c>
      <c r="T403" s="144">
        <f t="shared" si="74"/>
        <v>39667</v>
      </c>
      <c r="U403" s="154">
        <f>'copy data3'!B457</f>
        <v>3328</v>
      </c>
      <c r="V403" s="38">
        <f t="shared" si="56"/>
        <v>3394.5</v>
      </c>
      <c r="W403" s="71">
        <f t="shared" si="57"/>
        <v>89.611932418162624</v>
      </c>
      <c r="X403" s="154">
        <f>'copy data3'!D457</f>
        <v>1251</v>
      </c>
      <c r="Y403" s="38">
        <f t="shared" si="58"/>
        <v>1329</v>
      </c>
      <c r="Z403" s="71">
        <f t="shared" si="59"/>
        <v>76.86524002313476</v>
      </c>
      <c r="AA403" s="152">
        <f>'copy data3'!F457</f>
        <v>1579</v>
      </c>
      <c r="AB403" s="38">
        <f t="shared" si="60"/>
        <v>1507.5</v>
      </c>
      <c r="AC403" s="71">
        <f t="shared" si="61"/>
        <v>67.661579892280074</v>
      </c>
      <c r="AD403" s="152">
        <f>'copy data3'!H457</f>
        <v>1023</v>
      </c>
      <c r="AE403" s="38">
        <f t="shared" si="62"/>
        <v>1068.75</v>
      </c>
      <c r="AF403" s="71">
        <f t="shared" si="63"/>
        <v>90.880102040816325</v>
      </c>
      <c r="AG403" s="152">
        <f>'copy data3'!J457</f>
        <v>179</v>
      </c>
      <c r="AH403" s="38">
        <f t="shared" si="64"/>
        <v>203.75</v>
      </c>
      <c r="AI403" s="71">
        <f t="shared" si="65"/>
        <v>39.107485604606524</v>
      </c>
      <c r="AJ403" s="152">
        <f>'copy data3'!L457</f>
        <v>7359</v>
      </c>
      <c r="AK403" s="38">
        <f t="shared" si="66"/>
        <v>7503</v>
      </c>
      <c r="AL403" s="71">
        <f t="shared" si="67"/>
        <v>79.455681457164047</v>
      </c>
      <c r="AM403" s="152">
        <f>'copy data3'!N457</f>
        <v>5124</v>
      </c>
      <c r="AN403" s="38">
        <f t="shared" si="68"/>
        <v>6101.25</v>
      </c>
      <c r="AO403" s="71">
        <f t="shared" si="69"/>
        <v>111.15412643468756</v>
      </c>
      <c r="AP403" s="152">
        <f>'copy data3'!P457</f>
        <v>1889</v>
      </c>
      <c r="AQ403" s="38">
        <f t="shared" si="70"/>
        <v>2172</v>
      </c>
      <c r="AR403" s="71">
        <f t="shared" si="71"/>
        <v>113.42036553524804</v>
      </c>
      <c r="AS403" s="153">
        <f>'copy data3'!R457</f>
        <v>14372</v>
      </c>
      <c r="AT403" s="38">
        <f t="shared" si="73"/>
        <v>15776.25</v>
      </c>
      <c r="AU403" s="71">
        <f t="shared" si="72"/>
        <v>93.644269009319174</v>
      </c>
    </row>
    <row r="404" spans="1:47" ht="15.6" x14ac:dyDescent="0.3">
      <c r="A404" s="55">
        <v>37917</v>
      </c>
      <c r="B404" s="56">
        <v>2048</v>
      </c>
      <c r="C404" s="56">
        <v>4793</v>
      </c>
      <c r="D404" s="56">
        <v>353</v>
      </c>
      <c r="E404" s="56">
        <v>1715</v>
      </c>
      <c r="F404" s="56">
        <v>970</v>
      </c>
      <c r="G404" s="56">
        <v>2821</v>
      </c>
      <c r="H404" s="56">
        <v>571</v>
      </c>
      <c r="I404" s="56">
        <v>1759</v>
      </c>
      <c r="J404" s="56">
        <v>117</v>
      </c>
      <c r="K404" s="56">
        <v>541</v>
      </c>
      <c r="L404" s="56">
        <v>4059</v>
      </c>
      <c r="M404" s="56">
        <v>11628</v>
      </c>
      <c r="N404" s="56">
        <v>9634</v>
      </c>
      <c r="O404" s="56">
        <v>6476</v>
      </c>
      <c r="P404" s="56">
        <v>10867</v>
      </c>
      <c r="Q404" s="56">
        <v>3513</v>
      </c>
      <c r="R404" s="16">
        <f t="shared" si="75"/>
        <v>24560</v>
      </c>
      <c r="T404" s="144">
        <f t="shared" si="74"/>
        <v>39674</v>
      </c>
      <c r="U404" s="154">
        <f>'copy data3'!B458</f>
        <v>3350</v>
      </c>
      <c r="V404" s="38">
        <f t="shared" si="56"/>
        <v>3387.5</v>
      </c>
      <c r="W404" s="71">
        <f t="shared" si="57"/>
        <v>92.910038398244652</v>
      </c>
      <c r="X404" s="154">
        <f>'copy data3'!D458</f>
        <v>1180</v>
      </c>
      <c r="Y404" s="38">
        <f t="shared" si="58"/>
        <v>1290.75</v>
      </c>
      <c r="Z404" s="71">
        <f t="shared" si="59"/>
        <v>69.845779220779221</v>
      </c>
      <c r="AA404" s="152">
        <f>'copy data3'!F458</f>
        <v>1638</v>
      </c>
      <c r="AB404" s="38">
        <f t="shared" si="60"/>
        <v>1548.25</v>
      </c>
      <c r="AC404" s="71">
        <f t="shared" si="61"/>
        <v>69.490574506283664</v>
      </c>
      <c r="AD404" s="152">
        <f>'copy data3'!H458</f>
        <v>953</v>
      </c>
      <c r="AE404" s="38">
        <f t="shared" si="62"/>
        <v>1033.5</v>
      </c>
      <c r="AF404" s="71">
        <f t="shared" si="63"/>
        <v>91.622340425531917</v>
      </c>
      <c r="AG404" s="152">
        <f>'copy data3'!J458</f>
        <v>149</v>
      </c>
      <c r="AH404" s="38">
        <f t="shared" si="64"/>
        <v>188</v>
      </c>
      <c r="AI404" s="71">
        <f t="shared" si="65"/>
        <v>38.056680161943319</v>
      </c>
      <c r="AJ404" s="152">
        <f>'copy data3'!L458</f>
        <v>7270</v>
      </c>
      <c r="AK404" s="38">
        <f t="shared" si="66"/>
        <v>7447.75</v>
      </c>
      <c r="AL404" s="71">
        <f t="shared" si="67"/>
        <v>79.706228595890423</v>
      </c>
      <c r="AM404" s="152">
        <f>'copy data3'!N458</f>
        <v>4230</v>
      </c>
      <c r="AN404" s="38">
        <f t="shared" si="68"/>
        <v>5311.75</v>
      </c>
      <c r="AO404" s="71">
        <f t="shared" si="69"/>
        <v>113.57173401753261</v>
      </c>
      <c r="AP404" s="152">
        <f>'copy data3'!P458</f>
        <v>1642</v>
      </c>
      <c r="AQ404" s="38">
        <f t="shared" si="70"/>
        <v>1996.75</v>
      </c>
      <c r="AR404" s="71">
        <f t="shared" si="71"/>
        <v>121.01515151515152</v>
      </c>
      <c r="AS404" s="153">
        <f>'copy data3'!R458</f>
        <v>13142</v>
      </c>
      <c r="AT404" s="38">
        <f t="shared" si="73"/>
        <v>14756.25</v>
      </c>
      <c r="AU404" s="71">
        <f t="shared" si="72"/>
        <v>94.162784761661669</v>
      </c>
    </row>
    <row r="405" spans="1:47" ht="15.6" x14ac:dyDescent="0.3">
      <c r="A405" s="55">
        <v>38281</v>
      </c>
      <c r="B405" s="56">
        <v>1650</v>
      </c>
      <c r="C405" s="56">
        <v>3950</v>
      </c>
      <c r="D405" s="56">
        <v>519</v>
      </c>
      <c r="E405" s="56">
        <v>1942</v>
      </c>
      <c r="F405" s="56">
        <v>1371</v>
      </c>
      <c r="G405" s="56">
        <v>3354</v>
      </c>
      <c r="H405" s="56">
        <v>995</v>
      </c>
      <c r="I405" s="56">
        <v>2045</v>
      </c>
      <c r="J405" s="56">
        <v>105</v>
      </c>
      <c r="K405" s="56">
        <v>262</v>
      </c>
      <c r="L405" s="56">
        <v>4640</v>
      </c>
      <c r="M405" s="56">
        <v>11553</v>
      </c>
      <c r="N405" s="56">
        <v>8532</v>
      </c>
      <c r="O405" s="56">
        <v>6558</v>
      </c>
      <c r="P405" s="56">
        <v>8598</v>
      </c>
      <c r="Q405" s="56">
        <v>3690</v>
      </c>
      <c r="R405" s="16">
        <f t="shared" si="75"/>
        <v>21770</v>
      </c>
      <c r="T405" s="144">
        <f t="shared" si="74"/>
        <v>39681</v>
      </c>
      <c r="U405" s="154">
        <f>'copy data3'!B459</f>
        <v>3236</v>
      </c>
      <c r="V405" s="38">
        <f t="shared" si="56"/>
        <v>3336.75</v>
      </c>
      <c r="W405" s="71">
        <f t="shared" si="57"/>
        <v>89.12259615384616</v>
      </c>
      <c r="X405" s="154">
        <f>'copy data3'!D459</f>
        <v>1083</v>
      </c>
      <c r="Y405" s="38">
        <f t="shared" si="58"/>
        <v>1213.25</v>
      </c>
      <c r="Z405" s="71">
        <f t="shared" si="59"/>
        <v>61.774439918533609</v>
      </c>
      <c r="AA405" s="152">
        <f>'copy data3'!F459</f>
        <v>1546</v>
      </c>
      <c r="AB405" s="38">
        <f t="shared" si="60"/>
        <v>1557.5</v>
      </c>
      <c r="AC405" s="71">
        <f t="shared" si="61"/>
        <v>70.989061075660899</v>
      </c>
      <c r="AD405" s="152">
        <f>'copy data3'!H459</f>
        <v>905</v>
      </c>
      <c r="AE405" s="38">
        <f t="shared" si="62"/>
        <v>988</v>
      </c>
      <c r="AF405" s="71">
        <f t="shared" si="63"/>
        <v>81.383855024711693</v>
      </c>
      <c r="AG405" s="152">
        <f>'copy data3'!J459</f>
        <v>150</v>
      </c>
      <c r="AH405" s="38">
        <f t="shared" si="64"/>
        <v>172.5</v>
      </c>
      <c r="AI405" s="71">
        <f t="shared" si="65"/>
        <v>38.504464285714285</v>
      </c>
      <c r="AJ405" s="152">
        <f>'copy data3'!L459</f>
        <v>6919</v>
      </c>
      <c r="AK405" s="38">
        <f t="shared" si="66"/>
        <v>7267.5</v>
      </c>
      <c r="AL405" s="71">
        <f t="shared" si="67"/>
        <v>75.98808030112923</v>
      </c>
      <c r="AM405" s="152">
        <f>'copy data3'!N459</f>
        <v>3712</v>
      </c>
      <c r="AN405" s="38">
        <f t="shared" si="68"/>
        <v>4685.75</v>
      </c>
      <c r="AO405" s="71">
        <f t="shared" si="69"/>
        <v>130.74079241071428</v>
      </c>
      <c r="AP405" s="152">
        <f>'copy data3'!P459</f>
        <v>1225</v>
      </c>
      <c r="AQ405" s="38">
        <f t="shared" si="70"/>
        <v>1744.75</v>
      </c>
      <c r="AR405" s="71">
        <f t="shared" si="71"/>
        <v>140.02808988764045</v>
      </c>
      <c r="AS405" s="153">
        <f>'copy data3'!R459</f>
        <v>11856</v>
      </c>
      <c r="AT405" s="38">
        <f t="shared" si="73"/>
        <v>13698</v>
      </c>
      <c r="AU405" s="71">
        <f t="shared" si="72"/>
        <v>95.164651938307628</v>
      </c>
    </row>
    <row r="406" spans="1:47" ht="15.6" x14ac:dyDescent="0.3">
      <c r="A406" s="55">
        <v>37924</v>
      </c>
      <c r="B406" s="56">
        <v>2220</v>
      </c>
      <c r="C406" s="56">
        <v>5065</v>
      </c>
      <c r="D406" s="56">
        <v>550</v>
      </c>
      <c r="E406" s="56">
        <v>1771</v>
      </c>
      <c r="F406" s="56">
        <v>998</v>
      </c>
      <c r="G406" s="56">
        <v>2968</v>
      </c>
      <c r="H406" s="56">
        <v>576</v>
      </c>
      <c r="I406" s="56">
        <v>1827</v>
      </c>
      <c r="J406" s="56">
        <v>147</v>
      </c>
      <c r="K406" s="56">
        <v>541</v>
      </c>
      <c r="L406" s="56">
        <v>4490</v>
      </c>
      <c r="M406" s="56">
        <v>12172</v>
      </c>
      <c r="N406" s="56">
        <v>10207</v>
      </c>
      <c r="O406" s="56">
        <v>7346</v>
      </c>
      <c r="P406" s="56">
        <v>11392</v>
      </c>
      <c r="Q406" s="56">
        <v>4862</v>
      </c>
      <c r="R406" s="16">
        <f t="shared" si="75"/>
        <v>26089</v>
      </c>
      <c r="T406" s="144">
        <f t="shared" si="74"/>
        <v>39688</v>
      </c>
      <c r="U406" s="154">
        <f>'copy data3'!B460</f>
        <v>2880</v>
      </c>
      <c r="V406" s="38">
        <f t="shared" si="56"/>
        <v>3198.5</v>
      </c>
      <c r="W406" s="71">
        <f t="shared" si="57"/>
        <v>87.534209085933227</v>
      </c>
      <c r="X406" s="154">
        <f>'copy data3'!D460</f>
        <v>1031</v>
      </c>
      <c r="Y406" s="38">
        <f t="shared" si="58"/>
        <v>1136.25</v>
      </c>
      <c r="Z406" s="71">
        <f t="shared" si="59"/>
        <v>67.353289863663306</v>
      </c>
      <c r="AA406" s="152">
        <f>'copy data3'!F460</f>
        <v>1647</v>
      </c>
      <c r="AB406" s="38">
        <f t="shared" si="60"/>
        <v>1602.5</v>
      </c>
      <c r="AC406" s="71">
        <f t="shared" si="61"/>
        <v>74.465613382899633</v>
      </c>
      <c r="AD406" s="152">
        <f>'copy data3'!H460</f>
        <v>796</v>
      </c>
      <c r="AE406" s="38">
        <f t="shared" si="62"/>
        <v>919.25</v>
      </c>
      <c r="AF406" s="71">
        <f t="shared" si="63"/>
        <v>78.101104502973655</v>
      </c>
      <c r="AG406" s="152">
        <f>'copy data3'!J460</f>
        <v>149</v>
      </c>
      <c r="AH406" s="38">
        <f t="shared" si="64"/>
        <v>156.75</v>
      </c>
      <c r="AI406" s="71">
        <f t="shared" si="65"/>
        <v>34.526431718061673</v>
      </c>
      <c r="AJ406" s="152">
        <f>'copy data3'!L460</f>
        <v>6504</v>
      </c>
      <c r="AK406" s="38">
        <f t="shared" si="66"/>
        <v>7013</v>
      </c>
      <c r="AL406" s="71">
        <f t="shared" si="67"/>
        <v>76.863217886891704</v>
      </c>
      <c r="AM406" s="152">
        <f>'copy data3'!N460</f>
        <v>2861</v>
      </c>
      <c r="AN406" s="38">
        <f t="shared" si="68"/>
        <v>3981.75</v>
      </c>
      <c r="AO406" s="71">
        <f t="shared" si="69"/>
        <v>143.69361241429087</v>
      </c>
      <c r="AP406" s="152">
        <f>'copy data3'!P460</f>
        <v>923</v>
      </c>
      <c r="AQ406" s="38">
        <f t="shared" si="70"/>
        <v>1419.75</v>
      </c>
      <c r="AR406" s="71">
        <f t="shared" si="71"/>
        <v>143.40909090909091</v>
      </c>
      <c r="AS406" s="153">
        <f>'copy data3'!R460</f>
        <v>10288</v>
      </c>
      <c r="AT406" s="38">
        <f t="shared" si="73"/>
        <v>12414.5</v>
      </c>
      <c r="AU406" s="71">
        <f t="shared" si="72"/>
        <v>96.348467209934029</v>
      </c>
    </row>
    <row r="407" spans="1:47" ht="15.6" x14ac:dyDescent="0.3">
      <c r="A407" s="55">
        <v>38288</v>
      </c>
      <c r="B407" s="56">
        <v>1596</v>
      </c>
      <c r="C407" s="56">
        <v>4186</v>
      </c>
      <c r="D407" s="56">
        <v>506</v>
      </c>
      <c r="E407" s="56">
        <v>1968</v>
      </c>
      <c r="F407" s="56">
        <v>1314</v>
      </c>
      <c r="G407" s="56">
        <v>3518</v>
      </c>
      <c r="H407" s="56">
        <v>865</v>
      </c>
      <c r="I407" s="56">
        <v>2261</v>
      </c>
      <c r="J407" s="56">
        <v>100</v>
      </c>
      <c r="K407" s="56">
        <v>267</v>
      </c>
      <c r="L407" s="56">
        <v>4381</v>
      </c>
      <c r="M407" s="56">
        <v>12200</v>
      </c>
      <c r="N407" s="56">
        <v>9340</v>
      </c>
      <c r="O407" s="56">
        <v>7254</v>
      </c>
      <c r="P407" s="56">
        <v>7408</v>
      </c>
      <c r="Q407" s="56">
        <v>5367</v>
      </c>
      <c r="R407" s="16">
        <f t="shared" si="75"/>
        <v>21129</v>
      </c>
      <c r="T407" s="144">
        <f t="shared" si="74"/>
        <v>39695</v>
      </c>
      <c r="U407" s="154">
        <f>'copy data3'!B461</f>
        <v>2663</v>
      </c>
      <c r="V407" s="38">
        <f t="shared" si="56"/>
        <v>3032.25</v>
      </c>
      <c r="W407" s="71">
        <f t="shared" si="57"/>
        <v>64.972144846796652</v>
      </c>
      <c r="X407" s="154">
        <f>'copy data3'!D461</f>
        <v>1088</v>
      </c>
      <c r="Y407" s="38">
        <f t="shared" si="58"/>
        <v>1095.5</v>
      </c>
      <c r="Z407" s="71">
        <f t="shared" si="59"/>
        <v>66.717417783191237</v>
      </c>
      <c r="AA407" s="152">
        <f>'copy data3'!F461</f>
        <v>1635</v>
      </c>
      <c r="AB407" s="38">
        <f t="shared" si="60"/>
        <v>1616.5</v>
      </c>
      <c r="AC407" s="71">
        <f t="shared" si="61"/>
        <v>64.66</v>
      </c>
      <c r="AD407" s="152">
        <f>'copy data3'!H461</f>
        <v>738</v>
      </c>
      <c r="AE407" s="38">
        <f t="shared" si="62"/>
        <v>848</v>
      </c>
      <c r="AF407" s="71">
        <f t="shared" si="63"/>
        <v>66.09508963367108</v>
      </c>
      <c r="AG407" s="152">
        <f>'copy data3'!J461</f>
        <v>149</v>
      </c>
      <c r="AH407" s="38">
        <f t="shared" si="64"/>
        <v>149.25</v>
      </c>
      <c r="AI407" s="71">
        <f t="shared" si="65"/>
        <v>34.310344827586206</v>
      </c>
      <c r="AJ407" s="152">
        <f>'copy data3'!L461</f>
        <v>6273</v>
      </c>
      <c r="AK407" s="38">
        <f t="shared" si="66"/>
        <v>6741.5</v>
      </c>
      <c r="AL407" s="71">
        <f t="shared" si="67"/>
        <v>64.034004559270514</v>
      </c>
      <c r="AM407" s="152">
        <f>'copy data3'!N461</f>
        <v>11884</v>
      </c>
      <c r="AN407" s="38">
        <f t="shared" si="68"/>
        <v>5671.75</v>
      </c>
      <c r="AO407" s="71">
        <f t="shared" si="69"/>
        <v>35.983694962568201</v>
      </c>
      <c r="AP407" s="152">
        <f>'copy data3'!P461</f>
        <v>8913</v>
      </c>
      <c r="AQ407" s="38">
        <f t="shared" si="70"/>
        <v>3175.75</v>
      </c>
      <c r="AR407" s="71">
        <f t="shared" si="71"/>
        <v>39.711766912592225</v>
      </c>
      <c r="AS407" s="153">
        <f>'copy data3'!R461</f>
        <v>27070</v>
      </c>
      <c r="AT407" s="38">
        <f t="shared" si="73"/>
        <v>15589</v>
      </c>
      <c r="AU407" s="71">
        <f t="shared" si="72"/>
        <v>45.466211683728524</v>
      </c>
    </row>
    <row r="408" spans="1:47" ht="15.6" x14ac:dyDescent="0.3">
      <c r="A408" s="55">
        <v>37931</v>
      </c>
      <c r="B408" s="56">
        <v>2346</v>
      </c>
      <c r="C408" s="56">
        <v>5297</v>
      </c>
      <c r="D408" s="56">
        <v>473</v>
      </c>
      <c r="E408" s="56">
        <v>1866</v>
      </c>
      <c r="F408" s="56">
        <v>919</v>
      </c>
      <c r="G408" s="56">
        <v>3094</v>
      </c>
      <c r="H408" s="56">
        <v>609</v>
      </c>
      <c r="I408" s="56">
        <v>1873</v>
      </c>
      <c r="J408" s="56">
        <v>122</v>
      </c>
      <c r="K408" s="56">
        <v>602</v>
      </c>
      <c r="L408" s="56">
        <v>4468</v>
      </c>
      <c r="M408" s="56">
        <v>12731</v>
      </c>
      <c r="N408" s="56">
        <v>10239</v>
      </c>
      <c r="O408" s="56">
        <v>8062</v>
      </c>
      <c r="P408" s="56">
        <v>10711</v>
      </c>
      <c r="Q408" s="56">
        <v>6460</v>
      </c>
      <c r="R408" s="16">
        <f t="shared" si="75"/>
        <v>25418</v>
      </c>
      <c r="T408" s="144">
        <f t="shared" si="74"/>
        <v>39702</v>
      </c>
      <c r="U408" s="154">
        <f>'copy data3'!B462</f>
        <v>2728</v>
      </c>
      <c r="V408" s="38">
        <f t="shared" ref="V408:V471" si="76">AVERAGE(U405:U408)</f>
        <v>2876.75</v>
      </c>
      <c r="W408" s="71">
        <f t="shared" ref="W408:W471" si="77">(V408/U356)*100</f>
        <v>58.889457523029684</v>
      </c>
      <c r="X408" s="154">
        <f>'copy data3'!D462</f>
        <v>1063</v>
      </c>
      <c r="Y408" s="38">
        <f t="shared" ref="Y408:Y471" si="78">AVERAGE(X405:X408)</f>
        <v>1066.25</v>
      </c>
      <c r="Z408" s="71">
        <f t="shared" ref="Z408:Z471" si="79">(Y408/X356)*100</f>
        <v>63.241399762752067</v>
      </c>
      <c r="AA408" s="152">
        <f>'copy data3'!F462</f>
        <v>1640</v>
      </c>
      <c r="AB408" s="38">
        <f t="shared" ref="AB408:AB471" si="80">AVERAGE(AA405:AA408)</f>
        <v>1617</v>
      </c>
      <c r="AC408" s="71">
        <f t="shared" ref="AC408:AC471" si="81">(AB408/AA356)*100</f>
        <v>61.088024178315067</v>
      </c>
      <c r="AD408" s="152">
        <f>'copy data3'!H462</f>
        <v>813</v>
      </c>
      <c r="AE408" s="38">
        <f t="shared" ref="AE408:AE471" si="82">AVERAGE(AD405:AD408)</f>
        <v>813</v>
      </c>
      <c r="AF408" s="71">
        <f t="shared" ref="AF408:AF471" si="83">(AE408/AD356)*100</f>
        <v>57.864768683274029</v>
      </c>
      <c r="AG408" s="152">
        <f>'copy data3'!J462</f>
        <v>149</v>
      </c>
      <c r="AH408" s="38">
        <f t="shared" ref="AH408:AH471" si="84">AVERAGE(AG405:AG408)</f>
        <v>149.25</v>
      </c>
      <c r="AI408" s="71">
        <f t="shared" ref="AI408:AI471" si="85">(AH408/AG356)*100</f>
        <v>35.117647058823529</v>
      </c>
      <c r="AJ408" s="152">
        <f>'copy data3'!L462</f>
        <v>6394</v>
      </c>
      <c r="AK408" s="38">
        <f t="shared" ref="AK408:AK471" si="86">AVERAGE(AJ405:AJ408)</f>
        <v>6522.5</v>
      </c>
      <c r="AL408" s="71">
        <f t="shared" ref="AL408:AL471" si="87">(AK408/AJ356)*100</f>
        <v>59.043179143658911</v>
      </c>
      <c r="AM408" s="152">
        <f>'copy data3'!N462</f>
        <v>11346</v>
      </c>
      <c r="AN408" s="38">
        <f t="shared" ref="AN408:AN471" si="88">AVERAGE(AM405:AM408)</f>
        <v>7450.75</v>
      </c>
      <c r="AO408" s="71">
        <f t="shared" ref="AO408:AO471" si="89">(AN408/AM356)*100</f>
        <v>44.035165484633573</v>
      </c>
      <c r="AP408" s="152">
        <f>'copy data3'!P462</f>
        <v>9103</v>
      </c>
      <c r="AQ408" s="38">
        <f t="shared" ref="AQ408:AQ471" si="90">AVERAGE(AP405:AP408)</f>
        <v>5041</v>
      </c>
      <c r="AR408" s="71">
        <f t="shared" ref="AR408:AR471" si="91">(AQ408/AP356)*100</f>
        <v>62.188502343942751</v>
      </c>
      <c r="AS408" s="153">
        <f>'copy data3'!R462</f>
        <v>26843</v>
      </c>
      <c r="AT408" s="38">
        <f t="shared" si="73"/>
        <v>19014.25</v>
      </c>
      <c r="AU408" s="71">
        <f t="shared" si="72"/>
        <v>52.710475979264274</v>
      </c>
    </row>
    <row r="409" spans="1:47" ht="15.6" x14ac:dyDescent="0.3">
      <c r="A409" s="55">
        <v>38295</v>
      </c>
      <c r="B409" s="56">
        <v>1556</v>
      </c>
      <c r="C409" s="56">
        <v>4413</v>
      </c>
      <c r="D409" s="56">
        <v>532</v>
      </c>
      <c r="E409" s="56">
        <v>1979</v>
      </c>
      <c r="F409" s="56">
        <v>1340</v>
      </c>
      <c r="G409" s="56">
        <v>3722</v>
      </c>
      <c r="H409" s="56">
        <v>915</v>
      </c>
      <c r="I409" s="56">
        <v>2404</v>
      </c>
      <c r="J409" s="56">
        <v>105</v>
      </c>
      <c r="K409" s="56">
        <v>272</v>
      </c>
      <c r="L409" s="56">
        <v>4449</v>
      </c>
      <c r="M409" s="56">
        <v>12789</v>
      </c>
      <c r="N409" s="56">
        <v>9053</v>
      </c>
      <c r="O409" s="56">
        <v>8321</v>
      </c>
      <c r="P409" s="56">
        <v>7116</v>
      </c>
      <c r="Q409" s="56">
        <v>6314</v>
      </c>
      <c r="R409" s="16">
        <f t="shared" si="75"/>
        <v>20618</v>
      </c>
      <c r="T409" s="144">
        <f t="shared" si="74"/>
        <v>39709</v>
      </c>
      <c r="U409" s="154">
        <f>'copy data3'!B463</f>
        <v>2565</v>
      </c>
      <c r="V409" s="38">
        <f t="shared" si="76"/>
        <v>2709</v>
      </c>
      <c r="W409" s="71">
        <f t="shared" si="77"/>
        <v>49.797794117647058</v>
      </c>
      <c r="X409" s="154">
        <f>'copy data3'!D463</f>
        <v>989</v>
      </c>
      <c r="Y409" s="38">
        <f t="shared" si="78"/>
        <v>1042.75</v>
      </c>
      <c r="Z409" s="71">
        <f t="shared" si="79"/>
        <v>75.071994240460754</v>
      </c>
      <c r="AA409" s="152">
        <f>'copy data3'!F463</f>
        <v>1502</v>
      </c>
      <c r="AB409" s="38">
        <f t="shared" si="80"/>
        <v>1606</v>
      </c>
      <c r="AC409" s="71">
        <f t="shared" si="81"/>
        <v>57.832193014043931</v>
      </c>
      <c r="AD409" s="152">
        <f>'copy data3'!H463</f>
        <v>743</v>
      </c>
      <c r="AE409" s="38">
        <f t="shared" si="82"/>
        <v>772.5</v>
      </c>
      <c r="AF409" s="71">
        <f t="shared" si="83"/>
        <v>52.479619565217398</v>
      </c>
      <c r="AG409" s="152">
        <f>'copy data3'!J463</f>
        <v>149</v>
      </c>
      <c r="AH409" s="38">
        <f t="shared" si="84"/>
        <v>149</v>
      </c>
      <c r="AI409" s="71">
        <f t="shared" si="85"/>
        <v>33.184855233853007</v>
      </c>
      <c r="AJ409" s="152">
        <f>'copy data3'!L463</f>
        <v>5948</v>
      </c>
      <c r="AK409" s="38">
        <f t="shared" si="86"/>
        <v>6279.75</v>
      </c>
      <c r="AL409" s="71">
        <f t="shared" si="87"/>
        <v>54.478615424655153</v>
      </c>
      <c r="AM409" s="152">
        <f>'copy data3'!N463</f>
        <v>10900</v>
      </c>
      <c r="AN409" s="38">
        <f t="shared" si="88"/>
        <v>9247.75</v>
      </c>
      <c r="AO409" s="71">
        <f t="shared" si="89"/>
        <v>53.102210737869648</v>
      </c>
      <c r="AP409" s="152">
        <f>'copy data3'!P463</f>
        <v>9651</v>
      </c>
      <c r="AQ409" s="38">
        <f t="shared" si="90"/>
        <v>7147.5</v>
      </c>
      <c r="AR409" s="71">
        <f t="shared" si="91"/>
        <v>85.435094429835047</v>
      </c>
      <c r="AS409" s="153">
        <f>'copy data3'!R463</f>
        <v>26499</v>
      </c>
      <c r="AT409" s="38">
        <f t="shared" si="73"/>
        <v>22675</v>
      </c>
      <c r="AU409" s="71">
        <f t="shared" si="72"/>
        <v>60.777849254851503</v>
      </c>
    </row>
    <row r="410" spans="1:47" ht="15.6" x14ac:dyDescent="0.3">
      <c r="A410" s="55">
        <v>37938</v>
      </c>
      <c r="B410" s="56">
        <v>2652</v>
      </c>
      <c r="C410" s="56">
        <v>5535</v>
      </c>
      <c r="D410" s="56">
        <v>597</v>
      </c>
      <c r="E410" s="56">
        <v>1946</v>
      </c>
      <c r="F410" s="56">
        <v>1005</v>
      </c>
      <c r="G410" s="56">
        <v>3170</v>
      </c>
      <c r="H410" s="56">
        <v>649</v>
      </c>
      <c r="I410" s="56">
        <v>1992</v>
      </c>
      <c r="J410" s="56">
        <v>148</v>
      </c>
      <c r="K410" s="56">
        <v>602</v>
      </c>
      <c r="L410" s="56">
        <v>5050</v>
      </c>
      <c r="M410" s="56">
        <v>13245</v>
      </c>
      <c r="N410" s="56">
        <v>10243</v>
      </c>
      <c r="O410" s="56">
        <v>8975</v>
      </c>
      <c r="P410" s="56">
        <v>10420</v>
      </c>
      <c r="Q410" s="56">
        <v>7458</v>
      </c>
      <c r="R410" s="16">
        <f t="shared" si="75"/>
        <v>25713</v>
      </c>
      <c r="T410" s="144">
        <f t="shared" si="74"/>
        <v>39716</v>
      </c>
      <c r="U410" s="154">
        <f>'copy data3'!B464</f>
        <v>2757</v>
      </c>
      <c r="V410" s="38">
        <f t="shared" si="76"/>
        <v>2678.25</v>
      </c>
      <c r="W410" s="71">
        <f t="shared" si="77"/>
        <v>45.727334813044216</v>
      </c>
      <c r="X410" s="154">
        <f>'copy data3'!D464</f>
        <v>1000</v>
      </c>
      <c r="Y410" s="38">
        <f t="shared" si="78"/>
        <v>1035</v>
      </c>
      <c r="Z410" s="71">
        <f t="shared" si="79"/>
        <v>83.535108958837768</v>
      </c>
      <c r="AA410" s="152">
        <f>'copy data3'!F464</f>
        <v>1461</v>
      </c>
      <c r="AB410" s="38">
        <f t="shared" si="80"/>
        <v>1559.5</v>
      </c>
      <c r="AC410" s="71">
        <f t="shared" si="81"/>
        <v>54.642606867554314</v>
      </c>
      <c r="AD410" s="152">
        <f>'copy data3'!H464</f>
        <v>645</v>
      </c>
      <c r="AE410" s="38">
        <f t="shared" si="82"/>
        <v>734.75</v>
      </c>
      <c r="AF410" s="71">
        <f t="shared" si="83"/>
        <v>45.38295243977764</v>
      </c>
      <c r="AG410" s="152">
        <f>'copy data3'!J464</f>
        <v>104</v>
      </c>
      <c r="AH410" s="38">
        <f t="shared" si="84"/>
        <v>137.75</v>
      </c>
      <c r="AI410" s="71">
        <f t="shared" si="85"/>
        <v>34.096534653465348</v>
      </c>
      <c r="AJ410" s="152">
        <f>'copy data3'!L464</f>
        <v>5967</v>
      </c>
      <c r="AK410" s="38">
        <f t="shared" si="86"/>
        <v>6145.5</v>
      </c>
      <c r="AL410" s="71">
        <f t="shared" si="87"/>
        <v>51.327987972939113</v>
      </c>
      <c r="AM410" s="152">
        <f>'copy data3'!N464</f>
        <v>10303</v>
      </c>
      <c r="AN410" s="38">
        <f t="shared" si="88"/>
        <v>11108.25</v>
      </c>
      <c r="AO410" s="71">
        <f t="shared" si="89"/>
        <v>64.057724468023764</v>
      </c>
      <c r="AP410" s="152">
        <f>'copy data3'!P464</f>
        <v>9960</v>
      </c>
      <c r="AQ410" s="38">
        <f t="shared" si="90"/>
        <v>9406.75</v>
      </c>
      <c r="AR410" s="71">
        <f t="shared" si="91"/>
        <v>107.46886781674854</v>
      </c>
      <c r="AS410" s="153">
        <f>'copy data3'!R464</f>
        <v>26230</v>
      </c>
      <c r="AT410" s="38">
        <f t="shared" si="73"/>
        <v>26660.5</v>
      </c>
      <c r="AU410" s="71">
        <f t="shared" si="72"/>
        <v>70.035726482254972</v>
      </c>
    </row>
    <row r="411" spans="1:47" ht="15.6" x14ac:dyDescent="0.3">
      <c r="A411" s="55">
        <v>38302</v>
      </c>
      <c r="B411" s="56">
        <v>1714</v>
      </c>
      <c r="C411" s="56">
        <v>4524</v>
      </c>
      <c r="D411" s="56">
        <v>531</v>
      </c>
      <c r="E411" s="56">
        <v>2012</v>
      </c>
      <c r="F411" s="56">
        <v>1276</v>
      </c>
      <c r="G411" s="56">
        <v>3895</v>
      </c>
      <c r="H411" s="56">
        <v>855</v>
      </c>
      <c r="I411" s="56">
        <v>2552</v>
      </c>
      <c r="J411" s="56">
        <v>88</v>
      </c>
      <c r="K411" s="56">
        <v>294</v>
      </c>
      <c r="L411" s="56">
        <v>4463</v>
      </c>
      <c r="M411" s="56">
        <v>13278</v>
      </c>
      <c r="N411" s="56">
        <v>8741</v>
      </c>
      <c r="O411" s="56">
        <v>9358</v>
      </c>
      <c r="P411" s="56">
        <v>6767</v>
      </c>
      <c r="Q411" s="56">
        <v>7619</v>
      </c>
      <c r="R411" s="16">
        <f t="shared" si="75"/>
        <v>19971</v>
      </c>
      <c r="T411" s="144">
        <f t="shared" si="74"/>
        <v>39723</v>
      </c>
      <c r="U411" s="154">
        <f>'copy data3'!B465</f>
        <v>2408</v>
      </c>
      <c r="V411" s="38">
        <f t="shared" si="76"/>
        <v>2614.5</v>
      </c>
      <c r="W411" s="71">
        <f t="shared" si="77"/>
        <v>45.40639110802362</v>
      </c>
      <c r="X411" s="154">
        <f>'copy data3'!D465</f>
        <v>935</v>
      </c>
      <c r="Y411" s="38">
        <f t="shared" si="78"/>
        <v>996.75</v>
      </c>
      <c r="Z411" s="71">
        <f t="shared" si="79"/>
        <v>84.902044293015337</v>
      </c>
      <c r="AA411" s="152">
        <f>'copy data3'!F465</f>
        <v>1415</v>
      </c>
      <c r="AB411" s="38">
        <f t="shared" si="80"/>
        <v>1504.5</v>
      </c>
      <c r="AC411" s="71">
        <f t="shared" si="81"/>
        <v>48.673568424458104</v>
      </c>
      <c r="AD411" s="152">
        <f>'copy data3'!H465</f>
        <v>724</v>
      </c>
      <c r="AE411" s="38">
        <f t="shared" si="82"/>
        <v>731.25</v>
      </c>
      <c r="AF411" s="71">
        <f t="shared" si="83"/>
        <v>46.399111675126903</v>
      </c>
      <c r="AG411" s="152">
        <f>'copy data3'!J465</f>
        <v>104</v>
      </c>
      <c r="AH411" s="38">
        <f t="shared" si="84"/>
        <v>126.5</v>
      </c>
      <c r="AI411" s="71">
        <f t="shared" si="85"/>
        <v>29.694835680751176</v>
      </c>
      <c r="AJ411" s="152">
        <f>'copy data3'!L465</f>
        <v>5586</v>
      </c>
      <c r="AK411" s="38">
        <f t="shared" si="86"/>
        <v>5973.75</v>
      </c>
      <c r="AL411" s="71">
        <f t="shared" si="87"/>
        <v>49.677754677754677</v>
      </c>
      <c r="AM411" s="152">
        <f>'copy data3'!N465</f>
        <v>10435</v>
      </c>
      <c r="AN411" s="38">
        <f t="shared" si="88"/>
        <v>10746</v>
      </c>
      <c r="AO411" s="71">
        <f t="shared" si="89"/>
        <v>58.187134502923975</v>
      </c>
      <c r="AP411" s="152">
        <f>'copy data3'!P465</f>
        <v>10164</v>
      </c>
      <c r="AQ411" s="38">
        <f t="shared" si="90"/>
        <v>9719.5</v>
      </c>
      <c r="AR411" s="71">
        <f t="shared" si="91"/>
        <v>110.80141358869129</v>
      </c>
      <c r="AS411" s="153">
        <f>'copy data3'!R465</f>
        <v>26185</v>
      </c>
      <c r="AT411" s="38">
        <f t="shared" si="73"/>
        <v>26439.25</v>
      </c>
      <c r="AU411" s="71">
        <f t="shared" si="72"/>
        <v>67.335413217878511</v>
      </c>
    </row>
    <row r="412" spans="1:47" ht="15.6" x14ac:dyDescent="0.3">
      <c r="A412" s="55">
        <v>37945</v>
      </c>
      <c r="B412" s="56">
        <v>2854</v>
      </c>
      <c r="C412" s="56">
        <v>5857</v>
      </c>
      <c r="D412" s="56">
        <v>593</v>
      </c>
      <c r="E412" s="56">
        <v>2034</v>
      </c>
      <c r="F412" s="56">
        <v>937</v>
      </c>
      <c r="G412" s="56">
        <v>3428</v>
      </c>
      <c r="H412" s="56">
        <v>950</v>
      </c>
      <c r="I412" s="56">
        <v>2026</v>
      </c>
      <c r="J412" s="56">
        <v>150</v>
      </c>
      <c r="K412" s="56">
        <v>602</v>
      </c>
      <c r="L412" s="56">
        <v>5483</v>
      </c>
      <c r="M412" s="56">
        <v>13946</v>
      </c>
      <c r="N412" s="56">
        <v>10601</v>
      </c>
      <c r="O412" s="56">
        <v>10219</v>
      </c>
      <c r="P412" s="56">
        <v>10346</v>
      </c>
      <c r="Q412" s="56">
        <v>8393</v>
      </c>
      <c r="R412" s="16">
        <f t="shared" si="75"/>
        <v>26430</v>
      </c>
      <c r="T412" s="144">
        <f t="shared" si="74"/>
        <v>39730</v>
      </c>
      <c r="U412" s="154">
        <f>'copy data3'!B466</f>
        <v>2331</v>
      </c>
      <c r="V412" s="38">
        <f t="shared" si="76"/>
        <v>2515.25</v>
      </c>
      <c r="W412" s="71">
        <f t="shared" si="77"/>
        <v>43.418781287761092</v>
      </c>
      <c r="X412" s="154">
        <f>'copy data3'!D466</f>
        <v>967</v>
      </c>
      <c r="Y412" s="38">
        <f t="shared" si="78"/>
        <v>972.75</v>
      </c>
      <c r="Z412" s="71">
        <f t="shared" si="79"/>
        <v>89.243119266055047</v>
      </c>
      <c r="AA412" s="152">
        <f>'copy data3'!F466</f>
        <v>1337</v>
      </c>
      <c r="AB412" s="38">
        <f t="shared" si="80"/>
        <v>1428.75</v>
      </c>
      <c r="AC412" s="71">
        <f t="shared" si="81"/>
        <v>46.539087947882734</v>
      </c>
      <c r="AD412" s="152">
        <f>'copy data3'!H466</f>
        <v>659</v>
      </c>
      <c r="AE412" s="38">
        <f t="shared" si="82"/>
        <v>692.75</v>
      </c>
      <c r="AF412" s="71">
        <f t="shared" si="83"/>
        <v>42.061323618700669</v>
      </c>
      <c r="AG412" s="152">
        <f>'copy data3'!J466</f>
        <v>76</v>
      </c>
      <c r="AH412" s="38">
        <f t="shared" si="84"/>
        <v>108.25</v>
      </c>
      <c r="AI412" s="71">
        <f t="shared" si="85"/>
        <v>25.773809523809522</v>
      </c>
      <c r="AJ412" s="152">
        <f>'copy data3'!L466</f>
        <v>5370</v>
      </c>
      <c r="AK412" s="38">
        <f t="shared" si="86"/>
        <v>5717.75</v>
      </c>
      <c r="AL412" s="71">
        <f t="shared" si="87"/>
        <v>47.572593393793163</v>
      </c>
      <c r="AM412" s="152">
        <f>'copy data3'!N466</f>
        <v>10487</v>
      </c>
      <c r="AN412" s="38">
        <f t="shared" si="88"/>
        <v>10531.25</v>
      </c>
      <c r="AO412" s="71">
        <f t="shared" si="89"/>
        <v>54.970508403799975</v>
      </c>
      <c r="AP412" s="152">
        <f>'copy data3'!P466</f>
        <v>10784</v>
      </c>
      <c r="AQ412" s="38">
        <f t="shared" si="90"/>
        <v>10139.75</v>
      </c>
      <c r="AR412" s="71">
        <f t="shared" si="91"/>
        <v>118.78807403936268</v>
      </c>
      <c r="AS412" s="153">
        <f>'copy data3'!R466</f>
        <v>26641</v>
      </c>
      <c r="AT412" s="38">
        <f t="shared" si="73"/>
        <v>26388.75</v>
      </c>
      <c r="AU412" s="71">
        <f t="shared" si="72"/>
        <v>66.448644020849599</v>
      </c>
    </row>
    <row r="413" spans="1:47" ht="15.6" x14ac:dyDescent="0.3">
      <c r="A413" s="55">
        <v>38309</v>
      </c>
      <c r="B413" s="56">
        <v>1726</v>
      </c>
      <c r="C413" s="56">
        <v>4718</v>
      </c>
      <c r="D413" s="56">
        <v>560</v>
      </c>
      <c r="E413" s="56">
        <v>2031</v>
      </c>
      <c r="F413" s="56">
        <v>1219</v>
      </c>
      <c r="G413" s="56">
        <v>4100</v>
      </c>
      <c r="H413" s="56">
        <v>735</v>
      </c>
      <c r="I413" s="56">
        <v>2710</v>
      </c>
      <c r="J413" s="56">
        <v>90</v>
      </c>
      <c r="K413" s="56">
        <v>294</v>
      </c>
      <c r="L413" s="56">
        <v>4331</v>
      </c>
      <c r="M413" s="56">
        <v>13853</v>
      </c>
      <c r="N413" s="56">
        <v>9141</v>
      </c>
      <c r="O413" s="56">
        <v>10258</v>
      </c>
      <c r="P413" s="56">
        <v>6786</v>
      </c>
      <c r="Q413" s="56">
        <v>8938</v>
      </c>
      <c r="R413" s="16">
        <f t="shared" si="75"/>
        <v>20258</v>
      </c>
      <c r="T413" s="144">
        <f t="shared" si="74"/>
        <v>39737</v>
      </c>
      <c r="U413" s="154">
        <f>'copy data3'!B467</f>
        <v>2221</v>
      </c>
      <c r="V413" s="38">
        <f t="shared" si="76"/>
        <v>2429.25</v>
      </c>
      <c r="W413" s="71">
        <f t="shared" si="77"/>
        <v>44.248633879781416</v>
      </c>
      <c r="X413" s="154">
        <f>'copy data3'!D467</f>
        <v>1031</v>
      </c>
      <c r="Y413" s="38">
        <f t="shared" si="78"/>
        <v>983.25</v>
      </c>
      <c r="Z413" s="71">
        <f t="shared" si="79"/>
        <v>88.501350135013496</v>
      </c>
      <c r="AA413" s="152">
        <f>'copy data3'!F467</f>
        <v>1245</v>
      </c>
      <c r="AB413" s="38">
        <f t="shared" si="80"/>
        <v>1364.5</v>
      </c>
      <c r="AC413" s="71">
        <f t="shared" si="81"/>
        <v>43.044164037854884</v>
      </c>
      <c r="AD413" s="152">
        <f>'copy data3'!H467</f>
        <v>662</v>
      </c>
      <c r="AE413" s="38">
        <f t="shared" si="82"/>
        <v>672.5</v>
      </c>
      <c r="AF413" s="71">
        <f t="shared" si="83"/>
        <v>42.861695347355003</v>
      </c>
      <c r="AG413" s="152">
        <f>'copy data3'!J467</f>
        <v>76</v>
      </c>
      <c r="AH413" s="38">
        <f t="shared" si="84"/>
        <v>90</v>
      </c>
      <c r="AI413" s="71">
        <f t="shared" si="85"/>
        <v>24.064171122994651</v>
      </c>
      <c r="AJ413" s="152">
        <f>'copy data3'!L467</f>
        <v>5234</v>
      </c>
      <c r="AK413" s="38">
        <f t="shared" si="86"/>
        <v>5539.25</v>
      </c>
      <c r="AL413" s="71">
        <f t="shared" si="87"/>
        <v>47.287433839849754</v>
      </c>
      <c r="AM413" s="152">
        <f>'copy data3'!N467</f>
        <v>10523</v>
      </c>
      <c r="AN413" s="38">
        <f t="shared" si="88"/>
        <v>10437</v>
      </c>
      <c r="AO413" s="71">
        <f t="shared" si="89"/>
        <v>53.740796045517733</v>
      </c>
      <c r="AP413" s="152">
        <f>'copy data3'!P467</f>
        <v>10489</v>
      </c>
      <c r="AQ413" s="38">
        <f t="shared" si="90"/>
        <v>10349.25</v>
      </c>
      <c r="AR413" s="71">
        <f t="shared" si="91"/>
        <v>127.25009221689415</v>
      </c>
      <c r="AS413" s="153">
        <f>'copy data3'!R467</f>
        <v>26246</v>
      </c>
      <c r="AT413" s="38">
        <f t="shared" si="73"/>
        <v>26325.5</v>
      </c>
      <c r="AU413" s="71">
        <f t="shared" si="72"/>
        <v>67.040592849139244</v>
      </c>
    </row>
    <row r="414" spans="1:47" ht="15.6" x14ac:dyDescent="0.3">
      <c r="A414" s="55">
        <v>37952</v>
      </c>
      <c r="B414" s="56">
        <v>2950</v>
      </c>
      <c r="C414" s="56">
        <v>6058</v>
      </c>
      <c r="D414" s="56">
        <v>584</v>
      </c>
      <c r="E414" s="56">
        <v>2086</v>
      </c>
      <c r="F414" s="56">
        <v>1198</v>
      </c>
      <c r="G414" s="56">
        <v>3530</v>
      </c>
      <c r="H414" s="56">
        <v>1031</v>
      </c>
      <c r="I414" s="56">
        <v>2100</v>
      </c>
      <c r="J414" s="56">
        <v>165</v>
      </c>
      <c r="K414" s="56">
        <v>607</v>
      </c>
      <c r="L414" s="56">
        <v>5928</v>
      </c>
      <c r="M414" s="56">
        <v>14382</v>
      </c>
      <c r="N414" s="56">
        <v>10313</v>
      </c>
      <c r="O414" s="56">
        <v>11356</v>
      </c>
      <c r="P414" s="56">
        <v>9400</v>
      </c>
      <c r="Q414" s="56">
        <v>9588</v>
      </c>
      <c r="R414" s="16">
        <f t="shared" si="75"/>
        <v>25641</v>
      </c>
      <c r="T414" s="144">
        <f t="shared" si="74"/>
        <v>39744</v>
      </c>
      <c r="U414" s="154">
        <f>'copy data3'!B468</f>
        <v>2161</v>
      </c>
      <c r="V414" s="38">
        <f t="shared" si="76"/>
        <v>2280.25</v>
      </c>
      <c r="W414" s="71">
        <f t="shared" si="77"/>
        <v>43.334283542379325</v>
      </c>
      <c r="X414" s="154">
        <f>'copy data3'!D468</f>
        <v>1001</v>
      </c>
      <c r="Y414" s="38">
        <f t="shared" si="78"/>
        <v>983.5</v>
      </c>
      <c r="Z414" s="71">
        <f t="shared" si="79"/>
        <v>99.043303121852972</v>
      </c>
      <c r="AA414" s="152">
        <f>'copy data3'!F468</f>
        <v>1265</v>
      </c>
      <c r="AB414" s="38">
        <f t="shared" si="80"/>
        <v>1315.5</v>
      </c>
      <c r="AC414" s="71">
        <f t="shared" si="81"/>
        <v>44.367622259696461</v>
      </c>
      <c r="AD414" s="152">
        <f>'copy data3'!H468</f>
        <v>603</v>
      </c>
      <c r="AE414" s="38">
        <f t="shared" si="82"/>
        <v>662</v>
      </c>
      <c r="AF414" s="71">
        <f t="shared" si="83"/>
        <v>44.91180461329715</v>
      </c>
      <c r="AG414" s="152">
        <f>'copy data3'!J468</f>
        <v>76</v>
      </c>
      <c r="AH414" s="38">
        <f t="shared" si="84"/>
        <v>83</v>
      </c>
      <c r="AI414" s="71">
        <f t="shared" si="85"/>
        <v>23.380281690140844</v>
      </c>
      <c r="AJ414" s="152">
        <f>'copy data3'!L468</f>
        <v>5104</v>
      </c>
      <c r="AK414" s="38">
        <f t="shared" si="86"/>
        <v>5323.5</v>
      </c>
      <c r="AL414" s="71">
        <f t="shared" si="87"/>
        <v>48.185191889934828</v>
      </c>
      <c r="AM414" s="152">
        <f>'copy data3'!N468</f>
        <v>10333</v>
      </c>
      <c r="AN414" s="38">
        <f t="shared" si="88"/>
        <v>10444.5</v>
      </c>
      <c r="AO414" s="71">
        <f t="shared" si="89"/>
        <v>55.53812612995852</v>
      </c>
      <c r="AP414" s="152">
        <f>'copy data3'!P468</f>
        <v>10597</v>
      </c>
      <c r="AQ414" s="38">
        <f t="shared" si="90"/>
        <v>10508.5</v>
      </c>
      <c r="AR414" s="71">
        <f t="shared" si="91"/>
        <v>130.23299045730573</v>
      </c>
      <c r="AS414" s="153">
        <f>'copy data3'!R468</f>
        <v>26034</v>
      </c>
      <c r="AT414" s="38">
        <f t="shared" si="73"/>
        <v>26276.5</v>
      </c>
      <c r="AU414" s="71">
        <f t="shared" si="72"/>
        <v>69.289085779078661</v>
      </c>
    </row>
    <row r="415" spans="1:47" ht="15.6" x14ac:dyDescent="0.3">
      <c r="A415" s="55">
        <v>38316</v>
      </c>
      <c r="B415" s="56">
        <v>1580</v>
      </c>
      <c r="C415" s="56">
        <v>4910</v>
      </c>
      <c r="D415" s="56">
        <v>512</v>
      </c>
      <c r="E415" s="56">
        <v>2090</v>
      </c>
      <c r="F415" s="56">
        <v>1205</v>
      </c>
      <c r="G415" s="56">
        <v>4185</v>
      </c>
      <c r="H415" s="56">
        <v>757</v>
      </c>
      <c r="I415" s="56">
        <v>2870</v>
      </c>
      <c r="J415" s="56">
        <v>100</v>
      </c>
      <c r="K415" s="56">
        <v>312</v>
      </c>
      <c r="L415" s="56">
        <v>4154</v>
      </c>
      <c r="M415" s="56">
        <v>14367</v>
      </c>
      <c r="N415" s="56">
        <v>8917</v>
      </c>
      <c r="O415" s="56">
        <v>11067</v>
      </c>
      <c r="P415" s="56">
        <v>6297</v>
      </c>
      <c r="Q415" s="56">
        <v>9834</v>
      </c>
      <c r="R415" s="16">
        <f t="shared" si="75"/>
        <v>19368</v>
      </c>
      <c r="T415" s="144">
        <f t="shared" si="74"/>
        <v>39751</v>
      </c>
      <c r="U415" s="154">
        <f>'copy data3'!B469</f>
        <v>2121</v>
      </c>
      <c r="V415" s="38">
        <f t="shared" si="76"/>
        <v>2208.5</v>
      </c>
      <c r="W415" s="71">
        <f t="shared" si="77"/>
        <v>45.583075335397318</v>
      </c>
      <c r="X415" s="154">
        <f>'copy data3'!D469</f>
        <v>980</v>
      </c>
      <c r="Y415" s="38">
        <f t="shared" si="78"/>
        <v>994.75</v>
      </c>
      <c r="Z415" s="71">
        <f t="shared" si="79"/>
        <v>102.23535457348407</v>
      </c>
      <c r="AA415" s="152">
        <f>'copy data3'!F469</f>
        <v>1305</v>
      </c>
      <c r="AB415" s="38">
        <f t="shared" si="80"/>
        <v>1288</v>
      </c>
      <c r="AC415" s="71">
        <f t="shared" si="81"/>
        <v>48.005963473723448</v>
      </c>
      <c r="AD415" s="152">
        <f>'copy data3'!H469</f>
        <v>608</v>
      </c>
      <c r="AE415" s="38">
        <f t="shared" si="82"/>
        <v>633</v>
      </c>
      <c r="AF415" s="71">
        <f t="shared" si="83"/>
        <v>43.86694386694387</v>
      </c>
      <c r="AG415" s="152">
        <f>'copy data3'!J469</f>
        <v>80</v>
      </c>
      <c r="AH415" s="38">
        <f t="shared" si="84"/>
        <v>77</v>
      </c>
      <c r="AI415" s="71">
        <f t="shared" si="85"/>
        <v>21.69014084507042</v>
      </c>
      <c r="AJ415" s="152">
        <f>'copy data3'!L469</f>
        <v>5093</v>
      </c>
      <c r="AK415" s="38">
        <f t="shared" si="86"/>
        <v>5200.25</v>
      </c>
      <c r="AL415" s="71">
        <f t="shared" si="87"/>
        <v>50.487864077669911</v>
      </c>
      <c r="AM415" s="152">
        <f>'copy data3'!N469</f>
        <v>10186</v>
      </c>
      <c r="AN415" s="38">
        <f t="shared" si="88"/>
        <v>10382.25</v>
      </c>
      <c r="AO415" s="71">
        <f t="shared" si="89"/>
        <v>55.260006387055569</v>
      </c>
      <c r="AP415" s="152">
        <f>'copy data3'!P469</f>
        <v>10003</v>
      </c>
      <c r="AQ415" s="38">
        <f t="shared" si="90"/>
        <v>10468.25</v>
      </c>
      <c r="AR415" s="71">
        <f t="shared" si="91"/>
        <v>133.25165478615071</v>
      </c>
      <c r="AS415" s="153">
        <f>'copy data3'!R469</f>
        <v>25282</v>
      </c>
      <c r="AT415" s="38">
        <f t="shared" si="73"/>
        <v>26050.75</v>
      </c>
      <c r="AU415" s="71">
        <f t="shared" si="72"/>
        <v>70.514156561281936</v>
      </c>
    </row>
    <row r="416" spans="1:47" ht="15.6" x14ac:dyDescent="0.3">
      <c r="A416" s="55">
        <v>37959</v>
      </c>
      <c r="B416" s="56">
        <v>2831</v>
      </c>
      <c r="C416" s="56">
        <v>6332</v>
      </c>
      <c r="D416" s="56">
        <v>604</v>
      </c>
      <c r="E416" s="56">
        <v>2126</v>
      </c>
      <c r="F416" s="56">
        <v>1189</v>
      </c>
      <c r="G416" s="56">
        <v>3639</v>
      </c>
      <c r="H416" s="56">
        <v>1043</v>
      </c>
      <c r="I416" s="56">
        <v>2181</v>
      </c>
      <c r="J416" s="56">
        <v>206</v>
      </c>
      <c r="K416" s="56">
        <v>621</v>
      </c>
      <c r="L416" s="56">
        <v>5874</v>
      </c>
      <c r="M416" s="56">
        <v>14900</v>
      </c>
      <c r="N416" s="56">
        <v>10342</v>
      </c>
      <c r="O416" s="56">
        <v>12366</v>
      </c>
      <c r="P416" s="56">
        <v>8681</v>
      </c>
      <c r="Q416" s="56">
        <v>10667</v>
      </c>
      <c r="R416" s="16">
        <f t="shared" si="75"/>
        <v>24897</v>
      </c>
      <c r="T416" s="144">
        <f t="shared" si="74"/>
        <v>39758</v>
      </c>
      <c r="U416" s="154">
        <f>'copy data3'!B470</f>
        <v>2046</v>
      </c>
      <c r="V416" s="38">
        <f t="shared" si="76"/>
        <v>2137.25</v>
      </c>
      <c r="W416" s="71">
        <f t="shared" si="77"/>
        <v>45.29991521831284</v>
      </c>
      <c r="X416" s="154">
        <f>'copy data3'!D470</f>
        <v>972</v>
      </c>
      <c r="Y416" s="38">
        <f t="shared" si="78"/>
        <v>996</v>
      </c>
      <c r="Z416" s="71">
        <f t="shared" si="79"/>
        <v>100.20120724346076</v>
      </c>
      <c r="AA416" s="152">
        <f>'copy data3'!F470</f>
        <v>1248</v>
      </c>
      <c r="AB416" s="38">
        <f t="shared" si="80"/>
        <v>1265.75</v>
      </c>
      <c r="AC416" s="71">
        <f t="shared" si="81"/>
        <v>47.584586466165412</v>
      </c>
      <c r="AD416" s="152">
        <f>'copy data3'!H470</f>
        <v>548</v>
      </c>
      <c r="AE416" s="38">
        <f t="shared" si="82"/>
        <v>605.25</v>
      </c>
      <c r="AF416" s="71">
        <f t="shared" si="83"/>
        <v>43.511861969805892</v>
      </c>
      <c r="AG416" s="152">
        <f>'copy data3'!J470</f>
        <v>80</v>
      </c>
      <c r="AH416" s="38">
        <f t="shared" si="84"/>
        <v>78</v>
      </c>
      <c r="AI416" s="71">
        <f t="shared" si="85"/>
        <v>21.546961325966851</v>
      </c>
      <c r="AJ416" s="152">
        <f>'copy data3'!L470</f>
        <v>4893</v>
      </c>
      <c r="AK416" s="38">
        <f t="shared" si="86"/>
        <v>5081</v>
      </c>
      <c r="AL416" s="71">
        <f t="shared" si="87"/>
        <v>50.177760221212722</v>
      </c>
      <c r="AM416" s="152">
        <f>'copy data3'!N470</f>
        <v>9733</v>
      </c>
      <c r="AN416" s="38">
        <f t="shared" si="88"/>
        <v>10193.75</v>
      </c>
      <c r="AO416" s="71">
        <f t="shared" si="89"/>
        <v>54.681632872009445</v>
      </c>
      <c r="AP416" s="152">
        <f>'copy data3'!P470</f>
        <v>9439</v>
      </c>
      <c r="AQ416" s="38">
        <f t="shared" si="90"/>
        <v>10132</v>
      </c>
      <c r="AR416" s="71">
        <f t="shared" si="91"/>
        <v>120.04739336492891</v>
      </c>
      <c r="AS416" s="153">
        <f>'copy data3'!R470</f>
        <v>24065</v>
      </c>
      <c r="AT416" s="38">
        <f t="shared" si="73"/>
        <v>25406.75</v>
      </c>
      <c r="AU416" s="71">
        <f t="shared" si="72"/>
        <v>68.28303053106859</v>
      </c>
    </row>
    <row r="417" spans="1:47" ht="15.6" x14ac:dyDescent="0.3">
      <c r="A417" s="55">
        <v>38323</v>
      </c>
      <c r="B417" s="56">
        <v>1511</v>
      </c>
      <c r="C417" s="56">
        <v>5129</v>
      </c>
      <c r="D417" s="56">
        <v>493</v>
      </c>
      <c r="E417" s="56">
        <v>2142</v>
      </c>
      <c r="F417" s="56">
        <v>1293</v>
      </c>
      <c r="G417" s="56">
        <v>4335</v>
      </c>
      <c r="H417" s="56">
        <v>730</v>
      </c>
      <c r="I417" s="56">
        <v>2926</v>
      </c>
      <c r="J417" s="56">
        <v>116</v>
      </c>
      <c r="K417" s="56">
        <v>334</v>
      </c>
      <c r="L417" s="56">
        <v>4143</v>
      </c>
      <c r="M417" s="56">
        <v>14866</v>
      </c>
      <c r="N417" s="56">
        <v>8624</v>
      </c>
      <c r="O417" s="56">
        <v>12275</v>
      </c>
      <c r="P417" s="56">
        <v>5755</v>
      </c>
      <c r="Q417" s="56">
        <v>10822</v>
      </c>
      <c r="R417" s="16">
        <f t="shared" si="75"/>
        <v>18522</v>
      </c>
      <c r="T417" s="144">
        <f t="shared" si="74"/>
        <v>39765</v>
      </c>
      <c r="U417" s="154">
        <f>'copy data3'!B471</f>
        <v>2037</v>
      </c>
      <c r="V417" s="38">
        <f t="shared" si="76"/>
        <v>2091.25</v>
      </c>
      <c r="W417" s="71">
        <f t="shared" si="77"/>
        <v>45.001183533816786</v>
      </c>
      <c r="X417" s="154">
        <f>'copy data3'!D471</f>
        <v>1033</v>
      </c>
      <c r="Y417" s="38">
        <f t="shared" si="78"/>
        <v>996.5</v>
      </c>
      <c r="Z417" s="71">
        <f t="shared" si="79"/>
        <v>101.2497459865881</v>
      </c>
      <c r="AA417" s="152">
        <f>'copy data3'!F471</f>
        <v>1233</v>
      </c>
      <c r="AB417" s="38">
        <f t="shared" si="80"/>
        <v>1262.75</v>
      </c>
      <c r="AC417" s="71">
        <f t="shared" si="81"/>
        <v>47.618598687683836</v>
      </c>
      <c r="AD417" s="152">
        <f>'copy data3'!H471</f>
        <v>570</v>
      </c>
      <c r="AE417" s="38">
        <f t="shared" si="82"/>
        <v>582.25</v>
      </c>
      <c r="AF417" s="71">
        <f t="shared" si="83"/>
        <v>41.344173826599445</v>
      </c>
      <c r="AG417" s="152">
        <f>'copy data3'!J471</f>
        <v>81</v>
      </c>
      <c r="AH417" s="38">
        <f t="shared" si="84"/>
        <v>79.25</v>
      </c>
      <c r="AI417" s="71">
        <f t="shared" si="85"/>
        <v>25.663860103626941</v>
      </c>
      <c r="AJ417" s="152">
        <f>'copy data3'!L471</f>
        <v>4952</v>
      </c>
      <c r="AK417" s="38">
        <f t="shared" si="86"/>
        <v>5010.5</v>
      </c>
      <c r="AL417" s="71">
        <f t="shared" si="87"/>
        <v>50.1039979200416</v>
      </c>
      <c r="AM417" s="152">
        <f>'copy data3'!N471</f>
        <v>9411</v>
      </c>
      <c r="AN417" s="38">
        <f t="shared" si="88"/>
        <v>9915.75</v>
      </c>
      <c r="AO417" s="71">
        <f t="shared" si="89"/>
        <v>51.884225562886876</v>
      </c>
      <c r="AP417" s="152">
        <f>'copy data3'!P471</f>
        <v>9163</v>
      </c>
      <c r="AQ417" s="38">
        <f t="shared" si="90"/>
        <v>9800.5</v>
      </c>
      <c r="AR417" s="71">
        <f t="shared" si="91"/>
        <v>102.19606043858643</v>
      </c>
      <c r="AS417" s="153">
        <f>'copy data3'!R471</f>
        <v>23526</v>
      </c>
      <c r="AT417" s="38">
        <f t="shared" si="73"/>
        <v>24726.75</v>
      </c>
      <c r="AU417" s="71">
        <f t="shared" si="72"/>
        <v>63.891099546786421</v>
      </c>
    </row>
    <row r="418" spans="1:47" ht="15.6" x14ac:dyDescent="0.3">
      <c r="A418" s="55">
        <v>37966</v>
      </c>
      <c r="B418" s="56">
        <v>3183</v>
      </c>
      <c r="C418" s="56">
        <v>6435</v>
      </c>
      <c r="D418" s="56">
        <v>658</v>
      </c>
      <c r="E418" s="56">
        <v>2145</v>
      </c>
      <c r="F418" s="56">
        <v>1336</v>
      </c>
      <c r="G418" s="56">
        <v>3744</v>
      </c>
      <c r="H418" s="56">
        <v>1249</v>
      </c>
      <c r="I418" s="56">
        <v>2181</v>
      </c>
      <c r="J418" s="56">
        <v>202</v>
      </c>
      <c r="K418" s="56">
        <v>654</v>
      </c>
      <c r="L418" s="56">
        <v>6628</v>
      </c>
      <c r="M418" s="56">
        <v>15159</v>
      </c>
      <c r="N418" s="56">
        <v>10319</v>
      </c>
      <c r="O418" s="56">
        <v>13312</v>
      </c>
      <c r="P418" s="56">
        <v>7816</v>
      </c>
      <c r="Q418" s="56">
        <v>11737</v>
      </c>
      <c r="R418" s="16">
        <f t="shared" si="75"/>
        <v>24763</v>
      </c>
      <c r="T418" s="144">
        <f t="shared" si="74"/>
        <v>39772</v>
      </c>
      <c r="U418" s="154">
        <f>'copy data3'!B472</f>
        <v>2008</v>
      </c>
      <c r="V418" s="38">
        <f t="shared" si="76"/>
        <v>2053</v>
      </c>
      <c r="W418" s="71">
        <f t="shared" si="77"/>
        <v>46.374519990964536</v>
      </c>
      <c r="X418" s="154">
        <f>'copy data3'!D472</f>
        <v>959</v>
      </c>
      <c r="Y418" s="38">
        <f t="shared" si="78"/>
        <v>986</v>
      </c>
      <c r="Z418" s="71">
        <f t="shared" si="79"/>
        <v>105.56745182012848</v>
      </c>
      <c r="AA418" s="152">
        <f>'copy data3'!F472</f>
        <v>1174</v>
      </c>
      <c r="AB418" s="38">
        <f t="shared" si="80"/>
        <v>1240</v>
      </c>
      <c r="AC418" s="71">
        <f t="shared" si="81"/>
        <v>46.863189720332578</v>
      </c>
      <c r="AD418" s="152">
        <f>'copy data3'!H472</f>
        <v>563</v>
      </c>
      <c r="AE418" s="38">
        <f t="shared" si="82"/>
        <v>572.25</v>
      </c>
      <c r="AF418" s="71">
        <f t="shared" si="83"/>
        <v>37.697628458498023</v>
      </c>
      <c r="AG418" s="152">
        <f>'copy data3'!J472</f>
        <v>115</v>
      </c>
      <c r="AH418" s="38">
        <f t="shared" si="84"/>
        <v>89</v>
      </c>
      <c r="AI418" s="71">
        <f t="shared" si="85"/>
        <v>28.990228013029316</v>
      </c>
      <c r="AJ418" s="152">
        <f>'copy data3'!L472</f>
        <v>4818</v>
      </c>
      <c r="AK418" s="38">
        <f t="shared" si="86"/>
        <v>4939</v>
      </c>
      <c r="AL418" s="71">
        <f t="shared" si="87"/>
        <v>50.233930024410093</v>
      </c>
      <c r="AM418" s="152">
        <f>'copy data3'!N472</f>
        <v>9110</v>
      </c>
      <c r="AN418" s="38">
        <f t="shared" si="88"/>
        <v>9610</v>
      </c>
      <c r="AO418" s="71">
        <f t="shared" si="89"/>
        <v>49.249218469738118</v>
      </c>
      <c r="AP418" s="152">
        <f>'copy data3'!P472</f>
        <v>8929</v>
      </c>
      <c r="AQ418" s="38">
        <f t="shared" si="90"/>
        <v>9383.5</v>
      </c>
      <c r="AR418" s="71">
        <f t="shared" si="91"/>
        <v>96.409123600123294</v>
      </c>
      <c r="AS418" s="153">
        <f>'copy data3'!R472</f>
        <v>22857</v>
      </c>
      <c r="AT418" s="38">
        <f t="shared" si="73"/>
        <v>23932.5</v>
      </c>
      <c r="AU418" s="71">
        <f t="shared" si="72"/>
        <v>61.242898817749115</v>
      </c>
    </row>
    <row r="419" spans="1:47" ht="15.6" x14ac:dyDescent="0.3">
      <c r="A419" s="55">
        <v>38330</v>
      </c>
      <c r="B419" s="56">
        <v>1498</v>
      </c>
      <c r="C419" s="56">
        <v>5347</v>
      </c>
      <c r="D419" s="56">
        <v>514</v>
      </c>
      <c r="E419" s="56">
        <v>2171</v>
      </c>
      <c r="F419" s="56">
        <v>1255</v>
      </c>
      <c r="G419" s="56">
        <v>4485</v>
      </c>
      <c r="H419" s="56">
        <v>749</v>
      </c>
      <c r="I419" s="56">
        <v>2942</v>
      </c>
      <c r="J419" s="56">
        <v>74</v>
      </c>
      <c r="K419" s="56">
        <v>366</v>
      </c>
      <c r="L419" s="56">
        <v>4088</v>
      </c>
      <c r="M419" s="56">
        <v>15312</v>
      </c>
      <c r="N419" s="56">
        <v>8113</v>
      </c>
      <c r="O419" s="56">
        <v>13423</v>
      </c>
      <c r="P419" s="56">
        <v>5780</v>
      </c>
      <c r="Q419" s="56">
        <v>11667</v>
      </c>
      <c r="R419" s="16">
        <f t="shared" si="75"/>
        <v>17981</v>
      </c>
      <c r="T419" s="144">
        <f t="shared" si="74"/>
        <v>39779</v>
      </c>
      <c r="U419" s="154">
        <f>'copy data3'!B473</f>
        <v>1842</v>
      </c>
      <c r="V419" s="38">
        <f t="shared" si="76"/>
        <v>1983.25</v>
      </c>
      <c r="W419" s="71">
        <f t="shared" si="77"/>
        <v>45.518705531328898</v>
      </c>
      <c r="X419" s="154">
        <f>'copy data3'!D473</f>
        <v>924</v>
      </c>
      <c r="Y419" s="38">
        <f t="shared" si="78"/>
        <v>972</v>
      </c>
      <c r="Z419" s="71">
        <f t="shared" si="79"/>
        <v>117.2496984318456</v>
      </c>
      <c r="AA419" s="152">
        <f>'copy data3'!F473</f>
        <v>1040</v>
      </c>
      <c r="AB419" s="38">
        <f t="shared" si="80"/>
        <v>1173.75</v>
      </c>
      <c r="AC419" s="71">
        <f t="shared" si="81"/>
        <v>46.59587137753077</v>
      </c>
      <c r="AD419" s="152">
        <f>'copy data3'!H473</f>
        <v>653</v>
      </c>
      <c r="AE419" s="38">
        <f t="shared" si="82"/>
        <v>583.5</v>
      </c>
      <c r="AF419" s="71">
        <f t="shared" si="83"/>
        <v>39.965753424657535</v>
      </c>
      <c r="AG419" s="152">
        <f>'copy data3'!J473</f>
        <v>104</v>
      </c>
      <c r="AH419" s="38">
        <f t="shared" si="84"/>
        <v>95</v>
      </c>
      <c r="AI419" s="71">
        <f t="shared" si="85"/>
        <v>37.848605577689241</v>
      </c>
      <c r="AJ419" s="152">
        <f>'copy data3'!L473</f>
        <v>4563</v>
      </c>
      <c r="AK419" s="38">
        <f t="shared" si="86"/>
        <v>4806.5</v>
      </c>
      <c r="AL419" s="71">
        <f t="shared" si="87"/>
        <v>51.046091758708577</v>
      </c>
      <c r="AM419" s="152">
        <f>'copy data3'!N473</f>
        <v>8524</v>
      </c>
      <c r="AN419" s="38">
        <f t="shared" si="88"/>
        <v>9194.5</v>
      </c>
      <c r="AO419" s="71">
        <f t="shared" si="89"/>
        <v>48.280298256668772</v>
      </c>
      <c r="AP419" s="152">
        <f>'copy data3'!P473</f>
        <v>8026</v>
      </c>
      <c r="AQ419" s="38">
        <f t="shared" si="90"/>
        <v>8889.25</v>
      </c>
      <c r="AR419" s="71">
        <f t="shared" si="91"/>
        <v>90.73440849239563</v>
      </c>
      <c r="AS419" s="153">
        <f>'copy data3'!R473</f>
        <v>21113</v>
      </c>
      <c r="AT419" s="38">
        <f t="shared" si="73"/>
        <v>22890.25</v>
      </c>
      <c r="AU419" s="71">
        <f t="shared" si="72"/>
        <v>59.83284104869697</v>
      </c>
    </row>
    <row r="420" spans="1:47" ht="15.6" x14ac:dyDescent="0.3">
      <c r="A420" s="55">
        <v>37973</v>
      </c>
      <c r="B420" s="56">
        <v>3313</v>
      </c>
      <c r="C420" s="56">
        <v>6590</v>
      </c>
      <c r="D420" s="56">
        <v>706</v>
      </c>
      <c r="E420" s="56">
        <v>2170</v>
      </c>
      <c r="F420" s="56">
        <v>1487</v>
      </c>
      <c r="G420" s="56">
        <v>3828</v>
      </c>
      <c r="H420" s="56">
        <v>1380</v>
      </c>
      <c r="I420" s="56">
        <v>2226</v>
      </c>
      <c r="J420" s="56">
        <v>173</v>
      </c>
      <c r="K420" s="56">
        <v>674</v>
      </c>
      <c r="L420" s="56">
        <v>7059</v>
      </c>
      <c r="M420" s="56">
        <v>15487</v>
      </c>
      <c r="N420" s="56">
        <v>9847</v>
      </c>
      <c r="O420" s="56">
        <v>14737</v>
      </c>
      <c r="P420" s="56">
        <v>8301</v>
      </c>
      <c r="Q420" s="56">
        <v>12709</v>
      </c>
      <c r="R420" s="16">
        <f t="shared" si="75"/>
        <v>25207</v>
      </c>
      <c r="T420" s="144">
        <f t="shared" si="74"/>
        <v>39786</v>
      </c>
      <c r="U420" s="154">
        <f>'copy data3'!B474</f>
        <v>1836</v>
      </c>
      <c r="V420" s="38">
        <f t="shared" si="76"/>
        <v>1930.75</v>
      </c>
      <c r="W420" s="71">
        <f t="shared" si="77"/>
        <v>45.237816307403939</v>
      </c>
      <c r="X420" s="154">
        <f>'copy data3'!D474</f>
        <v>901</v>
      </c>
      <c r="Y420" s="38">
        <f t="shared" si="78"/>
        <v>954.25</v>
      </c>
      <c r="Z420" s="71">
        <f t="shared" si="79"/>
        <v>100.34174553101998</v>
      </c>
      <c r="AA420" s="152">
        <f>'copy data3'!F474</f>
        <v>1096</v>
      </c>
      <c r="AB420" s="38">
        <f t="shared" si="80"/>
        <v>1135.75</v>
      </c>
      <c r="AC420" s="71">
        <f t="shared" si="81"/>
        <v>46.20626525630594</v>
      </c>
      <c r="AD420" s="152">
        <f>'copy data3'!H474</f>
        <v>543</v>
      </c>
      <c r="AE420" s="38">
        <f t="shared" si="82"/>
        <v>582.25</v>
      </c>
      <c r="AF420" s="71">
        <f t="shared" si="83"/>
        <v>41.294326241134755</v>
      </c>
      <c r="AG420" s="152">
        <f>'copy data3'!J474</f>
        <v>104</v>
      </c>
      <c r="AH420" s="38">
        <f t="shared" si="84"/>
        <v>101</v>
      </c>
      <c r="AI420" s="71">
        <f t="shared" si="85"/>
        <v>56.424581005586596</v>
      </c>
      <c r="AJ420" s="152">
        <f>'copy data3'!L474</f>
        <v>4480</v>
      </c>
      <c r="AK420" s="38">
        <f t="shared" si="86"/>
        <v>4703.25</v>
      </c>
      <c r="AL420" s="71">
        <f t="shared" si="87"/>
        <v>50.758148068206346</v>
      </c>
      <c r="AM420" s="152">
        <f>'copy data3'!N474</f>
        <v>8764</v>
      </c>
      <c r="AN420" s="38">
        <f t="shared" si="88"/>
        <v>8952.25</v>
      </c>
      <c r="AO420" s="71">
        <f t="shared" si="89"/>
        <v>46.762693272043457</v>
      </c>
      <c r="AP420" s="152">
        <f>'copy data3'!P474</f>
        <v>7889</v>
      </c>
      <c r="AQ420" s="38">
        <f t="shared" si="90"/>
        <v>8501.75</v>
      </c>
      <c r="AR420" s="71">
        <f t="shared" si="91"/>
        <v>86.146012767250994</v>
      </c>
      <c r="AS420" s="153">
        <f>'copy data3'!R474</f>
        <v>21133</v>
      </c>
      <c r="AT420" s="38">
        <f t="shared" si="73"/>
        <v>22157.25</v>
      </c>
      <c r="AU420" s="71">
        <f t="shared" si="72"/>
        <v>57.883565401395018</v>
      </c>
    </row>
    <row r="421" spans="1:47" ht="15.6" x14ac:dyDescent="0.3">
      <c r="A421" s="55">
        <v>38337</v>
      </c>
      <c r="B421" s="56">
        <v>1700</v>
      </c>
      <c r="C421" s="56">
        <v>5459</v>
      </c>
      <c r="D421" s="56">
        <v>495</v>
      </c>
      <c r="E421" s="56">
        <v>2249</v>
      </c>
      <c r="F421" s="56">
        <v>1250</v>
      </c>
      <c r="G421" s="56">
        <v>4643</v>
      </c>
      <c r="H421" s="56">
        <v>776</v>
      </c>
      <c r="I421" s="56">
        <v>2993</v>
      </c>
      <c r="J421" s="56">
        <v>78</v>
      </c>
      <c r="K421" s="56">
        <v>366</v>
      </c>
      <c r="L421" s="56">
        <v>4299</v>
      </c>
      <c r="M421" s="56">
        <v>15710</v>
      </c>
      <c r="N421" s="56">
        <v>7770</v>
      </c>
      <c r="O421" s="56">
        <v>14492</v>
      </c>
      <c r="P421" s="56">
        <v>5692</v>
      </c>
      <c r="Q421" s="56">
        <v>12913</v>
      </c>
      <c r="R421" s="16">
        <f t="shared" si="75"/>
        <v>17761</v>
      </c>
      <c r="T421" s="144">
        <f t="shared" si="74"/>
        <v>39793</v>
      </c>
      <c r="U421" s="154">
        <f>'copy data3'!B475</f>
        <v>1841</v>
      </c>
      <c r="V421" s="38">
        <f t="shared" si="76"/>
        <v>1881.75</v>
      </c>
      <c r="W421" s="71">
        <f t="shared" si="77"/>
        <v>44.4963348309293</v>
      </c>
      <c r="X421" s="154">
        <f>'copy data3'!D475</f>
        <v>920</v>
      </c>
      <c r="Y421" s="38">
        <f t="shared" si="78"/>
        <v>926</v>
      </c>
      <c r="Z421" s="71">
        <f t="shared" si="79"/>
        <v>111.56626506024097</v>
      </c>
      <c r="AA421" s="152">
        <f>'copy data3'!F475</f>
        <v>979</v>
      </c>
      <c r="AB421" s="38">
        <f t="shared" si="80"/>
        <v>1072.25</v>
      </c>
      <c r="AC421" s="71">
        <f t="shared" si="81"/>
        <v>45.569485762855926</v>
      </c>
      <c r="AD421" s="152">
        <f>'copy data3'!H475</f>
        <v>511</v>
      </c>
      <c r="AE421" s="38">
        <f t="shared" si="82"/>
        <v>567.5</v>
      </c>
      <c r="AF421" s="71">
        <f t="shared" si="83"/>
        <v>41.697281410727406</v>
      </c>
      <c r="AG421" s="152">
        <f>'copy data3'!J475</f>
        <v>75</v>
      </c>
      <c r="AH421" s="38">
        <f t="shared" si="84"/>
        <v>99.5</v>
      </c>
      <c r="AI421" s="71">
        <f t="shared" si="85"/>
        <v>57.514450867052027</v>
      </c>
      <c r="AJ421" s="152">
        <f>'copy data3'!L475</f>
        <v>4327</v>
      </c>
      <c r="AK421" s="38">
        <f t="shared" si="86"/>
        <v>4547</v>
      </c>
      <c r="AL421" s="71">
        <f t="shared" si="87"/>
        <v>50.827185334227586</v>
      </c>
      <c r="AM421" s="152">
        <f>'copy data3'!N475</f>
        <v>8666</v>
      </c>
      <c r="AN421" s="38">
        <f t="shared" si="88"/>
        <v>8766</v>
      </c>
      <c r="AO421" s="71">
        <f t="shared" si="89"/>
        <v>45.936173557616726</v>
      </c>
      <c r="AP421" s="152">
        <f>'copy data3'!P475</f>
        <v>7628</v>
      </c>
      <c r="AQ421" s="38">
        <f t="shared" si="90"/>
        <v>8118</v>
      </c>
      <c r="AR421" s="71">
        <f t="shared" si="91"/>
        <v>84.229093172857432</v>
      </c>
      <c r="AS421" s="153">
        <f>'copy data3'!R475</f>
        <v>20621</v>
      </c>
      <c r="AT421" s="38">
        <f t="shared" si="73"/>
        <v>21431</v>
      </c>
      <c r="AU421" s="71">
        <f t="shared" si="72"/>
        <v>56.895956672949801</v>
      </c>
    </row>
    <row r="422" spans="1:47" ht="15.6" x14ac:dyDescent="0.3">
      <c r="A422" s="55">
        <v>37980</v>
      </c>
      <c r="B422" s="56">
        <v>3331</v>
      </c>
      <c r="C422" s="56">
        <v>6815</v>
      </c>
      <c r="D422" s="56">
        <v>735</v>
      </c>
      <c r="E422" s="56">
        <v>2185</v>
      </c>
      <c r="F422" s="56">
        <v>1412</v>
      </c>
      <c r="G422" s="56">
        <v>3944</v>
      </c>
      <c r="H422" s="56">
        <v>1315</v>
      </c>
      <c r="I422" s="56">
        <v>2386</v>
      </c>
      <c r="J422" s="56">
        <v>190</v>
      </c>
      <c r="K422" s="56">
        <v>674</v>
      </c>
      <c r="L422" s="56">
        <v>6983</v>
      </c>
      <c r="M422" s="56">
        <v>16004</v>
      </c>
      <c r="N422" s="56">
        <v>9763</v>
      </c>
      <c r="O422" s="56">
        <v>15576</v>
      </c>
      <c r="P422" s="56">
        <v>8199</v>
      </c>
      <c r="Q422" s="56">
        <v>13356</v>
      </c>
      <c r="R422" s="16">
        <f t="shared" si="75"/>
        <v>24945</v>
      </c>
      <c r="T422" s="144">
        <f t="shared" si="74"/>
        <v>39800</v>
      </c>
      <c r="U422" s="154">
        <f>'copy data3'!B476</f>
        <v>1807.1</v>
      </c>
      <c r="V422" s="38">
        <f t="shared" si="76"/>
        <v>1831.5250000000001</v>
      </c>
      <c r="W422" s="71">
        <f t="shared" si="77"/>
        <v>44.882618178253736</v>
      </c>
      <c r="X422" s="154">
        <f>'copy data3'!D476</f>
        <v>899.7</v>
      </c>
      <c r="Y422" s="38">
        <f t="shared" si="78"/>
        <v>911.17499999999995</v>
      </c>
      <c r="Z422" s="71">
        <f t="shared" si="79"/>
        <v>109.75367381353888</v>
      </c>
      <c r="AA422" s="152">
        <f>'copy data3'!F476</f>
        <v>937.8</v>
      </c>
      <c r="AB422" s="38">
        <f t="shared" si="80"/>
        <v>1013.2</v>
      </c>
      <c r="AC422" s="71">
        <f t="shared" si="81"/>
        <v>41.869498739617342</v>
      </c>
      <c r="AD422" s="152">
        <f>'copy data3'!H476</f>
        <v>569.79999999999995</v>
      </c>
      <c r="AE422" s="38">
        <f t="shared" si="82"/>
        <v>569.20000000000005</v>
      </c>
      <c r="AF422" s="71">
        <f t="shared" si="83"/>
        <v>41.474788691343633</v>
      </c>
      <c r="AG422" s="152">
        <f>'copy data3'!J476</f>
        <v>75.099999999999994</v>
      </c>
      <c r="AH422" s="38">
        <f t="shared" si="84"/>
        <v>89.525000000000006</v>
      </c>
      <c r="AI422" s="71">
        <f t="shared" si="85"/>
        <v>51.748554913294797</v>
      </c>
      <c r="AJ422" s="152">
        <f>'copy data3'!L476</f>
        <v>4289.5</v>
      </c>
      <c r="AK422" s="38">
        <f t="shared" si="86"/>
        <v>4414.875</v>
      </c>
      <c r="AL422" s="71">
        <f t="shared" si="87"/>
        <v>49.80792662289312</v>
      </c>
      <c r="AM422" s="152">
        <f>'copy data3'!N476</f>
        <v>8386</v>
      </c>
      <c r="AN422" s="38">
        <f t="shared" si="88"/>
        <v>8585</v>
      </c>
      <c r="AO422" s="71">
        <f t="shared" si="89"/>
        <v>44.612698379704206</v>
      </c>
      <c r="AP422" s="152">
        <f>'copy data3'!P476</f>
        <v>7260.9</v>
      </c>
      <c r="AQ422" s="38">
        <f t="shared" si="90"/>
        <v>7700.9750000000004</v>
      </c>
      <c r="AR422" s="71">
        <f t="shared" si="91"/>
        <v>81.175686216637871</v>
      </c>
      <c r="AS422" s="153">
        <f>'copy data3'!R476</f>
        <v>19936.400000000001</v>
      </c>
      <c r="AT422" s="38">
        <f t="shared" si="73"/>
        <v>20700.849999999999</v>
      </c>
      <c r="AU422" s="71">
        <f t="shared" si="72"/>
        <v>55.064238974304402</v>
      </c>
    </row>
    <row r="423" spans="1:47" ht="15.6" x14ac:dyDescent="0.3">
      <c r="A423" s="55">
        <v>38344</v>
      </c>
      <c r="B423" s="56">
        <v>1610</v>
      </c>
      <c r="C423" s="56">
        <v>5672</v>
      </c>
      <c r="D423" s="56">
        <v>492</v>
      </c>
      <c r="E423" s="56">
        <v>2321</v>
      </c>
      <c r="F423" s="56">
        <v>1181</v>
      </c>
      <c r="G423" s="56">
        <v>4762</v>
      </c>
      <c r="H423" s="56">
        <v>738</v>
      </c>
      <c r="I423" s="56">
        <v>3079</v>
      </c>
      <c r="J423" s="56">
        <v>128</v>
      </c>
      <c r="K423" s="56">
        <v>366</v>
      </c>
      <c r="L423" s="56">
        <v>4148</v>
      </c>
      <c r="M423" s="56">
        <v>16199</v>
      </c>
      <c r="N423" s="56">
        <v>7496</v>
      </c>
      <c r="O423" s="56">
        <v>15517</v>
      </c>
      <c r="P423" s="56">
        <v>5744</v>
      </c>
      <c r="Q423" s="56">
        <v>13787</v>
      </c>
      <c r="R423" s="16">
        <f t="shared" si="75"/>
        <v>17388</v>
      </c>
      <c r="T423" s="144">
        <f t="shared" si="74"/>
        <v>39807</v>
      </c>
      <c r="U423" s="154">
        <f>'copy data3'!B477</f>
        <v>1878</v>
      </c>
      <c r="V423" s="38">
        <f t="shared" si="76"/>
        <v>1840.5250000000001</v>
      </c>
      <c r="W423" s="71">
        <f t="shared" si="77"/>
        <v>46.174736578023087</v>
      </c>
      <c r="X423" s="154">
        <f>'copy data3'!D477</f>
        <v>956</v>
      </c>
      <c r="Y423" s="38">
        <f t="shared" si="78"/>
        <v>919.17499999999995</v>
      </c>
      <c r="Z423" s="71">
        <f t="shared" si="79"/>
        <v>124.21283783783782</v>
      </c>
      <c r="AA423" s="152">
        <f>'copy data3'!F477</f>
        <v>950</v>
      </c>
      <c r="AB423" s="38">
        <f t="shared" si="80"/>
        <v>990.7</v>
      </c>
      <c r="AC423" s="71">
        <f t="shared" si="81"/>
        <v>42.665805340223947</v>
      </c>
      <c r="AD423" s="152">
        <f>'copy data3'!H477</f>
        <v>656</v>
      </c>
      <c r="AE423" s="38">
        <f t="shared" si="82"/>
        <v>569.95000000000005</v>
      </c>
      <c r="AF423" s="71">
        <f t="shared" si="83"/>
        <v>43.047583081570998</v>
      </c>
      <c r="AG423" s="152">
        <f>'copy data3'!J477</f>
        <v>91</v>
      </c>
      <c r="AH423" s="38">
        <f t="shared" si="84"/>
        <v>86.275000000000006</v>
      </c>
      <c r="AI423" s="71">
        <f t="shared" si="85"/>
        <v>49.869942196531795</v>
      </c>
      <c r="AJ423" s="152">
        <f>'copy data3'!L477</f>
        <v>4531</v>
      </c>
      <c r="AK423" s="38">
        <f t="shared" si="86"/>
        <v>4406.875</v>
      </c>
      <c r="AL423" s="71">
        <f t="shared" si="87"/>
        <v>51.572557050906966</v>
      </c>
      <c r="AM423" s="152">
        <f>'copy data3'!N477</f>
        <v>8054</v>
      </c>
      <c r="AN423" s="38">
        <f t="shared" si="88"/>
        <v>8467.5</v>
      </c>
      <c r="AO423" s="71">
        <f t="shared" si="89"/>
        <v>45.030312699425657</v>
      </c>
      <c r="AP423" s="152">
        <f>'copy data3'!P477</f>
        <v>6851</v>
      </c>
      <c r="AQ423" s="38">
        <f t="shared" si="90"/>
        <v>7407.2250000000004</v>
      </c>
      <c r="AR423" s="71">
        <f t="shared" si="91"/>
        <v>81.929266674040491</v>
      </c>
      <c r="AS423" s="153">
        <f>'copy data3'!R477</f>
        <v>19436</v>
      </c>
      <c r="AT423" s="38">
        <f t="shared" si="73"/>
        <v>20281.599999999999</v>
      </c>
      <c r="AU423" s="71">
        <f t="shared" si="72"/>
        <v>55.733992855179991</v>
      </c>
    </row>
    <row r="424" spans="1:47" ht="15.6" x14ac:dyDescent="0.3">
      <c r="A424" s="55">
        <v>37986</v>
      </c>
      <c r="B424" s="56">
        <v>3172</v>
      </c>
      <c r="C424" s="56">
        <v>7004</v>
      </c>
      <c r="D424" s="56">
        <v>611</v>
      </c>
      <c r="E424" s="56">
        <v>2322</v>
      </c>
      <c r="F424" s="56">
        <v>1401</v>
      </c>
      <c r="G424" s="56">
        <v>4026</v>
      </c>
      <c r="H424" s="56">
        <v>1246</v>
      </c>
      <c r="I424" s="56">
        <v>2476</v>
      </c>
      <c r="J424" s="56">
        <v>182</v>
      </c>
      <c r="K424" s="56">
        <v>693</v>
      </c>
      <c r="L424" s="56">
        <v>6613</v>
      </c>
      <c r="M424" s="56">
        <v>16520</v>
      </c>
      <c r="N424" s="56">
        <v>9150</v>
      </c>
      <c r="O424" s="56">
        <v>16608</v>
      </c>
      <c r="P424" s="56">
        <v>7697</v>
      </c>
      <c r="Q424" s="56">
        <v>14014</v>
      </c>
      <c r="R424" s="16">
        <f t="shared" si="75"/>
        <v>23460</v>
      </c>
      <c r="T424" s="144">
        <f t="shared" si="74"/>
        <v>39814</v>
      </c>
      <c r="U424" s="154">
        <f>'copy data3'!B478</f>
        <v>1797</v>
      </c>
      <c r="V424" s="38">
        <f t="shared" si="76"/>
        <v>1830.7750000000001</v>
      </c>
      <c r="W424" s="71">
        <f t="shared" si="77"/>
        <v>48.369220607661831</v>
      </c>
      <c r="X424" s="154">
        <f>'copy data3'!D478</f>
        <v>869</v>
      </c>
      <c r="Y424" s="38">
        <f t="shared" si="78"/>
        <v>911.17499999999995</v>
      </c>
      <c r="Z424" s="71">
        <f t="shared" si="79"/>
        <v>111.11890243902438</v>
      </c>
      <c r="AA424" s="152">
        <f>'copy data3'!F478</f>
        <v>885</v>
      </c>
      <c r="AB424" s="38">
        <f t="shared" si="80"/>
        <v>937.95</v>
      </c>
      <c r="AC424" s="71">
        <f t="shared" si="81"/>
        <v>42.498867240598095</v>
      </c>
      <c r="AD424" s="152">
        <f>'copy data3'!H478</f>
        <v>579</v>
      </c>
      <c r="AE424" s="38">
        <f t="shared" si="82"/>
        <v>578.95000000000005</v>
      </c>
      <c r="AF424" s="71">
        <f t="shared" si="83"/>
        <v>45.159906396255856</v>
      </c>
      <c r="AG424" s="152">
        <f>'copy data3'!J478</f>
        <v>91</v>
      </c>
      <c r="AH424" s="38">
        <f t="shared" si="84"/>
        <v>83.025000000000006</v>
      </c>
      <c r="AI424" s="71">
        <f t="shared" si="85"/>
        <v>48.55263157894737</v>
      </c>
      <c r="AJ424" s="152">
        <f>'copy data3'!L478</f>
        <v>4221</v>
      </c>
      <c r="AK424" s="38">
        <f t="shared" si="86"/>
        <v>4342.125</v>
      </c>
      <c r="AL424" s="71">
        <f t="shared" si="87"/>
        <v>52.536297640653359</v>
      </c>
      <c r="AM424" s="152">
        <f>'copy data3'!N478</f>
        <v>7703</v>
      </c>
      <c r="AN424" s="38">
        <f t="shared" si="88"/>
        <v>8202.25</v>
      </c>
      <c r="AO424" s="71">
        <f t="shared" si="89"/>
        <v>44.346074826989614</v>
      </c>
      <c r="AP424" s="152">
        <f>'copy data3'!P478</f>
        <v>6576</v>
      </c>
      <c r="AQ424" s="38">
        <f t="shared" si="90"/>
        <v>7078.9750000000004</v>
      </c>
      <c r="AR424" s="71">
        <f t="shared" si="91"/>
        <v>86.139875882209793</v>
      </c>
      <c r="AS424" s="153">
        <f>'copy data3'!R478</f>
        <v>18500</v>
      </c>
      <c r="AT424" s="38">
        <f t="shared" si="73"/>
        <v>19623.349999999999</v>
      </c>
      <c r="AU424" s="71">
        <f t="shared" si="72"/>
        <v>56.100374510420536</v>
      </c>
    </row>
    <row r="425" spans="1:47" ht="15.6" x14ac:dyDescent="0.3">
      <c r="A425" s="55">
        <v>38351</v>
      </c>
      <c r="B425" s="56">
        <v>1482</v>
      </c>
      <c r="C425" s="56">
        <v>5825</v>
      </c>
      <c r="D425" s="56">
        <v>412</v>
      </c>
      <c r="E425" s="56">
        <v>2401</v>
      </c>
      <c r="F425" s="56">
        <v>1054</v>
      </c>
      <c r="G425" s="56">
        <v>4908</v>
      </c>
      <c r="H425" s="56">
        <v>768</v>
      </c>
      <c r="I425" s="56">
        <v>3099</v>
      </c>
      <c r="J425" s="56">
        <v>115</v>
      </c>
      <c r="K425" s="56">
        <v>372</v>
      </c>
      <c r="L425" s="56">
        <v>3831</v>
      </c>
      <c r="M425" s="56">
        <v>16605</v>
      </c>
      <c r="N425" s="56">
        <v>6975</v>
      </c>
      <c r="O425" s="56">
        <v>16415</v>
      </c>
      <c r="P425" s="56">
        <v>5434</v>
      </c>
      <c r="Q425" s="56">
        <v>14691</v>
      </c>
      <c r="R425" s="16">
        <f t="shared" si="75"/>
        <v>16240</v>
      </c>
      <c r="T425" s="144">
        <f t="shared" si="74"/>
        <v>39821</v>
      </c>
      <c r="U425" s="154">
        <f>'copy data3'!B479</f>
        <v>1577</v>
      </c>
      <c r="V425" s="38">
        <f t="shared" si="76"/>
        <v>1764.7750000000001</v>
      </c>
      <c r="W425" s="71">
        <f t="shared" si="77"/>
        <v>49.062413122046152</v>
      </c>
      <c r="X425" s="154">
        <f>'copy data3'!D479</f>
        <v>705</v>
      </c>
      <c r="Y425" s="38">
        <f t="shared" si="78"/>
        <v>857.42499999999995</v>
      </c>
      <c r="Z425" s="71">
        <f t="shared" si="79"/>
        <v>100.51875732708089</v>
      </c>
      <c r="AA425" s="152">
        <f>'copy data3'!F479</f>
        <v>804</v>
      </c>
      <c r="AB425" s="38">
        <f t="shared" si="80"/>
        <v>894.2</v>
      </c>
      <c r="AC425" s="71">
        <f t="shared" si="81"/>
        <v>41.746031746031747</v>
      </c>
      <c r="AD425" s="152">
        <f>'copy data3'!H479</f>
        <v>561</v>
      </c>
      <c r="AE425" s="38">
        <f t="shared" si="82"/>
        <v>591.45000000000005</v>
      </c>
      <c r="AF425" s="71">
        <f t="shared" si="83"/>
        <v>47.353883106485192</v>
      </c>
      <c r="AG425" s="152">
        <f>'copy data3'!J479</f>
        <v>91</v>
      </c>
      <c r="AH425" s="38">
        <f t="shared" si="84"/>
        <v>87.025000000000006</v>
      </c>
      <c r="AI425" s="71">
        <f t="shared" si="85"/>
        <v>69.62</v>
      </c>
      <c r="AJ425" s="152">
        <f>'copy data3'!L479</f>
        <v>3738</v>
      </c>
      <c r="AK425" s="38">
        <f t="shared" si="86"/>
        <v>4194.875</v>
      </c>
      <c r="AL425" s="71">
        <f t="shared" si="87"/>
        <v>52.659741400954054</v>
      </c>
      <c r="AM425" s="152">
        <f>'copy data3'!N479</f>
        <v>7307</v>
      </c>
      <c r="AN425" s="38">
        <f t="shared" si="88"/>
        <v>7862.5</v>
      </c>
      <c r="AO425" s="71">
        <f t="shared" si="89"/>
        <v>40.605794556628624</v>
      </c>
      <c r="AP425" s="152">
        <f>'copy data3'!P479</f>
        <v>7211</v>
      </c>
      <c r="AQ425" s="38">
        <f t="shared" si="90"/>
        <v>6974.7250000000004</v>
      </c>
      <c r="AR425" s="71">
        <f t="shared" si="91"/>
        <v>82.75658519221642</v>
      </c>
      <c r="AS425" s="153">
        <f>'copy data3'!R479</f>
        <v>18256</v>
      </c>
      <c r="AT425" s="38">
        <f t="shared" si="73"/>
        <v>19032.099999999999</v>
      </c>
      <c r="AU425" s="71">
        <f t="shared" si="72"/>
        <v>53.226221439158763</v>
      </c>
    </row>
    <row r="426" spans="1:47" ht="15.6" x14ac:dyDescent="0.3">
      <c r="A426" s="55">
        <v>37994</v>
      </c>
      <c r="B426" s="56">
        <v>3123</v>
      </c>
      <c r="C426" s="56">
        <v>7270</v>
      </c>
      <c r="D426" s="56">
        <v>657</v>
      </c>
      <c r="E426" s="56">
        <v>2367</v>
      </c>
      <c r="F426" s="56">
        <v>1379</v>
      </c>
      <c r="G426" s="56">
        <v>4067</v>
      </c>
      <c r="H426" s="56">
        <v>1043</v>
      </c>
      <c r="I426" s="56">
        <v>2679</v>
      </c>
      <c r="J426" s="56">
        <v>190</v>
      </c>
      <c r="K426" s="56">
        <v>693</v>
      </c>
      <c r="L426" s="56">
        <v>6392</v>
      </c>
      <c r="M426" s="56">
        <v>17076</v>
      </c>
      <c r="N426" s="56">
        <v>8986</v>
      </c>
      <c r="O426" s="56">
        <v>17611</v>
      </c>
      <c r="P426" s="56">
        <v>7447</v>
      </c>
      <c r="Q426" s="56">
        <v>14730</v>
      </c>
      <c r="R426" s="16">
        <f t="shared" si="75"/>
        <v>22825</v>
      </c>
      <c r="T426" s="144">
        <f t="shared" si="74"/>
        <v>39828</v>
      </c>
      <c r="U426" s="154">
        <f>'copy data3'!B480</f>
        <v>1693</v>
      </c>
      <c r="V426" s="38">
        <f t="shared" si="76"/>
        <v>1736.25</v>
      </c>
      <c r="W426" s="71">
        <f t="shared" si="77"/>
        <v>47.193530850774664</v>
      </c>
      <c r="X426" s="154">
        <f>'copy data3'!D480</f>
        <v>666</v>
      </c>
      <c r="Y426" s="38">
        <f t="shared" si="78"/>
        <v>799</v>
      </c>
      <c r="Z426" s="71">
        <f t="shared" si="79"/>
        <v>94.444444444444443</v>
      </c>
      <c r="AA426" s="152">
        <f>'copy data3'!F480</f>
        <v>932</v>
      </c>
      <c r="AB426" s="38">
        <f t="shared" si="80"/>
        <v>892.75</v>
      </c>
      <c r="AC426" s="71">
        <f t="shared" si="81"/>
        <v>42.838291746641076</v>
      </c>
      <c r="AD426" s="152">
        <f>'copy data3'!H480</f>
        <v>583</v>
      </c>
      <c r="AE426" s="38">
        <f t="shared" si="82"/>
        <v>594.75</v>
      </c>
      <c r="AF426" s="71">
        <f t="shared" si="83"/>
        <v>51.051502145922747</v>
      </c>
      <c r="AG426" s="152">
        <f>'copy data3'!J480</f>
        <v>91</v>
      </c>
      <c r="AH426" s="38">
        <f t="shared" si="84"/>
        <v>91</v>
      </c>
      <c r="AI426" s="71">
        <f t="shared" si="85"/>
        <v>75.833333333333329</v>
      </c>
      <c r="AJ426" s="152">
        <f>'copy data3'!L480</f>
        <v>3966</v>
      </c>
      <c r="AK426" s="38">
        <f t="shared" si="86"/>
        <v>4114</v>
      </c>
      <c r="AL426" s="71">
        <f t="shared" si="87"/>
        <v>52.115530782873066</v>
      </c>
      <c r="AM426" s="152">
        <f>'copy data3'!N480</f>
        <v>7709</v>
      </c>
      <c r="AN426" s="38">
        <f t="shared" si="88"/>
        <v>7693.25</v>
      </c>
      <c r="AO426" s="71">
        <f t="shared" si="89"/>
        <v>39.205269326810374</v>
      </c>
      <c r="AP426" s="152">
        <f>'copy data3'!P480</f>
        <v>7518</v>
      </c>
      <c r="AQ426" s="38">
        <f t="shared" si="90"/>
        <v>7039</v>
      </c>
      <c r="AR426" s="71">
        <f t="shared" si="91"/>
        <v>87.062461348175631</v>
      </c>
      <c r="AS426" s="153">
        <f>'copy data3'!R480</f>
        <v>19193</v>
      </c>
      <c r="AT426" s="38">
        <f t="shared" si="73"/>
        <v>18846.25</v>
      </c>
      <c r="AU426" s="71">
        <f t="shared" si="72"/>
        <v>52.935930565698555</v>
      </c>
    </row>
    <row r="427" spans="1:47" ht="15.6" x14ac:dyDescent="0.3">
      <c r="A427" s="55">
        <v>38358</v>
      </c>
      <c r="B427" s="56">
        <v>1479</v>
      </c>
      <c r="C427" s="56">
        <v>5960</v>
      </c>
      <c r="D427" s="56">
        <v>367</v>
      </c>
      <c r="E427" s="56">
        <v>2451</v>
      </c>
      <c r="F427" s="56">
        <v>1096</v>
      </c>
      <c r="G427" s="56">
        <v>5051</v>
      </c>
      <c r="H427" s="56">
        <v>735</v>
      </c>
      <c r="I427" s="56">
        <v>3211</v>
      </c>
      <c r="J427" s="56">
        <v>115</v>
      </c>
      <c r="K427" s="56">
        <v>383</v>
      </c>
      <c r="L427" s="56">
        <v>3792</v>
      </c>
      <c r="M427" s="56">
        <v>17056</v>
      </c>
      <c r="N427" s="56">
        <v>6999</v>
      </c>
      <c r="O427" s="56">
        <v>17049</v>
      </c>
      <c r="P427" s="56">
        <v>5692</v>
      </c>
      <c r="Q427" s="56">
        <v>15499</v>
      </c>
      <c r="R427" s="16">
        <f t="shared" si="75"/>
        <v>16483</v>
      </c>
      <c r="T427" s="144">
        <f t="shared" si="74"/>
        <v>39835</v>
      </c>
      <c r="U427" s="154">
        <f>'copy data3'!B481</f>
        <v>1294</v>
      </c>
      <c r="V427" s="38">
        <f t="shared" si="76"/>
        <v>1590.25</v>
      </c>
      <c r="W427" s="71">
        <f t="shared" si="77"/>
        <v>44.124583795782463</v>
      </c>
      <c r="X427" s="154">
        <f>'copy data3'!D481</f>
        <v>699</v>
      </c>
      <c r="Y427" s="38">
        <f t="shared" si="78"/>
        <v>734.75</v>
      </c>
      <c r="Z427" s="71">
        <f t="shared" si="79"/>
        <v>86.036299765807968</v>
      </c>
      <c r="AA427" s="152">
        <f>'copy data3'!F481</f>
        <v>850</v>
      </c>
      <c r="AB427" s="38">
        <f t="shared" si="80"/>
        <v>867.75</v>
      </c>
      <c r="AC427" s="71">
        <f t="shared" si="81"/>
        <v>42.788461538461533</v>
      </c>
      <c r="AD427" s="152">
        <f>'copy data3'!H481</f>
        <v>725</v>
      </c>
      <c r="AE427" s="38">
        <f t="shared" si="82"/>
        <v>612</v>
      </c>
      <c r="AF427" s="71">
        <f t="shared" si="83"/>
        <v>51.127819548872175</v>
      </c>
      <c r="AG427" s="152">
        <f>'copy data3'!J481</f>
        <v>75</v>
      </c>
      <c r="AH427" s="38">
        <f t="shared" si="84"/>
        <v>87</v>
      </c>
      <c r="AI427" s="71">
        <f t="shared" si="85"/>
        <v>91.578947368421055</v>
      </c>
      <c r="AJ427" s="152">
        <f>'copy data3'!L481</f>
        <v>3644</v>
      </c>
      <c r="AK427" s="38">
        <f t="shared" si="86"/>
        <v>3892.25</v>
      </c>
      <c r="AL427" s="71">
        <f t="shared" si="87"/>
        <v>50.035351587607657</v>
      </c>
      <c r="AM427" s="152">
        <f>'copy data3'!N481</f>
        <v>8078</v>
      </c>
      <c r="AN427" s="38">
        <f t="shared" si="88"/>
        <v>7699.25</v>
      </c>
      <c r="AO427" s="71">
        <f t="shared" si="89"/>
        <v>38.45779220779221</v>
      </c>
      <c r="AP427" s="152">
        <f>'copy data3'!P481</f>
        <v>7086</v>
      </c>
      <c r="AQ427" s="38">
        <f t="shared" si="90"/>
        <v>7097.75</v>
      </c>
      <c r="AR427" s="71">
        <f t="shared" si="91"/>
        <v>90.520979466904734</v>
      </c>
      <c r="AS427" s="153">
        <f>'copy data3'!R481</f>
        <v>18808</v>
      </c>
      <c r="AT427" s="38">
        <f t="shared" si="73"/>
        <v>18689.25</v>
      </c>
      <c r="AU427" s="71">
        <f t="shared" si="72"/>
        <v>52.438973063973059</v>
      </c>
    </row>
    <row r="428" spans="1:47" ht="15.6" x14ac:dyDescent="0.3">
      <c r="A428" s="55">
        <v>38001</v>
      </c>
      <c r="B428" s="56">
        <v>3136</v>
      </c>
      <c r="C428" s="56">
        <v>7662</v>
      </c>
      <c r="D428" s="56">
        <v>987</v>
      </c>
      <c r="E428" s="56">
        <v>2392</v>
      </c>
      <c r="F428" s="56">
        <v>1414</v>
      </c>
      <c r="G428" s="56">
        <v>4224</v>
      </c>
      <c r="H428" s="56">
        <v>1092</v>
      </c>
      <c r="I428" s="56">
        <v>2741</v>
      </c>
      <c r="J428" s="56">
        <v>189</v>
      </c>
      <c r="K428" s="56">
        <v>713</v>
      </c>
      <c r="L428" s="56">
        <v>6818</v>
      </c>
      <c r="M428" s="56">
        <v>17732</v>
      </c>
      <c r="N428" s="56">
        <v>9113</v>
      </c>
      <c r="O428" s="56">
        <v>18483</v>
      </c>
      <c r="P428" s="56">
        <v>6536</v>
      </c>
      <c r="Q428" s="56">
        <v>15654</v>
      </c>
      <c r="R428" s="16">
        <f t="shared" si="75"/>
        <v>22467</v>
      </c>
      <c r="T428" s="144">
        <f t="shared" si="74"/>
        <v>39842</v>
      </c>
      <c r="U428" s="154">
        <f>'copy data3'!B482</f>
        <v>1307</v>
      </c>
      <c r="V428" s="38">
        <f t="shared" si="76"/>
        <v>1467.75</v>
      </c>
      <c r="W428" s="71">
        <f t="shared" si="77"/>
        <v>40.367161716171616</v>
      </c>
      <c r="X428" s="154">
        <f>'copy data3'!D482</f>
        <v>678</v>
      </c>
      <c r="Y428" s="38">
        <f t="shared" si="78"/>
        <v>687</v>
      </c>
      <c r="Z428" s="71">
        <f t="shared" si="79"/>
        <v>83.98533007334963</v>
      </c>
      <c r="AA428" s="152">
        <f>'copy data3'!F482</f>
        <v>837</v>
      </c>
      <c r="AB428" s="38">
        <f t="shared" si="80"/>
        <v>855.75</v>
      </c>
      <c r="AC428" s="71">
        <f t="shared" si="81"/>
        <v>43.527466937945064</v>
      </c>
      <c r="AD428" s="152">
        <f>'copy data3'!H482</f>
        <v>692</v>
      </c>
      <c r="AE428" s="38">
        <f t="shared" si="82"/>
        <v>640.25</v>
      </c>
      <c r="AF428" s="71">
        <f t="shared" si="83"/>
        <v>56.860568383658972</v>
      </c>
      <c r="AG428" s="152">
        <f>'copy data3'!J482</f>
        <v>53</v>
      </c>
      <c r="AH428" s="38">
        <f t="shared" si="84"/>
        <v>77.5</v>
      </c>
      <c r="AI428" s="71">
        <f t="shared" si="85"/>
        <v>91.17647058823529</v>
      </c>
      <c r="AJ428" s="152">
        <f>'copy data3'!L482</f>
        <v>3568</v>
      </c>
      <c r="AK428" s="38">
        <f t="shared" si="86"/>
        <v>3729</v>
      </c>
      <c r="AL428" s="71">
        <f t="shared" si="87"/>
        <v>48.86646573188311</v>
      </c>
      <c r="AM428" s="152">
        <f>'copy data3'!N482</f>
        <v>8497</v>
      </c>
      <c r="AN428" s="38">
        <f t="shared" si="88"/>
        <v>7897.75</v>
      </c>
      <c r="AO428" s="71">
        <f t="shared" si="89"/>
        <v>39.889640890954084</v>
      </c>
      <c r="AP428" s="152">
        <f>'copy data3'!P482</f>
        <v>6359</v>
      </c>
      <c r="AQ428" s="38">
        <f t="shared" si="90"/>
        <v>7043.5</v>
      </c>
      <c r="AR428" s="71">
        <f t="shared" si="91"/>
        <v>88.198096669171051</v>
      </c>
      <c r="AS428" s="153">
        <f>'copy data3'!R482</f>
        <v>18424</v>
      </c>
      <c r="AT428" s="38">
        <f t="shared" si="73"/>
        <v>18670.25</v>
      </c>
      <c r="AU428" s="71">
        <f t="shared" si="72"/>
        <v>52.716992319855436</v>
      </c>
    </row>
    <row r="429" spans="1:47" ht="15.6" x14ac:dyDescent="0.3">
      <c r="A429" s="55">
        <v>38365</v>
      </c>
      <c r="B429" s="56">
        <v>1448</v>
      </c>
      <c r="C429" s="56">
        <v>6111</v>
      </c>
      <c r="D429" s="56">
        <v>383</v>
      </c>
      <c r="E429" s="56">
        <v>2472</v>
      </c>
      <c r="F429" s="56">
        <v>1230</v>
      </c>
      <c r="G429" s="56">
        <v>5139</v>
      </c>
      <c r="H429" s="56">
        <v>686</v>
      </c>
      <c r="I429" s="56">
        <v>3320</v>
      </c>
      <c r="J429" s="56">
        <v>129</v>
      </c>
      <c r="K429" s="56">
        <v>383</v>
      </c>
      <c r="L429" s="56">
        <v>3874</v>
      </c>
      <c r="M429" s="56">
        <v>17425</v>
      </c>
      <c r="N429" s="56">
        <v>7157</v>
      </c>
      <c r="O429" s="56">
        <v>17806</v>
      </c>
      <c r="P429" s="56">
        <v>5732</v>
      </c>
      <c r="Q429" s="56">
        <v>16319</v>
      </c>
      <c r="R429" s="16">
        <f t="shared" si="75"/>
        <v>16763</v>
      </c>
      <c r="T429" s="144">
        <f t="shared" si="74"/>
        <v>39849</v>
      </c>
      <c r="U429" s="154">
        <f>'copy data3'!B483</f>
        <v>1191</v>
      </c>
      <c r="V429" s="38">
        <f t="shared" si="76"/>
        <v>1371.25</v>
      </c>
      <c r="W429" s="71">
        <f t="shared" si="77"/>
        <v>40.859654350417159</v>
      </c>
      <c r="X429" s="154">
        <f>'copy data3'!D483</f>
        <v>748</v>
      </c>
      <c r="Y429" s="38">
        <f t="shared" si="78"/>
        <v>697.75</v>
      </c>
      <c r="Z429" s="71">
        <f t="shared" si="79"/>
        <v>82.868171021377663</v>
      </c>
      <c r="AA429" s="152">
        <f>'copy data3'!F483</f>
        <v>792</v>
      </c>
      <c r="AB429" s="38">
        <f t="shared" si="80"/>
        <v>852.75</v>
      </c>
      <c r="AC429" s="71">
        <f t="shared" si="81"/>
        <v>46.547489082969435</v>
      </c>
      <c r="AD429" s="152">
        <f>'copy data3'!H483</f>
        <v>679</v>
      </c>
      <c r="AE429" s="38">
        <f t="shared" si="82"/>
        <v>669.75</v>
      </c>
      <c r="AF429" s="71">
        <f t="shared" si="83"/>
        <v>63.42329545454546</v>
      </c>
      <c r="AG429" s="152">
        <f>'copy data3'!J483</f>
        <v>53</v>
      </c>
      <c r="AH429" s="38">
        <f t="shared" si="84"/>
        <v>68</v>
      </c>
      <c r="AI429" s="71">
        <f t="shared" si="85"/>
        <v>82.926829268292678</v>
      </c>
      <c r="AJ429" s="152">
        <f>'copy data3'!L483</f>
        <v>3462</v>
      </c>
      <c r="AK429" s="38">
        <f t="shared" si="86"/>
        <v>3660</v>
      </c>
      <c r="AL429" s="71">
        <f t="shared" si="87"/>
        <v>51.060267857142861</v>
      </c>
      <c r="AM429" s="152">
        <f>'copy data3'!N483</f>
        <v>9473</v>
      </c>
      <c r="AN429" s="38">
        <f t="shared" si="88"/>
        <v>8439.25</v>
      </c>
      <c r="AO429" s="71">
        <f t="shared" si="89"/>
        <v>43.088175227203102</v>
      </c>
      <c r="AP429" s="152">
        <f>'copy data3'!P483</f>
        <v>6035</v>
      </c>
      <c r="AQ429" s="38">
        <f t="shared" si="90"/>
        <v>6749.5</v>
      </c>
      <c r="AR429" s="71">
        <f t="shared" si="91"/>
        <v>92.598435999451226</v>
      </c>
      <c r="AS429" s="153">
        <f>'copy data3'!R483</f>
        <v>18970</v>
      </c>
      <c r="AT429" s="38">
        <f t="shared" si="73"/>
        <v>18848.75</v>
      </c>
      <c r="AU429" s="71">
        <f t="shared" si="72"/>
        <v>55.367476426871896</v>
      </c>
    </row>
    <row r="430" spans="1:47" ht="15.6" x14ac:dyDescent="0.3">
      <c r="A430" s="55">
        <v>38008</v>
      </c>
      <c r="B430" s="56">
        <v>2872</v>
      </c>
      <c r="C430" s="56">
        <v>8115</v>
      </c>
      <c r="D430" s="56">
        <v>1102</v>
      </c>
      <c r="E430" s="56">
        <v>2438</v>
      </c>
      <c r="F430" s="56">
        <v>1315</v>
      </c>
      <c r="G430" s="56">
        <v>4374</v>
      </c>
      <c r="H430" s="56">
        <v>1115</v>
      </c>
      <c r="I430" s="56">
        <v>2891</v>
      </c>
      <c r="J430" s="56">
        <v>170</v>
      </c>
      <c r="K430" s="56">
        <v>737</v>
      </c>
      <c r="L430" s="56">
        <v>6574</v>
      </c>
      <c r="M430" s="56">
        <v>18556</v>
      </c>
      <c r="N430" s="56">
        <v>8944</v>
      </c>
      <c r="O430" s="56">
        <v>19427</v>
      </c>
      <c r="P430" s="56">
        <v>5548</v>
      </c>
      <c r="Q430" s="56">
        <v>16513</v>
      </c>
      <c r="R430" s="16">
        <f t="shared" si="75"/>
        <v>21066</v>
      </c>
      <c r="T430" s="144">
        <f t="shared" si="74"/>
        <v>39856</v>
      </c>
      <c r="U430" s="154">
        <f>'copy data3'!B484</f>
        <v>1232</v>
      </c>
      <c r="V430" s="38">
        <f t="shared" si="76"/>
        <v>1256</v>
      </c>
      <c r="W430" s="71">
        <f t="shared" si="77"/>
        <v>39.373040752351095</v>
      </c>
      <c r="X430" s="154">
        <f>'copy data3'!D484</f>
        <v>733</v>
      </c>
      <c r="Y430" s="38">
        <f t="shared" si="78"/>
        <v>714.5</v>
      </c>
      <c r="Z430" s="71">
        <f t="shared" si="79"/>
        <v>97.078804347826093</v>
      </c>
      <c r="AA430" s="152">
        <f>'copy data3'!F484</f>
        <v>858</v>
      </c>
      <c r="AB430" s="38">
        <f t="shared" si="80"/>
        <v>834.25</v>
      </c>
      <c r="AC430" s="71">
        <f t="shared" si="81"/>
        <v>49.393132030787449</v>
      </c>
      <c r="AD430" s="152">
        <f>'copy data3'!H484</f>
        <v>768</v>
      </c>
      <c r="AE430" s="38">
        <f t="shared" si="82"/>
        <v>716</v>
      </c>
      <c r="AF430" s="71">
        <f t="shared" si="83"/>
        <v>74.120082815734989</v>
      </c>
      <c r="AG430" s="152">
        <f>'copy data3'!J484</f>
        <v>53</v>
      </c>
      <c r="AH430" s="38">
        <f t="shared" si="84"/>
        <v>58.5</v>
      </c>
      <c r="AI430" s="71">
        <f t="shared" si="85"/>
        <v>75.974025974025977</v>
      </c>
      <c r="AJ430" s="152">
        <f>'copy data3'!L484</f>
        <v>3643</v>
      </c>
      <c r="AK430" s="38">
        <f t="shared" si="86"/>
        <v>3579.25</v>
      </c>
      <c r="AL430" s="71">
        <f t="shared" si="87"/>
        <v>53.758636227095224</v>
      </c>
      <c r="AM430" s="152">
        <f>'copy data3'!N484</f>
        <v>9894</v>
      </c>
      <c r="AN430" s="38">
        <f t="shared" si="88"/>
        <v>8985.5</v>
      </c>
      <c r="AO430" s="71">
        <f t="shared" si="89"/>
        <v>46.518430316835783</v>
      </c>
      <c r="AP430" s="152">
        <f>'copy data3'!P484</f>
        <v>5870</v>
      </c>
      <c r="AQ430" s="38">
        <f t="shared" si="90"/>
        <v>6337.5</v>
      </c>
      <c r="AR430" s="71">
        <f t="shared" si="91"/>
        <v>90.83416941378816</v>
      </c>
      <c r="AS430" s="153">
        <f>'copy data3'!R484</f>
        <v>19407</v>
      </c>
      <c r="AT430" s="38">
        <f t="shared" si="73"/>
        <v>18902.25</v>
      </c>
      <c r="AU430" s="71">
        <f t="shared" si="72"/>
        <v>57.364723377135753</v>
      </c>
    </row>
    <row r="431" spans="1:47" ht="15.6" x14ac:dyDescent="0.3">
      <c r="A431" s="55">
        <v>38372</v>
      </c>
      <c r="B431" s="56">
        <v>1386</v>
      </c>
      <c r="C431" s="56">
        <v>6305</v>
      </c>
      <c r="D431" s="56">
        <v>392</v>
      </c>
      <c r="E431" s="56">
        <v>2518</v>
      </c>
      <c r="F431" s="56">
        <v>1192</v>
      </c>
      <c r="G431" s="56">
        <v>5247</v>
      </c>
      <c r="H431" s="56">
        <v>590</v>
      </c>
      <c r="I431" s="56">
        <v>3498</v>
      </c>
      <c r="J431" s="56">
        <v>105</v>
      </c>
      <c r="K431" s="56">
        <v>408</v>
      </c>
      <c r="L431" s="56">
        <v>3664</v>
      </c>
      <c r="M431" s="56">
        <v>17976</v>
      </c>
      <c r="N431" s="56">
        <v>6840</v>
      </c>
      <c r="O431" s="56">
        <v>18878</v>
      </c>
      <c r="P431" s="56">
        <v>5116</v>
      </c>
      <c r="Q431" s="56">
        <v>17454</v>
      </c>
      <c r="R431" s="16">
        <f t="shared" si="75"/>
        <v>15620</v>
      </c>
      <c r="T431" s="144">
        <f t="shared" si="74"/>
        <v>39863</v>
      </c>
      <c r="U431" s="154">
        <f>'copy data3'!B485</f>
        <v>1344</v>
      </c>
      <c r="V431" s="38">
        <f t="shared" si="76"/>
        <v>1268.5</v>
      </c>
      <c r="W431" s="71">
        <f t="shared" si="77"/>
        <v>39.802321932852216</v>
      </c>
      <c r="X431" s="154">
        <f>'copy data3'!D485</f>
        <v>765</v>
      </c>
      <c r="Y431" s="38">
        <f t="shared" si="78"/>
        <v>731</v>
      </c>
      <c r="Z431" s="71">
        <f t="shared" si="79"/>
        <v>97.98927613941018</v>
      </c>
      <c r="AA431" s="152">
        <f>'copy data3'!F485</f>
        <v>900</v>
      </c>
      <c r="AB431" s="38">
        <f t="shared" si="80"/>
        <v>846.75</v>
      </c>
      <c r="AC431" s="71">
        <f t="shared" si="81"/>
        <v>53.389029003783108</v>
      </c>
      <c r="AD431" s="152">
        <f>'copy data3'!H485</f>
        <v>751</v>
      </c>
      <c r="AE431" s="38">
        <f t="shared" si="82"/>
        <v>722.5</v>
      </c>
      <c r="AF431" s="71">
        <f t="shared" si="83"/>
        <v>84.011627906976756</v>
      </c>
      <c r="AG431" s="152">
        <f>'copy data3'!J485</f>
        <v>51</v>
      </c>
      <c r="AH431" s="38">
        <f t="shared" si="84"/>
        <v>52.5</v>
      </c>
      <c r="AI431" s="71">
        <f t="shared" si="85"/>
        <v>68.181818181818173</v>
      </c>
      <c r="AJ431" s="152">
        <f>'copy data3'!L485</f>
        <v>3811</v>
      </c>
      <c r="AK431" s="38">
        <f t="shared" si="86"/>
        <v>3621</v>
      </c>
      <c r="AL431" s="71">
        <f t="shared" si="87"/>
        <v>56.087360594795541</v>
      </c>
      <c r="AM431" s="152">
        <f>'copy data3'!N485</f>
        <v>9572</v>
      </c>
      <c r="AN431" s="38">
        <f t="shared" si="88"/>
        <v>9359</v>
      </c>
      <c r="AO431" s="71">
        <f t="shared" si="89"/>
        <v>50.12854847348688</v>
      </c>
      <c r="AP431" s="152">
        <f>'copy data3'!P485</f>
        <v>5301</v>
      </c>
      <c r="AQ431" s="38">
        <f t="shared" si="90"/>
        <v>5891.25</v>
      </c>
      <c r="AR431" s="71">
        <f t="shared" si="91"/>
        <v>85.467140577397359</v>
      </c>
      <c r="AS431" s="153">
        <f>'copy data3'!R485</f>
        <v>18684</v>
      </c>
      <c r="AT431" s="38">
        <f t="shared" si="73"/>
        <v>18871.25</v>
      </c>
      <c r="AU431" s="71">
        <f t="shared" si="72"/>
        <v>58.937662013179668</v>
      </c>
    </row>
    <row r="432" spans="1:47" ht="15.6" x14ac:dyDescent="0.3">
      <c r="A432" s="55">
        <v>38016</v>
      </c>
      <c r="B432" s="56">
        <v>2812</v>
      </c>
      <c r="C432" s="56">
        <v>8405</v>
      </c>
      <c r="D432" s="56">
        <v>1102</v>
      </c>
      <c r="E432" s="56">
        <v>2477</v>
      </c>
      <c r="F432" s="56">
        <v>1301</v>
      </c>
      <c r="G432" s="56">
        <v>4500</v>
      </c>
      <c r="H432" s="56">
        <v>1166</v>
      </c>
      <c r="I432" s="56">
        <v>3002</v>
      </c>
      <c r="J432" s="56">
        <v>170</v>
      </c>
      <c r="K432" s="56">
        <v>742</v>
      </c>
      <c r="L432" s="56">
        <v>6550</v>
      </c>
      <c r="M432" s="56">
        <v>19126</v>
      </c>
      <c r="N432" s="56">
        <v>9043</v>
      </c>
      <c r="O432" s="56">
        <v>20310</v>
      </c>
      <c r="P432" s="56">
        <v>5115</v>
      </c>
      <c r="Q432" s="56">
        <v>17314</v>
      </c>
      <c r="R432" s="16">
        <f t="shared" si="75"/>
        <v>20708</v>
      </c>
      <c r="T432" s="144">
        <f t="shared" si="74"/>
        <v>39870</v>
      </c>
      <c r="U432" s="154">
        <f>'copy data3'!B486</f>
        <v>1289</v>
      </c>
      <c r="V432" s="38">
        <f t="shared" si="76"/>
        <v>1264</v>
      </c>
      <c r="W432" s="71">
        <f t="shared" si="77"/>
        <v>38.33788292387019</v>
      </c>
      <c r="X432" s="154">
        <f>'copy data3'!D486</f>
        <v>729</v>
      </c>
      <c r="Y432" s="38">
        <f t="shared" si="78"/>
        <v>743.75</v>
      </c>
      <c r="Z432" s="71">
        <f t="shared" si="79"/>
        <v>99.69839142091152</v>
      </c>
      <c r="AA432" s="152">
        <f>'copy data3'!F486</f>
        <v>954</v>
      </c>
      <c r="AB432" s="38">
        <f t="shared" si="80"/>
        <v>876</v>
      </c>
      <c r="AC432" s="71">
        <f t="shared" si="81"/>
        <v>59.189189189189186</v>
      </c>
      <c r="AD432" s="152">
        <f>'copy data3'!H486</f>
        <v>822</v>
      </c>
      <c r="AE432" s="38">
        <f t="shared" si="82"/>
        <v>755</v>
      </c>
      <c r="AF432" s="71">
        <f t="shared" si="83"/>
        <v>92.298288508557462</v>
      </c>
      <c r="AG432" s="152">
        <f>'copy data3'!J486</f>
        <v>51</v>
      </c>
      <c r="AH432" s="38">
        <f t="shared" si="84"/>
        <v>52</v>
      </c>
      <c r="AI432" s="71">
        <f t="shared" si="85"/>
        <v>77.611940298507463</v>
      </c>
      <c r="AJ432" s="152">
        <f>'copy data3'!L486</f>
        <v>3844</v>
      </c>
      <c r="AK432" s="38">
        <f t="shared" si="86"/>
        <v>3690</v>
      </c>
      <c r="AL432" s="71">
        <f t="shared" si="87"/>
        <v>57.575284755812142</v>
      </c>
      <c r="AM432" s="152">
        <f>'copy data3'!N486</f>
        <v>9455</v>
      </c>
      <c r="AN432" s="38">
        <f t="shared" si="88"/>
        <v>9598.5</v>
      </c>
      <c r="AO432" s="71">
        <f t="shared" si="89"/>
        <v>53.366507283442679</v>
      </c>
      <c r="AP432" s="152">
        <f>'copy data3'!P486</f>
        <v>4705</v>
      </c>
      <c r="AQ432" s="38">
        <f t="shared" si="90"/>
        <v>5477.75</v>
      </c>
      <c r="AR432" s="71">
        <f t="shared" si="91"/>
        <v>89.243238840013035</v>
      </c>
      <c r="AS432" s="153">
        <f>'copy data3'!R486</f>
        <v>18004</v>
      </c>
      <c r="AT432" s="38">
        <f t="shared" si="73"/>
        <v>18766.25</v>
      </c>
      <c r="AU432" s="71">
        <f t="shared" si="72"/>
        <v>61.462188451838998</v>
      </c>
    </row>
    <row r="433" spans="1:47" ht="15.6" x14ac:dyDescent="0.3">
      <c r="A433" s="55">
        <v>38379</v>
      </c>
      <c r="B433" s="56">
        <v>1562</v>
      </c>
      <c r="C433" s="56">
        <v>6490</v>
      </c>
      <c r="D433" s="56">
        <v>389</v>
      </c>
      <c r="E433" s="56">
        <v>2576</v>
      </c>
      <c r="F433" s="56">
        <v>1220</v>
      </c>
      <c r="G433" s="56">
        <v>5407</v>
      </c>
      <c r="H433" s="56">
        <v>604</v>
      </c>
      <c r="I433" s="56">
        <v>3574</v>
      </c>
      <c r="J433" s="56">
        <v>111</v>
      </c>
      <c r="K433" s="56">
        <v>418</v>
      </c>
      <c r="L433" s="56">
        <v>3886</v>
      </c>
      <c r="M433" s="56">
        <v>18465</v>
      </c>
      <c r="N433" s="56">
        <v>6257</v>
      </c>
      <c r="O433" s="56">
        <v>19799</v>
      </c>
      <c r="P433" s="56">
        <v>4951</v>
      </c>
      <c r="Q433" s="56">
        <v>18189</v>
      </c>
      <c r="R433" s="16">
        <f t="shared" si="75"/>
        <v>15094</v>
      </c>
      <c r="T433" s="144">
        <f t="shared" si="74"/>
        <v>39877</v>
      </c>
      <c r="U433" s="154">
        <f>'copy data3'!B487</f>
        <v>1240</v>
      </c>
      <c r="V433" s="38">
        <f t="shared" si="76"/>
        <v>1276.25</v>
      </c>
      <c r="W433" s="71">
        <f t="shared" si="77"/>
        <v>39.585918114143922</v>
      </c>
      <c r="X433" s="154">
        <f>'copy data3'!D487</f>
        <v>758</v>
      </c>
      <c r="Y433" s="38">
        <f t="shared" si="78"/>
        <v>746.25</v>
      </c>
      <c r="Z433" s="71">
        <f t="shared" si="79"/>
        <v>110.06637168141593</v>
      </c>
      <c r="AA433" s="152">
        <f>'copy data3'!F487</f>
        <v>915</v>
      </c>
      <c r="AB433" s="38">
        <f t="shared" si="80"/>
        <v>906.75</v>
      </c>
      <c r="AC433" s="71">
        <f t="shared" si="81"/>
        <v>65.327809798270891</v>
      </c>
      <c r="AD433" s="152">
        <f>'copy data3'!H487</f>
        <v>764</v>
      </c>
      <c r="AE433" s="38">
        <f t="shared" si="82"/>
        <v>776.25</v>
      </c>
      <c r="AF433" s="71">
        <f t="shared" si="83"/>
        <v>103.91566265060241</v>
      </c>
      <c r="AG433" s="152">
        <f>'copy data3'!J487</f>
        <v>79</v>
      </c>
      <c r="AH433" s="38">
        <f t="shared" si="84"/>
        <v>58.5</v>
      </c>
      <c r="AI433" s="71">
        <f t="shared" si="85"/>
        <v>76.973684210526315</v>
      </c>
      <c r="AJ433" s="152">
        <f>'copy data3'!L487</f>
        <v>3755</v>
      </c>
      <c r="AK433" s="38">
        <f t="shared" si="86"/>
        <v>3763.25</v>
      </c>
      <c r="AL433" s="71">
        <f t="shared" si="87"/>
        <v>61.561426468182553</v>
      </c>
      <c r="AM433" s="152">
        <f>'copy data3'!N487</f>
        <v>9478</v>
      </c>
      <c r="AN433" s="38">
        <f t="shared" si="88"/>
        <v>9599.75</v>
      </c>
      <c r="AO433" s="71">
        <f t="shared" si="89"/>
        <v>54.260400180872715</v>
      </c>
      <c r="AP433" s="152">
        <f>'copy data3'!P487</f>
        <v>4656</v>
      </c>
      <c r="AQ433" s="38">
        <f t="shared" si="90"/>
        <v>5133</v>
      </c>
      <c r="AR433" s="71">
        <f t="shared" si="91"/>
        <v>93.174804864766742</v>
      </c>
      <c r="AS433" s="153">
        <f>'copy data3'!R487</f>
        <v>17889</v>
      </c>
      <c r="AT433" s="38">
        <f t="shared" si="73"/>
        <v>18496</v>
      </c>
      <c r="AU433" s="71">
        <f t="shared" si="72"/>
        <v>63.096131541243096</v>
      </c>
    </row>
    <row r="434" spans="1:47" ht="15.6" x14ac:dyDescent="0.3">
      <c r="A434" s="55">
        <v>38023</v>
      </c>
      <c r="B434" s="56">
        <v>2668</v>
      </c>
      <c r="C434" s="56">
        <v>8686</v>
      </c>
      <c r="D434" s="56">
        <v>1075</v>
      </c>
      <c r="E434" s="56">
        <v>2536</v>
      </c>
      <c r="F434" s="56">
        <v>1217</v>
      </c>
      <c r="G434" s="56">
        <v>4642</v>
      </c>
      <c r="H434" s="56">
        <v>988</v>
      </c>
      <c r="I434" s="56">
        <v>3264</v>
      </c>
      <c r="J434" s="56">
        <v>198</v>
      </c>
      <c r="K434" s="56">
        <v>742</v>
      </c>
      <c r="L434" s="56">
        <v>6146</v>
      </c>
      <c r="M434" s="56">
        <v>19870</v>
      </c>
      <c r="N434" s="56">
        <v>9441</v>
      </c>
      <c r="O434" s="56">
        <v>21063</v>
      </c>
      <c r="P434" s="56">
        <v>4686</v>
      </c>
      <c r="Q434" s="56">
        <v>17898</v>
      </c>
      <c r="R434" s="16">
        <f t="shared" si="75"/>
        <v>20273</v>
      </c>
      <c r="T434" s="144">
        <f t="shared" si="74"/>
        <v>39884</v>
      </c>
      <c r="U434" s="154">
        <f>'copy data3'!B488</f>
        <v>1166</v>
      </c>
      <c r="V434" s="38">
        <f t="shared" si="76"/>
        <v>1259.75</v>
      </c>
      <c r="W434" s="71">
        <f t="shared" si="77"/>
        <v>45.087687902648533</v>
      </c>
      <c r="X434" s="154">
        <f>'copy data3'!D488</f>
        <v>717</v>
      </c>
      <c r="Y434" s="38">
        <f t="shared" si="78"/>
        <v>742.25</v>
      </c>
      <c r="Z434" s="71">
        <f t="shared" si="79"/>
        <v>111.78463855421687</v>
      </c>
      <c r="AA434" s="152">
        <f>'copy data3'!F488</f>
        <v>934</v>
      </c>
      <c r="AB434" s="38">
        <f t="shared" si="80"/>
        <v>925.75</v>
      </c>
      <c r="AC434" s="71">
        <f t="shared" si="81"/>
        <v>70.993098159509202</v>
      </c>
      <c r="AD434" s="152">
        <f>'copy data3'!H488</f>
        <v>762</v>
      </c>
      <c r="AE434" s="38">
        <f t="shared" si="82"/>
        <v>774.75</v>
      </c>
      <c r="AF434" s="71">
        <f t="shared" si="83"/>
        <v>106.42170329670331</v>
      </c>
      <c r="AG434" s="152">
        <f>'copy data3'!J488</f>
        <v>79</v>
      </c>
      <c r="AH434" s="38">
        <f t="shared" si="84"/>
        <v>65</v>
      </c>
      <c r="AI434" s="71">
        <f t="shared" si="85"/>
        <v>85.526315789473685</v>
      </c>
      <c r="AJ434" s="152">
        <f>'copy data3'!L488</f>
        <v>3658</v>
      </c>
      <c r="AK434" s="38">
        <f t="shared" si="86"/>
        <v>3767</v>
      </c>
      <c r="AL434" s="71">
        <f t="shared" si="87"/>
        <v>67.678763923823212</v>
      </c>
      <c r="AM434" s="152">
        <f>'copy data3'!N488</f>
        <v>8986</v>
      </c>
      <c r="AN434" s="38">
        <f t="shared" si="88"/>
        <v>9372.75</v>
      </c>
      <c r="AO434" s="71">
        <f t="shared" si="89"/>
        <v>55.234545347398203</v>
      </c>
      <c r="AP434" s="152">
        <f>'copy data3'!P488</f>
        <v>4170</v>
      </c>
      <c r="AQ434" s="38">
        <f t="shared" si="90"/>
        <v>4708</v>
      </c>
      <c r="AR434" s="71">
        <f t="shared" si="91"/>
        <v>90.695434405702173</v>
      </c>
      <c r="AS434" s="153">
        <f>'copy data3'!R488</f>
        <v>16814</v>
      </c>
      <c r="AT434" s="38">
        <f t="shared" si="73"/>
        <v>17847.75</v>
      </c>
      <c r="AU434" s="71">
        <f t="shared" si="72"/>
        <v>64.371889201471546</v>
      </c>
    </row>
    <row r="435" spans="1:47" ht="15.6" x14ac:dyDescent="0.3">
      <c r="A435" s="55">
        <v>38386</v>
      </c>
      <c r="B435" s="56">
        <v>1640</v>
      </c>
      <c r="C435" s="56">
        <v>6601</v>
      </c>
      <c r="D435" s="56">
        <v>389</v>
      </c>
      <c r="E435" s="56">
        <v>2612</v>
      </c>
      <c r="F435" s="56">
        <v>1249</v>
      </c>
      <c r="G435" s="56">
        <v>5569</v>
      </c>
      <c r="H435" s="56">
        <v>616</v>
      </c>
      <c r="I435" s="56">
        <v>3616</v>
      </c>
      <c r="J435" s="56">
        <v>114</v>
      </c>
      <c r="K435" s="56">
        <v>418</v>
      </c>
      <c r="L435" s="56">
        <v>4007</v>
      </c>
      <c r="M435" s="56">
        <v>18817</v>
      </c>
      <c r="N435" s="56">
        <v>6744</v>
      </c>
      <c r="O435" s="56">
        <v>20307</v>
      </c>
      <c r="P435" s="56">
        <v>4807</v>
      </c>
      <c r="Q435" s="56">
        <v>18862</v>
      </c>
      <c r="R435" s="16">
        <f t="shared" si="75"/>
        <v>15558</v>
      </c>
      <c r="T435" s="144">
        <f t="shared" si="74"/>
        <v>39891</v>
      </c>
      <c r="U435" s="154">
        <f>'copy data3'!B489</f>
        <v>1091</v>
      </c>
      <c r="V435" s="38">
        <f t="shared" si="76"/>
        <v>1196.5</v>
      </c>
      <c r="W435" s="71">
        <f t="shared" si="77"/>
        <v>44.249260355029584</v>
      </c>
      <c r="X435" s="154">
        <f>'copy data3'!D489</f>
        <v>556</v>
      </c>
      <c r="Y435" s="38">
        <f t="shared" si="78"/>
        <v>690</v>
      </c>
      <c r="Z435" s="71">
        <f t="shared" si="79"/>
        <v>90.670170827858072</v>
      </c>
      <c r="AA435" s="152">
        <f>'copy data3'!F489</f>
        <v>930</v>
      </c>
      <c r="AB435" s="38">
        <f t="shared" si="80"/>
        <v>933.25</v>
      </c>
      <c r="AC435" s="71">
        <f t="shared" si="81"/>
        <v>77.770833333333329</v>
      </c>
      <c r="AD435" s="152">
        <f>'copy data3'!H489</f>
        <v>673</v>
      </c>
      <c r="AE435" s="38">
        <f t="shared" si="82"/>
        <v>755.25</v>
      </c>
      <c r="AF435" s="71">
        <f t="shared" si="83"/>
        <v>108.51293103448276</v>
      </c>
      <c r="AG435" s="152">
        <f>'copy data3'!J489</f>
        <v>79</v>
      </c>
      <c r="AH435" s="38">
        <f t="shared" si="84"/>
        <v>72</v>
      </c>
      <c r="AI435" s="71">
        <f t="shared" si="85"/>
        <v>135.84905660377359</v>
      </c>
      <c r="AJ435" s="152">
        <f>'copy data3'!L489</f>
        <v>3329</v>
      </c>
      <c r="AK435" s="38">
        <f t="shared" si="86"/>
        <v>3646.5</v>
      </c>
      <c r="AL435" s="71">
        <f t="shared" si="87"/>
        <v>67.353158478019949</v>
      </c>
      <c r="AM435" s="152">
        <f>'copy data3'!N489</f>
        <v>9400</v>
      </c>
      <c r="AN435" s="38">
        <f t="shared" si="88"/>
        <v>9329.75</v>
      </c>
      <c r="AO435" s="71">
        <f t="shared" si="89"/>
        <v>57.195622854340364</v>
      </c>
      <c r="AP435" s="152">
        <f>'copy data3'!P489</f>
        <v>4105</v>
      </c>
      <c r="AQ435" s="38">
        <f t="shared" si="90"/>
        <v>4409</v>
      </c>
      <c r="AR435" s="71">
        <f t="shared" si="91"/>
        <v>89.541023558082856</v>
      </c>
      <c r="AS435" s="153">
        <f>'copy data3'!R489</f>
        <v>16834</v>
      </c>
      <c r="AT435" s="38">
        <f t="shared" si="73"/>
        <v>17385.25</v>
      </c>
      <c r="AU435" s="71">
        <f t="shared" si="72"/>
        <v>65.235459662288932</v>
      </c>
    </row>
    <row r="436" spans="1:47" ht="15.6" x14ac:dyDescent="0.3">
      <c r="A436" s="55">
        <v>38030</v>
      </c>
      <c r="B436" s="56">
        <v>2514</v>
      </c>
      <c r="C436" s="56">
        <v>8980</v>
      </c>
      <c r="D436" s="56">
        <v>1023</v>
      </c>
      <c r="E436" s="56">
        <v>2629</v>
      </c>
      <c r="F436" s="56">
        <v>1183</v>
      </c>
      <c r="G436" s="56">
        <v>4732</v>
      </c>
      <c r="H436" s="56">
        <v>892</v>
      </c>
      <c r="I436" s="56">
        <v>3436</v>
      </c>
      <c r="J436" s="56">
        <v>201</v>
      </c>
      <c r="K436" s="56">
        <v>762</v>
      </c>
      <c r="L436" s="56">
        <v>5813</v>
      </c>
      <c r="M436" s="56">
        <v>20540</v>
      </c>
      <c r="N436" s="56">
        <v>9522</v>
      </c>
      <c r="O436" s="56">
        <v>21935</v>
      </c>
      <c r="P436" s="56">
        <v>4265</v>
      </c>
      <c r="Q436" s="56">
        <v>18519</v>
      </c>
      <c r="R436" s="16">
        <f t="shared" si="75"/>
        <v>19600</v>
      </c>
      <c r="T436" s="144">
        <f t="shared" si="74"/>
        <v>39898</v>
      </c>
      <c r="U436" s="154">
        <f>'copy data3'!B490</f>
        <v>1010</v>
      </c>
      <c r="V436" s="38">
        <f t="shared" si="76"/>
        <v>1126.75</v>
      </c>
      <c r="W436" s="71">
        <f t="shared" si="77"/>
        <v>44.065310911224095</v>
      </c>
      <c r="X436" s="154">
        <f>'copy data3'!D490</f>
        <v>486</v>
      </c>
      <c r="Y436" s="38">
        <f t="shared" si="78"/>
        <v>629.25</v>
      </c>
      <c r="Z436" s="71">
        <f t="shared" si="79"/>
        <v>68.8457330415755</v>
      </c>
      <c r="AA436" s="152">
        <f>'copy data3'!F490</f>
        <v>965</v>
      </c>
      <c r="AB436" s="38">
        <f t="shared" si="80"/>
        <v>936</v>
      </c>
      <c r="AC436" s="71">
        <f t="shared" si="81"/>
        <v>88.973384030418245</v>
      </c>
      <c r="AD436" s="152">
        <f>'copy data3'!H490</f>
        <v>709</v>
      </c>
      <c r="AE436" s="38">
        <f t="shared" si="82"/>
        <v>727</v>
      </c>
      <c r="AF436" s="71">
        <f t="shared" si="83"/>
        <v>115.94896331738438</v>
      </c>
      <c r="AG436" s="152">
        <f>'copy data3'!J490</f>
        <v>66</v>
      </c>
      <c r="AH436" s="38">
        <f t="shared" si="84"/>
        <v>75.75</v>
      </c>
      <c r="AI436" s="71">
        <f t="shared" si="85"/>
        <v>142.9245283018868</v>
      </c>
      <c r="AJ436" s="152">
        <f>'copy data3'!L490</f>
        <v>3236</v>
      </c>
      <c r="AK436" s="38">
        <f t="shared" si="86"/>
        <v>3494.5</v>
      </c>
      <c r="AL436" s="71">
        <f t="shared" si="87"/>
        <v>67.163175091293482</v>
      </c>
      <c r="AM436" s="152">
        <f>'copy data3'!N490</f>
        <v>9657</v>
      </c>
      <c r="AN436" s="38">
        <f t="shared" si="88"/>
        <v>9380.25</v>
      </c>
      <c r="AO436" s="71">
        <f t="shared" si="89"/>
        <v>59.103081091298591</v>
      </c>
      <c r="AP436" s="152">
        <f>'copy data3'!P490</f>
        <v>3955</v>
      </c>
      <c r="AQ436" s="38">
        <f t="shared" si="90"/>
        <v>4221.5</v>
      </c>
      <c r="AR436" s="71">
        <f t="shared" si="91"/>
        <v>96.35927870349235</v>
      </c>
      <c r="AS436" s="153">
        <f>'copy data3'!R490</f>
        <v>16848</v>
      </c>
      <c r="AT436" s="38">
        <f t="shared" si="73"/>
        <v>17096.25</v>
      </c>
      <c r="AU436" s="71">
        <f t="shared" si="72"/>
        <v>67.162639952857987</v>
      </c>
    </row>
    <row r="437" spans="1:47" ht="15.6" x14ac:dyDescent="0.3">
      <c r="A437" s="55">
        <v>38393</v>
      </c>
      <c r="B437" s="56">
        <v>1763</v>
      </c>
      <c r="C437" s="56">
        <v>6749</v>
      </c>
      <c r="D437" s="56">
        <v>379</v>
      </c>
      <c r="E437" s="56">
        <v>2679</v>
      </c>
      <c r="F437" s="56">
        <v>1297</v>
      </c>
      <c r="G437" s="56">
        <v>5660</v>
      </c>
      <c r="H437" s="56">
        <v>597</v>
      </c>
      <c r="I437" s="56">
        <v>3680</v>
      </c>
      <c r="J437" s="56">
        <v>102</v>
      </c>
      <c r="K437" s="56">
        <v>466</v>
      </c>
      <c r="L437" s="56">
        <v>4138</v>
      </c>
      <c r="M437" s="56">
        <v>19234</v>
      </c>
      <c r="N437" s="56">
        <v>6769</v>
      </c>
      <c r="O437" s="56">
        <v>21068</v>
      </c>
      <c r="P437" s="56">
        <v>4387</v>
      </c>
      <c r="Q437" s="56">
        <v>19645</v>
      </c>
      <c r="R437" s="16">
        <f t="shared" si="75"/>
        <v>15294</v>
      </c>
      <c r="T437" s="144">
        <f t="shared" si="74"/>
        <v>39905</v>
      </c>
      <c r="U437" s="154">
        <f>'copy data3'!B491</f>
        <v>965</v>
      </c>
      <c r="V437" s="38">
        <f t="shared" si="76"/>
        <v>1058</v>
      </c>
      <c r="W437" s="71">
        <f t="shared" si="77"/>
        <v>43.521184697655286</v>
      </c>
      <c r="X437" s="154">
        <f>'copy data3'!D491</f>
        <v>401</v>
      </c>
      <c r="Y437" s="38">
        <f t="shared" si="78"/>
        <v>540</v>
      </c>
      <c r="Z437" s="71">
        <f t="shared" si="79"/>
        <v>68.702290076335885</v>
      </c>
      <c r="AA437" s="152">
        <f>'copy data3'!F491</f>
        <v>899</v>
      </c>
      <c r="AB437" s="38">
        <f t="shared" si="80"/>
        <v>932</v>
      </c>
      <c r="AC437" s="71">
        <f t="shared" si="81"/>
        <v>91.104594330400772</v>
      </c>
      <c r="AD437" s="152">
        <f>'copy data3'!H491</f>
        <v>586</v>
      </c>
      <c r="AE437" s="38">
        <f t="shared" si="82"/>
        <v>682.5</v>
      </c>
      <c r="AF437" s="71">
        <f t="shared" si="83"/>
        <v>117.67241379310344</v>
      </c>
      <c r="AG437" s="152">
        <f>'copy data3'!J491</f>
        <v>66</v>
      </c>
      <c r="AH437" s="38">
        <f t="shared" si="84"/>
        <v>72.5</v>
      </c>
      <c r="AI437" s="71">
        <f t="shared" si="85"/>
        <v>94.155844155844164</v>
      </c>
      <c r="AJ437" s="152">
        <f>'copy data3'!L491</f>
        <v>2916</v>
      </c>
      <c r="AK437" s="38">
        <f t="shared" si="86"/>
        <v>3284.75</v>
      </c>
      <c r="AL437" s="71">
        <f t="shared" si="87"/>
        <v>67.076781703083526</v>
      </c>
      <c r="AM437" s="152">
        <f>'copy data3'!N491</f>
        <v>9664</v>
      </c>
      <c r="AN437" s="38">
        <f t="shared" si="88"/>
        <v>9426.75</v>
      </c>
      <c r="AO437" s="71">
        <f t="shared" si="89"/>
        <v>62.470178926441356</v>
      </c>
      <c r="AP437" s="152">
        <f>'copy data3'!P491</f>
        <v>3802</v>
      </c>
      <c r="AQ437" s="38">
        <f t="shared" si="90"/>
        <v>4008</v>
      </c>
      <c r="AR437" s="71">
        <f t="shared" si="91"/>
        <v>88.320846187747904</v>
      </c>
      <c r="AS437" s="153">
        <f>'copy data3'!R491</f>
        <v>16382</v>
      </c>
      <c r="AT437" s="38">
        <f t="shared" si="73"/>
        <v>16719.5</v>
      </c>
      <c r="AU437" s="71">
        <f t="shared" si="72"/>
        <v>68.173292558613667</v>
      </c>
    </row>
    <row r="438" spans="1:47" ht="15.6" x14ac:dyDescent="0.3">
      <c r="A438" s="55">
        <v>38036</v>
      </c>
      <c r="B438" s="56">
        <v>2351</v>
      </c>
      <c r="C438" s="56">
        <v>9180</v>
      </c>
      <c r="D438" s="56">
        <v>1003</v>
      </c>
      <c r="E438" s="56">
        <v>2700</v>
      </c>
      <c r="F438" s="56">
        <v>1266</v>
      </c>
      <c r="G438" s="56">
        <v>4809</v>
      </c>
      <c r="H438" s="56">
        <v>1044</v>
      </c>
      <c r="I438" s="56">
        <v>3458</v>
      </c>
      <c r="J438" s="56">
        <v>203</v>
      </c>
      <c r="K438" s="56">
        <v>765</v>
      </c>
      <c r="L438" s="56">
        <v>5867</v>
      </c>
      <c r="M438" s="56">
        <v>20912</v>
      </c>
      <c r="N438" s="56">
        <v>9512</v>
      </c>
      <c r="O438" s="56">
        <v>22931</v>
      </c>
      <c r="P438" s="56">
        <v>3673</v>
      </c>
      <c r="Q438" s="56">
        <v>19106</v>
      </c>
      <c r="R438" s="16">
        <f t="shared" si="75"/>
        <v>19052</v>
      </c>
      <c r="T438" s="144">
        <f t="shared" si="74"/>
        <v>39912</v>
      </c>
      <c r="U438" s="154">
        <f>'copy data3'!B492</f>
        <v>814</v>
      </c>
      <c r="V438" s="38">
        <f t="shared" si="76"/>
        <v>970</v>
      </c>
      <c r="W438" s="71">
        <f t="shared" si="77"/>
        <v>41.435284066638189</v>
      </c>
      <c r="X438" s="154">
        <f>'copy data3'!D492</f>
        <v>370</v>
      </c>
      <c r="Y438" s="38">
        <f t="shared" si="78"/>
        <v>453.25</v>
      </c>
      <c r="Z438" s="71">
        <f t="shared" si="79"/>
        <v>61.499321573948443</v>
      </c>
      <c r="AA438" s="152">
        <f>'copy data3'!F492</f>
        <v>769</v>
      </c>
      <c r="AB438" s="38">
        <f t="shared" si="80"/>
        <v>890.75</v>
      </c>
      <c r="AC438" s="71">
        <f t="shared" si="81"/>
        <v>91.640946502057616</v>
      </c>
      <c r="AD438" s="152">
        <f>'copy data3'!H492</f>
        <v>533</v>
      </c>
      <c r="AE438" s="38">
        <f t="shared" si="82"/>
        <v>625.25</v>
      </c>
      <c r="AF438" s="71">
        <f t="shared" si="83"/>
        <v>109.50087565674255</v>
      </c>
      <c r="AG438" s="152">
        <f>'copy data3'!J492</f>
        <v>66</v>
      </c>
      <c r="AH438" s="38">
        <f t="shared" si="84"/>
        <v>69.25</v>
      </c>
      <c r="AI438" s="71">
        <f t="shared" si="85"/>
        <v>83.433734939759034</v>
      </c>
      <c r="AJ438" s="152">
        <f>'copy data3'!L492</f>
        <v>2551</v>
      </c>
      <c r="AK438" s="38">
        <f t="shared" si="86"/>
        <v>3008</v>
      </c>
      <c r="AL438" s="71">
        <f t="shared" si="87"/>
        <v>63.945578231292522</v>
      </c>
      <c r="AM438" s="152">
        <f>'copy data3'!N492</f>
        <v>9679</v>
      </c>
      <c r="AN438" s="38">
        <f t="shared" si="88"/>
        <v>9600</v>
      </c>
      <c r="AO438" s="71">
        <f t="shared" si="89"/>
        <v>64.659527177207522</v>
      </c>
      <c r="AP438" s="152">
        <f>'copy data3'!P492</f>
        <v>4073</v>
      </c>
      <c r="AQ438" s="38">
        <f t="shared" si="90"/>
        <v>3983.75</v>
      </c>
      <c r="AR438" s="71">
        <f t="shared" si="91"/>
        <v>86.471673540264817</v>
      </c>
      <c r="AS438" s="153">
        <f>'copy data3'!R492</f>
        <v>16303</v>
      </c>
      <c r="AT438" s="38">
        <f t="shared" si="73"/>
        <v>16591.75</v>
      </c>
      <c r="AU438" s="71">
        <f t="shared" si="72"/>
        <v>68.680147363192319</v>
      </c>
    </row>
    <row r="439" spans="1:47" ht="15.6" x14ac:dyDescent="0.3">
      <c r="A439" s="55">
        <v>38400</v>
      </c>
      <c r="B439" s="56">
        <v>1679</v>
      </c>
      <c r="C439" s="56">
        <v>7014</v>
      </c>
      <c r="D439" s="56">
        <v>389</v>
      </c>
      <c r="E439" s="56">
        <v>2704</v>
      </c>
      <c r="F439" s="56">
        <v>1322</v>
      </c>
      <c r="G439" s="56">
        <v>5865</v>
      </c>
      <c r="H439" s="56">
        <v>629</v>
      </c>
      <c r="I439" s="56">
        <v>3737</v>
      </c>
      <c r="J439" s="56">
        <v>112</v>
      </c>
      <c r="K439" s="56">
        <v>466</v>
      </c>
      <c r="L439" s="56">
        <v>4132</v>
      </c>
      <c r="M439" s="56">
        <v>19787</v>
      </c>
      <c r="N439" s="56">
        <v>6996</v>
      </c>
      <c r="O439" s="56">
        <v>21707</v>
      </c>
      <c r="P439" s="56">
        <v>3824</v>
      </c>
      <c r="Q439" s="56">
        <v>20635</v>
      </c>
      <c r="R439" s="16">
        <f t="shared" si="75"/>
        <v>14952</v>
      </c>
      <c r="T439" s="144">
        <f t="shared" si="74"/>
        <v>39919</v>
      </c>
      <c r="U439" s="154">
        <f>'copy data3'!B493</f>
        <v>906</v>
      </c>
      <c r="V439" s="38">
        <f t="shared" si="76"/>
        <v>923.75</v>
      </c>
      <c r="W439" s="71">
        <f t="shared" si="77"/>
        <v>43.246722846441948</v>
      </c>
      <c r="X439" s="154">
        <f>'copy data3'!D493</f>
        <v>312</v>
      </c>
      <c r="Y439" s="38">
        <f t="shared" si="78"/>
        <v>392.25</v>
      </c>
      <c r="Z439" s="71">
        <f t="shared" si="79"/>
        <v>53.440054495912804</v>
      </c>
      <c r="AA439" s="152">
        <f>'copy data3'!F493</f>
        <v>668</v>
      </c>
      <c r="AB439" s="38">
        <f t="shared" si="80"/>
        <v>825.25</v>
      </c>
      <c r="AC439" s="71">
        <f t="shared" si="81"/>
        <v>92.413213885778276</v>
      </c>
      <c r="AD439" s="152">
        <f>'copy data3'!H493</f>
        <v>469</v>
      </c>
      <c r="AE439" s="38">
        <f t="shared" si="82"/>
        <v>574.25</v>
      </c>
      <c r="AF439" s="71">
        <f t="shared" si="83"/>
        <v>119.1390041493776</v>
      </c>
      <c r="AG439" s="152">
        <f>'copy data3'!J493</f>
        <v>43</v>
      </c>
      <c r="AH439" s="38">
        <f t="shared" si="84"/>
        <v>60.25</v>
      </c>
      <c r="AI439" s="71">
        <f t="shared" si="85"/>
        <v>89.925373134328353</v>
      </c>
      <c r="AJ439" s="152">
        <f>'copy data3'!L493</f>
        <v>2396</v>
      </c>
      <c r="AK439" s="38">
        <f t="shared" si="86"/>
        <v>2774.75</v>
      </c>
      <c r="AL439" s="71">
        <f t="shared" si="87"/>
        <v>64.349489795918373</v>
      </c>
      <c r="AM439" s="152">
        <f>'copy data3'!N493</f>
        <v>9866</v>
      </c>
      <c r="AN439" s="38">
        <f t="shared" si="88"/>
        <v>9716.5</v>
      </c>
      <c r="AO439" s="71">
        <f t="shared" si="89"/>
        <v>66.954933847850057</v>
      </c>
      <c r="AP439" s="152">
        <f>'copy data3'!P493</f>
        <v>4029</v>
      </c>
      <c r="AQ439" s="38">
        <f t="shared" si="90"/>
        <v>3964.75</v>
      </c>
      <c r="AR439" s="71">
        <f t="shared" si="91"/>
        <v>89.215796579657962</v>
      </c>
      <c r="AS439" s="153">
        <f>'copy data3'!R493</f>
        <v>16291</v>
      </c>
      <c r="AT439" s="38">
        <f t="shared" si="73"/>
        <v>16456</v>
      </c>
      <c r="AU439" s="71">
        <f t="shared" si="72"/>
        <v>70.723740759841846</v>
      </c>
    </row>
    <row r="440" spans="1:47" ht="15.6" x14ac:dyDescent="0.3">
      <c r="A440" s="55">
        <v>38043</v>
      </c>
      <c r="B440" s="56">
        <v>2252</v>
      </c>
      <c r="C440" s="56">
        <v>9475</v>
      </c>
      <c r="D440" s="56">
        <v>961</v>
      </c>
      <c r="E440" s="56">
        <v>2786</v>
      </c>
      <c r="F440" s="56">
        <v>1386</v>
      </c>
      <c r="G440" s="56">
        <v>4908</v>
      </c>
      <c r="H440" s="56">
        <v>902</v>
      </c>
      <c r="I440" s="56">
        <v>3701</v>
      </c>
      <c r="J440" s="56">
        <v>173</v>
      </c>
      <c r="K440" s="56">
        <v>799</v>
      </c>
      <c r="L440" s="56">
        <v>5673</v>
      </c>
      <c r="M440" s="56">
        <v>21669</v>
      </c>
      <c r="N440" s="56">
        <v>9094</v>
      </c>
      <c r="O440" s="56">
        <v>23722</v>
      </c>
      <c r="P440" s="56">
        <v>3032</v>
      </c>
      <c r="Q440" s="56">
        <v>19719</v>
      </c>
      <c r="R440" s="16">
        <f t="shared" si="75"/>
        <v>17799</v>
      </c>
      <c r="T440" s="144">
        <f t="shared" si="74"/>
        <v>39926</v>
      </c>
      <c r="U440" s="154">
        <f>'copy data3'!B494</f>
        <v>755</v>
      </c>
      <c r="V440" s="38">
        <f t="shared" si="76"/>
        <v>860</v>
      </c>
      <c r="W440" s="71">
        <f t="shared" si="77"/>
        <v>45.550847457627121</v>
      </c>
      <c r="X440" s="154">
        <f>'copy data3'!D494</f>
        <v>291</v>
      </c>
      <c r="Y440" s="38">
        <f t="shared" si="78"/>
        <v>343.5</v>
      </c>
      <c r="Z440" s="71">
        <f t="shared" si="79"/>
        <v>43.702290076335878</v>
      </c>
      <c r="AA440" s="152">
        <f>'copy data3'!F494</f>
        <v>583</v>
      </c>
      <c r="AB440" s="38">
        <f t="shared" si="80"/>
        <v>729.75</v>
      </c>
      <c r="AC440" s="71">
        <f t="shared" si="81"/>
        <v>84.854651162790702</v>
      </c>
      <c r="AD440" s="152">
        <f>'copy data3'!H494</f>
        <v>515</v>
      </c>
      <c r="AE440" s="38">
        <f t="shared" si="82"/>
        <v>525.75</v>
      </c>
      <c r="AF440" s="71">
        <f t="shared" si="83"/>
        <v>165.85173501577287</v>
      </c>
      <c r="AG440" s="152">
        <f>'copy data3'!J494</f>
        <v>32</v>
      </c>
      <c r="AH440" s="38">
        <f t="shared" si="84"/>
        <v>51.75</v>
      </c>
      <c r="AI440" s="71">
        <f t="shared" si="85"/>
        <v>82.142857142857139</v>
      </c>
      <c r="AJ440" s="152">
        <f>'copy data3'!L494</f>
        <v>2175</v>
      </c>
      <c r="AK440" s="38">
        <f t="shared" si="86"/>
        <v>2509.5</v>
      </c>
      <c r="AL440" s="71">
        <f t="shared" si="87"/>
        <v>64.132379248658324</v>
      </c>
      <c r="AM440" s="152">
        <f>'copy data3'!N494</f>
        <v>10253</v>
      </c>
      <c r="AN440" s="38">
        <f t="shared" si="88"/>
        <v>9865.5</v>
      </c>
      <c r="AO440" s="71">
        <f t="shared" si="89"/>
        <v>70.16714082503556</v>
      </c>
      <c r="AP440" s="152">
        <f>'copy data3'!P494</f>
        <v>4583</v>
      </c>
      <c r="AQ440" s="38">
        <f t="shared" si="90"/>
        <v>4121.75</v>
      </c>
      <c r="AR440" s="71">
        <f t="shared" si="91"/>
        <v>97.90380047505937</v>
      </c>
      <c r="AS440" s="153">
        <f>'copy data3'!R494</f>
        <v>17011</v>
      </c>
      <c r="AT440" s="38">
        <f t="shared" si="73"/>
        <v>16496.75</v>
      </c>
      <c r="AU440" s="71">
        <f t="shared" si="72"/>
        <v>74.366632105666497</v>
      </c>
    </row>
    <row r="441" spans="1:47" ht="15.6" x14ac:dyDescent="0.3">
      <c r="A441" s="55">
        <v>38407</v>
      </c>
      <c r="B441" s="56">
        <v>1637</v>
      </c>
      <c r="C441" s="56">
        <v>7219</v>
      </c>
      <c r="D441" s="56">
        <v>328</v>
      </c>
      <c r="E441" s="56">
        <v>2810</v>
      </c>
      <c r="F441" s="56">
        <v>1373</v>
      </c>
      <c r="G441" s="56">
        <v>6020</v>
      </c>
      <c r="H441" s="56">
        <v>485</v>
      </c>
      <c r="I441" s="56">
        <v>3923</v>
      </c>
      <c r="J441" s="56">
        <v>112</v>
      </c>
      <c r="K441" s="56">
        <v>466</v>
      </c>
      <c r="L441" s="56">
        <v>3935</v>
      </c>
      <c r="M441" s="56">
        <v>20437</v>
      </c>
      <c r="N441" s="56">
        <v>6950</v>
      </c>
      <c r="O441" s="56">
        <v>22564</v>
      </c>
      <c r="P441" s="56">
        <v>3691</v>
      </c>
      <c r="Q441" s="56">
        <v>21419</v>
      </c>
      <c r="R441" s="16">
        <f t="shared" si="75"/>
        <v>14576</v>
      </c>
      <c r="T441" s="144">
        <f t="shared" si="74"/>
        <v>39933</v>
      </c>
      <c r="U441" s="154">
        <f>'copy data3'!B495</f>
        <v>693</v>
      </c>
      <c r="V441" s="38">
        <f t="shared" si="76"/>
        <v>792</v>
      </c>
      <c r="W441" s="71">
        <f t="shared" si="77"/>
        <v>47.058823529411761</v>
      </c>
      <c r="X441" s="154">
        <f>'copy data3'!D495</f>
        <v>275</v>
      </c>
      <c r="Y441" s="38">
        <f t="shared" si="78"/>
        <v>312</v>
      </c>
      <c r="Z441" s="71">
        <f t="shared" si="79"/>
        <v>41.991924629878866</v>
      </c>
      <c r="AA441" s="152">
        <f>'copy data3'!F495</f>
        <v>613</v>
      </c>
      <c r="AB441" s="38">
        <f t="shared" si="80"/>
        <v>658.25</v>
      </c>
      <c r="AC441" s="71">
        <f t="shared" si="81"/>
        <v>92.450842696629209</v>
      </c>
      <c r="AD441" s="152">
        <f>'copy data3'!H495</f>
        <v>552</v>
      </c>
      <c r="AE441" s="38">
        <f t="shared" si="82"/>
        <v>517.25</v>
      </c>
      <c r="AF441" s="71">
        <f t="shared" si="83"/>
        <v>201.2645914396887</v>
      </c>
      <c r="AG441" s="152">
        <f>'copy data3'!J495</f>
        <v>29</v>
      </c>
      <c r="AH441" s="38">
        <f t="shared" si="84"/>
        <v>42.5</v>
      </c>
      <c r="AI441" s="71">
        <f t="shared" si="85"/>
        <v>66.40625</v>
      </c>
      <c r="AJ441" s="152">
        <f>'copy data3'!L495</f>
        <v>2161</v>
      </c>
      <c r="AK441" s="38">
        <f t="shared" si="86"/>
        <v>2320.75</v>
      </c>
      <c r="AL441" s="71">
        <f t="shared" si="87"/>
        <v>67.073699421965316</v>
      </c>
      <c r="AM441" s="152">
        <f>'copy data3'!N495</f>
        <v>10052</v>
      </c>
      <c r="AN441" s="38">
        <f t="shared" si="88"/>
        <v>9962.5</v>
      </c>
      <c r="AO441" s="71">
        <f t="shared" si="89"/>
        <v>74.01560178306093</v>
      </c>
      <c r="AP441" s="152">
        <f>'copy data3'!P495</f>
        <v>4851</v>
      </c>
      <c r="AQ441" s="38">
        <f t="shared" si="90"/>
        <v>4384</v>
      </c>
      <c r="AR441" s="71">
        <f t="shared" si="91"/>
        <v>112.72820776549241</v>
      </c>
      <c r="AS441" s="153">
        <f>'copy data3'!R495</f>
        <v>17064</v>
      </c>
      <c r="AT441" s="38">
        <f t="shared" si="73"/>
        <v>16667.25</v>
      </c>
      <c r="AU441" s="71">
        <f t="shared" si="72"/>
        <v>80.096352539766443</v>
      </c>
    </row>
    <row r="442" spans="1:47" ht="15.6" x14ac:dyDescent="0.3">
      <c r="A442" s="55">
        <v>38050</v>
      </c>
      <c r="B442" s="56">
        <v>2234</v>
      </c>
      <c r="C442" s="56">
        <v>9720</v>
      </c>
      <c r="D442" s="56">
        <v>911</v>
      </c>
      <c r="E442" s="56">
        <v>2876</v>
      </c>
      <c r="F442" s="56">
        <v>1422</v>
      </c>
      <c r="G442" s="56">
        <v>5016</v>
      </c>
      <c r="H442" s="56">
        <v>1002</v>
      </c>
      <c r="I442" s="56">
        <v>3782</v>
      </c>
      <c r="J442" s="56">
        <v>146</v>
      </c>
      <c r="K442" s="56">
        <v>823</v>
      </c>
      <c r="L442" s="56">
        <v>5715</v>
      </c>
      <c r="M442" s="56">
        <v>22216</v>
      </c>
      <c r="N442" s="56">
        <v>8330</v>
      </c>
      <c r="O442" s="56">
        <v>25060</v>
      </c>
      <c r="P442" s="56">
        <v>2820</v>
      </c>
      <c r="Q442" s="56">
        <v>20196</v>
      </c>
      <c r="R442" s="16">
        <f t="shared" si="75"/>
        <v>16865</v>
      </c>
      <c r="T442" s="144">
        <f t="shared" si="74"/>
        <v>39940</v>
      </c>
      <c r="U442" s="154">
        <f>'copy data3'!B496</f>
        <v>660</v>
      </c>
      <c r="V442" s="38">
        <f t="shared" si="76"/>
        <v>753.5</v>
      </c>
      <c r="W442" s="71">
        <f t="shared" si="77"/>
        <v>50.774932614555254</v>
      </c>
      <c r="X442" s="154">
        <f>'copy data3'!D496</f>
        <v>208</v>
      </c>
      <c r="Y442" s="38">
        <f t="shared" si="78"/>
        <v>271.5</v>
      </c>
      <c r="Z442" s="71">
        <f t="shared" si="79"/>
        <v>37.972027972027973</v>
      </c>
      <c r="AA442" s="152">
        <f>'copy data3'!F496</f>
        <v>525</v>
      </c>
      <c r="AB442" s="38">
        <f t="shared" si="80"/>
        <v>597.25</v>
      </c>
      <c r="AC442" s="71">
        <f t="shared" si="81"/>
        <v>111.84456928838951</v>
      </c>
      <c r="AD442" s="152">
        <f>'copy data3'!H496</f>
        <v>532</v>
      </c>
      <c r="AE442" s="38">
        <f t="shared" si="82"/>
        <v>517</v>
      </c>
      <c r="AF442" s="71">
        <f t="shared" si="83"/>
        <v>247.36842105263159</v>
      </c>
      <c r="AG442" s="152">
        <f>'copy data3'!J496</f>
        <v>29</v>
      </c>
      <c r="AH442" s="38">
        <f t="shared" si="84"/>
        <v>33.25</v>
      </c>
      <c r="AI442" s="71">
        <f t="shared" si="85"/>
        <v>87.5</v>
      </c>
      <c r="AJ442" s="152">
        <f>'copy data3'!L496</f>
        <v>1953</v>
      </c>
      <c r="AK442" s="38">
        <f t="shared" si="86"/>
        <v>2171.25</v>
      </c>
      <c r="AL442" s="71">
        <f t="shared" si="87"/>
        <v>72.860738255033553</v>
      </c>
      <c r="AM442" s="152">
        <f>'copy data3'!N496</f>
        <v>9717</v>
      </c>
      <c r="AN442" s="38">
        <f t="shared" si="88"/>
        <v>9972</v>
      </c>
      <c r="AO442" s="71">
        <f t="shared" si="89"/>
        <v>76.6369505072241</v>
      </c>
      <c r="AP442" s="152">
        <f>'copy data3'!P496</f>
        <v>4811</v>
      </c>
      <c r="AQ442" s="38">
        <f t="shared" si="90"/>
        <v>4568.5</v>
      </c>
      <c r="AR442" s="71">
        <f t="shared" si="91"/>
        <v>126.79711351651402</v>
      </c>
      <c r="AS442" s="153">
        <f>'copy data3'!R496</f>
        <v>16481</v>
      </c>
      <c r="AT442" s="38">
        <f t="shared" si="73"/>
        <v>16711.75</v>
      </c>
      <c r="AU442" s="71">
        <f t="shared" si="72"/>
        <v>85.285787190609852</v>
      </c>
    </row>
    <row r="443" spans="1:47" ht="15.6" x14ac:dyDescent="0.3">
      <c r="A443" s="55">
        <v>38414</v>
      </c>
      <c r="B443" s="56">
        <v>1556</v>
      </c>
      <c r="C443" s="56">
        <v>7347</v>
      </c>
      <c r="D443" s="56">
        <v>271</v>
      </c>
      <c r="E443" s="56">
        <v>2869</v>
      </c>
      <c r="F443" s="56">
        <v>1400</v>
      </c>
      <c r="G443" s="56">
        <v>6085</v>
      </c>
      <c r="H443" s="56">
        <v>517</v>
      </c>
      <c r="I443" s="56">
        <v>3975</v>
      </c>
      <c r="J443" s="56">
        <v>107</v>
      </c>
      <c r="K443" s="56">
        <v>481</v>
      </c>
      <c r="L443" s="56">
        <v>3851</v>
      </c>
      <c r="M443" s="56">
        <v>20758</v>
      </c>
      <c r="N443" s="56">
        <v>6746</v>
      </c>
      <c r="O443" s="56">
        <v>23502</v>
      </c>
      <c r="P443" s="56">
        <v>3662</v>
      </c>
      <c r="Q443" s="56">
        <v>22120</v>
      </c>
      <c r="R443" s="16">
        <f t="shared" si="75"/>
        <v>14259</v>
      </c>
      <c r="T443" s="144">
        <f t="shared" si="74"/>
        <v>39947</v>
      </c>
      <c r="U443" s="154">
        <f>'copy data3'!B497</f>
        <v>619</v>
      </c>
      <c r="V443" s="38">
        <f t="shared" si="76"/>
        <v>681.75</v>
      </c>
      <c r="W443" s="71">
        <f t="shared" si="77"/>
        <v>50.055066079295152</v>
      </c>
      <c r="X443" s="154">
        <f>'copy data3'!D497</f>
        <v>180</v>
      </c>
      <c r="Y443" s="38">
        <f t="shared" si="78"/>
        <v>238.5</v>
      </c>
      <c r="Z443" s="71">
        <f t="shared" si="79"/>
        <v>33.125</v>
      </c>
      <c r="AA443" s="152">
        <f>'copy data3'!F497</f>
        <v>353</v>
      </c>
      <c r="AB443" s="38">
        <f t="shared" si="80"/>
        <v>518.5</v>
      </c>
      <c r="AC443" s="71">
        <f t="shared" si="81"/>
        <v>106.90721649484536</v>
      </c>
      <c r="AD443" s="152">
        <f>'copy data3'!H497</f>
        <v>389</v>
      </c>
      <c r="AE443" s="38">
        <f t="shared" si="82"/>
        <v>497</v>
      </c>
      <c r="AF443" s="71">
        <f t="shared" si="83"/>
        <v>310.625</v>
      </c>
      <c r="AG443" s="152">
        <f>'copy data3'!J497</f>
        <v>20</v>
      </c>
      <c r="AH443" s="38">
        <f t="shared" si="84"/>
        <v>27.5</v>
      </c>
      <c r="AI443" s="71">
        <f t="shared" si="85"/>
        <v>105.76923076923077</v>
      </c>
      <c r="AJ443" s="152">
        <f>'copy data3'!L497</f>
        <v>1561</v>
      </c>
      <c r="AK443" s="38">
        <f t="shared" si="86"/>
        <v>1962.5</v>
      </c>
      <c r="AL443" s="71">
        <f t="shared" si="87"/>
        <v>71.311773255813947</v>
      </c>
      <c r="AM443" s="152">
        <f>'copy data3'!N497</f>
        <v>9692</v>
      </c>
      <c r="AN443" s="38">
        <f t="shared" si="88"/>
        <v>9928.5</v>
      </c>
      <c r="AO443" s="71">
        <f t="shared" si="89"/>
        <v>77.718199608610576</v>
      </c>
      <c r="AP443" s="152">
        <f>'copy data3'!P497</f>
        <v>5098</v>
      </c>
      <c r="AQ443" s="38">
        <f t="shared" si="90"/>
        <v>4835.75</v>
      </c>
      <c r="AR443" s="71">
        <f t="shared" si="91"/>
        <v>130.20328486806679</v>
      </c>
      <c r="AS443" s="153">
        <f>'copy data3'!R497</f>
        <v>16351</v>
      </c>
      <c r="AT443" s="38">
        <f t="shared" si="73"/>
        <v>16726.75</v>
      </c>
      <c r="AU443" s="71">
        <f t="shared" si="72"/>
        <v>86.932851722883427</v>
      </c>
    </row>
    <row r="444" spans="1:47" ht="15.6" x14ac:dyDescent="0.3">
      <c r="A444" s="55">
        <v>38057</v>
      </c>
      <c r="B444" s="56">
        <v>2191</v>
      </c>
      <c r="C444" s="56">
        <v>9997</v>
      </c>
      <c r="D444" s="56">
        <v>837</v>
      </c>
      <c r="E444" s="56">
        <v>2970</v>
      </c>
      <c r="F444" s="56">
        <v>1309</v>
      </c>
      <c r="G444" s="56">
        <v>5236</v>
      </c>
      <c r="H444" s="56">
        <v>909</v>
      </c>
      <c r="I444" s="56">
        <v>3928</v>
      </c>
      <c r="J444" s="56">
        <v>142</v>
      </c>
      <c r="K444" s="56">
        <v>833</v>
      </c>
      <c r="L444" s="56">
        <v>5388</v>
      </c>
      <c r="M444" s="56">
        <v>22963</v>
      </c>
      <c r="N444" s="56">
        <v>8707</v>
      </c>
      <c r="O444" s="56">
        <v>25995</v>
      </c>
      <c r="P444" s="56">
        <v>2525</v>
      </c>
      <c r="Q444" s="56">
        <v>20533</v>
      </c>
      <c r="R444" s="16">
        <f t="shared" si="75"/>
        <v>16620</v>
      </c>
      <c r="T444" s="144">
        <f t="shared" si="74"/>
        <v>39954</v>
      </c>
      <c r="U444" s="154">
        <f>'copy data3'!B498</f>
        <v>461</v>
      </c>
      <c r="V444" s="38">
        <f t="shared" si="76"/>
        <v>608.25</v>
      </c>
      <c r="W444" s="71">
        <f t="shared" si="77"/>
        <v>68.265993265993259</v>
      </c>
      <c r="X444" s="154">
        <f>'copy data3'!D498</f>
        <v>145</v>
      </c>
      <c r="Y444" s="38">
        <f t="shared" si="78"/>
        <v>202</v>
      </c>
      <c r="Z444" s="71">
        <f t="shared" si="79"/>
        <v>33.499170812603644</v>
      </c>
      <c r="AA444" s="152">
        <f>'copy data3'!F498</f>
        <v>361</v>
      </c>
      <c r="AB444" s="38">
        <f t="shared" si="80"/>
        <v>463</v>
      </c>
      <c r="AC444" s="71">
        <f t="shared" si="81"/>
        <v>119.63824289405684</v>
      </c>
      <c r="AD444" s="152">
        <f>'copy data3'!H498</f>
        <v>232</v>
      </c>
      <c r="AE444" s="38">
        <f t="shared" si="82"/>
        <v>426.25</v>
      </c>
      <c r="AF444" s="71">
        <f t="shared" si="83"/>
        <v>311.1313868613139</v>
      </c>
      <c r="AG444" s="152">
        <f>'copy data3'!J498</f>
        <v>5</v>
      </c>
      <c r="AH444" s="38">
        <f t="shared" si="84"/>
        <v>20.75</v>
      </c>
      <c r="AI444" s="71">
        <f t="shared" si="85"/>
        <v>79.807692307692307</v>
      </c>
      <c r="AJ444" s="152">
        <f>'copy data3'!L498</f>
        <v>1205</v>
      </c>
      <c r="AK444" s="38">
        <f t="shared" si="86"/>
        <v>1720</v>
      </c>
      <c r="AL444" s="71">
        <f t="shared" si="87"/>
        <v>84.148727984344418</v>
      </c>
      <c r="AM444" s="152">
        <f>'copy data3'!N498</f>
        <v>9638</v>
      </c>
      <c r="AN444" s="38">
        <f t="shared" si="88"/>
        <v>9774.75</v>
      </c>
      <c r="AO444" s="71">
        <f t="shared" si="89"/>
        <v>80.252463054187189</v>
      </c>
      <c r="AP444" s="152">
        <f>'copy data3'!P498</f>
        <v>4779</v>
      </c>
      <c r="AQ444" s="38">
        <f t="shared" si="90"/>
        <v>4884.75</v>
      </c>
      <c r="AR444" s="71">
        <f t="shared" si="91"/>
        <v>136.63636363636365</v>
      </c>
      <c r="AS444" s="153">
        <f>'copy data3'!R498</f>
        <v>15622</v>
      </c>
      <c r="AT444" s="38">
        <f t="shared" si="73"/>
        <v>16379.5</v>
      </c>
      <c r="AU444" s="71">
        <f t="shared" si="72"/>
        <v>92.024832855778413</v>
      </c>
    </row>
    <row r="445" spans="1:47" ht="15.6" x14ac:dyDescent="0.3">
      <c r="A445" s="55">
        <v>38421</v>
      </c>
      <c r="B445" s="56">
        <v>1572</v>
      </c>
      <c r="C445" s="56">
        <v>7518</v>
      </c>
      <c r="D445" s="56">
        <v>268</v>
      </c>
      <c r="E445" s="56">
        <v>2907</v>
      </c>
      <c r="F445" s="56">
        <v>1536</v>
      </c>
      <c r="G445" s="56">
        <v>6142</v>
      </c>
      <c r="H445" s="56">
        <v>612</v>
      </c>
      <c r="I445" s="56">
        <v>3997</v>
      </c>
      <c r="J445" s="56">
        <v>79</v>
      </c>
      <c r="K445" s="56">
        <v>527</v>
      </c>
      <c r="L445" s="56">
        <v>4068</v>
      </c>
      <c r="M445" s="56">
        <v>21092</v>
      </c>
      <c r="N445" s="56">
        <v>7002</v>
      </c>
      <c r="O445" s="56">
        <v>24256</v>
      </c>
      <c r="P445" s="56">
        <v>3241</v>
      </c>
      <c r="Q445" s="56">
        <v>23168</v>
      </c>
      <c r="R445" s="16">
        <f t="shared" si="75"/>
        <v>14311</v>
      </c>
      <c r="T445" s="144">
        <f t="shared" si="74"/>
        <v>39961</v>
      </c>
      <c r="U445" s="154">
        <f>'copy data3'!B499</f>
        <v>358</v>
      </c>
      <c r="V445" s="38">
        <f t="shared" si="76"/>
        <v>524.5</v>
      </c>
      <c r="W445" s="71">
        <f t="shared" si="77"/>
        <v>75.251076040172165</v>
      </c>
      <c r="X445" s="154">
        <f>'copy data3'!D499</f>
        <v>170</v>
      </c>
      <c r="Y445" s="38">
        <f t="shared" si="78"/>
        <v>175.75</v>
      </c>
      <c r="Z445" s="71">
        <f t="shared" si="79"/>
        <v>33.476190476190474</v>
      </c>
      <c r="AA445" s="152">
        <f>'copy data3'!F499</f>
        <v>304</v>
      </c>
      <c r="AB445" s="38">
        <f t="shared" si="80"/>
        <v>385.75</v>
      </c>
      <c r="AC445" s="71">
        <f t="shared" si="81"/>
        <v>142.34317343173433</v>
      </c>
      <c r="AD445" s="152">
        <f>'copy data3'!H499</f>
        <v>168</v>
      </c>
      <c r="AE445" s="38">
        <f t="shared" si="82"/>
        <v>330.25</v>
      </c>
      <c r="AF445" s="71">
        <f t="shared" si="83"/>
        <v>320.631067961165</v>
      </c>
      <c r="AG445" s="152">
        <f>'copy data3'!J499</f>
        <v>5</v>
      </c>
      <c r="AH445" s="38">
        <f t="shared" si="84"/>
        <v>14.75</v>
      </c>
      <c r="AI445" s="71">
        <f t="shared" si="85"/>
        <v>67.045454545454547</v>
      </c>
      <c r="AJ445" s="152">
        <f>'copy data3'!L499</f>
        <v>1005</v>
      </c>
      <c r="AK445" s="38">
        <f t="shared" si="86"/>
        <v>1431</v>
      </c>
      <c r="AL445" s="71">
        <f t="shared" si="87"/>
        <v>88.661710037174728</v>
      </c>
      <c r="AM445" s="152">
        <f>'copy data3'!N499</f>
        <v>9386</v>
      </c>
      <c r="AN445" s="38">
        <f t="shared" si="88"/>
        <v>9608.25</v>
      </c>
      <c r="AO445" s="71">
        <f t="shared" si="89"/>
        <v>81.946695095948826</v>
      </c>
      <c r="AP445" s="152">
        <f>'copy data3'!P499</f>
        <v>4443</v>
      </c>
      <c r="AQ445" s="38">
        <f t="shared" si="90"/>
        <v>4782.75</v>
      </c>
      <c r="AR445" s="71">
        <f t="shared" si="91"/>
        <v>133.18713450292398</v>
      </c>
      <c r="AS445" s="153">
        <f>'copy data3'!R499</f>
        <v>14834</v>
      </c>
      <c r="AT445" s="38">
        <f t="shared" si="73"/>
        <v>15822</v>
      </c>
      <c r="AU445" s="71">
        <f t="shared" ref="AU445:AU508" si="92">(AT445/AS393)*100</f>
        <v>93.455404607206134</v>
      </c>
    </row>
    <row r="446" spans="1:47" ht="15.6" x14ac:dyDescent="0.3">
      <c r="A446" s="55">
        <v>38064</v>
      </c>
      <c r="B446" s="56">
        <v>2255</v>
      </c>
      <c r="C446" s="56">
        <v>10229</v>
      </c>
      <c r="D446" s="56">
        <v>872</v>
      </c>
      <c r="E446" s="56">
        <v>3032</v>
      </c>
      <c r="F446" s="56">
        <v>1334</v>
      </c>
      <c r="G446" s="56">
        <v>5300</v>
      </c>
      <c r="H446" s="56">
        <v>985</v>
      </c>
      <c r="I446" s="56">
        <v>4035</v>
      </c>
      <c r="J446" s="56">
        <v>158</v>
      </c>
      <c r="K446" s="56">
        <v>843</v>
      </c>
      <c r="L446" s="56">
        <v>5603</v>
      </c>
      <c r="M446" s="56">
        <v>23438</v>
      </c>
      <c r="N446" s="56">
        <v>8829</v>
      </c>
      <c r="O446" s="56">
        <v>27062</v>
      </c>
      <c r="P446" s="56">
        <v>2247</v>
      </c>
      <c r="Q446" s="56">
        <v>21026</v>
      </c>
      <c r="R446" s="16">
        <f t="shared" si="75"/>
        <v>16679</v>
      </c>
      <c r="T446" s="144">
        <f t="shared" si="74"/>
        <v>39968</v>
      </c>
      <c r="U446" s="154">
        <f>'copy data3'!B500</f>
        <v>1074</v>
      </c>
      <c r="V446" s="38">
        <f t="shared" si="76"/>
        <v>628</v>
      </c>
      <c r="W446" s="71">
        <f t="shared" si="77"/>
        <v>18.160786581839215</v>
      </c>
      <c r="X446" s="154">
        <f>'copy data3'!D500</f>
        <v>462</v>
      </c>
      <c r="Y446" s="38">
        <f t="shared" si="78"/>
        <v>239.25</v>
      </c>
      <c r="Z446" s="71">
        <f t="shared" si="79"/>
        <v>15.495466321243523</v>
      </c>
      <c r="AA446" s="152">
        <f>'copy data3'!F500</f>
        <v>801</v>
      </c>
      <c r="AB446" s="38">
        <f t="shared" si="80"/>
        <v>454.75</v>
      </c>
      <c r="AC446" s="71">
        <f t="shared" si="81"/>
        <v>40.279007971656334</v>
      </c>
      <c r="AD446" s="152">
        <f>'copy data3'!H500</f>
        <v>888</v>
      </c>
      <c r="AE446" s="38">
        <f t="shared" si="82"/>
        <v>419.25</v>
      </c>
      <c r="AF446" s="71">
        <f t="shared" si="83"/>
        <v>51.631773399014783</v>
      </c>
      <c r="AG446" s="152">
        <f>'copy data3'!J500</f>
        <v>186</v>
      </c>
      <c r="AH446" s="38">
        <f t="shared" si="84"/>
        <v>54</v>
      </c>
      <c r="AI446" s="71">
        <f t="shared" si="85"/>
        <v>22.978723404255319</v>
      </c>
      <c r="AJ446" s="152">
        <f>'copy data3'!L500</f>
        <v>3410</v>
      </c>
      <c r="AK446" s="38">
        <f t="shared" si="86"/>
        <v>1795.25</v>
      </c>
      <c r="AL446" s="71">
        <f t="shared" si="87"/>
        <v>25.01393339835586</v>
      </c>
      <c r="AM446" s="152">
        <f>'copy data3'!N500</f>
        <v>9475</v>
      </c>
      <c r="AN446" s="38">
        <f t="shared" si="88"/>
        <v>9547.75</v>
      </c>
      <c r="AO446" s="71">
        <f t="shared" si="89"/>
        <v>86.132160577356785</v>
      </c>
      <c r="AP446" s="152">
        <f>'copy data3'!P500</f>
        <v>4081</v>
      </c>
      <c r="AQ446" s="38">
        <f t="shared" si="90"/>
        <v>4600.25</v>
      </c>
      <c r="AR446" s="71">
        <f t="shared" si="91"/>
        <v>125.75861126298524</v>
      </c>
      <c r="AS446" s="153">
        <f>'copy data3'!R500</f>
        <v>16966</v>
      </c>
      <c r="AT446" s="38">
        <f t="shared" si="73"/>
        <v>15943.25</v>
      </c>
      <c r="AU446" s="71">
        <f t="shared" si="92"/>
        <v>72.733804744525543</v>
      </c>
    </row>
    <row r="447" spans="1:47" ht="15.6" x14ac:dyDescent="0.3">
      <c r="A447" s="55">
        <v>38428</v>
      </c>
      <c r="B447" s="56">
        <v>1576</v>
      </c>
      <c r="C447" s="56">
        <v>7728</v>
      </c>
      <c r="D447" s="56">
        <v>241</v>
      </c>
      <c r="E447" s="56">
        <v>2946</v>
      </c>
      <c r="F447" s="56">
        <v>1343</v>
      </c>
      <c r="G447" s="56">
        <v>6365</v>
      </c>
      <c r="H447" s="56">
        <v>499</v>
      </c>
      <c r="I447" s="56">
        <v>4116</v>
      </c>
      <c r="J447" s="56">
        <v>110</v>
      </c>
      <c r="K447" s="56">
        <v>556</v>
      </c>
      <c r="L447" s="56">
        <v>3769</v>
      </c>
      <c r="M447" s="56">
        <v>21712</v>
      </c>
      <c r="N447" s="56">
        <v>7291</v>
      </c>
      <c r="O447" s="56">
        <v>24847</v>
      </c>
      <c r="P447" s="56">
        <v>3046</v>
      </c>
      <c r="Q447" s="56">
        <v>23710</v>
      </c>
      <c r="R447" s="16">
        <f t="shared" si="75"/>
        <v>14106</v>
      </c>
      <c r="T447" s="144">
        <f t="shared" si="74"/>
        <v>39975</v>
      </c>
      <c r="U447" s="154">
        <f>'copy data3'!B501</f>
        <v>1016</v>
      </c>
      <c r="V447" s="38">
        <f t="shared" si="76"/>
        <v>727.25</v>
      </c>
      <c r="W447" s="71">
        <f t="shared" si="77"/>
        <v>20.891985061763858</v>
      </c>
      <c r="X447" s="154">
        <f>'copy data3'!D501</f>
        <v>504</v>
      </c>
      <c r="Y447" s="38">
        <f t="shared" si="78"/>
        <v>320.25</v>
      </c>
      <c r="Z447" s="71">
        <f t="shared" si="79"/>
        <v>20.307545973367152</v>
      </c>
      <c r="AA447" s="152">
        <f>'copy data3'!F501</f>
        <v>763</v>
      </c>
      <c r="AB447" s="38">
        <f t="shared" si="80"/>
        <v>557.25</v>
      </c>
      <c r="AC447" s="71">
        <f t="shared" si="81"/>
        <v>46.670854271356781</v>
      </c>
      <c r="AD447" s="152">
        <f>'copy data3'!H501</f>
        <v>807</v>
      </c>
      <c r="AE447" s="38">
        <f t="shared" si="82"/>
        <v>523.75</v>
      </c>
      <c r="AF447" s="71">
        <f t="shared" si="83"/>
        <v>61.257309941520468</v>
      </c>
      <c r="AG447" s="152">
        <f>'copy data3'!J501</f>
        <v>196</v>
      </c>
      <c r="AH447" s="38">
        <f t="shared" si="84"/>
        <v>98</v>
      </c>
      <c r="AI447" s="71">
        <f t="shared" si="85"/>
        <v>41.702127659574465</v>
      </c>
      <c r="AJ447" s="152">
        <f>'copy data3'!L501</f>
        <v>3286</v>
      </c>
      <c r="AK447" s="38">
        <f t="shared" si="86"/>
        <v>2226.5</v>
      </c>
      <c r="AL447" s="71">
        <f t="shared" si="87"/>
        <v>30.325524380277852</v>
      </c>
      <c r="AM447" s="152">
        <f>'copy data3'!N501</f>
        <v>9424</v>
      </c>
      <c r="AN447" s="38">
        <f t="shared" si="88"/>
        <v>9480.75</v>
      </c>
      <c r="AO447" s="71">
        <f t="shared" si="89"/>
        <v>91.681172033652444</v>
      </c>
      <c r="AP447" s="152">
        <f>'copy data3'!P501</f>
        <v>3877</v>
      </c>
      <c r="AQ447" s="38">
        <f t="shared" si="90"/>
        <v>4295</v>
      </c>
      <c r="AR447" s="71">
        <f t="shared" si="91"/>
        <v>123.66829830118053</v>
      </c>
      <c r="AS447" s="153">
        <f>'copy data3'!R501</f>
        <v>16587</v>
      </c>
      <c r="AT447" s="38">
        <f t="shared" si="73"/>
        <v>16002.25</v>
      </c>
      <c r="AU447" s="71">
        <f t="shared" si="92"/>
        <v>75.639298544148232</v>
      </c>
    </row>
    <row r="448" spans="1:47" ht="15.6" x14ac:dyDescent="0.3">
      <c r="A448" s="55">
        <v>38071</v>
      </c>
      <c r="B448" s="56">
        <v>2004</v>
      </c>
      <c r="C448" s="56">
        <v>10469</v>
      </c>
      <c r="D448" s="56">
        <v>789</v>
      </c>
      <c r="E448" s="56"/>
      <c r="F448" s="56">
        <v>1256</v>
      </c>
      <c r="G448" s="56">
        <v>5498</v>
      </c>
      <c r="H448" s="56">
        <v>904</v>
      </c>
      <c r="I448" s="56">
        <v>4148</v>
      </c>
      <c r="J448" s="56">
        <v>123</v>
      </c>
      <c r="K448" s="56">
        <v>874</v>
      </c>
      <c r="L448" s="56">
        <v>5074</v>
      </c>
      <c r="M448" s="56">
        <v>24133</v>
      </c>
      <c r="N448" s="56">
        <v>8450</v>
      </c>
      <c r="O448" s="56">
        <v>28136</v>
      </c>
      <c r="P448" s="56">
        <v>2027</v>
      </c>
      <c r="Q448" s="56">
        <v>21421</v>
      </c>
      <c r="R448" s="16">
        <f t="shared" si="75"/>
        <v>15551</v>
      </c>
      <c r="T448" s="144">
        <f t="shared" si="74"/>
        <v>39982</v>
      </c>
      <c r="U448" s="154">
        <f>'copy data3'!B502</f>
        <v>1041</v>
      </c>
      <c r="V448" s="38">
        <f t="shared" si="76"/>
        <v>872.25</v>
      </c>
      <c r="W448" s="71">
        <f t="shared" si="77"/>
        <v>25.813850251553717</v>
      </c>
      <c r="X448" s="154">
        <f>'copy data3'!D502</f>
        <v>534</v>
      </c>
      <c r="Y448" s="38">
        <f t="shared" si="78"/>
        <v>417.5</v>
      </c>
      <c r="Z448" s="71">
        <f t="shared" si="79"/>
        <v>26.208411801632142</v>
      </c>
      <c r="AA448" s="152">
        <f>'copy data3'!F502</f>
        <v>751</v>
      </c>
      <c r="AB448" s="38">
        <f t="shared" si="80"/>
        <v>654.75</v>
      </c>
      <c r="AC448" s="71">
        <f t="shared" si="81"/>
        <v>51.923076923076927</v>
      </c>
      <c r="AD448" s="152">
        <f>'copy data3'!H502</f>
        <v>809</v>
      </c>
      <c r="AE448" s="38">
        <f t="shared" si="82"/>
        <v>668</v>
      </c>
      <c r="AF448" s="71">
        <f t="shared" si="83"/>
        <v>77.047289504036911</v>
      </c>
      <c r="AG448" s="152">
        <f>'copy data3'!J502</f>
        <v>196</v>
      </c>
      <c r="AH448" s="38">
        <f t="shared" si="84"/>
        <v>145.75</v>
      </c>
      <c r="AI448" s="71">
        <f t="shared" si="85"/>
        <v>61.758474576271183</v>
      </c>
      <c r="AJ448" s="152">
        <f>'copy data3'!L502</f>
        <v>3331</v>
      </c>
      <c r="AK448" s="38">
        <f t="shared" si="86"/>
        <v>2758</v>
      </c>
      <c r="AL448" s="71">
        <f t="shared" si="87"/>
        <v>37.595419847328245</v>
      </c>
      <c r="AM448" s="152">
        <f>'copy data3'!N502</f>
        <v>9072</v>
      </c>
      <c r="AN448" s="38">
        <f t="shared" si="88"/>
        <v>9339.25</v>
      </c>
      <c r="AO448" s="71">
        <f t="shared" si="89"/>
        <v>97.405611180642467</v>
      </c>
      <c r="AP448" s="152">
        <f>'copy data3'!P502</f>
        <v>3527</v>
      </c>
      <c r="AQ448" s="38">
        <f t="shared" si="90"/>
        <v>3982</v>
      </c>
      <c r="AR448" s="71">
        <f t="shared" si="91"/>
        <v>138.40806395550922</v>
      </c>
      <c r="AS448" s="153">
        <f>'copy data3'!R502</f>
        <v>15930</v>
      </c>
      <c r="AT448" s="38">
        <f t="shared" si="73"/>
        <v>16079.25</v>
      </c>
      <c r="AU448" s="71">
        <f t="shared" si="92"/>
        <v>81.204232109489411</v>
      </c>
    </row>
    <row r="449" spans="1:47" ht="15.6" x14ac:dyDescent="0.3">
      <c r="A449" s="55">
        <v>38435</v>
      </c>
      <c r="B449" s="56">
        <v>1463</v>
      </c>
      <c r="C449" s="56">
        <v>7997</v>
      </c>
      <c r="D449" s="56">
        <v>226</v>
      </c>
      <c r="E449" s="56">
        <v>2983</v>
      </c>
      <c r="F449" s="56">
        <v>1298</v>
      </c>
      <c r="G449" s="56">
        <v>6519</v>
      </c>
      <c r="H449" s="56">
        <v>553</v>
      </c>
      <c r="I449" s="56">
        <v>4168</v>
      </c>
      <c r="J449" s="56">
        <v>98</v>
      </c>
      <c r="K449" s="56">
        <v>569</v>
      </c>
      <c r="L449" s="56">
        <v>3611</v>
      </c>
      <c r="M449" s="56">
        <v>22236</v>
      </c>
      <c r="N449" s="56">
        <v>7636</v>
      </c>
      <c r="O449" s="56">
        <v>25709</v>
      </c>
      <c r="P449" s="56">
        <v>2790</v>
      </c>
      <c r="Q449" s="56">
        <v>24252</v>
      </c>
      <c r="R449" s="16">
        <f t="shared" si="75"/>
        <v>14037</v>
      </c>
      <c r="T449" s="144">
        <f t="shared" si="74"/>
        <v>39989</v>
      </c>
      <c r="U449" s="154">
        <f>'copy data3'!B503</f>
        <v>1064.5999999999999</v>
      </c>
      <c r="V449" s="38">
        <f t="shared" si="76"/>
        <v>1048.9000000000001</v>
      </c>
      <c r="W449" s="71">
        <f t="shared" si="77"/>
        <v>29.800835298462943</v>
      </c>
      <c r="X449" s="154">
        <f>'copy data3'!D503</f>
        <v>510.1</v>
      </c>
      <c r="Y449" s="38">
        <f t="shared" si="78"/>
        <v>502.52499999999998</v>
      </c>
      <c r="Z449" s="71">
        <f t="shared" si="79"/>
        <v>32.456565265129491</v>
      </c>
      <c r="AA449" s="152">
        <f>'copy data3'!F503</f>
        <v>741.1</v>
      </c>
      <c r="AB449" s="38">
        <f t="shared" si="80"/>
        <v>764.02499999999998</v>
      </c>
      <c r="AC449" s="71">
        <f t="shared" si="81"/>
        <v>56.804832713754649</v>
      </c>
      <c r="AD449" s="152">
        <f>'copy data3'!H503</f>
        <v>714.7</v>
      </c>
      <c r="AE449" s="38">
        <f t="shared" si="82"/>
        <v>804.67499999999995</v>
      </c>
      <c r="AF449" s="71">
        <f t="shared" si="83"/>
        <v>87.664778298289576</v>
      </c>
      <c r="AG449" s="152">
        <f>'copy data3'!J503</f>
        <v>175.5</v>
      </c>
      <c r="AH449" s="38">
        <f t="shared" si="84"/>
        <v>188.375</v>
      </c>
      <c r="AI449" s="71">
        <f t="shared" si="85"/>
        <v>79.651162790697668</v>
      </c>
      <c r="AJ449" s="152">
        <f>'copy data3'!L503</f>
        <v>3206.1</v>
      </c>
      <c r="AK449" s="38">
        <f t="shared" si="86"/>
        <v>3308.2750000000001</v>
      </c>
      <c r="AL449" s="71">
        <f t="shared" si="87"/>
        <v>43.717459100880099</v>
      </c>
      <c r="AM449" s="152">
        <f>'copy data3'!N503</f>
        <v>9485</v>
      </c>
      <c r="AN449" s="38">
        <f t="shared" si="88"/>
        <v>9364</v>
      </c>
      <c r="AO449" s="71">
        <f t="shared" si="89"/>
        <v>107.33116317454497</v>
      </c>
      <c r="AP449" s="152">
        <f>'copy data3'!P503</f>
        <v>3333.2</v>
      </c>
      <c r="AQ449" s="38">
        <f t="shared" si="90"/>
        <v>3704.55</v>
      </c>
      <c r="AR449" s="71">
        <f t="shared" si="91"/>
        <v>132.92726685564605</v>
      </c>
      <c r="AS449" s="153">
        <f>'copy data3'!R503</f>
        <v>16024.3</v>
      </c>
      <c r="AT449" s="38">
        <f t="shared" si="73"/>
        <v>16376.825000000001</v>
      </c>
      <c r="AU449" s="71">
        <f t="shared" si="92"/>
        <v>85.838264661638377</v>
      </c>
    </row>
    <row r="450" spans="1:47" ht="15.6" x14ac:dyDescent="0.3">
      <c r="A450" s="55">
        <v>38078</v>
      </c>
      <c r="B450" s="56">
        <v>1991</v>
      </c>
      <c r="C450" s="56">
        <v>10762</v>
      </c>
      <c r="D450" s="56">
        <v>776</v>
      </c>
      <c r="E450" s="56">
        <v>3180</v>
      </c>
      <c r="F450" s="56">
        <v>1297</v>
      </c>
      <c r="G450" s="56">
        <v>5576</v>
      </c>
      <c r="H450" s="56">
        <v>845</v>
      </c>
      <c r="I450" s="56">
        <v>4210</v>
      </c>
      <c r="J450" s="56">
        <v>124</v>
      </c>
      <c r="K450" s="56">
        <v>904</v>
      </c>
      <c r="L450" s="56">
        <v>5033</v>
      </c>
      <c r="M450" s="56">
        <v>24632</v>
      </c>
      <c r="N450" s="56">
        <v>9051</v>
      </c>
      <c r="O450" s="56">
        <v>28854</v>
      </c>
      <c r="P450" s="56">
        <v>1914</v>
      </c>
      <c r="Q450" s="56">
        <v>21636</v>
      </c>
      <c r="R450" s="16">
        <f t="shared" si="75"/>
        <v>15998</v>
      </c>
      <c r="T450" s="144">
        <f t="shared" si="74"/>
        <v>39996</v>
      </c>
      <c r="U450" s="154">
        <f>'copy data3'!B504</f>
        <v>1093</v>
      </c>
      <c r="V450" s="38">
        <f t="shared" si="76"/>
        <v>1053.6500000000001</v>
      </c>
      <c r="W450" s="71">
        <f t="shared" si="77"/>
        <v>29.747317899491815</v>
      </c>
      <c r="X450" s="154">
        <f>'copy data3'!D504</f>
        <v>462</v>
      </c>
      <c r="Y450" s="38">
        <f t="shared" si="78"/>
        <v>502.52499999999998</v>
      </c>
      <c r="Z450" s="71">
        <f t="shared" si="79"/>
        <v>33.039119000657465</v>
      </c>
      <c r="AA450" s="152">
        <f>'copy data3'!F504</f>
        <v>896</v>
      </c>
      <c r="AB450" s="38">
        <f t="shared" si="80"/>
        <v>787.77499999999998</v>
      </c>
      <c r="AC450" s="71">
        <f t="shared" si="81"/>
        <v>56.552404881550608</v>
      </c>
      <c r="AD450" s="152">
        <f>'copy data3'!H504</f>
        <v>785</v>
      </c>
      <c r="AE450" s="38">
        <f t="shared" si="82"/>
        <v>778.92499999999995</v>
      </c>
      <c r="AF450" s="71">
        <f t="shared" si="83"/>
        <v>84.665760869565204</v>
      </c>
      <c r="AG450" s="152">
        <f>'copy data3'!J504</f>
        <v>185</v>
      </c>
      <c r="AH450" s="38">
        <f t="shared" si="84"/>
        <v>188.125</v>
      </c>
      <c r="AI450" s="71">
        <f t="shared" si="85"/>
        <v>79.545454545454547</v>
      </c>
      <c r="AJ450" s="152">
        <f>'copy data3'!L504</f>
        <v>3422</v>
      </c>
      <c r="AK450" s="38">
        <f t="shared" si="86"/>
        <v>3311.2750000000001</v>
      </c>
      <c r="AL450" s="71">
        <f t="shared" si="87"/>
        <v>43.500722543352602</v>
      </c>
      <c r="AM450" s="152">
        <f>'copy data3'!N504</f>
        <v>9266</v>
      </c>
      <c r="AN450" s="38">
        <f t="shared" si="88"/>
        <v>9311.75</v>
      </c>
      <c r="AO450" s="71">
        <f t="shared" si="89"/>
        <v>114.52158406100111</v>
      </c>
      <c r="AP450" s="152">
        <f>'copy data3'!P504</f>
        <v>3202</v>
      </c>
      <c r="AQ450" s="38">
        <f t="shared" si="90"/>
        <v>3484.8</v>
      </c>
      <c r="AR450" s="71">
        <f t="shared" si="91"/>
        <v>136.65882352941176</v>
      </c>
      <c r="AS450" s="153">
        <f>'copy data3'!R504</f>
        <v>15890</v>
      </c>
      <c r="AT450" s="38">
        <f t="shared" si="73"/>
        <v>16107.825000000001</v>
      </c>
      <c r="AU450" s="71">
        <f t="shared" si="92"/>
        <v>88.054583720548848</v>
      </c>
    </row>
    <row r="451" spans="1:47" ht="15.6" x14ac:dyDescent="0.3">
      <c r="A451" s="55">
        <v>38442</v>
      </c>
      <c r="B451" s="56">
        <v>1367</v>
      </c>
      <c r="C451" s="56">
        <v>8124</v>
      </c>
      <c r="D451" s="56">
        <v>231</v>
      </c>
      <c r="E451" s="56">
        <v>2997</v>
      </c>
      <c r="F451" s="56">
        <v>1291</v>
      </c>
      <c r="G451" s="56">
        <v>6614</v>
      </c>
      <c r="H451" s="56">
        <v>556</v>
      </c>
      <c r="I451" s="56">
        <v>4195</v>
      </c>
      <c r="J451" s="56">
        <v>73</v>
      </c>
      <c r="K451" s="56">
        <v>594</v>
      </c>
      <c r="L451" s="56">
        <v>3519</v>
      </c>
      <c r="M451" s="56">
        <v>22524</v>
      </c>
      <c r="N451" s="56">
        <v>7395</v>
      </c>
      <c r="O451" s="56">
        <v>26617</v>
      </c>
      <c r="P451" s="56">
        <v>2640</v>
      </c>
      <c r="Q451" s="56">
        <v>24745</v>
      </c>
      <c r="R451" s="16">
        <f t="shared" si="75"/>
        <v>13554</v>
      </c>
      <c r="T451" s="144">
        <f t="shared" si="74"/>
        <v>40003</v>
      </c>
      <c r="U451" s="154">
        <f>'copy data3'!B505</f>
        <v>1326</v>
      </c>
      <c r="V451" s="38">
        <f t="shared" si="76"/>
        <v>1131.1500000000001</v>
      </c>
      <c r="W451" s="71">
        <f t="shared" si="77"/>
        <v>32.052989515443471</v>
      </c>
      <c r="X451" s="154">
        <f>'copy data3'!D505</f>
        <v>518</v>
      </c>
      <c r="Y451" s="38">
        <f t="shared" si="78"/>
        <v>506.02499999999998</v>
      </c>
      <c r="Z451" s="71">
        <f t="shared" si="79"/>
        <v>33.29111842105263</v>
      </c>
      <c r="AA451" s="152">
        <f>'copy data3'!F505</f>
        <v>878</v>
      </c>
      <c r="AB451" s="38">
        <f t="shared" si="80"/>
        <v>816.52499999999998</v>
      </c>
      <c r="AC451" s="71">
        <f t="shared" si="81"/>
        <v>57.745756718528995</v>
      </c>
      <c r="AD451" s="152">
        <f>'copy data3'!H505</f>
        <v>772</v>
      </c>
      <c r="AE451" s="38">
        <f t="shared" si="82"/>
        <v>770.17499999999995</v>
      </c>
      <c r="AF451" s="71">
        <f t="shared" si="83"/>
        <v>75.730088495575217</v>
      </c>
      <c r="AG451" s="152">
        <f>'copy data3'!J505</f>
        <v>185</v>
      </c>
      <c r="AH451" s="38">
        <f t="shared" si="84"/>
        <v>185.375</v>
      </c>
      <c r="AI451" s="71">
        <f t="shared" si="85"/>
        <v>78.382663847780137</v>
      </c>
      <c r="AJ451" s="152">
        <f>'copy data3'!L505</f>
        <v>3680</v>
      </c>
      <c r="AK451" s="38">
        <f t="shared" si="86"/>
        <v>3409.7750000000001</v>
      </c>
      <c r="AL451" s="71">
        <f t="shared" si="87"/>
        <v>44.190966822187661</v>
      </c>
      <c r="AM451" s="152">
        <f>'copy data3'!N505</f>
        <v>8996</v>
      </c>
      <c r="AN451" s="38">
        <f t="shared" si="88"/>
        <v>9204.75</v>
      </c>
      <c r="AO451" s="71">
        <f t="shared" si="89"/>
        <v>117.84342593778005</v>
      </c>
      <c r="AP451" s="152">
        <f>'copy data3'!P505</f>
        <v>2947</v>
      </c>
      <c r="AQ451" s="38">
        <f t="shared" si="90"/>
        <v>3252.3</v>
      </c>
      <c r="AR451" s="71">
        <f t="shared" si="91"/>
        <v>137.8093220338983</v>
      </c>
      <c r="AS451" s="153">
        <f>'copy data3'!R505</f>
        <v>15623</v>
      </c>
      <c r="AT451" s="38">
        <f t="shared" si="73"/>
        <v>15866.825000000001</v>
      </c>
      <c r="AU451" s="71">
        <f t="shared" si="92"/>
        <v>88.705903728965168</v>
      </c>
    </row>
    <row r="452" spans="1:47" ht="15.6" x14ac:dyDescent="0.3">
      <c r="A452" s="55">
        <v>38085</v>
      </c>
      <c r="B452" s="56">
        <v>1929</v>
      </c>
      <c r="C452" s="56">
        <v>11055</v>
      </c>
      <c r="D452" s="56">
        <v>762</v>
      </c>
      <c r="E452" s="56">
        <v>3235</v>
      </c>
      <c r="F452" s="56">
        <v>1210</v>
      </c>
      <c r="G452" s="56">
        <v>5732</v>
      </c>
      <c r="H452" s="56">
        <v>831</v>
      </c>
      <c r="I452" s="56">
        <v>4259</v>
      </c>
      <c r="J452" s="56">
        <v>93</v>
      </c>
      <c r="K452" s="56">
        <v>940</v>
      </c>
      <c r="L452" s="56">
        <v>4825</v>
      </c>
      <c r="M452" s="56">
        <v>25220</v>
      </c>
      <c r="N452" s="56">
        <v>9144</v>
      </c>
      <c r="O452" s="56">
        <v>29984</v>
      </c>
      <c r="P452" s="56">
        <v>1897</v>
      </c>
      <c r="Q452" s="56">
        <v>21832</v>
      </c>
      <c r="R452" s="16">
        <f t="shared" si="75"/>
        <v>15866</v>
      </c>
      <c r="T452" s="144">
        <f t="shared" si="74"/>
        <v>40010</v>
      </c>
      <c r="U452" s="154">
        <f>'copy data3'!B506</f>
        <v>1308</v>
      </c>
      <c r="V452" s="38">
        <f t="shared" si="76"/>
        <v>1197.9000000000001</v>
      </c>
      <c r="W452" s="71">
        <f t="shared" si="77"/>
        <v>35.461811722912969</v>
      </c>
      <c r="X452" s="154">
        <f>'copy data3'!D506</f>
        <v>538</v>
      </c>
      <c r="Y452" s="38">
        <f t="shared" si="78"/>
        <v>507.02499999999998</v>
      </c>
      <c r="Z452" s="71">
        <f t="shared" si="79"/>
        <v>38.036384096024008</v>
      </c>
      <c r="AA452" s="152">
        <f>'copy data3'!F506</f>
        <v>851</v>
      </c>
      <c r="AB452" s="38">
        <f t="shared" si="80"/>
        <v>841.52499999999998</v>
      </c>
      <c r="AC452" s="71">
        <f t="shared" si="81"/>
        <v>57.052542372881355</v>
      </c>
      <c r="AD452" s="152">
        <f>'copy data3'!H506</f>
        <v>705</v>
      </c>
      <c r="AE452" s="38">
        <f t="shared" si="82"/>
        <v>744.17499999999995</v>
      </c>
      <c r="AF452" s="71">
        <f t="shared" si="83"/>
        <v>68.023308957952466</v>
      </c>
      <c r="AG452" s="152">
        <f>'copy data3'!J506</f>
        <v>183</v>
      </c>
      <c r="AH452" s="38">
        <f t="shared" si="84"/>
        <v>182.125</v>
      </c>
      <c r="AI452" s="71">
        <f t="shared" si="85"/>
        <v>85.908018867924525</v>
      </c>
      <c r="AJ452" s="152">
        <f>'copy data3'!L506</f>
        <v>3586</v>
      </c>
      <c r="AK452" s="38">
        <f t="shared" si="86"/>
        <v>3473.5250000000001</v>
      </c>
      <c r="AL452" s="71">
        <f t="shared" si="87"/>
        <v>46.36930983847283</v>
      </c>
      <c r="AM452" s="152">
        <f>'copy data3'!N506</f>
        <v>8833</v>
      </c>
      <c r="AN452" s="38">
        <f t="shared" si="88"/>
        <v>9145</v>
      </c>
      <c r="AO452" s="71">
        <f t="shared" si="89"/>
        <v>123.78180833784515</v>
      </c>
      <c r="AP452" s="152">
        <f>'copy data3'!P506</f>
        <v>2984</v>
      </c>
      <c r="AQ452" s="38">
        <f t="shared" si="90"/>
        <v>3116.55</v>
      </c>
      <c r="AR452" s="71">
        <f t="shared" si="91"/>
        <v>133.01536491677336</v>
      </c>
      <c r="AS452" s="153">
        <f>'copy data3'!R506</f>
        <v>15403</v>
      </c>
      <c r="AT452" s="38">
        <f t="shared" si="73"/>
        <v>15735.075000000001</v>
      </c>
      <c r="AU452" s="71">
        <f t="shared" si="92"/>
        <v>91.366130530716532</v>
      </c>
    </row>
    <row r="453" spans="1:47" ht="15.6" x14ac:dyDescent="0.3">
      <c r="A453" s="55">
        <v>38449</v>
      </c>
      <c r="B453" s="56">
        <v>1394</v>
      </c>
      <c r="C453" s="56">
        <v>8268</v>
      </c>
      <c r="D453" s="56">
        <v>216</v>
      </c>
      <c r="E453" s="56">
        <v>3041</v>
      </c>
      <c r="F453" s="56">
        <v>1194</v>
      </c>
      <c r="G453" s="56">
        <v>6809</v>
      </c>
      <c r="H453" s="56">
        <v>573</v>
      </c>
      <c r="I453" s="56">
        <v>4270</v>
      </c>
      <c r="J453" s="56">
        <v>63</v>
      </c>
      <c r="K453" s="56">
        <v>604</v>
      </c>
      <c r="L453" s="56">
        <v>3440</v>
      </c>
      <c r="M453" s="56">
        <v>22991</v>
      </c>
      <c r="N453" s="56">
        <v>7576</v>
      </c>
      <c r="O453" s="56">
        <v>27348</v>
      </c>
      <c r="P453" s="56">
        <v>2460</v>
      </c>
      <c r="Q453" s="56">
        <v>25042</v>
      </c>
      <c r="R453" s="16">
        <f t="shared" si="75"/>
        <v>13476</v>
      </c>
      <c r="T453" s="144">
        <f t="shared" si="74"/>
        <v>40017</v>
      </c>
      <c r="U453" s="154">
        <f>'copy data3'!B507</f>
        <v>1326</v>
      </c>
      <c r="V453" s="38">
        <f t="shared" si="76"/>
        <v>1263.25</v>
      </c>
      <c r="W453" s="71">
        <f t="shared" si="77"/>
        <v>36.733061936609481</v>
      </c>
      <c r="X453" s="154">
        <f>'copy data3'!D507</f>
        <v>598</v>
      </c>
      <c r="Y453" s="38">
        <f t="shared" si="78"/>
        <v>529</v>
      </c>
      <c r="Z453" s="71">
        <f t="shared" si="79"/>
        <v>37.975592246949027</v>
      </c>
      <c r="AA453" s="152">
        <f>'copy data3'!F507</f>
        <v>929</v>
      </c>
      <c r="AB453" s="38">
        <f t="shared" si="80"/>
        <v>888.5</v>
      </c>
      <c r="AC453" s="71">
        <f t="shared" si="81"/>
        <v>58.880053015241884</v>
      </c>
      <c r="AD453" s="152">
        <f>'copy data3'!H507</f>
        <v>787</v>
      </c>
      <c r="AE453" s="38">
        <f t="shared" si="82"/>
        <v>762.25</v>
      </c>
      <c r="AF453" s="71">
        <f t="shared" si="83"/>
        <v>70.124195032198713</v>
      </c>
      <c r="AG453" s="152">
        <f>'copy data3'!J507</f>
        <v>213</v>
      </c>
      <c r="AH453" s="38">
        <f t="shared" si="84"/>
        <v>191.5</v>
      </c>
      <c r="AI453" s="71">
        <f t="shared" si="85"/>
        <v>90.330188679245282</v>
      </c>
      <c r="AJ453" s="152">
        <f>'copy data3'!L507</f>
        <v>3853</v>
      </c>
      <c r="AK453" s="38">
        <f t="shared" si="86"/>
        <v>3635.25</v>
      </c>
      <c r="AL453" s="71">
        <f t="shared" si="87"/>
        <v>47.581806282722511</v>
      </c>
      <c r="AM453" s="152">
        <f>'copy data3'!N507</f>
        <v>7837</v>
      </c>
      <c r="AN453" s="38">
        <f t="shared" si="88"/>
        <v>8733</v>
      </c>
      <c r="AO453" s="71">
        <f t="shared" si="89"/>
        <v>140.49227799227799</v>
      </c>
      <c r="AP453" s="152">
        <f>'copy data3'!P507</f>
        <v>2887</v>
      </c>
      <c r="AQ453" s="38">
        <f t="shared" si="90"/>
        <v>3005</v>
      </c>
      <c r="AR453" s="71">
        <f t="shared" si="91"/>
        <v>134.57232422749664</v>
      </c>
      <c r="AS453" s="153">
        <f>'copy data3'!R507</f>
        <v>14577</v>
      </c>
      <c r="AT453" s="38">
        <f t="shared" si="73"/>
        <v>15373.25</v>
      </c>
      <c r="AU453" s="71">
        <f t="shared" si="92"/>
        <v>95.551308347318042</v>
      </c>
    </row>
    <row r="454" spans="1:47" ht="15.6" x14ac:dyDescent="0.3">
      <c r="A454" s="55">
        <v>38092</v>
      </c>
      <c r="B454" s="56">
        <v>1832</v>
      </c>
      <c r="C454" s="56">
        <v>11207</v>
      </c>
      <c r="D454" s="56">
        <v>697</v>
      </c>
      <c r="E454" s="56">
        <v>3266</v>
      </c>
      <c r="F454" s="56">
        <v>1208</v>
      </c>
      <c r="G454" s="56">
        <v>5813</v>
      </c>
      <c r="H454" s="56">
        <v>674</v>
      </c>
      <c r="I454" s="56">
        <v>4397</v>
      </c>
      <c r="J454" s="56">
        <v>79</v>
      </c>
      <c r="K454" s="56">
        <v>953</v>
      </c>
      <c r="L454" s="56">
        <v>4489</v>
      </c>
      <c r="M454" s="56">
        <v>25636</v>
      </c>
      <c r="N454" s="56">
        <v>9657</v>
      </c>
      <c r="O454" s="56">
        <v>30619</v>
      </c>
      <c r="P454" s="56">
        <v>1801</v>
      </c>
      <c r="Q454" s="56">
        <v>22054</v>
      </c>
      <c r="R454" s="16">
        <f t="shared" si="75"/>
        <v>15947</v>
      </c>
      <c r="T454" s="144">
        <f t="shared" si="74"/>
        <v>40024</v>
      </c>
      <c r="U454" s="154">
        <f>'copy data3'!B508</f>
        <v>1364</v>
      </c>
      <c r="V454" s="38">
        <f t="shared" si="76"/>
        <v>1331</v>
      </c>
      <c r="W454" s="71">
        <f t="shared" si="77"/>
        <v>38.770754442178848</v>
      </c>
      <c r="X454" s="154">
        <f>'copy data3'!D508</f>
        <v>569</v>
      </c>
      <c r="Y454" s="38">
        <f t="shared" si="78"/>
        <v>555.75</v>
      </c>
      <c r="Z454" s="71">
        <f t="shared" si="79"/>
        <v>41.504854368932037</v>
      </c>
      <c r="AA454" s="152">
        <f>'copy data3'!F508</f>
        <v>944</v>
      </c>
      <c r="AB454" s="38">
        <f t="shared" si="80"/>
        <v>900.5</v>
      </c>
      <c r="AC454" s="71">
        <f t="shared" si="81"/>
        <v>61.383776414451262</v>
      </c>
      <c r="AD454" s="152">
        <f>'copy data3'!H508</f>
        <v>898</v>
      </c>
      <c r="AE454" s="38">
        <f t="shared" si="82"/>
        <v>790.5</v>
      </c>
      <c r="AF454" s="71">
        <f t="shared" si="83"/>
        <v>73.80952380952381</v>
      </c>
      <c r="AG454" s="152">
        <f>'copy data3'!J508</f>
        <v>241</v>
      </c>
      <c r="AH454" s="38">
        <f t="shared" si="84"/>
        <v>205.5</v>
      </c>
      <c r="AI454" s="71">
        <f t="shared" si="85"/>
        <v>96.933962264150935</v>
      </c>
      <c r="AJ454" s="152">
        <f>'copy data3'!L508</f>
        <v>4016</v>
      </c>
      <c r="AK454" s="38">
        <f t="shared" si="86"/>
        <v>3783.75</v>
      </c>
      <c r="AL454" s="71">
        <f t="shared" si="87"/>
        <v>50.302446157936721</v>
      </c>
      <c r="AM454" s="152">
        <f>'copy data3'!N508</f>
        <v>7070</v>
      </c>
      <c r="AN454" s="38">
        <f t="shared" si="88"/>
        <v>8184</v>
      </c>
      <c r="AO454" s="71">
        <f t="shared" si="89"/>
        <v>144.16064822969878</v>
      </c>
      <c r="AP454" s="152">
        <f>'copy data3'!P508</f>
        <v>3164</v>
      </c>
      <c r="AQ454" s="38">
        <f t="shared" si="90"/>
        <v>2995.5</v>
      </c>
      <c r="AR454" s="71">
        <f t="shared" si="91"/>
        <v>134.75033738191632</v>
      </c>
      <c r="AS454" s="153">
        <f>'copy data3'!R508</f>
        <v>14250</v>
      </c>
      <c r="AT454" s="38">
        <f t="shared" si="73"/>
        <v>14963.25</v>
      </c>
      <c r="AU454" s="71">
        <f t="shared" si="92"/>
        <v>97.025353391259245</v>
      </c>
    </row>
    <row r="455" spans="1:47" ht="15.6" x14ac:dyDescent="0.3">
      <c r="A455" s="55">
        <v>38456</v>
      </c>
      <c r="B455" s="56">
        <v>1358</v>
      </c>
      <c r="C455" s="56">
        <v>8364</v>
      </c>
      <c r="D455" s="56">
        <v>189</v>
      </c>
      <c r="E455" s="56">
        <v>3076</v>
      </c>
      <c r="F455" s="56">
        <v>1273</v>
      </c>
      <c r="G455" s="56">
        <v>6928</v>
      </c>
      <c r="H455" s="56">
        <v>489</v>
      </c>
      <c r="I455" s="56">
        <v>4386</v>
      </c>
      <c r="J455" s="56">
        <v>130</v>
      </c>
      <c r="K455" s="56">
        <v>604</v>
      </c>
      <c r="L455" s="56">
        <v>3438</v>
      </c>
      <c r="M455" s="56">
        <v>23357</v>
      </c>
      <c r="N455" s="56">
        <v>7394</v>
      </c>
      <c r="O455" s="56">
        <v>28200</v>
      </c>
      <c r="P455" s="56">
        <v>2166</v>
      </c>
      <c r="Q455" s="56">
        <v>25484</v>
      </c>
      <c r="R455" s="16">
        <f t="shared" si="75"/>
        <v>12998</v>
      </c>
      <c r="T455" s="144">
        <f t="shared" si="74"/>
        <v>40031</v>
      </c>
      <c r="U455" s="154">
        <f>'copy data3'!B509</f>
        <v>1328</v>
      </c>
      <c r="V455" s="38">
        <f t="shared" si="76"/>
        <v>1331.5</v>
      </c>
      <c r="W455" s="71">
        <f t="shared" si="77"/>
        <v>40.00901442307692</v>
      </c>
      <c r="X455" s="154">
        <f>'copy data3'!D509</f>
        <v>634</v>
      </c>
      <c r="Y455" s="38">
        <f t="shared" si="78"/>
        <v>584.75</v>
      </c>
      <c r="Z455" s="71">
        <f t="shared" si="79"/>
        <v>46.742605915267788</v>
      </c>
      <c r="AA455" s="152">
        <f>'copy data3'!F509</f>
        <v>945</v>
      </c>
      <c r="AB455" s="38">
        <f t="shared" si="80"/>
        <v>917.25</v>
      </c>
      <c r="AC455" s="71">
        <f t="shared" si="81"/>
        <v>58.090563647878405</v>
      </c>
      <c r="AD455" s="152">
        <f>'copy data3'!H509</f>
        <v>985</v>
      </c>
      <c r="AE455" s="38">
        <f t="shared" si="82"/>
        <v>843.75</v>
      </c>
      <c r="AF455" s="71">
        <f t="shared" si="83"/>
        <v>82.478005865102645</v>
      </c>
      <c r="AG455" s="152">
        <f>'copy data3'!J509</f>
        <v>229</v>
      </c>
      <c r="AH455" s="38">
        <f t="shared" si="84"/>
        <v>216.5</v>
      </c>
      <c r="AI455" s="71">
        <f t="shared" si="85"/>
        <v>120.94972067039107</v>
      </c>
      <c r="AJ455" s="152">
        <f>'copy data3'!L509</f>
        <v>4115</v>
      </c>
      <c r="AK455" s="38">
        <f t="shared" si="86"/>
        <v>3892.5</v>
      </c>
      <c r="AL455" s="71">
        <f t="shared" si="87"/>
        <v>52.894415002038322</v>
      </c>
      <c r="AM455" s="152">
        <f>'copy data3'!N509</f>
        <v>6654</v>
      </c>
      <c r="AN455" s="38">
        <f t="shared" si="88"/>
        <v>7598.5</v>
      </c>
      <c r="AO455" s="71">
        <f t="shared" si="89"/>
        <v>148.29234972677597</v>
      </c>
      <c r="AP455" s="152">
        <f>'copy data3'!P509</f>
        <v>3153</v>
      </c>
      <c r="AQ455" s="38">
        <f t="shared" si="90"/>
        <v>3047</v>
      </c>
      <c r="AR455" s="71">
        <f t="shared" si="91"/>
        <v>161.30227633668608</v>
      </c>
      <c r="AS455" s="153">
        <f>'copy data3'!R509</f>
        <v>13922</v>
      </c>
      <c r="AT455" s="38">
        <f t="shared" si="73"/>
        <v>14538</v>
      </c>
      <c r="AU455" s="71">
        <f t="shared" si="92"/>
        <v>101.15502365711104</v>
      </c>
    </row>
    <row r="456" spans="1:47" ht="15.6" x14ac:dyDescent="0.3">
      <c r="A456" s="55">
        <v>38099</v>
      </c>
      <c r="B456" s="56">
        <v>1612</v>
      </c>
      <c r="C456" s="56">
        <v>11508</v>
      </c>
      <c r="D456" s="56">
        <v>577</v>
      </c>
      <c r="E456" s="56">
        <v>3399</v>
      </c>
      <c r="F456" s="56">
        <v>1153</v>
      </c>
      <c r="G456" s="56">
        <v>6026</v>
      </c>
      <c r="H456" s="56">
        <v>647</v>
      </c>
      <c r="I456" s="56">
        <v>4466</v>
      </c>
      <c r="J456" s="56">
        <v>111</v>
      </c>
      <c r="K456" s="56">
        <v>971</v>
      </c>
      <c r="L456" s="56">
        <v>4099</v>
      </c>
      <c r="M456" s="56">
        <v>26370</v>
      </c>
      <c r="N456" s="56">
        <v>9921</v>
      </c>
      <c r="O456" s="56">
        <v>31280</v>
      </c>
      <c r="P456" s="56">
        <v>1728</v>
      </c>
      <c r="Q456" s="56">
        <v>22177</v>
      </c>
      <c r="R456" s="16">
        <f t="shared" si="75"/>
        <v>15748</v>
      </c>
      <c r="T456" s="144">
        <f t="shared" si="74"/>
        <v>40038</v>
      </c>
      <c r="U456" s="154">
        <f>'copy data3'!B510</f>
        <v>1329</v>
      </c>
      <c r="V456" s="38">
        <f t="shared" si="76"/>
        <v>1336.75</v>
      </c>
      <c r="W456" s="71">
        <f t="shared" si="77"/>
        <v>39.902985074626869</v>
      </c>
      <c r="X456" s="154">
        <f>'copy data3'!D510</f>
        <v>625</v>
      </c>
      <c r="Y456" s="38">
        <f t="shared" si="78"/>
        <v>606.5</v>
      </c>
      <c r="Z456" s="71">
        <f t="shared" si="79"/>
        <v>51.398305084745765</v>
      </c>
      <c r="AA456" s="152">
        <f>'copy data3'!F510</f>
        <v>930</v>
      </c>
      <c r="AB456" s="38">
        <f t="shared" si="80"/>
        <v>937</v>
      </c>
      <c r="AC456" s="71">
        <f t="shared" si="81"/>
        <v>57.2039072039072</v>
      </c>
      <c r="AD456" s="152">
        <f>'copy data3'!H510</f>
        <v>983</v>
      </c>
      <c r="AE456" s="38">
        <f t="shared" si="82"/>
        <v>913.25</v>
      </c>
      <c r="AF456" s="71">
        <f t="shared" si="83"/>
        <v>95.828961175236088</v>
      </c>
      <c r="AG456" s="152">
        <f>'copy data3'!J510</f>
        <v>233</v>
      </c>
      <c r="AH456" s="38">
        <f t="shared" si="84"/>
        <v>229</v>
      </c>
      <c r="AI456" s="71">
        <f t="shared" si="85"/>
        <v>153.69127516778522</v>
      </c>
      <c r="AJ456" s="152">
        <f>'copy data3'!L510</f>
        <v>4099</v>
      </c>
      <c r="AK456" s="38">
        <f t="shared" si="86"/>
        <v>4020.75</v>
      </c>
      <c r="AL456" s="71">
        <f t="shared" si="87"/>
        <v>55.306052269601103</v>
      </c>
      <c r="AM456" s="152">
        <f>'copy data3'!N510</f>
        <v>6107</v>
      </c>
      <c r="AN456" s="38">
        <f t="shared" si="88"/>
        <v>6917</v>
      </c>
      <c r="AO456" s="71">
        <f t="shared" si="89"/>
        <v>163.5224586288416</v>
      </c>
      <c r="AP456" s="152">
        <f>'copy data3'!P510</f>
        <v>3273</v>
      </c>
      <c r="AQ456" s="38">
        <f t="shared" si="90"/>
        <v>3119.25</v>
      </c>
      <c r="AR456" s="71">
        <f t="shared" si="91"/>
        <v>189.96650426309378</v>
      </c>
      <c r="AS456" s="153">
        <f>'copy data3'!R510</f>
        <v>13479</v>
      </c>
      <c r="AT456" s="38">
        <f t="shared" si="73"/>
        <v>14057</v>
      </c>
      <c r="AU456" s="71">
        <f t="shared" si="92"/>
        <v>106.96241059199514</v>
      </c>
    </row>
    <row r="457" spans="1:47" ht="15.6" x14ac:dyDescent="0.3">
      <c r="A457" s="55">
        <v>38463</v>
      </c>
      <c r="B457" s="56">
        <v>1282</v>
      </c>
      <c r="C457" s="56">
        <v>8533</v>
      </c>
      <c r="D457" s="56">
        <v>172</v>
      </c>
      <c r="E457" s="56">
        <v>3100</v>
      </c>
      <c r="F457" s="56">
        <v>1333</v>
      </c>
      <c r="G457" s="56">
        <v>7113</v>
      </c>
      <c r="H457" s="56">
        <v>506</v>
      </c>
      <c r="I457" s="56">
        <v>4422</v>
      </c>
      <c r="J457" s="56">
        <v>135</v>
      </c>
      <c r="K457" s="56">
        <v>621</v>
      </c>
      <c r="L457" s="56">
        <v>3427</v>
      </c>
      <c r="M457" s="56">
        <v>23789</v>
      </c>
      <c r="N457" s="56">
        <v>6885</v>
      </c>
      <c r="O457" s="56">
        <v>29202</v>
      </c>
      <c r="P457" s="56">
        <v>1953</v>
      </c>
      <c r="Q457" s="56">
        <v>25945</v>
      </c>
      <c r="R457" s="16">
        <f t="shared" si="75"/>
        <v>12265</v>
      </c>
      <c r="T457" s="144">
        <f t="shared" si="74"/>
        <v>40045</v>
      </c>
      <c r="U457" s="154">
        <f>'copy data3'!B511</f>
        <v>1402</v>
      </c>
      <c r="V457" s="38">
        <f t="shared" si="76"/>
        <v>1355.75</v>
      </c>
      <c r="W457" s="71">
        <f t="shared" si="77"/>
        <v>41.895859085290482</v>
      </c>
      <c r="X457" s="154">
        <f>'copy data3'!D511</f>
        <v>729</v>
      </c>
      <c r="Y457" s="38">
        <f t="shared" si="78"/>
        <v>639.25</v>
      </c>
      <c r="Z457" s="71">
        <f t="shared" si="79"/>
        <v>59.025854108956601</v>
      </c>
      <c r="AA457" s="152">
        <f>'copy data3'!F511</f>
        <v>959</v>
      </c>
      <c r="AB457" s="38">
        <f t="shared" si="80"/>
        <v>944.5</v>
      </c>
      <c r="AC457" s="71">
        <f t="shared" si="81"/>
        <v>61.09314359637775</v>
      </c>
      <c r="AD457" s="152">
        <f>'copy data3'!H511</f>
        <v>969</v>
      </c>
      <c r="AE457" s="38">
        <f t="shared" si="82"/>
        <v>958.75</v>
      </c>
      <c r="AF457" s="71">
        <f t="shared" si="83"/>
        <v>105.93922651933703</v>
      </c>
      <c r="AG457" s="152">
        <f>'copy data3'!J511</f>
        <v>243</v>
      </c>
      <c r="AH457" s="38">
        <f t="shared" si="84"/>
        <v>236.5</v>
      </c>
      <c r="AI457" s="71">
        <f t="shared" si="85"/>
        <v>157.66666666666666</v>
      </c>
      <c r="AJ457" s="152">
        <f>'copy data3'!L511</f>
        <v>4302</v>
      </c>
      <c r="AK457" s="38">
        <f t="shared" si="86"/>
        <v>4133</v>
      </c>
      <c r="AL457" s="71">
        <f t="shared" si="87"/>
        <v>59.734065616418555</v>
      </c>
      <c r="AM457" s="152">
        <f>'copy data3'!N511</f>
        <v>5098</v>
      </c>
      <c r="AN457" s="38">
        <f t="shared" si="88"/>
        <v>6232.25</v>
      </c>
      <c r="AO457" s="71">
        <f t="shared" si="89"/>
        <v>167.89466594827587</v>
      </c>
      <c r="AP457" s="152">
        <f>'copy data3'!P511</f>
        <v>3049</v>
      </c>
      <c r="AQ457" s="38">
        <f t="shared" si="90"/>
        <v>3159.75</v>
      </c>
      <c r="AR457" s="71">
        <f t="shared" si="91"/>
        <v>257.9387755102041</v>
      </c>
      <c r="AS457" s="153">
        <f>'copy data3'!R511</f>
        <v>12449</v>
      </c>
      <c r="AT457" s="38">
        <f t="shared" ref="AT457:AT520" si="93">AVERAGE(AS454:AS457)</f>
        <v>13525</v>
      </c>
      <c r="AU457" s="71">
        <f t="shared" si="92"/>
        <v>114.07726045883942</v>
      </c>
    </row>
    <row r="458" spans="1:47" ht="15.6" x14ac:dyDescent="0.3">
      <c r="A458" s="55">
        <v>38106</v>
      </c>
      <c r="B458" s="56">
        <v>1542</v>
      </c>
      <c r="C458" s="56">
        <v>11753</v>
      </c>
      <c r="D458" s="56">
        <v>428</v>
      </c>
      <c r="E458" s="56">
        <v>3509</v>
      </c>
      <c r="F458" s="56">
        <v>1052</v>
      </c>
      <c r="G458" s="56">
        <v>6164</v>
      </c>
      <c r="H458" s="56">
        <v>485</v>
      </c>
      <c r="I458" s="56">
        <v>4637</v>
      </c>
      <c r="J458" s="56">
        <v>122</v>
      </c>
      <c r="K458" s="56">
        <v>1039</v>
      </c>
      <c r="L458" s="56">
        <v>3629</v>
      </c>
      <c r="M458" s="56">
        <v>27100</v>
      </c>
      <c r="N458" s="56">
        <v>10215</v>
      </c>
      <c r="O458" s="56">
        <v>32081</v>
      </c>
      <c r="P458" s="56">
        <v>1675</v>
      </c>
      <c r="Q458" s="56">
        <v>22356</v>
      </c>
      <c r="R458" s="16">
        <f t="shared" si="75"/>
        <v>15519</v>
      </c>
      <c r="T458" s="144">
        <f t="shared" ref="T458:T521" si="94">T457+7</f>
        <v>40052</v>
      </c>
      <c r="U458" s="154">
        <f>'copy data3'!B512</f>
        <v>1271</v>
      </c>
      <c r="V458" s="38">
        <f t="shared" si="76"/>
        <v>1332.5</v>
      </c>
      <c r="W458" s="71">
        <f t="shared" si="77"/>
        <v>46.267361111111107</v>
      </c>
      <c r="X458" s="154">
        <f>'copy data3'!D512</f>
        <v>813</v>
      </c>
      <c r="Y458" s="38">
        <f t="shared" si="78"/>
        <v>700.25</v>
      </c>
      <c r="Z458" s="71">
        <f t="shared" si="79"/>
        <v>67.919495635305523</v>
      </c>
      <c r="AA458" s="152">
        <f>'copy data3'!F512</f>
        <v>954</v>
      </c>
      <c r="AB458" s="38">
        <f t="shared" si="80"/>
        <v>947</v>
      </c>
      <c r="AC458" s="71">
        <f t="shared" si="81"/>
        <v>57.498482088646021</v>
      </c>
      <c r="AD458" s="152">
        <f>'copy data3'!H512</f>
        <v>963</v>
      </c>
      <c r="AE458" s="38">
        <f t="shared" si="82"/>
        <v>975</v>
      </c>
      <c r="AF458" s="71">
        <f t="shared" si="83"/>
        <v>122.48743718592965</v>
      </c>
      <c r="AG458" s="152">
        <f>'copy data3'!J512</f>
        <v>270</v>
      </c>
      <c r="AH458" s="38">
        <f t="shared" si="84"/>
        <v>243.75</v>
      </c>
      <c r="AI458" s="71">
        <f t="shared" si="85"/>
        <v>163.59060402684565</v>
      </c>
      <c r="AJ458" s="152">
        <f>'copy data3'!L512</f>
        <v>4272</v>
      </c>
      <c r="AK458" s="38">
        <f t="shared" si="86"/>
        <v>4197</v>
      </c>
      <c r="AL458" s="71">
        <f t="shared" si="87"/>
        <v>64.529520295202943</v>
      </c>
      <c r="AM458" s="152">
        <f>'copy data3'!N512</f>
        <v>4398</v>
      </c>
      <c r="AN458" s="38">
        <f t="shared" si="88"/>
        <v>5564.25</v>
      </c>
      <c r="AO458" s="71">
        <f t="shared" si="89"/>
        <v>194.48619363858791</v>
      </c>
      <c r="AP458" s="152">
        <f>'copy data3'!P512</f>
        <v>2382</v>
      </c>
      <c r="AQ458" s="38">
        <f t="shared" si="90"/>
        <v>2964.25</v>
      </c>
      <c r="AR458" s="71">
        <f t="shared" si="91"/>
        <v>321.15384615384619</v>
      </c>
      <c r="AS458" s="153">
        <f>'copy data3'!R512</f>
        <v>11052</v>
      </c>
      <c r="AT458" s="38">
        <f t="shared" si="93"/>
        <v>12725.5</v>
      </c>
      <c r="AU458" s="71">
        <f t="shared" si="92"/>
        <v>123.69265163297045</v>
      </c>
    </row>
    <row r="459" spans="1:47" ht="15.6" x14ac:dyDescent="0.3">
      <c r="A459" s="55">
        <v>38470</v>
      </c>
      <c r="B459" s="56">
        <v>1115</v>
      </c>
      <c r="C459" s="56">
        <v>8774</v>
      </c>
      <c r="D459" s="56">
        <v>133</v>
      </c>
      <c r="E459" s="56">
        <v>3160</v>
      </c>
      <c r="F459" s="56">
        <v>1217</v>
      </c>
      <c r="G459" s="56">
        <v>7268</v>
      </c>
      <c r="H459" s="56">
        <v>517</v>
      </c>
      <c r="I459" s="56">
        <v>4518</v>
      </c>
      <c r="J459" s="56">
        <v>123</v>
      </c>
      <c r="K459" s="56">
        <v>635</v>
      </c>
      <c r="L459" s="56">
        <v>3106</v>
      </c>
      <c r="M459" s="56">
        <v>24356</v>
      </c>
      <c r="N459" s="56">
        <v>6566</v>
      </c>
      <c r="O459" s="56">
        <v>30145</v>
      </c>
      <c r="P459" s="56">
        <v>1738</v>
      </c>
      <c r="Q459" s="56">
        <v>26487</v>
      </c>
      <c r="R459" s="16">
        <f t="shared" si="75"/>
        <v>11410</v>
      </c>
      <c r="T459" s="144">
        <f t="shared" si="94"/>
        <v>40059</v>
      </c>
      <c r="U459" s="154">
        <f>'copy data3'!B513</f>
        <v>1282</v>
      </c>
      <c r="V459" s="38">
        <f t="shared" si="76"/>
        <v>1321</v>
      </c>
      <c r="W459" s="71">
        <f t="shared" si="77"/>
        <v>49.605707848291402</v>
      </c>
      <c r="X459" s="154">
        <f>'copy data3'!D513</f>
        <v>870</v>
      </c>
      <c r="Y459" s="38">
        <f t="shared" si="78"/>
        <v>759.25</v>
      </c>
      <c r="Z459" s="71">
        <f t="shared" si="79"/>
        <v>69.784007352941174</v>
      </c>
      <c r="AA459" s="152">
        <f>'copy data3'!F513</f>
        <v>981</v>
      </c>
      <c r="AB459" s="38">
        <f t="shared" si="80"/>
        <v>956</v>
      </c>
      <c r="AC459" s="71">
        <f t="shared" si="81"/>
        <v>58.470948012232412</v>
      </c>
      <c r="AD459" s="152">
        <f>'copy data3'!H513</f>
        <v>962</v>
      </c>
      <c r="AE459" s="38">
        <f t="shared" si="82"/>
        <v>969.25</v>
      </c>
      <c r="AF459" s="71">
        <f t="shared" si="83"/>
        <v>131.33468834688347</v>
      </c>
      <c r="AG459" s="152">
        <f>'copy data3'!J513</f>
        <v>275</v>
      </c>
      <c r="AH459" s="38">
        <f t="shared" si="84"/>
        <v>255.25</v>
      </c>
      <c r="AI459" s="71">
        <f t="shared" si="85"/>
        <v>171.30872483221478</v>
      </c>
      <c r="AJ459" s="152">
        <f>'copy data3'!L513</f>
        <v>4371</v>
      </c>
      <c r="AK459" s="38">
        <f t="shared" si="86"/>
        <v>4261</v>
      </c>
      <c r="AL459" s="71">
        <f t="shared" si="87"/>
        <v>67.926032201498487</v>
      </c>
      <c r="AM459" s="152">
        <f>'copy data3'!N513</f>
        <v>12131</v>
      </c>
      <c r="AN459" s="38">
        <f t="shared" si="88"/>
        <v>6933.5</v>
      </c>
      <c r="AO459" s="71">
        <f t="shared" si="89"/>
        <v>58.343150454392458</v>
      </c>
      <c r="AP459" s="152">
        <f>'copy data3'!P513</f>
        <v>16947</v>
      </c>
      <c r="AQ459" s="38">
        <f t="shared" si="90"/>
        <v>6412.75</v>
      </c>
      <c r="AR459" s="71">
        <f t="shared" si="91"/>
        <v>71.948277796477058</v>
      </c>
      <c r="AS459" s="153">
        <f>'copy data3'!R513</f>
        <v>33449</v>
      </c>
      <c r="AT459" s="38">
        <f t="shared" si="93"/>
        <v>17607.25</v>
      </c>
      <c r="AU459" s="71">
        <f t="shared" si="92"/>
        <v>65.043405984484664</v>
      </c>
    </row>
    <row r="460" spans="1:47" ht="15.6" x14ac:dyDescent="0.3">
      <c r="A460" s="55">
        <v>38113</v>
      </c>
      <c r="B460" s="56">
        <v>1434</v>
      </c>
      <c r="C460" s="56">
        <v>11883</v>
      </c>
      <c r="D460" s="56">
        <v>301</v>
      </c>
      <c r="E460" s="56">
        <v>3644</v>
      </c>
      <c r="F460" s="56">
        <v>902</v>
      </c>
      <c r="G460" s="56">
        <v>6336</v>
      </c>
      <c r="H460" s="56">
        <v>404</v>
      </c>
      <c r="I460" s="56">
        <v>4730</v>
      </c>
      <c r="J460" s="56">
        <v>144</v>
      </c>
      <c r="K460" s="56">
        <v>1041</v>
      </c>
      <c r="L460" s="56">
        <v>3185</v>
      </c>
      <c r="M460" s="56">
        <v>27634</v>
      </c>
      <c r="N460" s="56">
        <v>9699</v>
      </c>
      <c r="O460" s="56">
        <v>33103</v>
      </c>
      <c r="P460" s="56">
        <v>1403</v>
      </c>
      <c r="Q460" s="56">
        <v>22594</v>
      </c>
      <c r="R460" s="16">
        <f t="shared" si="75"/>
        <v>14287</v>
      </c>
      <c r="T460" s="144">
        <f t="shared" si="94"/>
        <v>40066</v>
      </c>
      <c r="U460" s="154">
        <f>'copy data3'!B514</f>
        <v>1284</v>
      </c>
      <c r="V460" s="38">
        <f t="shared" si="76"/>
        <v>1309.75</v>
      </c>
      <c r="W460" s="71">
        <f t="shared" si="77"/>
        <v>48.011363636363633</v>
      </c>
      <c r="X460" s="154">
        <f>'copy data3'!D514</f>
        <v>802</v>
      </c>
      <c r="Y460" s="38">
        <f t="shared" si="78"/>
        <v>803.5</v>
      </c>
      <c r="Z460" s="71">
        <f t="shared" si="79"/>
        <v>75.587958607714015</v>
      </c>
      <c r="AA460" s="152">
        <f>'copy data3'!F514</f>
        <v>917</v>
      </c>
      <c r="AB460" s="38">
        <f t="shared" si="80"/>
        <v>952.75</v>
      </c>
      <c r="AC460" s="71">
        <f t="shared" si="81"/>
        <v>58.094512195121951</v>
      </c>
      <c r="AD460" s="152">
        <f>'copy data3'!H514</f>
        <v>930</v>
      </c>
      <c r="AE460" s="38">
        <f t="shared" si="82"/>
        <v>956</v>
      </c>
      <c r="AF460" s="71">
        <f t="shared" si="83"/>
        <v>117.58917589175893</v>
      </c>
      <c r="AG460" s="152">
        <f>'copy data3'!J514</f>
        <v>290</v>
      </c>
      <c r="AH460" s="38">
        <f t="shared" si="84"/>
        <v>269.5</v>
      </c>
      <c r="AI460" s="71">
        <f t="shared" si="85"/>
        <v>180.8724832214765</v>
      </c>
      <c r="AJ460" s="152">
        <f>'copy data3'!L514</f>
        <v>4224</v>
      </c>
      <c r="AK460" s="38">
        <f t="shared" si="86"/>
        <v>4292.25</v>
      </c>
      <c r="AL460" s="71">
        <f t="shared" si="87"/>
        <v>67.129340006255873</v>
      </c>
      <c r="AM460" s="152">
        <f>'copy data3'!N514</f>
        <v>11935</v>
      </c>
      <c r="AN460" s="38">
        <f t="shared" si="88"/>
        <v>8390.5</v>
      </c>
      <c r="AO460" s="71">
        <f t="shared" si="89"/>
        <v>73.951172219284331</v>
      </c>
      <c r="AP460" s="152">
        <f>'copy data3'!P514</f>
        <v>17173</v>
      </c>
      <c r="AQ460" s="38">
        <f t="shared" si="90"/>
        <v>9887.75</v>
      </c>
      <c r="AR460" s="71">
        <f t="shared" si="91"/>
        <v>108.62078435680544</v>
      </c>
      <c r="AS460" s="153">
        <f>'copy data3'!R514</f>
        <v>33332</v>
      </c>
      <c r="AT460" s="38">
        <f t="shared" si="93"/>
        <v>22570.5</v>
      </c>
      <c r="AU460" s="71">
        <f t="shared" si="92"/>
        <v>84.083373691465198</v>
      </c>
    </row>
    <row r="461" spans="1:47" ht="15.6" x14ac:dyDescent="0.3">
      <c r="A461" s="55">
        <v>38477</v>
      </c>
      <c r="B461" s="56">
        <v>1052</v>
      </c>
      <c r="C461" s="56">
        <v>8880</v>
      </c>
      <c r="D461" s="56">
        <v>125</v>
      </c>
      <c r="E461" s="56">
        <v>3169</v>
      </c>
      <c r="F461" s="56">
        <v>1087</v>
      </c>
      <c r="G461" s="56">
        <v>7476</v>
      </c>
      <c r="H461" s="56">
        <v>489</v>
      </c>
      <c r="I461" s="56">
        <v>4568</v>
      </c>
      <c r="J461" s="56">
        <v>121</v>
      </c>
      <c r="K461" s="56">
        <v>637</v>
      </c>
      <c r="L461" s="56">
        <v>2874</v>
      </c>
      <c r="M461" s="56">
        <v>24729</v>
      </c>
      <c r="N461" s="56">
        <v>7098</v>
      </c>
      <c r="O461" s="56">
        <v>31003</v>
      </c>
      <c r="P461" s="56">
        <v>1682</v>
      </c>
      <c r="Q461" s="56">
        <v>26711</v>
      </c>
      <c r="R461" s="16">
        <f t="shared" si="75"/>
        <v>11654</v>
      </c>
      <c r="T461" s="144">
        <f t="shared" si="94"/>
        <v>40073</v>
      </c>
      <c r="U461" s="154">
        <f>'copy data3'!B515</f>
        <v>1244</v>
      </c>
      <c r="V461" s="38">
        <f t="shared" si="76"/>
        <v>1270.25</v>
      </c>
      <c r="W461" s="71">
        <f t="shared" si="77"/>
        <v>49.522417153996102</v>
      </c>
      <c r="X461" s="154">
        <f>'copy data3'!D515</f>
        <v>769</v>
      </c>
      <c r="Y461" s="38">
        <f t="shared" si="78"/>
        <v>813.5</v>
      </c>
      <c r="Z461" s="71">
        <f t="shared" si="79"/>
        <v>82.25480283114257</v>
      </c>
      <c r="AA461" s="152">
        <f>'copy data3'!F515</f>
        <v>892</v>
      </c>
      <c r="AB461" s="38">
        <f t="shared" si="80"/>
        <v>936</v>
      </c>
      <c r="AC461" s="71">
        <f t="shared" si="81"/>
        <v>62.316910785619172</v>
      </c>
      <c r="AD461" s="152">
        <f>'copy data3'!H515</f>
        <v>897</v>
      </c>
      <c r="AE461" s="38">
        <f t="shared" si="82"/>
        <v>938</v>
      </c>
      <c r="AF461" s="71">
        <f t="shared" si="83"/>
        <v>126.2449528936743</v>
      </c>
      <c r="AG461" s="152">
        <f>'copy data3'!J515</f>
        <v>312</v>
      </c>
      <c r="AH461" s="38">
        <f t="shared" si="84"/>
        <v>286.75</v>
      </c>
      <c r="AI461" s="71">
        <f t="shared" si="85"/>
        <v>192.4496644295302</v>
      </c>
      <c r="AJ461" s="152">
        <f>'copy data3'!L515</f>
        <v>4114</v>
      </c>
      <c r="AK461" s="38">
        <f t="shared" si="86"/>
        <v>4245.25</v>
      </c>
      <c r="AL461" s="71">
        <f t="shared" si="87"/>
        <v>71.372730329522525</v>
      </c>
      <c r="AM461" s="152">
        <f>'copy data3'!N515</f>
        <v>11570</v>
      </c>
      <c r="AN461" s="38">
        <f t="shared" si="88"/>
        <v>10008.5</v>
      </c>
      <c r="AO461" s="71">
        <f t="shared" si="89"/>
        <v>91.821100917431195</v>
      </c>
      <c r="AP461" s="152">
        <f>'copy data3'!P515</f>
        <v>18242</v>
      </c>
      <c r="AQ461" s="38">
        <f t="shared" si="90"/>
        <v>13686</v>
      </c>
      <c r="AR461" s="71">
        <f t="shared" si="91"/>
        <v>141.80913894933167</v>
      </c>
      <c r="AS461" s="153">
        <f>'copy data3'!R515</f>
        <v>33926</v>
      </c>
      <c r="AT461" s="38">
        <f t="shared" si="93"/>
        <v>27939.75</v>
      </c>
      <c r="AU461" s="71">
        <f t="shared" si="92"/>
        <v>105.43699762255179</v>
      </c>
    </row>
    <row r="462" spans="1:47" ht="15.6" x14ac:dyDescent="0.3">
      <c r="A462" s="55">
        <v>38120</v>
      </c>
      <c r="B462" s="56">
        <v>1110</v>
      </c>
      <c r="C462" s="56">
        <v>12205</v>
      </c>
      <c r="D462" s="56">
        <v>287</v>
      </c>
      <c r="E462" s="56">
        <v>3674</v>
      </c>
      <c r="F462" s="56">
        <v>689</v>
      </c>
      <c r="G462" s="56">
        <v>6550</v>
      </c>
      <c r="H462" s="56">
        <v>397</v>
      </c>
      <c r="I462" s="56">
        <v>4736</v>
      </c>
      <c r="J462" s="56">
        <v>79</v>
      </c>
      <c r="K462" s="56">
        <v>1041</v>
      </c>
      <c r="L462" s="56">
        <v>2561</v>
      </c>
      <c r="M462" s="56">
        <v>28206</v>
      </c>
      <c r="N462" s="56">
        <v>9781</v>
      </c>
      <c r="O462" s="56">
        <v>33754</v>
      </c>
      <c r="P462" s="56">
        <v>1323</v>
      </c>
      <c r="Q462" s="56">
        <v>22693</v>
      </c>
      <c r="R462" s="16">
        <f t="shared" si="75"/>
        <v>13665</v>
      </c>
      <c r="T462" s="144">
        <f t="shared" si="94"/>
        <v>40080</v>
      </c>
      <c r="U462" s="154">
        <f>'copy data3'!B516</f>
        <v>1189</v>
      </c>
      <c r="V462" s="38">
        <f t="shared" si="76"/>
        <v>1249.75</v>
      </c>
      <c r="W462" s="71">
        <f t="shared" si="77"/>
        <v>45.33006891548785</v>
      </c>
      <c r="X462" s="154">
        <f>'copy data3'!D516</f>
        <v>714</v>
      </c>
      <c r="Y462" s="38">
        <f t="shared" si="78"/>
        <v>788.75</v>
      </c>
      <c r="Z462" s="71">
        <f t="shared" si="79"/>
        <v>78.875</v>
      </c>
      <c r="AA462" s="152">
        <f>'copy data3'!F516</f>
        <v>915</v>
      </c>
      <c r="AB462" s="38">
        <f t="shared" si="80"/>
        <v>926.25</v>
      </c>
      <c r="AC462" s="71">
        <f t="shared" si="81"/>
        <v>63.398357289527716</v>
      </c>
      <c r="AD462" s="152">
        <f>'copy data3'!H516</f>
        <v>831</v>
      </c>
      <c r="AE462" s="38">
        <f t="shared" si="82"/>
        <v>905</v>
      </c>
      <c r="AF462" s="71">
        <f t="shared" si="83"/>
        <v>140.31007751937986</v>
      </c>
      <c r="AG462" s="152">
        <f>'copy data3'!J516</f>
        <v>372</v>
      </c>
      <c r="AH462" s="38">
        <f t="shared" si="84"/>
        <v>312.25</v>
      </c>
      <c r="AI462" s="71">
        <f t="shared" si="85"/>
        <v>300.24038461538464</v>
      </c>
      <c r="AJ462" s="152">
        <f>'copy data3'!L516</f>
        <v>4021</v>
      </c>
      <c r="AK462" s="38">
        <f t="shared" si="86"/>
        <v>4182.5</v>
      </c>
      <c r="AL462" s="71">
        <f t="shared" si="87"/>
        <v>70.093849505614216</v>
      </c>
      <c r="AM462" s="152">
        <f>'copy data3'!N516</f>
        <v>11828</v>
      </c>
      <c r="AN462" s="38">
        <f t="shared" si="88"/>
        <v>11866</v>
      </c>
      <c r="AO462" s="71">
        <f t="shared" si="89"/>
        <v>115.17033873629042</v>
      </c>
      <c r="AP462" s="152">
        <f>'copy data3'!P516</f>
        <v>19418</v>
      </c>
      <c r="AQ462" s="38">
        <f t="shared" si="90"/>
        <v>17945</v>
      </c>
      <c r="AR462" s="71">
        <f t="shared" si="91"/>
        <v>180.17068273092369</v>
      </c>
      <c r="AS462" s="153">
        <f>'copy data3'!R516</f>
        <v>35267</v>
      </c>
      <c r="AT462" s="38">
        <f t="shared" si="93"/>
        <v>33993.5</v>
      </c>
      <c r="AU462" s="71">
        <f t="shared" si="92"/>
        <v>129.59778879146015</v>
      </c>
    </row>
    <row r="463" spans="1:47" ht="15.6" x14ac:dyDescent="0.3">
      <c r="A463" s="55">
        <v>38484</v>
      </c>
      <c r="B463" s="56">
        <v>788</v>
      </c>
      <c r="C463" s="56">
        <v>9047</v>
      </c>
      <c r="D463" s="56">
        <v>121</v>
      </c>
      <c r="E463" s="56">
        <v>3185</v>
      </c>
      <c r="F463" s="56">
        <v>823</v>
      </c>
      <c r="G463" s="56">
        <v>7681</v>
      </c>
      <c r="H463" s="56">
        <v>352</v>
      </c>
      <c r="I463" s="56">
        <v>4650</v>
      </c>
      <c r="J463" s="56">
        <v>104</v>
      </c>
      <c r="K463" s="56">
        <v>640</v>
      </c>
      <c r="L463" s="56">
        <v>2188</v>
      </c>
      <c r="M463" s="56">
        <v>25203</v>
      </c>
      <c r="N463" s="56">
        <v>7136</v>
      </c>
      <c r="O463" s="56">
        <v>31813</v>
      </c>
      <c r="P463" s="56">
        <v>1714</v>
      </c>
      <c r="Q463" s="56">
        <v>27054</v>
      </c>
      <c r="R463" s="16">
        <f t="shared" si="75"/>
        <v>11038</v>
      </c>
      <c r="T463" s="144">
        <f t="shared" si="94"/>
        <v>40087</v>
      </c>
      <c r="U463" s="154">
        <f>'copy data3'!B517</f>
        <v>1205</v>
      </c>
      <c r="V463" s="38">
        <f t="shared" si="76"/>
        <v>1230.5</v>
      </c>
      <c r="W463" s="71">
        <f t="shared" si="77"/>
        <v>51.100498338870437</v>
      </c>
      <c r="X463" s="154">
        <f>'copy data3'!D517</f>
        <v>643</v>
      </c>
      <c r="Y463" s="38">
        <f t="shared" si="78"/>
        <v>732</v>
      </c>
      <c r="Z463" s="71">
        <f t="shared" si="79"/>
        <v>78.288770053475929</v>
      </c>
      <c r="AA463" s="152">
        <f>'copy data3'!F517</f>
        <v>998</v>
      </c>
      <c r="AB463" s="38">
        <f t="shared" si="80"/>
        <v>930.5</v>
      </c>
      <c r="AC463" s="71">
        <f t="shared" si="81"/>
        <v>65.759717314487631</v>
      </c>
      <c r="AD463" s="152">
        <f>'copy data3'!H517</f>
        <v>871</v>
      </c>
      <c r="AE463" s="38">
        <f t="shared" si="82"/>
        <v>882.25</v>
      </c>
      <c r="AF463" s="71">
        <f t="shared" si="83"/>
        <v>121.85773480662982</v>
      </c>
      <c r="AG463" s="152">
        <f>'copy data3'!J517</f>
        <v>397</v>
      </c>
      <c r="AH463" s="38">
        <f t="shared" si="84"/>
        <v>342.75</v>
      </c>
      <c r="AI463" s="71">
        <f t="shared" si="85"/>
        <v>329.56730769230774</v>
      </c>
      <c r="AJ463" s="152">
        <f>'copy data3'!L517</f>
        <v>4113</v>
      </c>
      <c r="AK463" s="38">
        <f t="shared" si="86"/>
        <v>4118</v>
      </c>
      <c r="AL463" s="71">
        <f t="shared" si="87"/>
        <v>73.720014321518079</v>
      </c>
      <c r="AM463" s="152">
        <f>'copy data3'!N517</f>
        <v>11206</v>
      </c>
      <c r="AN463" s="38">
        <f t="shared" si="88"/>
        <v>11634.75</v>
      </c>
      <c r="AO463" s="71">
        <f t="shared" si="89"/>
        <v>111.49736463823669</v>
      </c>
      <c r="AP463" s="152">
        <f>'copy data3'!P517</f>
        <v>19528</v>
      </c>
      <c r="AQ463" s="38">
        <f t="shared" si="90"/>
        <v>18590.25</v>
      </c>
      <c r="AR463" s="71">
        <f t="shared" si="91"/>
        <v>182.90289256198346</v>
      </c>
      <c r="AS463" s="153">
        <f>'copy data3'!R517</f>
        <v>34847</v>
      </c>
      <c r="AT463" s="38">
        <f t="shared" si="93"/>
        <v>34343</v>
      </c>
      <c r="AU463" s="71">
        <f t="shared" si="92"/>
        <v>131.15524155050602</v>
      </c>
    </row>
    <row r="464" spans="1:47" ht="15.6" x14ac:dyDescent="0.3">
      <c r="A464" s="55">
        <v>38127</v>
      </c>
      <c r="B464" s="56">
        <v>912</v>
      </c>
      <c r="C464" s="56">
        <v>12427</v>
      </c>
      <c r="D464" s="56">
        <v>225</v>
      </c>
      <c r="E464" s="56">
        <v>3745</v>
      </c>
      <c r="F464" s="56">
        <v>452</v>
      </c>
      <c r="G464" s="56">
        <v>6784</v>
      </c>
      <c r="H464" s="56">
        <v>325</v>
      </c>
      <c r="I464" s="56">
        <v>4792</v>
      </c>
      <c r="J464" s="56">
        <v>54</v>
      </c>
      <c r="K464" s="56">
        <v>1049</v>
      </c>
      <c r="L464" s="56">
        <v>1967</v>
      </c>
      <c r="M464" s="56">
        <v>28796</v>
      </c>
      <c r="N464" s="56">
        <v>9894</v>
      </c>
      <c r="O464" s="56">
        <v>34904</v>
      </c>
      <c r="P464" s="56">
        <v>1170</v>
      </c>
      <c r="Q464" s="56">
        <v>22833</v>
      </c>
      <c r="R464" s="16">
        <f t="shared" ref="R464:R527" si="95">P464+N464+L464</f>
        <v>13031</v>
      </c>
      <c r="T464" s="144">
        <f t="shared" si="94"/>
        <v>40094</v>
      </c>
      <c r="U464" s="154">
        <f>'copy data3'!B518</f>
        <v>1100</v>
      </c>
      <c r="V464" s="38">
        <f t="shared" si="76"/>
        <v>1184.5</v>
      </c>
      <c r="W464" s="71">
        <f t="shared" si="77"/>
        <v>50.815100815100813</v>
      </c>
      <c r="X464" s="154">
        <f>'copy data3'!D518</f>
        <v>623</v>
      </c>
      <c r="Y464" s="38">
        <f t="shared" si="78"/>
        <v>687.25</v>
      </c>
      <c r="Z464" s="71">
        <f t="shared" si="79"/>
        <v>71.070320579110643</v>
      </c>
      <c r="AA464" s="152">
        <f>'copy data3'!F518</f>
        <v>1009</v>
      </c>
      <c r="AB464" s="38">
        <f t="shared" si="80"/>
        <v>953.5</v>
      </c>
      <c r="AC464" s="71">
        <f t="shared" si="81"/>
        <v>71.316379955123409</v>
      </c>
      <c r="AD464" s="152">
        <f>'copy data3'!H518</f>
        <v>932</v>
      </c>
      <c r="AE464" s="38">
        <f t="shared" si="82"/>
        <v>882.75</v>
      </c>
      <c r="AF464" s="71">
        <f t="shared" si="83"/>
        <v>133.95295902883154</v>
      </c>
      <c r="AG464" s="152">
        <f>'copy data3'!J518</f>
        <v>404</v>
      </c>
      <c r="AH464" s="38">
        <f t="shared" si="84"/>
        <v>371.25</v>
      </c>
      <c r="AI464" s="71">
        <f t="shared" si="85"/>
        <v>488.48684210526318</v>
      </c>
      <c r="AJ464" s="152">
        <f>'copy data3'!L518</f>
        <v>4069</v>
      </c>
      <c r="AK464" s="38">
        <f t="shared" si="86"/>
        <v>4079.25</v>
      </c>
      <c r="AL464" s="71">
        <f t="shared" si="87"/>
        <v>75.963687150837984</v>
      </c>
      <c r="AM464" s="152">
        <f>'copy data3'!N518</f>
        <v>11167</v>
      </c>
      <c r="AN464" s="38">
        <f t="shared" si="88"/>
        <v>11442.75</v>
      </c>
      <c r="AO464" s="71">
        <f t="shared" si="89"/>
        <v>109.11366453704588</v>
      </c>
      <c r="AP464" s="152">
        <f>'copy data3'!P518</f>
        <v>19577</v>
      </c>
      <c r="AQ464" s="38">
        <f t="shared" si="90"/>
        <v>19191.25</v>
      </c>
      <c r="AR464" s="71">
        <f t="shared" si="91"/>
        <v>177.96040430267061</v>
      </c>
      <c r="AS464" s="153">
        <f>'copy data3'!R518</f>
        <v>34813</v>
      </c>
      <c r="AT464" s="38">
        <f t="shared" si="93"/>
        <v>34713.25</v>
      </c>
      <c r="AU464" s="71">
        <f t="shared" si="92"/>
        <v>130.30010134754701</v>
      </c>
    </row>
    <row r="465" spans="1:47" ht="15.6" x14ac:dyDescent="0.3">
      <c r="A465" s="55">
        <v>38491</v>
      </c>
      <c r="B465" s="56">
        <v>698</v>
      </c>
      <c r="C465" s="56">
        <v>9177</v>
      </c>
      <c r="D465" s="56">
        <v>99</v>
      </c>
      <c r="E465" s="56">
        <v>3210</v>
      </c>
      <c r="F465" s="56">
        <v>703</v>
      </c>
      <c r="G465" s="56">
        <v>7807</v>
      </c>
      <c r="H465" s="56">
        <v>261</v>
      </c>
      <c r="I465" s="56">
        <v>4707</v>
      </c>
      <c r="J465" s="56">
        <v>104</v>
      </c>
      <c r="K465" s="56">
        <v>640</v>
      </c>
      <c r="L465" s="56">
        <v>1865</v>
      </c>
      <c r="M465" s="56">
        <v>25542</v>
      </c>
      <c r="N465" s="56">
        <v>6734</v>
      </c>
      <c r="O465" s="56">
        <v>32765</v>
      </c>
      <c r="P465" s="56">
        <v>1652</v>
      </c>
      <c r="Q465" s="56">
        <v>27390</v>
      </c>
      <c r="R465" s="16">
        <f t="shared" si="95"/>
        <v>10251</v>
      </c>
      <c r="T465" s="144">
        <f t="shared" si="94"/>
        <v>40101</v>
      </c>
      <c r="U465" s="154">
        <f>'copy data3'!B519</f>
        <v>1252</v>
      </c>
      <c r="V465" s="38">
        <f t="shared" si="76"/>
        <v>1186.5</v>
      </c>
      <c r="W465" s="71">
        <f t="shared" si="77"/>
        <v>53.421882035119317</v>
      </c>
      <c r="X465" s="154">
        <f>'copy data3'!D519</f>
        <v>589</v>
      </c>
      <c r="Y465" s="38">
        <f t="shared" si="78"/>
        <v>642.25</v>
      </c>
      <c r="Z465" s="71">
        <f t="shared" si="79"/>
        <v>62.293889427740055</v>
      </c>
      <c r="AA465" s="152">
        <f>'copy data3'!F519</f>
        <v>1008</v>
      </c>
      <c r="AB465" s="38">
        <f t="shared" si="80"/>
        <v>982.5</v>
      </c>
      <c r="AC465" s="71">
        <f t="shared" si="81"/>
        <v>78.915662650602414</v>
      </c>
      <c r="AD465" s="152">
        <f>'copy data3'!H519</f>
        <v>995</v>
      </c>
      <c r="AE465" s="38">
        <f t="shared" si="82"/>
        <v>907.25</v>
      </c>
      <c r="AF465" s="71">
        <f t="shared" si="83"/>
        <v>137.04682779456195</v>
      </c>
      <c r="AG465" s="152">
        <f>'copy data3'!J519</f>
        <v>385</v>
      </c>
      <c r="AH465" s="38">
        <f t="shared" si="84"/>
        <v>389.5</v>
      </c>
      <c r="AI465" s="71">
        <f t="shared" si="85"/>
        <v>512.5</v>
      </c>
      <c r="AJ465" s="152">
        <f>'copy data3'!L519</f>
        <v>4229</v>
      </c>
      <c r="AK465" s="38">
        <f t="shared" si="86"/>
        <v>4108</v>
      </c>
      <c r="AL465" s="71">
        <f t="shared" si="87"/>
        <v>78.486816965991594</v>
      </c>
      <c r="AM465" s="152">
        <f>'copy data3'!N519</f>
        <v>10584</v>
      </c>
      <c r="AN465" s="38">
        <f t="shared" si="88"/>
        <v>11196.25</v>
      </c>
      <c r="AO465" s="71">
        <f t="shared" si="89"/>
        <v>106.39789033545566</v>
      </c>
      <c r="AP465" s="152">
        <f>'copy data3'!P519</f>
        <v>19708</v>
      </c>
      <c r="AQ465" s="38">
        <f t="shared" si="90"/>
        <v>19557.75</v>
      </c>
      <c r="AR465" s="71">
        <f t="shared" si="91"/>
        <v>186.45962436838593</v>
      </c>
      <c r="AS465" s="153">
        <f>'copy data3'!R519</f>
        <v>34521</v>
      </c>
      <c r="AT465" s="38">
        <f t="shared" si="93"/>
        <v>34862</v>
      </c>
      <c r="AU465" s="71">
        <f t="shared" si="92"/>
        <v>132.82785948334984</v>
      </c>
    </row>
    <row r="466" spans="1:47" ht="15.6" x14ac:dyDescent="0.3">
      <c r="A466" s="55">
        <v>38134</v>
      </c>
      <c r="B466" s="56">
        <v>665</v>
      </c>
      <c r="C466" s="56">
        <v>12697</v>
      </c>
      <c r="D466" s="56">
        <v>206</v>
      </c>
      <c r="E466" s="56">
        <v>3785</v>
      </c>
      <c r="F466" s="56">
        <v>360</v>
      </c>
      <c r="G466" s="56">
        <v>6928</v>
      </c>
      <c r="H466" s="56">
        <v>224</v>
      </c>
      <c r="I466" s="56">
        <v>4895</v>
      </c>
      <c r="J466" s="56">
        <v>28</v>
      </c>
      <c r="K466" s="56">
        <v>1053</v>
      </c>
      <c r="L466" s="56">
        <v>1484</v>
      </c>
      <c r="M466" s="56">
        <v>29359</v>
      </c>
      <c r="N466" s="56">
        <v>9450</v>
      </c>
      <c r="O466" s="56">
        <v>35759</v>
      </c>
      <c r="P466" s="56">
        <v>1130</v>
      </c>
      <c r="Q466" s="56">
        <v>22894</v>
      </c>
      <c r="R466" s="16">
        <f t="shared" si="95"/>
        <v>12064</v>
      </c>
      <c r="T466" s="144">
        <f t="shared" si="94"/>
        <v>40108</v>
      </c>
      <c r="U466" s="154">
        <f>'copy data3'!B520</f>
        <v>1256</v>
      </c>
      <c r="V466" s="38">
        <f t="shared" si="76"/>
        <v>1203.25</v>
      </c>
      <c r="W466" s="71">
        <f t="shared" si="77"/>
        <v>55.680240629338272</v>
      </c>
      <c r="X466" s="154">
        <f>'copy data3'!D520</f>
        <v>594</v>
      </c>
      <c r="Y466" s="38">
        <f t="shared" si="78"/>
        <v>612.25</v>
      </c>
      <c r="Z466" s="71">
        <f t="shared" si="79"/>
        <v>61.163836163836159</v>
      </c>
      <c r="AA466" s="152">
        <f>'copy data3'!F520</f>
        <v>1013</v>
      </c>
      <c r="AB466" s="38">
        <f t="shared" si="80"/>
        <v>1007</v>
      </c>
      <c r="AC466" s="71">
        <f t="shared" si="81"/>
        <v>79.604743083003953</v>
      </c>
      <c r="AD466" s="152">
        <f>'copy data3'!H520</f>
        <v>961</v>
      </c>
      <c r="AE466" s="38">
        <f t="shared" si="82"/>
        <v>939.75</v>
      </c>
      <c r="AF466" s="71">
        <f t="shared" si="83"/>
        <v>155.84577114427859</v>
      </c>
      <c r="AG466" s="152">
        <f>'copy data3'!J520</f>
        <v>322</v>
      </c>
      <c r="AH466" s="38">
        <f t="shared" si="84"/>
        <v>377</v>
      </c>
      <c r="AI466" s="71">
        <f t="shared" si="85"/>
        <v>496.05263157894734</v>
      </c>
      <c r="AJ466" s="152">
        <f>'copy data3'!L520</f>
        <v>4146</v>
      </c>
      <c r="AK466" s="38">
        <f t="shared" si="86"/>
        <v>4139.25</v>
      </c>
      <c r="AL466" s="71">
        <f t="shared" si="87"/>
        <v>81.098158307210028</v>
      </c>
      <c r="AM466" s="152">
        <f>'copy data3'!N520</f>
        <v>10284</v>
      </c>
      <c r="AN466" s="38">
        <f t="shared" si="88"/>
        <v>10810.25</v>
      </c>
      <c r="AO466" s="71">
        <f t="shared" si="89"/>
        <v>104.61869737733475</v>
      </c>
      <c r="AP466" s="152">
        <f>'copy data3'!P520</f>
        <v>18965</v>
      </c>
      <c r="AQ466" s="38">
        <f t="shared" si="90"/>
        <v>19444.5</v>
      </c>
      <c r="AR466" s="71">
        <f t="shared" si="91"/>
        <v>183.49061055015571</v>
      </c>
      <c r="AS466" s="153">
        <f>'copy data3'!R520</f>
        <v>33395</v>
      </c>
      <c r="AT466" s="38">
        <f t="shared" si="93"/>
        <v>34394</v>
      </c>
      <c r="AU466" s="71">
        <f t="shared" si="92"/>
        <v>132.11185372973804</v>
      </c>
    </row>
    <row r="467" spans="1:47" ht="15.6" x14ac:dyDescent="0.3">
      <c r="A467" s="55">
        <v>38498</v>
      </c>
      <c r="B467" s="56">
        <v>491</v>
      </c>
      <c r="C467" s="56">
        <v>9407</v>
      </c>
      <c r="D467" s="56">
        <v>94</v>
      </c>
      <c r="E467" s="56">
        <v>3217</v>
      </c>
      <c r="F467" s="56">
        <v>515</v>
      </c>
      <c r="G467" s="56">
        <v>8033</v>
      </c>
      <c r="H467" s="56">
        <v>194</v>
      </c>
      <c r="I467" s="56">
        <v>4773</v>
      </c>
      <c r="J467" s="56">
        <v>57</v>
      </c>
      <c r="K467" s="56">
        <v>686</v>
      </c>
      <c r="L467" s="56">
        <v>1351</v>
      </c>
      <c r="M467" s="56">
        <v>26117</v>
      </c>
      <c r="N467" s="56">
        <v>6668</v>
      </c>
      <c r="O467" s="56">
        <v>33575</v>
      </c>
      <c r="P467" s="56">
        <v>1562</v>
      </c>
      <c r="Q467" s="56">
        <v>27675</v>
      </c>
      <c r="R467" s="16">
        <f t="shared" si="95"/>
        <v>9581</v>
      </c>
      <c r="T467" s="144">
        <f t="shared" si="94"/>
        <v>40115</v>
      </c>
      <c r="U467" s="154">
        <f>'copy data3'!B521</f>
        <v>1263</v>
      </c>
      <c r="V467" s="38">
        <f t="shared" si="76"/>
        <v>1217.75</v>
      </c>
      <c r="W467" s="71">
        <f t="shared" si="77"/>
        <v>57.413955681282417</v>
      </c>
      <c r="X467" s="154">
        <f>'copy data3'!D521</f>
        <v>557</v>
      </c>
      <c r="Y467" s="38">
        <f t="shared" si="78"/>
        <v>590.75</v>
      </c>
      <c r="Z467" s="71">
        <f t="shared" si="79"/>
        <v>60.280612244897959</v>
      </c>
      <c r="AA467" s="152">
        <f>'copy data3'!F521</f>
        <v>1020</v>
      </c>
      <c r="AB467" s="38">
        <f t="shared" si="80"/>
        <v>1012.5</v>
      </c>
      <c r="AC467" s="71">
        <f t="shared" si="81"/>
        <v>77.58620689655173</v>
      </c>
      <c r="AD467" s="152">
        <f>'copy data3'!H521</f>
        <v>980</v>
      </c>
      <c r="AE467" s="38">
        <f t="shared" si="82"/>
        <v>967</v>
      </c>
      <c r="AF467" s="71">
        <f t="shared" si="83"/>
        <v>159.04605263157893</v>
      </c>
      <c r="AG467" s="152">
        <f>'copy data3'!J521</f>
        <v>322</v>
      </c>
      <c r="AH467" s="38">
        <f t="shared" si="84"/>
        <v>358.25</v>
      </c>
      <c r="AI467" s="71">
        <f t="shared" si="85"/>
        <v>447.81250000000006</v>
      </c>
      <c r="AJ467" s="152">
        <f>'copy data3'!L521</f>
        <v>4141</v>
      </c>
      <c r="AK467" s="38">
        <f t="shared" si="86"/>
        <v>4146.25</v>
      </c>
      <c r="AL467" s="71">
        <f t="shared" si="87"/>
        <v>81.410759866483403</v>
      </c>
      <c r="AM467" s="152">
        <f>'copy data3'!N521</f>
        <v>10140</v>
      </c>
      <c r="AN467" s="38">
        <f t="shared" si="88"/>
        <v>10543.75</v>
      </c>
      <c r="AO467" s="71">
        <f t="shared" si="89"/>
        <v>103.51217357156881</v>
      </c>
      <c r="AP467" s="152">
        <f>'copy data3'!P521</f>
        <v>17795</v>
      </c>
      <c r="AQ467" s="38">
        <f t="shared" si="90"/>
        <v>19011.25</v>
      </c>
      <c r="AR467" s="71">
        <f t="shared" si="91"/>
        <v>190.0554833549935</v>
      </c>
      <c r="AS467" s="153">
        <f>'copy data3'!R521</f>
        <v>32076</v>
      </c>
      <c r="AT467" s="38">
        <f t="shared" si="93"/>
        <v>33701.25</v>
      </c>
      <c r="AU467" s="71">
        <f t="shared" si="92"/>
        <v>133.30136065184718</v>
      </c>
    </row>
    <row r="468" spans="1:47" ht="15.6" x14ac:dyDescent="0.3">
      <c r="A468" s="55">
        <v>38141</v>
      </c>
      <c r="B468" s="56">
        <v>1807</v>
      </c>
      <c r="C468" s="56">
        <v>134</v>
      </c>
      <c r="D468" s="56">
        <v>1497</v>
      </c>
      <c r="E468" s="56">
        <v>18</v>
      </c>
      <c r="F468" s="56">
        <v>1451</v>
      </c>
      <c r="G468" s="56">
        <v>54</v>
      </c>
      <c r="H468" s="56">
        <v>743</v>
      </c>
      <c r="I468" s="56">
        <v>63</v>
      </c>
      <c r="J468" s="56">
        <v>175</v>
      </c>
      <c r="K468" s="56">
        <v>22</v>
      </c>
      <c r="L468" s="56">
        <v>5673</v>
      </c>
      <c r="M468" s="56">
        <v>290</v>
      </c>
      <c r="N468" s="56">
        <v>8520</v>
      </c>
      <c r="O468" s="56">
        <v>36742</v>
      </c>
      <c r="P468" s="56">
        <v>1111</v>
      </c>
      <c r="Q468" s="56">
        <v>22918</v>
      </c>
      <c r="R468" s="16">
        <f t="shared" si="95"/>
        <v>15304</v>
      </c>
      <c r="T468" s="144">
        <f t="shared" si="94"/>
        <v>40122</v>
      </c>
      <c r="U468" s="154">
        <f>'copy data3'!B522</f>
        <v>1406</v>
      </c>
      <c r="V468" s="38">
        <f t="shared" si="76"/>
        <v>1294.25</v>
      </c>
      <c r="W468" s="71">
        <f t="shared" si="77"/>
        <v>63.257575757575758</v>
      </c>
      <c r="X468" s="154">
        <f>'copy data3'!D522</f>
        <v>540</v>
      </c>
      <c r="Y468" s="38">
        <f t="shared" si="78"/>
        <v>570</v>
      </c>
      <c r="Z468" s="71">
        <f t="shared" si="79"/>
        <v>58.641975308641982</v>
      </c>
      <c r="AA468" s="152">
        <f>'copy data3'!F522</f>
        <v>1026</v>
      </c>
      <c r="AB468" s="38">
        <f t="shared" si="80"/>
        <v>1016.75</v>
      </c>
      <c r="AC468" s="71">
        <f t="shared" si="81"/>
        <v>81.470352564102569</v>
      </c>
      <c r="AD468" s="152">
        <f>'copy data3'!H522</f>
        <v>826</v>
      </c>
      <c r="AE468" s="38">
        <f t="shared" si="82"/>
        <v>940.5</v>
      </c>
      <c r="AF468" s="71">
        <f t="shared" si="83"/>
        <v>171.62408759124088</v>
      </c>
      <c r="AG468" s="152">
        <f>'copy data3'!J522</f>
        <v>300</v>
      </c>
      <c r="AH468" s="38">
        <f t="shared" si="84"/>
        <v>332.25</v>
      </c>
      <c r="AI468" s="71">
        <f t="shared" si="85"/>
        <v>415.3125</v>
      </c>
      <c r="AJ468" s="152">
        <f>'copy data3'!L522</f>
        <v>4097</v>
      </c>
      <c r="AK468" s="38">
        <f t="shared" si="86"/>
        <v>4153.25</v>
      </c>
      <c r="AL468" s="71">
        <f t="shared" si="87"/>
        <v>84.881463314939708</v>
      </c>
      <c r="AM468" s="152">
        <f>'copy data3'!N522</f>
        <v>9871</v>
      </c>
      <c r="AN468" s="38">
        <f t="shared" si="88"/>
        <v>10219.75</v>
      </c>
      <c r="AO468" s="71">
        <f t="shared" si="89"/>
        <v>105.00102743244632</v>
      </c>
      <c r="AP468" s="152">
        <f>'copy data3'!P522</f>
        <v>17431</v>
      </c>
      <c r="AQ468" s="38">
        <f t="shared" si="90"/>
        <v>18474.75</v>
      </c>
      <c r="AR468" s="71">
        <f t="shared" si="91"/>
        <v>195.72783133806547</v>
      </c>
      <c r="AS468" s="153">
        <f>'copy data3'!R522</f>
        <v>31399</v>
      </c>
      <c r="AT468" s="38">
        <f t="shared" si="93"/>
        <v>32847.75</v>
      </c>
      <c r="AU468" s="71">
        <f t="shared" si="92"/>
        <v>136.49594847288594</v>
      </c>
    </row>
    <row r="469" spans="1:47" ht="15.6" x14ac:dyDescent="0.3">
      <c r="A469" s="55">
        <v>38505</v>
      </c>
      <c r="B469" s="56">
        <v>1465</v>
      </c>
      <c r="C469" s="56">
        <v>48</v>
      </c>
      <c r="D469" s="56">
        <v>354</v>
      </c>
      <c r="E469" s="56">
        <v>5</v>
      </c>
      <c r="F469" s="56">
        <v>1279</v>
      </c>
      <c r="G469" s="56">
        <v>32</v>
      </c>
      <c r="H469" s="56">
        <v>427</v>
      </c>
      <c r="I469" s="56">
        <v>21</v>
      </c>
      <c r="J469" s="56">
        <v>124</v>
      </c>
      <c r="K469" s="56">
        <v>0</v>
      </c>
      <c r="L469" s="56">
        <v>3649</v>
      </c>
      <c r="M469" s="56">
        <v>105</v>
      </c>
      <c r="N469" s="56">
        <v>6386</v>
      </c>
      <c r="O469" s="56">
        <v>34419</v>
      </c>
      <c r="P469" s="56">
        <v>1522</v>
      </c>
      <c r="Q469" s="56">
        <v>27801</v>
      </c>
      <c r="R469" s="16">
        <f t="shared" si="95"/>
        <v>11557</v>
      </c>
      <c r="T469" s="144">
        <f t="shared" si="94"/>
        <v>40129</v>
      </c>
      <c r="U469" s="154">
        <f>'copy data3'!B523</f>
        <v>1318</v>
      </c>
      <c r="V469" s="38">
        <f t="shared" si="76"/>
        <v>1310.75</v>
      </c>
      <c r="W469" s="71">
        <f t="shared" si="77"/>
        <v>64.347079037800697</v>
      </c>
      <c r="X469" s="154">
        <f>'copy data3'!D523</f>
        <v>505</v>
      </c>
      <c r="Y469" s="38">
        <f t="shared" si="78"/>
        <v>549</v>
      </c>
      <c r="Z469" s="71">
        <f t="shared" si="79"/>
        <v>53.146176185866409</v>
      </c>
      <c r="AA469" s="152">
        <f>'copy data3'!F523</f>
        <v>1044</v>
      </c>
      <c r="AB469" s="38">
        <f t="shared" si="80"/>
        <v>1025.75</v>
      </c>
      <c r="AC469" s="71">
        <f t="shared" si="81"/>
        <v>83.191403081914032</v>
      </c>
      <c r="AD469" s="152">
        <f>'copy data3'!H523</f>
        <v>793</v>
      </c>
      <c r="AE469" s="38">
        <f t="shared" si="82"/>
        <v>890</v>
      </c>
      <c r="AF469" s="71">
        <f t="shared" si="83"/>
        <v>156.14035087719299</v>
      </c>
      <c r="AG469" s="152">
        <f>'copy data3'!J523</f>
        <v>312</v>
      </c>
      <c r="AH469" s="38">
        <f t="shared" si="84"/>
        <v>314</v>
      </c>
      <c r="AI469" s="71">
        <f t="shared" si="85"/>
        <v>387.65432098765433</v>
      </c>
      <c r="AJ469" s="152">
        <f>'copy data3'!L523</f>
        <v>3972</v>
      </c>
      <c r="AK469" s="38">
        <f t="shared" si="86"/>
        <v>4089</v>
      </c>
      <c r="AL469" s="71">
        <f t="shared" si="87"/>
        <v>82.57269789983846</v>
      </c>
      <c r="AM469" s="152">
        <f>'copy data3'!N523</f>
        <v>9540</v>
      </c>
      <c r="AN469" s="38">
        <f t="shared" si="88"/>
        <v>9958.75</v>
      </c>
      <c r="AO469" s="71">
        <f t="shared" si="89"/>
        <v>105.82031665072786</v>
      </c>
      <c r="AP469" s="152">
        <f>'copy data3'!P523</f>
        <v>17057</v>
      </c>
      <c r="AQ469" s="38">
        <f t="shared" si="90"/>
        <v>17812</v>
      </c>
      <c r="AR469" s="71">
        <f t="shared" si="91"/>
        <v>194.39048346611372</v>
      </c>
      <c r="AS469" s="153">
        <f>'copy data3'!R523</f>
        <v>30569</v>
      </c>
      <c r="AT469" s="38">
        <f t="shared" si="93"/>
        <v>31859.75</v>
      </c>
      <c r="AU469" s="71">
        <f t="shared" si="92"/>
        <v>135.42357391821812</v>
      </c>
    </row>
    <row r="470" spans="1:47" ht="15.6" x14ac:dyDescent="0.3">
      <c r="A470" s="55">
        <v>38148</v>
      </c>
      <c r="B470" s="56">
        <v>1856</v>
      </c>
      <c r="C470" s="56">
        <v>356</v>
      </c>
      <c r="D470" s="56">
        <v>1433</v>
      </c>
      <c r="E470" s="56">
        <v>68</v>
      </c>
      <c r="F470" s="56">
        <v>1536</v>
      </c>
      <c r="G470" s="56">
        <v>201</v>
      </c>
      <c r="H470" s="56">
        <v>810</v>
      </c>
      <c r="I470" s="56">
        <v>116</v>
      </c>
      <c r="J470" s="56">
        <v>154</v>
      </c>
      <c r="K470" s="56">
        <v>22</v>
      </c>
      <c r="L470" s="56">
        <v>5790</v>
      </c>
      <c r="M470" s="56">
        <v>764</v>
      </c>
      <c r="N470" s="56">
        <v>8094</v>
      </c>
      <c r="O470" s="56">
        <v>37763</v>
      </c>
      <c r="P470" s="56">
        <v>1062</v>
      </c>
      <c r="Q470" s="56">
        <v>23064</v>
      </c>
      <c r="R470" s="16">
        <f t="shared" si="95"/>
        <v>14946</v>
      </c>
      <c r="T470" s="144">
        <f t="shared" si="94"/>
        <v>40136</v>
      </c>
      <c r="U470" s="154">
        <f>'copy data3'!B524</f>
        <v>1300</v>
      </c>
      <c r="V470" s="38">
        <f t="shared" si="76"/>
        <v>1321.75</v>
      </c>
      <c r="W470" s="71">
        <f t="shared" si="77"/>
        <v>65.824203187251001</v>
      </c>
      <c r="X470" s="154">
        <f>'copy data3'!D524</f>
        <v>473</v>
      </c>
      <c r="Y470" s="38">
        <f t="shared" si="78"/>
        <v>518.75</v>
      </c>
      <c r="Z470" s="71">
        <f t="shared" si="79"/>
        <v>54.092805005213762</v>
      </c>
      <c r="AA470" s="152">
        <f>'copy data3'!F524</f>
        <v>1108</v>
      </c>
      <c r="AB470" s="38">
        <f t="shared" si="80"/>
        <v>1049.5</v>
      </c>
      <c r="AC470" s="71">
        <f t="shared" si="81"/>
        <v>89.395229982964224</v>
      </c>
      <c r="AD470" s="152">
        <f>'copy data3'!H524</f>
        <v>724</v>
      </c>
      <c r="AE470" s="38">
        <f t="shared" si="82"/>
        <v>830.75</v>
      </c>
      <c r="AF470" s="71">
        <f t="shared" si="83"/>
        <v>147.55772646536411</v>
      </c>
      <c r="AG470" s="152">
        <f>'copy data3'!J524</f>
        <v>303</v>
      </c>
      <c r="AH470" s="38">
        <f t="shared" si="84"/>
        <v>309.25</v>
      </c>
      <c r="AI470" s="71">
        <f t="shared" si="85"/>
        <v>268.91304347826087</v>
      </c>
      <c r="AJ470" s="152">
        <f>'copy data3'!L524</f>
        <v>3907</v>
      </c>
      <c r="AK470" s="38">
        <f t="shared" si="86"/>
        <v>4029.25</v>
      </c>
      <c r="AL470" s="71">
        <f t="shared" si="87"/>
        <v>83.629099211290992</v>
      </c>
      <c r="AM470" s="152">
        <f>'copy data3'!N524</f>
        <v>10136</v>
      </c>
      <c r="AN470" s="38">
        <f t="shared" si="88"/>
        <v>9921.75</v>
      </c>
      <c r="AO470" s="71">
        <f t="shared" si="89"/>
        <v>108.910537870472</v>
      </c>
      <c r="AP470" s="152">
        <f>'copy data3'!P524</f>
        <v>15758</v>
      </c>
      <c r="AQ470" s="38">
        <f t="shared" si="90"/>
        <v>17010.25</v>
      </c>
      <c r="AR470" s="71">
        <f t="shared" si="91"/>
        <v>190.50565572852503</v>
      </c>
      <c r="AS470" s="153">
        <f>'copy data3'!R524</f>
        <v>29801</v>
      </c>
      <c r="AT470" s="38">
        <f t="shared" si="93"/>
        <v>30961.25</v>
      </c>
      <c r="AU470" s="71">
        <f t="shared" si="92"/>
        <v>135.45631535197094</v>
      </c>
    </row>
    <row r="471" spans="1:47" ht="15.6" x14ac:dyDescent="0.3">
      <c r="A471" s="55">
        <v>38512</v>
      </c>
      <c r="B471" s="56">
        <v>1480</v>
      </c>
      <c r="C471" s="56">
        <v>170</v>
      </c>
      <c r="D471" s="56">
        <v>327</v>
      </c>
      <c r="E471" s="56">
        <v>46</v>
      </c>
      <c r="F471" s="56">
        <v>1248</v>
      </c>
      <c r="G471" s="56">
        <v>207</v>
      </c>
      <c r="H471" s="56">
        <v>436</v>
      </c>
      <c r="I471" s="56">
        <v>50</v>
      </c>
      <c r="J471" s="56">
        <v>100</v>
      </c>
      <c r="K471" s="56">
        <v>27</v>
      </c>
      <c r="L471" s="56">
        <v>3590</v>
      </c>
      <c r="M471" s="56">
        <v>499</v>
      </c>
      <c r="N471" s="56">
        <v>6208</v>
      </c>
      <c r="O471" s="56">
        <v>35288</v>
      </c>
      <c r="P471" s="56">
        <v>1481</v>
      </c>
      <c r="Q471" s="56">
        <v>28025</v>
      </c>
      <c r="R471" s="16">
        <f t="shared" si="95"/>
        <v>11279</v>
      </c>
      <c r="T471" s="144">
        <f t="shared" si="94"/>
        <v>40143</v>
      </c>
      <c r="U471" s="154">
        <f>'copy data3'!B525</f>
        <v>1461</v>
      </c>
      <c r="V471" s="38">
        <f t="shared" si="76"/>
        <v>1371.25</v>
      </c>
      <c r="W471" s="71">
        <f t="shared" si="77"/>
        <v>74.443539630836057</v>
      </c>
      <c r="X471" s="154">
        <f>'copy data3'!D525</f>
        <v>474</v>
      </c>
      <c r="Y471" s="38">
        <f t="shared" si="78"/>
        <v>498</v>
      </c>
      <c r="Z471" s="71">
        <f t="shared" si="79"/>
        <v>53.896103896103895</v>
      </c>
      <c r="AA471" s="152">
        <f>'copy data3'!F525</f>
        <v>1001</v>
      </c>
      <c r="AB471" s="38">
        <f t="shared" si="80"/>
        <v>1044.75</v>
      </c>
      <c r="AC471" s="71">
        <f t="shared" si="81"/>
        <v>100.45673076923076</v>
      </c>
      <c r="AD471" s="152">
        <f>'copy data3'!H525</f>
        <v>699</v>
      </c>
      <c r="AE471" s="38">
        <f t="shared" si="82"/>
        <v>760.5</v>
      </c>
      <c r="AF471" s="71">
        <f t="shared" si="83"/>
        <v>116.4624808575804</v>
      </c>
      <c r="AG471" s="152">
        <f>'copy data3'!J525</f>
        <v>278</v>
      </c>
      <c r="AH471" s="38">
        <f t="shared" si="84"/>
        <v>298.25</v>
      </c>
      <c r="AI471" s="71">
        <f t="shared" si="85"/>
        <v>286.77884615384619</v>
      </c>
      <c r="AJ471" s="152">
        <f>'copy data3'!L525</f>
        <v>3913</v>
      </c>
      <c r="AK471" s="38">
        <f t="shared" si="86"/>
        <v>3972.25</v>
      </c>
      <c r="AL471" s="71">
        <f t="shared" si="87"/>
        <v>87.053473591935131</v>
      </c>
      <c r="AM471" s="152">
        <f>'copy data3'!N525</f>
        <v>9915</v>
      </c>
      <c r="AN471" s="38">
        <f t="shared" si="88"/>
        <v>9865.5</v>
      </c>
      <c r="AO471" s="71">
        <f t="shared" si="89"/>
        <v>115.73791647114031</v>
      </c>
      <c r="AP471" s="152">
        <f>'copy data3'!P525</f>
        <v>15116</v>
      </c>
      <c r="AQ471" s="38">
        <f t="shared" si="90"/>
        <v>16340.5</v>
      </c>
      <c r="AR471" s="71">
        <f t="shared" si="91"/>
        <v>203.59456765512087</v>
      </c>
      <c r="AS471" s="153">
        <f>'copy data3'!R525</f>
        <v>28944</v>
      </c>
      <c r="AT471" s="38">
        <f t="shared" si="93"/>
        <v>30178.25</v>
      </c>
      <c r="AU471" s="71">
        <f t="shared" si="92"/>
        <v>142.93681617960499</v>
      </c>
    </row>
    <row r="472" spans="1:47" ht="15.6" x14ac:dyDescent="0.3">
      <c r="A472" s="55">
        <v>38155</v>
      </c>
      <c r="B472" s="56">
        <v>1770</v>
      </c>
      <c r="C472" s="56">
        <v>586</v>
      </c>
      <c r="D472" s="56">
        <v>1511</v>
      </c>
      <c r="E472" s="56">
        <v>76</v>
      </c>
      <c r="F472" s="56">
        <v>1494</v>
      </c>
      <c r="G472" s="56">
        <v>349</v>
      </c>
      <c r="H472" s="56">
        <v>846</v>
      </c>
      <c r="I472" s="56">
        <v>171</v>
      </c>
      <c r="J472" s="56">
        <v>157</v>
      </c>
      <c r="K472" s="56">
        <v>27</v>
      </c>
      <c r="L472" s="56">
        <v>5778</v>
      </c>
      <c r="M472" s="56">
        <v>1209</v>
      </c>
      <c r="N472" s="56">
        <v>7524</v>
      </c>
      <c r="O472" s="56">
        <v>38492</v>
      </c>
      <c r="P472" s="56">
        <v>935</v>
      </c>
      <c r="Q472" s="56">
        <v>23287</v>
      </c>
      <c r="R472" s="16">
        <f t="shared" si="95"/>
        <v>14237</v>
      </c>
      <c r="T472" s="144">
        <f t="shared" si="94"/>
        <v>40150</v>
      </c>
      <c r="U472" s="154">
        <f>'copy data3'!B526</f>
        <v>1467</v>
      </c>
      <c r="V472" s="38">
        <f t="shared" ref="V472:V535" si="96">AVERAGE(U469:U472)</f>
        <v>1386.5</v>
      </c>
      <c r="W472" s="71">
        <f t="shared" ref="W472:W535" si="97">(V472/U420)*100</f>
        <v>75.517429193899773</v>
      </c>
      <c r="X472" s="154">
        <f>'copy data3'!D526</f>
        <v>489</v>
      </c>
      <c r="Y472" s="38">
        <f t="shared" ref="Y472:Y535" si="98">AVERAGE(X469:X472)</f>
        <v>485.25</v>
      </c>
      <c r="Z472" s="71">
        <f t="shared" ref="Z472:Z535" si="99">(Y472/X420)*100</f>
        <v>53.856825749167591</v>
      </c>
      <c r="AA472" s="152">
        <f>'copy data3'!F526</f>
        <v>930</v>
      </c>
      <c r="AB472" s="38">
        <f t="shared" ref="AB472:AB535" si="100">AVERAGE(AA469:AA472)</f>
        <v>1020.75</v>
      </c>
      <c r="AC472" s="71">
        <f t="shared" ref="AC472:AC535" si="101">(AB472/AA420)*100</f>
        <v>93.134124087591246</v>
      </c>
      <c r="AD472" s="152">
        <f>'copy data3'!H526</f>
        <v>725</v>
      </c>
      <c r="AE472" s="38">
        <f t="shared" ref="AE472:AE535" si="102">AVERAGE(AD469:AD472)</f>
        <v>735.25</v>
      </c>
      <c r="AF472" s="71">
        <f t="shared" ref="AF472:AF535" si="103">(AE472/AD420)*100</f>
        <v>135.40515653775321</v>
      </c>
      <c r="AG472" s="152">
        <f>'copy data3'!J526</f>
        <v>241</v>
      </c>
      <c r="AH472" s="38">
        <f t="shared" ref="AH472:AH535" si="104">AVERAGE(AG469:AG472)</f>
        <v>283.5</v>
      </c>
      <c r="AI472" s="71">
        <f t="shared" ref="AI472:AI535" si="105">(AH472/AG420)*100</f>
        <v>272.59615384615381</v>
      </c>
      <c r="AJ472" s="152">
        <f>'copy data3'!L526</f>
        <v>3851</v>
      </c>
      <c r="AK472" s="38">
        <f t="shared" ref="AK472:AK535" si="106">AVERAGE(AJ469:AJ472)</f>
        <v>3910.75</v>
      </c>
      <c r="AL472" s="71">
        <f t="shared" ref="AL472:AL535" si="107">(AK472/AJ420)*100</f>
        <v>87.293526785714278</v>
      </c>
      <c r="AM472" s="152">
        <f>'copy data3'!N526</f>
        <v>10057</v>
      </c>
      <c r="AN472" s="38">
        <f t="shared" ref="AN472:AN535" si="108">AVERAGE(AM469:AM472)</f>
        <v>9912</v>
      </c>
      <c r="AO472" s="71">
        <f t="shared" ref="AO472:AO535" si="109">(AN472/AM420)*100</f>
        <v>113.09904153354633</v>
      </c>
      <c r="AP472" s="152">
        <f>'copy data3'!P526</f>
        <v>13977</v>
      </c>
      <c r="AQ472" s="38">
        <f t="shared" ref="AQ472:AQ535" si="110">AVERAGE(AP469:AP472)</f>
        <v>15477</v>
      </c>
      <c r="AR472" s="71">
        <f t="shared" ref="AR472:AR535" si="111">(AQ472/AP420)*100</f>
        <v>196.18456078083409</v>
      </c>
      <c r="AS472" s="153">
        <f>'copy data3'!R526</f>
        <v>27885</v>
      </c>
      <c r="AT472" s="38">
        <f t="shared" si="93"/>
        <v>29299.75</v>
      </c>
      <c r="AU472" s="71">
        <f t="shared" si="92"/>
        <v>138.64453698007856</v>
      </c>
    </row>
    <row r="473" spans="1:47" ht="15.6" x14ac:dyDescent="0.3">
      <c r="A473" s="55">
        <v>38519</v>
      </c>
      <c r="B473" s="56">
        <v>1630</v>
      </c>
      <c r="C473" s="56">
        <v>315</v>
      </c>
      <c r="D473" s="56">
        <v>245</v>
      </c>
      <c r="E473" s="56">
        <v>66</v>
      </c>
      <c r="F473" s="56">
        <v>1300</v>
      </c>
      <c r="G473" s="56">
        <v>335</v>
      </c>
      <c r="H473" s="56">
        <v>483</v>
      </c>
      <c r="I473" s="56">
        <v>69</v>
      </c>
      <c r="J473" s="56">
        <v>117</v>
      </c>
      <c r="K473" s="56">
        <v>36</v>
      </c>
      <c r="L473" s="56">
        <v>3775</v>
      </c>
      <c r="M473" s="56">
        <v>821</v>
      </c>
      <c r="N473" s="56">
        <v>5650</v>
      </c>
      <c r="O473" s="56">
        <v>36297</v>
      </c>
      <c r="P473" s="56">
        <v>1344</v>
      </c>
      <c r="Q473" s="56">
        <v>28310</v>
      </c>
      <c r="R473" s="16">
        <f t="shared" si="95"/>
        <v>10769</v>
      </c>
      <c r="T473" s="144">
        <f t="shared" si="94"/>
        <v>40157</v>
      </c>
      <c r="U473" s="154">
        <f>'copy data3'!B527</f>
        <v>1424</v>
      </c>
      <c r="V473" s="38">
        <f t="shared" si="96"/>
        <v>1413</v>
      </c>
      <c r="W473" s="71">
        <f t="shared" si="97"/>
        <v>76.751765344921239</v>
      </c>
      <c r="X473" s="154">
        <f>'copy data3'!D527</f>
        <v>512</v>
      </c>
      <c r="Y473" s="38">
        <f t="shared" si="98"/>
        <v>487</v>
      </c>
      <c r="Z473" s="71">
        <f t="shared" si="99"/>
        <v>52.934782608695649</v>
      </c>
      <c r="AA473" s="152">
        <f>'copy data3'!F527</f>
        <v>973</v>
      </c>
      <c r="AB473" s="38">
        <f t="shared" si="100"/>
        <v>1003</v>
      </c>
      <c r="AC473" s="71">
        <f t="shared" si="101"/>
        <v>102.45148110316649</v>
      </c>
      <c r="AD473" s="152">
        <f>'copy data3'!H527</f>
        <v>708</v>
      </c>
      <c r="AE473" s="38">
        <f t="shared" si="102"/>
        <v>714</v>
      </c>
      <c r="AF473" s="71">
        <f t="shared" si="103"/>
        <v>139.72602739726028</v>
      </c>
      <c r="AG473" s="152">
        <f>'copy data3'!J527</f>
        <v>241</v>
      </c>
      <c r="AH473" s="38">
        <f t="shared" si="104"/>
        <v>265.75</v>
      </c>
      <c r="AI473" s="71">
        <f t="shared" si="105"/>
        <v>354.33333333333337</v>
      </c>
      <c r="AJ473" s="152">
        <f>'copy data3'!L527</f>
        <v>3858</v>
      </c>
      <c r="AK473" s="38">
        <f t="shared" si="106"/>
        <v>3882.25</v>
      </c>
      <c r="AL473" s="71">
        <f t="shared" si="107"/>
        <v>89.721516061936683</v>
      </c>
      <c r="AM473" s="152">
        <f>'copy data3'!N527</f>
        <v>10507</v>
      </c>
      <c r="AN473" s="38">
        <f t="shared" si="108"/>
        <v>10153.75</v>
      </c>
      <c r="AO473" s="71">
        <f t="shared" si="109"/>
        <v>117.16766674359566</v>
      </c>
      <c r="AP473" s="152">
        <f>'copy data3'!P527</f>
        <v>13248</v>
      </c>
      <c r="AQ473" s="38">
        <f t="shared" si="110"/>
        <v>14524.75</v>
      </c>
      <c r="AR473" s="71">
        <f t="shared" si="111"/>
        <v>190.41360776088098</v>
      </c>
      <c r="AS473" s="153">
        <f>'copy data3'!R527</f>
        <v>27613</v>
      </c>
      <c r="AT473" s="38">
        <f t="shared" si="93"/>
        <v>28560.75</v>
      </c>
      <c r="AU473" s="71">
        <f t="shared" si="92"/>
        <v>138.50322486785316</v>
      </c>
    </row>
    <row r="474" spans="1:47" ht="15.6" x14ac:dyDescent="0.3">
      <c r="A474" s="55">
        <v>38162</v>
      </c>
      <c r="B474" s="56">
        <v>1709</v>
      </c>
      <c r="C474" s="56">
        <v>804</v>
      </c>
      <c r="D474" s="56">
        <v>1511</v>
      </c>
      <c r="E474" s="56">
        <v>119</v>
      </c>
      <c r="F474" s="56">
        <v>1560</v>
      </c>
      <c r="G474" s="56">
        <v>490</v>
      </c>
      <c r="H474" s="56">
        <v>859</v>
      </c>
      <c r="I474" s="56">
        <v>196</v>
      </c>
      <c r="J474" s="56">
        <v>153</v>
      </c>
      <c r="K474" s="56">
        <v>54</v>
      </c>
      <c r="L474" s="56">
        <v>5794</v>
      </c>
      <c r="M474" s="56">
        <v>1662</v>
      </c>
      <c r="N474" s="56">
        <v>7533</v>
      </c>
      <c r="O474" s="56">
        <v>39293</v>
      </c>
      <c r="P474" s="56">
        <v>861</v>
      </c>
      <c r="Q474" s="56">
        <v>23377</v>
      </c>
      <c r="R474" s="16">
        <f t="shared" si="95"/>
        <v>14188</v>
      </c>
      <c r="T474" s="144">
        <f t="shared" si="94"/>
        <v>40164</v>
      </c>
      <c r="U474" s="154">
        <f>'copy data3'!B528</f>
        <v>1369</v>
      </c>
      <c r="V474" s="38">
        <f t="shared" si="96"/>
        <v>1430.25</v>
      </c>
      <c r="W474" s="71">
        <f t="shared" si="97"/>
        <v>79.146145758397438</v>
      </c>
      <c r="X474" s="154">
        <f>'copy data3'!D528</f>
        <v>502</v>
      </c>
      <c r="Y474" s="38">
        <f t="shared" si="98"/>
        <v>494.25</v>
      </c>
      <c r="Z474" s="71">
        <f t="shared" si="99"/>
        <v>54.934978326108698</v>
      </c>
      <c r="AA474" s="152">
        <f>'copy data3'!F528</f>
        <v>972</v>
      </c>
      <c r="AB474" s="38">
        <f t="shared" si="100"/>
        <v>969</v>
      </c>
      <c r="AC474" s="71">
        <f t="shared" si="101"/>
        <v>103.32693538067818</v>
      </c>
      <c r="AD474" s="152">
        <f>'copy data3'!H528</f>
        <v>670</v>
      </c>
      <c r="AE474" s="38">
        <f t="shared" si="102"/>
        <v>700.5</v>
      </c>
      <c r="AF474" s="71">
        <f t="shared" si="103"/>
        <v>122.93787293787295</v>
      </c>
      <c r="AG474" s="152">
        <f>'copy data3'!J528</f>
        <v>241</v>
      </c>
      <c r="AH474" s="38">
        <f t="shared" si="104"/>
        <v>250.25</v>
      </c>
      <c r="AI474" s="71">
        <f t="shared" si="105"/>
        <v>333.22237017310255</v>
      </c>
      <c r="AJ474" s="152">
        <f>'copy data3'!L528</f>
        <v>3752</v>
      </c>
      <c r="AK474" s="38">
        <f t="shared" si="106"/>
        <v>3843.5</v>
      </c>
      <c r="AL474" s="71">
        <f t="shared" si="107"/>
        <v>89.602517775964557</v>
      </c>
      <c r="AM474" s="152">
        <f>'copy data3'!N528</f>
        <v>11684</v>
      </c>
      <c r="AN474" s="38">
        <f t="shared" si="108"/>
        <v>10540.75</v>
      </c>
      <c r="AO474" s="71">
        <f t="shared" si="109"/>
        <v>125.69461006439305</v>
      </c>
      <c r="AP474" s="152">
        <f>'copy data3'!P528</f>
        <v>13551</v>
      </c>
      <c r="AQ474" s="38">
        <f t="shared" si="110"/>
        <v>13973</v>
      </c>
      <c r="AR474" s="71">
        <f t="shared" si="111"/>
        <v>192.44170832816869</v>
      </c>
      <c r="AS474" s="153">
        <f>'copy data3'!R528</f>
        <v>28987</v>
      </c>
      <c r="AT474" s="38">
        <f t="shared" si="93"/>
        <v>28357.25</v>
      </c>
      <c r="AU474" s="71">
        <f t="shared" si="92"/>
        <v>142.23856864830157</v>
      </c>
    </row>
    <row r="475" spans="1:47" ht="15.6" x14ac:dyDescent="0.3">
      <c r="A475" s="55">
        <v>38526</v>
      </c>
      <c r="B475" s="56">
        <v>1789</v>
      </c>
      <c r="C475" s="56">
        <v>492</v>
      </c>
      <c r="D475" s="56">
        <v>256</v>
      </c>
      <c r="E475" s="56">
        <v>128</v>
      </c>
      <c r="F475" s="56">
        <v>1305</v>
      </c>
      <c r="G475" s="56">
        <v>458</v>
      </c>
      <c r="H475" s="56">
        <v>487</v>
      </c>
      <c r="I475" s="56">
        <v>113</v>
      </c>
      <c r="J475" s="56">
        <v>108</v>
      </c>
      <c r="K475" s="56">
        <v>48</v>
      </c>
      <c r="L475" s="56">
        <v>3946</v>
      </c>
      <c r="M475" s="56">
        <v>1238</v>
      </c>
      <c r="N475" s="56">
        <v>5809</v>
      </c>
      <c r="O475" s="56">
        <v>37355</v>
      </c>
      <c r="P475" s="56">
        <v>1339</v>
      </c>
      <c r="Q475" s="56">
        <v>28485</v>
      </c>
      <c r="R475" s="16">
        <f t="shared" si="95"/>
        <v>11094</v>
      </c>
      <c r="T475" s="144">
        <f t="shared" si="94"/>
        <v>40171</v>
      </c>
      <c r="U475" s="154">
        <f>'copy data3'!B529</f>
        <v>1406</v>
      </c>
      <c r="V475" s="38">
        <f t="shared" si="96"/>
        <v>1416.5</v>
      </c>
      <c r="W475" s="71">
        <f t="shared" si="97"/>
        <v>75.425985090521834</v>
      </c>
      <c r="X475" s="154">
        <f>'copy data3'!D529</f>
        <v>502</v>
      </c>
      <c r="Y475" s="38">
        <f t="shared" si="98"/>
        <v>501.25</v>
      </c>
      <c r="Z475" s="71">
        <f t="shared" si="99"/>
        <v>52.432008368200833</v>
      </c>
      <c r="AA475" s="152">
        <f>'copy data3'!F529</f>
        <v>955</v>
      </c>
      <c r="AB475" s="38">
        <f t="shared" si="100"/>
        <v>957.5</v>
      </c>
      <c r="AC475" s="71">
        <f t="shared" si="101"/>
        <v>100.78947368421052</v>
      </c>
      <c r="AD475" s="152">
        <f>'copy data3'!H529</f>
        <v>724</v>
      </c>
      <c r="AE475" s="38">
        <f t="shared" si="102"/>
        <v>706.75</v>
      </c>
      <c r="AF475" s="71">
        <f t="shared" si="103"/>
        <v>107.73628048780488</v>
      </c>
      <c r="AG475" s="152">
        <f>'copy data3'!J529</f>
        <v>241</v>
      </c>
      <c r="AH475" s="38">
        <f t="shared" si="104"/>
        <v>241</v>
      </c>
      <c r="AI475" s="71">
        <f t="shared" si="105"/>
        <v>264.83516483516485</v>
      </c>
      <c r="AJ475" s="152">
        <f>'copy data3'!L529</f>
        <v>3828</v>
      </c>
      <c r="AK475" s="38">
        <f t="shared" si="106"/>
        <v>3822.25</v>
      </c>
      <c r="AL475" s="71">
        <f t="shared" si="107"/>
        <v>84.357757669388661</v>
      </c>
      <c r="AM475" s="152">
        <f>'copy data3'!N529</f>
        <v>11593</v>
      </c>
      <c r="AN475" s="38">
        <f t="shared" si="108"/>
        <v>10960.25</v>
      </c>
      <c r="AO475" s="71">
        <f t="shared" si="109"/>
        <v>136.0845542587534</v>
      </c>
      <c r="AP475" s="152">
        <f>'copy data3'!P529</f>
        <v>12970</v>
      </c>
      <c r="AQ475" s="38">
        <f t="shared" si="110"/>
        <v>13436.5</v>
      </c>
      <c r="AR475" s="71">
        <f t="shared" si="111"/>
        <v>196.12465333527953</v>
      </c>
      <c r="AS475" s="153">
        <f>'copy data3'!R529</f>
        <v>28391</v>
      </c>
      <c r="AT475" s="38">
        <f t="shared" si="93"/>
        <v>28219</v>
      </c>
      <c r="AU475" s="71">
        <f t="shared" si="92"/>
        <v>145.18933937024079</v>
      </c>
    </row>
    <row r="476" spans="1:47" ht="15.6" x14ac:dyDescent="0.3">
      <c r="A476" s="55">
        <v>38169</v>
      </c>
      <c r="B476" s="56">
        <v>1691</v>
      </c>
      <c r="C476" s="56">
        <v>995</v>
      </c>
      <c r="D476" s="56">
        <v>1573</v>
      </c>
      <c r="E476" s="56">
        <v>189</v>
      </c>
      <c r="F476" s="56">
        <v>1572</v>
      </c>
      <c r="G476" s="56">
        <v>603</v>
      </c>
      <c r="H476" s="56">
        <v>894</v>
      </c>
      <c r="I476" s="56">
        <v>284</v>
      </c>
      <c r="J476" s="56">
        <v>136</v>
      </c>
      <c r="K476" s="56">
        <v>70</v>
      </c>
      <c r="L476" s="56">
        <v>5866</v>
      </c>
      <c r="M476" s="56">
        <v>2141</v>
      </c>
      <c r="N476" s="56">
        <v>7158</v>
      </c>
      <c r="O476" s="56">
        <v>40188</v>
      </c>
      <c r="P476" s="56">
        <v>729</v>
      </c>
      <c r="Q476" s="56">
        <v>23513</v>
      </c>
      <c r="R476" s="16">
        <f t="shared" si="95"/>
        <v>13753</v>
      </c>
      <c r="T476" s="144">
        <f t="shared" si="94"/>
        <v>40178</v>
      </c>
      <c r="U476" s="154">
        <f>'copy data3'!B530</f>
        <v>1368</v>
      </c>
      <c r="V476" s="38">
        <f t="shared" si="96"/>
        <v>1391.75</v>
      </c>
      <c r="W476" s="71">
        <f t="shared" si="97"/>
        <v>77.448525319977747</v>
      </c>
      <c r="X476" s="154">
        <f>'copy data3'!D530</f>
        <v>482</v>
      </c>
      <c r="Y476" s="38">
        <f t="shared" si="98"/>
        <v>499.5</v>
      </c>
      <c r="Z476" s="71">
        <f t="shared" si="99"/>
        <v>57.479861910241659</v>
      </c>
      <c r="AA476" s="152">
        <f>'copy data3'!F530</f>
        <v>914</v>
      </c>
      <c r="AB476" s="38">
        <f t="shared" si="100"/>
        <v>953.5</v>
      </c>
      <c r="AC476" s="71">
        <f t="shared" si="101"/>
        <v>107.74011299435028</v>
      </c>
      <c r="AD476" s="152">
        <f>'copy data3'!H530</f>
        <v>695</v>
      </c>
      <c r="AE476" s="38">
        <f t="shared" si="102"/>
        <v>699.25</v>
      </c>
      <c r="AF476" s="71">
        <f t="shared" si="103"/>
        <v>120.76856649395509</v>
      </c>
      <c r="AG476" s="152">
        <f>'copy data3'!J530</f>
        <v>218</v>
      </c>
      <c r="AH476" s="38">
        <f t="shared" si="104"/>
        <v>235.25</v>
      </c>
      <c r="AI476" s="71">
        <f t="shared" si="105"/>
        <v>258.5164835164835</v>
      </c>
      <c r="AJ476" s="152">
        <f>'copy data3'!L530</f>
        <v>3677</v>
      </c>
      <c r="AK476" s="38">
        <f t="shared" si="106"/>
        <v>3778.75</v>
      </c>
      <c r="AL476" s="71">
        <f t="shared" si="107"/>
        <v>89.522624970386161</v>
      </c>
      <c r="AM476" s="152">
        <f>'copy data3'!N530</f>
        <v>11160</v>
      </c>
      <c r="AN476" s="38">
        <f t="shared" si="108"/>
        <v>11236</v>
      </c>
      <c r="AO476" s="71">
        <f t="shared" si="109"/>
        <v>145.86524730624433</v>
      </c>
      <c r="AP476" s="152">
        <f>'copy data3'!P530</f>
        <v>12517</v>
      </c>
      <c r="AQ476" s="38">
        <f t="shared" si="110"/>
        <v>13071.5</v>
      </c>
      <c r="AR476" s="71">
        <f t="shared" si="111"/>
        <v>198.77585158150853</v>
      </c>
      <c r="AS476" s="153">
        <f>'copy data3'!R530</f>
        <v>27354</v>
      </c>
      <c r="AT476" s="38">
        <f t="shared" si="93"/>
        <v>28086.25</v>
      </c>
      <c r="AU476" s="71">
        <f t="shared" si="92"/>
        <v>151.81756756756758</v>
      </c>
    </row>
    <row r="477" spans="1:47" ht="15.6" x14ac:dyDescent="0.3">
      <c r="A477" s="55">
        <v>38533</v>
      </c>
      <c r="B477" s="56">
        <v>1963</v>
      </c>
      <c r="C477" s="56">
        <v>641</v>
      </c>
      <c r="D477" s="56">
        <v>335</v>
      </c>
      <c r="E477" s="56">
        <v>164</v>
      </c>
      <c r="F477" s="56">
        <v>1249</v>
      </c>
      <c r="G477" s="56">
        <v>660</v>
      </c>
      <c r="H477" s="56">
        <v>443</v>
      </c>
      <c r="I477" s="56">
        <v>175</v>
      </c>
      <c r="J477" s="56">
        <v>129</v>
      </c>
      <c r="K477" s="56">
        <v>55</v>
      </c>
      <c r="L477" s="56">
        <v>4119</v>
      </c>
      <c r="M477" s="56">
        <v>1694</v>
      </c>
      <c r="N477" s="56">
        <v>5977</v>
      </c>
      <c r="O477" s="56">
        <v>38129</v>
      </c>
      <c r="P477" s="56">
        <v>1334</v>
      </c>
      <c r="Q477" s="56">
        <v>28652</v>
      </c>
      <c r="R477" s="16">
        <f t="shared" si="95"/>
        <v>11430</v>
      </c>
      <c r="T477" s="144">
        <f t="shared" si="94"/>
        <v>40185</v>
      </c>
      <c r="U477" s="154">
        <f>'copy data3'!B531</f>
        <v>1323</v>
      </c>
      <c r="V477" s="38">
        <f t="shared" si="96"/>
        <v>1366.5</v>
      </c>
      <c r="W477" s="71">
        <f t="shared" si="97"/>
        <v>86.651870640456565</v>
      </c>
      <c r="X477" s="154">
        <f>'copy data3'!D531</f>
        <v>478</v>
      </c>
      <c r="Y477" s="38">
        <f t="shared" si="98"/>
        <v>491</v>
      </c>
      <c r="Z477" s="71">
        <f t="shared" si="99"/>
        <v>69.645390070921991</v>
      </c>
      <c r="AA477" s="152">
        <f>'copy data3'!F531</f>
        <v>882</v>
      </c>
      <c r="AB477" s="38">
        <f t="shared" si="100"/>
        <v>930.75</v>
      </c>
      <c r="AC477" s="71">
        <f t="shared" si="101"/>
        <v>115.76492537313432</v>
      </c>
      <c r="AD477" s="152">
        <f>'copy data3'!H531</f>
        <v>671</v>
      </c>
      <c r="AE477" s="38">
        <f t="shared" si="102"/>
        <v>690</v>
      </c>
      <c r="AF477" s="71">
        <f t="shared" si="103"/>
        <v>122.99465240641712</v>
      </c>
      <c r="AG477" s="152">
        <f>'copy data3'!J531</f>
        <v>214</v>
      </c>
      <c r="AH477" s="38">
        <f t="shared" si="104"/>
        <v>228.5</v>
      </c>
      <c r="AI477" s="71">
        <f t="shared" si="105"/>
        <v>251.09890109890108</v>
      </c>
      <c r="AJ477" s="152">
        <f>'copy data3'!L531</f>
        <v>3568</v>
      </c>
      <c r="AK477" s="38">
        <f t="shared" si="106"/>
        <v>3706.25</v>
      </c>
      <c r="AL477" s="71">
        <f t="shared" si="107"/>
        <v>99.150615302300693</v>
      </c>
      <c r="AM477" s="152">
        <f>'copy data3'!N531</f>
        <v>10829</v>
      </c>
      <c r="AN477" s="38">
        <f t="shared" si="108"/>
        <v>11316.5</v>
      </c>
      <c r="AO477" s="71">
        <f t="shared" si="109"/>
        <v>154.87204050910086</v>
      </c>
      <c r="AP477" s="152">
        <f>'copy data3'!P531</f>
        <v>11648</v>
      </c>
      <c r="AQ477" s="38">
        <f t="shared" si="110"/>
        <v>12671.5</v>
      </c>
      <c r="AR477" s="71">
        <f t="shared" si="111"/>
        <v>175.72458743586188</v>
      </c>
      <c r="AS477" s="153">
        <f>'copy data3'!R531</f>
        <v>26045</v>
      </c>
      <c r="AT477" s="38">
        <f t="shared" si="93"/>
        <v>27694.25</v>
      </c>
      <c r="AU477" s="71">
        <f t="shared" si="92"/>
        <v>151.6994412795793</v>
      </c>
    </row>
    <row r="478" spans="1:47" ht="15.6" x14ac:dyDescent="0.3">
      <c r="A478" s="55">
        <v>38176</v>
      </c>
      <c r="B478" s="56">
        <v>1654</v>
      </c>
      <c r="C478" s="56">
        <v>1162</v>
      </c>
      <c r="D478" s="56">
        <v>1497</v>
      </c>
      <c r="E478" s="56">
        <v>275</v>
      </c>
      <c r="F478" s="56">
        <v>1557</v>
      </c>
      <c r="G478" s="56">
        <v>701</v>
      </c>
      <c r="H478" s="56">
        <v>953</v>
      </c>
      <c r="I478" s="56">
        <v>317</v>
      </c>
      <c r="J478" s="56">
        <v>134</v>
      </c>
      <c r="K478" s="56">
        <v>70</v>
      </c>
      <c r="L478" s="56">
        <v>5795</v>
      </c>
      <c r="M478" s="56">
        <v>2524</v>
      </c>
      <c r="N478" s="56">
        <v>6791</v>
      </c>
      <c r="O478" s="56">
        <v>41212</v>
      </c>
      <c r="P478" s="56">
        <v>670</v>
      </c>
      <c r="Q478" s="56">
        <v>23566</v>
      </c>
      <c r="R478" s="16">
        <f t="shared" si="95"/>
        <v>13256</v>
      </c>
      <c r="T478" s="144">
        <f t="shared" si="94"/>
        <v>40192</v>
      </c>
      <c r="U478" s="154">
        <f>'copy data3'!B532</f>
        <v>1552</v>
      </c>
      <c r="V478" s="38">
        <f t="shared" si="96"/>
        <v>1412.25</v>
      </c>
      <c r="W478" s="71">
        <f t="shared" si="97"/>
        <v>83.417011222681623</v>
      </c>
      <c r="X478" s="154">
        <f>'copy data3'!D532</f>
        <v>465</v>
      </c>
      <c r="Y478" s="38">
        <f t="shared" si="98"/>
        <v>481.75</v>
      </c>
      <c r="Z478" s="71">
        <f t="shared" si="99"/>
        <v>72.334834834834837</v>
      </c>
      <c r="AA478" s="152">
        <f>'copy data3'!F532</f>
        <v>1052</v>
      </c>
      <c r="AB478" s="38">
        <f t="shared" si="100"/>
        <v>950.75</v>
      </c>
      <c r="AC478" s="71">
        <f t="shared" si="101"/>
        <v>102.0118025751073</v>
      </c>
      <c r="AD478" s="152">
        <f>'copy data3'!H532</f>
        <v>798</v>
      </c>
      <c r="AE478" s="38">
        <f t="shared" si="102"/>
        <v>722</v>
      </c>
      <c r="AF478" s="71">
        <f t="shared" si="103"/>
        <v>123.84219554030875</v>
      </c>
      <c r="AG478" s="152">
        <f>'copy data3'!J532</f>
        <v>210</v>
      </c>
      <c r="AH478" s="38">
        <f t="shared" si="104"/>
        <v>220.75</v>
      </c>
      <c r="AI478" s="71">
        <f t="shared" si="105"/>
        <v>242.58241758241758</v>
      </c>
      <c r="AJ478" s="152">
        <f>'copy data3'!L532</f>
        <v>4077</v>
      </c>
      <c r="AK478" s="38">
        <f t="shared" si="106"/>
        <v>3787.5</v>
      </c>
      <c r="AL478" s="71">
        <f t="shared" si="107"/>
        <v>95.499243570347957</v>
      </c>
      <c r="AM478" s="152">
        <f>'copy data3'!N532</f>
        <v>11604</v>
      </c>
      <c r="AN478" s="38">
        <f t="shared" si="108"/>
        <v>11296.5</v>
      </c>
      <c r="AO478" s="71">
        <f t="shared" si="109"/>
        <v>146.53651576079906</v>
      </c>
      <c r="AP478" s="152">
        <f>'copy data3'!P532</f>
        <v>11031</v>
      </c>
      <c r="AQ478" s="38">
        <f t="shared" si="110"/>
        <v>12041.5</v>
      </c>
      <c r="AR478" s="71">
        <f t="shared" si="111"/>
        <v>160.16892790635808</v>
      </c>
      <c r="AS478" s="153">
        <f>'copy data3'!R532</f>
        <v>26712</v>
      </c>
      <c r="AT478" s="38">
        <f t="shared" si="93"/>
        <v>27125.5</v>
      </c>
      <c r="AU478" s="71">
        <f t="shared" si="92"/>
        <v>141.33017245870892</v>
      </c>
    </row>
    <row r="479" spans="1:47" ht="15.6" x14ac:dyDescent="0.3">
      <c r="A479" s="55">
        <v>38540</v>
      </c>
      <c r="B479" s="56">
        <v>1994</v>
      </c>
      <c r="C479" s="56">
        <v>782</v>
      </c>
      <c r="D479" s="56">
        <v>326</v>
      </c>
      <c r="E479" s="56">
        <v>185</v>
      </c>
      <c r="F479" s="56">
        <v>1225</v>
      </c>
      <c r="G479" s="56">
        <v>776</v>
      </c>
      <c r="H479" s="56">
        <v>469</v>
      </c>
      <c r="I479" s="56">
        <v>183</v>
      </c>
      <c r="J479" s="56">
        <v>113</v>
      </c>
      <c r="K479" s="56">
        <v>71</v>
      </c>
      <c r="L479" s="56">
        <v>4126</v>
      </c>
      <c r="M479" s="56">
        <v>1996</v>
      </c>
      <c r="N479" s="56">
        <v>5725</v>
      </c>
      <c r="O479" s="56">
        <v>38705</v>
      </c>
      <c r="P479" s="56">
        <v>1297</v>
      </c>
      <c r="Q479" s="56">
        <v>28808</v>
      </c>
      <c r="R479" s="16">
        <f t="shared" si="95"/>
        <v>11148</v>
      </c>
      <c r="T479" s="144">
        <f t="shared" si="94"/>
        <v>40199</v>
      </c>
      <c r="U479" s="154">
        <f>'copy data3'!B533</f>
        <v>1677</v>
      </c>
      <c r="V479" s="38">
        <f t="shared" si="96"/>
        <v>1480</v>
      </c>
      <c r="W479" s="71">
        <f t="shared" si="97"/>
        <v>114.37403400309118</v>
      </c>
      <c r="X479" s="154">
        <f>'copy data3'!D533</f>
        <v>470</v>
      </c>
      <c r="Y479" s="38">
        <f t="shared" si="98"/>
        <v>473.75</v>
      </c>
      <c r="Z479" s="71">
        <f t="shared" si="99"/>
        <v>67.775393419170243</v>
      </c>
      <c r="AA479" s="152">
        <f>'copy data3'!F533</f>
        <v>1078</v>
      </c>
      <c r="AB479" s="38">
        <f t="shared" si="100"/>
        <v>981.5</v>
      </c>
      <c r="AC479" s="71">
        <f t="shared" si="101"/>
        <v>115.47058823529413</v>
      </c>
      <c r="AD479" s="152">
        <f>'copy data3'!H533</f>
        <v>900</v>
      </c>
      <c r="AE479" s="38">
        <f t="shared" si="102"/>
        <v>766</v>
      </c>
      <c r="AF479" s="71">
        <f t="shared" si="103"/>
        <v>105.6551724137931</v>
      </c>
      <c r="AG479" s="152">
        <f>'copy data3'!J533</f>
        <v>189</v>
      </c>
      <c r="AH479" s="38">
        <f t="shared" si="104"/>
        <v>207.75</v>
      </c>
      <c r="AI479" s="71">
        <f t="shared" si="105"/>
        <v>277</v>
      </c>
      <c r="AJ479" s="152">
        <f>'copy data3'!L533</f>
        <v>4313</v>
      </c>
      <c r="AK479" s="38">
        <f t="shared" si="106"/>
        <v>3908.75</v>
      </c>
      <c r="AL479" s="71">
        <f t="shared" si="107"/>
        <v>107.26536772777169</v>
      </c>
      <c r="AM479" s="152">
        <f>'copy data3'!N533</f>
        <v>11974</v>
      </c>
      <c r="AN479" s="38">
        <f t="shared" si="108"/>
        <v>11391.75</v>
      </c>
      <c r="AO479" s="71">
        <f t="shared" si="109"/>
        <v>141.02191136419907</v>
      </c>
      <c r="AP479" s="152">
        <f>'copy data3'!P533</f>
        <v>10310</v>
      </c>
      <c r="AQ479" s="38">
        <f t="shared" si="110"/>
        <v>11376.5</v>
      </c>
      <c r="AR479" s="71">
        <f t="shared" si="111"/>
        <v>160.54896979960483</v>
      </c>
      <c r="AS479" s="153">
        <f>'copy data3'!R533</f>
        <v>26597</v>
      </c>
      <c r="AT479" s="38">
        <f t="shared" si="93"/>
        <v>26677</v>
      </c>
      <c r="AU479" s="71">
        <f t="shared" si="92"/>
        <v>141.83857932794555</v>
      </c>
    </row>
    <row r="480" spans="1:47" ht="15.6" x14ac:dyDescent="0.3">
      <c r="A480" s="55">
        <v>38183</v>
      </c>
      <c r="B480" s="56">
        <v>1487</v>
      </c>
      <c r="C480" s="56">
        <v>1492</v>
      </c>
      <c r="D480" s="56">
        <v>1375</v>
      </c>
      <c r="E480" s="56">
        <v>406</v>
      </c>
      <c r="F480" s="56">
        <v>1596</v>
      </c>
      <c r="G480" s="56">
        <v>829</v>
      </c>
      <c r="H480" s="56">
        <v>912</v>
      </c>
      <c r="I480" s="56">
        <v>425</v>
      </c>
      <c r="J480" s="56">
        <v>128</v>
      </c>
      <c r="K480" s="56">
        <v>99</v>
      </c>
      <c r="L480" s="56">
        <v>5497</v>
      </c>
      <c r="M480" s="56">
        <v>3250</v>
      </c>
      <c r="N480" s="56">
        <v>6203</v>
      </c>
      <c r="O480" s="56">
        <v>42158</v>
      </c>
      <c r="P480" s="56">
        <v>713</v>
      </c>
      <c r="Q480" s="56">
        <v>23635</v>
      </c>
      <c r="R480" s="16">
        <f t="shared" si="95"/>
        <v>12413</v>
      </c>
      <c r="T480" s="144">
        <f t="shared" si="94"/>
        <v>40206</v>
      </c>
      <c r="U480" s="154">
        <f>'copy data3'!B534</f>
        <v>1644</v>
      </c>
      <c r="V480" s="38">
        <f t="shared" si="96"/>
        <v>1549</v>
      </c>
      <c r="W480" s="71">
        <f t="shared" si="97"/>
        <v>118.51568477429227</v>
      </c>
      <c r="X480" s="154">
        <f>'copy data3'!D534</f>
        <v>484</v>
      </c>
      <c r="Y480" s="38">
        <f t="shared" si="98"/>
        <v>474.25</v>
      </c>
      <c r="Z480" s="71">
        <f t="shared" si="99"/>
        <v>69.948377581120951</v>
      </c>
      <c r="AA480" s="152">
        <f>'copy data3'!F534</f>
        <v>1073</v>
      </c>
      <c r="AB480" s="38">
        <f t="shared" si="100"/>
        <v>1021.25</v>
      </c>
      <c r="AC480" s="71">
        <f t="shared" si="101"/>
        <v>122.01314217443249</v>
      </c>
      <c r="AD480" s="152">
        <f>'copy data3'!H534</f>
        <v>886</v>
      </c>
      <c r="AE480" s="38">
        <f t="shared" si="102"/>
        <v>813.75</v>
      </c>
      <c r="AF480" s="71">
        <f t="shared" si="103"/>
        <v>117.59393063583813</v>
      </c>
      <c r="AG480" s="152">
        <f>'copy data3'!J534</f>
        <v>194</v>
      </c>
      <c r="AH480" s="38">
        <f t="shared" si="104"/>
        <v>201.75</v>
      </c>
      <c r="AI480" s="71">
        <f t="shared" si="105"/>
        <v>380.66037735849056</v>
      </c>
      <c r="AJ480" s="152">
        <f>'copy data3'!L534</f>
        <v>4282</v>
      </c>
      <c r="AK480" s="38">
        <f t="shared" si="106"/>
        <v>4060</v>
      </c>
      <c r="AL480" s="71">
        <f t="shared" si="107"/>
        <v>113.78923766816142</v>
      </c>
      <c r="AM480" s="152">
        <f>'copy data3'!N534</f>
        <v>11775</v>
      </c>
      <c r="AN480" s="38">
        <f t="shared" si="108"/>
        <v>11545.5</v>
      </c>
      <c r="AO480" s="71">
        <f t="shared" si="109"/>
        <v>135.877368482994</v>
      </c>
      <c r="AP480" s="152">
        <f>'copy data3'!P534</f>
        <v>9417</v>
      </c>
      <c r="AQ480" s="38">
        <f t="shared" si="110"/>
        <v>10601.5</v>
      </c>
      <c r="AR480" s="71">
        <f t="shared" si="111"/>
        <v>166.71646485296429</v>
      </c>
      <c r="AS480" s="153">
        <f>'copy data3'!R534</f>
        <v>25474</v>
      </c>
      <c r="AT480" s="38">
        <f t="shared" si="93"/>
        <v>26207</v>
      </c>
      <c r="AU480" s="71">
        <f t="shared" si="92"/>
        <v>142.24381241858447</v>
      </c>
    </row>
    <row r="481" spans="1:47" ht="15.6" x14ac:dyDescent="0.3">
      <c r="A481" s="55">
        <v>38547</v>
      </c>
      <c r="B481" s="56">
        <v>2077</v>
      </c>
      <c r="C481" s="56">
        <v>992</v>
      </c>
      <c r="D481" s="56">
        <v>348</v>
      </c>
      <c r="E481" s="56">
        <v>199</v>
      </c>
      <c r="F481" s="56">
        <v>1270</v>
      </c>
      <c r="G481" s="56">
        <v>902</v>
      </c>
      <c r="H481" s="56">
        <v>496</v>
      </c>
      <c r="I481" s="56">
        <v>229</v>
      </c>
      <c r="J481" s="56">
        <v>95</v>
      </c>
      <c r="K481" s="56">
        <v>103</v>
      </c>
      <c r="L481" s="56">
        <v>4286</v>
      </c>
      <c r="M481" s="56">
        <v>2425</v>
      </c>
      <c r="N481" s="56">
        <v>5508</v>
      </c>
      <c r="O481" s="56">
        <v>39516</v>
      </c>
      <c r="P481" s="56">
        <v>1267</v>
      </c>
      <c r="Q481" s="56">
        <v>28903</v>
      </c>
      <c r="R481" s="16">
        <f t="shared" si="95"/>
        <v>11061</v>
      </c>
      <c r="T481" s="144">
        <f t="shared" si="94"/>
        <v>40213</v>
      </c>
      <c r="U481" s="154">
        <f>'copy data3'!B535</f>
        <v>1653</v>
      </c>
      <c r="V481" s="38">
        <f t="shared" si="96"/>
        <v>1631.5</v>
      </c>
      <c r="W481" s="71">
        <f t="shared" si="97"/>
        <v>136.98572628043661</v>
      </c>
      <c r="X481" s="154">
        <f>'copy data3'!D535</f>
        <v>506</v>
      </c>
      <c r="Y481" s="38">
        <f t="shared" si="98"/>
        <v>481.25</v>
      </c>
      <c r="Z481" s="71">
        <f t="shared" si="99"/>
        <v>64.338235294117652</v>
      </c>
      <c r="AA481" s="152">
        <f>'copy data3'!F535</f>
        <v>1061</v>
      </c>
      <c r="AB481" s="38">
        <f t="shared" si="100"/>
        <v>1066</v>
      </c>
      <c r="AC481" s="71">
        <f t="shared" si="101"/>
        <v>134.59595959595961</v>
      </c>
      <c r="AD481" s="152">
        <f>'copy data3'!H535</f>
        <v>952</v>
      </c>
      <c r="AE481" s="38">
        <f t="shared" si="102"/>
        <v>884</v>
      </c>
      <c r="AF481" s="71">
        <f t="shared" si="103"/>
        <v>130.19145802650957</v>
      </c>
      <c r="AG481" s="152">
        <f>'copy data3'!J535</f>
        <v>210</v>
      </c>
      <c r="AH481" s="38">
        <f t="shared" si="104"/>
        <v>200.75</v>
      </c>
      <c r="AI481" s="71">
        <f t="shared" si="105"/>
        <v>378.77358490566036</v>
      </c>
      <c r="AJ481" s="152">
        <f>'copy data3'!L535</f>
        <v>4382</v>
      </c>
      <c r="AK481" s="38">
        <f t="shared" si="106"/>
        <v>4263.5</v>
      </c>
      <c r="AL481" s="71">
        <f t="shared" si="107"/>
        <v>123.15135759676488</v>
      </c>
      <c r="AM481" s="152">
        <f>'copy data3'!N535</f>
        <v>11914</v>
      </c>
      <c r="AN481" s="38">
        <f t="shared" si="108"/>
        <v>11816.75</v>
      </c>
      <c r="AO481" s="71">
        <f t="shared" si="109"/>
        <v>124.74137021007073</v>
      </c>
      <c r="AP481" s="152">
        <f>'copy data3'!P535</f>
        <v>8531</v>
      </c>
      <c r="AQ481" s="38">
        <f t="shared" si="110"/>
        <v>9822.25</v>
      </c>
      <c r="AR481" s="71">
        <f t="shared" si="111"/>
        <v>162.75476387738195</v>
      </c>
      <c r="AS481" s="153">
        <f>'copy data3'!R535</f>
        <v>24827</v>
      </c>
      <c r="AT481" s="38">
        <f t="shared" si="93"/>
        <v>25902.5</v>
      </c>
      <c r="AU481" s="71">
        <f t="shared" si="92"/>
        <v>136.54454401686874</v>
      </c>
    </row>
    <row r="482" spans="1:47" ht="15.6" x14ac:dyDescent="0.3">
      <c r="A482" s="55">
        <v>38190</v>
      </c>
      <c r="B482" s="56">
        <v>1659</v>
      </c>
      <c r="C482" s="56">
        <v>1599</v>
      </c>
      <c r="D482" s="56">
        <v>1371</v>
      </c>
      <c r="E482" s="56">
        <v>434</v>
      </c>
      <c r="F482" s="56">
        <v>1587</v>
      </c>
      <c r="G482" s="56">
        <v>1009</v>
      </c>
      <c r="H482" s="56">
        <v>1001</v>
      </c>
      <c r="I482" s="56">
        <v>446</v>
      </c>
      <c r="J482" s="56">
        <v>123</v>
      </c>
      <c r="K482" s="56">
        <v>117</v>
      </c>
      <c r="L482" s="56">
        <v>5742</v>
      </c>
      <c r="M482" s="56">
        <v>3605</v>
      </c>
      <c r="N482" s="56">
        <v>5775</v>
      </c>
      <c r="O482" s="56">
        <v>42964</v>
      </c>
      <c r="P482" s="56">
        <v>520</v>
      </c>
      <c r="Q482" s="56">
        <v>23790</v>
      </c>
      <c r="R482" s="16">
        <f t="shared" si="95"/>
        <v>12037</v>
      </c>
      <c r="T482" s="144">
        <f t="shared" si="94"/>
        <v>40220</v>
      </c>
      <c r="U482" s="154">
        <f>'copy data3'!B536</f>
        <v>1714</v>
      </c>
      <c r="V482" s="38">
        <f t="shared" si="96"/>
        <v>1672</v>
      </c>
      <c r="W482" s="71">
        <f t="shared" si="97"/>
        <v>135.71428571428572</v>
      </c>
      <c r="X482" s="154">
        <f>'copy data3'!D536</f>
        <v>531</v>
      </c>
      <c r="Y482" s="38">
        <f t="shared" si="98"/>
        <v>497.75</v>
      </c>
      <c r="Z482" s="71">
        <f t="shared" si="99"/>
        <v>67.905866302864936</v>
      </c>
      <c r="AA482" s="152">
        <f>'copy data3'!F536</f>
        <v>1115</v>
      </c>
      <c r="AB482" s="38">
        <f t="shared" si="100"/>
        <v>1081.75</v>
      </c>
      <c r="AC482" s="71">
        <f t="shared" si="101"/>
        <v>126.07808857808858</v>
      </c>
      <c r="AD482" s="152">
        <f>'copy data3'!H536</f>
        <v>880</v>
      </c>
      <c r="AE482" s="38">
        <f t="shared" si="102"/>
        <v>904.5</v>
      </c>
      <c r="AF482" s="71">
        <f t="shared" si="103"/>
        <v>117.7734375</v>
      </c>
      <c r="AG482" s="152">
        <f>'copy data3'!J536</f>
        <v>186</v>
      </c>
      <c r="AH482" s="38">
        <f t="shared" si="104"/>
        <v>194.75</v>
      </c>
      <c r="AI482" s="71">
        <f t="shared" si="105"/>
        <v>367.45283018867923</v>
      </c>
      <c r="AJ482" s="152">
        <f>'copy data3'!L536</f>
        <v>4427</v>
      </c>
      <c r="AK482" s="38">
        <f t="shared" si="106"/>
        <v>4351</v>
      </c>
      <c r="AL482" s="71">
        <f t="shared" si="107"/>
        <v>119.43453197913807</v>
      </c>
      <c r="AM482" s="152">
        <f>'copy data3'!N536</f>
        <v>12236</v>
      </c>
      <c r="AN482" s="38">
        <f t="shared" si="108"/>
        <v>11974.75</v>
      </c>
      <c r="AO482" s="71">
        <f t="shared" si="109"/>
        <v>121.03042247826966</v>
      </c>
      <c r="AP482" s="152">
        <f>'copy data3'!P536</f>
        <v>7615</v>
      </c>
      <c r="AQ482" s="38">
        <f t="shared" si="110"/>
        <v>8968.25</v>
      </c>
      <c r="AR482" s="71">
        <f t="shared" si="111"/>
        <v>152.78109028960819</v>
      </c>
      <c r="AS482" s="153">
        <f>'copy data3'!R536</f>
        <v>24278</v>
      </c>
      <c r="AT482" s="38">
        <f t="shared" si="93"/>
        <v>25294</v>
      </c>
      <c r="AU482" s="71">
        <f t="shared" si="92"/>
        <v>130.33441541711755</v>
      </c>
    </row>
    <row r="483" spans="1:47" ht="15.6" x14ac:dyDescent="0.3">
      <c r="A483" s="55">
        <v>38554</v>
      </c>
      <c r="B483" s="56">
        <v>1975</v>
      </c>
      <c r="C483" s="56">
        <v>1227</v>
      </c>
      <c r="D483" s="56">
        <v>340</v>
      </c>
      <c r="E483" s="56">
        <v>258</v>
      </c>
      <c r="F483" s="56">
        <v>1283</v>
      </c>
      <c r="G483" s="56">
        <v>1029</v>
      </c>
      <c r="H483" s="56">
        <v>617</v>
      </c>
      <c r="I483" s="56">
        <v>285</v>
      </c>
      <c r="J483" s="56">
        <v>117</v>
      </c>
      <c r="K483" s="56">
        <v>103</v>
      </c>
      <c r="L483" s="56">
        <v>4331</v>
      </c>
      <c r="M483" s="56">
        <v>2903</v>
      </c>
      <c r="N483" s="56">
        <v>5160</v>
      </c>
      <c r="O483" s="56">
        <v>40503</v>
      </c>
      <c r="P483" s="56">
        <v>1008</v>
      </c>
      <c r="Q483" s="56">
        <v>29092</v>
      </c>
      <c r="R483" s="16">
        <f t="shared" si="95"/>
        <v>10499</v>
      </c>
      <c r="T483" s="144">
        <f t="shared" si="94"/>
        <v>40227</v>
      </c>
      <c r="U483" s="154">
        <f>'copy data3'!B537</f>
        <v>1748</v>
      </c>
      <c r="V483" s="38">
        <f t="shared" si="96"/>
        <v>1689.75</v>
      </c>
      <c r="W483" s="71">
        <f t="shared" si="97"/>
        <v>125.72544642857142</v>
      </c>
      <c r="X483" s="154">
        <f>'copy data3'!D537</f>
        <v>534</v>
      </c>
      <c r="Y483" s="38">
        <f t="shared" si="98"/>
        <v>513.75</v>
      </c>
      <c r="Z483" s="71">
        <f t="shared" si="99"/>
        <v>67.156862745098039</v>
      </c>
      <c r="AA483" s="152">
        <f>'copy data3'!F537</f>
        <v>1052</v>
      </c>
      <c r="AB483" s="38">
        <f t="shared" si="100"/>
        <v>1075.25</v>
      </c>
      <c r="AC483" s="71">
        <f t="shared" si="101"/>
        <v>119.47222222222223</v>
      </c>
      <c r="AD483" s="152">
        <f>'copy data3'!H537</f>
        <v>822</v>
      </c>
      <c r="AE483" s="38">
        <f t="shared" si="102"/>
        <v>885</v>
      </c>
      <c r="AF483" s="71">
        <f t="shared" si="103"/>
        <v>117.84287616511318</v>
      </c>
      <c r="AG483" s="152">
        <f>'copy data3'!J537</f>
        <v>186</v>
      </c>
      <c r="AH483" s="38">
        <f t="shared" si="104"/>
        <v>194</v>
      </c>
      <c r="AI483" s="71">
        <f t="shared" si="105"/>
        <v>380.39215686274508</v>
      </c>
      <c r="AJ483" s="152">
        <f>'copy data3'!L537</f>
        <v>4342</v>
      </c>
      <c r="AK483" s="38">
        <f t="shared" si="106"/>
        <v>4358.25</v>
      </c>
      <c r="AL483" s="71">
        <f t="shared" si="107"/>
        <v>114.35974809761218</v>
      </c>
      <c r="AM483" s="152">
        <f>'copy data3'!N537</f>
        <v>11397</v>
      </c>
      <c r="AN483" s="38">
        <f t="shared" si="108"/>
        <v>11830.5</v>
      </c>
      <c r="AO483" s="71">
        <f t="shared" si="109"/>
        <v>123.59486000835771</v>
      </c>
      <c r="AP483" s="152">
        <f>'copy data3'!P537</f>
        <v>6732</v>
      </c>
      <c r="AQ483" s="38">
        <f t="shared" si="110"/>
        <v>8073.75</v>
      </c>
      <c r="AR483" s="71">
        <f t="shared" si="111"/>
        <v>152.30616864742501</v>
      </c>
      <c r="AS483" s="153">
        <f>'copy data3'!R537</f>
        <v>22471</v>
      </c>
      <c r="AT483" s="38">
        <f t="shared" si="93"/>
        <v>24262.5</v>
      </c>
      <c r="AU483" s="71">
        <f t="shared" si="92"/>
        <v>129.85709698137444</v>
      </c>
    </row>
    <row r="484" spans="1:47" ht="15.6" x14ac:dyDescent="0.3">
      <c r="A484" s="55">
        <v>38197</v>
      </c>
      <c r="B484" s="56">
        <v>1617</v>
      </c>
      <c r="C484" s="56">
        <v>1855</v>
      </c>
      <c r="D484" s="56">
        <v>1329</v>
      </c>
      <c r="E484" s="56">
        <v>616</v>
      </c>
      <c r="F484" s="56">
        <v>1474</v>
      </c>
      <c r="G484" s="56">
        <v>1147</v>
      </c>
      <c r="H484" s="56">
        <v>1054</v>
      </c>
      <c r="I484" s="56">
        <v>539</v>
      </c>
      <c r="J484" s="56">
        <v>93</v>
      </c>
      <c r="K484" s="56">
        <v>127</v>
      </c>
      <c r="L484" s="56">
        <v>5567</v>
      </c>
      <c r="M484" s="56">
        <v>4283</v>
      </c>
      <c r="N484" s="56">
        <v>5170</v>
      </c>
      <c r="O484" s="56">
        <v>43937</v>
      </c>
      <c r="P484" s="56">
        <v>536</v>
      </c>
      <c r="Q484" s="56">
        <v>23839</v>
      </c>
      <c r="R484" s="16">
        <f t="shared" si="95"/>
        <v>11273</v>
      </c>
      <c r="T484" s="144">
        <f t="shared" si="94"/>
        <v>40234</v>
      </c>
      <c r="U484" s="154">
        <f>'copy data3'!B538</f>
        <v>1563</v>
      </c>
      <c r="V484" s="38">
        <f t="shared" si="96"/>
        <v>1669.5</v>
      </c>
      <c r="W484" s="71">
        <f t="shared" si="97"/>
        <v>129.5190069821567</v>
      </c>
      <c r="X484" s="154">
        <f>'copy data3'!D538</f>
        <v>526</v>
      </c>
      <c r="Y484" s="38">
        <f t="shared" si="98"/>
        <v>524.25</v>
      </c>
      <c r="Z484" s="71">
        <f t="shared" si="99"/>
        <v>71.913580246913583</v>
      </c>
      <c r="AA484" s="152">
        <f>'copy data3'!F538</f>
        <v>962</v>
      </c>
      <c r="AB484" s="38">
        <f t="shared" si="100"/>
        <v>1047.5</v>
      </c>
      <c r="AC484" s="71">
        <f t="shared" si="101"/>
        <v>109.80083857442349</v>
      </c>
      <c r="AD484" s="152">
        <f>'copy data3'!H538</f>
        <v>736</v>
      </c>
      <c r="AE484" s="38">
        <f t="shared" si="102"/>
        <v>847.5</v>
      </c>
      <c r="AF484" s="71">
        <f t="shared" si="103"/>
        <v>103.10218978102191</v>
      </c>
      <c r="AG484" s="152">
        <f>'copy data3'!J538</f>
        <v>186</v>
      </c>
      <c r="AH484" s="38">
        <f t="shared" si="104"/>
        <v>192</v>
      </c>
      <c r="AI484" s="71">
        <f t="shared" si="105"/>
        <v>376.47058823529409</v>
      </c>
      <c r="AJ484" s="152">
        <f>'copy data3'!L538</f>
        <v>3971</v>
      </c>
      <c r="AK484" s="38">
        <f t="shared" si="106"/>
        <v>4280.5</v>
      </c>
      <c r="AL484" s="71">
        <f t="shared" si="107"/>
        <v>111.35535900104058</v>
      </c>
      <c r="AM484" s="152">
        <f>'copy data3'!N538</f>
        <v>11103</v>
      </c>
      <c r="AN484" s="38">
        <f t="shared" si="108"/>
        <v>11662.5</v>
      </c>
      <c r="AO484" s="71">
        <f t="shared" si="109"/>
        <v>123.34743521946061</v>
      </c>
      <c r="AP484" s="152">
        <f>'copy data3'!P538</f>
        <v>5817</v>
      </c>
      <c r="AQ484" s="38">
        <f t="shared" si="110"/>
        <v>7173.75</v>
      </c>
      <c r="AR484" s="71">
        <f t="shared" si="111"/>
        <v>152.47077577045695</v>
      </c>
      <c r="AS484" s="153">
        <f>'copy data3'!R538</f>
        <v>20891</v>
      </c>
      <c r="AT484" s="38">
        <f t="shared" si="93"/>
        <v>23116.75</v>
      </c>
      <c r="AU484" s="71">
        <f t="shared" si="92"/>
        <v>128.39785603199289</v>
      </c>
    </row>
    <row r="485" spans="1:47" ht="15.6" x14ac:dyDescent="0.3">
      <c r="A485" s="55">
        <v>38561</v>
      </c>
      <c r="B485" s="56">
        <v>2181</v>
      </c>
      <c r="C485" s="56">
        <v>1476</v>
      </c>
      <c r="D485" s="56">
        <v>308</v>
      </c>
      <c r="E485" s="56">
        <v>372</v>
      </c>
      <c r="F485" s="56">
        <v>1266</v>
      </c>
      <c r="G485" s="56">
        <v>1202</v>
      </c>
      <c r="H485" s="56">
        <v>674</v>
      </c>
      <c r="I485" s="56">
        <v>347</v>
      </c>
      <c r="J485" s="56">
        <v>142</v>
      </c>
      <c r="K485" s="56">
        <v>130</v>
      </c>
      <c r="L485" s="56">
        <v>4569</v>
      </c>
      <c r="M485" s="56">
        <v>3527</v>
      </c>
      <c r="N485" s="56">
        <v>4498</v>
      </c>
      <c r="O485" s="56">
        <v>41410</v>
      </c>
      <c r="P485" s="56">
        <v>999</v>
      </c>
      <c r="Q485" s="56">
        <v>29217</v>
      </c>
      <c r="R485" s="16">
        <f t="shared" si="95"/>
        <v>10066</v>
      </c>
      <c r="T485" s="144">
        <f t="shared" si="94"/>
        <v>40241</v>
      </c>
      <c r="U485" s="154">
        <f>'copy data3'!B539</f>
        <v>1524</v>
      </c>
      <c r="V485" s="38">
        <f t="shared" si="96"/>
        <v>1637.25</v>
      </c>
      <c r="W485" s="71">
        <f t="shared" si="97"/>
        <v>132.03629032258064</v>
      </c>
      <c r="X485" s="154">
        <f>'copy data3'!D539</f>
        <v>531</v>
      </c>
      <c r="Y485" s="38">
        <f t="shared" si="98"/>
        <v>530.5</v>
      </c>
      <c r="Z485" s="71">
        <f t="shared" si="99"/>
        <v>69.986807387862797</v>
      </c>
      <c r="AA485" s="152">
        <f>'copy data3'!F539</f>
        <v>940</v>
      </c>
      <c r="AB485" s="38">
        <f t="shared" si="100"/>
        <v>1017.25</v>
      </c>
      <c r="AC485" s="71">
        <f t="shared" si="101"/>
        <v>111.17486338797815</v>
      </c>
      <c r="AD485" s="152">
        <f>'copy data3'!H539</f>
        <v>638</v>
      </c>
      <c r="AE485" s="38">
        <f t="shared" si="102"/>
        <v>769</v>
      </c>
      <c r="AF485" s="71">
        <f t="shared" si="103"/>
        <v>100.6544502617801</v>
      </c>
      <c r="AG485" s="152">
        <f>'copy data3'!J539</f>
        <v>207</v>
      </c>
      <c r="AH485" s="38">
        <f t="shared" si="104"/>
        <v>191.25</v>
      </c>
      <c r="AI485" s="71">
        <f t="shared" si="105"/>
        <v>242.08860759493672</v>
      </c>
      <c r="AJ485" s="152">
        <f>'copy data3'!L539</f>
        <v>3838</v>
      </c>
      <c r="AK485" s="38">
        <f t="shared" si="106"/>
        <v>4144.5</v>
      </c>
      <c r="AL485" s="71">
        <f t="shared" si="107"/>
        <v>110.3728362183755</v>
      </c>
      <c r="AM485" s="152">
        <f>'copy data3'!N539</f>
        <v>10477</v>
      </c>
      <c r="AN485" s="38">
        <f t="shared" si="108"/>
        <v>11303.25</v>
      </c>
      <c r="AO485" s="71">
        <f t="shared" si="109"/>
        <v>119.25775480059085</v>
      </c>
      <c r="AP485" s="152">
        <f>'copy data3'!P539</f>
        <v>4768</v>
      </c>
      <c r="AQ485" s="38">
        <f t="shared" si="110"/>
        <v>6233</v>
      </c>
      <c r="AR485" s="71">
        <f t="shared" si="111"/>
        <v>133.87027491408935</v>
      </c>
      <c r="AS485" s="153">
        <f>'copy data3'!R539</f>
        <v>19083</v>
      </c>
      <c r="AT485" s="38">
        <f t="shared" si="93"/>
        <v>21680.75</v>
      </c>
      <c r="AU485" s="71">
        <f t="shared" si="92"/>
        <v>121.19598636033318</v>
      </c>
    </row>
    <row r="486" spans="1:47" ht="15.6" x14ac:dyDescent="0.3">
      <c r="A486" s="55">
        <v>38204</v>
      </c>
      <c r="B486" s="56">
        <v>1638</v>
      </c>
      <c r="C486" s="56">
        <v>2011</v>
      </c>
      <c r="D486" s="56">
        <v>1305</v>
      </c>
      <c r="E486" s="56">
        <v>769</v>
      </c>
      <c r="F486" s="56">
        <v>1408</v>
      </c>
      <c r="G486" s="56">
        <v>1365</v>
      </c>
      <c r="H486" s="56">
        <v>1040</v>
      </c>
      <c r="I486" s="56">
        <v>637</v>
      </c>
      <c r="J486" s="56">
        <v>112</v>
      </c>
      <c r="K486" s="56">
        <v>127</v>
      </c>
      <c r="L486" s="56">
        <v>5502</v>
      </c>
      <c r="M486" s="56">
        <v>4909</v>
      </c>
      <c r="N486" s="56">
        <v>4678</v>
      </c>
      <c r="O486" s="56">
        <v>44747</v>
      </c>
      <c r="P486" s="56">
        <v>464</v>
      </c>
      <c r="Q486" s="56">
        <v>23912</v>
      </c>
      <c r="R486" s="16">
        <f t="shared" si="95"/>
        <v>10644</v>
      </c>
      <c r="T486" s="144">
        <f t="shared" si="94"/>
        <v>40248</v>
      </c>
      <c r="U486" s="154">
        <f>'copy data3'!B540</f>
        <v>1476</v>
      </c>
      <c r="V486" s="38">
        <f t="shared" si="96"/>
        <v>1577.75</v>
      </c>
      <c r="W486" s="71">
        <f t="shared" si="97"/>
        <v>135.31303602058321</v>
      </c>
      <c r="X486" s="154">
        <f>'copy data3'!D540</f>
        <v>518</v>
      </c>
      <c r="Y486" s="38">
        <f t="shared" si="98"/>
        <v>527.25</v>
      </c>
      <c r="Z486" s="71">
        <f t="shared" si="99"/>
        <v>73.535564853556494</v>
      </c>
      <c r="AA486" s="152">
        <f>'copy data3'!F540</f>
        <v>1070</v>
      </c>
      <c r="AB486" s="38">
        <f t="shared" si="100"/>
        <v>1006</v>
      </c>
      <c r="AC486" s="71">
        <f t="shared" si="101"/>
        <v>107.70877944325481</v>
      </c>
      <c r="AD486" s="152">
        <f>'copy data3'!H540</f>
        <v>677</v>
      </c>
      <c r="AE486" s="38">
        <f t="shared" si="102"/>
        <v>718.25</v>
      </c>
      <c r="AF486" s="71">
        <f t="shared" si="103"/>
        <v>94.258530183727032</v>
      </c>
      <c r="AG486" s="152">
        <f>'copy data3'!J540</f>
        <v>165</v>
      </c>
      <c r="AH486" s="38">
        <f t="shared" si="104"/>
        <v>186</v>
      </c>
      <c r="AI486" s="71">
        <f t="shared" si="105"/>
        <v>235.44303797468356</v>
      </c>
      <c r="AJ486" s="152">
        <f>'copy data3'!L540</f>
        <v>3906</v>
      </c>
      <c r="AK486" s="38">
        <f t="shared" si="106"/>
        <v>4014.25</v>
      </c>
      <c r="AL486" s="71">
        <f t="shared" si="107"/>
        <v>109.73892837616184</v>
      </c>
      <c r="AM486" s="152">
        <f>'copy data3'!N540</f>
        <v>10269</v>
      </c>
      <c r="AN486" s="38">
        <f t="shared" si="108"/>
        <v>10811.5</v>
      </c>
      <c r="AO486" s="71">
        <f t="shared" si="109"/>
        <v>120.31493434231027</v>
      </c>
      <c r="AP486" s="152">
        <f>'copy data3'!P540</f>
        <v>4069</v>
      </c>
      <c r="AQ486" s="38">
        <f t="shared" si="110"/>
        <v>5346.5</v>
      </c>
      <c r="AR486" s="71">
        <f t="shared" si="111"/>
        <v>128.21342925659471</v>
      </c>
      <c r="AS486" s="153">
        <f>'copy data3'!R540</f>
        <v>18244</v>
      </c>
      <c r="AT486" s="38">
        <f t="shared" si="93"/>
        <v>20172.25</v>
      </c>
      <c r="AU486" s="71">
        <f t="shared" si="92"/>
        <v>119.97293921731891</v>
      </c>
    </row>
    <row r="487" spans="1:47" ht="15.6" x14ac:dyDescent="0.3">
      <c r="A487" s="55">
        <v>38568</v>
      </c>
      <c r="B487" s="56">
        <v>2067</v>
      </c>
      <c r="C487" s="56">
        <v>1861</v>
      </c>
      <c r="D487" s="56">
        <v>332</v>
      </c>
      <c r="E487" s="56">
        <v>402</v>
      </c>
      <c r="F487" s="56">
        <v>1200</v>
      </c>
      <c r="G487" s="56">
        <v>1416</v>
      </c>
      <c r="H487" s="56">
        <v>707</v>
      </c>
      <c r="I487" s="56">
        <v>457</v>
      </c>
      <c r="J487" s="56">
        <v>145</v>
      </c>
      <c r="K487" s="56">
        <v>133</v>
      </c>
      <c r="L487" s="56">
        <v>4450</v>
      </c>
      <c r="M487" s="56">
        <v>4267</v>
      </c>
      <c r="N487" s="56">
        <v>4609</v>
      </c>
      <c r="O487" s="56">
        <v>42374</v>
      </c>
      <c r="P487" s="56">
        <v>958</v>
      </c>
      <c r="Q487" s="56">
        <v>29351</v>
      </c>
      <c r="R487" s="16">
        <f t="shared" si="95"/>
        <v>10017</v>
      </c>
      <c r="T487" s="144">
        <f t="shared" si="94"/>
        <v>40255</v>
      </c>
      <c r="U487" s="154">
        <f>'copy data3'!B541</f>
        <v>1490</v>
      </c>
      <c r="V487" s="38">
        <f t="shared" si="96"/>
        <v>1513.25</v>
      </c>
      <c r="W487" s="71">
        <f t="shared" si="97"/>
        <v>138.70302474793766</v>
      </c>
      <c r="X487" s="154">
        <f>'copy data3'!D541</f>
        <v>497</v>
      </c>
      <c r="Y487" s="38">
        <f t="shared" si="98"/>
        <v>518</v>
      </c>
      <c r="Z487" s="71">
        <f t="shared" si="99"/>
        <v>93.165467625899282</v>
      </c>
      <c r="AA487" s="152">
        <f>'copy data3'!F541</f>
        <v>1031</v>
      </c>
      <c r="AB487" s="38">
        <f t="shared" si="100"/>
        <v>1000.75</v>
      </c>
      <c r="AC487" s="71">
        <f t="shared" si="101"/>
        <v>107.60752688172045</v>
      </c>
      <c r="AD487" s="152">
        <f>'copy data3'!H541</f>
        <v>656</v>
      </c>
      <c r="AE487" s="38">
        <f t="shared" si="102"/>
        <v>676.75</v>
      </c>
      <c r="AF487" s="71">
        <f t="shared" si="103"/>
        <v>100.55720653789004</v>
      </c>
      <c r="AG487" s="152">
        <f>'copy data3'!J541</f>
        <v>151</v>
      </c>
      <c r="AH487" s="38">
        <f t="shared" si="104"/>
        <v>177.25</v>
      </c>
      <c r="AI487" s="71">
        <f t="shared" si="105"/>
        <v>224.36708860759492</v>
      </c>
      <c r="AJ487" s="152">
        <f>'copy data3'!L541</f>
        <v>3824</v>
      </c>
      <c r="AK487" s="38">
        <f t="shared" si="106"/>
        <v>3884.75</v>
      </c>
      <c r="AL487" s="71">
        <f t="shared" si="107"/>
        <v>116.69420246320217</v>
      </c>
      <c r="AM487" s="152">
        <f>'copy data3'!N541</f>
        <v>9715</v>
      </c>
      <c r="AN487" s="38">
        <f t="shared" si="108"/>
        <v>10391</v>
      </c>
      <c r="AO487" s="71">
        <f t="shared" si="109"/>
        <v>110.54255319148936</v>
      </c>
      <c r="AP487" s="152">
        <f>'copy data3'!P541</f>
        <v>3546</v>
      </c>
      <c r="AQ487" s="38">
        <f t="shared" si="110"/>
        <v>4550</v>
      </c>
      <c r="AR487" s="71">
        <f t="shared" si="111"/>
        <v>110.84043848964677</v>
      </c>
      <c r="AS487" s="153">
        <f>'copy data3'!R541</f>
        <v>17085</v>
      </c>
      <c r="AT487" s="38">
        <f t="shared" si="93"/>
        <v>18825.75</v>
      </c>
      <c r="AU487" s="71">
        <f t="shared" si="92"/>
        <v>111.83170963526197</v>
      </c>
    </row>
    <row r="488" spans="1:47" ht="15.6" x14ac:dyDescent="0.3">
      <c r="A488" s="55">
        <v>38211</v>
      </c>
      <c r="B488" s="56">
        <v>1663</v>
      </c>
      <c r="C488" s="56">
        <v>2205</v>
      </c>
      <c r="D488" s="56">
        <v>1294</v>
      </c>
      <c r="E488" s="56">
        <v>847</v>
      </c>
      <c r="F488" s="56">
        <v>1527</v>
      </c>
      <c r="G488" s="56">
        <v>1441</v>
      </c>
      <c r="H488" s="56">
        <v>1212</v>
      </c>
      <c r="I488" s="56">
        <v>731</v>
      </c>
      <c r="J488" s="56">
        <v>104</v>
      </c>
      <c r="K488" s="56">
        <v>132</v>
      </c>
      <c r="L488" s="56">
        <v>5799</v>
      </c>
      <c r="M488" s="56">
        <v>5355</v>
      </c>
      <c r="N488" s="56">
        <v>3862</v>
      </c>
      <c r="O488" s="56">
        <v>45794</v>
      </c>
      <c r="P488" s="56">
        <v>444</v>
      </c>
      <c r="Q488" s="56">
        <v>23956</v>
      </c>
      <c r="R488" s="16">
        <f t="shared" si="95"/>
        <v>10105</v>
      </c>
      <c r="T488" s="144">
        <f t="shared" si="94"/>
        <v>40262</v>
      </c>
      <c r="U488" s="154">
        <f>'copy data3'!B542</f>
        <v>1268</v>
      </c>
      <c r="V488" s="38">
        <f t="shared" si="96"/>
        <v>1439.5</v>
      </c>
      <c r="W488" s="71">
        <f t="shared" si="97"/>
        <v>142.52475247524751</v>
      </c>
      <c r="X488" s="154">
        <f>'copy data3'!D542</f>
        <v>478</v>
      </c>
      <c r="Y488" s="38">
        <f t="shared" si="98"/>
        <v>506</v>
      </c>
      <c r="Z488" s="71">
        <f t="shared" si="99"/>
        <v>104.11522633744856</v>
      </c>
      <c r="AA488" s="152">
        <f>'copy data3'!F542</f>
        <v>977</v>
      </c>
      <c r="AB488" s="38">
        <f t="shared" si="100"/>
        <v>1004.5</v>
      </c>
      <c r="AC488" s="71">
        <f t="shared" si="101"/>
        <v>104.09326424870467</v>
      </c>
      <c r="AD488" s="152">
        <f>'copy data3'!H542</f>
        <v>685</v>
      </c>
      <c r="AE488" s="38">
        <f t="shared" si="102"/>
        <v>664</v>
      </c>
      <c r="AF488" s="71">
        <f t="shared" si="103"/>
        <v>93.653032440056421</v>
      </c>
      <c r="AG488" s="152">
        <f>'copy data3'!J542</f>
        <v>155</v>
      </c>
      <c r="AH488" s="38">
        <f t="shared" si="104"/>
        <v>169.5</v>
      </c>
      <c r="AI488" s="71">
        <f t="shared" si="105"/>
        <v>256.81818181818181</v>
      </c>
      <c r="AJ488" s="152">
        <f>'copy data3'!L542</f>
        <v>3562</v>
      </c>
      <c r="AK488" s="38">
        <f t="shared" si="106"/>
        <v>3782.5</v>
      </c>
      <c r="AL488" s="71">
        <f t="shared" si="107"/>
        <v>116.88813349814586</v>
      </c>
      <c r="AM488" s="152">
        <f>'copy data3'!N542</f>
        <v>9327</v>
      </c>
      <c r="AN488" s="38">
        <f t="shared" si="108"/>
        <v>9947</v>
      </c>
      <c r="AO488" s="71">
        <f t="shared" si="109"/>
        <v>103.003003003003</v>
      </c>
      <c r="AP488" s="152">
        <f>'copy data3'!P542</f>
        <v>2691</v>
      </c>
      <c r="AQ488" s="38">
        <f t="shared" si="110"/>
        <v>3768.5</v>
      </c>
      <c r="AR488" s="71">
        <f t="shared" si="111"/>
        <v>95.284450063211125</v>
      </c>
      <c r="AS488" s="153">
        <f>'copy data3'!R542</f>
        <v>15580</v>
      </c>
      <c r="AT488" s="38">
        <f t="shared" si="93"/>
        <v>17498</v>
      </c>
      <c r="AU488" s="71">
        <f t="shared" si="92"/>
        <v>103.85802469135803</v>
      </c>
    </row>
    <row r="489" spans="1:47" ht="15.6" x14ac:dyDescent="0.3">
      <c r="A489" s="55">
        <v>38575</v>
      </c>
      <c r="B489" s="56">
        <v>2045</v>
      </c>
      <c r="C489" s="56">
        <v>2133</v>
      </c>
      <c r="D489" s="56">
        <v>303</v>
      </c>
      <c r="E489" s="56">
        <v>490</v>
      </c>
      <c r="F489" s="56">
        <v>1191</v>
      </c>
      <c r="G489" s="56">
        <v>1541</v>
      </c>
      <c r="H489" s="56">
        <v>708</v>
      </c>
      <c r="I489" s="56">
        <v>487</v>
      </c>
      <c r="J489" s="56">
        <v>103</v>
      </c>
      <c r="K489" s="56">
        <v>184</v>
      </c>
      <c r="L489" s="56">
        <v>4350</v>
      </c>
      <c r="M489" s="56">
        <v>4835</v>
      </c>
      <c r="N489" s="56">
        <v>4330</v>
      </c>
      <c r="O489" s="56">
        <v>43118</v>
      </c>
      <c r="P489" s="56">
        <v>901</v>
      </c>
      <c r="Q489" s="56">
        <v>29559</v>
      </c>
      <c r="R489" s="16">
        <f t="shared" si="95"/>
        <v>9581</v>
      </c>
      <c r="T489" s="144">
        <f t="shared" si="94"/>
        <v>40269</v>
      </c>
      <c r="U489" s="154">
        <f>'copy data3'!B543</f>
        <v>1117</v>
      </c>
      <c r="V489" s="38">
        <f t="shared" si="96"/>
        <v>1337.75</v>
      </c>
      <c r="W489" s="71">
        <f t="shared" si="97"/>
        <v>138.62694300518135</v>
      </c>
      <c r="X489" s="154">
        <f>'copy data3'!D543</f>
        <v>451</v>
      </c>
      <c r="Y489" s="38">
        <f t="shared" si="98"/>
        <v>486</v>
      </c>
      <c r="Z489" s="71">
        <f t="shared" si="99"/>
        <v>121.19700748129677</v>
      </c>
      <c r="AA489" s="152">
        <f>'copy data3'!F543</f>
        <v>1118</v>
      </c>
      <c r="AB489" s="38">
        <f t="shared" si="100"/>
        <v>1049</v>
      </c>
      <c r="AC489" s="71">
        <f t="shared" si="101"/>
        <v>116.68520578420467</v>
      </c>
      <c r="AD489" s="152">
        <f>'copy data3'!H543</f>
        <v>610</v>
      </c>
      <c r="AE489" s="38">
        <f t="shared" si="102"/>
        <v>657</v>
      </c>
      <c r="AF489" s="71">
        <f t="shared" si="103"/>
        <v>112.11604095563139</v>
      </c>
      <c r="AG489" s="152">
        <f>'copy data3'!J543</f>
        <v>139</v>
      </c>
      <c r="AH489" s="38">
        <f t="shared" si="104"/>
        <v>152.5</v>
      </c>
      <c r="AI489" s="71">
        <f t="shared" si="105"/>
        <v>231.06060606060606</v>
      </c>
      <c r="AJ489" s="152">
        <f>'copy data3'!L543</f>
        <v>3435</v>
      </c>
      <c r="AK489" s="38">
        <f t="shared" si="106"/>
        <v>3681.75</v>
      </c>
      <c r="AL489" s="71">
        <f t="shared" si="107"/>
        <v>126.26028806584361</v>
      </c>
      <c r="AM489" s="152">
        <f>'copy data3'!N543</f>
        <v>9809</v>
      </c>
      <c r="AN489" s="38">
        <f t="shared" si="108"/>
        <v>9780</v>
      </c>
      <c r="AO489" s="71">
        <f t="shared" si="109"/>
        <v>101.20033112582783</v>
      </c>
      <c r="AP489" s="152">
        <f>'copy data3'!P543</f>
        <v>2456</v>
      </c>
      <c r="AQ489" s="38">
        <f t="shared" si="110"/>
        <v>3190.5</v>
      </c>
      <c r="AR489" s="71">
        <f t="shared" si="111"/>
        <v>83.916359810625991</v>
      </c>
      <c r="AS489" s="153">
        <f>'copy data3'!R543</f>
        <v>15700</v>
      </c>
      <c r="AT489" s="38">
        <f t="shared" si="93"/>
        <v>16652.25</v>
      </c>
      <c r="AU489" s="71">
        <f t="shared" si="92"/>
        <v>101.64967647417897</v>
      </c>
    </row>
    <row r="490" spans="1:47" ht="15.6" x14ac:dyDescent="0.3">
      <c r="A490" s="55">
        <v>38218</v>
      </c>
      <c r="B490" s="56">
        <v>1643</v>
      </c>
      <c r="C490" s="56">
        <v>2409</v>
      </c>
      <c r="D490" s="56">
        <v>1275</v>
      </c>
      <c r="E490" s="56">
        <v>952</v>
      </c>
      <c r="F490" s="56">
        <v>1524</v>
      </c>
      <c r="G490" s="56">
        <v>1615</v>
      </c>
      <c r="H490" s="56">
        <v>1259</v>
      </c>
      <c r="I490" s="56">
        <v>855</v>
      </c>
      <c r="J490" s="56">
        <v>88</v>
      </c>
      <c r="K490" s="56">
        <v>149</v>
      </c>
      <c r="L490" s="56">
        <v>5790</v>
      </c>
      <c r="M490" s="56">
        <v>5979</v>
      </c>
      <c r="N490" s="56">
        <v>3019</v>
      </c>
      <c r="O490" s="56">
        <v>46770</v>
      </c>
      <c r="P490" s="56">
        <v>387</v>
      </c>
      <c r="Q490" s="56">
        <v>24031</v>
      </c>
      <c r="R490" s="16">
        <f t="shared" si="95"/>
        <v>9196</v>
      </c>
      <c r="T490" s="144">
        <f t="shared" si="94"/>
        <v>40276</v>
      </c>
      <c r="U490" s="154">
        <f>'copy data3'!B544</f>
        <v>961</v>
      </c>
      <c r="V490" s="38">
        <f t="shared" si="96"/>
        <v>1209</v>
      </c>
      <c r="W490" s="71">
        <f t="shared" si="97"/>
        <v>148.52579852579854</v>
      </c>
      <c r="X490" s="154">
        <f>'copy data3'!D544</f>
        <v>385</v>
      </c>
      <c r="Y490" s="38">
        <f t="shared" si="98"/>
        <v>452.75</v>
      </c>
      <c r="Z490" s="71">
        <f t="shared" si="99"/>
        <v>122.36486486486487</v>
      </c>
      <c r="AA490" s="152">
        <f>'copy data3'!F544</f>
        <v>988</v>
      </c>
      <c r="AB490" s="38">
        <f t="shared" si="100"/>
        <v>1028.5</v>
      </c>
      <c r="AC490" s="71">
        <f t="shared" si="101"/>
        <v>133.74512353706112</v>
      </c>
      <c r="AD490" s="152">
        <f>'copy data3'!H544</f>
        <v>619</v>
      </c>
      <c r="AE490" s="38">
        <f t="shared" si="102"/>
        <v>642.5</v>
      </c>
      <c r="AF490" s="71">
        <f t="shared" si="103"/>
        <v>120.54409005628517</v>
      </c>
      <c r="AG490" s="152">
        <f>'copy data3'!J544</f>
        <v>107</v>
      </c>
      <c r="AH490" s="38">
        <f t="shared" si="104"/>
        <v>138</v>
      </c>
      <c r="AI490" s="71">
        <f t="shared" si="105"/>
        <v>209.09090909090909</v>
      </c>
      <c r="AJ490" s="152">
        <f>'copy data3'!L544</f>
        <v>3060</v>
      </c>
      <c r="AK490" s="38">
        <f t="shared" si="106"/>
        <v>3470.25</v>
      </c>
      <c r="AL490" s="71">
        <f t="shared" si="107"/>
        <v>136.03488827910624</v>
      </c>
      <c r="AM490" s="152">
        <f>'copy data3'!N544</f>
        <v>9702</v>
      </c>
      <c r="AN490" s="38">
        <f t="shared" si="108"/>
        <v>9638.25</v>
      </c>
      <c r="AO490" s="71">
        <f t="shared" si="109"/>
        <v>99.578985432379369</v>
      </c>
      <c r="AP490" s="152">
        <f>'copy data3'!P544</f>
        <v>2175</v>
      </c>
      <c r="AQ490" s="38">
        <f t="shared" si="110"/>
        <v>2717</v>
      </c>
      <c r="AR490" s="71">
        <f t="shared" si="111"/>
        <v>66.707586545543833</v>
      </c>
      <c r="AS490" s="153">
        <f>'copy data3'!R544</f>
        <v>14937</v>
      </c>
      <c r="AT490" s="38">
        <f t="shared" si="93"/>
        <v>15825.5</v>
      </c>
      <c r="AU490" s="71">
        <f t="shared" si="92"/>
        <v>97.071091210206703</v>
      </c>
    </row>
    <row r="491" spans="1:47" ht="15.6" x14ac:dyDescent="0.3">
      <c r="A491" s="55">
        <v>38582</v>
      </c>
      <c r="B491" s="56">
        <v>2376</v>
      </c>
      <c r="C491" s="56">
        <v>2247</v>
      </c>
      <c r="D491" s="56">
        <v>361</v>
      </c>
      <c r="E491" s="56">
        <v>555</v>
      </c>
      <c r="F491" s="56">
        <v>1177</v>
      </c>
      <c r="G491" s="56">
        <v>1660</v>
      </c>
      <c r="H491" s="56">
        <v>819</v>
      </c>
      <c r="I491" s="56">
        <v>555</v>
      </c>
      <c r="J491" s="56">
        <v>83</v>
      </c>
      <c r="K491" s="56">
        <v>207</v>
      </c>
      <c r="L491" s="56">
        <v>4815</v>
      </c>
      <c r="M491" s="56">
        <v>5224</v>
      </c>
      <c r="N491" s="56">
        <v>3799</v>
      </c>
      <c r="O491" s="56">
        <v>43967</v>
      </c>
      <c r="P491" s="56">
        <v>853</v>
      </c>
      <c r="Q491" s="56">
        <v>29686</v>
      </c>
      <c r="R491" s="16">
        <f t="shared" si="95"/>
        <v>9467</v>
      </c>
      <c r="T491" s="144">
        <f t="shared" si="94"/>
        <v>40283</v>
      </c>
      <c r="U491" s="154">
        <f>'copy data3'!B545</f>
        <v>1006</v>
      </c>
      <c r="V491" s="38">
        <f t="shared" si="96"/>
        <v>1088</v>
      </c>
      <c r="W491" s="71">
        <f t="shared" si="97"/>
        <v>120.08830022075054</v>
      </c>
      <c r="X491" s="154">
        <f>'copy data3'!D545</f>
        <v>331</v>
      </c>
      <c r="Y491" s="38">
        <f t="shared" si="98"/>
        <v>411.25</v>
      </c>
      <c r="Z491" s="71">
        <f t="shared" si="99"/>
        <v>131.81089743589746</v>
      </c>
      <c r="AA491" s="152">
        <f>'copy data3'!F545</f>
        <v>865</v>
      </c>
      <c r="AB491" s="38">
        <f t="shared" si="100"/>
        <v>987</v>
      </c>
      <c r="AC491" s="71">
        <f t="shared" si="101"/>
        <v>147.75449101796409</v>
      </c>
      <c r="AD491" s="152">
        <f>'copy data3'!H545</f>
        <v>475</v>
      </c>
      <c r="AE491" s="38">
        <f t="shared" si="102"/>
        <v>597.25</v>
      </c>
      <c r="AF491" s="71">
        <f t="shared" si="103"/>
        <v>127.34541577825161</v>
      </c>
      <c r="AG491" s="152">
        <f>'copy data3'!J545</f>
        <v>118</v>
      </c>
      <c r="AH491" s="38">
        <f t="shared" si="104"/>
        <v>129.75</v>
      </c>
      <c r="AI491" s="71">
        <f t="shared" si="105"/>
        <v>301.74418604651163</v>
      </c>
      <c r="AJ491" s="152">
        <f>'copy data3'!L545</f>
        <v>2794</v>
      </c>
      <c r="AK491" s="38">
        <f t="shared" si="106"/>
        <v>3212.75</v>
      </c>
      <c r="AL491" s="71">
        <f t="shared" si="107"/>
        <v>134.08806343906511</v>
      </c>
      <c r="AM491" s="152">
        <f>'copy data3'!N545</f>
        <v>10028</v>
      </c>
      <c r="AN491" s="38">
        <f t="shared" si="108"/>
        <v>9716.5</v>
      </c>
      <c r="AO491" s="71">
        <f t="shared" si="109"/>
        <v>98.484694911818366</v>
      </c>
      <c r="AP491" s="152">
        <f>'copy data3'!P545</f>
        <v>2057</v>
      </c>
      <c r="AQ491" s="38">
        <f t="shared" si="110"/>
        <v>2344.75</v>
      </c>
      <c r="AR491" s="71">
        <f t="shared" si="111"/>
        <v>58.196823033010666</v>
      </c>
      <c r="AS491" s="153">
        <f>'copy data3'!R545</f>
        <v>14879</v>
      </c>
      <c r="AT491" s="38">
        <f t="shared" si="93"/>
        <v>15274</v>
      </c>
      <c r="AU491" s="71">
        <f t="shared" si="92"/>
        <v>93.757289300840952</v>
      </c>
    </row>
    <row r="492" spans="1:47" ht="15.6" x14ac:dyDescent="0.3">
      <c r="A492" s="55">
        <v>38225</v>
      </c>
      <c r="B492" s="56">
        <v>1813</v>
      </c>
      <c r="C492" s="56">
        <v>2578</v>
      </c>
      <c r="D492" s="56">
        <v>1067</v>
      </c>
      <c r="E492" s="56">
        <v>1053</v>
      </c>
      <c r="F492" s="56">
        <v>1575</v>
      </c>
      <c r="G492" s="56">
        <v>1798</v>
      </c>
      <c r="H492" s="56">
        <v>1224</v>
      </c>
      <c r="I492" s="56">
        <v>961</v>
      </c>
      <c r="J492" s="56">
        <v>110</v>
      </c>
      <c r="K492" s="56">
        <v>149</v>
      </c>
      <c r="L492" s="56">
        <v>5787</v>
      </c>
      <c r="M492" s="56">
        <v>6539</v>
      </c>
      <c r="N492" s="56">
        <v>2177</v>
      </c>
      <c r="O492" s="56">
        <v>47704</v>
      </c>
      <c r="P492" s="56">
        <v>310</v>
      </c>
      <c r="Q492" s="56">
        <v>24108</v>
      </c>
      <c r="R492" s="16">
        <f t="shared" si="95"/>
        <v>8274</v>
      </c>
      <c r="T492" s="144">
        <f t="shared" si="94"/>
        <v>40290</v>
      </c>
      <c r="U492" s="154">
        <f>'copy data3'!B546</f>
        <v>1013</v>
      </c>
      <c r="V492" s="38">
        <f t="shared" si="96"/>
        <v>1024.25</v>
      </c>
      <c r="W492" s="71">
        <f t="shared" si="97"/>
        <v>135.66225165562912</v>
      </c>
      <c r="X492" s="154">
        <f>'copy data3'!D546</f>
        <v>281</v>
      </c>
      <c r="Y492" s="38">
        <f t="shared" si="98"/>
        <v>362</v>
      </c>
      <c r="Z492" s="71">
        <f t="shared" si="99"/>
        <v>124.39862542955326</v>
      </c>
      <c r="AA492" s="152">
        <f>'copy data3'!F546</f>
        <v>833</v>
      </c>
      <c r="AB492" s="38">
        <f t="shared" si="100"/>
        <v>951</v>
      </c>
      <c r="AC492" s="71">
        <f t="shared" si="101"/>
        <v>163.12178387650084</v>
      </c>
      <c r="AD492" s="152">
        <f>'copy data3'!H546</f>
        <v>471</v>
      </c>
      <c r="AE492" s="38">
        <f t="shared" si="102"/>
        <v>543.75</v>
      </c>
      <c r="AF492" s="71">
        <f t="shared" si="103"/>
        <v>105.58252427184468</v>
      </c>
      <c r="AG492" s="152">
        <f>'copy data3'!J546</f>
        <v>90</v>
      </c>
      <c r="AH492" s="38">
        <f t="shared" si="104"/>
        <v>113.5</v>
      </c>
      <c r="AI492" s="71">
        <f t="shared" si="105"/>
        <v>354.6875</v>
      </c>
      <c r="AJ492" s="152">
        <f>'copy data3'!L546</f>
        <v>2689</v>
      </c>
      <c r="AK492" s="38">
        <f t="shared" si="106"/>
        <v>2994.5</v>
      </c>
      <c r="AL492" s="71">
        <f t="shared" si="107"/>
        <v>137.67816091954023</v>
      </c>
      <c r="AM492" s="152">
        <f>'copy data3'!N546</f>
        <v>10343</v>
      </c>
      <c r="AN492" s="38">
        <f t="shared" si="108"/>
        <v>9970.5</v>
      </c>
      <c r="AO492" s="71">
        <f t="shared" si="109"/>
        <v>97.244708865697845</v>
      </c>
      <c r="AP492" s="152">
        <f>'copy data3'!P546</f>
        <v>1880</v>
      </c>
      <c r="AQ492" s="38">
        <f t="shared" si="110"/>
        <v>2142</v>
      </c>
      <c r="AR492" s="71">
        <f t="shared" si="111"/>
        <v>46.737944577787474</v>
      </c>
      <c r="AS492" s="153">
        <f>'copy data3'!R546</f>
        <v>14912</v>
      </c>
      <c r="AT492" s="38">
        <f t="shared" si="93"/>
        <v>15107</v>
      </c>
      <c r="AU492" s="71">
        <f t="shared" si="92"/>
        <v>88.807242372582451</v>
      </c>
    </row>
    <row r="493" spans="1:47" ht="15.6" x14ac:dyDescent="0.3">
      <c r="A493" s="55">
        <v>38589</v>
      </c>
      <c r="B493" s="56">
        <v>2338</v>
      </c>
      <c r="C493" s="56">
        <v>2428</v>
      </c>
      <c r="D493" s="56">
        <v>385</v>
      </c>
      <c r="E493" s="56">
        <v>569</v>
      </c>
      <c r="F493" s="56">
        <v>1182</v>
      </c>
      <c r="G493" s="56">
        <v>1809</v>
      </c>
      <c r="H493" s="56">
        <v>663</v>
      </c>
      <c r="I493" s="56">
        <v>757</v>
      </c>
      <c r="J493" s="56">
        <v>77</v>
      </c>
      <c r="K493" s="56">
        <v>228</v>
      </c>
      <c r="L493" s="56">
        <v>4645</v>
      </c>
      <c r="M493" s="56">
        <v>5791</v>
      </c>
      <c r="N493" s="56">
        <v>2780</v>
      </c>
      <c r="O493" s="56">
        <v>44953</v>
      </c>
      <c r="P493" s="56">
        <v>699</v>
      </c>
      <c r="Q493" s="56">
        <v>29878</v>
      </c>
      <c r="R493" s="16">
        <f t="shared" si="95"/>
        <v>8124</v>
      </c>
      <c r="T493" s="144">
        <f t="shared" si="94"/>
        <v>40297</v>
      </c>
      <c r="U493" s="154">
        <f>'copy data3'!B547</f>
        <v>910</v>
      </c>
      <c r="V493" s="38">
        <f t="shared" si="96"/>
        <v>972.5</v>
      </c>
      <c r="W493" s="71">
        <f t="shared" si="97"/>
        <v>140.33189033189032</v>
      </c>
      <c r="X493" s="154">
        <f>'copy data3'!D547</f>
        <v>258</v>
      </c>
      <c r="Y493" s="38">
        <f t="shared" si="98"/>
        <v>313.75</v>
      </c>
      <c r="Z493" s="71">
        <f t="shared" si="99"/>
        <v>114.09090909090909</v>
      </c>
      <c r="AA493" s="152">
        <f>'copy data3'!F547</f>
        <v>683</v>
      </c>
      <c r="AB493" s="38">
        <f t="shared" si="100"/>
        <v>842.25</v>
      </c>
      <c r="AC493" s="71">
        <f t="shared" si="101"/>
        <v>137.39804241435561</v>
      </c>
      <c r="AD493" s="152">
        <f>'copy data3'!H547</f>
        <v>406</v>
      </c>
      <c r="AE493" s="38">
        <f t="shared" si="102"/>
        <v>492.75</v>
      </c>
      <c r="AF493" s="71">
        <f t="shared" si="103"/>
        <v>89.266304347826093</v>
      </c>
      <c r="AG493" s="152">
        <f>'copy data3'!J547</f>
        <v>93</v>
      </c>
      <c r="AH493" s="38">
        <f t="shared" si="104"/>
        <v>102</v>
      </c>
      <c r="AI493" s="71">
        <f t="shared" si="105"/>
        <v>351.72413793103448</v>
      </c>
      <c r="AJ493" s="152">
        <f>'copy data3'!L547</f>
        <v>2348</v>
      </c>
      <c r="AK493" s="38">
        <f t="shared" si="106"/>
        <v>2722.75</v>
      </c>
      <c r="AL493" s="71">
        <f t="shared" si="107"/>
        <v>125.99490976399814</v>
      </c>
      <c r="AM493" s="152">
        <f>'copy data3'!N547</f>
        <v>11338</v>
      </c>
      <c r="AN493" s="38">
        <f t="shared" si="108"/>
        <v>10352.75</v>
      </c>
      <c r="AO493" s="71">
        <f t="shared" si="109"/>
        <v>102.99194190210903</v>
      </c>
      <c r="AP493" s="152">
        <f>'copy data3'!P547</f>
        <v>1874</v>
      </c>
      <c r="AQ493" s="38">
        <f t="shared" si="110"/>
        <v>1996.5</v>
      </c>
      <c r="AR493" s="71">
        <f t="shared" si="111"/>
        <v>41.156462585034014</v>
      </c>
      <c r="AS493" s="153">
        <f>'copy data3'!R547</f>
        <v>15560</v>
      </c>
      <c r="AT493" s="38">
        <f t="shared" si="93"/>
        <v>15072</v>
      </c>
      <c r="AU493" s="71">
        <f t="shared" si="92"/>
        <v>88.326300984528828</v>
      </c>
    </row>
    <row r="494" spans="1:47" ht="15.6" x14ac:dyDescent="0.3">
      <c r="A494" s="55">
        <v>38232</v>
      </c>
      <c r="B494" s="56">
        <v>1768</v>
      </c>
      <c r="C494" s="56">
        <v>2784</v>
      </c>
      <c r="D494" s="56">
        <v>898</v>
      </c>
      <c r="E494" s="56">
        <v>1258</v>
      </c>
      <c r="F494" s="56">
        <v>1471</v>
      </c>
      <c r="G494" s="56">
        <v>2013</v>
      </c>
      <c r="H494" s="56">
        <v>1271</v>
      </c>
      <c r="I494" s="56">
        <v>1088</v>
      </c>
      <c r="J494" s="56">
        <v>80</v>
      </c>
      <c r="K494" s="56">
        <v>183</v>
      </c>
      <c r="L494" s="56">
        <v>5488</v>
      </c>
      <c r="M494" s="56">
        <v>7325</v>
      </c>
      <c r="N494" s="56">
        <v>6936</v>
      </c>
      <c r="O494" s="56">
        <v>230</v>
      </c>
      <c r="P494" s="56">
        <v>167</v>
      </c>
      <c r="Q494" s="56">
        <v>3800</v>
      </c>
      <c r="R494" s="16">
        <f t="shared" si="95"/>
        <v>12591</v>
      </c>
      <c r="T494" s="144">
        <f t="shared" si="94"/>
        <v>40304</v>
      </c>
      <c r="U494" s="154">
        <f>'copy data3'!B548</f>
        <v>813</v>
      </c>
      <c r="V494" s="38">
        <f t="shared" si="96"/>
        <v>935.5</v>
      </c>
      <c r="W494" s="71">
        <f t="shared" si="97"/>
        <v>141.74242424242425</v>
      </c>
      <c r="X494" s="154">
        <f>'copy data3'!D548</f>
        <v>247</v>
      </c>
      <c r="Y494" s="38">
        <f t="shared" si="98"/>
        <v>279.25</v>
      </c>
      <c r="Z494" s="71">
        <f t="shared" si="99"/>
        <v>134.25480769230768</v>
      </c>
      <c r="AA494" s="152">
        <f>'copy data3'!F548</f>
        <v>507</v>
      </c>
      <c r="AB494" s="38">
        <f t="shared" si="100"/>
        <v>722</v>
      </c>
      <c r="AC494" s="71">
        <f t="shared" si="101"/>
        <v>137.52380952380952</v>
      </c>
      <c r="AD494" s="152">
        <f>'copy data3'!H548</f>
        <v>397</v>
      </c>
      <c r="AE494" s="38">
        <f t="shared" si="102"/>
        <v>437.25</v>
      </c>
      <c r="AF494" s="71">
        <f t="shared" si="103"/>
        <v>82.189849624060145</v>
      </c>
      <c r="AG494" s="152">
        <f>'copy data3'!J548</f>
        <v>111</v>
      </c>
      <c r="AH494" s="38">
        <f t="shared" si="104"/>
        <v>103</v>
      </c>
      <c r="AI494" s="71">
        <f t="shared" si="105"/>
        <v>355.17241379310349</v>
      </c>
      <c r="AJ494" s="152">
        <f>'copy data3'!L548</f>
        <v>2074</v>
      </c>
      <c r="AK494" s="38">
        <f t="shared" si="106"/>
        <v>2476.25</v>
      </c>
      <c r="AL494" s="71">
        <f t="shared" si="107"/>
        <v>126.7921146953405</v>
      </c>
      <c r="AM494" s="152">
        <f>'copy data3'!N548</f>
        <v>11124</v>
      </c>
      <c r="AN494" s="38">
        <f t="shared" si="108"/>
        <v>10708.25</v>
      </c>
      <c r="AO494" s="71">
        <f t="shared" si="109"/>
        <v>110.20119378408975</v>
      </c>
      <c r="AP494" s="152">
        <f>'copy data3'!P548</f>
        <v>1942</v>
      </c>
      <c r="AQ494" s="38">
        <f t="shared" si="110"/>
        <v>1938.25</v>
      </c>
      <c r="AR494" s="71">
        <f t="shared" si="111"/>
        <v>40.287881937227191</v>
      </c>
      <c r="AS494" s="153">
        <f>'copy data3'!R548</f>
        <v>15140</v>
      </c>
      <c r="AT494" s="38">
        <f t="shared" si="93"/>
        <v>15122.75</v>
      </c>
      <c r="AU494" s="71">
        <f t="shared" si="92"/>
        <v>91.758691826952244</v>
      </c>
    </row>
    <row r="495" spans="1:47" ht="15.6" x14ac:dyDescent="0.3">
      <c r="A495" s="55">
        <v>38596</v>
      </c>
      <c r="B495" s="56">
        <v>2482</v>
      </c>
      <c r="C495" s="56">
        <v>2684</v>
      </c>
      <c r="D495" s="56">
        <v>421</v>
      </c>
      <c r="E495" s="56">
        <v>580</v>
      </c>
      <c r="F495" s="56">
        <v>1237</v>
      </c>
      <c r="G495" s="56">
        <v>1933</v>
      </c>
      <c r="H495" s="56">
        <v>830</v>
      </c>
      <c r="I495" s="56">
        <v>799</v>
      </c>
      <c r="J495" s="56">
        <v>97</v>
      </c>
      <c r="K495" s="56">
        <v>228</v>
      </c>
      <c r="L495" s="56">
        <v>5067</v>
      </c>
      <c r="M495" s="56">
        <v>6223</v>
      </c>
      <c r="N495" s="56">
        <v>7864</v>
      </c>
      <c r="O495" s="56">
        <v>10</v>
      </c>
      <c r="P495" s="56">
        <v>439</v>
      </c>
      <c r="Q495" s="56">
        <v>5636</v>
      </c>
      <c r="R495" s="16">
        <f t="shared" si="95"/>
        <v>13370</v>
      </c>
      <c r="T495" s="144">
        <f t="shared" si="94"/>
        <v>40311</v>
      </c>
      <c r="U495" s="154">
        <f>'copy data3'!B549</f>
        <v>743</v>
      </c>
      <c r="V495" s="38">
        <f t="shared" si="96"/>
        <v>869.75</v>
      </c>
      <c r="W495" s="71">
        <f t="shared" si="97"/>
        <v>140.50888529886913</v>
      </c>
      <c r="X495" s="154">
        <f>'copy data3'!D549</f>
        <v>235</v>
      </c>
      <c r="Y495" s="38">
        <f t="shared" si="98"/>
        <v>255.25</v>
      </c>
      <c r="Z495" s="71">
        <f t="shared" si="99"/>
        <v>141.80555555555557</v>
      </c>
      <c r="AA495" s="152">
        <f>'copy data3'!F549</f>
        <v>493</v>
      </c>
      <c r="AB495" s="38">
        <f t="shared" si="100"/>
        <v>629</v>
      </c>
      <c r="AC495" s="71">
        <f t="shared" si="101"/>
        <v>178.18696883852692</v>
      </c>
      <c r="AD495" s="152">
        <f>'copy data3'!H549</f>
        <v>392</v>
      </c>
      <c r="AE495" s="38">
        <f t="shared" si="102"/>
        <v>416.5</v>
      </c>
      <c r="AF495" s="71">
        <f t="shared" si="103"/>
        <v>107.0694087403599</v>
      </c>
      <c r="AG495" s="152">
        <f>'copy data3'!J549</f>
        <v>125</v>
      </c>
      <c r="AH495" s="38">
        <f t="shared" si="104"/>
        <v>104.75</v>
      </c>
      <c r="AI495" s="71">
        <f t="shared" si="105"/>
        <v>523.75</v>
      </c>
      <c r="AJ495" s="152">
        <f>'copy data3'!L549</f>
        <v>1989</v>
      </c>
      <c r="AK495" s="38">
        <f t="shared" si="106"/>
        <v>2275</v>
      </c>
      <c r="AL495" s="71">
        <f t="shared" si="107"/>
        <v>145.73991031390133</v>
      </c>
      <c r="AM495" s="152">
        <f>'copy data3'!N549</f>
        <v>11499</v>
      </c>
      <c r="AN495" s="38">
        <f t="shared" si="108"/>
        <v>11076</v>
      </c>
      <c r="AO495" s="71">
        <f t="shared" si="109"/>
        <v>114.27981840693356</v>
      </c>
      <c r="AP495" s="152">
        <f>'copy data3'!P549</f>
        <v>2149</v>
      </c>
      <c r="AQ495" s="38">
        <f t="shared" si="110"/>
        <v>1961.25</v>
      </c>
      <c r="AR495" s="71">
        <f t="shared" si="111"/>
        <v>38.470969007453903</v>
      </c>
      <c r="AS495" s="153">
        <f>'copy data3'!R549</f>
        <v>15637</v>
      </c>
      <c r="AT495" s="38">
        <f t="shared" si="93"/>
        <v>15312.25</v>
      </c>
      <c r="AU495" s="71">
        <f t="shared" si="92"/>
        <v>93.647177542657943</v>
      </c>
    </row>
    <row r="496" spans="1:47" ht="15.6" x14ac:dyDescent="0.3">
      <c r="A496" s="55">
        <v>38239</v>
      </c>
      <c r="B496" s="56">
        <v>1702</v>
      </c>
      <c r="C496" s="56">
        <v>2975</v>
      </c>
      <c r="D496" s="56">
        <v>932</v>
      </c>
      <c r="E496" s="56">
        <v>1317</v>
      </c>
      <c r="F496" s="56">
        <v>1321</v>
      </c>
      <c r="G496" s="56">
        <v>2225</v>
      </c>
      <c r="H496" s="56">
        <v>1196</v>
      </c>
      <c r="I496" s="56">
        <v>1229</v>
      </c>
      <c r="J496" s="56">
        <v>79</v>
      </c>
      <c r="K496" s="56">
        <v>188</v>
      </c>
      <c r="L496" s="56">
        <v>5230</v>
      </c>
      <c r="M496" s="56">
        <v>7933</v>
      </c>
      <c r="N496" s="56">
        <v>7431</v>
      </c>
      <c r="O496" s="56">
        <v>943</v>
      </c>
      <c r="P496" s="56">
        <v>6305</v>
      </c>
      <c r="Q496" s="56">
        <v>370</v>
      </c>
      <c r="R496" s="16">
        <f t="shared" si="95"/>
        <v>18966</v>
      </c>
      <c r="T496" s="144">
        <f t="shared" si="94"/>
        <v>40318</v>
      </c>
      <c r="U496" s="154">
        <f>'copy data3'!B550</f>
        <v>591</v>
      </c>
      <c r="V496" s="38">
        <f t="shared" si="96"/>
        <v>764.25</v>
      </c>
      <c r="W496" s="71">
        <f t="shared" si="97"/>
        <v>165.78091106290674</v>
      </c>
      <c r="X496" s="154">
        <f>'copy data3'!D550</f>
        <v>256</v>
      </c>
      <c r="Y496" s="38">
        <f t="shared" si="98"/>
        <v>249</v>
      </c>
      <c r="Z496" s="71">
        <f t="shared" si="99"/>
        <v>171.72413793103451</v>
      </c>
      <c r="AA496" s="152">
        <f>'copy data3'!F550</f>
        <v>369</v>
      </c>
      <c r="AB496" s="38">
        <f t="shared" si="100"/>
        <v>513</v>
      </c>
      <c r="AC496" s="71">
        <f t="shared" si="101"/>
        <v>142.10526315789474</v>
      </c>
      <c r="AD496" s="152">
        <f>'copy data3'!H550</f>
        <v>269</v>
      </c>
      <c r="AE496" s="38">
        <f t="shared" si="102"/>
        <v>366</v>
      </c>
      <c r="AF496" s="71">
        <f t="shared" si="103"/>
        <v>157.75862068965517</v>
      </c>
      <c r="AG496" s="152">
        <f>'copy data3'!J550</f>
        <v>81</v>
      </c>
      <c r="AH496" s="38">
        <f t="shared" si="104"/>
        <v>102.5</v>
      </c>
      <c r="AI496" s="71">
        <f t="shared" si="105"/>
        <v>2050</v>
      </c>
      <c r="AJ496" s="152">
        <f>'copy data3'!L550</f>
        <v>1566</v>
      </c>
      <c r="AK496" s="38">
        <f t="shared" si="106"/>
        <v>1994.25</v>
      </c>
      <c r="AL496" s="71">
        <f t="shared" si="107"/>
        <v>165.49792531120332</v>
      </c>
      <c r="AM496" s="152">
        <f>'copy data3'!N550</f>
        <v>11290</v>
      </c>
      <c r="AN496" s="38">
        <f t="shared" si="108"/>
        <v>11312.75</v>
      </c>
      <c r="AO496" s="71">
        <f t="shared" si="109"/>
        <v>117.37653040049803</v>
      </c>
      <c r="AP496" s="152">
        <f>'copy data3'!P550</f>
        <v>2180</v>
      </c>
      <c r="AQ496" s="38">
        <f t="shared" si="110"/>
        <v>2036.25</v>
      </c>
      <c r="AR496" s="71">
        <f t="shared" si="111"/>
        <v>42.608286252354048</v>
      </c>
      <c r="AS496" s="153">
        <f>'copy data3'!R550</f>
        <v>15036</v>
      </c>
      <c r="AT496" s="38">
        <f t="shared" si="93"/>
        <v>15343.25</v>
      </c>
      <c r="AU496" s="71">
        <f t="shared" si="92"/>
        <v>98.215657406221993</v>
      </c>
    </row>
    <row r="497" spans="1:47" ht="15.6" x14ac:dyDescent="0.3">
      <c r="A497" s="55">
        <v>38603</v>
      </c>
      <c r="B497" s="56">
        <v>2559</v>
      </c>
      <c r="C497" s="56">
        <v>2836</v>
      </c>
      <c r="D497" s="56">
        <v>437</v>
      </c>
      <c r="E497" s="56">
        <v>598</v>
      </c>
      <c r="F497" s="56">
        <v>1321</v>
      </c>
      <c r="G497" s="56">
        <v>2071</v>
      </c>
      <c r="H497" s="56">
        <v>876</v>
      </c>
      <c r="I497" s="56">
        <v>851</v>
      </c>
      <c r="J497" s="56">
        <v>70</v>
      </c>
      <c r="K497" s="56">
        <v>256</v>
      </c>
      <c r="L497" s="56">
        <v>5263</v>
      </c>
      <c r="M497" s="56">
        <v>6612</v>
      </c>
      <c r="N497" s="56">
        <v>7896</v>
      </c>
      <c r="O497" s="56">
        <v>436</v>
      </c>
      <c r="P497" s="56">
        <v>4422</v>
      </c>
      <c r="Q497" s="56">
        <v>155</v>
      </c>
      <c r="R497" s="16">
        <f t="shared" si="95"/>
        <v>17581</v>
      </c>
      <c r="T497" s="144">
        <f t="shared" si="94"/>
        <v>40325</v>
      </c>
      <c r="U497" s="154">
        <f>'copy data3'!B551</f>
        <v>340</v>
      </c>
      <c r="V497" s="38">
        <f t="shared" si="96"/>
        <v>621.75</v>
      </c>
      <c r="W497" s="71">
        <f t="shared" si="97"/>
        <v>173.67318435754191</v>
      </c>
      <c r="X497" s="154">
        <f>'copy data3'!D551</f>
        <v>252</v>
      </c>
      <c r="Y497" s="38">
        <f t="shared" si="98"/>
        <v>247.5</v>
      </c>
      <c r="Z497" s="71">
        <f t="shared" si="99"/>
        <v>145.58823529411765</v>
      </c>
      <c r="AA497" s="152">
        <f>'copy data3'!F551</f>
        <v>323</v>
      </c>
      <c r="AB497" s="38">
        <f t="shared" si="100"/>
        <v>423</v>
      </c>
      <c r="AC497" s="71">
        <f t="shared" si="101"/>
        <v>139.14473684210526</v>
      </c>
      <c r="AD497" s="152">
        <f>'copy data3'!H551</f>
        <v>258</v>
      </c>
      <c r="AE497" s="38">
        <f t="shared" si="102"/>
        <v>329</v>
      </c>
      <c r="AF497" s="71">
        <f t="shared" si="103"/>
        <v>195.83333333333331</v>
      </c>
      <c r="AG497" s="152">
        <f>'copy data3'!J551</f>
        <v>40</v>
      </c>
      <c r="AH497" s="38">
        <f t="shared" si="104"/>
        <v>89.25</v>
      </c>
      <c r="AI497" s="71">
        <f t="shared" si="105"/>
        <v>1785.0000000000002</v>
      </c>
      <c r="AJ497" s="152">
        <f>'copy data3'!L551</f>
        <v>1213</v>
      </c>
      <c r="AK497" s="38">
        <f t="shared" si="106"/>
        <v>1710.5</v>
      </c>
      <c r="AL497" s="71">
        <f t="shared" si="107"/>
        <v>170.19900497512438</v>
      </c>
      <c r="AM497" s="152">
        <f>'copy data3'!N551</f>
        <v>10262</v>
      </c>
      <c r="AN497" s="38">
        <f t="shared" si="108"/>
        <v>11043.75</v>
      </c>
      <c r="AO497" s="71">
        <f t="shared" si="109"/>
        <v>117.66194331983806</v>
      </c>
      <c r="AP497" s="152">
        <f>'copy data3'!P551</f>
        <v>2166</v>
      </c>
      <c r="AQ497" s="38">
        <f t="shared" si="110"/>
        <v>2109.25</v>
      </c>
      <c r="AR497" s="71">
        <f t="shared" si="111"/>
        <v>47.473553905019131</v>
      </c>
      <c r="AS497" s="153">
        <f>'copy data3'!R551</f>
        <v>13641</v>
      </c>
      <c r="AT497" s="38">
        <f t="shared" si="93"/>
        <v>14863.5</v>
      </c>
      <c r="AU497" s="71">
        <f t="shared" si="92"/>
        <v>100.19886746663072</v>
      </c>
    </row>
    <row r="498" spans="1:47" ht="15.6" x14ac:dyDescent="0.3">
      <c r="A498" s="55">
        <v>38246</v>
      </c>
      <c r="B498" s="56">
        <v>1665</v>
      </c>
      <c r="C498" s="56">
        <v>3129</v>
      </c>
      <c r="D498" s="56">
        <v>875</v>
      </c>
      <c r="E498" s="56">
        <v>1416</v>
      </c>
      <c r="F498" s="56">
        <v>1235</v>
      </c>
      <c r="G498" s="56">
        <v>2461</v>
      </c>
      <c r="H498" s="56">
        <v>1109</v>
      </c>
      <c r="I498" s="56">
        <v>1412</v>
      </c>
      <c r="J498" s="56">
        <v>84</v>
      </c>
      <c r="K498" s="56">
        <v>192</v>
      </c>
      <c r="L498" s="56">
        <v>4968</v>
      </c>
      <c r="M498" s="56">
        <v>8609</v>
      </c>
      <c r="N498" s="56">
        <v>7896</v>
      </c>
      <c r="O498" s="56">
        <v>1634</v>
      </c>
      <c r="P498" s="56">
        <v>7215</v>
      </c>
      <c r="Q498" s="56">
        <v>463</v>
      </c>
      <c r="R498" s="16">
        <f t="shared" si="95"/>
        <v>20079</v>
      </c>
      <c r="T498" s="144">
        <f t="shared" si="94"/>
        <v>40332</v>
      </c>
      <c r="U498" s="154">
        <f>'copy data3'!B552</f>
        <v>1462</v>
      </c>
      <c r="V498" s="38">
        <f t="shared" si="96"/>
        <v>784</v>
      </c>
      <c r="W498" s="71">
        <f t="shared" si="97"/>
        <v>72.998137802607076</v>
      </c>
      <c r="X498" s="154">
        <f>'copy data3'!D552</f>
        <v>470</v>
      </c>
      <c r="Y498" s="38">
        <f t="shared" si="98"/>
        <v>303.25</v>
      </c>
      <c r="Z498" s="71">
        <f t="shared" si="99"/>
        <v>65.638528138528144</v>
      </c>
      <c r="AA498" s="152">
        <f>'copy data3'!F552</f>
        <v>966</v>
      </c>
      <c r="AB498" s="38">
        <f t="shared" si="100"/>
        <v>537.75</v>
      </c>
      <c r="AC498" s="71">
        <f t="shared" si="101"/>
        <v>67.134831460674164</v>
      </c>
      <c r="AD498" s="152">
        <f>'copy data3'!H552</f>
        <v>898</v>
      </c>
      <c r="AE498" s="38">
        <f t="shared" si="102"/>
        <v>454.25</v>
      </c>
      <c r="AF498" s="71">
        <f t="shared" si="103"/>
        <v>51.15427927927928</v>
      </c>
      <c r="AG498" s="152">
        <f>'copy data3'!J552</f>
        <v>231</v>
      </c>
      <c r="AH498" s="38">
        <f t="shared" si="104"/>
        <v>119.25</v>
      </c>
      <c r="AI498" s="71">
        <f t="shared" si="105"/>
        <v>64.112903225806448</v>
      </c>
      <c r="AJ498" s="152">
        <f>'copy data3'!L552</f>
        <v>4028</v>
      </c>
      <c r="AK498" s="38">
        <f t="shared" si="106"/>
        <v>2199</v>
      </c>
      <c r="AL498" s="71">
        <f t="shared" si="107"/>
        <v>64.486803519061581</v>
      </c>
      <c r="AM498" s="152">
        <f>'copy data3'!N552</f>
        <v>10369</v>
      </c>
      <c r="AN498" s="38">
        <f t="shared" si="108"/>
        <v>10855</v>
      </c>
      <c r="AO498" s="71">
        <f t="shared" si="109"/>
        <v>114.56464379947229</v>
      </c>
      <c r="AP498" s="152">
        <f>'copy data3'!P552</f>
        <v>2419</v>
      </c>
      <c r="AQ498" s="38">
        <f t="shared" si="110"/>
        <v>2228.5</v>
      </c>
      <c r="AR498" s="71">
        <f t="shared" si="111"/>
        <v>54.606714040676309</v>
      </c>
      <c r="AS498" s="153">
        <f>'copy data3'!R552</f>
        <v>16816</v>
      </c>
      <c r="AT498" s="38">
        <f t="shared" si="93"/>
        <v>15282.5</v>
      </c>
      <c r="AU498" s="71">
        <f t="shared" si="92"/>
        <v>90.077213250029473</v>
      </c>
    </row>
    <row r="499" spans="1:47" ht="15.6" x14ac:dyDescent="0.3">
      <c r="A499" s="55">
        <v>38610</v>
      </c>
      <c r="B499" s="56">
        <v>2496</v>
      </c>
      <c r="C499" s="56">
        <v>3243</v>
      </c>
      <c r="D499" s="56">
        <v>389</v>
      </c>
      <c r="E499" s="56">
        <v>690</v>
      </c>
      <c r="F499" s="56">
        <v>1281</v>
      </c>
      <c r="G499" s="56">
        <v>2319</v>
      </c>
      <c r="H499" s="56">
        <v>993</v>
      </c>
      <c r="I499" s="56">
        <v>918</v>
      </c>
      <c r="J499" s="56">
        <v>94</v>
      </c>
      <c r="K499" s="56">
        <v>259</v>
      </c>
      <c r="L499" s="56">
        <v>5252</v>
      </c>
      <c r="M499" s="56">
        <v>7429</v>
      </c>
      <c r="N499" s="56">
        <v>7818</v>
      </c>
      <c r="O499" s="56">
        <v>1351</v>
      </c>
      <c r="P499" s="56">
        <v>5017</v>
      </c>
      <c r="Q499" s="56">
        <v>312</v>
      </c>
      <c r="R499" s="16">
        <f t="shared" si="95"/>
        <v>18087</v>
      </c>
      <c r="T499" s="144">
        <f t="shared" si="94"/>
        <v>40339</v>
      </c>
      <c r="U499" s="154">
        <f>'copy data3'!B553</f>
        <v>1878</v>
      </c>
      <c r="V499" s="38">
        <f t="shared" si="96"/>
        <v>1067.75</v>
      </c>
      <c r="W499" s="71">
        <f t="shared" si="97"/>
        <v>105.09350393700787</v>
      </c>
      <c r="X499" s="154">
        <f>'copy data3'!D553</f>
        <v>485</v>
      </c>
      <c r="Y499" s="38">
        <f t="shared" si="98"/>
        <v>365.75</v>
      </c>
      <c r="Z499" s="71">
        <f t="shared" si="99"/>
        <v>72.569444444444443</v>
      </c>
      <c r="AA499" s="152">
        <f>'copy data3'!F553</f>
        <v>995</v>
      </c>
      <c r="AB499" s="38">
        <f t="shared" si="100"/>
        <v>663.25</v>
      </c>
      <c r="AC499" s="71">
        <f t="shared" si="101"/>
        <v>86.926605504587144</v>
      </c>
      <c r="AD499" s="152">
        <f>'copy data3'!H553</f>
        <v>992</v>
      </c>
      <c r="AE499" s="38">
        <f t="shared" si="102"/>
        <v>604.25</v>
      </c>
      <c r="AF499" s="71">
        <f t="shared" si="103"/>
        <v>74.876084262701355</v>
      </c>
      <c r="AG499" s="152">
        <f>'copy data3'!J553</f>
        <v>243</v>
      </c>
      <c r="AH499" s="38">
        <f t="shared" si="104"/>
        <v>148.75</v>
      </c>
      <c r="AI499" s="71">
        <f t="shared" si="105"/>
        <v>75.892857142857139</v>
      </c>
      <c r="AJ499" s="152">
        <f>'copy data3'!L553</f>
        <v>4592</v>
      </c>
      <c r="AK499" s="38">
        <f t="shared" si="106"/>
        <v>2849.75</v>
      </c>
      <c r="AL499" s="71">
        <f t="shared" si="107"/>
        <v>86.723980523432743</v>
      </c>
      <c r="AM499" s="152">
        <f>'copy data3'!N553</f>
        <v>10386</v>
      </c>
      <c r="AN499" s="38">
        <f t="shared" si="108"/>
        <v>10576.75</v>
      </c>
      <c r="AO499" s="71">
        <f t="shared" si="109"/>
        <v>112.23206706281834</v>
      </c>
      <c r="AP499" s="152">
        <f>'copy data3'!P553</f>
        <v>2071</v>
      </c>
      <c r="AQ499" s="38">
        <f t="shared" si="110"/>
        <v>2209</v>
      </c>
      <c r="AR499" s="71">
        <f t="shared" si="111"/>
        <v>56.977044106267741</v>
      </c>
      <c r="AS499" s="153">
        <f>'copy data3'!R553</f>
        <v>17049</v>
      </c>
      <c r="AT499" s="38">
        <f t="shared" si="93"/>
        <v>15635.5</v>
      </c>
      <c r="AU499" s="71">
        <f t="shared" si="92"/>
        <v>94.263579911979249</v>
      </c>
    </row>
    <row r="500" spans="1:47" ht="15.6" x14ac:dyDescent="0.3">
      <c r="A500" s="55">
        <v>38253</v>
      </c>
      <c r="B500" s="56">
        <v>1659</v>
      </c>
      <c r="C500" s="56">
        <v>3345</v>
      </c>
      <c r="D500" s="56">
        <v>766</v>
      </c>
      <c r="E500" s="56">
        <v>1548</v>
      </c>
      <c r="F500" s="56">
        <v>1205</v>
      </c>
      <c r="G500" s="56">
        <v>2617</v>
      </c>
      <c r="H500" s="56">
        <v>1010</v>
      </c>
      <c r="I500" s="56">
        <v>1624</v>
      </c>
      <c r="J500" s="56">
        <v>76</v>
      </c>
      <c r="K500" s="56">
        <v>197</v>
      </c>
      <c r="L500" s="56">
        <v>4717</v>
      </c>
      <c r="M500" s="56">
        <v>9330</v>
      </c>
      <c r="N500" s="56">
        <v>7798</v>
      </c>
      <c r="O500" s="56">
        <v>2638</v>
      </c>
      <c r="P500" s="56">
        <v>7639</v>
      </c>
      <c r="Q500" s="56">
        <v>795</v>
      </c>
      <c r="R500" s="16">
        <f t="shared" si="95"/>
        <v>20154</v>
      </c>
      <c r="T500" s="144">
        <f t="shared" si="94"/>
        <v>40346</v>
      </c>
      <c r="U500" s="154">
        <f>'copy data3'!B554</f>
        <v>2169</v>
      </c>
      <c r="V500" s="38">
        <f t="shared" si="96"/>
        <v>1462.25</v>
      </c>
      <c r="W500" s="71">
        <f t="shared" si="97"/>
        <v>140.46589817483189</v>
      </c>
      <c r="X500" s="154">
        <f>'copy data3'!D554</f>
        <v>514</v>
      </c>
      <c r="Y500" s="38">
        <f t="shared" si="98"/>
        <v>430.25</v>
      </c>
      <c r="Z500" s="71">
        <f t="shared" si="99"/>
        <v>80.571161048689149</v>
      </c>
      <c r="AA500" s="152">
        <f>'copy data3'!F554</f>
        <v>1021</v>
      </c>
      <c r="AB500" s="38">
        <f t="shared" si="100"/>
        <v>826.25</v>
      </c>
      <c r="AC500" s="71">
        <f t="shared" si="101"/>
        <v>110.01997336884155</v>
      </c>
      <c r="AD500" s="152">
        <f>'copy data3'!H554</f>
        <v>1079</v>
      </c>
      <c r="AE500" s="38">
        <f t="shared" si="102"/>
        <v>806.75</v>
      </c>
      <c r="AF500" s="71">
        <f t="shared" si="103"/>
        <v>99.721878862793574</v>
      </c>
      <c r="AG500" s="152">
        <f>'copy data3'!J554</f>
        <v>250</v>
      </c>
      <c r="AH500" s="38">
        <f t="shared" si="104"/>
        <v>191</v>
      </c>
      <c r="AI500" s="71">
        <f t="shared" si="105"/>
        <v>97.448979591836732</v>
      </c>
      <c r="AJ500" s="152">
        <f>'copy data3'!L554</f>
        <v>5033</v>
      </c>
      <c r="AK500" s="38">
        <f t="shared" si="106"/>
        <v>3716.5</v>
      </c>
      <c r="AL500" s="71">
        <f t="shared" si="107"/>
        <v>111.57310117081958</v>
      </c>
      <c r="AM500" s="152">
        <f>'copy data3'!N554</f>
        <v>10692</v>
      </c>
      <c r="AN500" s="38">
        <f t="shared" si="108"/>
        <v>10427.25</v>
      </c>
      <c r="AO500" s="71">
        <f t="shared" si="109"/>
        <v>114.93882275132275</v>
      </c>
      <c r="AP500" s="152">
        <f>'copy data3'!P554</f>
        <v>2140</v>
      </c>
      <c r="AQ500" s="38">
        <f t="shared" si="110"/>
        <v>2199</v>
      </c>
      <c r="AR500" s="71">
        <f t="shared" si="111"/>
        <v>62.347604196200734</v>
      </c>
      <c r="AS500" s="153">
        <f>'copy data3'!R554</f>
        <v>17865</v>
      </c>
      <c r="AT500" s="38">
        <f t="shared" si="93"/>
        <v>16342.75</v>
      </c>
      <c r="AU500" s="71">
        <f t="shared" si="92"/>
        <v>102.59102322661644</v>
      </c>
    </row>
    <row r="501" spans="1:47" ht="15.6" x14ac:dyDescent="0.3">
      <c r="A501" s="55">
        <v>38617</v>
      </c>
      <c r="B501" s="56">
        <v>2600</v>
      </c>
      <c r="C501" s="56">
        <v>3509</v>
      </c>
      <c r="D501" s="56">
        <v>365</v>
      </c>
      <c r="E501" s="56">
        <v>727</v>
      </c>
      <c r="F501" s="56">
        <v>1178</v>
      </c>
      <c r="G501" s="56">
        <v>2547</v>
      </c>
      <c r="H501" s="56">
        <v>993</v>
      </c>
      <c r="I501" s="56">
        <v>967</v>
      </c>
      <c r="J501" s="56">
        <v>100</v>
      </c>
      <c r="K501" s="56">
        <v>276</v>
      </c>
      <c r="L501" s="56">
        <v>5237</v>
      </c>
      <c r="M501" s="56">
        <v>8025</v>
      </c>
      <c r="N501" s="56">
        <v>7564</v>
      </c>
      <c r="O501" s="56">
        <v>2307</v>
      </c>
      <c r="P501" s="56">
        <v>5473</v>
      </c>
      <c r="Q501" s="56">
        <v>531</v>
      </c>
      <c r="R501" s="16">
        <f t="shared" si="95"/>
        <v>18274</v>
      </c>
      <c r="T501" s="144">
        <f t="shared" si="94"/>
        <v>40353</v>
      </c>
      <c r="U501" s="154">
        <f>'copy data3'!B555</f>
        <v>2104</v>
      </c>
      <c r="V501" s="38">
        <f t="shared" si="96"/>
        <v>1903.25</v>
      </c>
      <c r="W501" s="71">
        <f t="shared" si="97"/>
        <v>178.77606612812323</v>
      </c>
      <c r="X501" s="154">
        <f>'copy data3'!D555</f>
        <v>548</v>
      </c>
      <c r="Y501" s="38">
        <f t="shared" si="98"/>
        <v>504.25</v>
      </c>
      <c r="Z501" s="71">
        <f t="shared" si="99"/>
        <v>98.853166045873351</v>
      </c>
      <c r="AA501" s="152">
        <f>'copy data3'!F555</f>
        <v>961</v>
      </c>
      <c r="AB501" s="38">
        <f t="shared" si="100"/>
        <v>985.75</v>
      </c>
      <c r="AC501" s="71">
        <f t="shared" si="101"/>
        <v>133.01173930643637</v>
      </c>
      <c r="AD501" s="152">
        <f>'copy data3'!H555</f>
        <v>1039</v>
      </c>
      <c r="AE501" s="38">
        <f t="shared" si="102"/>
        <v>1002</v>
      </c>
      <c r="AF501" s="71">
        <f t="shared" si="103"/>
        <v>140.19868476283756</v>
      </c>
      <c r="AG501" s="152">
        <f>'copy data3'!J555</f>
        <v>250</v>
      </c>
      <c r="AH501" s="38">
        <f t="shared" si="104"/>
        <v>243.5</v>
      </c>
      <c r="AI501" s="71">
        <f t="shared" si="105"/>
        <v>138.74643874643874</v>
      </c>
      <c r="AJ501" s="152">
        <f>'copy data3'!L555</f>
        <v>4902</v>
      </c>
      <c r="AK501" s="38">
        <f t="shared" si="106"/>
        <v>4638.75</v>
      </c>
      <c r="AL501" s="71">
        <f t="shared" si="107"/>
        <v>144.68513146813885</v>
      </c>
      <c r="AM501" s="152">
        <f>'copy data3'!N555</f>
        <v>10389</v>
      </c>
      <c r="AN501" s="38">
        <f t="shared" si="108"/>
        <v>10459</v>
      </c>
      <c r="AO501" s="71">
        <f t="shared" si="109"/>
        <v>110.26884554559831</v>
      </c>
      <c r="AP501" s="152">
        <f>'copy data3'!P555</f>
        <v>2266</v>
      </c>
      <c r="AQ501" s="38">
        <f t="shared" si="110"/>
        <v>2224</v>
      </c>
      <c r="AR501" s="71">
        <f t="shared" si="111"/>
        <v>66.722668906756283</v>
      </c>
      <c r="AS501" s="153">
        <f>'copy data3'!R555</f>
        <v>17557</v>
      </c>
      <c r="AT501" s="38">
        <f t="shared" si="93"/>
        <v>17321.75</v>
      </c>
      <c r="AU501" s="71">
        <f t="shared" si="92"/>
        <v>108.09676553734018</v>
      </c>
    </row>
    <row r="502" spans="1:47" ht="15.6" x14ac:dyDescent="0.3">
      <c r="A502" s="55">
        <v>38260</v>
      </c>
      <c r="B502" s="56">
        <v>1610</v>
      </c>
      <c r="C502" s="56">
        <v>3562</v>
      </c>
      <c r="D502" s="56">
        <v>679</v>
      </c>
      <c r="E502" s="56">
        <v>1684</v>
      </c>
      <c r="F502" s="56">
        <v>1359</v>
      </c>
      <c r="G502" s="56">
        <v>2851</v>
      </c>
      <c r="H502" s="56">
        <v>1065</v>
      </c>
      <c r="I502" s="56">
        <v>1723</v>
      </c>
      <c r="J502" s="56">
        <v>91</v>
      </c>
      <c r="K502" s="56">
        <v>228</v>
      </c>
      <c r="L502" s="56">
        <v>4803</v>
      </c>
      <c r="M502" s="56">
        <v>10048</v>
      </c>
      <c r="N502" s="56">
        <v>7397</v>
      </c>
      <c r="O502" s="56">
        <v>3818</v>
      </c>
      <c r="P502" s="56">
        <v>8207</v>
      </c>
      <c r="Q502" s="56">
        <v>1188</v>
      </c>
      <c r="R502" s="16">
        <f t="shared" si="95"/>
        <v>20407</v>
      </c>
      <c r="T502" s="144">
        <f t="shared" si="94"/>
        <v>40360</v>
      </c>
      <c r="U502" s="154">
        <f>'copy data3'!B556</f>
        <v>2066</v>
      </c>
      <c r="V502" s="38">
        <f t="shared" si="96"/>
        <v>2054.25</v>
      </c>
      <c r="W502" s="71">
        <f t="shared" si="97"/>
        <v>187.94602012808784</v>
      </c>
      <c r="X502" s="154">
        <f>'copy data3'!D556</f>
        <v>540</v>
      </c>
      <c r="Y502" s="38">
        <f t="shared" si="98"/>
        <v>521.75</v>
      </c>
      <c r="Z502" s="71">
        <f t="shared" si="99"/>
        <v>112.93290043290042</v>
      </c>
      <c r="AA502" s="152">
        <f>'copy data3'!F556</f>
        <v>1013</v>
      </c>
      <c r="AB502" s="38">
        <f t="shared" si="100"/>
        <v>997.5</v>
      </c>
      <c r="AC502" s="71">
        <f t="shared" si="101"/>
        <v>111.328125</v>
      </c>
      <c r="AD502" s="152">
        <f>'copy data3'!H556</f>
        <v>959</v>
      </c>
      <c r="AE502" s="38">
        <f t="shared" si="102"/>
        <v>1017.25</v>
      </c>
      <c r="AF502" s="71">
        <f t="shared" si="103"/>
        <v>129.5859872611465</v>
      </c>
      <c r="AG502" s="152">
        <f>'copy data3'!J556</f>
        <v>280</v>
      </c>
      <c r="AH502" s="38">
        <f t="shared" si="104"/>
        <v>255.75</v>
      </c>
      <c r="AI502" s="71">
        <f t="shared" si="105"/>
        <v>138.24324324324323</v>
      </c>
      <c r="AJ502" s="152">
        <f>'copy data3'!L556</f>
        <v>4858</v>
      </c>
      <c r="AK502" s="38">
        <f t="shared" si="106"/>
        <v>4846.25</v>
      </c>
      <c r="AL502" s="71">
        <f t="shared" si="107"/>
        <v>141.62039742840443</v>
      </c>
      <c r="AM502" s="152">
        <f>'copy data3'!N556</f>
        <v>9860</v>
      </c>
      <c r="AN502" s="38">
        <f t="shared" si="108"/>
        <v>10331.75</v>
      </c>
      <c r="AO502" s="71">
        <f t="shared" si="109"/>
        <v>111.50172674293115</v>
      </c>
      <c r="AP502" s="152">
        <f>'copy data3'!P556</f>
        <v>2452</v>
      </c>
      <c r="AQ502" s="38">
        <f t="shared" si="110"/>
        <v>2232.25</v>
      </c>
      <c r="AR502" s="71">
        <f t="shared" si="111"/>
        <v>69.714241099312929</v>
      </c>
      <c r="AS502" s="153">
        <f>'copy data3'!R556</f>
        <v>17170</v>
      </c>
      <c r="AT502" s="38">
        <f t="shared" si="93"/>
        <v>17410.25</v>
      </c>
      <c r="AU502" s="71">
        <f t="shared" si="92"/>
        <v>109.56733794839522</v>
      </c>
    </row>
    <row r="503" spans="1:47" ht="15.6" x14ac:dyDescent="0.3">
      <c r="A503" s="55">
        <v>38624</v>
      </c>
      <c r="B503" s="56">
        <v>2520</v>
      </c>
      <c r="C503" s="56">
        <v>3658</v>
      </c>
      <c r="D503" s="56">
        <v>365</v>
      </c>
      <c r="E503" s="56">
        <v>753</v>
      </c>
      <c r="F503" s="56">
        <v>1282</v>
      </c>
      <c r="G503" s="56">
        <v>2750</v>
      </c>
      <c r="H503" s="56">
        <v>871</v>
      </c>
      <c r="I503" s="56">
        <v>1164</v>
      </c>
      <c r="J503" s="56">
        <v>90</v>
      </c>
      <c r="K503" s="56">
        <v>286</v>
      </c>
      <c r="L503" s="56">
        <v>5128</v>
      </c>
      <c r="M503" s="56">
        <v>8609</v>
      </c>
      <c r="N503" s="56">
        <v>7735</v>
      </c>
      <c r="O503" s="56">
        <v>3089</v>
      </c>
      <c r="P503" s="56">
        <v>5809</v>
      </c>
      <c r="Q503" s="56">
        <v>737</v>
      </c>
      <c r="R503" s="16">
        <f t="shared" si="95"/>
        <v>18672</v>
      </c>
      <c r="T503" s="144">
        <f t="shared" si="94"/>
        <v>40367</v>
      </c>
      <c r="U503" s="154">
        <f>'copy data3'!B557</f>
        <v>1980</v>
      </c>
      <c r="V503" s="38">
        <f t="shared" si="96"/>
        <v>2079.75</v>
      </c>
      <c r="W503" s="71">
        <f t="shared" si="97"/>
        <v>156.84389140271492</v>
      </c>
      <c r="X503" s="154">
        <f>'copy data3'!D557</f>
        <v>523</v>
      </c>
      <c r="Y503" s="38">
        <f t="shared" si="98"/>
        <v>531.25</v>
      </c>
      <c r="Z503" s="71">
        <f t="shared" si="99"/>
        <v>102.55791505791505</v>
      </c>
      <c r="AA503" s="152">
        <f>'copy data3'!F557</f>
        <v>1044</v>
      </c>
      <c r="AB503" s="38">
        <f t="shared" si="100"/>
        <v>1009.75</v>
      </c>
      <c r="AC503" s="71">
        <f t="shared" si="101"/>
        <v>115.00569476082005</v>
      </c>
      <c r="AD503" s="152">
        <f>'copy data3'!H557</f>
        <v>978</v>
      </c>
      <c r="AE503" s="38">
        <f t="shared" si="102"/>
        <v>1013.75</v>
      </c>
      <c r="AF503" s="71">
        <f t="shared" si="103"/>
        <v>131.31476683937825</v>
      </c>
      <c r="AG503" s="152">
        <f>'copy data3'!J557</f>
        <v>286</v>
      </c>
      <c r="AH503" s="38">
        <f t="shared" si="104"/>
        <v>266.5</v>
      </c>
      <c r="AI503" s="71">
        <f t="shared" si="105"/>
        <v>144.05405405405403</v>
      </c>
      <c r="AJ503" s="152">
        <f>'copy data3'!L557</f>
        <v>4812</v>
      </c>
      <c r="AK503" s="38">
        <f t="shared" si="106"/>
        <v>4901.25</v>
      </c>
      <c r="AL503" s="71">
        <f t="shared" si="107"/>
        <v>133.18614130434781</v>
      </c>
      <c r="AM503" s="152">
        <f>'copy data3'!N557</f>
        <v>9495</v>
      </c>
      <c r="AN503" s="38">
        <f t="shared" si="108"/>
        <v>10109</v>
      </c>
      <c r="AO503" s="71">
        <f t="shared" si="109"/>
        <v>112.37216540684749</v>
      </c>
      <c r="AP503" s="152">
        <f>'copy data3'!P557</f>
        <v>2912</v>
      </c>
      <c r="AQ503" s="38">
        <f t="shared" si="110"/>
        <v>2442.5</v>
      </c>
      <c r="AR503" s="71">
        <f t="shared" si="111"/>
        <v>82.880895826263995</v>
      </c>
      <c r="AS503" s="153">
        <f>'copy data3'!R557</f>
        <v>17219</v>
      </c>
      <c r="AT503" s="38">
        <f t="shared" si="93"/>
        <v>17452.75</v>
      </c>
      <c r="AU503" s="71">
        <f t="shared" si="92"/>
        <v>111.71189912308776</v>
      </c>
    </row>
    <row r="504" spans="1:47" ht="15.6" x14ac:dyDescent="0.3">
      <c r="A504" s="55">
        <v>38267</v>
      </c>
      <c r="B504" s="56">
        <v>1775</v>
      </c>
      <c r="C504" s="56">
        <v>3683</v>
      </c>
      <c r="D504" s="56">
        <v>623</v>
      </c>
      <c r="E504" s="56">
        <v>1765</v>
      </c>
      <c r="F504" s="56">
        <v>1336</v>
      </c>
      <c r="G504" s="56">
        <v>3090</v>
      </c>
      <c r="H504" s="56">
        <v>1068</v>
      </c>
      <c r="I504" s="56">
        <v>1786</v>
      </c>
      <c r="J504" s="56">
        <v>69</v>
      </c>
      <c r="K504" s="56">
        <v>251</v>
      </c>
      <c r="L504" s="56">
        <v>4870</v>
      </c>
      <c r="M504" s="56">
        <v>10574</v>
      </c>
      <c r="N504" s="56">
        <v>7934</v>
      </c>
      <c r="O504" s="56">
        <v>4758</v>
      </c>
      <c r="P504" s="56">
        <v>8694</v>
      </c>
      <c r="Q504" s="56">
        <v>1681</v>
      </c>
      <c r="R504" s="16">
        <f t="shared" si="95"/>
        <v>21498</v>
      </c>
      <c r="T504" s="144">
        <f t="shared" si="94"/>
        <v>40374</v>
      </c>
      <c r="U504" s="154">
        <f>'copy data3'!B558</f>
        <v>1825</v>
      </c>
      <c r="V504" s="38">
        <f t="shared" si="96"/>
        <v>1993.75</v>
      </c>
      <c r="W504" s="71">
        <f t="shared" si="97"/>
        <v>152.42737003058105</v>
      </c>
      <c r="X504" s="154">
        <f>'copy data3'!D558</f>
        <v>519</v>
      </c>
      <c r="Y504" s="38">
        <f t="shared" si="98"/>
        <v>532.5</v>
      </c>
      <c r="Z504" s="71">
        <f t="shared" si="99"/>
        <v>98.977695167286257</v>
      </c>
      <c r="AA504" s="152">
        <f>'copy data3'!F558</f>
        <v>1035</v>
      </c>
      <c r="AB504" s="38">
        <f t="shared" si="100"/>
        <v>1013.25</v>
      </c>
      <c r="AC504" s="71">
        <f t="shared" si="101"/>
        <v>119.06580493537015</v>
      </c>
      <c r="AD504" s="152">
        <f>'copy data3'!H558</f>
        <v>976</v>
      </c>
      <c r="AE504" s="38">
        <f t="shared" si="102"/>
        <v>988</v>
      </c>
      <c r="AF504" s="71">
        <f t="shared" si="103"/>
        <v>140.1418439716312</v>
      </c>
      <c r="AG504" s="152">
        <f>'copy data3'!J558</f>
        <v>294</v>
      </c>
      <c r="AH504" s="38">
        <f t="shared" si="104"/>
        <v>277.5</v>
      </c>
      <c r="AI504" s="71">
        <f t="shared" si="105"/>
        <v>151.63934426229508</v>
      </c>
      <c r="AJ504" s="152">
        <f>'copy data3'!L558</f>
        <v>4649</v>
      </c>
      <c r="AK504" s="38">
        <f t="shared" si="106"/>
        <v>4805.25</v>
      </c>
      <c r="AL504" s="71">
        <f t="shared" si="107"/>
        <v>134.00027886224206</v>
      </c>
      <c r="AM504" s="152">
        <f>'copy data3'!N558</f>
        <v>9161</v>
      </c>
      <c r="AN504" s="38">
        <f t="shared" si="108"/>
        <v>9726.25</v>
      </c>
      <c r="AO504" s="71">
        <f t="shared" si="109"/>
        <v>110.11264576021738</v>
      </c>
      <c r="AP504" s="152">
        <f>'copy data3'!P558</f>
        <v>2749</v>
      </c>
      <c r="AQ504" s="38">
        <f t="shared" si="110"/>
        <v>2594.75</v>
      </c>
      <c r="AR504" s="71">
        <f t="shared" si="111"/>
        <v>86.955428954423596</v>
      </c>
      <c r="AS504" s="153">
        <f>'copy data3'!R558</f>
        <v>16559</v>
      </c>
      <c r="AT504" s="38">
        <f t="shared" si="93"/>
        <v>17126.25</v>
      </c>
      <c r="AU504" s="71">
        <f t="shared" si="92"/>
        <v>111.18775563201974</v>
      </c>
    </row>
    <row r="505" spans="1:47" ht="15.6" x14ac:dyDescent="0.3">
      <c r="A505" s="55">
        <v>38631</v>
      </c>
      <c r="B505" s="56">
        <v>2469</v>
      </c>
      <c r="C505" s="56">
        <v>3910</v>
      </c>
      <c r="D505" s="56">
        <v>298</v>
      </c>
      <c r="E505" s="56">
        <v>872</v>
      </c>
      <c r="F505" s="56">
        <v>1158</v>
      </c>
      <c r="G505" s="56">
        <v>2950</v>
      </c>
      <c r="H505" s="56">
        <v>800</v>
      </c>
      <c r="I505" s="56">
        <v>1251</v>
      </c>
      <c r="J505" s="56">
        <v>84</v>
      </c>
      <c r="K505" s="56">
        <v>304</v>
      </c>
      <c r="L505" s="56">
        <v>4809</v>
      </c>
      <c r="M505" s="56">
        <v>9286</v>
      </c>
      <c r="N505" s="56">
        <v>7645</v>
      </c>
      <c r="O505" s="56">
        <v>4112</v>
      </c>
      <c r="P505" s="56">
        <v>6096</v>
      </c>
      <c r="Q505" s="56">
        <v>1134</v>
      </c>
      <c r="R505" s="16">
        <f t="shared" si="95"/>
        <v>18550</v>
      </c>
      <c r="T505" s="144">
        <f t="shared" si="94"/>
        <v>40381</v>
      </c>
      <c r="U505" s="154">
        <f>'copy data3'!B559</f>
        <v>2013</v>
      </c>
      <c r="V505" s="38">
        <f t="shared" si="96"/>
        <v>1971</v>
      </c>
      <c r="W505" s="71">
        <f t="shared" si="97"/>
        <v>148.6425339366516</v>
      </c>
      <c r="X505" s="154">
        <f>'copy data3'!D559</f>
        <v>540</v>
      </c>
      <c r="Y505" s="38">
        <f t="shared" si="98"/>
        <v>530.5</v>
      </c>
      <c r="Z505" s="71">
        <f t="shared" si="99"/>
        <v>88.712374581939798</v>
      </c>
      <c r="AA505" s="152">
        <f>'copy data3'!F559</f>
        <v>1187</v>
      </c>
      <c r="AB505" s="38">
        <f t="shared" si="100"/>
        <v>1069.75</v>
      </c>
      <c r="AC505" s="71">
        <f t="shared" si="101"/>
        <v>115.15069967707213</v>
      </c>
      <c r="AD505" s="152">
        <f>'copy data3'!H559</f>
        <v>1021</v>
      </c>
      <c r="AE505" s="38">
        <f t="shared" si="102"/>
        <v>983.5</v>
      </c>
      <c r="AF505" s="71">
        <f t="shared" si="103"/>
        <v>124.96823379923761</v>
      </c>
      <c r="AG505" s="152">
        <f>'copy data3'!J559</f>
        <v>356</v>
      </c>
      <c r="AH505" s="38">
        <f t="shared" si="104"/>
        <v>304</v>
      </c>
      <c r="AI505" s="71">
        <f t="shared" si="105"/>
        <v>142.72300469483568</v>
      </c>
      <c r="AJ505" s="152">
        <f>'copy data3'!L559</f>
        <v>5118</v>
      </c>
      <c r="AK505" s="38">
        <f t="shared" si="106"/>
        <v>4859.25</v>
      </c>
      <c r="AL505" s="71">
        <f t="shared" si="107"/>
        <v>126.11601349597717</v>
      </c>
      <c r="AM505" s="152">
        <f>'copy data3'!N559</f>
        <v>8394</v>
      </c>
      <c r="AN505" s="38">
        <f t="shared" si="108"/>
        <v>9227.5</v>
      </c>
      <c r="AO505" s="71">
        <f t="shared" si="109"/>
        <v>117.74275870868955</v>
      </c>
      <c r="AP505" s="152">
        <f>'copy data3'!P559</f>
        <v>2910</v>
      </c>
      <c r="AQ505" s="38">
        <f t="shared" si="110"/>
        <v>2755.75</v>
      </c>
      <c r="AR505" s="71">
        <f t="shared" si="111"/>
        <v>95.453758226532742</v>
      </c>
      <c r="AS505" s="153">
        <f>'copy data3'!R559</f>
        <v>16422</v>
      </c>
      <c r="AT505" s="38">
        <f t="shared" si="93"/>
        <v>16842.5</v>
      </c>
      <c r="AU505" s="71">
        <f t="shared" si="92"/>
        <v>115.5416066405982</v>
      </c>
    </row>
    <row r="506" spans="1:47" ht="15.6" x14ac:dyDescent="0.3">
      <c r="A506" s="55">
        <v>38274</v>
      </c>
      <c r="B506" s="56">
        <v>1622</v>
      </c>
      <c r="C506" s="56">
        <v>3883</v>
      </c>
      <c r="D506" s="56">
        <v>612</v>
      </c>
      <c r="E506" s="56">
        <v>1847</v>
      </c>
      <c r="F506" s="56">
        <v>1329</v>
      </c>
      <c r="G506" s="56">
        <v>3243</v>
      </c>
      <c r="H506" s="56">
        <v>990</v>
      </c>
      <c r="I506" s="56">
        <v>1891</v>
      </c>
      <c r="J506" s="56">
        <v>96</v>
      </c>
      <c r="K506" s="56">
        <v>251</v>
      </c>
      <c r="L506" s="56">
        <v>4649</v>
      </c>
      <c r="M506" s="56">
        <v>11114</v>
      </c>
      <c r="N506" s="56">
        <v>8638</v>
      </c>
      <c r="O506" s="56">
        <v>5362</v>
      </c>
      <c r="P506" s="56">
        <v>8709</v>
      </c>
      <c r="Q506" s="56">
        <v>2654</v>
      </c>
      <c r="R506" s="16">
        <f t="shared" si="95"/>
        <v>21996</v>
      </c>
      <c r="T506" s="144">
        <f t="shared" si="94"/>
        <v>40388</v>
      </c>
      <c r="U506" s="154">
        <f>'copy data3'!B560</f>
        <v>2116</v>
      </c>
      <c r="V506" s="38">
        <f t="shared" si="96"/>
        <v>1983.5</v>
      </c>
      <c r="W506" s="71">
        <f t="shared" si="97"/>
        <v>145.41788856304984</v>
      </c>
      <c r="X506" s="154">
        <f>'copy data3'!D560</f>
        <v>601</v>
      </c>
      <c r="Y506" s="38">
        <f t="shared" si="98"/>
        <v>545.75</v>
      </c>
      <c r="Z506" s="71">
        <f t="shared" si="99"/>
        <v>95.913884007029878</v>
      </c>
      <c r="AA506" s="152">
        <f>'copy data3'!F560</f>
        <v>1229</v>
      </c>
      <c r="AB506" s="38">
        <f t="shared" si="100"/>
        <v>1123.75</v>
      </c>
      <c r="AC506" s="71">
        <f t="shared" si="101"/>
        <v>119.04131355932203</v>
      </c>
      <c r="AD506" s="152">
        <f>'copy data3'!H560</f>
        <v>1144</v>
      </c>
      <c r="AE506" s="38">
        <f t="shared" si="102"/>
        <v>1029.75</v>
      </c>
      <c r="AF506" s="71">
        <f t="shared" si="103"/>
        <v>114.67149220489978</v>
      </c>
      <c r="AG506" s="152">
        <f>'copy data3'!J560</f>
        <v>309</v>
      </c>
      <c r="AH506" s="38">
        <f t="shared" si="104"/>
        <v>311.25</v>
      </c>
      <c r="AI506" s="71">
        <f t="shared" si="105"/>
        <v>129.14937759336101</v>
      </c>
      <c r="AJ506" s="152">
        <f>'copy data3'!L560</f>
        <v>5400</v>
      </c>
      <c r="AK506" s="38">
        <f t="shared" si="106"/>
        <v>4994.75</v>
      </c>
      <c r="AL506" s="71">
        <f t="shared" si="107"/>
        <v>124.37126494023904</v>
      </c>
      <c r="AM506" s="152">
        <f>'copy data3'!N560</f>
        <v>8033</v>
      </c>
      <c r="AN506" s="38">
        <f t="shared" si="108"/>
        <v>8770.75</v>
      </c>
      <c r="AO506" s="71">
        <f t="shared" si="109"/>
        <v>124.05586987270156</v>
      </c>
      <c r="AP506" s="152">
        <f>'copy data3'!P560</f>
        <v>2656</v>
      </c>
      <c r="AQ506" s="38">
        <f t="shared" si="110"/>
        <v>2806.75</v>
      </c>
      <c r="AR506" s="71">
        <f t="shared" si="111"/>
        <v>88.708912768647281</v>
      </c>
      <c r="AS506" s="153">
        <f>'copy data3'!R560</f>
        <v>16089</v>
      </c>
      <c r="AT506" s="38">
        <f t="shared" si="93"/>
        <v>16572.25</v>
      </c>
      <c r="AU506" s="71">
        <f t="shared" si="92"/>
        <v>116.29649122807018</v>
      </c>
    </row>
    <row r="507" spans="1:47" ht="15.6" x14ac:dyDescent="0.3">
      <c r="A507" s="55">
        <v>38638</v>
      </c>
      <c r="B507" s="56">
        <v>2355</v>
      </c>
      <c r="C507" s="56">
        <v>4090</v>
      </c>
      <c r="D507" s="56">
        <v>313</v>
      </c>
      <c r="E507" s="56">
        <v>907</v>
      </c>
      <c r="F507" s="56">
        <v>1137</v>
      </c>
      <c r="G507" s="56">
        <v>3135</v>
      </c>
      <c r="H507" s="56">
        <v>777</v>
      </c>
      <c r="I507" s="56">
        <v>1379</v>
      </c>
      <c r="J507" s="56">
        <v>70</v>
      </c>
      <c r="K507" s="56">
        <v>326</v>
      </c>
      <c r="L507" s="56">
        <v>4651</v>
      </c>
      <c r="M507" s="56">
        <v>9837</v>
      </c>
      <c r="N507" s="56">
        <v>7380</v>
      </c>
      <c r="O507" s="56">
        <v>5343</v>
      </c>
      <c r="P507" s="56">
        <v>5987</v>
      </c>
      <c r="Q507" s="56">
        <v>2132</v>
      </c>
      <c r="R507" s="16">
        <f t="shared" si="95"/>
        <v>18018</v>
      </c>
      <c r="T507" s="144">
        <f t="shared" si="94"/>
        <v>40395</v>
      </c>
      <c r="U507" s="154">
        <f>'copy data3'!B561</f>
        <v>2753</v>
      </c>
      <c r="V507" s="38">
        <f t="shared" si="96"/>
        <v>2176.75</v>
      </c>
      <c r="W507" s="71">
        <f t="shared" si="97"/>
        <v>163.91189759036143</v>
      </c>
      <c r="X507" s="154">
        <f>'copy data3'!D561</f>
        <v>584</v>
      </c>
      <c r="Y507" s="38">
        <f t="shared" si="98"/>
        <v>561</v>
      </c>
      <c r="Z507" s="71">
        <f t="shared" si="99"/>
        <v>88.485804416403795</v>
      </c>
      <c r="AA507" s="152">
        <f>'copy data3'!F561</f>
        <v>1391</v>
      </c>
      <c r="AB507" s="38">
        <f t="shared" si="100"/>
        <v>1210.5</v>
      </c>
      <c r="AC507" s="71">
        <f t="shared" si="101"/>
        <v>128.09523809523807</v>
      </c>
      <c r="AD507" s="152">
        <f>'copy data3'!H561</f>
        <v>1261</v>
      </c>
      <c r="AE507" s="38">
        <f t="shared" si="102"/>
        <v>1100.5</v>
      </c>
      <c r="AF507" s="71">
        <f t="shared" si="103"/>
        <v>111.7258883248731</v>
      </c>
      <c r="AG507" s="152">
        <f>'copy data3'!J561</f>
        <v>307</v>
      </c>
      <c r="AH507" s="38">
        <f t="shared" si="104"/>
        <v>316.5</v>
      </c>
      <c r="AI507" s="71">
        <f t="shared" si="105"/>
        <v>138.20960698689956</v>
      </c>
      <c r="AJ507" s="152">
        <f>'copy data3'!L561</f>
        <v>6295</v>
      </c>
      <c r="AK507" s="38">
        <f t="shared" si="106"/>
        <v>5365.5</v>
      </c>
      <c r="AL507" s="71">
        <f t="shared" si="107"/>
        <v>130.38882138517619</v>
      </c>
      <c r="AM507" s="152">
        <f>'copy data3'!N561</f>
        <v>7464</v>
      </c>
      <c r="AN507" s="38">
        <f t="shared" si="108"/>
        <v>8263</v>
      </c>
      <c r="AO507" s="71">
        <f t="shared" si="109"/>
        <v>124.18094379320709</v>
      </c>
      <c r="AP507" s="152">
        <f>'copy data3'!P561</f>
        <v>2707</v>
      </c>
      <c r="AQ507" s="38">
        <f t="shared" si="110"/>
        <v>2755.5</v>
      </c>
      <c r="AR507" s="71">
        <f t="shared" si="111"/>
        <v>87.392959086584213</v>
      </c>
      <c r="AS507" s="153">
        <f>'copy data3'!R561</f>
        <v>16466</v>
      </c>
      <c r="AT507" s="38">
        <f t="shared" si="93"/>
        <v>16384</v>
      </c>
      <c r="AU507" s="71">
        <f t="shared" si="92"/>
        <v>117.68424077000429</v>
      </c>
    </row>
    <row r="508" spans="1:47" ht="15.6" x14ac:dyDescent="0.3">
      <c r="A508" s="55">
        <v>38281</v>
      </c>
      <c r="B508" s="56">
        <v>1650</v>
      </c>
      <c r="C508" s="56">
        <v>3950</v>
      </c>
      <c r="D508" s="56">
        <v>509</v>
      </c>
      <c r="E508" s="56">
        <v>1942</v>
      </c>
      <c r="F508" s="56">
        <v>1371</v>
      </c>
      <c r="G508" s="56">
        <v>3354</v>
      </c>
      <c r="H508" s="56">
        <v>995</v>
      </c>
      <c r="I508" s="56">
        <v>2045</v>
      </c>
      <c r="J508" s="56">
        <v>105</v>
      </c>
      <c r="K508" s="56">
        <v>262</v>
      </c>
      <c r="L508" s="56">
        <v>4640</v>
      </c>
      <c r="M508" s="56">
        <v>11553</v>
      </c>
      <c r="N508" s="56">
        <v>8532</v>
      </c>
      <c r="O508" s="56">
        <v>6558</v>
      </c>
      <c r="P508" s="56">
        <v>8598</v>
      </c>
      <c r="Q508" s="56">
        <v>3690</v>
      </c>
      <c r="R508" s="16">
        <f t="shared" si="95"/>
        <v>21770</v>
      </c>
      <c r="T508" s="144">
        <f t="shared" si="94"/>
        <v>40402</v>
      </c>
      <c r="U508" s="154">
        <f>'copy data3'!B562</f>
        <v>3191</v>
      </c>
      <c r="V508" s="38">
        <f t="shared" si="96"/>
        <v>2518.25</v>
      </c>
      <c r="W508" s="71">
        <f t="shared" si="97"/>
        <v>189.48457486832206</v>
      </c>
      <c r="X508" s="154">
        <f>'copy data3'!D562</f>
        <v>559</v>
      </c>
      <c r="Y508" s="38">
        <f t="shared" si="98"/>
        <v>571</v>
      </c>
      <c r="Z508" s="71">
        <f t="shared" si="99"/>
        <v>91.36</v>
      </c>
      <c r="AA508" s="152">
        <f>'copy data3'!F562</f>
        <v>1781</v>
      </c>
      <c r="AB508" s="38">
        <f t="shared" si="100"/>
        <v>1397</v>
      </c>
      <c r="AC508" s="71">
        <f t="shared" si="101"/>
        <v>150.21505376344086</v>
      </c>
      <c r="AD508" s="152">
        <f>'copy data3'!H562</f>
        <v>1230</v>
      </c>
      <c r="AE508" s="38">
        <f t="shared" si="102"/>
        <v>1164</v>
      </c>
      <c r="AF508" s="71">
        <f t="shared" si="103"/>
        <v>118.41302136317395</v>
      </c>
      <c r="AG508" s="152">
        <f>'copy data3'!J562</f>
        <v>370</v>
      </c>
      <c r="AH508" s="38">
        <f t="shared" si="104"/>
        <v>335.5</v>
      </c>
      <c r="AI508" s="71">
        <f t="shared" si="105"/>
        <v>143.99141630901286</v>
      </c>
      <c r="AJ508" s="152">
        <f>'copy data3'!L562</f>
        <v>7131</v>
      </c>
      <c r="AK508" s="38">
        <f t="shared" si="106"/>
        <v>5986</v>
      </c>
      <c r="AL508" s="71">
        <f t="shared" si="107"/>
        <v>146.03561844352282</v>
      </c>
      <c r="AM508" s="152">
        <f>'copy data3'!N562</f>
        <v>7053</v>
      </c>
      <c r="AN508" s="38">
        <f t="shared" si="108"/>
        <v>7736</v>
      </c>
      <c r="AO508" s="71">
        <f t="shared" si="109"/>
        <v>126.67430817095138</v>
      </c>
      <c r="AP508" s="152">
        <f>'copy data3'!P562</f>
        <v>2391</v>
      </c>
      <c r="AQ508" s="38">
        <f t="shared" si="110"/>
        <v>2666</v>
      </c>
      <c r="AR508" s="71">
        <f t="shared" si="111"/>
        <v>81.454323250840204</v>
      </c>
      <c r="AS508" s="153">
        <f>'copy data3'!R562</f>
        <v>16575</v>
      </c>
      <c r="AT508" s="38">
        <f t="shared" si="93"/>
        <v>16388</v>
      </c>
      <c r="AU508" s="71">
        <f t="shared" si="92"/>
        <v>121.58171971214482</v>
      </c>
    </row>
    <row r="509" spans="1:47" ht="15.6" x14ac:dyDescent="0.3">
      <c r="A509" s="55">
        <v>38645</v>
      </c>
      <c r="B509" s="56">
        <v>2156</v>
      </c>
      <c r="C509" s="56">
        <v>4329</v>
      </c>
      <c r="D509" s="56">
        <v>285</v>
      </c>
      <c r="E509" s="56">
        <v>936</v>
      </c>
      <c r="F509" s="56">
        <v>1112</v>
      </c>
      <c r="G509" s="56">
        <v>3316</v>
      </c>
      <c r="H509" s="56">
        <v>711</v>
      </c>
      <c r="I509" s="56">
        <v>1625</v>
      </c>
      <c r="J509" s="56">
        <v>68</v>
      </c>
      <c r="K509" s="56">
        <v>329</v>
      </c>
      <c r="L509" s="56">
        <v>4332</v>
      </c>
      <c r="M509" s="56">
        <v>10536</v>
      </c>
      <c r="N509" s="56">
        <v>7150</v>
      </c>
      <c r="O509" s="56">
        <v>6292</v>
      </c>
      <c r="P509" s="56">
        <v>5923</v>
      </c>
      <c r="Q509" s="56">
        <v>3038</v>
      </c>
      <c r="R509" s="16">
        <f t="shared" si="95"/>
        <v>17405</v>
      </c>
      <c r="T509" s="144">
        <f t="shared" si="94"/>
        <v>40409</v>
      </c>
      <c r="U509" s="154">
        <f>'copy data3'!B563</f>
        <v>3565</v>
      </c>
      <c r="V509" s="38">
        <f t="shared" si="96"/>
        <v>2906.25</v>
      </c>
      <c r="W509" s="71">
        <f t="shared" si="97"/>
        <v>207.293152639087</v>
      </c>
      <c r="X509" s="154">
        <f>'copy data3'!D563</f>
        <v>608</v>
      </c>
      <c r="Y509" s="38">
        <f t="shared" si="98"/>
        <v>588</v>
      </c>
      <c r="Z509" s="71">
        <f t="shared" si="99"/>
        <v>80.658436213991763</v>
      </c>
      <c r="AA509" s="152">
        <f>'copy data3'!F563</f>
        <v>1952</v>
      </c>
      <c r="AB509" s="38">
        <f t="shared" si="100"/>
        <v>1588.25</v>
      </c>
      <c r="AC509" s="71">
        <f t="shared" si="101"/>
        <v>165.6152241918665</v>
      </c>
      <c r="AD509" s="152">
        <f>'copy data3'!H563</f>
        <v>1246</v>
      </c>
      <c r="AE509" s="38">
        <f t="shared" si="102"/>
        <v>1220.25</v>
      </c>
      <c r="AF509" s="71">
        <f t="shared" si="103"/>
        <v>125.92879256965945</v>
      </c>
      <c r="AG509" s="152">
        <f>'copy data3'!J563</f>
        <v>331</v>
      </c>
      <c r="AH509" s="38">
        <f t="shared" si="104"/>
        <v>329.25</v>
      </c>
      <c r="AI509" s="71">
        <f t="shared" si="105"/>
        <v>135.49382716049382</v>
      </c>
      <c r="AJ509" s="152">
        <f>'copy data3'!L563</f>
        <v>7702</v>
      </c>
      <c r="AK509" s="38">
        <f t="shared" si="106"/>
        <v>6632</v>
      </c>
      <c r="AL509" s="71">
        <f t="shared" si="107"/>
        <v>154.16085541608555</v>
      </c>
      <c r="AM509" s="152">
        <f>'copy data3'!N563</f>
        <v>5923</v>
      </c>
      <c r="AN509" s="38">
        <f t="shared" si="108"/>
        <v>7118.25</v>
      </c>
      <c r="AO509" s="71">
        <f t="shared" si="109"/>
        <v>139.62828560219694</v>
      </c>
      <c r="AP509" s="152">
        <f>'copy data3'!P563</f>
        <v>2237</v>
      </c>
      <c r="AQ509" s="38">
        <f t="shared" si="110"/>
        <v>2497.75</v>
      </c>
      <c r="AR509" s="71">
        <f t="shared" si="111"/>
        <v>81.920301738274844</v>
      </c>
      <c r="AS509" s="153">
        <f>'copy data3'!R563</f>
        <v>15862</v>
      </c>
      <c r="AT509" s="38">
        <f t="shared" si="93"/>
        <v>16248</v>
      </c>
      <c r="AU509" s="71">
        <f t="shared" ref="AU509:AU539" si="112">(AT509/AS457)*100</f>
        <v>130.51650734998793</v>
      </c>
    </row>
    <row r="510" spans="1:47" ht="15.6" x14ac:dyDescent="0.3">
      <c r="A510" s="55">
        <v>38288</v>
      </c>
      <c r="B510" s="56">
        <v>1596</v>
      </c>
      <c r="C510" s="56">
        <v>4186</v>
      </c>
      <c r="D510" s="56">
        <v>506</v>
      </c>
      <c r="E510" s="56">
        <v>1968</v>
      </c>
      <c r="F510" s="56">
        <v>1314</v>
      </c>
      <c r="G510" s="56">
        <v>3518</v>
      </c>
      <c r="H510" s="56">
        <v>865</v>
      </c>
      <c r="I510" s="56">
        <v>2261</v>
      </c>
      <c r="J510" s="56">
        <v>100</v>
      </c>
      <c r="K510" s="56">
        <v>267</v>
      </c>
      <c r="L510" s="56">
        <v>4381</v>
      </c>
      <c r="M510" s="56">
        <v>12200</v>
      </c>
      <c r="N510" s="56">
        <v>9340</v>
      </c>
      <c r="O510" s="56">
        <v>7203</v>
      </c>
      <c r="P510" s="56">
        <v>7408</v>
      </c>
      <c r="Q510" s="56">
        <v>5359</v>
      </c>
      <c r="R510" s="16">
        <f t="shared" si="95"/>
        <v>21129</v>
      </c>
      <c r="T510" s="144">
        <f t="shared" si="94"/>
        <v>40416</v>
      </c>
      <c r="U510" s="154">
        <f>'copy data3'!B564</f>
        <v>3585</v>
      </c>
      <c r="V510" s="38">
        <f t="shared" si="96"/>
        <v>3273.5</v>
      </c>
      <c r="W510" s="71">
        <f t="shared" si="97"/>
        <v>257.55310778914242</v>
      </c>
      <c r="X510" s="154">
        <f>'copy data3'!D564</f>
        <v>629</v>
      </c>
      <c r="Y510" s="38">
        <f t="shared" si="98"/>
        <v>595</v>
      </c>
      <c r="Z510" s="71">
        <f t="shared" si="99"/>
        <v>73.185731857318572</v>
      </c>
      <c r="AA510" s="152">
        <f>'copy data3'!F564</f>
        <v>2232</v>
      </c>
      <c r="AB510" s="38">
        <f t="shared" si="100"/>
        <v>1839</v>
      </c>
      <c r="AC510" s="71">
        <f t="shared" si="101"/>
        <v>192.76729559748426</v>
      </c>
      <c r="AD510" s="152">
        <f>'copy data3'!H564</f>
        <v>1329</v>
      </c>
      <c r="AE510" s="38">
        <f t="shared" si="102"/>
        <v>1266.5</v>
      </c>
      <c r="AF510" s="71">
        <f t="shared" si="103"/>
        <v>131.51609553478713</v>
      </c>
      <c r="AG510" s="152">
        <f>'copy data3'!J564</f>
        <v>357</v>
      </c>
      <c r="AH510" s="38">
        <f t="shared" si="104"/>
        <v>341.25</v>
      </c>
      <c r="AI510" s="71">
        <f t="shared" si="105"/>
        <v>126.38888888888889</v>
      </c>
      <c r="AJ510" s="152">
        <f>'copy data3'!L564</f>
        <v>8133</v>
      </c>
      <c r="AK510" s="38">
        <f t="shared" si="106"/>
        <v>7315.25</v>
      </c>
      <c r="AL510" s="71">
        <f t="shared" si="107"/>
        <v>171.23712546816478</v>
      </c>
      <c r="AM510" s="152">
        <f>'copy data3'!N564</f>
        <v>4753</v>
      </c>
      <c r="AN510" s="38">
        <f t="shared" si="108"/>
        <v>6298.25</v>
      </c>
      <c r="AO510" s="71">
        <f t="shared" si="109"/>
        <v>143.20713960891314</v>
      </c>
      <c r="AP510" s="152">
        <f>'copy data3'!P564</f>
        <v>2004</v>
      </c>
      <c r="AQ510" s="38">
        <f t="shared" si="110"/>
        <v>2334.75</v>
      </c>
      <c r="AR510" s="71">
        <f t="shared" si="111"/>
        <v>98.016372795969772</v>
      </c>
      <c r="AS510" s="153">
        <f>'copy data3'!R564</f>
        <v>14890</v>
      </c>
      <c r="AT510" s="38">
        <f t="shared" si="93"/>
        <v>15948.25</v>
      </c>
      <c r="AU510" s="71">
        <f t="shared" si="112"/>
        <v>144.30193630112197</v>
      </c>
    </row>
    <row r="511" spans="1:47" ht="15.6" x14ac:dyDescent="0.3">
      <c r="A511" s="55">
        <v>38652</v>
      </c>
      <c r="B511" s="56">
        <v>1967</v>
      </c>
      <c r="C511" s="56">
        <v>4622</v>
      </c>
      <c r="D511" s="56">
        <v>283</v>
      </c>
      <c r="E511" s="56">
        <v>963</v>
      </c>
      <c r="F511" s="56">
        <v>1172</v>
      </c>
      <c r="G511" s="56">
        <v>3450</v>
      </c>
      <c r="H511" s="56">
        <v>695</v>
      </c>
      <c r="I511" s="56">
        <v>1716</v>
      </c>
      <c r="J511" s="56">
        <v>102</v>
      </c>
      <c r="K511" s="56">
        <v>332</v>
      </c>
      <c r="L511" s="56">
        <v>4219</v>
      </c>
      <c r="M511" s="56">
        <v>11083</v>
      </c>
      <c r="N511" s="56">
        <v>7354</v>
      </c>
      <c r="O511" s="56">
        <v>7306</v>
      </c>
      <c r="P511" s="56">
        <v>5673</v>
      </c>
      <c r="Q511" s="56">
        <v>4050</v>
      </c>
      <c r="R511" s="16">
        <f t="shared" si="95"/>
        <v>17246</v>
      </c>
      <c r="T511" s="144">
        <f t="shared" si="94"/>
        <v>40423</v>
      </c>
      <c r="U511" s="154">
        <f>'copy data3'!B565</f>
        <v>3899</v>
      </c>
      <c r="V511" s="38">
        <f t="shared" si="96"/>
        <v>3560</v>
      </c>
      <c r="W511" s="71">
        <f t="shared" si="97"/>
        <v>277.69110764430576</v>
      </c>
      <c r="X511" s="154">
        <f>'copy data3'!D565</f>
        <v>599</v>
      </c>
      <c r="Y511" s="38">
        <f t="shared" si="98"/>
        <v>598.75</v>
      </c>
      <c r="Z511" s="71">
        <f t="shared" si="99"/>
        <v>68.821839080459768</v>
      </c>
      <c r="AA511" s="152">
        <f>'copy data3'!F565</f>
        <v>2230</v>
      </c>
      <c r="AB511" s="38">
        <f t="shared" si="100"/>
        <v>2048.75</v>
      </c>
      <c r="AC511" s="71">
        <f t="shared" si="101"/>
        <v>208.84301732925587</v>
      </c>
      <c r="AD511" s="152">
        <f>'copy data3'!H565</f>
        <v>1341</v>
      </c>
      <c r="AE511" s="38">
        <f t="shared" si="102"/>
        <v>1286.5</v>
      </c>
      <c r="AF511" s="71">
        <f t="shared" si="103"/>
        <v>133.73180873180871</v>
      </c>
      <c r="AG511" s="152">
        <f>'copy data3'!J565</f>
        <v>358</v>
      </c>
      <c r="AH511" s="38">
        <f t="shared" si="104"/>
        <v>354</v>
      </c>
      <c r="AI511" s="71">
        <f t="shared" si="105"/>
        <v>128.72727272727275</v>
      </c>
      <c r="AJ511" s="152">
        <f>'copy data3'!L565</f>
        <v>8426</v>
      </c>
      <c r="AK511" s="38">
        <f t="shared" si="106"/>
        <v>7848</v>
      </c>
      <c r="AL511" s="71">
        <f t="shared" si="107"/>
        <v>179.54701441317775</v>
      </c>
      <c r="AM511" s="152">
        <f>'copy data3'!N565</f>
        <v>15102</v>
      </c>
      <c r="AN511" s="38">
        <f t="shared" si="108"/>
        <v>8207.75</v>
      </c>
      <c r="AO511" s="71">
        <f t="shared" si="109"/>
        <v>67.6593026131399</v>
      </c>
      <c r="AP511" s="152">
        <f>'copy data3'!P565</f>
        <v>17705</v>
      </c>
      <c r="AQ511" s="38">
        <f t="shared" si="110"/>
        <v>6084.25</v>
      </c>
      <c r="AR511" s="71">
        <f t="shared" si="111"/>
        <v>35.901634507582465</v>
      </c>
      <c r="AS511" s="153">
        <f>'copy data3'!R565</f>
        <v>41233</v>
      </c>
      <c r="AT511" s="38">
        <f t="shared" si="93"/>
        <v>22140</v>
      </c>
      <c r="AU511" s="71">
        <f t="shared" si="112"/>
        <v>66.190319591019161</v>
      </c>
    </row>
    <row r="512" spans="1:47" ht="15.6" x14ac:dyDescent="0.3">
      <c r="A512" s="55">
        <v>38295</v>
      </c>
      <c r="B512" s="56">
        <v>1556</v>
      </c>
      <c r="C512" s="56">
        <v>4413</v>
      </c>
      <c r="D512" s="56">
        <v>532</v>
      </c>
      <c r="E512" s="56">
        <v>1979</v>
      </c>
      <c r="F512" s="56">
        <v>1340</v>
      </c>
      <c r="G512" s="56">
        <v>3722</v>
      </c>
      <c r="H512" s="56">
        <v>915</v>
      </c>
      <c r="I512" s="56">
        <v>2404</v>
      </c>
      <c r="J512" s="56">
        <v>105</v>
      </c>
      <c r="K512" s="56">
        <v>272</v>
      </c>
      <c r="L512" s="56">
        <v>4449</v>
      </c>
      <c r="M512" s="56">
        <v>12789</v>
      </c>
      <c r="N512" s="56">
        <v>9053</v>
      </c>
      <c r="O512" s="56">
        <v>8321</v>
      </c>
      <c r="P512" s="56">
        <v>7116</v>
      </c>
      <c r="Q512" s="56">
        <v>6310</v>
      </c>
      <c r="R512" s="16">
        <f t="shared" si="95"/>
        <v>20618</v>
      </c>
      <c r="T512" s="144">
        <f t="shared" si="94"/>
        <v>40430</v>
      </c>
      <c r="U512" s="154">
        <f>'copy data3'!B566</f>
        <v>3506</v>
      </c>
      <c r="V512" s="38">
        <f t="shared" si="96"/>
        <v>3638.75</v>
      </c>
      <c r="W512" s="71">
        <f t="shared" si="97"/>
        <v>283.39174454828662</v>
      </c>
      <c r="X512" s="154">
        <f>'copy data3'!D566</f>
        <v>598</v>
      </c>
      <c r="Y512" s="38">
        <f t="shared" si="98"/>
        <v>608.5</v>
      </c>
      <c r="Z512" s="71">
        <f t="shared" si="99"/>
        <v>75.872817955112211</v>
      </c>
      <c r="AA512" s="152">
        <f>'copy data3'!F566</f>
        <v>2177</v>
      </c>
      <c r="AB512" s="38">
        <f t="shared" si="100"/>
        <v>2147.75</v>
      </c>
      <c r="AC512" s="71">
        <f t="shared" si="101"/>
        <v>234.21483097055616</v>
      </c>
      <c r="AD512" s="152">
        <f>'copy data3'!H566</f>
        <v>1385</v>
      </c>
      <c r="AE512" s="38">
        <f t="shared" si="102"/>
        <v>1325.25</v>
      </c>
      <c r="AF512" s="71">
        <f t="shared" si="103"/>
        <v>142.5</v>
      </c>
      <c r="AG512" s="152">
        <f>'copy data3'!J566</f>
        <v>373</v>
      </c>
      <c r="AH512" s="38">
        <f t="shared" si="104"/>
        <v>354.75</v>
      </c>
      <c r="AI512" s="71">
        <f t="shared" si="105"/>
        <v>122.32758620689654</v>
      </c>
      <c r="AJ512" s="152">
        <f>'copy data3'!L566</f>
        <v>8039</v>
      </c>
      <c r="AK512" s="38">
        <f t="shared" si="106"/>
        <v>8075</v>
      </c>
      <c r="AL512" s="71">
        <f t="shared" si="107"/>
        <v>191.16950757575756</v>
      </c>
      <c r="AM512" s="152">
        <f>'copy data3'!N566</f>
        <v>14588</v>
      </c>
      <c r="AN512" s="38">
        <f t="shared" si="108"/>
        <v>10091.5</v>
      </c>
      <c r="AO512" s="71">
        <f t="shared" si="109"/>
        <v>84.553833263510683</v>
      </c>
      <c r="AP512" s="152">
        <f>'copy data3'!P566</f>
        <v>18201</v>
      </c>
      <c r="AQ512" s="38">
        <f t="shared" si="110"/>
        <v>10036.75</v>
      </c>
      <c r="AR512" s="71">
        <f t="shared" si="111"/>
        <v>58.444942642520239</v>
      </c>
      <c r="AS512" s="153">
        <f>'copy data3'!R566</f>
        <v>40828</v>
      </c>
      <c r="AT512" s="38">
        <f t="shared" si="93"/>
        <v>28203.25</v>
      </c>
      <c r="AU512" s="71">
        <f t="shared" si="112"/>
        <v>84.613134525381014</v>
      </c>
    </row>
    <row r="513" spans="1:47" ht="15.6" x14ac:dyDescent="0.3">
      <c r="A513" s="55">
        <v>38659</v>
      </c>
      <c r="B513" s="56">
        <v>2861</v>
      </c>
      <c r="C513" s="56">
        <v>4738</v>
      </c>
      <c r="D513" s="56">
        <v>247</v>
      </c>
      <c r="E513" s="56">
        <v>1010</v>
      </c>
      <c r="F513" s="56">
        <v>1133</v>
      </c>
      <c r="G513" s="56">
        <v>3707</v>
      </c>
      <c r="H513" s="56">
        <v>828</v>
      </c>
      <c r="I513" s="56">
        <v>1743</v>
      </c>
      <c r="J513" s="56">
        <v>101</v>
      </c>
      <c r="K513" s="56">
        <v>332</v>
      </c>
      <c r="L513" s="56">
        <v>5169</v>
      </c>
      <c r="M513" s="56">
        <v>11530</v>
      </c>
      <c r="N513" s="56">
        <v>7315</v>
      </c>
      <c r="O513" s="56">
        <v>8226</v>
      </c>
      <c r="P513" s="56">
        <v>5242</v>
      </c>
      <c r="Q513" s="56">
        <v>5060</v>
      </c>
      <c r="R513" s="16">
        <f t="shared" si="95"/>
        <v>17726</v>
      </c>
      <c r="T513" s="144">
        <f t="shared" si="94"/>
        <v>40437</v>
      </c>
      <c r="U513" s="154">
        <f>'copy data3'!B567</f>
        <v>3697</v>
      </c>
      <c r="V513" s="38">
        <f t="shared" si="96"/>
        <v>3671.75</v>
      </c>
      <c r="W513" s="71">
        <f t="shared" si="97"/>
        <v>295.15675241157555</v>
      </c>
      <c r="X513" s="154">
        <f>'copy data3'!D567</f>
        <v>591</v>
      </c>
      <c r="Y513" s="38">
        <f t="shared" si="98"/>
        <v>604.25</v>
      </c>
      <c r="Z513" s="71">
        <f t="shared" si="99"/>
        <v>78.576072821846552</v>
      </c>
      <c r="AA513" s="152">
        <f>'copy data3'!F567</f>
        <v>2225</v>
      </c>
      <c r="AB513" s="38">
        <f t="shared" si="100"/>
        <v>2216</v>
      </c>
      <c r="AC513" s="71">
        <f t="shared" si="101"/>
        <v>248.4304932735426</v>
      </c>
      <c r="AD513" s="152">
        <f>'copy data3'!H567</f>
        <v>1305</v>
      </c>
      <c r="AE513" s="38">
        <f t="shared" si="102"/>
        <v>1340</v>
      </c>
      <c r="AF513" s="71">
        <f t="shared" si="103"/>
        <v>149.38684503901897</v>
      </c>
      <c r="AG513" s="152">
        <f>'copy data3'!J567</f>
        <v>253</v>
      </c>
      <c r="AH513" s="38">
        <f t="shared" si="104"/>
        <v>335.25</v>
      </c>
      <c r="AI513" s="71">
        <f t="shared" si="105"/>
        <v>107.45192307692308</v>
      </c>
      <c r="AJ513" s="152">
        <f>'copy data3'!L567</f>
        <v>8070</v>
      </c>
      <c r="AK513" s="38">
        <f t="shared" si="106"/>
        <v>8167</v>
      </c>
      <c r="AL513" s="71">
        <f t="shared" si="107"/>
        <v>198.51725814292661</v>
      </c>
      <c r="AM513" s="152">
        <f>'copy data3'!N567</f>
        <v>14158</v>
      </c>
      <c r="AN513" s="38">
        <f t="shared" si="108"/>
        <v>12150.25</v>
      </c>
      <c r="AO513" s="71">
        <f t="shared" si="109"/>
        <v>105.01512532411408</v>
      </c>
      <c r="AP513" s="152">
        <f>'copy data3'!P567</f>
        <v>18939</v>
      </c>
      <c r="AQ513" s="38">
        <f t="shared" si="110"/>
        <v>14212.25</v>
      </c>
      <c r="AR513" s="71">
        <f t="shared" si="111"/>
        <v>77.909494572963496</v>
      </c>
      <c r="AS513" s="153">
        <f>'copy data3'!R567</f>
        <v>41167</v>
      </c>
      <c r="AT513" s="38">
        <f t="shared" si="93"/>
        <v>34529.5</v>
      </c>
      <c r="AU513" s="71">
        <f t="shared" si="112"/>
        <v>101.77887166185226</v>
      </c>
    </row>
    <row r="514" spans="1:47" ht="15.6" x14ac:dyDescent="0.3">
      <c r="A514" s="55">
        <v>38302</v>
      </c>
      <c r="B514" s="56">
        <v>1714</v>
      </c>
      <c r="C514" s="56">
        <v>4524</v>
      </c>
      <c r="D514" s="56">
        <v>531</v>
      </c>
      <c r="E514" s="56">
        <v>2012</v>
      </c>
      <c r="F514" s="56">
        <v>1276</v>
      </c>
      <c r="G514" s="56">
        <v>3895</v>
      </c>
      <c r="H514" s="56">
        <v>855</v>
      </c>
      <c r="I514" s="56">
        <v>2552</v>
      </c>
      <c r="J514" s="56">
        <v>87</v>
      </c>
      <c r="K514" s="56">
        <v>294</v>
      </c>
      <c r="L514" s="56">
        <v>4463</v>
      </c>
      <c r="M514" s="56">
        <v>13278</v>
      </c>
      <c r="N514" s="56">
        <v>8741</v>
      </c>
      <c r="O514" s="56">
        <v>9358</v>
      </c>
      <c r="P514" s="56">
        <v>6767</v>
      </c>
      <c r="Q514" s="56">
        <v>7619</v>
      </c>
      <c r="R514" s="16">
        <f t="shared" si="95"/>
        <v>19971</v>
      </c>
      <c r="T514" s="144">
        <f t="shared" si="94"/>
        <v>40444</v>
      </c>
      <c r="U514" s="154">
        <f>'copy data3'!B568</f>
        <v>3734</v>
      </c>
      <c r="V514" s="38">
        <f t="shared" si="96"/>
        <v>3709</v>
      </c>
      <c r="W514" s="71">
        <f t="shared" si="97"/>
        <v>311.94280908326328</v>
      </c>
      <c r="X514" s="154">
        <f>'copy data3'!D568</f>
        <v>609</v>
      </c>
      <c r="Y514" s="38">
        <f t="shared" si="98"/>
        <v>599.25</v>
      </c>
      <c r="Z514" s="71">
        <f t="shared" si="99"/>
        <v>83.928571428571431</v>
      </c>
      <c r="AA514" s="152">
        <f>'copy data3'!F568</f>
        <v>2119</v>
      </c>
      <c r="AB514" s="38">
        <f t="shared" si="100"/>
        <v>2187.75</v>
      </c>
      <c r="AC514" s="71">
        <f t="shared" si="101"/>
        <v>239.09836065573771</v>
      </c>
      <c r="AD514" s="152">
        <f>'copy data3'!H568</f>
        <v>1216</v>
      </c>
      <c r="AE514" s="38">
        <f t="shared" si="102"/>
        <v>1311.75</v>
      </c>
      <c r="AF514" s="71">
        <f t="shared" si="103"/>
        <v>157.8519855595668</v>
      </c>
      <c r="AG514" s="152">
        <f>'copy data3'!J568</f>
        <v>238</v>
      </c>
      <c r="AH514" s="38">
        <f t="shared" si="104"/>
        <v>305.5</v>
      </c>
      <c r="AI514" s="71">
        <f t="shared" si="105"/>
        <v>82.123655913978496</v>
      </c>
      <c r="AJ514" s="152">
        <f>'copy data3'!L568</f>
        <v>7916</v>
      </c>
      <c r="AK514" s="38">
        <f t="shared" si="106"/>
        <v>8112.75</v>
      </c>
      <c r="AL514" s="71">
        <f t="shared" si="107"/>
        <v>201.75951255906489</v>
      </c>
      <c r="AM514" s="152">
        <f>'copy data3'!N568</f>
        <v>14142</v>
      </c>
      <c r="AN514" s="38">
        <f t="shared" si="108"/>
        <v>14497.5</v>
      </c>
      <c r="AO514" s="71">
        <f t="shared" si="109"/>
        <v>122.56932702062902</v>
      </c>
      <c r="AP514" s="152">
        <f>'copy data3'!P568</f>
        <v>20155</v>
      </c>
      <c r="AQ514" s="38">
        <f t="shared" si="110"/>
        <v>18750</v>
      </c>
      <c r="AR514" s="71">
        <f t="shared" si="111"/>
        <v>96.559892882892157</v>
      </c>
      <c r="AS514" s="153">
        <f>'copy data3'!R568</f>
        <v>42213</v>
      </c>
      <c r="AT514" s="38">
        <f t="shared" si="93"/>
        <v>41360.25</v>
      </c>
      <c r="AU514" s="71">
        <f t="shared" si="112"/>
        <v>117.27748319959169</v>
      </c>
    </row>
    <row r="515" spans="1:47" ht="15.6" x14ac:dyDescent="0.3">
      <c r="A515" s="55">
        <v>38666</v>
      </c>
      <c r="B515" s="56">
        <v>3083</v>
      </c>
      <c r="C515" s="56">
        <v>4841</v>
      </c>
      <c r="D515" s="56">
        <v>269</v>
      </c>
      <c r="E515" s="56">
        <v>1033</v>
      </c>
      <c r="F515" s="56">
        <v>1147</v>
      </c>
      <c r="G515" s="56">
        <v>3827</v>
      </c>
      <c r="H515" s="56">
        <v>765</v>
      </c>
      <c r="I515" s="56">
        <v>1838</v>
      </c>
      <c r="J515" s="56">
        <v>92</v>
      </c>
      <c r="K515" s="56">
        <v>353</v>
      </c>
      <c r="L515" s="56">
        <v>5356</v>
      </c>
      <c r="M515" s="56">
        <v>11892</v>
      </c>
      <c r="N515" s="56">
        <v>7748</v>
      </c>
      <c r="O515" s="56">
        <v>9284</v>
      </c>
      <c r="P515" s="56">
        <v>5147</v>
      </c>
      <c r="Q515" s="56">
        <v>5800</v>
      </c>
      <c r="R515" s="16">
        <f t="shared" si="95"/>
        <v>18251</v>
      </c>
      <c r="T515" s="144">
        <f t="shared" si="94"/>
        <v>40451</v>
      </c>
      <c r="U515" s="154">
        <f>'copy data3'!B569</f>
        <v>3600</v>
      </c>
      <c r="V515" s="38">
        <f t="shared" si="96"/>
        <v>3634.25</v>
      </c>
      <c r="W515" s="71">
        <f t="shared" si="97"/>
        <v>301.59751037344398</v>
      </c>
      <c r="X515" s="154">
        <f>'copy data3'!D569</f>
        <v>560</v>
      </c>
      <c r="Y515" s="38">
        <f t="shared" si="98"/>
        <v>589.5</v>
      </c>
      <c r="Z515" s="71">
        <f t="shared" si="99"/>
        <v>91.679626749611202</v>
      </c>
      <c r="AA515" s="152">
        <f>'copy data3'!F569</f>
        <v>2245</v>
      </c>
      <c r="AB515" s="38">
        <f t="shared" si="100"/>
        <v>2191.5</v>
      </c>
      <c r="AC515" s="71">
        <f t="shared" si="101"/>
        <v>219.58917835671343</v>
      </c>
      <c r="AD515" s="152">
        <f>'copy data3'!H569</f>
        <v>1228</v>
      </c>
      <c r="AE515" s="38">
        <f t="shared" si="102"/>
        <v>1283.5</v>
      </c>
      <c r="AF515" s="71">
        <f t="shared" si="103"/>
        <v>147.35935706084959</v>
      </c>
      <c r="AG515" s="152">
        <f>'copy data3'!J569</f>
        <v>213</v>
      </c>
      <c r="AH515" s="38">
        <f t="shared" si="104"/>
        <v>269.25</v>
      </c>
      <c r="AI515" s="71">
        <f t="shared" si="105"/>
        <v>67.821158690176318</v>
      </c>
      <c r="AJ515" s="152">
        <f>'copy data3'!L569</f>
        <v>7846</v>
      </c>
      <c r="AK515" s="38">
        <f t="shared" si="106"/>
        <v>7967.75</v>
      </c>
      <c r="AL515" s="71">
        <f t="shared" si="107"/>
        <v>193.7211281303185</v>
      </c>
      <c r="AM515" s="152">
        <f>'copy data3'!N569</f>
        <v>13770</v>
      </c>
      <c r="AN515" s="38">
        <f t="shared" si="108"/>
        <v>14164.5</v>
      </c>
      <c r="AO515" s="71">
        <f t="shared" si="109"/>
        <v>126.40103515973587</v>
      </c>
      <c r="AP515" s="152">
        <f>'copy data3'!P569</f>
        <v>20449</v>
      </c>
      <c r="AQ515" s="38">
        <f t="shared" si="110"/>
        <v>19436</v>
      </c>
      <c r="AR515" s="71">
        <f t="shared" si="111"/>
        <v>99.528881605899215</v>
      </c>
      <c r="AS515" s="153">
        <f>'copy data3'!R569</f>
        <v>42065</v>
      </c>
      <c r="AT515" s="38">
        <f t="shared" si="93"/>
        <v>41568.25</v>
      </c>
      <c r="AU515" s="71">
        <f t="shared" si="112"/>
        <v>119.28788704910036</v>
      </c>
    </row>
    <row r="516" spans="1:47" ht="15.6" x14ac:dyDescent="0.3">
      <c r="A516" s="55">
        <v>38309</v>
      </c>
      <c r="B516" s="56">
        <v>1726</v>
      </c>
      <c r="C516" s="56">
        <v>4718</v>
      </c>
      <c r="D516" s="56">
        <v>560</v>
      </c>
      <c r="E516" s="56">
        <v>2031</v>
      </c>
      <c r="F516" s="56">
        <v>1219</v>
      </c>
      <c r="G516" s="56">
        <v>4100</v>
      </c>
      <c r="H516" s="56">
        <v>735</v>
      </c>
      <c r="I516" s="56">
        <v>2688</v>
      </c>
      <c r="J516" s="56">
        <v>90</v>
      </c>
      <c r="K516" s="56">
        <v>294</v>
      </c>
      <c r="L516" s="56">
        <v>4331</v>
      </c>
      <c r="M516" s="56">
        <v>13831</v>
      </c>
      <c r="N516" s="56">
        <v>9141</v>
      </c>
      <c r="O516" s="56">
        <v>10258</v>
      </c>
      <c r="P516" s="56">
        <v>6786</v>
      </c>
      <c r="Q516" s="56">
        <v>8938</v>
      </c>
      <c r="R516" s="16">
        <f t="shared" si="95"/>
        <v>20258</v>
      </c>
      <c r="T516" s="144">
        <f t="shared" si="94"/>
        <v>40458</v>
      </c>
      <c r="U516" s="154">
        <f>'copy data3'!B570</f>
        <v>3505</v>
      </c>
      <c r="V516" s="38">
        <f t="shared" si="96"/>
        <v>3634</v>
      </c>
      <c r="W516" s="71">
        <f t="shared" si="97"/>
        <v>330.36363636363637</v>
      </c>
      <c r="X516" s="154">
        <f>'copy data3'!D570</f>
        <v>488</v>
      </c>
      <c r="Y516" s="38">
        <f t="shared" si="98"/>
        <v>562</v>
      </c>
      <c r="Z516" s="71">
        <f t="shared" si="99"/>
        <v>90.208667736757619</v>
      </c>
      <c r="AA516" s="152">
        <f>'copy data3'!F570</f>
        <v>2110</v>
      </c>
      <c r="AB516" s="38">
        <f t="shared" si="100"/>
        <v>2174.75</v>
      </c>
      <c r="AC516" s="71">
        <f t="shared" si="101"/>
        <v>215.53518334985134</v>
      </c>
      <c r="AD516" s="152">
        <f>'copy data3'!H570</f>
        <v>1254</v>
      </c>
      <c r="AE516" s="38">
        <f t="shared" si="102"/>
        <v>1250.75</v>
      </c>
      <c r="AF516" s="71">
        <f t="shared" si="103"/>
        <v>134.20064377682402</v>
      </c>
      <c r="AG516" s="152">
        <f>'copy data3'!J570</f>
        <v>197</v>
      </c>
      <c r="AH516" s="38">
        <f t="shared" si="104"/>
        <v>225.25</v>
      </c>
      <c r="AI516" s="71">
        <f t="shared" si="105"/>
        <v>55.754950495049506</v>
      </c>
      <c r="AJ516" s="152">
        <f>'copy data3'!L570</f>
        <v>7554</v>
      </c>
      <c r="AK516" s="38">
        <f t="shared" si="106"/>
        <v>7846.5</v>
      </c>
      <c r="AL516" s="71">
        <f t="shared" si="107"/>
        <v>192.83607766035882</v>
      </c>
      <c r="AM516" s="152">
        <f>'copy data3'!N570</f>
        <v>13868</v>
      </c>
      <c r="AN516" s="38">
        <f t="shared" si="108"/>
        <v>13984.5</v>
      </c>
      <c r="AO516" s="71">
        <f t="shared" si="109"/>
        <v>125.23059013163787</v>
      </c>
      <c r="AP516" s="152">
        <f>'copy data3'!P570</f>
        <v>20368</v>
      </c>
      <c r="AQ516" s="38">
        <f t="shared" si="110"/>
        <v>19977.75</v>
      </c>
      <c r="AR516" s="71">
        <f t="shared" si="111"/>
        <v>102.04704500178781</v>
      </c>
      <c r="AS516" s="153">
        <f>'copy data3'!R570</f>
        <v>41790</v>
      </c>
      <c r="AT516" s="38">
        <f t="shared" si="93"/>
        <v>41808.75</v>
      </c>
      <c r="AU516" s="71">
        <f t="shared" si="112"/>
        <v>120.09522304886107</v>
      </c>
    </row>
    <row r="517" spans="1:47" ht="15.6" x14ac:dyDescent="0.3">
      <c r="A517" s="55">
        <v>38673</v>
      </c>
      <c r="B517" s="56">
        <v>2950</v>
      </c>
      <c r="C517" s="56">
        <v>5045</v>
      </c>
      <c r="D517" s="56">
        <v>272</v>
      </c>
      <c r="E517" s="56">
        <v>1083</v>
      </c>
      <c r="F517" s="56">
        <v>1209</v>
      </c>
      <c r="G517" s="56">
        <v>3962</v>
      </c>
      <c r="H517" s="56">
        <v>803</v>
      </c>
      <c r="I517" s="56">
        <v>1915</v>
      </c>
      <c r="J517" s="56">
        <v>103</v>
      </c>
      <c r="K517" s="56">
        <v>361</v>
      </c>
      <c r="L517" s="56">
        <v>5337</v>
      </c>
      <c r="M517" s="56">
        <v>12365</v>
      </c>
      <c r="N517" s="56">
        <v>7814</v>
      </c>
      <c r="O517" s="56">
        <v>10251</v>
      </c>
      <c r="P517" s="56">
        <v>4384</v>
      </c>
      <c r="Q517" s="56">
        <v>6736</v>
      </c>
      <c r="R517" s="16">
        <f t="shared" si="95"/>
        <v>17535</v>
      </c>
      <c r="T517" s="144">
        <f t="shared" si="94"/>
        <v>40465</v>
      </c>
      <c r="U517" s="154">
        <f>'copy data3'!B571</f>
        <v>3531</v>
      </c>
      <c r="V517" s="38">
        <f t="shared" si="96"/>
        <v>3592.5</v>
      </c>
      <c r="W517" s="71">
        <f t="shared" si="97"/>
        <v>286.94089456869006</v>
      </c>
      <c r="X517" s="154">
        <f>'copy data3'!D571</f>
        <v>546</v>
      </c>
      <c r="Y517" s="38">
        <f t="shared" si="98"/>
        <v>550.75</v>
      </c>
      <c r="Z517" s="71">
        <f t="shared" si="99"/>
        <v>93.505942275042443</v>
      </c>
      <c r="AA517" s="152">
        <f>'copy data3'!F571</f>
        <v>2029</v>
      </c>
      <c r="AB517" s="38">
        <f t="shared" si="100"/>
        <v>2125.75</v>
      </c>
      <c r="AC517" s="71">
        <f t="shared" si="101"/>
        <v>210.88789682539684</v>
      </c>
      <c r="AD517" s="152">
        <f>'copy data3'!H571</f>
        <v>1220</v>
      </c>
      <c r="AE517" s="38">
        <f t="shared" si="102"/>
        <v>1229.5</v>
      </c>
      <c r="AF517" s="71">
        <f t="shared" si="103"/>
        <v>123.56783919597989</v>
      </c>
      <c r="AG517" s="152">
        <f>'copy data3'!J571</f>
        <v>211</v>
      </c>
      <c r="AH517" s="38">
        <f t="shared" si="104"/>
        <v>214.75</v>
      </c>
      <c r="AI517" s="71">
        <f t="shared" si="105"/>
        <v>55.779220779220786</v>
      </c>
      <c r="AJ517" s="152">
        <f>'copy data3'!L571</f>
        <v>7536</v>
      </c>
      <c r="AK517" s="38">
        <f t="shared" si="106"/>
        <v>7713</v>
      </c>
      <c r="AL517" s="71">
        <f t="shared" si="107"/>
        <v>182.38354220855996</v>
      </c>
      <c r="AM517" s="152">
        <f>'copy data3'!N571</f>
        <v>13247</v>
      </c>
      <c r="AN517" s="38">
        <f t="shared" si="108"/>
        <v>13756.75</v>
      </c>
      <c r="AO517" s="71">
        <f t="shared" si="109"/>
        <v>129.97685185185185</v>
      </c>
      <c r="AP517" s="152">
        <f>'copy data3'!P571</f>
        <v>20760</v>
      </c>
      <c r="AQ517" s="38">
        <f t="shared" si="110"/>
        <v>20433</v>
      </c>
      <c r="AR517" s="71">
        <f t="shared" si="111"/>
        <v>103.67870915364318</v>
      </c>
      <c r="AS517" s="153">
        <f>'copy data3'!R571</f>
        <v>41543</v>
      </c>
      <c r="AT517" s="38">
        <f t="shared" si="93"/>
        <v>41902.75</v>
      </c>
      <c r="AU517" s="71">
        <f t="shared" si="112"/>
        <v>121.38336085281422</v>
      </c>
    </row>
    <row r="518" spans="1:47" ht="15.6" x14ac:dyDescent="0.3">
      <c r="A518" s="55">
        <v>38316</v>
      </c>
      <c r="B518" s="56">
        <v>1580</v>
      </c>
      <c r="C518" s="56">
        <v>4910</v>
      </c>
      <c r="D518" s="56">
        <v>512</v>
      </c>
      <c r="E518" s="56">
        <v>2090</v>
      </c>
      <c r="F518" s="56">
        <v>1205</v>
      </c>
      <c r="G518" s="56">
        <v>4182</v>
      </c>
      <c r="H518" s="56">
        <v>757</v>
      </c>
      <c r="I518" s="56">
        <v>2848</v>
      </c>
      <c r="J518" s="56">
        <v>100</v>
      </c>
      <c r="K518" s="56">
        <v>312</v>
      </c>
      <c r="L518" s="56">
        <v>4154</v>
      </c>
      <c r="M518" s="56">
        <v>14342</v>
      </c>
      <c r="N518" s="56">
        <v>8917</v>
      </c>
      <c r="O518" s="56">
        <v>11065</v>
      </c>
      <c r="P518" s="56">
        <v>6297</v>
      </c>
      <c r="Q518" s="56">
        <v>9834</v>
      </c>
      <c r="R518" s="16">
        <f t="shared" si="95"/>
        <v>19368</v>
      </c>
      <c r="T518" s="144">
        <f t="shared" si="94"/>
        <v>40472</v>
      </c>
      <c r="U518" s="154">
        <f>'copy data3'!B572</f>
        <v>3320</v>
      </c>
      <c r="V518" s="38">
        <f t="shared" si="96"/>
        <v>3489</v>
      </c>
      <c r="W518" s="71">
        <f t="shared" si="97"/>
        <v>277.78662420382165</v>
      </c>
      <c r="X518" s="154">
        <f>'copy data3'!D572</f>
        <v>624</v>
      </c>
      <c r="Y518" s="38">
        <f t="shared" si="98"/>
        <v>554.5</v>
      </c>
      <c r="Z518" s="71">
        <f t="shared" si="99"/>
        <v>93.350168350168346</v>
      </c>
      <c r="AA518" s="152">
        <f>'copy data3'!F572</f>
        <v>2193</v>
      </c>
      <c r="AB518" s="38">
        <f t="shared" si="100"/>
        <v>2144.25</v>
      </c>
      <c r="AC518" s="71">
        <f t="shared" si="101"/>
        <v>211.67324777887461</v>
      </c>
      <c r="AD518" s="152">
        <f>'copy data3'!H572</f>
        <v>1191</v>
      </c>
      <c r="AE518" s="38">
        <f t="shared" si="102"/>
        <v>1223.25</v>
      </c>
      <c r="AF518" s="71">
        <f t="shared" si="103"/>
        <v>127.28928199791882</v>
      </c>
      <c r="AG518" s="152">
        <f>'copy data3'!J572</f>
        <v>160</v>
      </c>
      <c r="AH518" s="38">
        <f t="shared" si="104"/>
        <v>195.25</v>
      </c>
      <c r="AI518" s="71">
        <f t="shared" si="105"/>
        <v>60.636645962732914</v>
      </c>
      <c r="AJ518" s="152">
        <f>'copy data3'!L572</f>
        <v>7487</v>
      </c>
      <c r="AK518" s="38">
        <f t="shared" si="106"/>
        <v>7605.75</v>
      </c>
      <c r="AL518" s="71">
        <f t="shared" si="107"/>
        <v>183.4479015918958</v>
      </c>
      <c r="AM518" s="152">
        <f>'copy data3'!N572</f>
        <v>13217</v>
      </c>
      <c r="AN518" s="38">
        <f t="shared" si="108"/>
        <v>13525.5</v>
      </c>
      <c r="AO518" s="71">
        <f t="shared" si="109"/>
        <v>131.51983663943992</v>
      </c>
      <c r="AP518" s="152">
        <f>'copy data3'!P572</f>
        <v>20852</v>
      </c>
      <c r="AQ518" s="38">
        <f t="shared" si="110"/>
        <v>20607.25</v>
      </c>
      <c r="AR518" s="71">
        <f t="shared" si="111"/>
        <v>108.65937252834168</v>
      </c>
      <c r="AS518" s="153">
        <f>'copy data3'!R572</f>
        <v>41556</v>
      </c>
      <c r="AT518" s="38">
        <f t="shared" si="93"/>
        <v>41738.5</v>
      </c>
      <c r="AU518" s="71">
        <f t="shared" si="112"/>
        <v>124.98427908369516</v>
      </c>
    </row>
    <row r="519" spans="1:47" ht="15.6" x14ac:dyDescent="0.3">
      <c r="A519" s="55">
        <v>38680</v>
      </c>
      <c r="B519" s="56">
        <v>2738</v>
      </c>
      <c r="C519" s="56">
        <v>5339</v>
      </c>
      <c r="D519" s="56">
        <v>297</v>
      </c>
      <c r="E519" s="56">
        <v>1100</v>
      </c>
      <c r="F519" s="56">
        <v>1089</v>
      </c>
      <c r="G519" s="56">
        <v>4120</v>
      </c>
      <c r="H519" s="56">
        <v>822</v>
      </c>
      <c r="I519" s="56">
        <v>1975</v>
      </c>
      <c r="J519" s="56">
        <v>95</v>
      </c>
      <c r="K519" s="56">
        <v>361</v>
      </c>
      <c r="L519" s="56">
        <v>5041</v>
      </c>
      <c r="M519" s="56">
        <v>12890</v>
      </c>
      <c r="N519" s="56">
        <v>7759</v>
      </c>
      <c r="O519" s="56">
        <v>10917</v>
      </c>
      <c r="P519" s="56">
        <v>3926</v>
      </c>
      <c r="Q519" s="56">
        <v>7565</v>
      </c>
      <c r="R519" s="16">
        <f t="shared" si="95"/>
        <v>16726</v>
      </c>
      <c r="T519" s="144">
        <f t="shared" si="94"/>
        <v>40479</v>
      </c>
      <c r="U519" s="154">
        <f>'copy data3'!B573</f>
        <v>3365</v>
      </c>
      <c r="V519" s="38">
        <f t="shared" si="96"/>
        <v>3430.25</v>
      </c>
      <c r="W519" s="71">
        <f t="shared" si="97"/>
        <v>271.59540775930327</v>
      </c>
      <c r="X519" s="154">
        <f>'copy data3'!D573</f>
        <v>553</v>
      </c>
      <c r="Y519" s="38">
        <f t="shared" si="98"/>
        <v>552.75</v>
      </c>
      <c r="Z519" s="71">
        <f t="shared" si="99"/>
        <v>99.236983842010773</v>
      </c>
      <c r="AA519" s="152">
        <f>'copy data3'!F573</f>
        <v>2326</v>
      </c>
      <c r="AB519" s="38">
        <f t="shared" si="100"/>
        <v>2164.5</v>
      </c>
      <c r="AC519" s="71">
        <f t="shared" si="101"/>
        <v>212.20588235294119</v>
      </c>
      <c r="AD519" s="152">
        <f>'copy data3'!H573</f>
        <v>1185</v>
      </c>
      <c r="AE519" s="38">
        <f t="shared" si="102"/>
        <v>1212.5</v>
      </c>
      <c r="AF519" s="71">
        <f t="shared" si="103"/>
        <v>123.72448979591837</v>
      </c>
      <c r="AG519" s="152">
        <f>'copy data3'!J573</f>
        <v>194</v>
      </c>
      <c r="AH519" s="38">
        <f t="shared" si="104"/>
        <v>190.5</v>
      </c>
      <c r="AI519" s="71">
        <f t="shared" si="105"/>
        <v>59.161490683229815</v>
      </c>
      <c r="AJ519" s="152">
        <f>'copy data3'!L573</f>
        <v>7623</v>
      </c>
      <c r="AK519" s="38">
        <f t="shared" si="106"/>
        <v>7550</v>
      </c>
      <c r="AL519" s="71">
        <f t="shared" si="107"/>
        <v>182.32311035981647</v>
      </c>
      <c r="AM519" s="152">
        <f>'copy data3'!N573</f>
        <v>12798</v>
      </c>
      <c r="AN519" s="38">
        <f t="shared" si="108"/>
        <v>13282.5</v>
      </c>
      <c r="AO519" s="71">
        <f t="shared" si="109"/>
        <v>130.99112426035501</v>
      </c>
      <c r="AP519" s="152">
        <f>'copy data3'!P573</f>
        <v>20473</v>
      </c>
      <c r="AQ519" s="38">
        <f t="shared" si="110"/>
        <v>20613.25</v>
      </c>
      <c r="AR519" s="71">
        <f t="shared" si="111"/>
        <v>115.83731385220568</v>
      </c>
      <c r="AS519" s="153">
        <f>'copy data3'!R573</f>
        <v>40894</v>
      </c>
      <c r="AT519" s="38">
        <f t="shared" si="93"/>
        <v>41445.75</v>
      </c>
      <c r="AU519" s="71">
        <f t="shared" si="112"/>
        <v>129.21109240553685</v>
      </c>
    </row>
    <row r="520" spans="1:47" ht="15.6" x14ac:dyDescent="0.3">
      <c r="A520" s="55">
        <v>38323</v>
      </c>
      <c r="B520" s="56">
        <v>1511</v>
      </c>
      <c r="C520" s="56">
        <v>5149</v>
      </c>
      <c r="D520" s="56">
        <v>493</v>
      </c>
      <c r="E520" s="56">
        <v>2142</v>
      </c>
      <c r="F520" s="56">
        <v>1293</v>
      </c>
      <c r="G520" s="56">
        <v>4332</v>
      </c>
      <c r="H520" s="56">
        <v>730</v>
      </c>
      <c r="I520" s="56">
        <v>2905</v>
      </c>
      <c r="J520" s="56">
        <v>116</v>
      </c>
      <c r="K520" s="56">
        <v>334</v>
      </c>
      <c r="L520" s="56">
        <v>4143</v>
      </c>
      <c r="M520" s="56">
        <v>14863</v>
      </c>
      <c r="N520" s="56">
        <v>8624</v>
      </c>
      <c r="O520" s="56">
        <v>12273</v>
      </c>
      <c r="P520" s="56">
        <v>5755</v>
      </c>
      <c r="Q520" s="56">
        <v>10822</v>
      </c>
      <c r="R520" s="16">
        <f t="shared" si="95"/>
        <v>18522</v>
      </c>
      <c r="T520" s="144">
        <f t="shared" si="94"/>
        <v>40486</v>
      </c>
      <c r="U520" s="154">
        <f>'copy data3'!B574</f>
        <v>3546</v>
      </c>
      <c r="V520" s="38">
        <f t="shared" si="96"/>
        <v>3440.5</v>
      </c>
      <c r="W520" s="71">
        <f t="shared" si="97"/>
        <v>244.70128022759604</v>
      </c>
      <c r="X520" s="154">
        <f>'copy data3'!D574</f>
        <v>560</v>
      </c>
      <c r="Y520" s="38">
        <f t="shared" si="98"/>
        <v>570.75</v>
      </c>
      <c r="Z520" s="71">
        <f t="shared" si="99"/>
        <v>105.69444444444444</v>
      </c>
      <c r="AA520" s="152">
        <f>'copy data3'!F574</f>
        <v>2509</v>
      </c>
      <c r="AB520" s="38">
        <f t="shared" si="100"/>
        <v>2264.25</v>
      </c>
      <c r="AC520" s="71">
        <f t="shared" si="101"/>
        <v>220.68713450292398</v>
      </c>
      <c r="AD520" s="152">
        <f>'copy data3'!H574</f>
        <v>1169</v>
      </c>
      <c r="AE520" s="38">
        <f t="shared" si="102"/>
        <v>1191.25</v>
      </c>
      <c r="AF520" s="71">
        <f t="shared" si="103"/>
        <v>144.21912832929783</v>
      </c>
      <c r="AG520" s="152">
        <f>'copy data3'!J574</f>
        <v>156</v>
      </c>
      <c r="AH520" s="38">
        <f t="shared" si="104"/>
        <v>180.25</v>
      </c>
      <c r="AI520" s="71">
        <f t="shared" si="105"/>
        <v>60.083333333333336</v>
      </c>
      <c r="AJ520" s="152">
        <f>'copy data3'!L574</f>
        <v>7939</v>
      </c>
      <c r="AK520" s="38">
        <f t="shared" si="106"/>
        <v>7646.25</v>
      </c>
      <c r="AL520" s="71">
        <f t="shared" si="107"/>
        <v>186.63046131315596</v>
      </c>
      <c r="AM520" s="152">
        <f>'copy data3'!N574</f>
        <v>12620</v>
      </c>
      <c r="AN520" s="38">
        <f t="shared" si="108"/>
        <v>12970.5</v>
      </c>
      <c r="AO520" s="71">
        <f t="shared" si="109"/>
        <v>131.40006078411508</v>
      </c>
      <c r="AP520" s="152">
        <f>'copy data3'!P574</f>
        <v>19603</v>
      </c>
      <c r="AQ520" s="38">
        <f t="shared" si="110"/>
        <v>20422</v>
      </c>
      <c r="AR520" s="71">
        <f t="shared" si="111"/>
        <v>117.15908438988009</v>
      </c>
      <c r="AS520" s="153">
        <f>'copy data3'!R574</f>
        <v>40162</v>
      </c>
      <c r="AT520" s="38">
        <f t="shared" si="93"/>
        <v>41038.75</v>
      </c>
      <c r="AU520" s="71">
        <f t="shared" si="112"/>
        <v>130.70081849740438</v>
      </c>
    </row>
    <row r="521" spans="1:47" ht="15.6" x14ac:dyDescent="0.3">
      <c r="A521" s="55">
        <v>38687</v>
      </c>
      <c r="B521" s="56">
        <v>2728</v>
      </c>
      <c r="C521" s="56">
        <v>5615</v>
      </c>
      <c r="D521" s="56">
        <v>288</v>
      </c>
      <c r="E521" s="56">
        <v>1124</v>
      </c>
      <c r="F521" s="56">
        <v>1067</v>
      </c>
      <c r="G521" s="56">
        <v>4236</v>
      </c>
      <c r="H521" s="56">
        <v>824</v>
      </c>
      <c r="I521" s="56">
        <v>2010</v>
      </c>
      <c r="J521" s="56">
        <v>77</v>
      </c>
      <c r="K521" s="56">
        <v>396</v>
      </c>
      <c r="L521" s="56">
        <v>5001</v>
      </c>
      <c r="M521" s="56">
        <v>13381</v>
      </c>
      <c r="N521" s="56">
        <v>7432</v>
      </c>
      <c r="O521" s="56">
        <v>11939</v>
      </c>
      <c r="P521" s="56">
        <v>4079</v>
      </c>
      <c r="Q521" s="56">
        <v>8324</v>
      </c>
      <c r="R521" s="16">
        <f t="shared" si="95"/>
        <v>16512</v>
      </c>
      <c r="T521" s="144">
        <f t="shared" si="94"/>
        <v>40493</v>
      </c>
      <c r="U521" s="154">
        <f>'copy data3'!B575</f>
        <v>3801</v>
      </c>
      <c r="V521" s="38">
        <f t="shared" si="96"/>
        <v>3508</v>
      </c>
      <c r="W521" s="71">
        <f t="shared" si="97"/>
        <v>266.16084977238239</v>
      </c>
      <c r="X521" s="154">
        <f>'copy data3'!D575</f>
        <v>596</v>
      </c>
      <c r="Y521" s="38">
        <f t="shared" si="98"/>
        <v>583.25</v>
      </c>
      <c r="Z521" s="71">
        <f t="shared" si="99"/>
        <v>115.49504950495049</v>
      </c>
      <c r="AA521" s="152">
        <f>'copy data3'!F575</f>
        <v>2646</v>
      </c>
      <c r="AB521" s="38">
        <f t="shared" si="100"/>
        <v>2418.5</v>
      </c>
      <c r="AC521" s="71">
        <f t="shared" si="101"/>
        <v>231.65708812260536</v>
      </c>
      <c r="AD521" s="152">
        <f>'copy data3'!H575</f>
        <v>1246</v>
      </c>
      <c r="AE521" s="38">
        <f t="shared" si="102"/>
        <v>1197.75</v>
      </c>
      <c r="AF521" s="71">
        <f t="shared" si="103"/>
        <v>151.0403530895334</v>
      </c>
      <c r="AG521" s="152">
        <f>'copy data3'!J575</f>
        <v>157</v>
      </c>
      <c r="AH521" s="38">
        <f t="shared" si="104"/>
        <v>166.75</v>
      </c>
      <c r="AI521" s="71">
        <f t="shared" si="105"/>
        <v>53.445512820512818</v>
      </c>
      <c r="AJ521" s="152">
        <f>'copy data3'!L575</f>
        <v>8444</v>
      </c>
      <c r="AK521" s="38">
        <f t="shared" si="106"/>
        <v>7873.25</v>
      </c>
      <c r="AL521" s="71">
        <f t="shared" si="107"/>
        <v>198.21878147029204</v>
      </c>
      <c r="AM521" s="152">
        <f>'copy data3'!N575</f>
        <v>12375</v>
      </c>
      <c r="AN521" s="38">
        <f t="shared" si="108"/>
        <v>12752.5</v>
      </c>
      <c r="AO521" s="71">
        <f t="shared" si="109"/>
        <v>133.67400419287213</v>
      </c>
      <c r="AP521" s="152">
        <f>'copy data3'!P575</f>
        <v>18843</v>
      </c>
      <c r="AQ521" s="38">
        <f t="shared" si="110"/>
        <v>19942.75</v>
      </c>
      <c r="AR521" s="71">
        <f t="shared" si="111"/>
        <v>116.91827402239549</v>
      </c>
      <c r="AS521" s="153">
        <f>'copy data3'!R575</f>
        <v>39662</v>
      </c>
      <c r="AT521" s="38">
        <f t="shared" ref="AT521:AT539" si="113">AVERAGE(AS518:AS521)</f>
        <v>40568.5</v>
      </c>
      <c r="AU521" s="71">
        <f t="shared" si="112"/>
        <v>132.71124341653308</v>
      </c>
    </row>
    <row r="522" spans="1:47" ht="15.6" x14ac:dyDescent="0.3">
      <c r="A522" s="55">
        <v>38330</v>
      </c>
      <c r="B522" s="56">
        <v>1498</v>
      </c>
      <c r="C522" s="56">
        <v>5347</v>
      </c>
      <c r="D522" s="56">
        <v>514</v>
      </c>
      <c r="E522" s="56">
        <v>2171</v>
      </c>
      <c r="F522" s="56">
        <v>1255</v>
      </c>
      <c r="G522" s="56">
        <v>4485</v>
      </c>
      <c r="H522" s="56">
        <v>749</v>
      </c>
      <c r="I522" s="56">
        <v>2942</v>
      </c>
      <c r="J522" s="56">
        <v>74</v>
      </c>
      <c r="K522" s="56">
        <v>366</v>
      </c>
      <c r="L522" s="56">
        <v>4088</v>
      </c>
      <c r="M522" s="56">
        <v>15312</v>
      </c>
      <c r="N522" s="56">
        <v>8113</v>
      </c>
      <c r="O522" s="56">
        <v>13421</v>
      </c>
      <c r="P522" s="56">
        <v>5780</v>
      </c>
      <c r="Q522" s="56">
        <v>11652</v>
      </c>
      <c r="R522" s="16">
        <f t="shared" si="95"/>
        <v>17981</v>
      </c>
      <c r="T522" s="144">
        <f t="shared" ref="T522:T585" si="114">T521+7</f>
        <v>40500</v>
      </c>
      <c r="U522" s="154">
        <f>'copy data3'!B576</f>
        <v>3660</v>
      </c>
      <c r="V522" s="38">
        <f t="shared" si="96"/>
        <v>3593</v>
      </c>
      <c r="W522" s="71">
        <f t="shared" si="97"/>
        <v>276.38461538461542</v>
      </c>
      <c r="X522" s="154">
        <f>'copy data3'!D576</f>
        <v>694</v>
      </c>
      <c r="Y522" s="38">
        <f t="shared" si="98"/>
        <v>600.75</v>
      </c>
      <c r="Z522" s="71">
        <f t="shared" si="99"/>
        <v>127.00845665961944</v>
      </c>
      <c r="AA522" s="152">
        <f>'copy data3'!F576</f>
        <v>2772</v>
      </c>
      <c r="AB522" s="38">
        <f t="shared" si="100"/>
        <v>2563.25</v>
      </c>
      <c r="AC522" s="71">
        <f t="shared" si="101"/>
        <v>231.34025270758121</v>
      </c>
      <c r="AD522" s="152">
        <f>'copy data3'!H576</f>
        <v>1344</v>
      </c>
      <c r="AE522" s="38">
        <f t="shared" si="102"/>
        <v>1236</v>
      </c>
      <c r="AF522" s="71">
        <f t="shared" si="103"/>
        <v>170.71823204419888</v>
      </c>
      <c r="AG522" s="152">
        <f>'copy data3'!J576</f>
        <v>195</v>
      </c>
      <c r="AH522" s="38">
        <f t="shared" si="104"/>
        <v>175.5</v>
      </c>
      <c r="AI522" s="71">
        <f t="shared" si="105"/>
        <v>57.920792079207914</v>
      </c>
      <c r="AJ522" s="152">
        <f>'copy data3'!L576</f>
        <v>8665</v>
      </c>
      <c r="AK522" s="38">
        <f t="shared" si="106"/>
        <v>8167.75</v>
      </c>
      <c r="AL522" s="71">
        <f t="shared" si="107"/>
        <v>209.0542615817763</v>
      </c>
      <c r="AM522" s="152">
        <f>'copy data3'!N576</f>
        <v>12416</v>
      </c>
      <c r="AN522" s="38">
        <f t="shared" si="108"/>
        <v>12552.25</v>
      </c>
      <c r="AO522" s="71">
        <f t="shared" si="109"/>
        <v>123.83829913180742</v>
      </c>
      <c r="AP522" s="152">
        <f>'copy data3'!P576</f>
        <v>17885</v>
      </c>
      <c r="AQ522" s="38">
        <f t="shared" si="110"/>
        <v>19201</v>
      </c>
      <c r="AR522" s="71">
        <f t="shared" si="111"/>
        <v>121.84921944409189</v>
      </c>
      <c r="AS522" s="153">
        <f>'copy data3'!R576</f>
        <v>38966</v>
      </c>
      <c r="AT522" s="38">
        <f t="shared" si="113"/>
        <v>39921</v>
      </c>
      <c r="AU522" s="71">
        <f t="shared" si="112"/>
        <v>133.95859199355726</v>
      </c>
    </row>
    <row r="523" spans="1:47" ht="15.6" x14ac:dyDescent="0.3">
      <c r="A523" s="55">
        <v>38694</v>
      </c>
      <c r="B523" s="56">
        <v>2807</v>
      </c>
      <c r="C523" s="56">
        <v>5796</v>
      </c>
      <c r="D523" s="56">
        <v>292</v>
      </c>
      <c r="E523" s="56">
        <v>1156</v>
      </c>
      <c r="F523" s="56">
        <v>1092</v>
      </c>
      <c r="G523" s="56">
        <v>4452</v>
      </c>
      <c r="H523" s="56">
        <v>793</v>
      </c>
      <c r="I523" s="56">
        <v>2216</v>
      </c>
      <c r="J523" s="56">
        <v>35</v>
      </c>
      <c r="K523" s="56">
        <v>438</v>
      </c>
      <c r="L523" s="56">
        <v>5018</v>
      </c>
      <c r="M523" s="56">
        <v>14059</v>
      </c>
      <c r="N523" s="56">
        <v>7334</v>
      </c>
      <c r="O523" s="56">
        <v>12957</v>
      </c>
      <c r="P523" s="56">
        <v>3944</v>
      </c>
      <c r="Q523" s="56">
        <v>8963</v>
      </c>
      <c r="R523" s="16">
        <f t="shared" si="95"/>
        <v>16296</v>
      </c>
      <c r="T523" s="144">
        <f t="shared" si="114"/>
        <v>40507</v>
      </c>
      <c r="U523" s="154">
        <f>'copy data3'!B577</f>
        <v>3650</v>
      </c>
      <c r="V523" s="38">
        <f t="shared" si="96"/>
        <v>3664.25</v>
      </c>
      <c r="W523" s="71">
        <f t="shared" si="97"/>
        <v>250.80424366872006</v>
      </c>
      <c r="X523" s="154">
        <f>'copy data3'!D577</f>
        <v>780</v>
      </c>
      <c r="Y523" s="38">
        <f t="shared" si="98"/>
        <v>657.5</v>
      </c>
      <c r="Z523" s="71">
        <f t="shared" si="99"/>
        <v>138.71308016877637</v>
      </c>
      <c r="AA523" s="152">
        <f>'copy data3'!F577</f>
        <v>2808</v>
      </c>
      <c r="AB523" s="38">
        <f t="shared" si="100"/>
        <v>2683.75</v>
      </c>
      <c r="AC523" s="71">
        <f t="shared" si="101"/>
        <v>268.1068931068931</v>
      </c>
      <c r="AD523" s="152">
        <f>'copy data3'!H577</f>
        <v>1329</v>
      </c>
      <c r="AE523" s="38">
        <f t="shared" si="102"/>
        <v>1272</v>
      </c>
      <c r="AF523" s="71">
        <f t="shared" si="103"/>
        <v>181.97424892703862</v>
      </c>
      <c r="AG523" s="152">
        <f>'copy data3'!J577</f>
        <v>174</v>
      </c>
      <c r="AH523" s="38">
        <f t="shared" si="104"/>
        <v>170.5</v>
      </c>
      <c r="AI523" s="71">
        <f t="shared" si="105"/>
        <v>61.330935251798557</v>
      </c>
      <c r="AJ523" s="152">
        <f>'copy data3'!L577</f>
        <v>8740</v>
      </c>
      <c r="AK523" s="38">
        <f t="shared" si="106"/>
        <v>8447</v>
      </c>
      <c r="AL523" s="71">
        <f t="shared" si="107"/>
        <v>215.8701763352926</v>
      </c>
      <c r="AM523" s="152">
        <f>'copy data3'!N577</f>
        <v>12389</v>
      </c>
      <c r="AN523" s="38">
        <f t="shared" si="108"/>
        <v>12450</v>
      </c>
      <c r="AO523" s="71">
        <f t="shared" si="109"/>
        <v>125.56732223903178</v>
      </c>
      <c r="AP523" s="152">
        <f>'copy data3'!P577</f>
        <v>17599</v>
      </c>
      <c r="AQ523" s="38">
        <f t="shared" si="110"/>
        <v>18482.5</v>
      </c>
      <c r="AR523" s="71">
        <f t="shared" si="111"/>
        <v>122.27110346652555</v>
      </c>
      <c r="AS523" s="153">
        <f>'copy data3'!R577</f>
        <v>38728</v>
      </c>
      <c r="AT523" s="38">
        <f t="shared" si="113"/>
        <v>39379.5</v>
      </c>
      <c r="AU523" s="71">
        <f t="shared" si="112"/>
        <v>136.05410447761196</v>
      </c>
    </row>
    <row r="524" spans="1:47" ht="15.6" x14ac:dyDescent="0.3">
      <c r="A524" s="55">
        <v>38337</v>
      </c>
      <c r="B524" s="56">
        <v>1700</v>
      </c>
      <c r="C524" s="56">
        <v>5459</v>
      </c>
      <c r="D524" s="56">
        <v>495</v>
      </c>
      <c r="E524" s="56">
        <v>2249</v>
      </c>
      <c r="F524" s="56">
        <v>1250</v>
      </c>
      <c r="G524" s="56">
        <v>4643</v>
      </c>
      <c r="H524" s="56">
        <v>776</v>
      </c>
      <c r="I524" s="56">
        <v>2993</v>
      </c>
      <c r="J524" s="56">
        <v>78</v>
      </c>
      <c r="K524" s="56">
        <v>366</v>
      </c>
      <c r="L524" s="56">
        <v>4299</v>
      </c>
      <c r="M524" s="56">
        <v>15710</v>
      </c>
      <c r="N524" s="56">
        <v>7770</v>
      </c>
      <c r="O524" s="56">
        <v>14490</v>
      </c>
      <c r="P524" s="56">
        <v>5692</v>
      </c>
      <c r="Q524" s="56">
        <v>12897</v>
      </c>
      <c r="R524" s="16">
        <f t="shared" si="95"/>
        <v>17761</v>
      </c>
      <c r="T524" s="144">
        <f t="shared" si="114"/>
        <v>40514</v>
      </c>
      <c r="U524" s="154">
        <f>'copy data3'!B578</f>
        <v>3613</v>
      </c>
      <c r="V524" s="38">
        <f t="shared" si="96"/>
        <v>3681</v>
      </c>
      <c r="W524" s="71">
        <f t="shared" si="97"/>
        <v>250.92024539877303</v>
      </c>
      <c r="X524" s="154">
        <f>'copy data3'!D578</f>
        <v>802</v>
      </c>
      <c r="Y524" s="38">
        <f t="shared" si="98"/>
        <v>718</v>
      </c>
      <c r="Z524" s="71">
        <f t="shared" si="99"/>
        <v>146.83026584867076</v>
      </c>
      <c r="AA524" s="152">
        <f>'copy data3'!F578</f>
        <v>2750</v>
      </c>
      <c r="AB524" s="38">
        <f t="shared" si="100"/>
        <v>2744</v>
      </c>
      <c r="AC524" s="71">
        <f t="shared" si="101"/>
        <v>295.05376344086022</v>
      </c>
      <c r="AD524" s="152">
        <f>'copy data3'!H578</f>
        <v>1273</v>
      </c>
      <c r="AE524" s="38">
        <f t="shared" si="102"/>
        <v>1298</v>
      </c>
      <c r="AF524" s="71">
        <f t="shared" si="103"/>
        <v>179.0344827586207</v>
      </c>
      <c r="AG524" s="152">
        <f>'copy data3'!J578</f>
        <v>163</v>
      </c>
      <c r="AH524" s="38">
        <f t="shared" si="104"/>
        <v>172.25</v>
      </c>
      <c r="AI524" s="71">
        <f t="shared" si="105"/>
        <v>71.473029045643159</v>
      </c>
      <c r="AJ524" s="152">
        <f>'copy data3'!L578</f>
        <v>8601</v>
      </c>
      <c r="AK524" s="38">
        <f t="shared" si="106"/>
        <v>8612.5</v>
      </c>
      <c r="AL524" s="71">
        <f t="shared" si="107"/>
        <v>223.64320955595952</v>
      </c>
      <c r="AM524" s="152">
        <f>'copy data3'!N578</f>
        <v>12365</v>
      </c>
      <c r="AN524" s="38">
        <f t="shared" si="108"/>
        <v>12386.25</v>
      </c>
      <c r="AO524" s="71">
        <f t="shared" si="109"/>
        <v>123.16048523416525</v>
      </c>
      <c r="AP524" s="152">
        <f>'copy data3'!P578</f>
        <v>16742</v>
      </c>
      <c r="AQ524" s="38">
        <f t="shared" si="110"/>
        <v>17767.25</v>
      </c>
      <c r="AR524" s="71">
        <f t="shared" si="111"/>
        <v>127.11776489947771</v>
      </c>
      <c r="AS524" s="153">
        <f>'copy data3'!R578</f>
        <v>37708</v>
      </c>
      <c r="AT524" s="38">
        <f t="shared" si="113"/>
        <v>38766</v>
      </c>
      <c r="AU524" s="71">
        <f t="shared" si="112"/>
        <v>139.02097902097904</v>
      </c>
    </row>
    <row r="525" spans="1:47" ht="15.6" x14ac:dyDescent="0.3">
      <c r="A525" s="55">
        <v>38701</v>
      </c>
      <c r="B525" s="56">
        <v>2868</v>
      </c>
      <c r="C525" s="56">
        <v>5932</v>
      </c>
      <c r="D525" s="56">
        <v>279</v>
      </c>
      <c r="E525" s="56">
        <v>1207</v>
      </c>
      <c r="F525" s="56">
        <v>1139</v>
      </c>
      <c r="G525" s="56">
        <v>4556</v>
      </c>
      <c r="H525" s="56">
        <v>800</v>
      </c>
      <c r="I525" s="56">
        <v>2309</v>
      </c>
      <c r="J525" s="56">
        <v>30</v>
      </c>
      <c r="K525" s="56">
        <v>480</v>
      </c>
      <c r="L525" s="56">
        <v>5116</v>
      </c>
      <c r="M525" s="56">
        <v>14484</v>
      </c>
      <c r="N525" s="56">
        <v>7037</v>
      </c>
      <c r="O525" s="56">
        <v>14138</v>
      </c>
      <c r="P525" s="56">
        <v>4004</v>
      </c>
      <c r="Q525" s="56">
        <v>9642</v>
      </c>
      <c r="R525" s="16">
        <f t="shared" si="95"/>
        <v>16157</v>
      </c>
      <c r="T525" s="144">
        <f t="shared" si="114"/>
        <v>40521</v>
      </c>
      <c r="U525" s="154">
        <f>'copy data3'!B579</f>
        <v>4012</v>
      </c>
      <c r="V525" s="38">
        <f t="shared" si="96"/>
        <v>3733.75</v>
      </c>
      <c r="W525" s="71">
        <f t="shared" si="97"/>
        <v>262.20154494382024</v>
      </c>
      <c r="X525" s="154">
        <f>'copy data3'!D579</f>
        <v>810</v>
      </c>
      <c r="Y525" s="38">
        <f t="shared" si="98"/>
        <v>771.5</v>
      </c>
      <c r="Z525" s="71">
        <f t="shared" si="99"/>
        <v>150.68359375</v>
      </c>
      <c r="AA525" s="152">
        <f>'copy data3'!F579</f>
        <v>2737</v>
      </c>
      <c r="AB525" s="38">
        <f t="shared" si="100"/>
        <v>2766.75</v>
      </c>
      <c r="AC525" s="71">
        <f t="shared" si="101"/>
        <v>284.35251798561148</v>
      </c>
      <c r="AD525" s="152">
        <f>'copy data3'!H579</f>
        <v>1273</v>
      </c>
      <c r="AE525" s="38">
        <f t="shared" si="102"/>
        <v>1304.75</v>
      </c>
      <c r="AF525" s="71">
        <f t="shared" si="103"/>
        <v>184.2867231638418</v>
      </c>
      <c r="AG525" s="152">
        <f>'copy data3'!J579</f>
        <v>164</v>
      </c>
      <c r="AH525" s="38">
        <f t="shared" si="104"/>
        <v>174</v>
      </c>
      <c r="AI525" s="71">
        <f t="shared" si="105"/>
        <v>72.199170124481327</v>
      </c>
      <c r="AJ525" s="152">
        <f>'copy data3'!L579</f>
        <v>8996</v>
      </c>
      <c r="AK525" s="38">
        <f t="shared" si="106"/>
        <v>8750.5</v>
      </c>
      <c r="AL525" s="71">
        <f t="shared" si="107"/>
        <v>226.81441161223432</v>
      </c>
      <c r="AM525" s="152">
        <f>'copy data3'!N579</f>
        <v>12365</v>
      </c>
      <c r="AN525" s="38">
        <f t="shared" si="108"/>
        <v>12383.75</v>
      </c>
      <c r="AO525" s="71">
        <f t="shared" si="109"/>
        <v>117.86190158941659</v>
      </c>
      <c r="AP525" s="152">
        <f>'copy data3'!P579</f>
        <v>15478</v>
      </c>
      <c r="AQ525" s="38">
        <f t="shared" si="110"/>
        <v>16926</v>
      </c>
      <c r="AR525" s="71">
        <f t="shared" si="111"/>
        <v>127.76268115942028</v>
      </c>
      <c r="AS525" s="153">
        <f>'copy data3'!R579</f>
        <v>36839</v>
      </c>
      <c r="AT525" s="38">
        <f t="shared" si="113"/>
        <v>38060.25</v>
      </c>
      <c r="AU525" s="71">
        <f t="shared" si="112"/>
        <v>137.83453445840729</v>
      </c>
    </row>
    <row r="526" spans="1:47" ht="15.6" x14ac:dyDescent="0.3">
      <c r="A526" s="55">
        <v>38344</v>
      </c>
      <c r="B526" s="56">
        <v>1610</v>
      </c>
      <c r="C526" s="56">
        <v>5672</v>
      </c>
      <c r="D526" s="56">
        <v>492</v>
      </c>
      <c r="E526" s="56">
        <v>2321</v>
      </c>
      <c r="F526" s="56">
        <v>1181</v>
      </c>
      <c r="G526" s="56">
        <v>4759</v>
      </c>
      <c r="H526" s="56">
        <v>738</v>
      </c>
      <c r="I526" s="56">
        <v>3079</v>
      </c>
      <c r="J526" s="56">
        <v>128</v>
      </c>
      <c r="K526" s="56">
        <v>366</v>
      </c>
      <c r="L526" s="56">
        <v>4148</v>
      </c>
      <c r="M526" s="56">
        <v>16196</v>
      </c>
      <c r="N526" s="56">
        <v>7496</v>
      </c>
      <c r="O526" s="56">
        <v>15461</v>
      </c>
      <c r="P526" s="56">
        <v>5744</v>
      </c>
      <c r="Q526" s="56">
        <v>13717</v>
      </c>
      <c r="R526" s="16">
        <f t="shared" si="95"/>
        <v>17388</v>
      </c>
      <c r="T526" s="144">
        <f t="shared" si="114"/>
        <v>40528</v>
      </c>
      <c r="U526" s="154">
        <f>'copy data3'!B580</f>
        <v>4040</v>
      </c>
      <c r="V526" s="38">
        <f t="shared" si="96"/>
        <v>3828.75</v>
      </c>
      <c r="W526" s="71">
        <f t="shared" si="97"/>
        <v>279.67494521548576</v>
      </c>
      <c r="X526" s="154">
        <f>'copy data3'!D580</f>
        <v>832</v>
      </c>
      <c r="Y526" s="38">
        <f t="shared" si="98"/>
        <v>806</v>
      </c>
      <c r="Z526" s="71">
        <f t="shared" si="99"/>
        <v>160.55776892430279</v>
      </c>
      <c r="AA526" s="152">
        <f>'copy data3'!F580</f>
        <v>2611.9</v>
      </c>
      <c r="AB526" s="38">
        <f t="shared" si="100"/>
        <v>2726.7249999999999</v>
      </c>
      <c r="AC526" s="71">
        <f t="shared" si="101"/>
        <v>280.52726337448559</v>
      </c>
      <c r="AD526" s="152">
        <f>'copy data3'!H580</f>
        <v>1287.2</v>
      </c>
      <c r="AE526" s="38">
        <f t="shared" si="102"/>
        <v>1290.55</v>
      </c>
      <c r="AF526" s="71">
        <f t="shared" si="103"/>
        <v>192.61940298507463</v>
      </c>
      <c r="AG526" s="152">
        <f>'copy data3'!J580</f>
        <v>101.9</v>
      </c>
      <c r="AH526" s="38">
        <f t="shared" si="104"/>
        <v>150.72499999999999</v>
      </c>
      <c r="AI526" s="71">
        <f t="shared" si="105"/>
        <v>62.54149377593361</v>
      </c>
      <c r="AJ526" s="152">
        <f>'copy data3'!L580</f>
        <v>8873</v>
      </c>
      <c r="AK526" s="38">
        <f t="shared" si="106"/>
        <v>8802.5</v>
      </c>
      <c r="AL526" s="71">
        <f t="shared" si="107"/>
        <v>234.60820895522389</v>
      </c>
      <c r="AM526" s="152">
        <f>'copy data3'!N580</f>
        <v>12442.6</v>
      </c>
      <c r="AN526" s="38">
        <f t="shared" si="108"/>
        <v>12390.4</v>
      </c>
      <c r="AO526" s="71">
        <f t="shared" si="109"/>
        <v>106.04587470044504</v>
      </c>
      <c r="AP526" s="152">
        <f>'copy data3'!P580</f>
        <v>14873.4</v>
      </c>
      <c r="AQ526" s="38">
        <f t="shared" si="110"/>
        <v>16173.1</v>
      </c>
      <c r="AR526" s="71">
        <f t="shared" si="111"/>
        <v>119.34986347871006</v>
      </c>
      <c r="AS526" s="153">
        <f>'copy data3'!R580</f>
        <v>36189</v>
      </c>
      <c r="AT526" s="38">
        <f t="shared" si="113"/>
        <v>37366</v>
      </c>
      <c r="AU526" s="71">
        <f t="shared" si="112"/>
        <v>128.90606133784109</v>
      </c>
    </row>
    <row r="527" spans="1:47" ht="15.6" x14ac:dyDescent="0.3">
      <c r="A527" s="55">
        <v>38708</v>
      </c>
      <c r="B527" s="56">
        <v>2719</v>
      </c>
      <c r="C527" s="56">
        <v>6202</v>
      </c>
      <c r="D527" s="56">
        <v>291</v>
      </c>
      <c r="E527" s="56">
        <v>1213</v>
      </c>
      <c r="F527" s="56">
        <v>1092</v>
      </c>
      <c r="G527" s="56">
        <v>4727</v>
      </c>
      <c r="H527" s="56">
        <v>704</v>
      </c>
      <c r="I527" s="56">
        <v>2476</v>
      </c>
      <c r="J527" s="56">
        <v>28</v>
      </c>
      <c r="K527" s="56">
        <v>504</v>
      </c>
      <c r="L527" s="56">
        <v>4834</v>
      </c>
      <c r="M527" s="56">
        <v>15122</v>
      </c>
      <c r="N527" s="56">
        <v>6619</v>
      </c>
      <c r="O527" s="56">
        <v>14916</v>
      </c>
      <c r="P527" s="56">
        <v>4286</v>
      </c>
      <c r="Q527" s="56">
        <v>10250</v>
      </c>
      <c r="R527" s="16">
        <f t="shared" si="95"/>
        <v>15739</v>
      </c>
      <c r="T527" s="144">
        <f t="shared" si="114"/>
        <v>40535</v>
      </c>
      <c r="U527" s="154">
        <f>'copy data3'!B581</f>
        <v>4048</v>
      </c>
      <c r="V527" s="38">
        <f t="shared" si="96"/>
        <v>3928.25</v>
      </c>
      <c r="W527" s="71">
        <f t="shared" si="97"/>
        <v>279.39189189189187</v>
      </c>
      <c r="X527" s="154">
        <f>'copy data3'!D581</f>
        <v>836</v>
      </c>
      <c r="Y527" s="38">
        <f t="shared" si="98"/>
        <v>820</v>
      </c>
      <c r="Z527" s="71">
        <f t="shared" si="99"/>
        <v>163.34661354581675</v>
      </c>
      <c r="AA527" s="152">
        <f>'copy data3'!F581</f>
        <v>2521</v>
      </c>
      <c r="AB527" s="38">
        <f t="shared" si="100"/>
        <v>2654.9749999999999</v>
      </c>
      <c r="AC527" s="71">
        <f t="shared" si="101"/>
        <v>278.00785340314133</v>
      </c>
      <c r="AD527" s="152">
        <f>'copy data3'!H581</f>
        <v>1238</v>
      </c>
      <c r="AE527" s="38">
        <f t="shared" si="102"/>
        <v>1267.8</v>
      </c>
      <c r="AF527" s="71">
        <f t="shared" si="103"/>
        <v>175.11049723756906</v>
      </c>
      <c r="AG527" s="152">
        <f>'copy data3'!J581</f>
        <v>114</v>
      </c>
      <c r="AH527" s="38">
        <f t="shared" si="104"/>
        <v>135.72499999999999</v>
      </c>
      <c r="AI527" s="71">
        <f t="shared" si="105"/>
        <v>56.317427385892117</v>
      </c>
      <c r="AJ527" s="152">
        <f>'copy data3'!L581</f>
        <v>8758</v>
      </c>
      <c r="AK527" s="38">
        <f t="shared" si="106"/>
        <v>8807</v>
      </c>
      <c r="AL527" s="71">
        <f t="shared" si="107"/>
        <v>230.06792058516194</v>
      </c>
      <c r="AM527" s="152">
        <f>'copy data3'!N581</f>
        <v>12059</v>
      </c>
      <c r="AN527" s="38">
        <f t="shared" si="108"/>
        <v>12307.9</v>
      </c>
      <c r="AO527" s="71">
        <f t="shared" si="109"/>
        <v>106.16665229017511</v>
      </c>
      <c r="AP527" s="152">
        <f>'copy data3'!P581</f>
        <v>14623</v>
      </c>
      <c r="AQ527" s="38">
        <f t="shared" si="110"/>
        <v>15429.1</v>
      </c>
      <c r="AR527" s="71">
        <f t="shared" si="111"/>
        <v>118.95990747879723</v>
      </c>
      <c r="AS527" s="153">
        <f>'copy data3'!R581</f>
        <v>35440</v>
      </c>
      <c r="AT527" s="38">
        <f t="shared" si="113"/>
        <v>36544</v>
      </c>
      <c r="AU527" s="71">
        <f t="shared" si="112"/>
        <v>128.71684688809836</v>
      </c>
    </row>
    <row r="528" spans="1:47" ht="15.6" x14ac:dyDescent="0.3">
      <c r="A528" s="55">
        <v>38351</v>
      </c>
      <c r="B528" s="56">
        <v>1482</v>
      </c>
      <c r="C528" s="56">
        <v>5825</v>
      </c>
      <c r="D528" s="56">
        <v>412</v>
      </c>
      <c r="E528" s="56">
        <v>2401</v>
      </c>
      <c r="F528" s="56">
        <v>1054</v>
      </c>
      <c r="G528" s="56">
        <v>4908</v>
      </c>
      <c r="H528" s="56">
        <v>768</v>
      </c>
      <c r="I528" s="56">
        <v>3099</v>
      </c>
      <c r="J528" s="56">
        <v>115</v>
      </c>
      <c r="K528" s="56">
        <v>372</v>
      </c>
      <c r="L528" s="56">
        <v>3831</v>
      </c>
      <c r="M528" s="56">
        <v>16605</v>
      </c>
      <c r="N528" s="56">
        <v>6975</v>
      </c>
      <c r="O528" s="56">
        <v>16413</v>
      </c>
      <c r="P528" s="56">
        <v>5434</v>
      </c>
      <c r="Q528" s="56">
        <v>14676</v>
      </c>
      <c r="R528" s="16">
        <f t="shared" ref="R528:R591" si="115">P528+N528+L528</f>
        <v>16240</v>
      </c>
      <c r="T528" s="144">
        <f t="shared" si="114"/>
        <v>40542</v>
      </c>
      <c r="U528" s="154">
        <f>'copy data3'!B582</f>
        <v>3971</v>
      </c>
      <c r="V528" s="38">
        <f t="shared" si="96"/>
        <v>4017.75</v>
      </c>
      <c r="W528" s="71">
        <f t="shared" si="97"/>
        <v>293.69517543859649</v>
      </c>
      <c r="X528" s="154">
        <f>'copy data3'!D582</f>
        <v>814</v>
      </c>
      <c r="Y528" s="38">
        <f t="shared" si="98"/>
        <v>823</v>
      </c>
      <c r="Z528" s="71">
        <f t="shared" si="99"/>
        <v>170.74688796680496</v>
      </c>
      <c r="AA528" s="152">
        <f>'copy data3'!F582</f>
        <v>2611</v>
      </c>
      <c r="AB528" s="38">
        <f t="shared" si="100"/>
        <v>2620.2249999999999</v>
      </c>
      <c r="AC528" s="71">
        <f t="shared" si="101"/>
        <v>286.67669584245073</v>
      </c>
      <c r="AD528" s="152">
        <f>'copy data3'!H582</f>
        <v>1277</v>
      </c>
      <c r="AE528" s="38">
        <f t="shared" si="102"/>
        <v>1268.8</v>
      </c>
      <c r="AF528" s="71">
        <f t="shared" si="103"/>
        <v>182.56115107913669</v>
      </c>
      <c r="AG528" s="152">
        <f>'copy data3'!J582</f>
        <v>114</v>
      </c>
      <c r="AH528" s="38">
        <f t="shared" si="104"/>
        <v>123.47499999999999</v>
      </c>
      <c r="AI528" s="71">
        <f t="shared" si="105"/>
        <v>56.63990825688073</v>
      </c>
      <c r="AJ528" s="152">
        <f>'copy data3'!L582</f>
        <v>8786</v>
      </c>
      <c r="AK528" s="38">
        <f t="shared" si="106"/>
        <v>8853.25</v>
      </c>
      <c r="AL528" s="71">
        <f t="shared" si="107"/>
        <v>240.77372858308402</v>
      </c>
      <c r="AM528" s="152">
        <f>'copy data3'!N582</f>
        <v>11814</v>
      </c>
      <c r="AN528" s="38">
        <f t="shared" si="108"/>
        <v>12170.15</v>
      </c>
      <c r="AO528" s="71">
        <f t="shared" si="109"/>
        <v>109.05152329749103</v>
      </c>
      <c r="AP528" s="152">
        <f>'copy data3'!P582</f>
        <v>14129</v>
      </c>
      <c r="AQ528" s="38">
        <f t="shared" si="110"/>
        <v>14775.85</v>
      </c>
      <c r="AR528" s="71">
        <f t="shared" si="111"/>
        <v>118.04625709035712</v>
      </c>
      <c r="AS528" s="153">
        <f>'copy data3'!R582</f>
        <v>34729</v>
      </c>
      <c r="AT528" s="38">
        <f t="shared" si="113"/>
        <v>35799.25</v>
      </c>
      <c r="AU528" s="71">
        <f t="shared" si="112"/>
        <v>130.87391240769176</v>
      </c>
    </row>
    <row r="529" spans="1:47" ht="15.6" x14ac:dyDescent="0.3">
      <c r="A529" s="55">
        <v>38715</v>
      </c>
      <c r="B529" s="56">
        <v>2692</v>
      </c>
      <c r="C529" s="56">
        <v>6320</v>
      </c>
      <c r="D529" s="56">
        <v>307</v>
      </c>
      <c r="E529" s="56">
        <v>1230</v>
      </c>
      <c r="F529" s="56">
        <v>1036</v>
      </c>
      <c r="G529" s="56">
        <v>4825</v>
      </c>
      <c r="H529" s="56">
        <v>661</v>
      </c>
      <c r="I529" s="56">
        <v>2571</v>
      </c>
      <c r="J529" s="56">
        <v>31</v>
      </c>
      <c r="K529" s="56">
        <v>508</v>
      </c>
      <c r="L529" s="56">
        <v>4727</v>
      </c>
      <c r="M529" s="56">
        <v>15453</v>
      </c>
      <c r="N529" s="56">
        <v>5991</v>
      </c>
      <c r="O529" s="56">
        <v>16073</v>
      </c>
      <c r="P529" s="56">
        <v>4375</v>
      </c>
      <c r="Q529" s="56">
        <v>10623</v>
      </c>
      <c r="R529" s="16">
        <f t="shared" si="115"/>
        <v>15093</v>
      </c>
      <c r="T529" s="144">
        <f t="shared" si="114"/>
        <v>40549</v>
      </c>
      <c r="U529" s="154">
        <f>'copy data3'!B583</f>
        <v>3675</v>
      </c>
      <c r="V529" s="38">
        <f t="shared" si="96"/>
        <v>3933.5</v>
      </c>
      <c r="W529" s="71">
        <f t="shared" si="97"/>
        <v>297.31670445956161</v>
      </c>
      <c r="X529" s="154">
        <f>'copy data3'!D583</f>
        <v>810</v>
      </c>
      <c r="Y529" s="38">
        <f t="shared" si="98"/>
        <v>823</v>
      </c>
      <c r="Z529" s="71">
        <f t="shared" si="99"/>
        <v>172.17573221757323</v>
      </c>
      <c r="AA529" s="152">
        <f>'copy data3'!F583</f>
        <v>2537</v>
      </c>
      <c r="AB529" s="38">
        <f t="shared" si="100"/>
        <v>2570.2249999999999</v>
      </c>
      <c r="AC529" s="71">
        <f t="shared" si="101"/>
        <v>291.40873015873018</v>
      </c>
      <c r="AD529" s="152">
        <f>'copy data3'!H583</f>
        <v>1197</v>
      </c>
      <c r="AE529" s="38">
        <f t="shared" si="102"/>
        <v>1249.8</v>
      </c>
      <c r="AF529" s="71">
        <f t="shared" si="103"/>
        <v>186.25931445603575</v>
      </c>
      <c r="AG529" s="152">
        <f>'copy data3'!J583</f>
        <v>101</v>
      </c>
      <c r="AH529" s="38">
        <f t="shared" si="104"/>
        <v>107.72499999999999</v>
      </c>
      <c r="AI529" s="71">
        <f t="shared" si="105"/>
        <v>50.338785046728972</v>
      </c>
      <c r="AJ529" s="152">
        <f>'copy data3'!L583</f>
        <v>8320</v>
      </c>
      <c r="AK529" s="38">
        <f t="shared" si="106"/>
        <v>8684.25</v>
      </c>
      <c r="AL529" s="71">
        <f t="shared" si="107"/>
        <v>243.39265695067263</v>
      </c>
      <c r="AM529" s="152">
        <f>'copy data3'!N583</f>
        <v>11738</v>
      </c>
      <c r="AN529" s="38">
        <f t="shared" si="108"/>
        <v>12013.4</v>
      </c>
      <c r="AO529" s="71">
        <f t="shared" si="109"/>
        <v>110.93729799612153</v>
      </c>
      <c r="AP529" s="152">
        <f>'copy data3'!P583</f>
        <v>13674</v>
      </c>
      <c r="AQ529" s="38">
        <f t="shared" si="110"/>
        <v>14324.85</v>
      </c>
      <c r="AR529" s="71">
        <f t="shared" si="111"/>
        <v>122.98119848901099</v>
      </c>
      <c r="AS529" s="153">
        <f>'copy data3'!R583</f>
        <v>33732</v>
      </c>
      <c r="AT529" s="38">
        <f t="shared" si="113"/>
        <v>35022.5</v>
      </c>
      <c r="AU529" s="71">
        <f t="shared" si="112"/>
        <v>134.46918794394318</v>
      </c>
    </row>
    <row r="530" spans="1:47" ht="15.6" x14ac:dyDescent="0.3">
      <c r="A530" s="55">
        <v>38358</v>
      </c>
      <c r="B530" s="56">
        <v>1479</v>
      </c>
      <c r="C530" s="56">
        <v>5960</v>
      </c>
      <c r="D530" s="56">
        <v>367</v>
      </c>
      <c r="E530" s="56">
        <v>2451</v>
      </c>
      <c r="F530" s="56">
        <v>1096</v>
      </c>
      <c r="G530" s="56">
        <v>5051</v>
      </c>
      <c r="H530" s="56">
        <v>735</v>
      </c>
      <c r="I530" s="56">
        <v>3211</v>
      </c>
      <c r="J530" s="56">
        <v>115</v>
      </c>
      <c r="K530" s="56">
        <v>383</v>
      </c>
      <c r="L530" s="56">
        <v>3792</v>
      </c>
      <c r="M530" s="56">
        <v>17056</v>
      </c>
      <c r="N530" s="56">
        <v>6999</v>
      </c>
      <c r="O530" s="56">
        <v>17047</v>
      </c>
      <c r="P530" s="56">
        <v>5692</v>
      </c>
      <c r="Q530" s="56">
        <v>15483</v>
      </c>
      <c r="R530" s="16">
        <f t="shared" si="115"/>
        <v>16483</v>
      </c>
      <c r="T530" s="144">
        <f t="shared" si="114"/>
        <v>40556</v>
      </c>
      <c r="U530" s="154">
        <f>'copy data3'!B584</f>
        <v>3798</v>
      </c>
      <c r="V530" s="38">
        <f t="shared" si="96"/>
        <v>3873</v>
      </c>
      <c r="W530" s="71">
        <f t="shared" si="97"/>
        <v>249.54896907216494</v>
      </c>
      <c r="X530" s="154">
        <f>'copy data3'!D584</f>
        <v>807</v>
      </c>
      <c r="Y530" s="38">
        <f t="shared" si="98"/>
        <v>816.75</v>
      </c>
      <c r="Z530" s="71">
        <f t="shared" si="99"/>
        <v>175.64516129032256</v>
      </c>
      <c r="AA530" s="152">
        <f>'copy data3'!F584</f>
        <v>2629</v>
      </c>
      <c r="AB530" s="38">
        <f t="shared" si="100"/>
        <v>2574.5</v>
      </c>
      <c r="AC530" s="71">
        <f t="shared" si="101"/>
        <v>244.72433460076047</v>
      </c>
      <c r="AD530" s="152">
        <f>'copy data3'!H584</f>
        <v>1321</v>
      </c>
      <c r="AE530" s="38">
        <f t="shared" si="102"/>
        <v>1258.25</v>
      </c>
      <c r="AF530" s="71">
        <f t="shared" si="103"/>
        <v>157.67543859649123</v>
      </c>
      <c r="AG530" s="152">
        <f>'copy data3'!J584</f>
        <v>121</v>
      </c>
      <c r="AH530" s="38">
        <f t="shared" si="104"/>
        <v>112.5</v>
      </c>
      <c r="AI530" s="71">
        <f t="shared" si="105"/>
        <v>53.571428571428569</v>
      </c>
      <c r="AJ530" s="152">
        <f>'copy data3'!L584</f>
        <v>8676</v>
      </c>
      <c r="AK530" s="38">
        <f t="shared" si="106"/>
        <v>8635</v>
      </c>
      <c r="AL530" s="71">
        <f t="shared" si="107"/>
        <v>211.79789060583764</v>
      </c>
      <c r="AM530" s="152">
        <f>'copy data3'!N584</f>
        <v>12055</v>
      </c>
      <c r="AN530" s="38">
        <f t="shared" si="108"/>
        <v>11916.5</v>
      </c>
      <c r="AO530" s="71">
        <f t="shared" si="109"/>
        <v>102.69303688383316</v>
      </c>
      <c r="AP530" s="152">
        <f>'copy data3'!P584</f>
        <v>13062</v>
      </c>
      <c r="AQ530" s="38">
        <f t="shared" si="110"/>
        <v>13872</v>
      </c>
      <c r="AR530" s="71">
        <f t="shared" si="111"/>
        <v>125.75469132444927</v>
      </c>
      <c r="AS530" s="153">
        <f>'copy data3'!R584</f>
        <v>33793</v>
      </c>
      <c r="AT530" s="38">
        <f t="shared" si="113"/>
        <v>34423.5</v>
      </c>
      <c r="AU530" s="71">
        <f t="shared" si="112"/>
        <v>128.86904761904762</v>
      </c>
    </row>
    <row r="531" spans="1:47" ht="15.6" x14ac:dyDescent="0.3">
      <c r="A531" s="55">
        <v>38722</v>
      </c>
      <c r="B531" s="56">
        <v>2413</v>
      </c>
      <c r="C531" s="56">
        <v>6701</v>
      </c>
      <c r="D531" s="56">
        <v>337</v>
      </c>
      <c r="E531" s="56">
        <v>1277</v>
      </c>
      <c r="F531" s="56">
        <v>1003</v>
      </c>
      <c r="G531" s="56">
        <v>4935</v>
      </c>
      <c r="H531" s="56">
        <v>657</v>
      </c>
      <c r="I531" s="56">
        <v>2607</v>
      </c>
      <c r="J531" s="56">
        <v>84</v>
      </c>
      <c r="K531" s="56">
        <v>509</v>
      </c>
      <c r="L531" s="56">
        <v>4494</v>
      </c>
      <c r="M531" s="56">
        <v>16029</v>
      </c>
      <c r="N531" s="56">
        <v>5905</v>
      </c>
      <c r="O531" s="56">
        <v>16731</v>
      </c>
      <c r="P531" s="56">
        <v>4149</v>
      </c>
      <c r="Q531" s="56">
        <v>11297</v>
      </c>
      <c r="R531" s="16">
        <f t="shared" si="115"/>
        <v>14548</v>
      </c>
      <c r="T531" s="144">
        <f t="shared" si="114"/>
        <v>40563</v>
      </c>
      <c r="U531" s="154">
        <f>'copy data3'!B585</f>
        <v>3993</v>
      </c>
      <c r="V531" s="38">
        <f t="shared" si="96"/>
        <v>3859.25</v>
      </c>
      <c r="W531" s="71">
        <f t="shared" si="97"/>
        <v>230.12820512820511</v>
      </c>
      <c r="X531" s="154">
        <f>'copy data3'!D585</f>
        <v>781</v>
      </c>
      <c r="Y531" s="38">
        <f t="shared" si="98"/>
        <v>803</v>
      </c>
      <c r="Z531" s="71">
        <f t="shared" si="99"/>
        <v>170.85106382978722</v>
      </c>
      <c r="AA531" s="152">
        <f>'copy data3'!F585</f>
        <v>2682</v>
      </c>
      <c r="AB531" s="38">
        <f t="shared" si="100"/>
        <v>2614.75</v>
      </c>
      <c r="AC531" s="71">
        <f t="shared" si="101"/>
        <v>242.55565862708721</v>
      </c>
      <c r="AD531" s="152">
        <f>'copy data3'!H585</f>
        <v>1343</v>
      </c>
      <c r="AE531" s="38">
        <f t="shared" si="102"/>
        <v>1284.5</v>
      </c>
      <c r="AF531" s="71">
        <f t="shared" si="103"/>
        <v>142.72222222222223</v>
      </c>
      <c r="AG531" s="152">
        <f>'copy data3'!J585</f>
        <v>101</v>
      </c>
      <c r="AH531" s="38">
        <f t="shared" si="104"/>
        <v>109.25</v>
      </c>
      <c r="AI531" s="71">
        <f t="shared" si="105"/>
        <v>57.804232804232804</v>
      </c>
      <c r="AJ531" s="152">
        <f>'copy data3'!L585</f>
        <v>8900</v>
      </c>
      <c r="AK531" s="38">
        <f t="shared" si="106"/>
        <v>8670.5</v>
      </c>
      <c r="AL531" s="71">
        <f t="shared" si="107"/>
        <v>201.03176443310923</v>
      </c>
      <c r="AM531" s="152">
        <f>'copy data3'!N585</f>
        <v>11700</v>
      </c>
      <c r="AN531" s="38">
        <f t="shared" si="108"/>
        <v>11826.75</v>
      </c>
      <c r="AO531" s="71">
        <f t="shared" si="109"/>
        <v>98.770252213128444</v>
      </c>
      <c r="AP531" s="152">
        <f>'copy data3'!P585</f>
        <v>12565</v>
      </c>
      <c r="AQ531" s="38">
        <f t="shared" si="110"/>
        <v>13357.5</v>
      </c>
      <c r="AR531" s="71">
        <f t="shared" si="111"/>
        <v>129.55868089233752</v>
      </c>
      <c r="AS531" s="153">
        <f>'copy data3'!R585</f>
        <v>33165</v>
      </c>
      <c r="AT531" s="38">
        <f t="shared" si="113"/>
        <v>33854.75</v>
      </c>
      <c r="AU531" s="71">
        <f t="shared" si="112"/>
        <v>127.28785201338498</v>
      </c>
    </row>
    <row r="532" spans="1:47" ht="15.6" x14ac:dyDescent="0.3">
      <c r="A532" s="55">
        <v>38365</v>
      </c>
      <c r="B532" s="56">
        <v>1448</v>
      </c>
      <c r="C532" s="56">
        <v>6111</v>
      </c>
      <c r="D532" s="56">
        <v>383</v>
      </c>
      <c r="E532" s="56">
        <v>2472</v>
      </c>
      <c r="F532" s="56">
        <v>1230</v>
      </c>
      <c r="G532" s="56">
        <v>5111</v>
      </c>
      <c r="H532" s="56">
        <v>686</v>
      </c>
      <c r="I532" s="56">
        <v>3320</v>
      </c>
      <c r="J532" s="56">
        <v>129</v>
      </c>
      <c r="K532" s="56">
        <v>383</v>
      </c>
      <c r="L532" s="56">
        <v>3874</v>
      </c>
      <c r="M532" s="56">
        <v>17397</v>
      </c>
      <c r="N532" s="56">
        <v>7157</v>
      </c>
      <c r="O532" s="56">
        <v>17798</v>
      </c>
      <c r="P532" s="56">
        <v>5732</v>
      </c>
      <c r="Q532" s="56">
        <v>16303</v>
      </c>
      <c r="R532" s="16">
        <f t="shared" si="115"/>
        <v>16763</v>
      </c>
      <c r="T532" s="144">
        <f t="shared" si="114"/>
        <v>40570</v>
      </c>
      <c r="U532" s="154">
        <f>'copy data3'!B586</f>
        <v>3915</v>
      </c>
      <c r="V532" s="38">
        <f t="shared" si="96"/>
        <v>3845.25</v>
      </c>
      <c r="W532" s="71">
        <f t="shared" si="97"/>
        <v>233.89598540145985</v>
      </c>
      <c r="X532" s="154">
        <f>'copy data3'!D586</f>
        <v>844</v>
      </c>
      <c r="Y532" s="38">
        <f t="shared" si="98"/>
        <v>810.5</v>
      </c>
      <c r="Z532" s="71">
        <f t="shared" si="99"/>
        <v>167.45867768595042</v>
      </c>
      <c r="AA532" s="152">
        <f>'copy data3'!F586</f>
        <v>2667</v>
      </c>
      <c r="AB532" s="38">
        <f t="shared" si="100"/>
        <v>2628.75</v>
      </c>
      <c r="AC532" s="71">
        <f t="shared" si="101"/>
        <v>244.99068033550793</v>
      </c>
      <c r="AD532" s="152">
        <f>'copy data3'!H586</f>
        <v>1301</v>
      </c>
      <c r="AE532" s="38">
        <f t="shared" si="102"/>
        <v>1290.5</v>
      </c>
      <c r="AF532" s="71">
        <f t="shared" si="103"/>
        <v>145.65462753950337</v>
      </c>
      <c r="AG532" s="152">
        <f>'copy data3'!J586</f>
        <v>116</v>
      </c>
      <c r="AH532" s="38">
        <f t="shared" si="104"/>
        <v>109.75</v>
      </c>
      <c r="AI532" s="71">
        <f t="shared" si="105"/>
        <v>56.572164948453604</v>
      </c>
      <c r="AJ532" s="152">
        <f>'copy data3'!L586</f>
        <v>8843</v>
      </c>
      <c r="AK532" s="38">
        <f t="shared" si="106"/>
        <v>8684.75</v>
      </c>
      <c r="AL532" s="71">
        <f t="shared" si="107"/>
        <v>202.81994395142456</v>
      </c>
      <c r="AM532" s="152">
        <f>'copy data3'!N586</f>
        <v>12005</v>
      </c>
      <c r="AN532" s="38">
        <f t="shared" si="108"/>
        <v>11874.5</v>
      </c>
      <c r="AO532" s="71">
        <f t="shared" si="109"/>
        <v>100.84501061571125</v>
      </c>
      <c r="AP532" s="152">
        <f>'copy data3'!P586</f>
        <v>12478</v>
      </c>
      <c r="AQ532" s="38">
        <f t="shared" si="110"/>
        <v>12944.75</v>
      </c>
      <c r="AR532" s="71">
        <f t="shared" si="111"/>
        <v>137.46150578740574</v>
      </c>
      <c r="AS532" s="153">
        <f>'copy data3'!R586</f>
        <v>33326</v>
      </c>
      <c r="AT532" s="38">
        <f t="shared" si="113"/>
        <v>33504</v>
      </c>
      <c r="AU532" s="71">
        <f t="shared" si="112"/>
        <v>131.52233649996074</v>
      </c>
    </row>
    <row r="533" spans="1:47" ht="15.6" x14ac:dyDescent="0.3">
      <c r="A533" s="55">
        <v>38729</v>
      </c>
      <c r="B533" s="56">
        <v>2319</v>
      </c>
      <c r="C533" s="56">
        <v>6893</v>
      </c>
      <c r="D533" s="56">
        <v>309</v>
      </c>
      <c r="E533" s="56">
        <v>1311</v>
      </c>
      <c r="F533" s="56">
        <v>1067</v>
      </c>
      <c r="G533" s="56">
        <v>5010</v>
      </c>
      <c r="H533" s="56">
        <v>732</v>
      </c>
      <c r="I533" s="56">
        <v>2620</v>
      </c>
      <c r="J533" s="56">
        <v>97</v>
      </c>
      <c r="K533" s="56">
        <v>516</v>
      </c>
      <c r="L533" s="56">
        <v>4525</v>
      </c>
      <c r="M533" s="56">
        <v>16350</v>
      </c>
      <c r="N533" s="56">
        <v>6184</v>
      </c>
      <c r="O533" s="56">
        <v>17657</v>
      </c>
      <c r="P533" s="56">
        <v>4870</v>
      </c>
      <c r="Q533" s="56">
        <v>11848</v>
      </c>
      <c r="R533" s="16">
        <f t="shared" si="115"/>
        <v>15579</v>
      </c>
      <c r="T533" s="144">
        <f t="shared" si="114"/>
        <v>40577</v>
      </c>
      <c r="U533" s="154">
        <f>'copy data3'!B587</f>
        <v>3620</v>
      </c>
      <c r="V533" s="38">
        <f t="shared" si="96"/>
        <v>3831.5</v>
      </c>
      <c r="W533" s="71">
        <f t="shared" si="97"/>
        <v>231.79068360556565</v>
      </c>
      <c r="X533" s="154">
        <f>'copy data3'!D587</f>
        <v>789</v>
      </c>
      <c r="Y533" s="38">
        <f t="shared" si="98"/>
        <v>805.25</v>
      </c>
      <c r="Z533" s="71">
        <f t="shared" si="99"/>
        <v>159.14031620553359</v>
      </c>
      <c r="AA533" s="152">
        <f>'copy data3'!F587</f>
        <v>2545</v>
      </c>
      <c r="AB533" s="38">
        <f t="shared" si="100"/>
        <v>2630.75</v>
      </c>
      <c r="AC533" s="71">
        <f t="shared" si="101"/>
        <v>247.95004712535342</v>
      </c>
      <c r="AD533" s="152">
        <f>'copy data3'!H587</f>
        <v>1300</v>
      </c>
      <c r="AE533" s="38">
        <f t="shared" si="102"/>
        <v>1316.25</v>
      </c>
      <c r="AF533" s="71">
        <f t="shared" si="103"/>
        <v>138.26155462184875</v>
      </c>
      <c r="AG533" s="152">
        <f>'copy data3'!J587</f>
        <v>97</v>
      </c>
      <c r="AH533" s="38">
        <f t="shared" si="104"/>
        <v>108.75</v>
      </c>
      <c r="AI533" s="71">
        <f t="shared" si="105"/>
        <v>51.785714285714292</v>
      </c>
      <c r="AJ533" s="152">
        <f>'copy data3'!L587</f>
        <v>8352</v>
      </c>
      <c r="AK533" s="38">
        <f t="shared" si="106"/>
        <v>8692.75</v>
      </c>
      <c r="AL533" s="71">
        <f t="shared" si="107"/>
        <v>198.37403012323139</v>
      </c>
      <c r="AM533" s="152">
        <f>'copy data3'!N587</f>
        <v>12443</v>
      </c>
      <c r="AN533" s="38">
        <f t="shared" si="108"/>
        <v>12050.75</v>
      </c>
      <c r="AO533" s="71">
        <f t="shared" si="109"/>
        <v>101.14780929998321</v>
      </c>
      <c r="AP533" s="152">
        <f>'copy data3'!P587</f>
        <v>11265</v>
      </c>
      <c r="AQ533" s="38">
        <f t="shared" si="110"/>
        <v>12342.5</v>
      </c>
      <c r="AR533" s="71">
        <f t="shared" si="111"/>
        <v>144.67823232915251</v>
      </c>
      <c r="AS533" s="153">
        <f>'copy data3'!R587</f>
        <v>32060</v>
      </c>
      <c r="AT533" s="38">
        <f t="shared" si="113"/>
        <v>33086</v>
      </c>
      <c r="AU533" s="71">
        <f t="shared" si="112"/>
        <v>133.26620211866114</v>
      </c>
    </row>
    <row r="534" spans="1:47" ht="15.6" x14ac:dyDescent="0.3">
      <c r="A534" s="55">
        <v>38372</v>
      </c>
      <c r="B534" s="56">
        <v>1386</v>
      </c>
      <c r="C534" s="56">
        <v>6305</v>
      </c>
      <c r="D534" s="56">
        <v>392</v>
      </c>
      <c r="E534" s="56">
        <v>2518</v>
      </c>
      <c r="F534" s="56">
        <v>1192</v>
      </c>
      <c r="G534" s="56">
        <v>5247</v>
      </c>
      <c r="H534" s="56">
        <v>590</v>
      </c>
      <c r="I534" s="56">
        <v>3498</v>
      </c>
      <c r="J534" s="56">
        <v>105</v>
      </c>
      <c r="K534" s="56">
        <v>408</v>
      </c>
      <c r="L534" s="56">
        <v>3664</v>
      </c>
      <c r="M534" s="56">
        <v>17976</v>
      </c>
      <c r="N534" s="56">
        <v>6840</v>
      </c>
      <c r="O534" s="56">
        <v>18878</v>
      </c>
      <c r="P534" s="56">
        <v>5116</v>
      </c>
      <c r="Q534" s="56">
        <v>17439</v>
      </c>
      <c r="R534" s="16">
        <f t="shared" si="115"/>
        <v>15620</v>
      </c>
      <c r="T534" s="144">
        <f t="shared" si="114"/>
        <v>40584</v>
      </c>
      <c r="U534" s="154">
        <f>'copy data3'!B588</f>
        <v>3712</v>
      </c>
      <c r="V534" s="38">
        <f t="shared" si="96"/>
        <v>3810</v>
      </c>
      <c r="W534" s="71">
        <f t="shared" si="97"/>
        <v>222.2870478413069</v>
      </c>
      <c r="X534" s="154">
        <f>'copy data3'!D588</f>
        <v>707</v>
      </c>
      <c r="Y534" s="38">
        <f t="shared" si="98"/>
        <v>780.25</v>
      </c>
      <c r="Z534" s="71">
        <f t="shared" si="99"/>
        <v>146.93973634651601</v>
      </c>
      <c r="AA534" s="152">
        <f>'copy data3'!F588</f>
        <v>2526</v>
      </c>
      <c r="AB534" s="38">
        <f t="shared" si="100"/>
        <v>2605</v>
      </c>
      <c r="AC534" s="71">
        <f t="shared" si="101"/>
        <v>233.63228699551567</v>
      </c>
      <c r="AD534" s="152">
        <f>'copy data3'!H588</f>
        <v>1312</v>
      </c>
      <c r="AE534" s="38">
        <f t="shared" si="102"/>
        <v>1314</v>
      </c>
      <c r="AF534" s="71">
        <f t="shared" si="103"/>
        <v>149.31818181818181</v>
      </c>
      <c r="AG534" s="152">
        <f>'copy data3'!J588</f>
        <v>107</v>
      </c>
      <c r="AH534" s="38">
        <f t="shared" si="104"/>
        <v>105.25</v>
      </c>
      <c r="AI534" s="71">
        <f t="shared" si="105"/>
        <v>56.586021505376351</v>
      </c>
      <c r="AJ534" s="152">
        <f>'copy data3'!L588</f>
        <v>8365</v>
      </c>
      <c r="AK534" s="38">
        <f t="shared" si="106"/>
        <v>8615</v>
      </c>
      <c r="AL534" s="71">
        <f t="shared" si="107"/>
        <v>194.60131014230856</v>
      </c>
      <c r="AM534" s="152">
        <f>'copy data3'!N588</f>
        <v>12798</v>
      </c>
      <c r="AN534" s="38">
        <f t="shared" si="108"/>
        <v>12236.5</v>
      </c>
      <c r="AO534" s="71">
        <f t="shared" si="109"/>
        <v>100.00408630271332</v>
      </c>
      <c r="AP534" s="152">
        <f>'copy data3'!P588</f>
        <v>10756</v>
      </c>
      <c r="AQ534" s="38">
        <f t="shared" si="110"/>
        <v>11766</v>
      </c>
      <c r="AR534" s="71">
        <f t="shared" si="111"/>
        <v>154.51083388049904</v>
      </c>
      <c r="AS534" s="153">
        <f>'copy data3'!R588</f>
        <v>31919</v>
      </c>
      <c r="AT534" s="38">
        <f t="shared" si="113"/>
        <v>32617.5</v>
      </c>
      <c r="AU534" s="71">
        <f t="shared" si="112"/>
        <v>134.35002883268803</v>
      </c>
    </row>
    <row r="535" spans="1:47" ht="15.6" x14ac:dyDescent="0.3">
      <c r="A535" s="55">
        <v>38736</v>
      </c>
      <c r="B535" s="56">
        <v>2159</v>
      </c>
      <c r="C535" s="56">
        <v>7121</v>
      </c>
      <c r="D535" s="56">
        <v>310</v>
      </c>
      <c r="E535" s="56">
        <v>1364</v>
      </c>
      <c r="F535" s="56">
        <v>1083</v>
      </c>
      <c r="G535" s="56">
        <v>5143</v>
      </c>
      <c r="H535" s="56">
        <v>742</v>
      </c>
      <c r="I535" s="56">
        <v>2694</v>
      </c>
      <c r="J535" s="56">
        <v>116</v>
      </c>
      <c r="K535" s="56">
        <v>517</v>
      </c>
      <c r="L535" s="56">
        <v>4410</v>
      </c>
      <c r="M535" s="56">
        <v>16840</v>
      </c>
      <c r="N535" s="56">
        <v>7416</v>
      </c>
      <c r="O535" s="56">
        <v>18583</v>
      </c>
      <c r="P535" s="56">
        <v>4524</v>
      </c>
      <c r="Q535" s="56">
        <v>12716</v>
      </c>
      <c r="R535" s="16">
        <f t="shared" si="115"/>
        <v>16350</v>
      </c>
      <c r="T535" s="144">
        <f t="shared" si="114"/>
        <v>40591</v>
      </c>
      <c r="U535" s="154">
        <f>'copy data3'!B589</f>
        <v>3720</v>
      </c>
      <c r="V535" s="38">
        <f t="shared" si="96"/>
        <v>3741.75</v>
      </c>
      <c r="W535" s="71">
        <f t="shared" si="97"/>
        <v>214.05892448512586</v>
      </c>
      <c r="X535" s="154">
        <f>'copy data3'!D589</f>
        <v>820</v>
      </c>
      <c r="Y535" s="38">
        <f t="shared" si="98"/>
        <v>790</v>
      </c>
      <c r="Z535" s="71">
        <f t="shared" si="99"/>
        <v>147.94007490636704</v>
      </c>
      <c r="AA535" s="152">
        <f>'copy data3'!F589</f>
        <v>2618</v>
      </c>
      <c r="AB535" s="38">
        <f t="shared" si="100"/>
        <v>2589</v>
      </c>
      <c r="AC535" s="71">
        <f t="shared" si="101"/>
        <v>246.1026615969582</v>
      </c>
      <c r="AD535" s="152">
        <f>'copy data3'!H589</f>
        <v>1215</v>
      </c>
      <c r="AE535" s="38">
        <f t="shared" si="102"/>
        <v>1282</v>
      </c>
      <c r="AF535" s="71">
        <f t="shared" si="103"/>
        <v>155.9610705596107</v>
      </c>
      <c r="AG535" s="152">
        <f>'copy data3'!J589</f>
        <v>129</v>
      </c>
      <c r="AH535" s="38">
        <f t="shared" si="104"/>
        <v>112.25</v>
      </c>
      <c r="AI535" s="71">
        <f t="shared" si="105"/>
        <v>60.3494623655914</v>
      </c>
      <c r="AJ535" s="152">
        <f>'copy data3'!L589</f>
        <v>8502</v>
      </c>
      <c r="AK535" s="38">
        <f t="shared" si="106"/>
        <v>8515.5</v>
      </c>
      <c r="AL535" s="71">
        <f t="shared" si="107"/>
        <v>196.11929986181482</v>
      </c>
      <c r="AM535" s="152">
        <f>'copy data3'!N589</f>
        <v>13238</v>
      </c>
      <c r="AN535" s="38">
        <f t="shared" si="108"/>
        <v>12621</v>
      </c>
      <c r="AO535" s="71">
        <f t="shared" si="109"/>
        <v>110.73966833377204</v>
      </c>
      <c r="AP535" s="152">
        <f>'copy data3'!P589</f>
        <v>9719</v>
      </c>
      <c r="AQ535" s="38">
        <f t="shared" si="110"/>
        <v>11054.5</v>
      </c>
      <c r="AR535" s="71">
        <f t="shared" si="111"/>
        <v>164.20825906120024</v>
      </c>
      <c r="AS535" s="153">
        <f>'copy data3'!R589</f>
        <v>31459</v>
      </c>
      <c r="AT535" s="38">
        <f t="shared" si="113"/>
        <v>32191</v>
      </c>
      <c r="AU535" s="71">
        <f t="shared" si="112"/>
        <v>143.25575185795026</v>
      </c>
    </row>
    <row r="536" spans="1:47" ht="15.6" x14ac:dyDescent="0.3">
      <c r="A536" s="55">
        <v>38379</v>
      </c>
      <c r="B536" s="56">
        <v>1562</v>
      </c>
      <c r="C536" s="56">
        <v>6490</v>
      </c>
      <c r="D536" s="56">
        <v>389</v>
      </c>
      <c r="E536" s="56">
        <v>2576</v>
      </c>
      <c r="F536" s="56">
        <v>1220</v>
      </c>
      <c r="G536" s="56">
        <v>5407</v>
      </c>
      <c r="H536" s="56">
        <v>604</v>
      </c>
      <c r="I536" s="56">
        <v>3574</v>
      </c>
      <c r="J536" s="56">
        <v>111</v>
      </c>
      <c r="K536" s="56">
        <v>418</v>
      </c>
      <c r="L536" s="56">
        <v>3886</v>
      </c>
      <c r="M536" s="56">
        <v>18465</v>
      </c>
      <c r="N536" s="56">
        <v>6257</v>
      </c>
      <c r="O536" s="56">
        <v>19755</v>
      </c>
      <c r="P536" s="56">
        <v>4951</v>
      </c>
      <c r="Q536" s="56">
        <v>18152</v>
      </c>
      <c r="R536" s="16">
        <f t="shared" si="115"/>
        <v>15094</v>
      </c>
      <c r="T536" s="144">
        <f t="shared" si="114"/>
        <v>40598</v>
      </c>
      <c r="U536" s="154">
        <f>'copy data3'!B590</f>
        <v>3830</v>
      </c>
      <c r="V536" s="38">
        <f t="shared" ref="V536:V541" si="116">AVERAGE(U533:U536)</f>
        <v>3720.5</v>
      </c>
      <c r="W536" s="71">
        <f t="shared" ref="W536:W541" si="117">(V536/U484)*100</f>
        <v>238.03582853486884</v>
      </c>
      <c r="X536" s="154">
        <f>'copy data3'!D590</f>
        <v>910</v>
      </c>
      <c r="Y536" s="38">
        <f t="shared" ref="Y536:Y541" si="118">AVERAGE(X533:X536)</f>
        <v>806.5</v>
      </c>
      <c r="Z536" s="71">
        <f t="shared" ref="Z536:Z541" si="119">(Y536/X484)*100</f>
        <v>153.32699619771864</v>
      </c>
      <c r="AA536" s="152">
        <f>'copy data3'!F590</f>
        <v>2447</v>
      </c>
      <c r="AB536" s="38">
        <f t="shared" ref="AB536:AB541" si="120">AVERAGE(AA533:AA536)</f>
        <v>2534</v>
      </c>
      <c r="AC536" s="71">
        <f t="shared" ref="AC536:AC541" si="121">(AB536/AA484)*100</f>
        <v>263.40956340956342</v>
      </c>
      <c r="AD536" s="154">
        <f>'copy data3'!H590</f>
        <v>1206</v>
      </c>
      <c r="AE536" s="38">
        <f t="shared" ref="AE536:AE541" si="122">AVERAGE(AD533:AD536)</f>
        <v>1258.25</v>
      </c>
      <c r="AF536" s="71">
        <f t="shared" ref="AF536:AF541" si="123">(AE536/AD484)*100</f>
        <v>170.95788043478262</v>
      </c>
      <c r="AG536" s="152">
        <f>'copy data3'!J590</f>
        <v>129</v>
      </c>
      <c r="AH536" s="38">
        <f t="shared" ref="AH536:AH541" si="124">AVERAGE(AG533:AG536)</f>
        <v>115.5</v>
      </c>
      <c r="AI536" s="71">
        <f t="shared" ref="AI536:AI541" si="125">(AH536/AG484)*100</f>
        <v>62.096774193548384</v>
      </c>
      <c r="AJ536" s="152">
        <f>'copy data3'!L590</f>
        <v>8521</v>
      </c>
      <c r="AK536" s="38">
        <f t="shared" ref="AK536:AK541" si="126">AVERAGE(AJ533:AJ536)</f>
        <v>8435</v>
      </c>
      <c r="AL536" s="71">
        <f t="shared" ref="AL536:AL541" si="127">(AK536/AJ484)*100</f>
        <v>212.41500881390078</v>
      </c>
      <c r="AM536" s="152">
        <f>'copy data3'!N590</f>
        <v>13519</v>
      </c>
      <c r="AN536" s="38">
        <f t="shared" ref="AN536:AN541" si="128">AVERAGE(AM533:AM536)</f>
        <v>12999.5</v>
      </c>
      <c r="AO536" s="71">
        <f t="shared" ref="AO536:AO541" si="129">(AN536/AM484)*100</f>
        <v>117.08096910744842</v>
      </c>
      <c r="AP536" s="152">
        <f>'copy data3'!P590</f>
        <v>8387</v>
      </c>
      <c r="AQ536" s="38">
        <f t="shared" ref="AQ536:AQ541" si="130">AVERAGE(AP533:AP536)</f>
        <v>10031.75</v>
      </c>
      <c r="AR536" s="71">
        <f t="shared" ref="AR536:AR541" si="131">(AQ536/AP484)*100</f>
        <v>172.45573319580541</v>
      </c>
      <c r="AS536" s="153">
        <f>'copy data3'!R590</f>
        <v>30427</v>
      </c>
      <c r="AT536" s="38">
        <f t="shared" si="113"/>
        <v>31466.25</v>
      </c>
      <c r="AU536" s="71">
        <f t="shared" si="112"/>
        <v>150.62108084821216</v>
      </c>
    </row>
    <row r="537" spans="1:47" ht="15.6" x14ac:dyDescent="0.3">
      <c r="A537" s="55">
        <v>38743</v>
      </c>
      <c r="B537" s="56">
        <v>2039</v>
      </c>
      <c r="C537" s="56">
        <v>7386</v>
      </c>
      <c r="D537" s="56">
        <v>264</v>
      </c>
      <c r="E537" s="56">
        <v>1383</v>
      </c>
      <c r="F537" s="56">
        <v>1057</v>
      </c>
      <c r="G537" s="56">
        <v>5297</v>
      </c>
      <c r="H537" s="56">
        <v>700</v>
      </c>
      <c r="I537" s="56">
        <v>2829</v>
      </c>
      <c r="J537" s="56">
        <v>126</v>
      </c>
      <c r="K537" s="56">
        <v>528</v>
      </c>
      <c r="L537" s="56">
        <v>4185</v>
      </c>
      <c r="M537" s="56">
        <v>17422</v>
      </c>
      <c r="N537" s="56">
        <v>7858</v>
      </c>
      <c r="O537" s="56">
        <v>19502</v>
      </c>
      <c r="P537" s="56">
        <v>4403</v>
      </c>
      <c r="Q537" s="56">
        <v>13284</v>
      </c>
      <c r="R537" s="16">
        <f t="shared" si="115"/>
        <v>16446</v>
      </c>
      <c r="T537" s="144">
        <f t="shared" si="114"/>
        <v>40605</v>
      </c>
      <c r="U537" s="154">
        <f>'copy data3'!B591</f>
        <v>3780</v>
      </c>
      <c r="V537" s="38">
        <f t="shared" si="116"/>
        <v>3760.5</v>
      </c>
      <c r="W537" s="71">
        <f t="shared" si="117"/>
        <v>246.75196850393698</v>
      </c>
      <c r="X537" s="154">
        <f>'copy data3'!D591</f>
        <v>903</v>
      </c>
      <c r="Y537" s="38">
        <f t="shared" si="118"/>
        <v>835</v>
      </c>
      <c r="Z537" s="71">
        <f t="shared" si="119"/>
        <v>157.25047080979283</v>
      </c>
      <c r="AA537" s="152">
        <f>'copy data3'!F591</f>
        <v>2434</v>
      </c>
      <c r="AB537" s="38">
        <f t="shared" si="120"/>
        <v>2506.25</v>
      </c>
      <c r="AC537" s="71">
        <f t="shared" si="121"/>
        <v>266.62234042553189</v>
      </c>
      <c r="AD537" s="154">
        <f>'copy data3'!H591</f>
        <v>1265</v>
      </c>
      <c r="AE537" s="38">
        <f t="shared" si="122"/>
        <v>1249.5</v>
      </c>
      <c r="AF537" s="71">
        <f t="shared" si="123"/>
        <v>195.84639498432603</v>
      </c>
      <c r="AG537" s="152">
        <f>'copy data3'!J591</f>
        <v>126</v>
      </c>
      <c r="AH537" s="38">
        <f t="shared" si="124"/>
        <v>122.75</v>
      </c>
      <c r="AI537" s="71">
        <f t="shared" si="125"/>
        <v>59.29951690821256</v>
      </c>
      <c r="AJ537" s="152">
        <f>'copy data3'!L591</f>
        <v>8508</v>
      </c>
      <c r="AK537" s="38">
        <f t="shared" si="126"/>
        <v>8474</v>
      </c>
      <c r="AL537" s="71">
        <f t="shared" si="127"/>
        <v>220.79207920792081</v>
      </c>
      <c r="AM537" s="152">
        <f>'copy data3'!N591</f>
        <v>12791</v>
      </c>
      <c r="AN537" s="38">
        <f t="shared" si="128"/>
        <v>13086.5</v>
      </c>
      <c r="AO537" s="71">
        <f t="shared" si="129"/>
        <v>124.90693900925838</v>
      </c>
      <c r="AP537" s="152">
        <f>'copy data3'!P591</f>
        <v>8066</v>
      </c>
      <c r="AQ537" s="38">
        <f t="shared" si="130"/>
        <v>9232</v>
      </c>
      <c r="AR537" s="71">
        <f t="shared" si="131"/>
        <v>193.62416107382549</v>
      </c>
      <c r="AS537" s="153">
        <f>'copy data3'!R591</f>
        <v>29365</v>
      </c>
      <c r="AT537" s="38">
        <f t="shared" si="113"/>
        <v>30792.5</v>
      </c>
      <c r="AU537" s="71">
        <f t="shared" si="112"/>
        <v>161.36089713357438</v>
      </c>
    </row>
    <row r="538" spans="1:47" ht="15.6" x14ac:dyDescent="0.3">
      <c r="A538" s="55">
        <v>38386</v>
      </c>
      <c r="B538" s="56">
        <v>1640</v>
      </c>
      <c r="C538" s="56">
        <v>6601</v>
      </c>
      <c r="D538" s="56">
        <v>389</v>
      </c>
      <c r="E538" s="56">
        <v>2612</v>
      </c>
      <c r="F538" s="56">
        <v>1249</v>
      </c>
      <c r="G538" s="56">
        <v>5569</v>
      </c>
      <c r="H538" s="56">
        <v>616</v>
      </c>
      <c r="I538" s="56">
        <v>3616</v>
      </c>
      <c r="J538" s="56">
        <v>114</v>
      </c>
      <c r="K538" s="56">
        <v>418</v>
      </c>
      <c r="L538" s="56">
        <v>4007</v>
      </c>
      <c r="M538" s="56">
        <v>18817</v>
      </c>
      <c r="N538" s="56">
        <v>6744</v>
      </c>
      <c r="O538" s="56">
        <v>19755</v>
      </c>
      <c r="P538" s="56">
        <v>4807</v>
      </c>
      <c r="Q538" s="56">
        <v>18846</v>
      </c>
      <c r="R538" s="16">
        <f t="shared" si="115"/>
        <v>15558</v>
      </c>
      <c r="T538" s="144">
        <f t="shared" si="114"/>
        <v>40612</v>
      </c>
      <c r="U538" s="154">
        <f>'copy data3'!B592</f>
        <v>3811</v>
      </c>
      <c r="V538" s="38">
        <f t="shared" si="116"/>
        <v>3785.25</v>
      </c>
      <c r="W538" s="71">
        <f t="shared" si="117"/>
        <v>256.45325203252031</v>
      </c>
      <c r="X538" s="154">
        <f>'copy data3'!D592</f>
        <v>906</v>
      </c>
      <c r="Y538" s="38">
        <f t="shared" si="118"/>
        <v>884.75</v>
      </c>
      <c r="Z538" s="71">
        <f t="shared" si="119"/>
        <v>170.8011583011583</v>
      </c>
      <c r="AA538" s="152">
        <f>'copy data3'!F592</f>
        <v>2378</v>
      </c>
      <c r="AB538" s="38">
        <f t="shared" si="120"/>
        <v>2469.25</v>
      </c>
      <c r="AC538" s="71">
        <f t="shared" si="121"/>
        <v>230.77102803738319</v>
      </c>
      <c r="AD538" s="154">
        <f>'copy data3'!H592</f>
        <v>1248</v>
      </c>
      <c r="AE538" s="38">
        <f t="shared" si="122"/>
        <v>1233.5</v>
      </c>
      <c r="AF538" s="71">
        <f t="shared" si="123"/>
        <v>182.20088626292468</v>
      </c>
      <c r="AG538" s="152">
        <f>'copy data3'!J592</f>
        <v>139</v>
      </c>
      <c r="AH538" s="38">
        <f t="shared" si="124"/>
        <v>130.75</v>
      </c>
      <c r="AI538" s="71">
        <f t="shared" si="125"/>
        <v>79.242424242424249</v>
      </c>
      <c r="AJ538" s="152">
        <f>'copy data3'!L592</f>
        <v>8481</v>
      </c>
      <c r="AK538" s="38">
        <f t="shared" si="126"/>
        <v>8503</v>
      </c>
      <c r="AL538" s="71">
        <f t="shared" si="127"/>
        <v>217.69073220686127</v>
      </c>
      <c r="AM538" s="152">
        <f>'copy data3'!N592</f>
        <v>12947</v>
      </c>
      <c r="AN538" s="38">
        <f t="shared" si="128"/>
        <v>13123.75</v>
      </c>
      <c r="AO538" s="71">
        <f t="shared" si="129"/>
        <v>127.79968838251048</v>
      </c>
      <c r="AP538" s="152">
        <f>'copy data3'!P592</f>
        <v>7374</v>
      </c>
      <c r="AQ538" s="38">
        <f t="shared" si="130"/>
        <v>8386.5</v>
      </c>
      <c r="AR538" s="71">
        <f t="shared" si="131"/>
        <v>206.10715163430817</v>
      </c>
      <c r="AS538" s="153">
        <f>'copy data3'!R592</f>
        <v>28802</v>
      </c>
      <c r="AT538" s="38">
        <f t="shared" si="113"/>
        <v>30013.25</v>
      </c>
      <c r="AU538" s="71">
        <f t="shared" si="112"/>
        <v>164.51024994518747</v>
      </c>
    </row>
    <row r="539" spans="1:47" ht="15.6" x14ac:dyDescent="0.3">
      <c r="A539" s="55">
        <v>38750</v>
      </c>
      <c r="B539" s="56">
        <v>1751</v>
      </c>
      <c r="C539" s="56">
        <v>7725</v>
      </c>
      <c r="D539" s="56">
        <v>299</v>
      </c>
      <c r="E539" s="56">
        <v>1424</v>
      </c>
      <c r="F539" s="56">
        <v>1057</v>
      </c>
      <c r="G539" s="56">
        <v>5431</v>
      </c>
      <c r="H539" s="56">
        <v>687</v>
      </c>
      <c r="I539" s="56">
        <v>2920</v>
      </c>
      <c r="J539" s="56">
        <v>104</v>
      </c>
      <c r="K539" s="56">
        <v>555</v>
      </c>
      <c r="L539" s="56">
        <v>3898</v>
      </c>
      <c r="M539" s="56">
        <v>18055</v>
      </c>
      <c r="N539" s="56">
        <v>8455</v>
      </c>
      <c r="O539" s="56">
        <v>20263</v>
      </c>
      <c r="P539" s="56">
        <v>4247</v>
      </c>
      <c r="Q539" s="56">
        <v>13957</v>
      </c>
      <c r="R539" s="16">
        <f t="shared" si="115"/>
        <v>16600</v>
      </c>
      <c r="T539" s="144">
        <f t="shared" si="114"/>
        <v>40619</v>
      </c>
      <c r="U539" s="154">
        <f>'copy data3'!B593</f>
        <v>3795</v>
      </c>
      <c r="V539" s="38">
        <f t="shared" si="116"/>
        <v>3804</v>
      </c>
      <c r="W539" s="71">
        <f t="shared" si="117"/>
        <v>255.30201342281879</v>
      </c>
      <c r="X539" s="154">
        <f>'copy data3'!D593</f>
        <v>863</v>
      </c>
      <c r="Y539" s="38">
        <f t="shared" si="118"/>
        <v>895.5</v>
      </c>
      <c r="Z539" s="71">
        <f t="shared" si="119"/>
        <v>180.18108651911467</v>
      </c>
      <c r="AA539" s="152">
        <f>'copy data3'!F593</f>
        <v>2359</v>
      </c>
      <c r="AB539" s="38">
        <f t="shared" si="120"/>
        <v>2404.5</v>
      </c>
      <c r="AC539" s="71">
        <f t="shared" si="121"/>
        <v>233.22017458777884</v>
      </c>
      <c r="AD539" s="154">
        <f>'copy data3'!H593</f>
        <v>1372</v>
      </c>
      <c r="AE539" s="38">
        <f t="shared" si="122"/>
        <v>1272.75</v>
      </c>
      <c r="AF539" s="71">
        <f t="shared" si="123"/>
        <v>194.01676829268294</v>
      </c>
      <c r="AG539" s="152">
        <f>'copy data3'!J593</f>
        <v>131</v>
      </c>
      <c r="AH539" s="38">
        <f t="shared" si="124"/>
        <v>131.25</v>
      </c>
      <c r="AI539" s="71">
        <f t="shared" si="125"/>
        <v>86.920529801324506</v>
      </c>
      <c r="AJ539" s="152">
        <f>'copy data3'!L593</f>
        <v>8520</v>
      </c>
      <c r="AK539" s="38">
        <f t="shared" si="126"/>
        <v>8507.5</v>
      </c>
      <c r="AL539" s="71">
        <f t="shared" si="127"/>
        <v>222.47646443514645</v>
      </c>
      <c r="AM539" s="152">
        <f>'copy data3'!N593</f>
        <v>12962</v>
      </c>
      <c r="AN539" s="38">
        <f t="shared" si="128"/>
        <v>13054.75</v>
      </c>
      <c r="AO539" s="71">
        <f t="shared" si="129"/>
        <v>134.37725167267112</v>
      </c>
      <c r="AP539" s="152">
        <f>'copy data3'!P593</f>
        <v>6823</v>
      </c>
      <c r="AQ539" s="38">
        <f t="shared" si="130"/>
        <v>7662.5</v>
      </c>
      <c r="AR539" s="71">
        <f t="shared" si="131"/>
        <v>216.08855047941344</v>
      </c>
      <c r="AS539" s="153">
        <f>'copy data3'!R593</f>
        <v>28305</v>
      </c>
      <c r="AT539" s="38">
        <f t="shared" si="113"/>
        <v>29224.75</v>
      </c>
      <c r="AU539" s="71">
        <f t="shared" si="112"/>
        <v>171.0550190225344</v>
      </c>
    </row>
    <row r="540" spans="1:47" ht="15.6" x14ac:dyDescent="0.3">
      <c r="A540" s="55">
        <v>38393</v>
      </c>
      <c r="B540" s="56">
        <v>1763</v>
      </c>
      <c r="C540" s="56">
        <v>6749</v>
      </c>
      <c r="D540" s="56">
        <v>379</v>
      </c>
      <c r="E540" s="56">
        <v>2679</v>
      </c>
      <c r="F540" s="56">
        <v>1297</v>
      </c>
      <c r="G540" s="56">
        <v>5660</v>
      </c>
      <c r="H540" s="56">
        <v>597</v>
      </c>
      <c r="I540" s="56">
        <v>3680</v>
      </c>
      <c r="J540" s="56">
        <v>102</v>
      </c>
      <c r="K540" s="56">
        <v>466</v>
      </c>
      <c r="L540" s="56">
        <v>4138</v>
      </c>
      <c r="M540" s="56">
        <v>19234</v>
      </c>
      <c r="N540" s="56">
        <v>6769</v>
      </c>
      <c r="O540" s="56">
        <v>21024</v>
      </c>
      <c r="P540" s="56">
        <v>4387</v>
      </c>
      <c r="Q540" s="56">
        <v>19645</v>
      </c>
      <c r="R540" s="16">
        <f t="shared" si="115"/>
        <v>15294</v>
      </c>
      <c r="T540" s="144">
        <f t="shared" si="114"/>
        <v>40626</v>
      </c>
      <c r="U540" s="154">
        <f>'copy data3'!B594</f>
        <v>3558</v>
      </c>
      <c r="V540" s="38">
        <f t="shared" si="116"/>
        <v>3736</v>
      </c>
      <c r="W540" s="71">
        <f t="shared" si="117"/>
        <v>294.6372239747634</v>
      </c>
      <c r="X540" s="154">
        <f>'copy data3'!D594</f>
        <v>833</v>
      </c>
      <c r="Y540" s="38">
        <f t="shared" si="118"/>
        <v>876.25</v>
      </c>
      <c r="Z540" s="71">
        <f t="shared" si="119"/>
        <v>183.31589958158995</v>
      </c>
      <c r="AA540" s="152">
        <f>'copy data3'!F594</f>
        <v>2116</v>
      </c>
      <c r="AB540" s="38">
        <f t="shared" si="120"/>
        <v>2321.75</v>
      </c>
      <c r="AC540" s="71">
        <f t="shared" si="121"/>
        <v>237.64073694984646</v>
      </c>
      <c r="AD540" s="152">
        <f>'copy data3'!H594</f>
        <v>1256</v>
      </c>
      <c r="AE540" s="38">
        <f t="shared" si="122"/>
        <v>1285.25</v>
      </c>
      <c r="AF540" s="71">
        <f t="shared" si="123"/>
        <v>187.62773722627736</v>
      </c>
      <c r="AG540" s="152">
        <f>'copy data3'!J594</f>
        <v>140</v>
      </c>
      <c r="AH540" s="38">
        <f t="shared" si="124"/>
        <v>134</v>
      </c>
      <c r="AI540" s="71">
        <f t="shared" si="125"/>
        <v>86.451612903225808</v>
      </c>
      <c r="AJ540" s="152">
        <f>'copy data3'!L594</f>
        <v>7903</v>
      </c>
      <c r="AK540" s="38">
        <f t="shared" si="126"/>
        <v>8353</v>
      </c>
      <c r="AL540" s="71">
        <f t="shared" si="127"/>
        <v>234.50308815272319</v>
      </c>
      <c r="AM540" s="152">
        <f>'copy data3'!N594</f>
        <v>13857</v>
      </c>
      <c r="AN540" s="38">
        <f t="shared" si="128"/>
        <v>13139.25</v>
      </c>
      <c r="AO540" s="71">
        <f t="shared" si="129"/>
        <v>140.8732711482792</v>
      </c>
      <c r="AP540" s="152">
        <f>'copy data3'!P594</f>
        <v>6139</v>
      </c>
      <c r="AQ540" s="38">
        <f t="shared" si="130"/>
        <v>7100.5</v>
      </c>
      <c r="AR540" s="71">
        <f t="shared" si="131"/>
        <v>263.86101820884431</v>
      </c>
      <c r="AS540" s="153">
        <f>'copy data3'!R594</f>
        <v>27899</v>
      </c>
      <c r="AT540" s="38">
        <f t="shared" ref="AT540:AT546" si="132">AVERAGE(AS537:AS540)</f>
        <v>28592.75</v>
      </c>
      <c r="AU540" s="71">
        <f t="shared" ref="AU540:AU546" si="133">(AT540/AS488)*100</f>
        <v>183.52214377406932</v>
      </c>
    </row>
    <row r="541" spans="1:47" ht="15.6" x14ac:dyDescent="0.3">
      <c r="A541" s="55">
        <v>38757</v>
      </c>
      <c r="B541" s="56">
        <v>1644</v>
      </c>
      <c r="C541" s="56">
        <v>7948</v>
      </c>
      <c r="D541" s="56">
        <v>344</v>
      </c>
      <c r="E541" s="56">
        <v>1467</v>
      </c>
      <c r="F541" s="56">
        <v>1170</v>
      </c>
      <c r="G541" s="56">
        <v>5533</v>
      </c>
      <c r="H541" s="56">
        <v>696</v>
      </c>
      <c r="I541" s="56">
        <v>3034</v>
      </c>
      <c r="J541" s="56">
        <v>147</v>
      </c>
      <c r="K541" s="56">
        <v>565</v>
      </c>
      <c r="L541" s="56">
        <v>3999</v>
      </c>
      <c r="M541" s="56">
        <v>18547</v>
      </c>
      <c r="N541" s="56">
        <v>8829</v>
      </c>
      <c r="O541" s="56">
        <v>21340</v>
      </c>
      <c r="P541" s="56">
        <v>3788</v>
      </c>
      <c r="Q541" s="56">
        <v>14946</v>
      </c>
      <c r="R541" s="16">
        <f t="shared" si="115"/>
        <v>16616</v>
      </c>
      <c r="T541" s="144">
        <f t="shared" si="114"/>
        <v>40633</v>
      </c>
      <c r="U541" s="154">
        <f>'copy data3'!B595</f>
        <v>3386</v>
      </c>
      <c r="V541" s="38">
        <f t="shared" si="116"/>
        <v>3637.5</v>
      </c>
      <c r="W541" s="71">
        <f t="shared" si="117"/>
        <v>325.64905998209485</v>
      </c>
      <c r="X541" s="154">
        <f>'copy data3'!D595</f>
        <v>741</v>
      </c>
      <c r="Y541" s="38">
        <f t="shared" si="118"/>
        <v>835.75</v>
      </c>
      <c r="Z541" s="71">
        <f t="shared" si="119"/>
        <v>185.31042128603104</v>
      </c>
      <c r="AA541" s="152">
        <f>'copy data3'!F595</f>
        <v>2089</v>
      </c>
      <c r="AB541" s="38">
        <f t="shared" si="120"/>
        <v>2235.5</v>
      </c>
      <c r="AC541" s="71">
        <f t="shared" si="121"/>
        <v>199.95527728085867</v>
      </c>
      <c r="AD541" s="152">
        <f>'copy data3'!H595</f>
        <v>1284</v>
      </c>
      <c r="AE541" s="38">
        <f t="shared" si="122"/>
        <v>1290</v>
      </c>
      <c r="AF541" s="71">
        <f t="shared" si="123"/>
        <v>211.47540983606555</v>
      </c>
      <c r="AG541" s="152">
        <f>'copy data3'!J595</f>
        <v>140</v>
      </c>
      <c r="AH541" s="38">
        <f t="shared" si="124"/>
        <v>137.5</v>
      </c>
      <c r="AI541" s="71">
        <f t="shared" si="125"/>
        <v>98.920863309352512</v>
      </c>
      <c r="AJ541" s="152">
        <f>'copy data3'!L595</f>
        <v>7639</v>
      </c>
      <c r="AK541" s="38">
        <f t="shared" si="126"/>
        <v>8135.75</v>
      </c>
      <c r="AL541" s="71">
        <f t="shared" si="127"/>
        <v>236.8486171761281</v>
      </c>
      <c r="AM541" s="152">
        <f>'copy data3'!N595</f>
        <v>13461</v>
      </c>
      <c r="AN541" s="38">
        <f t="shared" si="128"/>
        <v>13306.75</v>
      </c>
      <c r="AO541" s="71">
        <f t="shared" si="129"/>
        <v>135.6585788561525</v>
      </c>
      <c r="AP541" s="152">
        <f>'copy data3'!P595</f>
        <v>5567</v>
      </c>
      <c r="AQ541" s="38">
        <f t="shared" si="130"/>
        <v>6475.75</v>
      </c>
      <c r="AR541" s="71">
        <f t="shared" si="131"/>
        <v>263.67060260586317</v>
      </c>
      <c r="AS541" s="153">
        <f>'copy data3'!R595</f>
        <v>26667</v>
      </c>
      <c r="AT541" s="38">
        <f t="shared" si="132"/>
        <v>27918.25</v>
      </c>
      <c r="AU541" s="71">
        <f t="shared" si="133"/>
        <v>177.82324840764332</v>
      </c>
    </row>
    <row r="542" spans="1:47" ht="15.6" x14ac:dyDescent="0.3">
      <c r="A542" s="55">
        <v>38400</v>
      </c>
      <c r="B542" s="56">
        <v>1679</v>
      </c>
      <c r="C542" s="56">
        <v>7014</v>
      </c>
      <c r="D542" s="56">
        <v>389</v>
      </c>
      <c r="E542" s="56">
        <v>2704</v>
      </c>
      <c r="F542" s="56">
        <v>1322</v>
      </c>
      <c r="G542" s="56">
        <v>5865</v>
      </c>
      <c r="H542" s="56">
        <v>629</v>
      </c>
      <c r="I542" s="56">
        <v>3737</v>
      </c>
      <c r="J542" s="56">
        <v>112</v>
      </c>
      <c r="K542" s="56">
        <v>466</v>
      </c>
      <c r="L542" s="56">
        <v>4132</v>
      </c>
      <c r="M542" s="56">
        <v>19787</v>
      </c>
      <c r="N542" s="56">
        <v>6996</v>
      </c>
      <c r="O542" s="56">
        <v>21707</v>
      </c>
      <c r="P542" s="56">
        <v>3824</v>
      </c>
      <c r="Q542" s="56">
        <v>20635</v>
      </c>
      <c r="R542" s="16">
        <f t="shared" si="115"/>
        <v>14952</v>
      </c>
      <c r="T542" s="140">
        <f t="shared" si="114"/>
        <v>40640</v>
      </c>
      <c r="U542" s="154">
        <f>'copy data3'!B596</f>
        <v>3152</v>
      </c>
      <c r="V542" s="38">
        <f t="shared" ref="V542:V549" si="134">AVERAGE(U539:U542)</f>
        <v>3472.75</v>
      </c>
      <c r="W542" s="71">
        <f t="shared" ref="W542:W549" si="135">(V542/U490)*100</f>
        <v>361.36836628511963</v>
      </c>
      <c r="X542" s="154">
        <f>'copy data3'!D596</f>
        <v>704</v>
      </c>
      <c r="Y542" s="38">
        <f t="shared" ref="Y542:Y549" si="136">AVERAGE(X539:X542)</f>
        <v>785.25</v>
      </c>
      <c r="Z542" s="71">
        <f t="shared" ref="Z542:Z549" si="137">(Y542/X490)*100</f>
        <v>203.96103896103895</v>
      </c>
      <c r="AA542" s="152">
        <f>'copy data3'!F596</f>
        <v>2103</v>
      </c>
      <c r="AB542" s="38">
        <f t="shared" ref="AB542:AB549" si="138">AVERAGE(AA539:AA542)</f>
        <v>2166.75</v>
      </c>
      <c r="AC542" s="71">
        <f t="shared" ref="AC542:AC549" si="139">(AB542/AA490)*100</f>
        <v>219.30668016194329</v>
      </c>
      <c r="AD542" s="152">
        <f>'copy data3'!H596</f>
        <v>1275</v>
      </c>
      <c r="AE542" s="38">
        <f t="shared" ref="AE542:AE549" si="140">AVERAGE(AD539:AD542)</f>
        <v>1296.75</v>
      </c>
      <c r="AF542" s="71">
        <f t="shared" ref="AF542:AF549" si="141">(AE542/AD490)*100</f>
        <v>209.49111470113087</v>
      </c>
      <c r="AG542" s="152">
        <f>'copy data3'!J596</f>
        <v>125</v>
      </c>
      <c r="AH542" s="38">
        <f t="shared" ref="AH542:AH549" si="142">AVERAGE(AG539:AG542)</f>
        <v>134</v>
      </c>
      <c r="AI542" s="71">
        <f t="shared" ref="AI542:AI549" si="143">(AH542/AG490)*100</f>
        <v>125.23364485981307</v>
      </c>
      <c r="AJ542" s="152">
        <f>'copy data3'!L596</f>
        <v>7358</v>
      </c>
      <c r="AK542" s="38">
        <f t="shared" ref="AK542:AK549" si="144">AVERAGE(AJ539:AJ542)</f>
        <v>7855</v>
      </c>
      <c r="AL542" s="71">
        <f t="shared" ref="AL542:AL549" si="145">(AK542/AJ490)*100</f>
        <v>256.69934640522877</v>
      </c>
      <c r="AM542" s="152">
        <f>'copy data3'!N596</f>
        <v>13211</v>
      </c>
      <c r="AN542" s="38">
        <f t="shared" ref="AN542:AN549" si="146">AVERAGE(AM539:AM542)</f>
        <v>13372.75</v>
      </c>
      <c r="AO542" s="71">
        <f t="shared" ref="AO542:AO549" si="147">(AN542/AM490)*100</f>
        <v>137.83498247783962</v>
      </c>
      <c r="AP542" s="152">
        <f>'copy data3'!P596</f>
        <v>5142</v>
      </c>
      <c r="AQ542" s="38">
        <f t="shared" ref="AQ542:AQ549" si="148">AVERAGE(AP539:AP542)</f>
        <v>5917.75</v>
      </c>
      <c r="AR542" s="71">
        <f t="shared" ref="AR542:AR549" si="149">(AQ542/AP490)*100</f>
        <v>272.08045977011494</v>
      </c>
      <c r="AS542" s="153">
        <f>'copy data3'!R596</f>
        <v>25711</v>
      </c>
      <c r="AT542" s="38">
        <f t="shared" si="132"/>
        <v>27145.5</v>
      </c>
      <c r="AU542" s="71">
        <f t="shared" si="133"/>
        <v>181.73327977505522</v>
      </c>
    </row>
    <row r="543" spans="1:47" ht="15.6" x14ac:dyDescent="0.3">
      <c r="A543" s="55">
        <v>38764</v>
      </c>
      <c r="B543" s="56">
        <v>1668</v>
      </c>
      <c r="C543" s="56">
        <v>8121</v>
      </c>
      <c r="D543" s="56">
        <v>365</v>
      </c>
      <c r="E543" s="56">
        <v>1518</v>
      </c>
      <c r="F543" s="56">
        <v>1125</v>
      </c>
      <c r="G543" s="56">
        <v>5661</v>
      </c>
      <c r="H543" s="56">
        <v>709</v>
      </c>
      <c r="I543" s="56">
        <v>3130</v>
      </c>
      <c r="J543" s="56">
        <v>192</v>
      </c>
      <c r="K543" s="56">
        <v>568</v>
      </c>
      <c r="L543" s="56">
        <v>4059</v>
      </c>
      <c r="M543" s="56">
        <v>18997</v>
      </c>
      <c r="N543" s="56">
        <v>9281</v>
      </c>
      <c r="O543" s="56">
        <v>22380</v>
      </c>
      <c r="P543" s="56">
        <v>3544</v>
      </c>
      <c r="Q543" s="56">
        <v>15690</v>
      </c>
      <c r="R543" s="16">
        <f t="shared" si="115"/>
        <v>16884</v>
      </c>
      <c r="T543" s="140">
        <f t="shared" si="114"/>
        <v>40647</v>
      </c>
      <c r="U543" s="154">
        <f>'copy data3'!B597</f>
        <v>2966</v>
      </c>
      <c r="V543" s="38">
        <f t="shared" si="134"/>
        <v>3265.5</v>
      </c>
      <c r="W543" s="71">
        <f t="shared" si="135"/>
        <v>324.60238568588471</v>
      </c>
      <c r="X543" s="154">
        <f>'copy data3'!D597</f>
        <v>541</v>
      </c>
      <c r="Y543" s="38">
        <f t="shared" si="136"/>
        <v>704.75</v>
      </c>
      <c r="Z543" s="71">
        <f t="shared" si="137"/>
        <v>212.91540785498489</v>
      </c>
      <c r="AA543" s="152">
        <f>'copy data3'!F597</f>
        <v>1822</v>
      </c>
      <c r="AB543" s="38">
        <f t="shared" si="138"/>
        <v>2032.5</v>
      </c>
      <c r="AC543" s="71">
        <f t="shared" si="139"/>
        <v>234.97109826589596</v>
      </c>
      <c r="AD543" s="152">
        <f>'copy data3'!H597</f>
        <v>1233</v>
      </c>
      <c r="AE543" s="38">
        <f t="shared" si="140"/>
        <v>1262</v>
      </c>
      <c r="AF543" s="71">
        <f t="shared" si="141"/>
        <v>265.68421052631578</v>
      </c>
      <c r="AG543" s="152">
        <f>'copy data3'!J597</f>
        <v>69</v>
      </c>
      <c r="AH543" s="38">
        <f t="shared" si="142"/>
        <v>118.5</v>
      </c>
      <c r="AI543" s="71">
        <f t="shared" si="143"/>
        <v>100.42372881355932</v>
      </c>
      <c r="AJ543" s="152">
        <f>'copy data3'!L597</f>
        <v>6631</v>
      </c>
      <c r="AK543" s="38">
        <f t="shared" si="144"/>
        <v>7382.75</v>
      </c>
      <c r="AL543" s="71">
        <f t="shared" si="145"/>
        <v>264.23586256263422</v>
      </c>
      <c r="AM543" s="152">
        <f>'copy data3'!N597</f>
        <v>12889</v>
      </c>
      <c r="AN543" s="38">
        <f t="shared" si="146"/>
        <v>13354.5</v>
      </c>
      <c r="AO543" s="71">
        <f t="shared" si="147"/>
        <v>133.17211806940566</v>
      </c>
      <c r="AP543" s="152">
        <f>'copy data3'!P597</f>
        <v>5048</v>
      </c>
      <c r="AQ543" s="38">
        <f t="shared" si="148"/>
        <v>5474</v>
      </c>
      <c r="AR543" s="71">
        <f t="shared" si="149"/>
        <v>266.11570247933884</v>
      </c>
      <c r="AS543" s="153">
        <f>'copy data3'!R597</f>
        <v>24568</v>
      </c>
      <c r="AT543" s="38">
        <f t="shared" si="132"/>
        <v>26211.25</v>
      </c>
      <c r="AU543" s="71">
        <f t="shared" si="133"/>
        <v>176.16271254788629</v>
      </c>
    </row>
    <row r="544" spans="1:47" ht="15.6" x14ac:dyDescent="0.3">
      <c r="A544" s="55">
        <v>38407</v>
      </c>
      <c r="B544" s="56">
        <v>1637</v>
      </c>
      <c r="C544" s="56">
        <v>7219</v>
      </c>
      <c r="D544" s="56">
        <v>328</v>
      </c>
      <c r="E544" s="56">
        <v>2810</v>
      </c>
      <c r="F544" s="56">
        <v>1373</v>
      </c>
      <c r="G544" s="56">
        <v>6020</v>
      </c>
      <c r="H544" s="56">
        <v>485</v>
      </c>
      <c r="I544" s="56">
        <v>3923</v>
      </c>
      <c r="J544" s="56">
        <v>112</v>
      </c>
      <c r="K544" s="56">
        <v>466</v>
      </c>
      <c r="L544" s="56">
        <v>3935</v>
      </c>
      <c r="M544" s="56">
        <v>20437</v>
      </c>
      <c r="N544" s="56">
        <v>6950</v>
      </c>
      <c r="O544" s="56">
        <v>22564</v>
      </c>
      <c r="P544" s="56">
        <v>3691</v>
      </c>
      <c r="Q544" s="56">
        <v>21405</v>
      </c>
      <c r="R544" s="16">
        <f t="shared" si="115"/>
        <v>14576</v>
      </c>
      <c r="T544" s="140">
        <f t="shared" si="114"/>
        <v>40654</v>
      </c>
      <c r="U544" s="154">
        <f>'copy data3'!B598</f>
        <v>2852</v>
      </c>
      <c r="V544" s="38">
        <f t="shared" si="134"/>
        <v>3089</v>
      </c>
      <c r="W544" s="71">
        <f t="shared" si="135"/>
        <v>304.93583415597232</v>
      </c>
      <c r="X544" s="154">
        <f>'copy data3'!D598</f>
        <v>529</v>
      </c>
      <c r="Y544" s="38">
        <f t="shared" si="136"/>
        <v>628.75</v>
      </c>
      <c r="Z544" s="71">
        <f t="shared" si="137"/>
        <v>223.7544483985765</v>
      </c>
      <c r="AA544" s="152">
        <f>'copy data3'!F598</f>
        <v>1535</v>
      </c>
      <c r="AB544" s="38">
        <f t="shared" si="138"/>
        <v>1887.25</v>
      </c>
      <c r="AC544" s="71">
        <f t="shared" si="139"/>
        <v>226.56062424969988</v>
      </c>
      <c r="AD544" s="152">
        <f>'copy data3'!H598</f>
        <v>1106</v>
      </c>
      <c r="AE544" s="38">
        <f t="shared" si="140"/>
        <v>1224.5</v>
      </c>
      <c r="AF544" s="71">
        <f t="shared" si="141"/>
        <v>259.97876857749469</v>
      </c>
      <c r="AG544" s="152">
        <f>'copy data3'!J598</f>
        <v>49</v>
      </c>
      <c r="AH544" s="38">
        <f t="shared" si="142"/>
        <v>95.75</v>
      </c>
      <c r="AI544" s="71">
        <f t="shared" si="143"/>
        <v>106.38888888888889</v>
      </c>
      <c r="AJ544" s="152">
        <f>'copy data3'!L598</f>
        <v>6070</v>
      </c>
      <c r="AK544" s="38">
        <f t="shared" si="144"/>
        <v>6924.5</v>
      </c>
      <c r="AL544" s="71">
        <f t="shared" si="145"/>
        <v>257.51208627742653</v>
      </c>
      <c r="AM544" s="152">
        <f>'copy data3'!N598</f>
        <v>12330</v>
      </c>
      <c r="AN544" s="38">
        <f t="shared" si="146"/>
        <v>12972.75</v>
      </c>
      <c r="AO544" s="71">
        <f t="shared" si="147"/>
        <v>125.42540848883303</v>
      </c>
      <c r="AP544" s="152">
        <f>'copy data3'!P598</f>
        <v>4921</v>
      </c>
      <c r="AQ544" s="38">
        <f t="shared" si="148"/>
        <v>5169.5</v>
      </c>
      <c r="AR544" s="71">
        <f t="shared" si="149"/>
        <v>274.97340425531911</v>
      </c>
      <c r="AS544" s="153">
        <f>'copy data3'!R598</f>
        <v>23321</v>
      </c>
      <c r="AT544" s="38">
        <f t="shared" si="132"/>
        <v>25066.75</v>
      </c>
      <c r="AU544" s="71">
        <f t="shared" si="133"/>
        <v>168.09784066523605</v>
      </c>
    </row>
    <row r="545" spans="1:47" ht="15.6" x14ac:dyDescent="0.3">
      <c r="A545" s="55">
        <v>38771</v>
      </c>
      <c r="B545" s="56">
        <v>1579</v>
      </c>
      <c r="C545" s="56">
        <v>8300</v>
      </c>
      <c r="D545" s="56">
        <v>375</v>
      </c>
      <c r="E545" s="56">
        <v>1545</v>
      </c>
      <c r="F545" s="56">
        <v>1020</v>
      </c>
      <c r="G545" s="56">
        <v>5805</v>
      </c>
      <c r="H545" s="56">
        <v>674</v>
      </c>
      <c r="I545" s="56">
        <v>3178</v>
      </c>
      <c r="J545" s="56">
        <v>156</v>
      </c>
      <c r="K545" s="56">
        <v>584</v>
      </c>
      <c r="L545" s="29">
        <v>3804</v>
      </c>
      <c r="M545" s="56">
        <v>19412</v>
      </c>
      <c r="N545" s="29">
        <v>8935</v>
      </c>
      <c r="O545" s="56">
        <v>23339</v>
      </c>
      <c r="P545" s="29">
        <v>3406</v>
      </c>
      <c r="Q545" s="56">
        <v>16196</v>
      </c>
      <c r="R545" s="16">
        <f t="shared" si="115"/>
        <v>16145</v>
      </c>
      <c r="T545" s="140">
        <f t="shared" si="114"/>
        <v>40661</v>
      </c>
      <c r="U545" s="154">
        <f>'copy data3'!B599</f>
        <v>2567</v>
      </c>
      <c r="V545" s="38">
        <f t="shared" si="134"/>
        <v>2884.25</v>
      </c>
      <c r="W545" s="71">
        <f t="shared" si="135"/>
        <v>316.95054945054943</v>
      </c>
      <c r="X545" s="154">
        <f>'copy data3'!D599</f>
        <v>461</v>
      </c>
      <c r="Y545" s="38">
        <f t="shared" si="136"/>
        <v>558.75</v>
      </c>
      <c r="Z545" s="71">
        <f t="shared" si="137"/>
        <v>216.56976744186048</v>
      </c>
      <c r="AA545" s="152">
        <f>'copy data3'!F599</f>
        <v>1402</v>
      </c>
      <c r="AB545" s="38">
        <f t="shared" si="138"/>
        <v>1715.5</v>
      </c>
      <c r="AC545" s="71">
        <f t="shared" si="139"/>
        <v>251.17130307467056</v>
      </c>
      <c r="AD545" s="152">
        <f>'copy data3'!H599</f>
        <v>988</v>
      </c>
      <c r="AE545" s="38">
        <f t="shared" si="140"/>
        <v>1150.5</v>
      </c>
      <c r="AF545" s="71">
        <f t="shared" si="141"/>
        <v>283.37438423645318</v>
      </c>
      <c r="AG545" s="152">
        <f>'copy data3'!J599</f>
        <v>60</v>
      </c>
      <c r="AH545" s="38">
        <f t="shared" si="142"/>
        <v>75.75</v>
      </c>
      <c r="AI545" s="71">
        <f t="shared" si="143"/>
        <v>81.451612903225808</v>
      </c>
      <c r="AJ545" s="152">
        <f>'copy data3'!L599</f>
        <v>5477</v>
      </c>
      <c r="AK545" s="38">
        <f t="shared" si="144"/>
        <v>6384</v>
      </c>
      <c r="AL545" s="71">
        <f t="shared" si="145"/>
        <v>271.89097103918226</v>
      </c>
      <c r="AM545" s="152">
        <f>'copy data3'!N599</f>
        <v>11816</v>
      </c>
      <c r="AN545" s="38">
        <f t="shared" si="146"/>
        <v>12561.5</v>
      </c>
      <c r="AO545" s="71">
        <f t="shared" si="147"/>
        <v>110.79114482272006</v>
      </c>
      <c r="AP545" s="152">
        <f>'copy data3'!P599</f>
        <v>4742</v>
      </c>
      <c r="AQ545" s="38">
        <f t="shared" si="148"/>
        <v>4963.25</v>
      </c>
      <c r="AR545" s="71">
        <f t="shared" si="149"/>
        <v>264.84791889007471</v>
      </c>
      <c r="AS545" s="153">
        <f>'copy data3'!R599</f>
        <v>22035</v>
      </c>
      <c r="AT545" s="38">
        <f t="shared" si="132"/>
        <v>23908.75</v>
      </c>
      <c r="AU545" s="71">
        <f t="shared" si="133"/>
        <v>153.655205655527</v>
      </c>
    </row>
    <row r="546" spans="1:47" ht="15.6" x14ac:dyDescent="0.3">
      <c r="A546" s="55">
        <v>38414</v>
      </c>
      <c r="B546" s="56">
        <v>1556</v>
      </c>
      <c r="C546" s="56">
        <v>7347</v>
      </c>
      <c r="D546" s="56">
        <v>271</v>
      </c>
      <c r="E546" s="56">
        <v>2869</v>
      </c>
      <c r="F546" s="56">
        <v>1400</v>
      </c>
      <c r="G546" s="56">
        <v>6085</v>
      </c>
      <c r="H546" s="56">
        <v>517</v>
      </c>
      <c r="I546" s="56">
        <v>3965</v>
      </c>
      <c r="J546" s="56">
        <v>107</v>
      </c>
      <c r="K546" s="56">
        <v>481</v>
      </c>
      <c r="L546" s="56">
        <v>3851</v>
      </c>
      <c r="M546" s="56">
        <v>20748</v>
      </c>
      <c r="N546" s="56">
        <v>6746</v>
      </c>
      <c r="O546" s="56">
        <v>23502</v>
      </c>
      <c r="P546" s="56">
        <v>3662</v>
      </c>
      <c r="Q546" s="56">
        <v>22116</v>
      </c>
      <c r="R546" s="16">
        <f t="shared" si="115"/>
        <v>14259</v>
      </c>
      <c r="T546" s="140">
        <f t="shared" si="114"/>
        <v>40668</v>
      </c>
      <c r="U546" s="154">
        <f>'copy data3'!B600</f>
        <v>2234</v>
      </c>
      <c r="V546" s="38">
        <f t="shared" si="134"/>
        <v>2654.75</v>
      </c>
      <c r="W546" s="71">
        <f t="shared" si="135"/>
        <v>326.53751537515376</v>
      </c>
      <c r="X546" s="154">
        <f>'copy data3'!D600</f>
        <v>378</v>
      </c>
      <c r="Y546" s="38">
        <f t="shared" si="136"/>
        <v>477.25</v>
      </c>
      <c r="Z546" s="71">
        <f t="shared" si="137"/>
        <v>193.21862348178138</v>
      </c>
      <c r="AA546" s="152">
        <f>'copy data3'!F600</f>
        <v>1263</v>
      </c>
      <c r="AB546" s="38">
        <f t="shared" si="138"/>
        <v>1505.5</v>
      </c>
      <c r="AC546" s="71">
        <f t="shared" si="139"/>
        <v>296.94280078895463</v>
      </c>
      <c r="AD546" s="152">
        <f>'copy data3'!H600</f>
        <v>854</v>
      </c>
      <c r="AE546" s="38">
        <f t="shared" si="140"/>
        <v>1045.25</v>
      </c>
      <c r="AF546" s="71">
        <f t="shared" si="141"/>
        <v>263.28715365239293</v>
      </c>
      <c r="AG546" s="152">
        <f>'copy data3'!J600</f>
        <v>43</v>
      </c>
      <c r="AH546" s="38">
        <f t="shared" si="142"/>
        <v>55.25</v>
      </c>
      <c r="AI546" s="71">
        <f t="shared" si="143"/>
        <v>49.774774774774777</v>
      </c>
      <c r="AJ546" s="152">
        <f>'copy data3'!L600</f>
        <v>4771</v>
      </c>
      <c r="AK546" s="38">
        <f t="shared" si="144"/>
        <v>5737.25</v>
      </c>
      <c r="AL546" s="71">
        <f t="shared" si="145"/>
        <v>276.62729026036646</v>
      </c>
      <c r="AM546" s="152">
        <f>'copy data3'!N600</f>
        <v>11389</v>
      </c>
      <c r="AN546" s="38">
        <f t="shared" si="146"/>
        <v>12106</v>
      </c>
      <c r="AO546" s="71">
        <f t="shared" si="147"/>
        <v>108.82775979863359</v>
      </c>
      <c r="AP546" s="152">
        <f>'copy data3'!P600</f>
        <v>4621</v>
      </c>
      <c r="AQ546" s="38">
        <f t="shared" si="148"/>
        <v>4833</v>
      </c>
      <c r="AR546" s="71">
        <f t="shared" si="149"/>
        <v>248.86714727085479</v>
      </c>
      <c r="AS546" s="153">
        <f>'copy data3'!R600</f>
        <v>20781</v>
      </c>
      <c r="AT546" s="38">
        <f t="shared" si="132"/>
        <v>22676.25</v>
      </c>
      <c r="AU546" s="71">
        <f t="shared" si="133"/>
        <v>149.77708058124176</v>
      </c>
    </row>
    <row r="547" spans="1:47" ht="15.6" x14ac:dyDescent="0.3">
      <c r="A547" s="55">
        <v>38778</v>
      </c>
      <c r="B547" s="56">
        <v>1444</v>
      </c>
      <c r="C547" s="56">
        <v>8548</v>
      </c>
      <c r="D547" s="56">
        <v>368</v>
      </c>
      <c r="E547" s="56">
        <v>1570</v>
      </c>
      <c r="F547" s="56">
        <v>1039</v>
      </c>
      <c r="G547" s="56">
        <v>5895</v>
      </c>
      <c r="H547" s="56">
        <v>686</v>
      </c>
      <c r="I547" s="56">
        <v>3236</v>
      </c>
      <c r="J547" s="56">
        <v>174</v>
      </c>
      <c r="K547" s="56">
        <v>585</v>
      </c>
      <c r="L547" s="56">
        <v>3710</v>
      </c>
      <c r="M547" s="56">
        <v>19834</v>
      </c>
      <c r="N547" s="56">
        <v>9246</v>
      </c>
      <c r="O547" s="56">
        <v>24441</v>
      </c>
      <c r="P547" s="56">
        <v>3134</v>
      </c>
      <c r="Q547" s="56">
        <v>16973</v>
      </c>
      <c r="R547" s="16">
        <f t="shared" si="115"/>
        <v>16090</v>
      </c>
      <c r="T547" s="140">
        <f t="shared" si="114"/>
        <v>40675</v>
      </c>
      <c r="U547" s="154">
        <f>'copy data3'!B601</f>
        <v>1982</v>
      </c>
      <c r="V547" s="38">
        <f t="shared" si="134"/>
        <v>2408.75</v>
      </c>
      <c r="W547" s="71">
        <f t="shared" si="135"/>
        <v>324.19246298788693</v>
      </c>
      <c r="X547" s="154">
        <f>'copy data3'!D601</f>
        <v>235</v>
      </c>
      <c r="Y547" s="38">
        <f t="shared" si="136"/>
        <v>400.75</v>
      </c>
      <c r="Z547" s="71">
        <f t="shared" si="137"/>
        <v>170.53191489361703</v>
      </c>
      <c r="AA547" s="152">
        <f>'copy data3'!F601</f>
        <v>1057</v>
      </c>
      <c r="AB547" s="38">
        <f t="shared" si="138"/>
        <v>1314.25</v>
      </c>
      <c r="AC547" s="71">
        <f t="shared" si="139"/>
        <v>266.58215010141987</v>
      </c>
      <c r="AD547" s="152">
        <f>'copy data3'!H601</f>
        <v>786</v>
      </c>
      <c r="AE547" s="38">
        <f t="shared" si="140"/>
        <v>933.5</v>
      </c>
      <c r="AF547" s="71">
        <f t="shared" si="141"/>
        <v>238.13775510204081</v>
      </c>
      <c r="AG547" s="152">
        <f>'copy data3'!J601</f>
        <v>43</v>
      </c>
      <c r="AH547" s="38">
        <f t="shared" si="142"/>
        <v>48.75</v>
      </c>
      <c r="AI547" s="71">
        <f t="shared" si="143"/>
        <v>39</v>
      </c>
      <c r="AJ547" s="152">
        <f>'copy data3'!L601</f>
        <v>4103</v>
      </c>
      <c r="AK547" s="38">
        <f t="shared" si="144"/>
        <v>5105.25</v>
      </c>
      <c r="AL547" s="71">
        <f t="shared" si="145"/>
        <v>256.67420814479641</v>
      </c>
      <c r="AM547" s="152">
        <f>'copy data3'!N601</f>
        <v>11271</v>
      </c>
      <c r="AN547" s="38">
        <f t="shared" si="146"/>
        <v>11701.5</v>
      </c>
      <c r="AO547" s="71">
        <f t="shared" si="147"/>
        <v>101.76102269762588</v>
      </c>
      <c r="AP547" s="152">
        <f>'copy data3'!P601</f>
        <v>4671</v>
      </c>
      <c r="AQ547" s="38">
        <f t="shared" si="148"/>
        <v>4738.75</v>
      </c>
      <c r="AR547" s="71">
        <f t="shared" si="149"/>
        <v>220.50953932061424</v>
      </c>
      <c r="AS547" s="153">
        <f>'copy data3'!R601</f>
        <v>20045</v>
      </c>
      <c r="AT547" s="38">
        <f t="shared" ref="AT547:AT552" si="150">AVERAGE(AS544:AS547)</f>
        <v>21545.5</v>
      </c>
      <c r="AU547" s="71">
        <f t="shared" ref="AU547:AU552" si="151">(AT547/AS495)*100</f>
        <v>137.78538082752445</v>
      </c>
    </row>
    <row r="548" spans="1:47" ht="15.6" x14ac:dyDescent="0.3">
      <c r="A548" s="55">
        <v>38421</v>
      </c>
      <c r="B548" s="56">
        <v>1572</v>
      </c>
      <c r="C548" s="56">
        <v>7518</v>
      </c>
      <c r="D548" s="56">
        <v>268</v>
      </c>
      <c r="E548" s="56">
        <v>2907</v>
      </c>
      <c r="F548" s="56">
        <v>1536</v>
      </c>
      <c r="G548" s="56">
        <v>6142</v>
      </c>
      <c r="H548" s="56">
        <v>612</v>
      </c>
      <c r="I548" s="56">
        <v>3987</v>
      </c>
      <c r="J548" s="56">
        <v>79</v>
      </c>
      <c r="K548" s="56">
        <v>527</v>
      </c>
      <c r="L548" s="56">
        <v>4068</v>
      </c>
      <c r="M548" s="56">
        <v>21082</v>
      </c>
      <c r="N548" s="56">
        <v>7002</v>
      </c>
      <c r="O548" s="56">
        <v>24256</v>
      </c>
      <c r="P548" s="56">
        <v>3241</v>
      </c>
      <c r="Q548" s="56">
        <v>23164</v>
      </c>
      <c r="R548" s="16">
        <f t="shared" si="115"/>
        <v>14311</v>
      </c>
      <c r="T548" s="140">
        <f t="shared" si="114"/>
        <v>40682</v>
      </c>
      <c r="U548" s="154">
        <f>'copy data3'!B602</f>
        <v>1593</v>
      </c>
      <c r="V548" s="38">
        <f t="shared" si="134"/>
        <v>2094</v>
      </c>
      <c r="W548" s="71">
        <f t="shared" si="135"/>
        <v>354.31472081218277</v>
      </c>
      <c r="X548" s="154">
        <f>'copy data3'!D602</f>
        <v>175</v>
      </c>
      <c r="Y548" s="38">
        <f t="shared" si="136"/>
        <v>312.25</v>
      </c>
      <c r="Z548" s="71">
        <f t="shared" si="137"/>
        <v>121.97265625</v>
      </c>
      <c r="AA548" s="152">
        <f>'copy data3'!F602</f>
        <v>882</v>
      </c>
      <c r="AB548" s="38">
        <f t="shared" si="138"/>
        <v>1151</v>
      </c>
      <c r="AC548" s="71">
        <f t="shared" si="139"/>
        <v>311.92411924119244</v>
      </c>
      <c r="AD548" s="152">
        <f>'copy data3'!H602</f>
        <v>615</v>
      </c>
      <c r="AE548" s="38">
        <f t="shared" si="140"/>
        <v>810.75</v>
      </c>
      <c r="AF548" s="71">
        <f t="shared" si="141"/>
        <v>301.39405204460968</v>
      </c>
      <c r="AG548" s="152">
        <f>'copy data3'!J602</f>
        <v>23</v>
      </c>
      <c r="AH548" s="38">
        <f t="shared" si="142"/>
        <v>42.25</v>
      </c>
      <c r="AI548" s="71">
        <f t="shared" si="143"/>
        <v>52.160493827160494</v>
      </c>
      <c r="AJ548" s="152">
        <f>'copy data3'!L602</f>
        <v>3288</v>
      </c>
      <c r="AK548" s="38">
        <f t="shared" si="144"/>
        <v>4409.75</v>
      </c>
      <c r="AL548" s="71">
        <f t="shared" si="145"/>
        <v>281.59323116219667</v>
      </c>
      <c r="AM548" s="152">
        <f>'copy data3'!N602</f>
        <v>11044</v>
      </c>
      <c r="AN548" s="38">
        <f t="shared" si="146"/>
        <v>11380</v>
      </c>
      <c r="AO548" s="71">
        <f t="shared" si="147"/>
        <v>100.79716563330381</v>
      </c>
      <c r="AP548" s="152">
        <f>'copy data3'!P602</f>
        <v>4422</v>
      </c>
      <c r="AQ548" s="38">
        <f t="shared" si="148"/>
        <v>4614</v>
      </c>
      <c r="AR548" s="71">
        <f t="shared" si="149"/>
        <v>211.651376146789</v>
      </c>
      <c r="AS548" s="153">
        <f>'copy data3'!R602</f>
        <v>18754</v>
      </c>
      <c r="AT548" s="38">
        <f t="shared" si="150"/>
        <v>20403.75</v>
      </c>
      <c r="AU548" s="71">
        <f t="shared" si="151"/>
        <v>135.69932162809258</v>
      </c>
    </row>
    <row r="549" spans="1:47" ht="15.6" x14ac:dyDescent="0.3">
      <c r="A549" s="55">
        <v>38785</v>
      </c>
      <c r="B549" s="56">
        <v>1324</v>
      </c>
      <c r="C549" s="56">
        <v>8756</v>
      </c>
      <c r="D549" s="56">
        <v>294</v>
      </c>
      <c r="E549" s="56">
        <v>1640</v>
      </c>
      <c r="F549" s="56">
        <v>1042</v>
      </c>
      <c r="G549" s="56">
        <v>6026</v>
      </c>
      <c r="H549" s="56">
        <v>589</v>
      </c>
      <c r="I549" s="56">
        <v>3391</v>
      </c>
      <c r="J549" s="56">
        <v>225</v>
      </c>
      <c r="K549" s="56">
        <v>594</v>
      </c>
      <c r="L549" s="56">
        <v>3474</v>
      </c>
      <c r="M549" s="56">
        <v>20408</v>
      </c>
      <c r="N549" s="56">
        <v>9443</v>
      </c>
      <c r="O549" s="56">
        <v>25213</v>
      </c>
      <c r="P549" s="56">
        <v>2675</v>
      </c>
      <c r="Q549" s="56">
        <v>17813</v>
      </c>
      <c r="R549" s="16">
        <f t="shared" si="115"/>
        <v>15592</v>
      </c>
      <c r="T549" s="140">
        <f t="shared" si="114"/>
        <v>40689</v>
      </c>
      <c r="U549" s="154">
        <f>'copy data3'!B603</f>
        <v>1024</v>
      </c>
      <c r="V549" s="38">
        <f t="shared" si="134"/>
        <v>1708.25</v>
      </c>
      <c r="W549" s="71">
        <f t="shared" si="135"/>
        <v>502.4264705882353</v>
      </c>
      <c r="X549" s="154">
        <f>'copy data3'!D603</f>
        <v>109</v>
      </c>
      <c r="Y549" s="38">
        <f t="shared" si="136"/>
        <v>224.25</v>
      </c>
      <c r="Z549" s="71">
        <f t="shared" si="137"/>
        <v>88.988095238095227</v>
      </c>
      <c r="AA549" s="152">
        <f>'copy data3'!F603</f>
        <v>623</v>
      </c>
      <c r="AB549" s="38">
        <f t="shared" si="138"/>
        <v>956.25</v>
      </c>
      <c r="AC549" s="71">
        <f t="shared" si="139"/>
        <v>296.0526315789474</v>
      </c>
      <c r="AD549" s="152">
        <f>'copy data3'!H603</f>
        <v>551</v>
      </c>
      <c r="AE549" s="38">
        <f t="shared" si="140"/>
        <v>701.5</v>
      </c>
      <c r="AF549" s="71">
        <f t="shared" si="141"/>
        <v>271.89922480620157</v>
      </c>
      <c r="AG549" s="152">
        <f>'copy data3'!J603</f>
        <v>11</v>
      </c>
      <c r="AH549" s="38">
        <f t="shared" si="142"/>
        <v>30</v>
      </c>
      <c r="AI549" s="71">
        <f t="shared" si="143"/>
        <v>75</v>
      </c>
      <c r="AJ549" s="152">
        <f>'copy data3'!L603</f>
        <v>2320</v>
      </c>
      <c r="AK549" s="38">
        <f t="shared" si="144"/>
        <v>3620.5</v>
      </c>
      <c r="AL549" s="71">
        <f t="shared" si="145"/>
        <v>298.47485572959602</v>
      </c>
      <c r="AM549" s="152">
        <f>'copy data3'!N603</f>
        <v>10615</v>
      </c>
      <c r="AN549" s="38">
        <f t="shared" si="146"/>
        <v>11079.75</v>
      </c>
      <c r="AO549" s="71">
        <f t="shared" si="147"/>
        <v>107.96871954784642</v>
      </c>
      <c r="AP549" s="152">
        <f>'copy data3'!P603</f>
        <v>4240</v>
      </c>
      <c r="AQ549" s="38">
        <f t="shared" si="148"/>
        <v>4488.5</v>
      </c>
      <c r="AR549" s="71">
        <f t="shared" si="149"/>
        <v>207.22530009233608</v>
      </c>
      <c r="AS549" s="153">
        <f>'copy data3'!R603</f>
        <v>17175</v>
      </c>
      <c r="AT549" s="38">
        <f t="shared" si="150"/>
        <v>19188.75</v>
      </c>
      <c r="AU549" s="71">
        <f t="shared" si="151"/>
        <v>140.6696723114141</v>
      </c>
    </row>
    <row r="550" spans="1:47" ht="15.6" x14ac:dyDescent="0.3">
      <c r="A550" s="55">
        <v>38428</v>
      </c>
      <c r="B550" s="56">
        <v>1576</v>
      </c>
      <c r="C550" s="56">
        <v>7728</v>
      </c>
      <c r="D550" s="56">
        <v>241</v>
      </c>
      <c r="E550" s="56">
        <v>2946</v>
      </c>
      <c r="F550" s="56">
        <v>1343</v>
      </c>
      <c r="G550" s="56">
        <v>6366</v>
      </c>
      <c r="H550" s="56">
        <v>499</v>
      </c>
      <c r="I550" s="56">
        <v>4106</v>
      </c>
      <c r="J550" s="56">
        <v>110</v>
      </c>
      <c r="K550" s="56">
        <v>556</v>
      </c>
      <c r="L550" s="56">
        <v>3769</v>
      </c>
      <c r="M550" s="56">
        <v>21702</v>
      </c>
      <c r="N550" s="56">
        <v>7291</v>
      </c>
      <c r="O550" s="56">
        <v>24894</v>
      </c>
      <c r="P550" s="56">
        <v>3046</v>
      </c>
      <c r="Q550" s="56">
        <v>23694</v>
      </c>
      <c r="R550" s="16">
        <f t="shared" si="115"/>
        <v>14106</v>
      </c>
      <c r="T550" s="140">
        <f t="shared" si="114"/>
        <v>40696</v>
      </c>
      <c r="U550" s="154">
        <f>'copy data3'!B604</f>
        <v>1462</v>
      </c>
      <c r="V550" s="38">
        <f t="shared" ref="V550:V555" si="152">AVERAGE(U547:U550)</f>
        <v>1515.25</v>
      </c>
      <c r="W550" s="71">
        <f t="shared" ref="W550:W555" si="153">(V550/U498)*100</f>
        <v>103.64227086183311</v>
      </c>
      <c r="X550" s="154">
        <f>'copy data3'!D604</f>
        <v>470</v>
      </c>
      <c r="Y550" s="38">
        <f t="shared" ref="Y550:Y555" si="154">AVERAGE(X547:X550)</f>
        <v>247.25</v>
      </c>
      <c r="Z550" s="71">
        <f t="shared" ref="Z550:Z555" si="155">(Y550/X498)*100</f>
        <v>52.60638297872341</v>
      </c>
      <c r="AA550" s="152">
        <f>'copy data3'!F604</f>
        <v>966</v>
      </c>
      <c r="AB550" s="38">
        <f t="shared" ref="AB550:AB555" si="156">AVERAGE(AA547:AA550)</f>
        <v>882</v>
      </c>
      <c r="AC550" s="71">
        <f t="shared" ref="AC550:AC555" si="157">(AB550/AA498)*100</f>
        <v>91.304347826086953</v>
      </c>
      <c r="AD550" s="152">
        <f>'copy data3'!H604</f>
        <v>898</v>
      </c>
      <c r="AE550" s="38">
        <f t="shared" ref="AE550:AE555" si="158">AVERAGE(AD547:AD550)</f>
        <v>712.5</v>
      </c>
      <c r="AF550" s="71">
        <f t="shared" ref="AF550:AF555" si="159">(AE550/AD498)*100</f>
        <v>79.342984409799556</v>
      </c>
      <c r="AG550" s="152">
        <f>'copy data3'!J604</f>
        <v>231</v>
      </c>
      <c r="AH550" s="38">
        <f t="shared" ref="AH550:AH555" si="160">AVERAGE(AG547:AG550)</f>
        <v>77</v>
      </c>
      <c r="AI550" s="71">
        <f t="shared" ref="AI550:AI555" si="161">(AH550/AG498)*100</f>
        <v>33.333333333333329</v>
      </c>
      <c r="AJ550" s="152">
        <f>'copy data3'!L604</f>
        <v>146</v>
      </c>
      <c r="AK550" s="38">
        <f t="shared" ref="AK550:AK555" si="162">AVERAGE(AJ547:AJ550)</f>
        <v>2464.25</v>
      </c>
      <c r="AL550" s="71">
        <f t="shared" ref="AL550:AL555" si="163">(AK550/AJ498)*100</f>
        <v>61.178003972194638</v>
      </c>
      <c r="AM550" s="152">
        <f>'copy data3'!N604</f>
        <v>10369</v>
      </c>
      <c r="AN550" s="38">
        <f t="shared" ref="AN550:AN555" si="164">AVERAGE(AM547:AM550)</f>
        <v>10824.75</v>
      </c>
      <c r="AO550" s="71">
        <f t="shared" ref="AO550:AO555" si="165">(AN550/AM498)*100</f>
        <v>104.39531295206868</v>
      </c>
      <c r="AP550" s="152">
        <f>'copy data3'!P604</f>
        <v>2419</v>
      </c>
      <c r="AQ550" s="38">
        <f t="shared" ref="AQ550:AQ555" si="166">AVERAGE(AP547:AP550)</f>
        <v>3938</v>
      </c>
      <c r="AR550" s="71">
        <f t="shared" ref="AR550:AR555" si="167">(AQ550/AP498)*100</f>
        <v>162.79454319966928</v>
      </c>
      <c r="AS550" s="153">
        <f>'copy data3'!R604</f>
        <v>12934</v>
      </c>
      <c r="AT550" s="38">
        <f t="shared" si="150"/>
        <v>17227</v>
      </c>
      <c r="AU550" s="71">
        <f t="shared" si="151"/>
        <v>102.44410085632731</v>
      </c>
    </row>
    <row r="551" spans="1:47" ht="15.6" x14ac:dyDescent="0.3">
      <c r="A551" s="55">
        <v>38792</v>
      </c>
      <c r="B551" s="56">
        <v>1169</v>
      </c>
      <c r="C551" s="56">
        <v>8949</v>
      </c>
      <c r="D551" s="56">
        <v>288</v>
      </c>
      <c r="E551" s="56">
        <v>1677</v>
      </c>
      <c r="F551" s="56">
        <v>1094</v>
      </c>
      <c r="G551" s="56">
        <v>6143</v>
      </c>
      <c r="H551" s="56">
        <v>737</v>
      </c>
      <c r="I551" s="56">
        <v>3425</v>
      </c>
      <c r="J551" s="56">
        <v>224</v>
      </c>
      <c r="K551" s="56">
        <v>607</v>
      </c>
      <c r="L551" s="56">
        <v>3512</v>
      </c>
      <c r="M551" s="56">
        <v>20802</v>
      </c>
      <c r="N551" s="56">
        <v>9141</v>
      </c>
      <c r="O551" s="56">
        <v>26426</v>
      </c>
      <c r="P551" s="56">
        <v>2368</v>
      </c>
      <c r="Q551" s="56">
        <v>18533</v>
      </c>
      <c r="R551" s="16">
        <f t="shared" si="115"/>
        <v>15021</v>
      </c>
      <c r="T551" s="140">
        <f t="shared" si="114"/>
        <v>40703</v>
      </c>
      <c r="U551" s="154">
        <f>'copy data3'!B605</f>
        <v>2155</v>
      </c>
      <c r="V551" s="38">
        <f t="shared" si="152"/>
        <v>1558.5</v>
      </c>
      <c r="W551" s="71">
        <f t="shared" si="153"/>
        <v>82.987220447284344</v>
      </c>
      <c r="X551" s="154">
        <f>'copy data3'!D605</f>
        <v>722</v>
      </c>
      <c r="Y551" s="38">
        <f t="shared" si="154"/>
        <v>369</v>
      </c>
      <c r="Z551" s="71">
        <f t="shared" si="155"/>
        <v>76.082474226804123</v>
      </c>
      <c r="AA551" s="152">
        <f>'copy data3'!F605</f>
        <v>2075</v>
      </c>
      <c r="AB551" s="38">
        <f t="shared" si="156"/>
        <v>1136.5</v>
      </c>
      <c r="AC551" s="71">
        <f t="shared" si="157"/>
        <v>114.2211055276382</v>
      </c>
      <c r="AD551" s="152">
        <f>'copy data3'!H605</f>
        <v>1207</v>
      </c>
      <c r="AE551" s="38">
        <f t="shared" si="158"/>
        <v>817.75</v>
      </c>
      <c r="AF551" s="71">
        <f t="shared" si="159"/>
        <v>82.434475806451616</v>
      </c>
      <c r="AG551" s="152">
        <f>'copy data3'!J605</f>
        <v>143</v>
      </c>
      <c r="AH551" s="38">
        <f t="shared" si="160"/>
        <v>102</v>
      </c>
      <c r="AI551" s="71">
        <f t="shared" si="161"/>
        <v>41.975308641975303</v>
      </c>
      <c r="AJ551" s="152">
        <f>'copy data3'!L605</f>
        <v>6301</v>
      </c>
      <c r="AK551" s="38">
        <f t="shared" si="162"/>
        <v>3013.75</v>
      </c>
      <c r="AL551" s="71">
        <f t="shared" si="163"/>
        <v>65.630444250871079</v>
      </c>
      <c r="AM551" s="152">
        <f>'copy data3'!N605</f>
        <v>9407</v>
      </c>
      <c r="AN551" s="38">
        <f t="shared" si="164"/>
        <v>10358.75</v>
      </c>
      <c r="AO551" s="71">
        <f t="shared" si="165"/>
        <v>99.737627575582508</v>
      </c>
      <c r="AP551" s="152">
        <f>'copy data3'!P605</f>
        <v>4223</v>
      </c>
      <c r="AQ551" s="38">
        <f t="shared" si="166"/>
        <v>3826</v>
      </c>
      <c r="AR551" s="71">
        <f t="shared" si="167"/>
        <v>184.74167069048769</v>
      </c>
      <c r="AS551" s="153">
        <f>'copy data3'!R605</f>
        <v>19931</v>
      </c>
      <c r="AT551" s="38">
        <f t="shared" si="150"/>
        <v>17198.5</v>
      </c>
      <c r="AU551" s="71">
        <f t="shared" si="151"/>
        <v>100.87688427473751</v>
      </c>
    </row>
    <row r="552" spans="1:47" ht="15.6" x14ac:dyDescent="0.3">
      <c r="A552" s="55">
        <v>38435</v>
      </c>
      <c r="B552" s="56">
        <v>1436</v>
      </c>
      <c r="C552" s="56">
        <v>7997</v>
      </c>
      <c r="D552" s="56">
        <v>226</v>
      </c>
      <c r="E552" s="56">
        <v>2983</v>
      </c>
      <c r="F552" s="56">
        <v>1298</v>
      </c>
      <c r="G552" s="56">
        <v>6519</v>
      </c>
      <c r="H552" s="56">
        <v>553</v>
      </c>
      <c r="I552" s="56">
        <v>4158</v>
      </c>
      <c r="J552" s="56">
        <v>98</v>
      </c>
      <c r="K552" s="56">
        <v>569</v>
      </c>
      <c r="L552" s="56">
        <v>3611</v>
      </c>
      <c r="M552" s="56">
        <v>22226</v>
      </c>
      <c r="N552" s="56">
        <v>7636</v>
      </c>
      <c r="O552" s="56">
        <v>25690</v>
      </c>
      <c r="P552" s="56">
        <v>2790</v>
      </c>
      <c r="Q552" s="56">
        <v>24248</v>
      </c>
      <c r="R552" s="16">
        <f t="shared" si="115"/>
        <v>14037</v>
      </c>
      <c r="T552" s="140">
        <f t="shared" si="114"/>
        <v>40710</v>
      </c>
      <c r="U552" s="154">
        <f>'copy data3'!B606</f>
        <v>2154</v>
      </c>
      <c r="V552" s="38">
        <f t="shared" si="152"/>
        <v>1698.75</v>
      </c>
      <c r="W552" s="71">
        <f t="shared" si="153"/>
        <v>78.319502074688799</v>
      </c>
      <c r="X552" s="154">
        <f>'copy data3'!D606</f>
        <v>821</v>
      </c>
      <c r="Y552" s="38">
        <f t="shared" si="154"/>
        <v>530.5</v>
      </c>
      <c r="Z552" s="71">
        <f t="shared" si="155"/>
        <v>103.21011673151752</v>
      </c>
      <c r="AA552" s="152">
        <f>'copy data3'!F606</f>
        <v>2006</v>
      </c>
      <c r="AB552" s="38">
        <f t="shared" si="156"/>
        <v>1417.5</v>
      </c>
      <c r="AC552" s="71">
        <f t="shared" si="157"/>
        <v>138.83447600391773</v>
      </c>
      <c r="AD552" s="152">
        <f>'copy data3'!H606</f>
        <v>1203</v>
      </c>
      <c r="AE552" s="38">
        <f t="shared" si="158"/>
        <v>964.75</v>
      </c>
      <c r="AF552" s="71">
        <f t="shared" si="159"/>
        <v>89.411492122335503</v>
      </c>
      <c r="AG552" s="152">
        <f>'copy data3'!J606</f>
        <v>118</v>
      </c>
      <c r="AH552" s="38">
        <f t="shared" si="160"/>
        <v>125.75</v>
      </c>
      <c r="AI552" s="71">
        <f t="shared" si="161"/>
        <v>50.3</v>
      </c>
      <c r="AJ552" s="152">
        <f>'copy data3'!L606</f>
        <v>6301</v>
      </c>
      <c r="AK552" s="38">
        <f t="shared" si="162"/>
        <v>3767</v>
      </c>
      <c r="AL552" s="71">
        <f t="shared" si="163"/>
        <v>74.846016292469699</v>
      </c>
      <c r="AM552" s="152">
        <f>'copy data3'!N606</f>
        <v>8650</v>
      </c>
      <c r="AN552" s="38">
        <f t="shared" si="164"/>
        <v>9760.25</v>
      </c>
      <c r="AO552" s="71">
        <f t="shared" si="165"/>
        <v>91.285540591096151</v>
      </c>
      <c r="AP552" s="152">
        <f>'copy data3'!P606</f>
        <v>4007</v>
      </c>
      <c r="AQ552" s="38">
        <f t="shared" si="166"/>
        <v>3722.25</v>
      </c>
      <c r="AR552" s="71">
        <f t="shared" si="167"/>
        <v>173.93691588785046</v>
      </c>
      <c r="AS552" s="153">
        <f>'copy data3'!R606</f>
        <v>18958</v>
      </c>
      <c r="AT552" s="38">
        <f t="shared" si="150"/>
        <v>17249.5</v>
      </c>
      <c r="AU552" s="71">
        <f t="shared" si="151"/>
        <v>96.554715924993005</v>
      </c>
    </row>
    <row r="553" spans="1:47" ht="15.6" x14ac:dyDescent="0.3">
      <c r="A553" s="55">
        <v>38799</v>
      </c>
      <c r="B553" s="56">
        <v>1325</v>
      </c>
      <c r="C553" s="56">
        <v>9097</v>
      </c>
      <c r="D553" s="56">
        <v>278</v>
      </c>
      <c r="E553" s="56">
        <v>1711</v>
      </c>
      <c r="F553" s="56">
        <v>1056</v>
      </c>
      <c r="G553" s="56">
        <v>6248</v>
      </c>
      <c r="H553" s="56">
        <v>681</v>
      </c>
      <c r="I553" s="56">
        <v>3571</v>
      </c>
      <c r="J553" s="56">
        <v>231</v>
      </c>
      <c r="K553" s="56">
        <v>624</v>
      </c>
      <c r="L553" s="56">
        <v>3571</v>
      </c>
      <c r="M553" s="56">
        <v>21251</v>
      </c>
      <c r="N553" s="56">
        <v>9285</v>
      </c>
      <c r="O553" s="56">
        <v>27321</v>
      </c>
      <c r="P553" s="56">
        <v>1898</v>
      </c>
      <c r="Q553" s="56">
        <v>19044</v>
      </c>
      <c r="R553" s="16">
        <f t="shared" si="115"/>
        <v>14754</v>
      </c>
      <c r="T553" s="140">
        <f t="shared" si="114"/>
        <v>40717</v>
      </c>
      <c r="U553" s="154">
        <f>'copy data3'!B607</f>
        <v>2180</v>
      </c>
      <c r="V553" s="38">
        <f t="shared" si="152"/>
        <v>1987.75</v>
      </c>
      <c r="W553" s="71">
        <f t="shared" si="153"/>
        <v>94.474809885931549</v>
      </c>
      <c r="X553" s="154">
        <f>'copy data3'!D607</f>
        <v>891</v>
      </c>
      <c r="Y553" s="38">
        <f t="shared" si="154"/>
        <v>726</v>
      </c>
      <c r="Z553" s="71">
        <f t="shared" si="155"/>
        <v>132.48175182481751</v>
      </c>
      <c r="AA553" s="152">
        <f>'copy data3'!F607</f>
        <v>1958</v>
      </c>
      <c r="AB553" s="38">
        <f t="shared" si="156"/>
        <v>1751.25</v>
      </c>
      <c r="AC553" s="71">
        <f t="shared" si="157"/>
        <v>182.23204994797086</v>
      </c>
      <c r="AD553" s="152">
        <f>'copy data3'!H607</f>
        <v>1231</v>
      </c>
      <c r="AE553" s="38">
        <f t="shared" si="158"/>
        <v>1134.75</v>
      </c>
      <c r="AF553" s="71">
        <f t="shared" si="159"/>
        <v>109.21559191530316</v>
      </c>
      <c r="AG553" s="152">
        <f>'copy data3'!J607</f>
        <v>103</v>
      </c>
      <c r="AH553" s="38">
        <f t="shared" si="160"/>
        <v>148.75</v>
      </c>
      <c r="AI553" s="71">
        <f t="shared" si="161"/>
        <v>59.5</v>
      </c>
      <c r="AJ553" s="152">
        <f>'copy data3'!L607</f>
        <v>6363</v>
      </c>
      <c r="AK553" s="38">
        <f t="shared" si="162"/>
        <v>4777.75</v>
      </c>
      <c r="AL553" s="71">
        <f t="shared" si="163"/>
        <v>97.465320277437783</v>
      </c>
      <c r="AM553" s="152">
        <f>'copy data3'!N607</f>
        <v>8686</v>
      </c>
      <c r="AN553" s="38">
        <f t="shared" si="164"/>
        <v>9278</v>
      </c>
      <c r="AO553" s="71">
        <f t="shared" si="165"/>
        <v>89.305996727307729</v>
      </c>
      <c r="AP553" s="152">
        <f>'copy data3'!P607</f>
        <v>3517</v>
      </c>
      <c r="AQ553" s="38">
        <f t="shared" si="166"/>
        <v>3541.5</v>
      </c>
      <c r="AR553" s="71">
        <f t="shared" si="167"/>
        <v>156.28861429832304</v>
      </c>
      <c r="AS553" s="153">
        <f>'copy data3'!R607</f>
        <v>18566</v>
      </c>
      <c r="AT553" s="38">
        <f t="shared" ref="AT553:AT559" si="168">AVERAGE(AS550:AS553)</f>
        <v>17597.25</v>
      </c>
      <c r="AU553" s="71">
        <f t="shared" ref="AU553:AU559" si="169">(AT553/AS501)*100</f>
        <v>100.22925328928633</v>
      </c>
    </row>
    <row r="554" spans="1:47" ht="15.6" x14ac:dyDescent="0.3">
      <c r="A554" s="10">
        <v>38442</v>
      </c>
      <c r="B554" s="6">
        <v>1367</v>
      </c>
      <c r="C554" s="6">
        <v>8124</v>
      </c>
      <c r="D554" s="6">
        <v>231</v>
      </c>
      <c r="E554" s="6">
        <v>2997</v>
      </c>
      <c r="F554" s="6">
        <v>1291</v>
      </c>
      <c r="G554" s="6">
        <v>6614</v>
      </c>
      <c r="H554" s="6">
        <v>556</v>
      </c>
      <c r="I554" s="6">
        <v>4195</v>
      </c>
      <c r="J554" s="6">
        <v>73</v>
      </c>
      <c r="K554" s="6">
        <v>594</v>
      </c>
      <c r="L554" s="6">
        <v>3519</v>
      </c>
      <c r="M554" s="6">
        <v>22524</v>
      </c>
      <c r="N554" s="6">
        <v>7395</v>
      </c>
      <c r="O554" s="6">
        <v>26592</v>
      </c>
      <c r="P554" s="6">
        <v>2640</v>
      </c>
      <c r="Q554" s="6">
        <v>24733</v>
      </c>
      <c r="R554" s="16">
        <f t="shared" si="115"/>
        <v>13554</v>
      </c>
      <c r="T554" s="140">
        <f t="shared" si="114"/>
        <v>40724</v>
      </c>
      <c r="U554" s="154">
        <f>'copy data3'!B608</f>
        <v>1908</v>
      </c>
      <c r="V554" s="38">
        <f t="shared" si="152"/>
        <v>2099.25</v>
      </c>
      <c r="W554" s="71">
        <f t="shared" si="153"/>
        <v>101.60939012584704</v>
      </c>
      <c r="X554" s="154">
        <f>'copy data3'!D608</f>
        <v>1004</v>
      </c>
      <c r="Y554" s="38">
        <f t="shared" si="154"/>
        <v>859.5</v>
      </c>
      <c r="Z554" s="71">
        <f t="shared" si="155"/>
        <v>159.16666666666666</v>
      </c>
      <c r="AA554" s="152">
        <f>'copy data3'!F608</f>
        <v>1911</v>
      </c>
      <c r="AB554" s="38">
        <f t="shared" si="156"/>
        <v>1987.5</v>
      </c>
      <c r="AC554" s="71">
        <f t="shared" si="157"/>
        <v>196.19940769990129</v>
      </c>
      <c r="AD554" s="152">
        <f>'copy data3'!H608</f>
        <v>1163</v>
      </c>
      <c r="AE554" s="38">
        <f t="shared" si="158"/>
        <v>1201</v>
      </c>
      <c r="AF554" s="71">
        <f t="shared" si="159"/>
        <v>125.23461939520332</v>
      </c>
      <c r="AG554" s="152">
        <f>'copy data3'!J608</f>
        <v>74</v>
      </c>
      <c r="AH554" s="38">
        <f t="shared" si="160"/>
        <v>109.5</v>
      </c>
      <c r="AI554" s="71">
        <f t="shared" si="161"/>
        <v>39.107142857142854</v>
      </c>
      <c r="AJ554" s="152">
        <f>'copy data3'!L608</f>
        <v>6060</v>
      </c>
      <c r="AK554" s="38">
        <f t="shared" si="162"/>
        <v>6256.25</v>
      </c>
      <c r="AL554" s="71">
        <f t="shared" si="163"/>
        <v>128.78242074927954</v>
      </c>
      <c r="AM554" s="152">
        <f>'copy data3'!N608</f>
        <v>8267</v>
      </c>
      <c r="AN554" s="38">
        <f t="shared" si="164"/>
        <v>8752.5</v>
      </c>
      <c r="AO554" s="71">
        <f t="shared" si="165"/>
        <v>88.767748478701819</v>
      </c>
      <c r="AP554" s="152">
        <f>'copy data3'!P608</f>
        <v>3671</v>
      </c>
      <c r="AQ554" s="38">
        <f t="shared" si="166"/>
        <v>3854.5</v>
      </c>
      <c r="AR554" s="71">
        <f t="shared" si="167"/>
        <v>157.19820554649266</v>
      </c>
      <c r="AS554" s="153">
        <f>'copy data3'!R608</f>
        <v>17998</v>
      </c>
      <c r="AT554" s="38">
        <f t="shared" si="168"/>
        <v>18863.25</v>
      </c>
      <c r="AU554" s="71">
        <f t="shared" si="169"/>
        <v>109.86167734420501</v>
      </c>
    </row>
    <row r="555" spans="1:47" ht="15.6" x14ac:dyDescent="0.3">
      <c r="A555" s="10">
        <v>38806</v>
      </c>
      <c r="B555" s="6">
        <v>1365</v>
      </c>
      <c r="C555" s="6">
        <v>9229</v>
      </c>
      <c r="D555" s="6">
        <v>285</v>
      </c>
      <c r="E555" s="6">
        <v>1720</v>
      </c>
      <c r="F555" s="6">
        <v>1004</v>
      </c>
      <c r="G555" s="6">
        <v>6351</v>
      </c>
      <c r="H555" s="6">
        <v>641</v>
      </c>
      <c r="I555" s="6">
        <v>3622</v>
      </c>
      <c r="J555" s="6">
        <v>234</v>
      </c>
      <c r="K555" s="6">
        <v>645</v>
      </c>
      <c r="L555" s="6">
        <v>3528</v>
      </c>
      <c r="M555" s="6">
        <v>21566</v>
      </c>
      <c r="N555" s="6">
        <v>8755</v>
      </c>
      <c r="O555" s="6">
        <v>28511</v>
      </c>
      <c r="P555" s="6">
        <v>1786</v>
      </c>
      <c r="Q555" s="6">
        <v>19511</v>
      </c>
      <c r="R555" s="16">
        <f t="shared" si="115"/>
        <v>14069</v>
      </c>
      <c r="T555" s="140">
        <f t="shared" si="114"/>
        <v>40731</v>
      </c>
      <c r="U555" s="154">
        <f>'copy data3'!B609</f>
        <v>1993</v>
      </c>
      <c r="V555" s="38">
        <f t="shared" si="152"/>
        <v>2058.75</v>
      </c>
      <c r="W555" s="71">
        <f t="shared" si="153"/>
        <v>103.97727272727273</v>
      </c>
      <c r="X555" s="154">
        <f>'copy data3'!D609</f>
        <v>997</v>
      </c>
      <c r="Y555" s="38">
        <f t="shared" si="154"/>
        <v>928.25</v>
      </c>
      <c r="Z555" s="71">
        <f t="shared" si="155"/>
        <v>177.48565965583174</v>
      </c>
      <c r="AA555" s="152">
        <f>'copy data3'!F609</f>
        <v>1806</v>
      </c>
      <c r="AB555" s="38">
        <f t="shared" si="156"/>
        <v>1920.25</v>
      </c>
      <c r="AC555" s="71">
        <f t="shared" si="157"/>
        <v>183.93199233716476</v>
      </c>
      <c r="AD555" s="152">
        <f>'copy data3'!H609</f>
        <v>1133</v>
      </c>
      <c r="AE555" s="38">
        <f t="shared" si="158"/>
        <v>1182.5</v>
      </c>
      <c r="AF555" s="71">
        <f t="shared" si="159"/>
        <v>120.91002044989776</v>
      </c>
      <c r="AG555" s="152">
        <f>'copy data3'!J609</f>
        <v>74</v>
      </c>
      <c r="AH555" s="38">
        <f t="shared" si="160"/>
        <v>92.25</v>
      </c>
      <c r="AI555" s="71">
        <f t="shared" si="161"/>
        <v>32.255244755244753</v>
      </c>
      <c r="AJ555" s="152">
        <f>'copy data3'!L609</f>
        <v>6003</v>
      </c>
      <c r="AK555" s="38">
        <f t="shared" si="162"/>
        <v>6181.75</v>
      </c>
      <c r="AL555" s="71">
        <f t="shared" si="163"/>
        <v>128.46529509559434</v>
      </c>
      <c r="AM555" s="152">
        <f>'copy data3'!N609</f>
        <v>7888</v>
      </c>
      <c r="AN555" s="38">
        <f t="shared" si="164"/>
        <v>8372.75</v>
      </c>
      <c r="AO555" s="71">
        <f t="shared" si="165"/>
        <v>88.180621379673511</v>
      </c>
      <c r="AP555" s="152">
        <f>'copy data3'!P609</f>
        <v>3435</v>
      </c>
      <c r="AQ555" s="38">
        <f t="shared" si="166"/>
        <v>3657.5</v>
      </c>
      <c r="AR555" s="71">
        <f t="shared" si="167"/>
        <v>125.60096153846155</v>
      </c>
      <c r="AS555" s="153">
        <f>'copy data3'!R609</f>
        <v>17326</v>
      </c>
      <c r="AT555" s="38">
        <f t="shared" si="168"/>
        <v>18212</v>
      </c>
      <c r="AU555" s="71">
        <f t="shared" si="169"/>
        <v>105.76688541727162</v>
      </c>
    </row>
    <row r="556" spans="1:47" ht="15.6" x14ac:dyDescent="0.3">
      <c r="A556" s="10">
        <v>38449</v>
      </c>
      <c r="B556" s="6">
        <v>1394</v>
      </c>
      <c r="C556" s="6">
        <v>8268</v>
      </c>
      <c r="D556" s="6">
        <v>216</v>
      </c>
      <c r="E556" s="6">
        <v>3041</v>
      </c>
      <c r="F556" s="6">
        <v>1194</v>
      </c>
      <c r="G556" s="6">
        <v>6809</v>
      </c>
      <c r="H556" s="6">
        <v>573</v>
      </c>
      <c r="I556" s="6">
        <v>4270</v>
      </c>
      <c r="J556" s="6">
        <v>63</v>
      </c>
      <c r="K556" s="6">
        <v>604</v>
      </c>
      <c r="L556" s="6">
        <v>3440</v>
      </c>
      <c r="M556" s="6">
        <v>22991</v>
      </c>
      <c r="N556" s="6">
        <v>7576</v>
      </c>
      <c r="O556" s="6">
        <v>27326</v>
      </c>
      <c r="P556" s="6">
        <v>2460</v>
      </c>
      <c r="Q556" s="6">
        <v>25032</v>
      </c>
      <c r="R556" s="16">
        <f t="shared" si="115"/>
        <v>13476</v>
      </c>
      <c r="T556" s="140">
        <f t="shared" si="114"/>
        <v>40738</v>
      </c>
      <c r="U556" s="154">
        <f>'copy data3'!B610</f>
        <v>1803</v>
      </c>
      <c r="V556" s="38">
        <f t="shared" ref="V556:V561" si="170">AVERAGE(U553:U556)</f>
        <v>1971</v>
      </c>
      <c r="W556" s="71">
        <f t="shared" ref="W556:W561" si="171">(V556/U504)*100</f>
        <v>108</v>
      </c>
      <c r="X556" s="154">
        <f>'copy data3'!D610</f>
        <v>1037</v>
      </c>
      <c r="Y556" s="38">
        <f t="shared" ref="Y556:Y561" si="172">AVERAGE(X553:X556)</f>
        <v>982.25</v>
      </c>
      <c r="Z556" s="71">
        <f t="shared" ref="Z556:Z561" si="173">(Y556/X504)*100</f>
        <v>189.2581888246628</v>
      </c>
      <c r="AA556" s="152">
        <f>'copy data3'!F610</f>
        <v>1798</v>
      </c>
      <c r="AB556" s="38">
        <f t="shared" ref="AB556:AB561" si="174">AVERAGE(AA553:AA556)</f>
        <v>1868.25</v>
      </c>
      <c r="AC556" s="71">
        <f t="shared" ref="AC556:AC561" si="175">(AB556/AA504)*100</f>
        <v>180.50724637681159</v>
      </c>
      <c r="AD556" s="152">
        <f>'copy data3'!H610</f>
        <v>1140</v>
      </c>
      <c r="AE556" s="38">
        <f t="shared" ref="AE556:AE561" si="176">AVERAGE(AD553:AD556)</f>
        <v>1166.75</v>
      </c>
      <c r="AF556" s="71">
        <f t="shared" ref="AF556:AF561" si="177">(AE556/AD504)*100</f>
        <v>119.54405737704919</v>
      </c>
      <c r="AG556" s="152">
        <f>'copy data3'!J610</f>
        <v>86</v>
      </c>
      <c r="AH556" s="38">
        <f t="shared" ref="AH556:AH561" si="178">AVERAGE(AG553:AG556)</f>
        <v>84.25</v>
      </c>
      <c r="AI556" s="71">
        <f t="shared" ref="AI556:AI561" si="179">(AH556/AG504)*100</f>
        <v>28.656462585034014</v>
      </c>
      <c r="AJ556" s="152">
        <f>'copy data3'!L610</f>
        <v>5863</v>
      </c>
      <c r="AK556" s="38">
        <f t="shared" ref="AK556:AK561" si="180">AVERAGE(AJ553:AJ556)</f>
        <v>6072.25</v>
      </c>
      <c r="AL556" s="71">
        <f t="shared" ref="AL556:AL561" si="181">(AK556/AJ504)*100</f>
        <v>130.61411056141105</v>
      </c>
      <c r="AM556" s="152">
        <f>'copy data3'!N610</f>
        <v>7391</v>
      </c>
      <c r="AN556" s="38">
        <f t="shared" ref="AN556:AN561" si="182">AVERAGE(AM553:AM556)</f>
        <v>8058</v>
      </c>
      <c r="AO556" s="71">
        <f t="shared" ref="AO556:AO561" si="183">(AN556/AM504)*100</f>
        <v>87.959829712913447</v>
      </c>
      <c r="AP556" s="152">
        <f>'copy data3'!P610</f>
        <v>3556</v>
      </c>
      <c r="AQ556" s="38">
        <f t="shared" ref="AQ556:AQ561" si="184">AVERAGE(AP553:AP556)</f>
        <v>3544.75</v>
      </c>
      <c r="AR556" s="71">
        <f t="shared" ref="AR556:AR561" si="185">(AQ556/AP504)*100</f>
        <v>128.94688977810114</v>
      </c>
      <c r="AS556" s="153">
        <f>'copy data3'!R610</f>
        <v>16810</v>
      </c>
      <c r="AT556" s="38">
        <f t="shared" si="168"/>
        <v>17675</v>
      </c>
      <c r="AU556" s="71">
        <f t="shared" si="169"/>
        <v>106.73953741167945</v>
      </c>
    </row>
    <row r="557" spans="1:47" ht="15.6" x14ac:dyDescent="0.3">
      <c r="A557" s="10">
        <v>38813</v>
      </c>
      <c r="B557" s="6">
        <v>1316</v>
      </c>
      <c r="C557" s="6">
        <v>9412</v>
      </c>
      <c r="D557" s="6">
        <v>291</v>
      </c>
      <c r="E557" s="6">
        <v>1749</v>
      </c>
      <c r="F557" s="6">
        <v>979</v>
      </c>
      <c r="G557" s="6">
        <v>6439</v>
      </c>
      <c r="H557" s="6">
        <v>633</v>
      </c>
      <c r="I557" s="6">
        <v>3643</v>
      </c>
      <c r="J557" s="6">
        <v>221</v>
      </c>
      <c r="K557" s="6">
        <v>670</v>
      </c>
      <c r="L557" s="6">
        <v>3438</v>
      </c>
      <c r="M557" s="6">
        <v>21914</v>
      </c>
      <c r="N557" s="6">
        <v>8687</v>
      </c>
      <c r="O557" s="6">
        <v>29393</v>
      </c>
      <c r="P557" s="6">
        <v>1942</v>
      </c>
      <c r="Q557" s="6">
        <v>19698</v>
      </c>
      <c r="R557" s="16">
        <f t="shared" si="115"/>
        <v>14067</v>
      </c>
      <c r="T557" s="140">
        <f t="shared" si="114"/>
        <v>40745</v>
      </c>
      <c r="U557" s="154">
        <f>'copy data3'!B611</f>
        <v>1787</v>
      </c>
      <c r="V557" s="38">
        <f t="shared" si="170"/>
        <v>1872.75</v>
      </c>
      <c r="W557" s="71">
        <f t="shared" si="171"/>
        <v>93.032786885245898</v>
      </c>
      <c r="X557" s="154">
        <f>'copy data3'!D611</f>
        <v>897</v>
      </c>
      <c r="Y557" s="38">
        <f t="shared" si="172"/>
        <v>983.75</v>
      </c>
      <c r="Z557" s="71">
        <f t="shared" si="173"/>
        <v>182.17592592592592</v>
      </c>
      <c r="AA557" s="152">
        <f>'copy data3'!F611</f>
        <v>1781</v>
      </c>
      <c r="AB557" s="38">
        <f t="shared" si="174"/>
        <v>1824</v>
      </c>
      <c r="AC557" s="71">
        <f t="shared" si="175"/>
        <v>153.66470092670599</v>
      </c>
      <c r="AD557" s="152">
        <f>'copy data3'!H611</f>
        <v>1157</v>
      </c>
      <c r="AE557" s="38">
        <f t="shared" si="176"/>
        <v>1148.25</v>
      </c>
      <c r="AF557" s="71">
        <f t="shared" si="177"/>
        <v>112.46327130264446</v>
      </c>
      <c r="AG557" s="152">
        <f>'copy data3'!J611</f>
        <v>151</v>
      </c>
      <c r="AH557" s="38">
        <f t="shared" si="178"/>
        <v>96.25</v>
      </c>
      <c r="AI557" s="71">
        <f t="shared" si="179"/>
        <v>27.036516853932586</v>
      </c>
      <c r="AJ557" s="152">
        <f>'copy data3'!L611</f>
        <v>5773</v>
      </c>
      <c r="AK557" s="38">
        <f t="shared" si="180"/>
        <v>5924.75</v>
      </c>
      <c r="AL557" s="71">
        <f t="shared" si="181"/>
        <v>115.76299335678</v>
      </c>
      <c r="AM557" s="152">
        <f>'copy data3'!N611</f>
        <v>6717</v>
      </c>
      <c r="AN557" s="38">
        <f t="shared" si="182"/>
        <v>7565.75</v>
      </c>
      <c r="AO557" s="71">
        <f t="shared" si="183"/>
        <v>90.132832975935202</v>
      </c>
      <c r="AP557" s="152">
        <f>'copy data3'!P611</f>
        <v>3371</v>
      </c>
      <c r="AQ557" s="38">
        <f t="shared" si="184"/>
        <v>3508.25</v>
      </c>
      <c r="AR557" s="71">
        <f t="shared" si="185"/>
        <v>120.55841924398625</v>
      </c>
      <c r="AS557" s="153">
        <f>'copy data3'!R611</f>
        <v>15861</v>
      </c>
      <c r="AT557" s="38">
        <f t="shared" si="168"/>
        <v>16998.75</v>
      </c>
      <c r="AU557" s="71">
        <f t="shared" si="169"/>
        <v>103.51205699671173</v>
      </c>
    </row>
    <row r="558" spans="1:47" ht="15.6" x14ac:dyDescent="0.3">
      <c r="A558" s="10">
        <v>38456</v>
      </c>
      <c r="B558" s="6">
        <v>1358</v>
      </c>
      <c r="C558" s="6">
        <v>8364</v>
      </c>
      <c r="D558" s="6">
        <v>189</v>
      </c>
      <c r="E558" s="6">
        <v>3076</v>
      </c>
      <c r="F558" s="6">
        <v>1273</v>
      </c>
      <c r="G558" s="6">
        <v>6928</v>
      </c>
      <c r="H558" s="6">
        <v>489</v>
      </c>
      <c r="I558" s="6">
        <v>4386</v>
      </c>
      <c r="J558" s="6">
        <v>130</v>
      </c>
      <c r="K558" s="6">
        <v>604</v>
      </c>
      <c r="L558" s="6">
        <v>3438</v>
      </c>
      <c r="M558" s="6">
        <v>23357</v>
      </c>
      <c r="N558" s="6">
        <v>7394</v>
      </c>
      <c r="O558" s="6">
        <v>28177</v>
      </c>
      <c r="P558" s="6">
        <v>2166</v>
      </c>
      <c r="Q558" s="6">
        <v>25484</v>
      </c>
      <c r="R558" s="16">
        <f t="shared" si="115"/>
        <v>12998</v>
      </c>
      <c r="T558" s="140">
        <f t="shared" si="114"/>
        <v>40752</v>
      </c>
      <c r="U558" s="154">
        <f>'copy data3'!B612</f>
        <v>1819</v>
      </c>
      <c r="V558" s="38">
        <f t="shared" si="170"/>
        <v>1850.5</v>
      </c>
      <c r="W558" s="71">
        <f t="shared" si="171"/>
        <v>87.452741020793951</v>
      </c>
      <c r="X558" s="154">
        <f>'copy data3'!D612</f>
        <v>979</v>
      </c>
      <c r="Y558" s="38">
        <f t="shared" si="172"/>
        <v>977.5</v>
      </c>
      <c r="Z558" s="71">
        <f t="shared" si="173"/>
        <v>162.64559068219634</v>
      </c>
      <c r="AA558" s="152">
        <f>'copy data3'!F612</f>
        <v>1709</v>
      </c>
      <c r="AB558" s="38">
        <f t="shared" si="174"/>
        <v>1773.5</v>
      </c>
      <c r="AC558" s="71">
        <f t="shared" si="175"/>
        <v>144.30431244914564</v>
      </c>
      <c r="AD558" s="152">
        <f>'copy data3'!H612</f>
        <v>1140</v>
      </c>
      <c r="AE558" s="38">
        <f t="shared" si="176"/>
        <v>1142.5</v>
      </c>
      <c r="AF558" s="71">
        <f t="shared" si="177"/>
        <v>99.86888111888112</v>
      </c>
      <c r="AG558" s="152">
        <f>'copy data3'!J612</f>
        <v>153</v>
      </c>
      <c r="AH558" s="38">
        <f t="shared" si="178"/>
        <v>116</v>
      </c>
      <c r="AI558" s="71">
        <f t="shared" si="179"/>
        <v>37.540453074433657</v>
      </c>
      <c r="AJ558" s="152">
        <f>'copy data3'!L612</f>
        <v>5800</v>
      </c>
      <c r="AK558" s="38">
        <f t="shared" si="180"/>
        <v>5859.75</v>
      </c>
      <c r="AL558" s="71">
        <f t="shared" si="181"/>
        <v>108.51388888888889</v>
      </c>
      <c r="AM558" s="152">
        <f>'copy data3'!N612</f>
        <v>6236</v>
      </c>
      <c r="AN558" s="38">
        <f t="shared" si="182"/>
        <v>7058</v>
      </c>
      <c r="AO558" s="71">
        <f t="shared" si="183"/>
        <v>87.862566911490106</v>
      </c>
      <c r="AP558" s="152">
        <f>'copy data3'!P612</f>
        <v>2761</v>
      </c>
      <c r="AQ558" s="38">
        <f t="shared" si="184"/>
        <v>3280.75</v>
      </c>
      <c r="AR558" s="71">
        <f t="shared" si="185"/>
        <v>123.52221385542168</v>
      </c>
      <c r="AS558" s="153">
        <f>'copy data3'!R612</f>
        <v>14797</v>
      </c>
      <c r="AT558" s="38">
        <f t="shared" si="168"/>
        <v>16198.5</v>
      </c>
      <c r="AU558" s="71">
        <f t="shared" si="169"/>
        <v>100.68058922245011</v>
      </c>
    </row>
    <row r="559" spans="1:47" ht="15.6" x14ac:dyDescent="0.3">
      <c r="A559" s="10">
        <v>38820</v>
      </c>
      <c r="B559" s="6">
        <v>1300</v>
      </c>
      <c r="C559" s="6">
        <v>9498</v>
      </c>
      <c r="D559" s="6">
        <v>269</v>
      </c>
      <c r="E559" s="6">
        <v>1789</v>
      </c>
      <c r="F559" s="6">
        <v>1029</v>
      </c>
      <c r="G559" s="6">
        <v>6513</v>
      </c>
      <c r="H559" s="6">
        <v>611</v>
      </c>
      <c r="I559" s="6">
        <v>3673</v>
      </c>
      <c r="J559" s="6">
        <v>220</v>
      </c>
      <c r="K559" s="6">
        <v>670</v>
      </c>
      <c r="L559" s="6">
        <v>3430</v>
      </c>
      <c r="M559" s="6">
        <v>22133</v>
      </c>
      <c r="N559" s="6">
        <v>8888</v>
      </c>
      <c r="O559" s="6">
        <v>30295</v>
      </c>
      <c r="P559" s="6">
        <v>1848</v>
      </c>
      <c r="Q559" s="6">
        <v>19987</v>
      </c>
      <c r="R559" s="16">
        <f t="shared" si="115"/>
        <v>14166</v>
      </c>
      <c r="T559" s="140">
        <f t="shared" si="114"/>
        <v>40759</v>
      </c>
      <c r="U559" s="154">
        <f>'copy data3'!B613</f>
        <v>1672</v>
      </c>
      <c r="V559" s="38">
        <f t="shared" si="170"/>
        <v>1770.25</v>
      </c>
      <c r="W559" s="71">
        <f t="shared" si="171"/>
        <v>64.302579004722134</v>
      </c>
      <c r="X559" s="154">
        <f>'copy data3'!D613</f>
        <v>905</v>
      </c>
      <c r="Y559" s="38">
        <f t="shared" si="172"/>
        <v>954.5</v>
      </c>
      <c r="Z559" s="71">
        <f t="shared" si="173"/>
        <v>163.4417808219178</v>
      </c>
      <c r="AA559" s="152">
        <f>'copy data3'!F613</f>
        <v>1729</v>
      </c>
      <c r="AB559" s="38">
        <f t="shared" si="174"/>
        <v>1754.25</v>
      </c>
      <c r="AC559" s="71">
        <f t="shared" si="175"/>
        <v>126.11430625449319</v>
      </c>
      <c r="AD559" s="152">
        <f>'copy data3'!H613</f>
        <v>1062</v>
      </c>
      <c r="AE559" s="38">
        <f t="shared" si="176"/>
        <v>1124.75</v>
      </c>
      <c r="AF559" s="71">
        <f t="shared" si="177"/>
        <v>89.195083267248222</v>
      </c>
      <c r="AG559" s="152">
        <f>'copy data3'!J613</f>
        <v>176</v>
      </c>
      <c r="AH559" s="38">
        <f t="shared" si="178"/>
        <v>141.5</v>
      </c>
      <c r="AI559" s="71">
        <f t="shared" si="179"/>
        <v>46.091205211726383</v>
      </c>
      <c r="AJ559" s="152">
        <f>'copy data3'!L613</f>
        <v>5544</v>
      </c>
      <c r="AK559" s="38">
        <f t="shared" si="180"/>
        <v>5745</v>
      </c>
      <c r="AL559" s="71">
        <f t="shared" si="181"/>
        <v>91.262907069102468</v>
      </c>
      <c r="AM559" s="152">
        <f>'copy data3'!N613</f>
        <v>5728</v>
      </c>
      <c r="AN559" s="38">
        <f t="shared" si="182"/>
        <v>6518</v>
      </c>
      <c r="AO559" s="71">
        <f t="shared" si="183"/>
        <v>87.325830653804928</v>
      </c>
      <c r="AP559" s="152">
        <f>'copy data3'!P613</f>
        <v>2855</v>
      </c>
      <c r="AQ559" s="38">
        <f t="shared" si="184"/>
        <v>3135.75</v>
      </c>
      <c r="AR559" s="71">
        <f t="shared" si="185"/>
        <v>115.83856667898043</v>
      </c>
      <c r="AS559" s="153">
        <f>'copy data3'!R613</f>
        <v>14127</v>
      </c>
      <c r="AT559" s="38">
        <f t="shared" si="168"/>
        <v>15398.75</v>
      </c>
      <c r="AU559" s="71">
        <f t="shared" si="169"/>
        <v>93.51846228592251</v>
      </c>
    </row>
    <row r="560" spans="1:47" ht="15.6" x14ac:dyDescent="0.3">
      <c r="A560" s="10">
        <v>38463</v>
      </c>
      <c r="B560" s="6">
        <v>1282</v>
      </c>
      <c r="C560" s="6">
        <v>8533</v>
      </c>
      <c r="D560" s="6">
        <v>172</v>
      </c>
      <c r="E560" s="6">
        <v>3101</v>
      </c>
      <c r="F560" s="6">
        <v>1333</v>
      </c>
      <c r="G560" s="6">
        <v>7102</v>
      </c>
      <c r="H560" s="6">
        <v>506</v>
      </c>
      <c r="I560" s="6">
        <v>4422</v>
      </c>
      <c r="J560" s="6">
        <v>135</v>
      </c>
      <c r="K560" s="6">
        <v>621</v>
      </c>
      <c r="L560" s="6">
        <v>3427</v>
      </c>
      <c r="M560" s="6">
        <v>23779</v>
      </c>
      <c r="N560" s="6">
        <v>6885</v>
      </c>
      <c r="O560" s="6">
        <v>29178</v>
      </c>
      <c r="P560" s="6">
        <v>1953</v>
      </c>
      <c r="Q560" s="6">
        <v>25945</v>
      </c>
      <c r="R560" s="16">
        <f t="shared" si="115"/>
        <v>12265</v>
      </c>
      <c r="T560" s="140">
        <f t="shared" si="114"/>
        <v>40766</v>
      </c>
      <c r="U560" s="154">
        <f>'copy data3'!B614</f>
        <v>1742</v>
      </c>
      <c r="V560" s="38">
        <f t="shared" si="170"/>
        <v>1755</v>
      </c>
      <c r="W560" s="71">
        <f t="shared" si="171"/>
        <v>54.998433093074276</v>
      </c>
      <c r="X560" s="154">
        <f>'copy data3'!D614</f>
        <v>891</v>
      </c>
      <c r="Y560" s="38">
        <f t="shared" si="172"/>
        <v>918</v>
      </c>
      <c r="Z560" s="71">
        <f t="shared" si="173"/>
        <v>164.22182468694098</v>
      </c>
      <c r="AA560" s="152">
        <f>'copy data3'!F614</f>
        <v>1607</v>
      </c>
      <c r="AB560" s="38">
        <f t="shared" si="174"/>
        <v>1706.5</v>
      </c>
      <c r="AC560" s="71">
        <f t="shared" si="175"/>
        <v>95.816956765861875</v>
      </c>
      <c r="AD560" s="152">
        <f>'copy data3'!H614</f>
        <v>1021</v>
      </c>
      <c r="AE560" s="38">
        <f t="shared" si="176"/>
        <v>1095</v>
      </c>
      <c r="AF560" s="71">
        <f t="shared" si="177"/>
        <v>89.024390243902445</v>
      </c>
      <c r="AG560" s="152">
        <f>'copy data3'!J614</f>
        <v>186</v>
      </c>
      <c r="AH560" s="38">
        <f t="shared" si="178"/>
        <v>166.5</v>
      </c>
      <c r="AI560" s="71">
        <f t="shared" si="179"/>
        <v>45</v>
      </c>
      <c r="AJ560" s="152">
        <f>'copy data3'!L614</f>
        <v>5447</v>
      </c>
      <c r="AK560" s="38">
        <f t="shared" si="180"/>
        <v>5641</v>
      </c>
      <c r="AL560" s="71">
        <f t="shared" si="181"/>
        <v>79.105314822605521</v>
      </c>
      <c r="AM560" s="152">
        <f>'copy data3'!N614</f>
        <v>5069</v>
      </c>
      <c r="AN560" s="38">
        <f t="shared" si="182"/>
        <v>5937.5</v>
      </c>
      <c r="AO560" s="71">
        <f t="shared" si="183"/>
        <v>84.184035162342269</v>
      </c>
      <c r="AP560" s="152">
        <f>'copy data3'!P614</f>
        <v>2888</v>
      </c>
      <c r="AQ560" s="38">
        <f t="shared" si="184"/>
        <v>2968.75</v>
      </c>
      <c r="AR560" s="71">
        <f t="shared" si="185"/>
        <v>124.16352990380595</v>
      </c>
      <c r="AS560" s="153">
        <f>'copy data3'!R614</f>
        <v>13404</v>
      </c>
      <c r="AT560" s="38">
        <f t="shared" ref="AT560:AT567" si="186">AVERAGE(AS557:AS560)</f>
        <v>14547.25</v>
      </c>
      <c r="AU560" s="71">
        <f t="shared" ref="AU560:AU567" si="187">(AT560/AS508)*100</f>
        <v>87.766214177978881</v>
      </c>
    </row>
    <row r="561" spans="1:47" ht="15.6" x14ac:dyDescent="0.3">
      <c r="A561" s="10">
        <v>38827</v>
      </c>
      <c r="B561" s="6">
        <v>1177</v>
      </c>
      <c r="C561" s="6">
        <v>9662</v>
      </c>
      <c r="D561" s="6">
        <v>262</v>
      </c>
      <c r="E561" s="6">
        <v>1798</v>
      </c>
      <c r="F561" s="6">
        <v>949</v>
      </c>
      <c r="G561" s="6">
        <v>6637</v>
      </c>
      <c r="H561" s="6">
        <v>537</v>
      </c>
      <c r="I561" s="6">
        <v>3775</v>
      </c>
      <c r="J561" s="6">
        <v>152</v>
      </c>
      <c r="K561" s="6">
        <v>777</v>
      </c>
      <c r="L561" s="6">
        <v>3076</v>
      </c>
      <c r="M561" s="6">
        <v>22649</v>
      </c>
      <c r="N561" s="6">
        <v>8475</v>
      </c>
      <c r="O561" s="6">
        <v>31477</v>
      </c>
      <c r="P561" s="6">
        <v>1687</v>
      </c>
      <c r="Q561" s="6">
        <v>20260</v>
      </c>
      <c r="R561" s="16">
        <f t="shared" si="115"/>
        <v>13238</v>
      </c>
      <c r="T561" s="140">
        <f t="shared" si="114"/>
        <v>40773</v>
      </c>
      <c r="U561" s="154">
        <f>'copy data3'!B615</f>
        <v>1777</v>
      </c>
      <c r="V561" s="38">
        <f t="shared" si="170"/>
        <v>1752.5</v>
      </c>
      <c r="W561" s="71">
        <f t="shared" si="171"/>
        <v>49.158485273492289</v>
      </c>
      <c r="X561" s="154">
        <f>'copy data3'!D615</f>
        <v>708</v>
      </c>
      <c r="Y561" s="38">
        <f t="shared" si="172"/>
        <v>870.75</v>
      </c>
      <c r="Z561" s="71">
        <f t="shared" si="173"/>
        <v>143.21546052631581</v>
      </c>
      <c r="AA561" s="152">
        <f>'copy data3'!F615</f>
        <v>1602</v>
      </c>
      <c r="AB561" s="38">
        <f t="shared" si="174"/>
        <v>1661.75</v>
      </c>
      <c r="AC561" s="71">
        <f t="shared" si="175"/>
        <v>85.130635245901644</v>
      </c>
      <c r="AD561" s="152">
        <f>'copy data3'!H615</f>
        <v>1044</v>
      </c>
      <c r="AE561" s="38">
        <f t="shared" si="176"/>
        <v>1066.75</v>
      </c>
      <c r="AF561" s="71">
        <f t="shared" si="177"/>
        <v>85.613964686998386</v>
      </c>
      <c r="AG561" s="152">
        <f>'copy data3'!J615</f>
        <v>193</v>
      </c>
      <c r="AH561" s="38">
        <f t="shared" si="178"/>
        <v>177</v>
      </c>
      <c r="AI561" s="71">
        <f t="shared" si="179"/>
        <v>53.474320241691842</v>
      </c>
      <c r="AJ561" s="152">
        <f>'copy data3'!L615</f>
        <v>5325</v>
      </c>
      <c r="AK561" s="38">
        <f t="shared" si="180"/>
        <v>5529</v>
      </c>
      <c r="AL561" s="71">
        <f t="shared" si="181"/>
        <v>71.78654894832512</v>
      </c>
      <c r="AM561" s="152">
        <f>'copy data3'!N615</f>
        <v>4627</v>
      </c>
      <c r="AN561" s="38">
        <f t="shared" si="182"/>
        <v>5415</v>
      </c>
      <c r="AO561" s="71">
        <f t="shared" si="183"/>
        <v>91.42326523721087</v>
      </c>
      <c r="AP561" s="152">
        <f>'copy data3'!P615</f>
        <v>2713</v>
      </c>
      <c r="AQ561" s="38">
        <f t="shared" si="184"/>
        <v>2804.25</v>
      </c>
      <c r="AR561" s="71">
        <f t="shared" si="185"/>
        <v>125.35762181493071</v>
      </c>
      <c r="AS561" s="153">
        <f>'copy data3'!R615</f>
        <v>12665</v>
      </c>
      <c r="AT561" s="38">
        <f t="shared" si="186"/>
        <v>13748.25</v>
      </c>
      <c r="AU561" s="71">
        <f t="shared" si="187"/>
        <v>86.674126844029757</v>
      </c>
    </row>
    <row r="562" spans="1:47" ht="15.6" x14ac:dyDescent="0.3">
      <c r="A562" s="10">
        <v>38470</v>
      </c>
      <c r="B562" s="6">
        <v>1115</v>
      </c>
      <c r="C562" s="6">
        <v>8774</v>
      </c>
      <c r="D562" s="6">
        <v>133</v>
      </c>
      <c r="E562" s="6">
        <v>3161</v>
      </c>
      <c r="F562" s="6">
        <v>1217</v>
      </c>
      <c r="G562" s="6">
        <v>7257</v>
      </c>
      <c r="H562" s="6">
        <v>517</v>
      </c>
      <c r="I562" s="6">
        <v>4518</v>
      </c>
      <c r="J562" s="6">
        <v>123</v>
      </c>
      <c r="K562" s="6">
        <v>635</v>
      </c>
      <c r="L562" s="6">
        <v>3106</v>
      </c>
      <c r="M562" s="6">
        <v>24346</v>
      </c>
      <c r="N562" s="6">
        <v>6566</v>
      </c>
      <c r="O562" s="6">
        <v>30121</v>
      </c>
      <c r="P562" s="6">
        <v>1738</v>
      </c>
      <c r="Q562" s="6">
        <v>26487</v>
      </c>
      <c r="R562" s="16">
        <f t="shared" si="115"/>
        <v>11410</v>
      </c>
      <c r="T562" s="140">
        <f t="shared" si="114"/>
        <v>40780</v>
      </c>
      <c r="U562" s="154">
        <f>'copy data3'!B616</f>
        <v>1746</v>
      </c>
      <c r="V562" s="38">
        <f t="shared" ref="V562:V567" si="188">AVERAGE(U559:U562)</f>
        <v>1734.25</v>
      </c>
      <c r="W562" s="71">
        <f t="shared" ref="W562:W567" si="189">(V562/U510)*100</f>
        <v>48.375174337517436</v>
      </c>
      <c r="X562" s="154">
        <f>'copy data3'!D616</f>
        <v>652</v>
      </c>
      <c r="Y562" s="38">
        <f t="shared" ref="Y562:Y567" si="190">AVERAGE(X559:X562)</f>
        <v>789</v>
      </c>
      <c r="Z562" s="71">
        <f t="shared" ref="Z562:Z567" si="191">(Y562/X510)*100</f>
        <v>125.43720190779015</v>
      </c>
      <c r="AA562" s="152">
        <f>'copy data3'!F616</f>
        <v>1537</v>
      </c>
      <c r="AB562" s="38">
        <f t="shared" ref="AB562:AB567" si="192">AVERAGE(AA559:AA562)</f>
        <v>1618.75</v>
      </c>
      <c r="AC562" s="71">
        <f t="shared" ref="AC562:AC567" si="193">(AB562/AA510)*100</f>
        <v>72.524641577060933</v>
      </c>
      <c r="AD562" s="152">
        <f>'copy data3'!H616</f>
        <v>1008</v>
      </c>
      <c r="AE562" s="38">
        <f t="shared" ref="AE562:AE567" si="194">AVERAGE(AD559:AD562)</f>
        <v>1033.75</v>
      </c>
      <c r="AF562" s="71">
        <f t="shared" ref="AF562:AF567" si="195">(AE562/AD510)*100</f>
        <v>77.784048156508661</v>
      </c>
      <c r="AG562" s="152">
        <f>'copy data3'!J616</f>
        <v>141</v>
      </c>
      <c r="AH562" s="38">
        <f t="shared" ref="AH562:AH567" si="196">AVERAGE(AG559:AG562)</f>
        <v>174</v>
      </c>
      <c r="AI562" s="71">
        <f t="shared" ref="AI562:AI567" si="197">(AH562/AG510)*100</f>
        <v>48.739495798319325</v>
      </c>
      <c r="AJ562" s="152">
        <f>'copy data3'!L616</f>
        <v>5084</v>
      </c>
      <c r="AK562" s="38">
        <f t="shared" ref="AK562:AK567" si="198">AVERAGE(AJ559:AJ562)</f>
        <v>5350</v>
      </c>
      <c r="AL562" s="71">
        <f t="shared" ref="AL562:AL567" si="199">(AK562/AJ510)*100</f>
        <v>65.781384482970623</v>
      </c>
      <c r="AM562" s="152">
        <f>'copy data3'!N616</f>
        <v>3540</v>
      </c>
      <c r="AN562" s="38">
        <f t="shared" ref="AN562:AN567" si="200">AVERAGE(AM559:AM562)</f>
        <v>4741</v>
      </c>
      <c r="AO562" s="71">
        <f t="shared" ref="AO562:AO567" si="201">(AN562/AM510)*100</f>
        <v>99.747527877130238</v>
      </c>
      <c r="AP562" s="152">
        <f>'copy data3'!P616</f>
        <v>2478</v>
      </c>
      <c r="AQ562" s="38">
        <f t="shared" ref="AQ562:AQ567" si="202">AVERAGE(AP559:AP562)</f>
        <v>2733.5</v>
      </c>
      <c r="AR562" s="71">
        <f t="shared" ref="AR562:AR567" si="203">(AQ562/AP510)*100</f>
        <v>136.40219560878245</v>
      </c>
      <c r="AS562" s="153">
        <f>'copy data3'!R616</f>
        <v>11102</v>
      </c>
      <c r="AT562" s="38">
        <f t="shared" si="186"/>
        <v>12824.5</v>
      </c>
      <c r="AU562" s="71">
        <f t="shared" si="187"/>
        <v>86.12827400940229</v>
      </c>
    </row>
    <row r="563" spans="1:47" ht="15.6" x14ac:dyDescent="0.3">
      <c r="A563" s="10">
        <v>38834</v>
      </c>
      <c r="B563" s="6">
        <v>1066</v>
      </c>
      <c r="C563" s="6">
        <v>9807</v>
      </c>
      <c r="D563" s="6">
        <v>282</v>
      </c>
      <c r="E563" s="6">
        <v>1841</v>
      </c>
      <c r="F563" s="6">
        <v>912</v>
      </c>
      <c r="G563" s="6">
        <v>6793</v>
      </c>
      <c r="H563" s="6">
        <v>436</v>
      </c>
      <c r="I563" s="6">
        <v>4016</v>
      </c>
      <c r="J563" s="6">
        <v>163</v>
      </c>
      <c r="K563" s="6">
        <v>777</v>
      </c>
      <c r="L563" s="6">
        <v>2859</v>
      </c>
      <c r="M563" s="6">
        <v>23233</v>
      </c>
      <c r="N563" s="6">
        <v>8703</v>
      </c>
      <c r="O563" s="6">
        <v>32532</v>
      </c>
      <c r="P563" s="6">
        <v>1509</v>
      </c>
      <c r="Q563" s="6">
        <v>20620</v>
      </c>
      <c r="R563" s="16">
        <f t="shared" si="115"/>
        <v>13071</v>
      </c>
      <c r="T563" s="140">
        <f t="shared" si="114"/>
        <v>40787</v>
      </c>
      <c r="U563" s="154">
        <f>'copy data3'!B617</f>
        <v>1743</v>
      </c>
      <c r="V563" s="38">
        <f t="shared" si="188"/>
        <v>1752</v>
      </c>
      <c r="W563" s="71">
        <f t="shared" si="189"/>
        <v>44.9345986150295</v>
      </c>
      <c r="X563" s="154">
        <f>'copy data3'!D617</f>
        <v>671</v>
      </c>
      <c r="Y563" s="38">
        <f t="shared" si="190"/>
        <v>730.5</v>
      </c>
      <c r="Z563" s="71">
        <f t="shared" si="191"/>
        <v>121.95325542570951</v>
      </c>
      <c r="AA563" s="152">
        <f>'copy data3'!F617</f>
        <v>1454</v>
      </c>
      <c r="AB563" s="38">
        <f t="shared" si="192"/>
        <v>1550</v>
      </c>
      <c r="AC563" s="71">
        <f t="shared" si="193"/>
        <v>69.506726457399111</v>
      </c>
      <c r="AD563" s="152">
        <f>'copy data3'!H617</f>
        <v>1023</v>
      </c>
      <c r="AE563" s="38">
        <f t="shared" si="194"/>
        <v>1024</v>
      </c>
      <c r="AF563" s="71">
        <f t="shared" si="195"/>
        <v>76.360924683072327</v>
      </c>
      <c r="AG563" s="152">
        <f>'copy data3'!J617</f>
        <v>81</v>
      </c>
      <c r="AH563" s="38">
        <f t="shared" si="196"/>
        <v>150.25</v>
      </c>
      <c r="AI563" s="71">
        <f t="shared" si="197"/>
        <v>41.969273743016764</v>
      </c>
      <c r="AJ563" s="152">
        <f>'copy data3'!L617</f>
        <v>4972</v>
      </c>
      <c r="AK563" s="38">
        <f t="shared" si="198"/>
        <v>5207</v>
      </c>
      <c r="AL563" s="71">
        <f t="shared" si="199"/>
        <v>61.796819368620937</v>
      </c>
      <c r="AM563" s="152">
        <f>'copy data3'!N617</f>
        <v>13171</v>
      </c>
      <c r="AN563" s="38">
        <f t="shared" si="200"/>
        <v>6601.75</v>
      </c>
      <c r="AO563" s="71">
        <f t="shared" si="201"/>
        <v>43.714408687591053</v>
      </c>
      <c r="AP563" s="152">
        <f>'copy data3'!P617</f>
        <v>14284</v>
      </c>
      <c r="AQ563" s="38">
        <f t="shared" si="202"/>
        <v>5590.75</v>
      </c>
      <c r="AR563" s="71">
        <f t="shared" si="203"/>
        <v>31.577238068342279</v>
      </c>
      <c r="AS563" s="153">
        <f>'copy data3'!R617</f>
        <v>32427</v>
      </c>
      <c r="AT563" s="38">
        <f t="shared" si="186"/>
        <v>17399.5</v>
      </c>
      <c r="AU563" s="71">
        <f t="shared" si="187"/>
        <v>42.197996750175832</v>
      </c>
    </row>
    <row r="564" spans="1:47" ht="15.6" x14ac:dyDescent="0.3">
      <c r="A564" s="10">
        <v>38477</v>
      </c>
      <c r="B564" s="6">
        <v>1052</v>
      </c>
      <c r="C564" s="6">
        <v>8880</v>
      </c>
      <c r="D564" s="6">
        <v>125</v>
      </c>
      <c r="E564" s="6">
        <v>3170</v>
      </c>
      <c r="F564" s="6">
        <v>1087</v>
      </c>
      <c r="G564" s="6">
        <v>7465</v>
      </c>
      <c r="H564" s="6">
        <v>489</v>
      </c>
      <c r="I564" s="6">
        <v>4568</v>
      </c>
      <c r="J564" s="6">
        <v>121</v>
      </c>
      <c r="K564" s="6">
        <v>637</v>
      </c>
      <c r="L564" s="6">
        <v>2874</v>
      </c>
      <c r="M564" s="6">
        <v>24719</v>
      </c>
      <c r="N564" s="6">
        <v>7098</v>
      </c>
      <c r="O564" s="6">
        <v>30979</v>
      </c>
      <c r="P564" s="6">
        <v>1682</v>
      </c>
      <c r="Q564" s="6">
        <v>26709</v>
      </c>
      <c r="R564" s="16">
        <f t="shared" si="115"/>
        <v>11654</v>
      </c>
      <c r="T564" s="140">
        <f t="shared" si="114"/>
        <v>40794</v>
      </c>
      <c r="U564" s="154">
        <f>'copy data3'!B618</f>
        <v>1632</v>
      </c>
      <c r="V564" s="38">
        <f t="shared" si="188"/>
        <v>1724.5</v>
      </c>
      <c r="W564" s="71">
        <f t="shared" si="189"/>
        <v>49.187107815173988</v>
      </c>
      <c r="X564" s="154">
        <f>'copy data3'!D618</f>
        <v>663</v>
      </c>
      <c r="Y564" s="38">
        <f t="shared" si="190"/>
        <v>673.5</v>
      </c>
      <c r="Z564" s="71">
        <f t="shared" si="191"/>
        <v>112.62541806020067</v>
      </c>
      <c r="AA564" s="152">
        <f>'copy data3'!F618</f>
        <v>1527</v>
      </c>
      <c r="AB564" s="38">
        <f t="shared" si="192"/>
        <v>1530</v>
      </c>
      <c r="AC564" s="71">
        <f t="shared" si="193"/>
        <v>70.280202112999547</v>
      </c>
      <c r="AD564" s="152">
        <f>'copy data3'!H618</f>
        <v>1009</v>
      </c>
      <c r="AE564" s="38">
        <f t="shared" si="194"/>
        <v>1021</v>
      </c>
      <c r="AF564" s="71">
        <f t="shared" si="195"/>
        <v>73.718411552346581</v>
      </c>
      <c r="AG564" s="152">
        <f>'copy data3'!J618</f>
        <v>83</v>
      </c>
      <c r="AH564" s="38">
        <f t="shared" si="196"/>
        <v>124.5</v>
      </c>
      <c r="AI564" s="71">
        <f t="shared" si="197"/>
        <v>33.378016085790883</v>
      </c>
      <c r="AJ564" s="152">
        <f>'copy data3'!L618</f>
        <v>4914</v>
      </c>
      <c r="AK564" s="38">
        <f t="shared" si="198"/>
        <v>5073.75</v>
      </c>
      <c r="AL564" s="71">
        <f t="shared" si="199"/>
        <v>63.114193307625321</v>
      </c>
      <c r="AM564" s="152">
        <f>'copy data3'!N618</f>
        <v>13813</v>
      </c>
      <c r="AN564" s="38">
        <f t="shared" si="200"/>
        <v>8787.75</v>
      </c>
      <c r="AO564" s="71">
        <f t="shared" si="201"/>
        <v>60.239580477104468</v>
      </c>
      <c r="AP564" s="152">
        <f>'copy data3'!P618</f>
        <v>14332</v>
      </c>
      <c r="AQ564" s="38">
        <f t="shared" si="202"/>
        <v>8451.75</v>
      </c>
      <c r="AR564" s="71">
        <f t="shared" si="203"/>
        <v>46.435635404648096</v>
      </c>
      <c r="AS564" s="153">
        <f>'copy data3'!R618</f>
        <v>33059</v>
      </c>
      <c r="AT564" s="38">
        <f t="shared" si="186"/>
        <v>22313.25</v>
      </c>
      <c r="AU564" s="71">
        <f t="shared" si="187"/>
        <v>54.651832076026253</v>
      </c>
    </row>
    <row r="565" spans="1:47" ht="15.6" x14ac:dyDescent="0.3">
      <c r="A565" s="10">
        <v>38841</v>
      </c>
      <c r="B565" s="6">
        <v>882</v>
      </c>
      <c r="C565" s="6">
        <v>9939</v>
      </c>
      <c r="D565" s="6">
        <v>305</v>
      </c>
      <c r="E565" s="6">
        <v>1875</v>
      </c>
      <c r="F565" s="6">
        <v>794</v>
      </c>
      <c r="G565" s="6">
        <v>6870</v>
      </c>
      <c r="H565" s="6">
        <v>477</v>
      </c>
      <c r="I565" s="6">
        <v>4032</v>
      </c>
      <c r="J565" s="6">
        <v>122</v>
      </c>
      <c r="K565" s="6">
        <v>830</v>
      </c>
      <c r="L565" s="6">
        <v>2579</v>
      </c>
      <c r="M565" s="6">
        <v>23547</v>
      </c>
      <c r="N565" s="6">
        <v>8703</v>
      </c>
      <c r="O565" s="6">
        <v>33638</v>
      </c>
      <c r="P565" s="6">
        <v>1634</v>
      </c>
      <c r="Q565" s="6">
        <v>20884</v>
      </c>
      <c r="R565" s="16">
        <f t="shared" si="115"/>
        <v>12916</v>
      </c>
      <c r="T565" s="140">
        <f t="shared" si="114"/>
        <v>40801</v>
      </c>
      <c r="U565" s="154">
        <f>'copy data3'!B619</f>
        <v>1572</v>
      </c>
      <c r="V565" s="38">
        <f t="shared" si="188"/>
        <v>1673.25</v>
      </c>
      <c r="W565" s="71">
        <f t="shared" si="189"/>
        <v>45.259670002704894</v>
      </c>
      <c r="X565" s="154">
        <f>'copy data3'!D619</f>
        <v>615</v>
      </c>
      <c r="Y565" s="38">
        <f t="shared" si="190"/>
        <v>650.25</v>
      </c>
      <c r="Z565" s="71">
        <f t="shared" si="191"/>
        <v>110.0253807106599</v>
      </c>
      <c r="AA565" s="152">
        <f>'copy data3'!F619</f>
        <v>1391</v>
      </c>
      <c r="AB565" s="38">
        <f t="shared" si="192"/>
        <v>1477.25</v>
      </c>
      <c r="AC565" s="71">
        <f t="shared" si="193"/>
        <v>66.393258426966298</v>
      </c>
      <c r="AD565" s="152">
        <f>'copy data3'!H619</f>
        <v>1069</v>
      </c>
      <c r="AE565" s="38">
        <f t="shared" si="194"/>
        <v>1027.25</v>
      </c>
      <c r="AF565" s="71">
        <f t="shared" si="195"/>
        <v>78.716475095785441</v>
      </c>
      <c r="AG565" s="152">
        <f>'copy data3'!J619</f>
        <v>61</v>
      </c>
      <c r="AH565" s="38">
        <f t="shared" si="196"/>
        <v>91.5</v>
      </c>
      <c r="AI565" s="71">
        <f t="shared" si="197"/>
        <v>36.166007905138343</v>
      </c>
      <c r="AJ565" s="152">
        <f>'copy data3'!L619</f>
        <v>4707</v>
      </c>
      <c r="AK565" s="38">
        <f t="shared" si="198"/>
        <v>4919.25</v>
      </c>
      <c r="AL565" s="71">
        <f t="shared" si="199"/>
        <v>60.957249070631967</v>
      </c>
      <c r="AM565" s="152">
        <f>'copy data3'!N619</f>
        <v>13784</v>
      </c>
      <c r="AN565" s="38">
        <f t="shared" si="200"/>
        <v>11077</v>
      </c>
      <c r="AO565" s="71">
        <f t="shared" si="201"/>
        <v>78.238451758722988</v>
      </c>
      <c r="AP565" s="152">
        <f>'copy data3'!P619</f>
        <v>14501</v>
      </c>
      <c r="AQ565" s="38">
        <f t="shared" si="202"/>
        <v>11398.75</v>
      </c>
      <c r="AR565" s="71">
        <f t="shared" si="203"/>
        <v>60.186651882359158</v>
      </c>
      <c r="AS565" s="153">
        <f>'copy data3'!R619</f>
        <v>32992</v>
      </c>
      <c r="AT565" s="38">
        <f t="shared" si="186"/>
        <v>27395</v>
      </c>
      <c r="AU565" s="71">
        <f t="shared" si="187"/>
        <v>66.546019870284454</v>
      </c>
    </row>
    <row r="566" spans="1:47" ht="15.6" x14ac:dyDescent="0.3">
      <c r="A566" s="10">
        <v>38484</v>
      </c>
      <c r="B566" s="6">
        <v>788</v>
      </c>
      <c r="C566" s="6">
        <v>9047</v>
      </c>
      <c r="D566" s="6">
        <v>121</v>
      </c>
      <c r="E566" s="6">
        <v>3185</v>
      </c>
      <c r="F566" s="6">
        <v>824</v>
      </c>
      <c r="G566" s="6">
        <v>7670</v>
      </c>
      <c r="H566" s="6">
        <v>352</v>
      </c>
      <c r="I566" s="6">
        <v>4651</v>
      </c>
      <c r="J566" s="6">
        <v>104</v>
      </c>
      <c r="K566" s="6">
        <v>640</v>
      </c>
      <c r="L566" s="6">
        <v>2188</v>
      </c>
      <c r="M566" s="6">
        <v>25191</v>
      </c>
      <c r="N566" s="6">
        <v>7136</v>
      </c>
      <c r="O566" s="6">
        <v>31794</v>
      </c>
      <c r="P566" s="6">
        <v>1714</v>
      </c>
      <c r="Q566" s="6">
        <v>27054</v>
      </c>
      <c r="R566" s="16">
        <f t="shared" si="115"/>
        <v>11038</v>
      </c>
      <c r="T566" s="140">
        <f t="shared" si="114"/>
        <v>40808</v>
      </c>
      <c r="U566" s="154">
        <f>'copy data3'!B620</f>
        <v>1503</v>
      </c>
      <c r="V566" s="38">
        <f t="shared" si="188"/>
        <v>1612.5</v>
      </c>
      <c r="W566" s="71">
        <f t="shared" si="189"/>
        <v>43.184252811997858</v>
      </c>
      <c r="X566" s="154">
        <f>'copy data3'!D620</f>
        <v>674</v>
      </c>
      <c r="Y566" s="38">
        <f t="shared" si="190"/>
        <v>655.75</v>
      </c>
      <c r="Z566" s="71">
        <f t="shared" si="191"/>
        <v>107.67651888341543</v>
      </c>
      <c r="AA566" s="152">
        <f>'copy data3'!F620</f>
        <v>1367</v>
      </c>
      <c r="AB566" s="38">
        <f t="shared" si="192"/>
        <v>1434.75</v>
      </c>
      <c r="AC566" s="71">
        <f t="shared" si="193"/>
        <v>67.708824917413878</v>
      </c>
      <c r="AD566" s="152">
        <f>'copy data3'!H620</f>
        <v>988</v>
      </c>
      <c r="AE566" s="38">
        <f t="shared" si="194"/>
        <v>1022.25</v>
      </c>
      <c r="AF566" s="71">
        <f t="shared" si="195"/>
        <v>84.06661184210526</v>
      </c>
      <c r="AG566" s="152">
        <f>'copy data3'!J620</f>
        <v>84</v>
      </c>
      <c r="AH566" s="38">
        <f t="shared" si="196"/>
        <v>77.25</v>
      </c>
      <c r="AI566" s="71">
        <f t="shared" si="197"/>
        <v>32.457983193277315</v>
      </c>
      <c r="AJ566" s="152">
        <f>'copy data3'!L620</f>
        <v>4615</v>
      </c>
      <c r="AK566" s="38">
        <f t="shared" si="198"/>
        <v>4802</v>
      </c>
      <c r="AL566" s="71">
        <f t="shared" si="199"/>
        <v>60.661950480040424</v>
      </c>
      <c r="AM566" s="152">
        <f>'copy data3'!N620</f>
        <v>13748</v>
      </c>
      <c r="AN566" s="38">
        <f t="shared" si="200"/>
        <v>13629</v>
      </c>
      <c r="AO566" s="71">
        <f t="shared" si="201"/>
        <v>96.372507424692415</v>
      </c>
      <c r="AP566" s="152">
        <f>'copy data3'!P620</f>
        <v>15213</v>
      </c>
      <c r="AQ566" s="38">
        <f t="shared" si="202"/>
        <v>14582.5</v>
      </c>
      <c r="AR566" s="71">
        <f t="shared" si="203"/>
        <v>72.351773753411067</v>
      </c>
      <c r="AS566" s="153">
        <f>'copy data3'!R620</f>
        <v>33576</v>
      </c>
      <c r="AT566" s="38">
        <f t="shared" si="186"/>
        <v>33013.5</v>
      </c>
      <c r="AU566" s="71">
        <f t="shared" si="187"/>
        <v>78.206950465496419</v>
      </c>
    </row>
    <row r="567" spans="1:47" ht="15.6" x14ac:dyDescent="0.3">
      <c r="A567" s="10">
        <v>38848</v>
      </c>
      <c r="B567" s="6">
        <v>843</v>
      </c>
      <c r="C567" s="6">
        <v>10072</v>
      </c>
      <c r="D567" s="6">
        <v>283</v>
      </c>
      <c r="E567" s="6">
        <v>1925</v>
      </c>
      <c r="F567" s="6">
        <v>645</v>
      </c>
      <c r="G567" s="6">
        <v>7022</v>
      </c>
      <c r="H567" s="6">
        <v>417</v>
      </c>
      <c r="I567" s="6">
        <v>4073</v>
      </c>
      <c r="J567" s="6">
        <v>86</v>
      </c>
      <c r="K567" s="6">
        <v>859</v>
      </c>
      <c r="L567" s="6">
        <v>2274</v>
      </c>
      <c r="M567" s="6">
        <v>23951</v>
      </c>
      <c r="N567" s="6">
        <v>9157</v>
      </c>
      <c r="O567" s="6">
        <v>34723</v>
      </c>
      <c r="P567" s="6">
        <v>1764</v>
      </c>
      <c r="Q567" s="6">
        <v>21086</v>
      </c>
      <c r="R567" s="16">
        <f t="shared" si="115"/>
        <v>13195</v>
      </c>
      <c r="T567" s="140">
        <f t="shared" si="114"/>
        <v>40815</v>
      </c>
      <c r="U567" s="154">
        <f>'copy data3'!B621</f>
        <v>1417</v>
      </c>
      <c r="V567" s="38">
        <f t="shared" si="188"/>
        <v>1531</v>
      </c>
      <c r="W567" s="71">
        <f t="shared" si="189"/>
        <v>42.527777777777779</v>
      </c>
      <c r="X567" s="154">
        <f>'copy data3'!D621</f>
        <v>746</v>
      </c>
      <c r="Y567" s="38">
        <f t="shared" si="190"/>
        <v>674.5</v>
      </c>
      <c r="Z567" s="71">
        <f t="shared" si="191"/>
        <v>120.44642857142858</v>
      </c>
      <c r="AA567" s="152">
        <f>'copy data3'!F621</f>
        <v>1280</v>
      </c>
      <c r="AB567" s="38">
        <f t="shared" si="192"/>
        <v>1391.25</v>
      </c>
      <c r="AC567" s="71">
        <f t="shared" si="193"/>
        <v>61.971046770601333</v>
      </c>
      <c r="AD567" s="152">
        <f>'copy data3'!H621</f>
        <v>918</v>
      </c>
      <c r="AE567" s="38">
        <f t="shared" si="194"/>
        <v>996</v>
      </c>
      <c r="AF567" s="71">
        <f t="shared" si="195"/>
        <v>81.107491856677527</v>
      </c>
      <c r="AG567" s="152">
        <f>'copy data3'!J621</f>
        <v>84</v>
      </c>
      <c r="AH567" s="38">
        <f t="shared" si="196"/>
        <v>78</v>
      </c>
      <c r="AI567" s="71">
        <f t="shared" si="197"/>
        <v>36.619718309859159</v>
      </c>
      <c r="AJ567" s="152">
        <f>'copy data3'!L621</f>
        <v>4445</v>
      </c>
      <c r="AK567" s="38">
        <f t="shared" si="198"/>
        <v>4670.25</v>
      </c>
      <c r="AL567" s="71">
        <f t="shared" si="199"/>
        <v>59.523961254142243</v>
      </c>
      <c r="AM567" s="152">
        <f>'copy data3'!N621</f>
        <v>14282</v>
      </c>
      <c r="AN567" s="38">
        <f t="shared" si="200"/>
        <v>13906.75</v>
      </c>
      <c r="AO567" s="71">
        <f t="shared" si="201"/>
        <v>100.99310094408133</v>
      </c>
      <c r="AP567" s="152">
        <f>'copy data3'!P621</f>
        <v>15589</v>
      </c>
      <c r="AQ567" s="38">
        <f t="shared" si="202"/>
        <v>14908.75</v>
      </c>
      <c r="AR567" s="71">
        <f t="shared" si="203"/>
        <v>72.906988116778322</v>
      </c>
      <c r="AS567" s="153">
        <f>'copy data3'!R621</f>
        <v>34316</v>
      </c>
      <c r="AT567" s="38">
        <f t="shared" si="186"/>
        <v>33485.75</v>
      </c>
      <c r="AU567" s="71">
        <f t="shared" si="187"/>
        <v>79.604778319267794</v>
      </c>
    </row>
    <row r="568" spans="1:47" ht="15.6" x14ac:dyDescent="0.3">
      <c r="A568" s="10">
        <v>38491</v>
      </c>
      <c r="B568" s="6">
        <v>698</v>
      </c>
      <c r="C568" s="6">
        <v>9177</v>
      </c>
      <c r="D568" s="6">
        <v>99</v>
      </c>
      <c r="E568" s="6">
        <v>3210</v>
      </c>
      <c r="F568" s="6">
        <v>703</v>
      </c>
      <c r="G568" s="6">
        <v>7796</v>
      </c>
      <c r="H568" s="6">
        <v>261</v>
      </c>
      <c r="I568" s="6">
        <v>4707</v>
      </c>
      <c r="J568" s="6">
        <v>104</v>
      </c>
      <c r="K568" s="6">
        <v>640</v>
      </c>
      <c r="L568" s="6">
        <v>1865</v>
      </c>
      <c r="M568" s="6">
        <v>25531</v>
      </c>
      <c r="N568" s="6">
        <v>6734</v>
      </c>
      <c r="O568" s="6">
        <v>32747</v>
      </c>
      <c r="P568" s="6">
        <v>1652</v>
      </c>
      <c r="Q568" s="6">
        <v>27382</v>
      </c>
      <c r="R568" s="16">
        <f t="shared" si="115"/>
        <v>10251</v>
      </c>
      <c r="T568" s="140">
        <f t="shared" si="114"/>
        <v>40822</v>
      </c>
      <c r="U568" s="154">
        <f>'copy data3'!B622</f>
        <v>1459</v>
      </c>
      <c r="V568" s="38">
        <f t="shared" ref="V568:V574" si="204">AVERAGE(U565:U568)</f>
        <v>1487.75</v>
      </c>
      <c r="W568" s="71">
        <f t="shared" ref="W568:W574" si="205">(V568/U516)*100</f>
        <v>42.446504992867332</v>
      </c>
      <c r="X568" s="154">
        <f>'copy data3'!D622</f>
        <v>737</v>
      </c>
      <c r="Y568" s="38">
        <f t="shared" ref="Y568:Y574" si="206">AVERAGE(X565:X568)</f>
        <v>693</v>
      </c>
      <c r="Z568" s="71">
        <f t="shared" ref="Z568:Z574" si="207">(Y568/X516)*100</f>
        <v>142.00819672131149</v>
      </c>
      <c r="AA568" s="152">
        <f>'copy data3'!F622</f>
        <v>1282</v>
      </c>
      <c r="AB568" s="38">
        <f t="shared" ref="AB568:AB574" si="208">AVERAGE(AA565:AA568)</f>
        <v>1330</v>
      </c>
      <c r="AC568" s="71">
        <f t="shared" ref="AC568:AC574" si="209">(AB568/AA516)*100</f>
        <v>63.033175355450233</v>
      </c>
      <c r="AD568" s="152">
        <f>'copy data3'!H622</f>
        <v>1000</v>
      </c>
      <c r="AE568" s="38">
        <f t="shared" ref="AE568:AE574" si="210">AVERAGE(AD565:AD568)</f>
        <v>993.75</v>
      </c>
      <c r="AF568" s="71">
        <f t="shared" ref="AF568:AF574" si="211">(AE568/AD516)*100</f>
        <v>79.246411483253581</v>
      </c>
      <c r="AG568" s="152">
        <f>'copy data3'!J622</f>
        <v>85</v>
      </c>
      <c r="AH568" s="38">
        <f t="shared" ref="AH568:AH574" si="212">AVERAGE(AG565:AG568)</f>
        <v>78.5</v>
      </c>
      <c r="AI568" s="71">
        <f t="shared" ref="AI568:AI574" si="213">(AH568/AG516)*100</f>
        <v>39.847715736040605</v>
      </c>
      <c r="AJ568" s="152">
        <f>'copy data3'!L622</f>
        <v>4563</v>
      </c>
      <c r="AK568" s="38">
        <f t="shared" ref="AK568:AK574" si="214">AVERAGE(AJ565:AJ568)</f>
        <v>4582.5</v>
      </c>
      <c r="AL568" s="71">
        <f t="shared" ref="AL568:AL574" si="215">(AK568/AJ516)*100</f>
        <v>60.66322478157268</v>
      </c>
      <c r="AM568" s="152">
        <f>'copy data3'!N622</f>
        <v>14630</v>
      </c>
      <c r="AN568" s="38">
        <f t="shared" ref="AN568:AN574" si="216">AVERAGE(AM565:AM568)</f>
        <v>14111</v>
      </c>
      <c r="AO568" s="71">
        <f t="shared" ref="AO568:AO574" si="217">(AN568/AM516)*100</f>
        <v>101.75223536198443</v>
      </c>
      <c r="AP568" s="152">
        <f>'copy data3'!P622</f>
        <v>15658</v>
      </c>
      <c r="AQ568" s="38">
        <f t="shared" ref="AQ568:AQ574" si="218">AVERAGE(AP565:AP568)</f>
        <v>15240.25</v>
      </c>
      <c r="AR568" s="71">
        <f t="shared" ref="AR568:AR574" si="219">(AQ568/AP516)*100</f>
        <v>74.824479575805185</v>
      </c>
      <c r="AS568" s="153">
        <f>'copy data3'!R622</f>
        <v>34851</v>
      </c>
      <c r="AT568" s="38">
        <f t="shared" ref="AT568:AT574" si="220">AVERAGE(AS565:AS568)</f>
        <v>33933.75</v>
      </c>
      <c r="AU568" s="71">
        <f t="shared" ref="AU568:AU574" si="221">(AT568/AS516)*100</f>
        <v>81.200646087580765</v>
      </c>
    </row>
    <row r="569" spans="1:47" ht="15.6" x14ac:dyDescent="0.3">
      <c r="A569" s="10">
        <v>38855</v>
      </c>
      <c r="B569" s="6">
        <v>678</v>
      </c>
      <c r="C569" s="6">
        <v>10253</v>
      </c>
      <c r="D569" s="6">
        <v>244</v>
      </c>
      <c r="E569" s="6">
        <v>1979</v>
      </c>
      <c r="F569" s="6">
        <v>518</v>
      </c>
      <c r="G569" s="6">
        <v>7142</v>
      </c>
      <c r="H569" s="6">
        <v>347</v>
      </c>
      <c r="I569" s="6">
        <v>4122</v>
      </c>
      <c r="J569" s="6">
        <v>35</v>
      </c>
      <c r="K569" s="6">
        <v>912</v>
      </c>
      <c r="L569" s="6">
        <v>1821</v>
      </c>
      <c r="M569" s="6">
        <v>24408</v>
      </c>
      <c r="N569" s="6">
        <v>8816</v>
      </c>
      <c r="O569" s="6">
        <v>36201</v>
      </c>
      <c r="P569" s="6">
        <v>1818</v>
      </c>
      <c r="Q569" s="6">
        <v>21266</v>
      </c>
      <c r="R569" s="16">
        <f t="shared" si="115"/>
        <v>12455</v>
      </c>
      <c r="T569" s="140">
        <f t="shared" si="114"/>
        <v>40829</v>
      </c>
      <c r="U569" s="154">
        <f>'copy data3'!B623</f>
        <v>1426</v>
      </c>
      <c r="V569" s="38">
        <f t="shared" si="204"/>
        <v>1451.25</v>
      </c>
      <c r="W569" s="71">
        <f t="shared" si="205"/>
        <v>41.100254885301609</v>
      </c>
      <c r="X569" s="154">
        <f>'copy data3'!D623</f>
        <v>769</v>
      </c>
      <c r="Y569" s="38">
        <f t="shared" si="206"/>
        <v>731.5</v>
      </c>
      <c r="Z569" s="71">
        <f t="shared" si="207"/>
        <v>133.97435897435898</v>
      </c>
      <c r="AA569" s="152">
        <f>'copy data3'!F623</f>
        <v>1302</v>
      </c>
      <c r="AB569" s="38">
        <f t="shared" si="208"/>
        <v>1307.75</v>
      </c>
      <c r="AC569" s="71">
        <f t="shared" si="209"/>
        <v>64.452932479053729</v>
      </c>
      <c r="AD569" s="152">
        <f>'copy data3'!H623</f>
        <v>1002</v>
      </c>
      <c r="AE569" s="38">
        <f t="shared" si="210"/>
        <v>977</v>
      </c>
      <c r="AF569" s="71">
        <f t="shared" si="211"/>
        <v>80.081967213114751</v>
      </c>
      <c r="AG569" s="152">
        <f>'copy data3'!J623</f>
        <v>78</v>
      </c>
      <c r="AH569" s="38">
        <f t="shared" si="212"/>
        <v>82.75</v>
      </c>
      <c r="AI569" s="71">
        <f t="shared" si="213"/>
        <v>39.21800947867299</v>
      </c>
      <c r="AJ569" s="152">
        <f>'copy data3'!L623</f>
        <v>4577</v>
      </c>
      <c r="AK569" s="38">
        <f t="shared" si="214"/>
        <v>4550</v>
      </c>
      <c r="AL569" s="71">
        <f t="shared" si="215"/>
        <v>60.376857749469217</v>
      </c>
      <c r="AM569" s="152">
        <f>'copy data3'!N623</f>
        <v>15829</v>
      </c>
      <c r="AN569" s="38">
        <f t="shared" si="216"/>
        <v>14622.25</v>
      </c>
      <c r="AO569" s="71">
        <f t="shared" si="217"/>
        <v>110.38159583301879</v>
      </c>
      <c r="AP569" s="152">
        <f>'copy data3'!P623</f>
        <v>15084</v>
      </c>
      <c r="AQ569" s="38">
        <f t="shared" si="218"/>
        <v>15386</v>
      </c>
      <c r="AR569" s="71">
        <f t="shared" si="219"/>
        <v>74.113680154142585</v>
      </c>
      <c r="AS569" s="153">
        <f>'copy data3'!R623</f>
        <v>35490</v>
      </c>
      <c r="AT569" s="38">
        <f t="shared" si="220"/>
        <v>34558.25</v>
      </c>
      <c r="AU569" s="71">
        <f t="shared" si="221"/>
        <v>83.186698120020225</v>
      </c>
    </row>
    <row r="570" spans="1:47" ht="15.6" x14ac:dyDescent="0.3">
      <c r="A570" s="10">
        <v>38498</v>
      </c>
      <c r="B570" s="6">
        <v>491</v>
      </c>
      <c r="C570" s="6">
        <v>9407</v>
      </c>
      <c r="D570" s="6">
        <v>94</v>
      </c>
      <c r="E570" s="6">
        <v>3217</v>
      </c>
      <c r="F570" s="6">
        <v>515</v>
      </c>
      <c r="G570" s="6">
        <v>8033</v>
      </c>
      <c r="H570" s="6">
        <v>194</v>
      </c>
      <c r="I570" s="6">
        <v>4773</v>
      </c>
      <c r="J570" s="6">
        <v>57</v>
      </c>
      <c r="K570" s="6">
        <v>686</v>
      </c>
      <c r="L570" s="6">
        <v>1351</v>
      </c>
      <c r="M570" s="6">
        <v>26117</v>
      </c>
      <c r="N570" s="6">
        <v>6669</v>
      </c>
      <c r="O570" s="6">
        <v>33557</v>
      </c>
      <c r="P570" s="6">
        <v>1562</v>
      </c>
      <c r="Q570" s="6">
        <v>27667</v>
      </c>
      <c r="R570" s="16">
        <f t="shared" si="115"/>
        <v>9582</v>
      </c>
      <c r="T570" s="140">
        <f t="shared" si="114"/>
        <v>40836</v>
      </c>
      <c r="U570" s="154">
        <f>'copy data3'!B624</f>
        <v>1342</v>
      </c>
      <c r="V570" s="38">
        <f t="shared" si="204"/>
        <v>1411</v>
      </c>
      <c r="W570" s="71">
        <f t="shared" si="205"/>
        <v>42.5</v>
      </c>
      <c r="X570" s="154">
        <f>'copy data3'!D624</f>
        <v>792</v>
      </c>
      <c r="Y570" s="38">
        <f t="shared" si="206"/>
        <v>761</v>
      </c>
      <c r="Z570" s="71">
        <f t="shared" si="207"/>
        <v>121.95512820512822</v>
      </c>
      <c r="AA570" s="152">
        <f>'copy data3'!F624</f>
        <v>1258</v>
      </c>
      <c r="AB570" s="38">
        <f t="shared" si="208"/>
        <v>1280.5</v>
      </c>
      <c r="AC570" s="71">
        <f t="shared" si="209"/>
        <v>58.390332877336981</v>
      </c>
      <c r="AD570" s="152">
        <f>'copy data3'!H624</f>
        <v>1041</v>
      </c>
      <c r="AE570" s="38">
        <f t="shared" si="210"/>
        <v>990.25</v>
      </c>
      <c r="AF570" s="71">
        <f t="shared" si="211"/>
        <v>83.144416456759032</v>
      </c>
      <c r="AG570" s="152">
        <f>'copy data3'!J624</f>
        <v>78</v>
      </c>
      <c r="AH570" s="38">
        <f t="shared" si="212"/>
        <v>81.25</v>
      </c>
      <c r="AI570" s="71">
        <f t="shared" si="213"/>
        <v>50.78125</v>
      </c>
      <c r="AJ570" s="152">
        <f>'copy data3'!L624</f>
        <v>4511</v>
      </c>
      <c r="AK570" s="38">
        <f t="shared" si="214"/>
        <v>4524</v>
      </c>
      <c r="AL570" s="71">
        <f t="shared" si="215"/>
        <v>60.424736209429675</v>
      </c>
      <c r="AM570" s="152">
        <f>'copy data3'!N624</f>
        <v>15488</v>
      </c>
      <c r="AN570" s="38">
        <f t="shared" si="216"/>
        <v>15057.25</v>
      </c>
      <c r="AO570" s="71">
        <f t="shared" si="217"/>
        <v>113.92335628357419</v>
      </c>
      <c r="AP570" s="152">
        <f>'copy data3'!P624</f>
        <v>14171</v>
      </c>
      <c r="AQ570" s="38">
        <f t="shared" si="218"/>
        <v>15125.5</v>
      </c>
      <c r="AR570" s="71">
        <f t="shared" si="219"/>
        <v>72.537406483790519</v>
      </c>
      <c r="AS570" s="153">
        <f>'copy data3'!R624</f>
        <v>34170</v>
      </c>
      <c r="AT570" s="38">
        <f t="shared" si="220"/>
        <v>34706.75</v>
      </c>
      <c r="AU570" s="71">
        <f t="shared" si="221"/>
        <v>83.518023871402448</v>
      </c>
    </row>
    <row r="571" spans="1:47" ht="15.6" x14ac:dyDescent="0.3">
      <c r="A571" s="10">
        <v>38862</v>
      </c>
      <c r="B571" s="6">
        <v>473</v>
      </c>
      <c r="C571" s="6">
        <v>10459</v>
      </c>
      <c r="D571" s="6">
        <v>167</v>
      </c>
      <c r="E571" s="6">
        <v>2037</v>
      </c>
      <c r="F571" s="6">
        <v>380</v>
      </c>
      <c r="G571" s="6">
        <v>7244</v>
      </c>
      <c r="H571" s="6">
        <v>312</v>
      </c>
      <c r="I571" s="6">
        <v>4159</v>
      </c>
      <c r="J571" s="6">
        <v>9</v>
      </c>
      <c r="K571" s="6">
        <v>930</v>
      </c>
      <c r="L571" s="6">
        <v>1341</v>
      </c>
      <c r="M571" s="6">
        <v>24828</v>
      </c>
      <c r="N571" s="6">
        <v>8717</v>
      </c>
      <c r="O571" s="6">
        <v>37455</v>
      </c>
      <c r="P571" s="6">
        <v>1809</v>
      </c>
      <c r="Q571" s="6">
        <v>21622</v>
      </c>
      <c r="R571" s="16">
        <f t="shared" si="115"/>
        <v>11867</v>
      </c>
      <c r="T571" s="140">
        <f t="shared" si="114"/>
        <v>40843</v>
      </c>
      <c r="U571" s="154">
        <f>'copy data3'!B625</f>
        <v>1322</v>
      </c>
      <c r="V571" s="38">
        <f t="shared" si="204"/>
        <v>1387.25</v>
      </c>
      <c r="W571" s="71">
        <f t="shared" si="205"/>
        <v>41.225854383358097</v>
      </c>
      <c r="X571" s="154">
        <f>'copy data3'!D625</f>
        <v>738</v>
      </c>
      <c r="Y571" s="38">
        <f t="shared" si="206"/>
        <v>759</v>
      </c>
      <c r="Z571" s="71">
        <f t="shared" si="207"/>
        <v>137.25135623869801</v>
      </c>
      <c r="AA571" s="152">
        <f>'copy data3'!F625</f>
        <v>1162</v>
      </c>
      <c r="AB571" s="38">
        <f t="shared" si="208"/>
        <v>1251</v>
      </c>
      <c r="AC571" s="71">
        <f t="shared" si="209"/>
        <v>53.783319002579532</v>
      </c>
      <c r="AD571" s="152">
        <f>'copy data3'!H625</f>
        <v>926</v>
      </c>
      <c r="AE571" s="38">
        <f t="shared" si="210"/>
        <v>992.25</v>
      </c>
      <c r="AF571" s="71">
        <f t="shared" si="211"/>
        <v>83.734177215189874</v>
      </c>
      <c r="AG571" s="152">
        <f>'copy data3'!J625</f>
        <v>58</v>
      </c>
      <c r="AH571" s="38">
        <f t="shared" si="212"/>
        <v>74.75</v>
      </c>
      <c r="AI571" s="71">
        <f t="shared" si="213"/>
        <v>38.53092783505155</v>
      </c>
      <c r="AJ571" s="152">
        <f>'copy data3'!L625</f>
        <v>4206</v>
      </c>
      <c r="AK571" s="38">
        <f t="shared" si="214"/>
        <v>4464.25</v>
      </c>
      <c r="AL571" s="71">
        <f t="shared" si="215"/>
        <v>58.56290174471993</v>
      </c>
      <c r="AM571" s="152">
        <f>'copy data3'!N625</f>
        <v>15364</v>
      </c>
      <c r="AN571" s="38">
        <f t="shared" si="216"/>
        <v>15327.75</v>
      </c>
      <c r="AO571" s="71">
        <f t="shared" si="217"/>
        <v>119.76676043131739</v>
      </c>
      <c r="AP571" s="152">
        <f>'copy data3'!P625</f>
        <v>13181</v>
      </c>
      <c r="AQ571" s="38">
        <f t="shared" si="218"/>
        <v>14523.5</v>
      </c>
      <c r="AR571" s="71">
        <f t="shared" si="219"/>
        <v>70.939774336931578</v>
      </c>
      <c r="AS571" s="153">
        <f>'copy data3'!R625</f>
        <v>32751</v>
      </c>
      <c r="AT571" s="38">
        <f t="shared" si="220"/>
        <v>34315.5</v>
      </c>
      <c r="AU571" s="71">
        <f t="shared" si="221"/>
        <v>83.913288012911423</v>
      </c>
    </row>
    <row r="572" spans="1:47" ht="15.6" x14ac:dyDescent="0.3">
      <c r="A572" s="10">
        <v>38505</v>
      </c>
      <c r="B572" s="6">
        <v>1465</v>
      </c>
      <c r="C572" s="6">
        <v>48</v>
      </c>
      <c r="D572" s="6">
        <v>354</v>
      </c>
      <c r="E572" s="6">
        <v>5</v>
      </c>
      <c r="F572" s="6">
        <v>1279</v>
      </c>
      <c r="G572" s="6">
        <v>32</v>
      </c>
      <c r="H572" s="6">
        <v>427</v>
      </c>
      <c r="I572" s="6">
        <v>21</v>
      </c>
      <c r="J572" s="6">
        <v>124</v>
      </c>
      <c r="K572" s="6">
        <v>0</v>
      </c>
      <c r="L572" s="6">
        <v>3649</v>
      </c>
      <c r="M572" s="6">
        <v>105</v>
      </c>
      <c r="N572" s="6">
        <v>6386</v>
      </c>
      <c r="O572" s="6">
        <v>34401</v>
      </c>
      <c r="P572" s="6">
        <v>1522</v>
      </c>
      <c r="Q572" s="6">
        <v>27793</v>
      </c>
      <c r="R572" s="16">
        <f t="shared" si="115"/>
        <v>11557</v>
      </c>
      <c r="T572" s="140">
        <f t="shared" si="114"/>
        <v>40850</v>
      </c>
      <c r="U572" s="154">
        <f>'copy data3'!B626</f>
        <v>1333</v>
      </c>
      <c r="V572" s="38">
        <f t="shared" si="204"/>
        <v>1355.75</v>
      </c>
      <c r="W572" s="71">
        <f t="shared" si="205"/>
        <v>38.233220530174847</v>
      </c>
      <c r="X572" s="154">
        <f>'copy data3'!D626</f>
        <v>690</v>
      </c>
      <c r="Y572" s="38">
        <f t="shared" si="206"/>
        <v>747.25</v>
      </c>
      <c r="Z572" s="71">
        <f t="shared" si="207"/>
        <v>133.4375</v>
      </c>
      <c r="AA572" s="152">
        <f>'copy data3'!F626</f>
        <v>1174</v>
      </c>
      <c r="AB572" s="38">
        <f t="shared" si="208"/>
        <v>1224</v>
      </c>
      <c r="AC572" s="71">
        <f t="shared" si="209"/>
        <v>48.784376245516142</v>
      </c>
      <c r="AD572" s="152">
        <f>'copy data3'!H626</f>
        <v>899</v>
      </c>
      <c r="AE572" s="38">
        <f t="shared" si="210"/>
        <v>967</v>
      </c>
      <c r="AF572" s="71">
        <f t="shared" si="211"/>
        <v>82.720273738237822</v>
      </c>
      <c r="AG572" s="152">
        <f>'copy data3'!J626</f>
        <v>56</v>
      </c>
      <c r="AH572" s="38">
        <f t="shared" si="212"/>
        <v>67.5</v>
      </c>
      <c r="AI572" s="71">
        <f t="shared" si="213"/>
        <v>43.269230769230774</v>
      </c>
      <c r="AJ572" s="152">
        <f>'copy data3'!L626</f>
        <v>4151</v>
      </c>
      <c r="AK572" s="38">
        <f t="shared" si="214"/>
        <v>4361.25</v>
      </c>
      <c r="AL572" s="71">
        <f t="shared" si="215"/>
        <v>54.934500566822017</v>
      </c>
      <c r="AM572" s="152">
        <f>'copy data3'!N626</f>
        <v>14991</v>
      </c>
      <c r="AN572" s="38">
        <f t="shared" si="216"/>
        <v>15418</v>
      </c>
      <c r="AO572" s="71">
        <f t="shared" si="217"/>
        <v>122.17115689381934</v>
      </c>
      <c r="AP572" s="152">
        <f>'copy data3'!P626</f>
        <v>12561</v>
      </c>
      <c r="AQ572" s="38">
        <f t="shared" si="218"/>
        <v>13749.25</v>
      </c>
      <c r="AR572" s="71">
        <f t="shared" si="219"/>
        <v>70.138499209304698</v>
      </c>
      <c r="AS572" s="153">
        <f>'copy data3'!R626</f>
        <v>31703</v>
      </c>
      <c r="AT572" s="38">
        <f t="shared" si="220"/>
        <v>33528.5</v>
      </c>
      <c r="AU572" s="71">
        <f t="shared" si="221"/>
        <v>83.483143269757491</v>
      </c>
    </row>
    <row r="573" spans="1:47" ht="15.6" x14ac:dyDescent="0.3">
      <c r="A573" s="10">
        <v>38869</v>
      </c>
      <c r="B573" s="6">
        <v>969</v>
      </c>
      <c r="C573" s="6">
        <v>31</v>
      </c>
      <c r="D573" s="6">
        <v>504</v>
      </c>
      <c r="E573" s="6">
        <v>0</v>
      </c>
      <c r="F573" s="6">
        <v>1192</v>
      </c>
      <c r="G573" s="6">
        <v>2</v>
      </c>
      <c r="H573" s="6">
        <v>761</v>
      </c>
      <c r="I573" s="6">
        <v>4</v>
      </c>
      <c r="J573" s="6">
        <v>225</v>
      </c>
      <c r="K573" s="6">
        <v>0</v>
      </c>
      <c r="L573" s="6">
        <v>3651</v>
      </c>
      <c r="M573" s="6">
        <v>36</v>
      </c>
      <c r="N573" s="6">
        <v>8420</v>
      </c>
      <c r="O573" s="6">
        <v>38619</v>
      </c>
      <c r="P573" s="6">
        <v>1733</v>
      </c>
      <c r="Q573" s="6">
        <v>21878</v>
      </c>
      <c r="R573" s="16">
        <f t="shared" si="115"/>
        <v>13804</v>
      </c>
      <c r="T573" s="140">
        <f t="shared" si="114"/>
        <v>40857</v>
      </c>
      <c r="U573" s="154">
        <f>'copy data3'!B627</f>
        <v>1434</v>
      </c>
      <c r="V573" s="38">
        <f t="shared" si="204"/>
        <v>1357.75</v>
      </c>
      <c r="W573" s="71">
        <f t="shared" si="205"/>
        <v>35.720862930807684</v>
      </c>
      <c r="X573" s="154">
        <f>'copy data3'!D627</f>
        <v>689</v>
      </c>
      <c r="Y573" s="38">
        <f t="shared" si="206"/>
        <v>727.25</v>
      </c>
      <c r="Z573" s="71">
        <f t="shared" si="207"/>
        <v>122.0218120805369</v>
      </c>
      <c r="AA573" s="152">
        <f>'copy data3'!F627</f>
        <v>1103</v>
      </c>
      <c r="AB573" s="38">
        <f t="shared" si="208"/>
        <v>1174.25</v>
      </c>
      <c r="AC573" s="71">
        <f t="shared" si="209"/>
        <v>44.37830687830688</v>
      </c>
      <c r="AD573" s="152">
        <f>'copy data3'!H627</f>
        <v>877</v>
      </c>
      <c r="AE573" s="38">
        <f t="shared" si="210"/>
        <v>935.75</v>
      </c>
      <c r="AF573" s="71">
        <f t="shared" si="211"/>
        <v>75.100321027287322</v>
      </c>
      <c r="AG573" s="152">
        <f>'copy data3'!J627</f>
        <v>64</v>
      </c>
      <c r="AH573" s="38">
        <f t="shared" si="212"/>
        <v>64</v>
      </c>
      <c r="AI573" s="71">
        <f t="shared" si="213"/>
        <v>40.764331210191088</v>
      </c>
      <c r="AJ573" s="152">
        <f>'copy data3'!L627</f>
        <v>4167</v>
      </c>
      <c r="AK573" s="38">
        <f t="shared" si="214"/>
        <v>4258.75</v>
      </c>
      <c r="AL573" s="71">
        <f t="shared" si="215"/>
        <v>50.435220274751302</v>
      </c>
      <c r="AM573" s="152">
        <f>'copy data3'!N627</f>
        <v>14305</v>
      </c>
      <c r="AN573" s="38">
        <f t="shared" si="216"/>
        <v>15037</v>
      </c>
      <c r="AO573" s="71">
        <f t="shared" si="217"/>
        <v>121.51111111111111</v>
      </c>
      <c r="AP573" s="152">
        <f>'copy data3'!P627</f>
        <v>11879</v>
      </c>
      <c r="AQ573" s="38">
        <f t="shared" si="218"/>
        <v>12948</v>
      </c>
      <c r="AR573" s="71">
        <f t="shared" si="219"/>
        <v>68.715172743193762</v>
      </c>
      <c r="AS573" s="153">
        <f>'copy data3'!R627</f>
        <v>30351</v>
      </c>
      <c r="AT573" s="38">
        <f t="shared" si="220"/>
        <v>32243.75</v>
      </c>
      <c r="AU573" s="71">
        <f t="shared" si="221"/>
        <v>81.296328979879988</v>
      </c>
    </row>
    <row r="574" spans="1:47" ht="15.6" x14ac:dyDescent="0.3">
      <c r="A574" s="10">
        <v>38512</v>
      </c>
      <c r="B574" s="6">
        <v>1480</v>
      </c>
      <c r="C574" s="6">
        <v>176</v>
      </c>
      <c r="D574" s="6">
        <v>327</v>
      </c>
      <c r="E574" s="6">
        <v>34</v>
      </c>
      <c r="F574" s="6">
        <v>1248</v>
      </c>
      <c r="G574" s="6">
        <v>207</v>
      </c>
      <c r="H574" s="6">
        <v>436</v>
      </c>
      <c r="I574" s="6">
        <v>50</v>
      </c>
      <c r="J574" s="6">
        <v>100</v>
      </c>
      <c r="K574" s="6">
        <v>27</v>
      </c>
      <c r="L574" s="6">
        <v>3590</v>
      </c>
      <c r="M574" s="6">
        <v>493</v>
      </c>
      <c r="N574" s="6">
        <v>6208</v>
      </c>
      <c r="O574" s="6">
        <v>35212</v>
      </c>
      <c r="P574" s="6">
        <v>1481</v>
      </c>
      <c r="Q574" s="6">
        <v>28017</v>
      </c>
      <c r="R574" s="16">
        <f t="shared" si="115"/>
        <v>11279</v>
      </c>
      <c r="T574" s="140">
        <f t="shared" si="114"/>
        <v>40864</v>
      </c>
      <c r="U574" s="154">
        <f>'copy data3'!B628</f>
        <v>1461</v>
      </c>
      <c r="V574" s="38">
        <f t="shared" si="204"/>
        <v>1387.5</v>
      </c>
      <c r="W574" s="71">
        <f t="shared" si="205"/>
        <v>37.909836065573771</v>
      </c>
      <c r="X574" s="154">
        <f>'copy data3'!D628</f>
        <v>722</v>
      </c>
      <c r="Y574" s="38">
        <f t="shared" si="206"/>
        <v>709.75</v>
      </c>
      <c r="Z574" s="71">
        <f t="shared" si="207"/>
        <v>102.26945244956774</v>
      </c>
      <c r="AA574" s="152">
        <f>'copy data3'!F628</f>
        <v>1184</v>
      </c>
      <c r="AB574" s="38">
        <f t="shared" si="208"/>
        <v>1155.75</v>
      </c>
      <c r="AC574" s="71">
        <f t="shared" si="209"/>
        <v>41.693722943722946</v>
      </c>
      <c r="AD574" s="152">
        <f>'copy data3'!H628</f>
        <v>986</v>
      </c>
      <c r="AE574" s="38">
        <f t="shared" si="210"/>
        <v>922</v>
      </c>
      <c r="AF574" s="71">
        <f t="shared" si="211"/>
        <v>68.601190476190482</v>
      </c>
      <c r="AG574" s="152">
        <f>'copy data3'!J628</f>
        <v>65</v>
      </c>
      <c r="AH574" s="38">
        <f t="shared" si="212"/>
        <v>60.75</v>
      </c>
      <c r="AI574" s="71">
        <f t="shared" si="213"/>
        <v>31.153846153846153</v>
      </c>
      <c r="AJ574" s="152">
        <f>'copy data3'!L628</f>
        <v>4419</v>
      </c>
      <c r="AK574" s="38">
        <f t="shared" si="214"/>
        <v>4235.75</v>
      </c>
      <c r="AL574" s="71">
        <f t="shared" si="215"/>
        <v>48.88343912290825</v>
      </c>
      <c r="AM574" s="152">
        <f>'copy data3'!N628</f>
        <v>13643</v>
      </c>
      <c r="AN574" s="38">
        <f t="shared" si="216"/>
        <v>14575.75</v>
      </c>
      <c r="AO574" s="71">
        <f t="shared" si="217"/>
        <v>117.39489368556701</v>
      </c>
      <c r="AP574" s="152">
        <f>'copy data3'!P628</f>
        <v>11809</v>
      </c>
      <c r="AQ574" s="38">
        <f t="shared" si="218"/>
        <v>12357.5</v>
      </c>
      <c r="AR574" s="71">
        <f t="shared" si="219"/>
        <v>69.094213027676815</v>
      </c>
      <c r="AS574" s="153">
        <f>'copy data3'!R628</f>
        <v>29871</v>
      </c>
      <c r="AT574" s="38">
        <f t="shared" si="220"/>
        <v>31169</v>
      </c>
      <c r="AU574" s="71">
        <f t="shared" si="221"/>
        <v>79.990247908432991</v>
      </c>
    </row>
    <row r="575" spans="1:47" ht="15.6" x14ac:dyDescent="0.3">
      <c r="A575" s="10">
        <v>38876</v>
      </c>
      <c r="B575" s="6">
        <v>1028</v>
      </c>
      <c r="C575" s="6">
        <v>105</v>
      </c>
      <c r="D575" s="6">
        <v>448</v>
      </c>
      <c r="E575" s="6">
        <v>26</v>
      </c>
      <c r="F575" s="6">
        <v>1217</v>
      </c>
      <c r="G575" s="6">
        <v>166</v>
      </c>
      <c r="H575" s="6">
        <v>727</v>
      </c>
      <c r="I575" s="6">
        <v>123</v>
      </c>
      <c r="J575" s="6">
        <v>305</v>
      </c>
      <c r="K575" s="6">
        <v>4</v>
      </c>
      <c r="L575" s="6">
        <v>3724</v>
      </c>
      <c r="M575" s="6">
        <v>424</v>
      </c>
      <c r="N575" s="6">
        <v>8746</v>
      </c>
      <c r="O575" s="6">
        <v>39758</v>
      </c>
      <c r="P575" s="6">
        <v>1901</v>
      </c>
      <c r="Q575" s="6">
        <v>22094</v>
      </c>
      <c r="R575" s="16">
        <f t="shared" si="115"/>
        <v>14371</v>
      </c>
      <c r="T575" s="140">
        <f t="shared" si="114"/>
        <v>40871</v>
      </c>
      <c r="U575" s="154">
        <f>'copy data3'!B629</f>
        <v>1370</v>
      </c>
      <c r="V575" s="38">
        <f t="shared" ref="V575:V582" si="222">AVERAGE(U572:U575)</f>
        <v>1399.5</v>
      </c>
      <c r="W575" s="71">
        <f t="shared" ref="W575:W580" si="223">(V575/U523)*100</f>
        <v>38.342465753424662</v>
      </c>
      <c r="X575" s="154">
        <f>'copy data3'!D629</f>
        <v>740</v>
      </c>
      <c r="Y575" s="38">
        <f t="shared" ref="Y575:Y582" si="224">AVERAGE(X572:X575)</f>
        <v>710.25</v>
      </c>
      <c r="Z575" s="71">
        <f t="shared" ref="Z575:Z580" si="225">(Y575/X523)*100</f>
        <v>91.057692307692307</v>
      </c>
      <c r="AA575" s="152">
        <f>'copy data3'!F629</f>
        <v>1310</v>
      </c>
      <c r="AB575" s="38">
        <f t="shared" ref="AB575:AB582" si="226">AVERAGE(AA572:AA575)</f>
        <v>1192.75</v>
      </c>
      <c r="AC575" s="71">
        <f t="shared" ref="AC575:AC580" si="227">(AB575/AA523)*100</f>
        <v>42.476851851851855</v>
      </c>
      <c r="AD575" s="152">
        <f>'copy data3'!H629</f>
        <v>1143</v>
      </c>
      <c r="AE575" s="38">
        <f t="shared" ref="AE575:AE582" si="228">AVERAGE(AD572:AD575)</f>
        <v>976.25</v>
      </c>
      <c r="AF575" s="71">
        <f t="shared" ref="AF575:AF580" si="229">(AE575/AD523)*100</f>
        <v>73.457486832204665</v>
      </c>
      <c r="AG575" s="152">
        <f>'copy data3'!J629</f>
        <v>55</v>
      </c>
      <c r="AH575" s="38">
        <f t="shared" ref="AH575:AH582" si="230">AVERAGE(AG572:AG575)</f>
        <v>60</v>
      </c>
      <c r="AI575" s="71">
        <f t="shared" ref="AI575:AI580" si="231">(AH575/AG523)*100</f>
        <v>34.482758620689658</v>
      </c>
      <c r="AJ575" s="152">
        <f>'copy data3'!L629</f>
        <v>4620</v>
      </c>
      <c r="AK575" s="38">
        <f t="shared" ref="AK575:AK582" si="232">AVERAGE(AJ572:AJ575)</f>
        <v>4339.25</v>
      </c>
      <c r="AL575" s="71">
        <f t="shared" ref="AL575:AL580" si="233">(AK575/AJ523)*100</f>
        <v>49.648169336384441</v>
      </c>
      <c r="AM575" s="152">
        <f>'copy data3'!N629</f>
        <v>13114</v>
      </c>
      <c r="AN575" s="38">
        <f t="shared" ref="AN575:AN582" si="234">AVERAGE(AM572:AM575)</f>
        <v>14013.25</v>
      </c>
      <c r="AO575" s="71">
        <f t="shared" ref="AO575:AO580" si="235">(AN575/AM523)*100</f>
        <v>113.110420534345</v>
      </c>
      <c r="AP575" s="152">
        <f>'copy data3'!P629</f>
        <v>11081</v>
      </c>
      <c r="AQ575" s="38">
        <f t="shared" ref="AQ575:AQ582" si="236">AVERAGE(AP572:AP575)</f>
        <v>11832.5</v>
      </c>
      <c r="AR575" s="71">
        <f t="shared" ref="AR575:AR580" si="237">(AQ575/AP523)*100</f>
        <v>67.233933746235579</v>
      </c>
      <c r="AS575" s="153">
        <f>'copy data3'!R629</f>
        <v>28815</v>
      </c>
      <c r="AT575" s="38">
        <f t="shared" ref="AT575:AT582" si="238">AVERAGE(AS572:AS575)</f>
        <v>30185</v>
      </c>
      <c r="AU575" s="71">
        <f t="shared" ref="AU575:AU580" si="239">(AT575/AS523)*100</f>
        <v>77.941024581697988</v>
      </c>
    </row>
    <row r="576" spans="1:47" ht="15.6" x14ac:dyDescent="0.3">
      <c r="A576" s="10">
        <v>38519</v>
      </c>
      <c r="B576" s="6">
        <v>1630</v>
      </c>
      <c r="C576" s="6">
        <v>315</v>
      </c>
      <c r="D576" s="6">
        <v>245</v>
      </c>
      <c r="E576" s="6">
        <v>66</v>
      </c>
      <c r="F576" s="6">
        <v>1300</v>
      </c>
      <c r="G576" s="6">
        <v>335</v>
      </c>
      <c r="H576" s="6">
        <v>483</v>
      </c>
      <c r="I576" s="6">
        <v>69</v>
      </c>
      <c r="J576" s="6">
        <v>117</v>
      </c>
      <c r="K576" s="6">
        <v>36</v>
      </c>
      <c r="L576" s="6">
        <v>3775</v>
      </c>
      <c r="M576" s="6">
        <v>821</v>
      </c>
      <c r="N576" s="6">
        <v>5650</v>
      </c>
      <c r="O576" s="6">
        <v>36279</v>
      </c>
      <c r="P576" s="6">
        <v>1344</v>
      </c>
      <c r="Q576" s="6">
        <v>28300</v>
      </c>
      <c r="R576" s="16">
        <f t="shared" si="115"/>
        <v>10769</v>
      </c>
      <c r="T576" s="140">
        <f t="shared" si="114"/>
        <v>40878</v>
      </c>
      <c r="U576" s="154">
        <f>'copy data3'!B630</f>
        <v>1411</v>
      </c>
      <c r="V576" s="38">
        <f t="shared" si="222"/>
        <v>1419</v>
      </c>
      <c r="W576" s="71">
        <f t="shared" si="223"/>
        <v>39.274840852477169</v>
      </c>
      <c r="X576" s="154">
        <f>'copy data3'!D630</f>
        <v>685</v>
      </c>
      <c r="Y576" s="38">
        <f t="shared" si="224"/>
        <v>709</v>
      </c>
      <c r="Z576" s="71">
        <f t="shared" si="225"/>
        <v>88.403990024937656</v>
      </c>
      <c r="AA576" s="152">
        <f>'copy data3'!F630</f>
        <v>1251</v>
      </c>
      <c r="AB576" s="38">
        <f t="shared" si="226"/>
        <v>1212</v>
      </c>
      <c r="AC576" s="71">
        <f t="shared" si="227"/>
        <v>44.072727272727278</v>
      </c>
      <c r="AD576" s="152">
        <f>'copy data3'!H630</f>
        <v>1205</v>
      </c>
      <c r="AE576" s="38">
        <f t="shared" si="228"/>
        <v>1052.75</v>
      </c>
      <c r="AF576" s="71">
        <f t="shared" si="229"/>
        <v>82.69835035349567</v>
      </c>
      <c r="AG576" s="152">
        <f>'copy data3'!J630</f>
        <v>64</v>
      </c>
      <c r="AH576" s="38">
        <f t="shared" si="230"/>
        <v>62</v>
      </c>
      <c r="AI576" s="71">
        <f t="shared" si="231"/>
        <v>38.036809815950924</v>
      </c>
      <c r="AJ576" s="152">
        <f>'copy data3'!L630</f>
        <v>4616</v>
      </c>
      <c r="AK576" s="38">
        <f t="shared" si="232"/>
        <v>4455.5</v>
      </c>
      <c r="AL576" s="71">
        <f t="shared" si="233"/>
        <v>51.802116033019416</v>
      </c>
      <c r="AM576" s="152">
        <f>'copy data3'!N630</f>
        <v>12773</v>
      </c>
      <c r="AN576" s="38">
        <f t="shared" si="234"/>
        <v>13458.75</v>
      </c>
      <c r="AO576" s="71">
        <f t="shared" si="235"/>
        <v>108.84553174282247</v>
      </c>
      <c r="AP576" s="152">
        <f>'copy data3'!P630</f>
        <v>11005</v>
      </c>
      <c r="AQ576" s="38">
        <f t="shared" si="236"/>
        <v>11443.5</v>
      </c>
      <c r="AR576" s="71">
        <f t="shared" si="237"/>
        <v>68.352048739696571</v>
      </c>
      <c r="AS576" s="153">
        <f>'copy data3'!R630</f>
        <v>28394</v>
      </c>
      <c r="AT576" s="38">
        <f t="shared" si="238"/>
        <v>29357.75</v>
      </c>
      <c r="AU576" s="71">
        <f t="shared" si="239"/>
        <v>77.855494855203148</v>
      </c>
    </row>
    <row r="577" spans="1:47" ht="15.6" x14ac:dyDescent="0.3">
      <c r="A577" s="10">
        <v>38883</v>
      </c>
      <c r="B577" s="6">
        <v>1034</v>
      </c>
      <c r="C577" s="6">
        <v>235</v>
      </c>
      <c r="D577" s="6">
        <v>454</v>
      </c>
      <c r="E577" s="6">
        <v>75</v>
      </c>
      <c r="F577" s="6">
        <v>1172</v>
      </c>
      <c r="G577" s="6">
        <v>301</v>
      </c>
      <c r="H577" s="6">
        <v>683</v>
      </c>
      <c r="I577" s="6">
        <v>202</v>
      </c>
      <c r="J577" s="6">
        <v>257</v>
      </c>
      <c r="K577" s="6">
        <v>51</v>
      </c>
      <c r="L577" s="6">
        <v>3600</v>
      </c>
      <c r="M577" s="6">
        <v>864</v>
      </c>
      <c r="N577" s="6">
        <v>9037</v>
      </c>
      <c r="O577" s="6">
        <v>41042</v>
      </c>
      <c r="P577" s="6">
        <v>1893</v>
      </c>
      <c r="Q577" s="6">
        <v>22302</v>
      </c>
      <c r="R577" s="16">
        <f t="shared" si="115"/>
        <v>14530</v>
      </c>
      <c r="T577" s="140">
        <f t="shared" si="114"/>
        <v>40885</v>
      </c>
      <c r="U577" s="154">
        <f>'copy data3'!B631</f>
        <v>1311</v>
      </c>
      <c r="V577" s="38">
        <f t="shared" si="222"/>
        <v>1388.25</v>
      </c>
      <c r="W577" s="71">
        <f t="shared" si="223"/>
        <v>34.602442671984043</v>
      </c>
      <c r="X577" s="154">
        <f>'copy data3'!D631</f>
        <v>700</v>
      </c>
      <c r="Y577" s="38">
        <f t="shared" si="224"/>
        <v>711.75</v>
      </c>
      <c r="Z577" s="71">
        <f t="shared" si="225"/>
        <v>87.870370370370367</v>
      </c>
      <c r="AA577" s="152">
        <f>'copy data3'!F631</f>
        <v>1116</v>
      </c>
      <c r="AB577" s="38">
        <f t="shared" si="226"/>
        <v>1215.25</v>
      </c>
      <c r="AC577" s="71">
        <f t="shared" si="227"/>
        <v>44.400803799780782</v>
      </c>
      <c r="AD577" s="152">
        <f>'copy data3'!H631</f>
        <v>1190</v>
      </c>
      <c r="AE577" s="38">
        <f t="shared" si="228"/>
        <v>1131</v>
      </c>
      <c r="AF577" s="71">
        <f t="shared" si="229"/>
        <v>88.845247446975648</v>
      </c>
      <c r="AG577" s="152">
        <f>'copy data3'!J631</f>
        <v>79</v>
      </c>
      <c r="AH577" s="38">
        <f t="shared" si="230"/>
        <v>65.75</v>
      </c>
      <c r="AI577" s="71">
        <f t="shared" si="231"/>
        <v>40.091463414634148</v>
      </c>
      <c r="AJ577" s="152">
        <f>'copy data3'!L631</f>
        <v>4396</v>
      </c>
      <c r="AK577" s="38">
        <f t="shared" si="232"/>
        <v>4512.75</v>
      </c>
      <c r="AL577" s="71">
        <f t="shared" si="233"/>
        <v>50.16396176078257</v>
      </c>
      <c r="AM577" s="152">
        <f>'copy data3'!N631</f>
        <v>12390</v>
      </c>
      <c r="AN577" s="38">
        <f t="shared" si="234"/>
        <v>12980</v>
      </c>
      <c r="AO577" s="71">
        <f t="shared" si="235"/>
        <v>104.97371613424991</v>
      </c>
      <c r="AP577" s="152">
        <f>'copy data3'!P631</f>
        <v>10465</v>
      </c>
      <c r="AQ577" s="38">
        <f t="shared" si="236"/>
        <v>11090</v>
      </c>
      <c r="AR577" s="71">
        <f t="shared" si="237"/>
        <v>71.65008399017961</v>
      </c>
      <c r="AS577" s="153">
        <f>'copy data3'!R631</f>
        <v>27251</v>
      </c>
      <c r="AT577" s="38">
        <f t="shared" si="238"/>
        <v>28582.75</v>
      </c>
      <c r="AU577" s="71">
        <f t="shared" si="239"/>
        <v>77.588289584407832</v>
      </c>
    </row>
    <row r="578" spans="1:47" ht="15.6" x14ac:dyDescent="0.3">
      <c r="A578" s="10">
        <v>38526</v>
      </c>
      <c r="B578" s="6">
        <v>1789</v>
      </c>
      <c r="C578" s="6">
        <v>492</v>
      </c>
      <c r="D578" s="6">
        <v>256</v>
      </c>
      <c r="E578" s="6">
        <v>128</v>
      </c>
      <c r="F578" s="6">
        <v>1305</v>
      </c>
      <c r="G578" s="6">
        <v>458</v>
      </c>
      <c r="H578" s="6">
        <v>487</v>
      </c>
      <c r="I578" s="6">
        <v>113</v>
      </c>
      <c r="J578" s="6">
        <v>108</v>
      </c>
      <c r="K578" s="6">
        <v>48</v>
      </c>
      <c r="L578" s="6">
        <v>3946</v>
      </c>
      <c r="M578" s="6">
        <v>1238</v>
      </c>
      <c r="N578" s="6">
        <v>5809</v>
      </c>
      <c r="O578" s="6">
        <v>37336</v>
      </c>
      <c r="P578" s="6">
        <v>1339</v>
      </c>
      <c r="Q578" s="6">
        <v>28476</v>
      </c>
      <c r="R578" s="16">
        <f t="shared" si="115"/>
        <v>11094</v>
      </c>
      <c r="T578" s="140">
        <f t="shared" si="114"/>
        <v>40892</v>
      </c>
      <c r="U578" s="154">
        <f>'copy data3'!B632</f>
        <v>1339.3</v>
      </c>
      <c r="V578" s="38">
        <f t="shared" si="222"/>
        <v>1357.825</v>
      </c>
      <c r="W578" s="71">
        <f t="shared" si="223"/>
        <v>33.609529702970299</v>
      </c>
      <c r="X578" s="154">
        <f>'copy data3'!D632</f>
        <v>709</v>
      </c>
      <c r="Y578" s="38">
        <f t="shared" si="224"/>
        <v>708.5</v>
      </c>
      <c r="Z578" s="71">
        <f t="shared" si="225"/>
        <v>85.15625</v>
      </c>
      <c r="AA578" s="152">
        <f>'copy data3'!F632</f>
        <v>1188</v>
      </c>
      <c r="AB578" s="38">
        <f t="shared" si="226"/>
        <v>1216.25</v>
      </c>
      <c r="AC578" s="71">
        <f t="shared" si="227"/>
        <v>46.565718442513109</v>
      </c>
      <c r="AD578" s="152">
        <f>'copy data3'!H632</f>
        <v>1071.2</v>
      </c>
      <c r="AE578" s="38">
        <f t="shared" si="228"/>
        <v>1152.3</v>
      </c>
      <c r="AF578" s="71">
        <f t="shared" si="229"/>
        <v>89.519888129272829</v>
      </c>
      <c r="AG578" s="152">
        <f>'copy data3'!J632</f>
        <v>50.3</v>
      </c>
      <c r="AH578" s="38">
        <f t="shared" si="230"/>
        <v>62.075000000000003</v>
      </c>
      <c r="AI578" s="71">
        <f t="shared" si="231"/>
        <v>60.917566241413148</v>
      </c>
      <c r="AJ578" s="152">
        <f>'copy data3'!L632</f>
        <v>4357.8</v>
      </c>
      <c r="AK578" s="38">
        <f t="shared" si="232"/>
        <v>4497.45</v>
      </c>
      <c r="AL578" s="71">
        <f t="shared" si="233"/>
        <v>50.686915361208165</v>
      </c>
      <c r="AM578" s="152">
        <f>'copy data3'!N632</f>
        <v>11804.4</v>
      </c>
      <c r="AN578" s="38">
        <f t="shared" si="234"/>
        <v>12520.35</v>
      </c>
      <c r="AO578" s="71">
        <f t="shared" si="235"/>
        <v>100.62486940028612</v>
      </c>
      <c r="AP578" s="152">
        <f>'copy data3'!P632</f>
        <v>10184.299999999999</v>
      </c>
      <c r="AQ578" s="38">
        <f t="shared" si="236"/>
        <v>10683.825000000001</v>
      </c>
      <c r="AR578" s="71">
        <f t="shared" si="237"/>
        <v>71.831760054863054</v>
      </c>
      <c r="AS578" s="153">
        <f>'copy data3'!R632</f>
        <v>26346.499999999996</v>
      </c>
      <c r="AT578" s="38">
        <f t="shared" si="238"/>
        <v>27701.625</v>
      </c>
      <c r="AU578" s="71">
        <f t="shared" si="239"/>
        <v>76.547086131144823</v>
      </c>
    </row>
    <row r="579" spans="1:47" ht="15.6" x14ac:dyDescent="0.3">
      <c r="A579" s="10">
        <v>38890</v>
      </c>
      <c r="B579" s="6">
        <v>1094</v>
      </c>
      <c r="C579" s="6">
        <v>328</v>
      </c>
      <c r="D579" s="6">
        <v>481</v>
      </c>
      <c r="E579" s="6">
        <v>177</v>
      </c>
      <c r="F579" s="6">
        <v>1181</v>
      </c>
      <c r="G579" s="6">
        <v>417</v>
      </c>
      <c r="H579" s="6">
        <v>762</v>
      </c>
      <c r="I579" s="6">
        <v>258</v>
      </c>
      <c r="J579" s="6">
        <v>252</v>
      </c>
      <c r="K579" s="6">
        <v>57</v>
      </c>
      <c r="L579" s="6">
        <v>3770</v>
      </c>
      <c r="M579" s="6">
        <v>1237</v>
      </c>
      <c r="N579" s="6">
        <v>9214</v>
      </c>
      <c r="O579" s="6">
        <v>42220</v>
      </c>
      <c r="P579" s="6">
        <v>1954</v>
      </c>
      <c r="Q579" s="6">
        <v>22618</v>
      </c>
      <c r="R579" s="16">
        <f t="shared" si="115"/>
        <v>14938</v>
      </c>
      <c r="T579" s="140">
        <f t="shared" si="114"/>
        <v>40899</v>
      </c>
      <c r="U579" s="154">
        <f>'copy data3'!B633</f>
        <v>1368</v>
      </c>
      <c r="V579" s="38">
        <f t="shared" si="222"/>
        <v>1357.325</v>
      </c>
      <c r="W579" s="71">
        <f t="shared" si="223"/>
        <v>33.530755928853758</v>
      </c>
      <c r="X579" s="154">
        <f>'copy data3'!D633</f>
        <v>688</v>
      </c>
      <c r="Y579" s="38">
        <f t="shared" si="224"/>
        <v>695.5</v>
      </c>
      <c r="Z579" s="71">
        <f t="shared" si="225"/>
        <v>83.193779904306226</v>
      </c>
      <c r="AA579" s="152">
        <f>'copy data3'!F633</f>
        <v>1182</v>
      </c>
      <c r="AB579" s="38">
        <f t="shared" si="226"/>
        <v>1184.25</v>
      </c>
      <c r="AC579" s="71">
        <f t="shared" si="227"/>
        <v>46.975406584688614</v>
      </c>
      <c r="AD579" s="152">
        <f>'copy data3'!H633</f>
        <v>1082</v>
      </c>
      <c r="AE579" s="38">
        <f t="shared" si="228"/>
        <v>1137.05</v>
      </c>
      <c r="AF579" s="71">
        <f t="shared" si="229"/>
        <v>91.845718901453949</v>
      </c>
      <c r="AG579" s="152">
        <f>'copy data3'!J633</f>
        <v>55</v>
      </c>
      <c r="AH579" s="38">
        <f t="shared" si="230"/>
        <v>62.075000000000003</v>
      </c>
      <c r="AI579" s="71">
        <f t="shared" si="231"/>
        <v>54.451754385964911</v>
      </c>
      <c r="AJ579" s="152">
        <f>'copy data3'!L633</f>
        <v>4375</v>
      </c>
      <c r="AK579" s="38">
        <f t="shared" si="232"/>
        <v>4436.2</v>
      </c>
      <c r="AL579" s="71">
        <f t="shared" si="233"/>
        <v>50.653117150034255</v>
      </c>
      <c r="AM579" s="152">
        <f>'copy data3'!N633</f>
        <v>11178</v>
      </c>
      <c r="AN579" s="38">
        <f t="shared" si="234"/>
        <v>12036.35</v>
      </c>
      <c r="AO579" s="71">
        <f t="shared" si="235"/>
        <v>99.812173480388097</v>
      </c>
      <c r="AP579" s="152">
        <f>'copy data3'!P633</f>
        <v>9779</v>
      </c>
      <c r="AQ579" s="38">
        <f t="shared" si="236"/>
        <v>10358.325000000001</v>
      </c>
      <c r="AR579" s="71">
        <f t="shared" si="237"/>
        <v>70.835840798741714</v>
      </c>
      <c r="AS579" s="153">
        <f>'copy data3'!R633</f>
        <v>25332</v>
      </c>
      <c r="AT579" s="38">
        <f t="shared" si="238"/>
        <v>26830.875</v>
      </c>
      <c r="AU579" s="71">
        <f t="shared" si="239"/>
        <v>75.707886568848764</v>
      </c>
    </row>
    <row r="580" spans="1:47" ht="15.6" x14ac:dyDescent="0.3">
      <c r="A580" s="10">
        <v>38533</v>
      </c>
      <c r="B580" s="6">
        <v>1963</v>
      </c>
      <c r="C580" s="6">
        <v>641</v>
      </c>
      <c r="D580" s="6">
        <v>335</v>
      </c>
      <c r="E580" s="6">
        <v>164</v>
      </c>
      <c r="F580" s="6">
        <v>1249</v>
      </c>
      <c r="G580" s="6">
        <v>660</v>
      </c>
      <c r="H580" s="6">
        <v>443</v>
      </c>
      <c r="I580" s="6">
        <v>175</v>
      </c>
      <c r="J580" s="6">
        <v>129</v>
      </c>
      <c r="K580" s="6">
        <v>55</v>
      </c>
      <c r="L580" s="6">
        <v>4119</v>
      </c>
      <c r="M580" s="6">
        <v>1694</v>
      </c>
      <c r="N580" s="6">
        <v>5977</v>
      </c>
      <c r="O580" s="6">
        <v>38110</v>
      </c>
      <c r="P580" s="6">
        <v>1333</v>
      </c>
      <c r="Q580" s="6">
        <v>28643</v>
      </c>
      <c r="R580" s="16">
        <f t="shared" si="115"/>
        <v>11429</v>
      </c>
      <c r="T580" s="140">
        <f t="shared" si="114"/>
        <v>40906</v>
      </c>
      <c r="U580" s="154">
        <f>'copy data3'!B634</f>
        <v>1298</v>
      </c>
      <c r="V580" s="38">
        <f t="shared" si="222"/>
        <v>1329.075</v>
      </c>
      <c r="W580" s="71">
        <f t="shared" si="223"/>
        <v>33.46952908587258</v>
      </c>
      <c r="X580" s="154">
        <f>'copy data3'!D634</f>
        <v>590</v>
      </c>
      <c r="Y580" s="38">
        <f t="shared" si="224"/>
        <v>671.75</v>
      </c>
      <c r="Z580" s="71">
        <f t="shared" si="225"/>
        <v>82.524570024570025</v>
      </c>
      <c r="AA580" s="152">
        <f>'copy data3'!F634</f>
        <v>1144</v>
      </c>
      <c r="AB580" s="38">
        <f t="shared" si="226"/>
        <v>1157.5</v>
      </c>
      <c r="AC580" s="71">
        <f t="shared" si="227"/>
        <v>44.331673688242049</v>
      </c>
      <c r="AD580" s="152">
        <f>'copy data3'!H634</f>
        <v>1001</v>
      </c>
      <c r="AE580" s="38">
        <f t="shared" si="228"/>
        <v>1086.05</v>
      </c>
      <c r="AF580" s="71">
        <f t="shared" si="229"/>
        <v>85.046985121378228</v>
      </c>
      <c r="AG580" s="152">
        <f>'copy data3'!J634</f>
        <v>55</v>
      </c>
      <c r="AH580" s="38">
        <f t="shared" si="230"/>
        <v>59.825000000000003</v>
      </c>
      <c r="AI580" s="71">
        <f t="shared" si="231"/>
        <v>52.478070175438596</v>
      </c>
      <c r="AJ580" s="152">
        <f>'copy data3'!L634</f>
        <v>4088</v>
      </c>
      <c r="AK580" s="38">
        <f t="shared" si="232"/>
        <v>4304.2</v>
      </c>
      <c r="AL580" s="71">
        <f t="shared" si="233"/>
        <v>48.989301160937856</v>
      </c>
      <c r="AM580" s="152">
        <f>'copy data3'!N634</f>
        <v>10900</v>
      </c>
      <c r="AN580" s="38">
        <f t="shared" si="234"/>
        <v>11568.1</v>
      </c>
      <c r="AO580" s="71">
        <f t="shared" si="235"/>
        <v>97.918571186727604</v>
      </c>
      <c r="AP580" s="152">
        <f>'copy data3'!P634</f>
        <v>9032</v>
      </c>
      <c r="AQ580" s="38">
        <f t="shared" si="236"/>
        <v>9865.0750000000007</v>
      </c>
      <c r="AR580" s="71">
        <f t="shared" si="237"/>
        <v>69.821466487366408</v>
      </c>
      <c r="AS580" s="153">
        <f>'copy data3'!R634</f>
        <v>24020</v>
      </c>
      <c r="AT580" s="38">
        <f t="shared" si="238"/>
        <v>25737.375</v>
      </c>
      <c r="AU580" s="71">
        <f t="shared" si="239"/>
        <v>74.109173889256823</v>
      </c>
    </row>
    <row r="581" spans="1:47" ht="15.6" x14ac:dyDescent="0.3">
      <c r="A581" s="10">
        <v>38897</v>
      </c>
      <c r="B581" s="6">
        <v>1107</v>
      </c>
      <c r="C581" s="6">
        <v>396</v>
      </c>
      <c r="D581" s="6">
        <v>467</v>
      </c>
      <c r="E581" s="6">
        <v>228</v>
      </c>
      <c r="F581" s="6">
        <v>1154</v>
      </c>
      <c r="G581" s="6">
        <v>555</v>
      </c>
      <c r="H581" s="6">
        <v>692</v>
      </c>
      <c r="I581" s="6">
        <v>356</v>
      </c>
      <c r="J581" s="6">
        <v>266</v>
      </c>
      <c r="K581" s="6">
        <v>84</v>
      </c>
      <c r="L581" s="6">
        <v>3686</v>
      </c>
      <c r="M581" s="6">
        <v>1619</v>
      </c>
      <c r="N581" s="6">
        <v>9000</v>
      </c>
      <c r="O581" s="6">
        <v>43249</v>
      </c>
      <c r="P581" s="6">
        <v>1943</v>
      </c>
      <c r="Q581" s="6">
        <v>22835</v>
      </c>
      <c r="R581" s="16">
        <f t="shared" si="115"/>
        <v>14629</v>
      </c>
      <c r="T581" s="140">
        <f t="shared" si="114"/>
        <v>40913</v>
      </c>
      <c r="U581" s="154">
        <f>'copy data3'!B635</f>
        <v>1300</v>
      </c>
      <c r="V581" s="38">
        <f t="shared" si="222"/>
        <v>1326.325</v>
      </c>
      <c r="W581" s="71">
        <f t="shared" ref="W581:W586" si="240">(V581/U529)*100</f>
        <v>36.090476190476188</v>
      </c>
      <c r="X581" s="154">
        <f>'copy data3'!D635</f>
        <v>583</v>
      </c>
      <c r="Y581" s="38">
        <f t="shared" si="224"/>
        <v>642.5</v>
      </c>
      <c r="Z581" s="71">
        <f t="shared" ref="Z581:Z586" si="241">(Y581/X529)*100</f>
        <v>79.320987654320987</v>
      </c>
      <c r="AA581" s="152">
        <f>'copy data3'!F635</f>
        <v>1187</v>
      </c>
      <c r="AB581" s="38">
        <f t="shared" si="226"/>
        <v>1175.25</v>
      </c>
      <c r="AC581" s="71">
        <f t="shared" ref="AC581:AC586" si="242">(AB581/AA529)*100</f>
        <v>46.324398896334252</v>
      </c>
      <c r="AD581" s="152">
        <f>'copy data3'!H635</f>
        <v>1132</v>
      </c>
      <c r="AE581" s="38">
        <f t="shared" si="228"/>
        <v>1071.55</v>
      </c>
      <c r="AF581" s="71">
        <f t="shared" ref="AF581:AF586" si="243">(AE581/AD529)*100</f>
        <v>89.519632414369255</v>
      </c>
      <c r="AG581" s="152">
        <f>'copy data3'!J635</f>
        <v>55</v>
      </c>
      <c r="AH581" s="38">
        <f t="shared" si="230"/>
        <v>53.825000000000003</v>
      </c>
      <c r="AI581" s="71">
        <f t="shared" ref="AI581:AI586" si="244">(AH581/AG529)*100</f>
        <v>53.292079207920793</v>
      </c>
      <c r="AJ581" s="152">
        <f>'copy data3'!L635</f>
        <v>4257</v>
      </c>
      <c r="AK581" s="38">
        <f t="shared" si="232"/>
        <v>4269.45</v>
      </c>
      <c r="AL581" s="71">
        <f t="shared" ref="AL581:AL586" si="245">(AK581/AJ529)*100</f>
        <v>51.315504807692299</v>
      </c>
      <c r="AM581" s="152">
        <f>'copy data3'!N635</f>
        <v>10474</v>
      </c>
      <c r="AN581" s="38">
        <f t="shared" si="234"/>
        <v>11089.1</v>
      </c>
      <c r="AO581" s="71">
        <f t="shared" ref="AO581:AO586" si="246">(AN581/AM529)*100</f>
        <v>94.471800988243317</v>
      </c>
      <c r="AP581" s="152">
        <f>'copy data3'!P635</f>
        <v>8679</v>
      </c>
      <c r="AQ581" s="38">
        <f t="shared" si="236"/>
        <v>9418.5750000000007</v>
      </c>
      <c r="AR581" s="71">
        <f t="shared" ref="AR581:AR586" si="247">(AQ581/AP529)*100</f>
        <v>68.879442738043011</v>
      </c>
      <c r="AS581" s="153">
        <f>'copy data3'!R635</f>
        <v>23410</v>
      </c>
      <c r="AT581" s="38">
        <f t="shared" si="238"/>
        <v>24777.125</v>
      </c>
      <c r="AU581" s="71">
        <f t="shared" ref="AU581:AU586" si="248">(AT581/AS529)*100</f>
        <v>73.45287857227558</v>
      </c>
    </row>
    <row r="582" spans="1:47" ht="15.6" x14ac:dyDescent="0.3">
      <c r="A582" s="10">
        <v>38540</v>
      </c>
      <c r="B582" s="6">
        <v>1994</v>
      </c>
      <c r="C582" s="6">
        <v>782</v>
      </c>
      <c r="D582" s="6">
        <v>326</v>
      </c>
      <c r="E582" s="6">
        <v>185</v>
      </c>
      <c r="F582" s="6">
        <v>1225</v>
      </c>
      <c r="G582" s="6">
        <v>776</v>
      </c>
      <c r="H582" s="6">
        <v>469</v>
      </c>
      <c r="I582" s="6">
        <v>183</v>
      </c>
      <c r="J582" s="6">
        <v>113</v>
      </c>
      <c r="K582" s="6">
        <v>71</v>
      </c>
      <c r="L582" s="6">
        <v>4126</v>
      </c>
      <c r="M582" s="6">
        <v>1996</v>
      </c>
      <c r="N582" s="6">
        <v>5725</v>
      </c>
      <c r="O582" s="6">
        <v>38685</v>
      </c>
      <c r="P582" s="6">
        <v>1297</v>
      </c>
      <c r="Q582" s="6">
        <v>28799</v>
      </c>
      <c r="R582" s="16">
        <f t="shared" si="115"/>
        <v>11148</v>
      </c>
      <c r="T582" s="140">
        <f t="shared" si="114"/>
        <v>40920</v>
      </c>
      <c r="U582" s="154">
        <f>'copy data3'!B636</f>
        <v>1341</v>
      </c>
      <c r="V582" s="38">
        <f t="shared" si="222"/>
        <v>1326.75</v>
      </c>
      <c r="W582" s="71">
        <f t="shared" si="240"/>
        <v>34.932859399684048</v>
      </c>
      <c r="X582" s="154">
        <f>'copy data3'!D636</f>
        <v>597</v>
      </c>
      <c r="Y582" s="38">
        <f t="shared" si="224"/>
        <v>614.5</v>
      </c>
      <c r="Z582" s="71">
        <f t="shared" si="241"/>
        <v>76.146220570012389</v>
      </c>
      <c r="AA582" s="152">
        <f>'copy data3'!F636</f>
        <v>1251</v>
      </c>
      <c r="AB582" s="38">
        <f t="shared" si="226"/>
        <v>1191</v>
      </c>
      <c r="AC582" s="71">
        <f t="shared" si="242"/>
        <v>45.302396348421453</v>
      </c>
      <c r="AD582" s="152">
        <f>'copy data3'!H636</f>
        <v>1132</v>
      </c>
      <c r="AE582" s="38">
        <f t="shared" si="228"/>
        <v>1086.75</v>
      </c>
      <c r="AF582" s="71">
        <f t="shared" si="243"/>
        <v>82.2672218016654</v>
      </c>
      <c r="AG582" s="152">
        <f>'copy data3'!J636</f>
        <v>45</v>
      </c>
      <c r="AH582" s="38">
        <f t="shared" si="230"/>
        <v>52.5</v>
      </c>
      <c r="AI582" s="71">
        <f t="shared" si="244"/>
        <v>43.388429752066116</v>
      </c>
      <c r="AJ582" s="152">
        <f>'copy data3'!L636</f>
        <v>4486</v>
      </c>
      <c r="AK582" s="38">
        <f t="shared" si="232"/>
        <v>4301.5</v>
      </c>
      <c r="AL582" s="71">
        <f t="shared" si="245"/>
        <v>49.579299216228677</v>
      </c>
      <c r="AM582" s="152">
        <f>'copy data3'!N636</f>
        <v>10480</v>
      </c>
      <c r="AN582" s="38">
        <f t="shared" si="234"/>
        <v>10758</v>
      </c>
      <c r="AO582" s="71">
        <f t="shared" si="246"/>
        <v>89.240978846951464</v>
      </c>
      <c r="AP582" s="152">
        <f>'copy data3'!P636</f>
        <v>8592</v>
      </c>
      <c r="AQ582" s="38">
        <f t="shared" si="236"/>
        <v>9020.5</v>
      </c>
      <c r="AR582" s="71">
        <f t="shared" si="247"/>
        <v>69.059102740774776</v>
      </c>
      <c r="AS582" s="153">
        <f>'copy data3'!R636</f>
        <v>23558</v>
      </c>
      <c r="AT582" s="38">
        <f t="shared" si="238"/>
        <v>24080</v>
      </c>
      <c r="AU582" s="71">
        <f t="shared" si="248"/>
        <v>71.257360991921402</v>
      </c>
    </row>
    <row r="583" spans="1:47" ht="15.6" x14ac:dyDescent="0.3">
      <c r="A583" s="10">
        <v>38904</v>
      </c>
      <c r="B583" s="6">
        <v>1087</v>
      </c>
      <c r="C583" s="6">
        <v>448</v>
      </c>
      <c r="D583" s="6">
        <v>473</v>
      </c>
      <c r="E583" s="6">
        <v>241</v>
      </c>
      <c r="F583" s="6">
        <v>1045</v>
      </c>
      <c r="G583" s="6">
        <v>713</v>
      </c>
      <c r="H583" s="6">
        <v>705</v>
      </c>
      <c r="I583" s="6">
        <v>423</v>
      </c>
      <c r="J583" s="6">
        <v>284</v>
      </c>
      <c r="K583" s="6">
        <v>90</v>
      </c>
      <c r="L583" s="6">
        <v>3592</v>
      </c>
      <c r="M583" s="6">
        <v>1914</v>
      </c>
      <c r="N583" s="6">
        <v>8656</v>
      </c>
      <c r="O583" s="6">
        <v>44157</v>
      </c>
      <c r="P583" s="6">
        <v>2119</v>
      </c>
      <c r="Q583" s="6">
        <v>22976</v>
      </c>
      <c r="R583" s="16">
        <f t="shared" si="115"/>
        <v>14367</v>
      </c>
      <c r="T583" s="140">
        <f t="shared" si="114"/>
        <v>40927</v>
      </c>
      <c r="U583" s="154">
        <f>'copy data3'!B637</f>
        <v>1346</v>
      </c>
      <c r="V583" s="38">
        <f t="shared" ref="V583:V588" si="249">AVERAGE(U580:U583)</f>
        <v>1321.25</v>
      </c>
      <c r="W583" s="71">
        <f t="shared" si="240"/>
        <v>33.089156023040324</v>
      </c>
      <c r="X583" s="154">
        <f>'copy data3'!D637</f>
        <v>629</v>
      </c>
      <c r="Y583" s="38">
        <f t="shared" ref="Y583:Y588" si="250">AVERAGE(X580:X583)</f>
        <v>599.75</v>
      </c>
      <c r="Z583" s="71">
        <f t="shared" si="241"/>
        <v>76.792573623559534</v>
      </c>
      <c r="AA583" s="152">
        <f>'copy data3'!F637</f>
        <v>1219</v>
      </c>
      <c r="AB583" s="38">
        <f t="shared" ref="AB583:AB588" si="251">AVERAGE(AA580:AA583)</f>
        <v>1200.25</v>
      </c>
      <c r="AC583" s="71">
        <f t="shared" si="242"/>
        <v>44.752050708426552</v>
      </c>
      <c r="AD583" s="152">
        <f>'copy data3'!H637</f>
        <v>1443</v>
      </c>
      <c r="AE583" s="38">
        <f t="shared" ref="AE583:AE588" si="252">AVERAGE(AD580:AD583)</f>
        <v>1177</v>
      </c>
      <c r="AF583" s="71">
        <f t="shared" si="243"/>
        <v>87.639612807148168</v>
      </c>
      <c r="AG583" s="152">
        <f>'copy data3'!J637</f>
        <v>30</v>
      </c>
      <c r="AH583" s="38">
        <f t="shared" ref="AH583:AH588" si="253">AVERAGE(AG580:AG583)</f>
        <v>46.25</v>
      </c>
      <c r="AI583" s="71">
        <f t="shared" si="244"/>
        <v>45.792079207920793</v>
      </c>
      <c r="AJ583" s="152">
        <f>'copy data3'!L637</f>
        <v>4667</v>
      </c>
      <c r="AK583" s="38">
        <f t="shared" ref="AK583:AK588" si="254">AVERAGE(AJ580:AJ583)</f>
        <v>4374.5</v>
      </c>
      <c r="AL583" s="71">
        <f t="shared" si="245"/>
        <v>49.151685393258425</v>
      </c>
      <c r="AM583" s="152">
        <f>'copy data3'!N637</f>
        <v>10497</v>
      </c>
      <c r="AN583" s="38">
        <f t="shared" ref="AN583:AN588" si="255">AVERAGE(AM580:AM583)</f>
        <v>10587.75</v>
      </c>
      <c r="AO583" s="71">
        <f t="shared" si="246"/>
        <v>90.493589743589737</v>
      </c>
      <c r="AP583" s="152">
        <f>'copy data3'!P637</f>
        <v>7873</v>
      </c>
      <c r="AQ583" s="38">
        <f t="shared" ref="AQ583:AQ588" si="256">AVERAGE(AP580:AP583)</f>
        <v>8544</v>
      </c>
      <c r="AR583" s="71">
        <f t="shared" si="247"/>
        <v>67.998408276959807</v>
      </c>
      <c r="AS583" s="153">
        <f>'copy data3'!R637</f>
        <v>23037</v>
      </c>
      <c r="AT583" s="38">
        <f t="shared" ref="AT583:AT588" si="257">AVERAGE(AS580:AS583)</f>
        <v>23506.25</v>
      </c>
      <c r="AU583" s="71">
        <f t="shared" si="248"/>
        <v>70.876677219960811</v>
      </c>
    </row>
    <row r="584" spans="1:47" ht="15.6" x14ac:dyDescent="0.3">
      <c r="A584" s="10">
        <v>38547</v>
      </c>
      <c r="B584" s="6">
        <v>2077</v>
      </c>
      <c r="C584" s="6">
        <v>992</v>
      </c>
      <c r="D584" s="6">
        <v>348</v>
      </c>
      <c r="E584" s="6">
        <v>199</v>
      </c>
      <c r="F584" s="6">
        <v>1270</v>
      </c>
      <c r="G584" s="6">
        <v>902</v>
      </c>
      <c r="H584" s="6">
        <v>496</v>
      </c>
      <c r="I584" s="6">
        <v>229</v>
      </c>
      <c r="J584" s="6">
        <v>95</v>
      </c>
      <c r="K584" s="6">
        <v>103</v>
      </c>
      <c r="L584" s="6">
        <v>4286</v>
      </c>
      <c r="M584" s="6">
        <v>2425</v>
      </c>
      <c r="N584" s="6">
        <v>5508</v>
      </c>
      <c r="O584" s="6">
        <v>39499</v>
      </c>
      <c r="P584" s="6">
        <v>1267</v>
      </c>
      <c r="Q584" s="6">
        <v>28895</v>
      </c>
      <c r="R584" s="16">
        <f t="shared" si="115"/>
        <v>11061</v>
      </c>
      <c r="T584" s="140">
        <f t="shared" si="114"/>
        <v>40934</v>
      </c>
      <c r="U584" s="154">
        <f>'copy data3'!B638</f>
        <v>1452</v>
      </c>
      <c r="V584" s="38">
        <f t="shared" si="249"/>
        <v>1359.75</v>
      </c>
      <c r="W584" s="71">
        <f t="shared" si="240"/>
        <v>34.731800766283527</v>
      </c>
      <c r="X584" s="154">
        <f>'copy data3'!D638</f>
        <v>592</v>
      </c>
      <c r="Y584" s="38">
        <f t="shared" si="250"/>
        <v>600.25</v>
      </c>
      <c r="Z584" s="71">
        <f t="shared" si="241"/>
        <v>71.119668246445499</v>
      </c>
      <c r="AA584" s="152">
        <f>'copy data3'!F638</f>
        <v>1199</v>
      </c>
      <c r="AB584" s="38">
        <f t="shared" si="251"/>
        <v>1214</v>
      </c>
      <c r="AC584" s="71">
        <f t="shared" si="242"/>
        <v>45.519310086239216</v>
      </c>
      <c r="AD584" s="152">
        <f>'copy data3'!H638</f>
        <v>1458</v>
      </c>
      <c r="AE584" s="38">
        <f t="shared" si="252"/>
        <v>1291.25</v>
      </c>
      <c r="AF584" s="71">
        <f t="shared" si="243"/>
        <v>99.250576479631064</v>
      </c>
      <c r="AG584" s="152">
        <f>'copy data3'!J638</f>
        <v>30</v>
      </c>
      <c r="AH584" s="38">
        <f t="shared" si="253"/>
        <v>40</v>
      </c>
      <c r="AI584" s="71">
        <f t="shared" si="244"/>
        <v>34.482758620689658</v>
      </c>
      <c r="AJ584" s="152">
        <f>'copy data3'!L638</f>
        <v>4731</v>
      </c>
      <c r="AK584" s="38">
        <f t="shared" si="254"/>
        <v>4535.25</v>
      </c>
      <c r="AL584" s="71">
        <f t="shared" si="245"/>
        <v>51.286328169173359</v>
      </c>
      <c r="AM584" s="152">
        <f>'copy data3'!N638</f>
        <v>10739</v>
      </c>
      <c r="AN584" s="38">
        <f t="shared" si="255"/>
        <v>10547.5</v>
      </c>
      <c r="AO584" s="71">
        <f t="shared" si="246"/>
        <v>87.85922532278218</v>
      </c>
      <c r="AP584" s="152">
        <f>'copy data3'!P638</f>
        <v>7012</v>
      </c>
      <c r="AQ584" s="38">
        <f t="shared" si="256"/>
        <v>8039</v>
      </c>
      <c r="AR584" s="71">
        <f t="shared" si="247"/>
        <v>64.425388684083984</v>
      </c>
      <c r="AS584" s="153">
        <f>'copy data3'!R638</f>
        <v>22482</v>
      </c>
      <c r="AT584" s="38">
        <f t="shared" si="257"/>
        <v>23121.75</v>
      </c>
      <c r="AU584" s="71">
        <f t="shared" si="248"/>
        <v>69.380513713016867</v>
      </c>
    </row>
    <row r="585" spans="1:47" ht="15.6" x14ac:dyDescent="0.3">
      <c r="A585" s="10">
        <v>38911</v>
      </c>
      <c r="B585" s="6">
        <v>989</v>
      </c>
      <c r="C585" s="6">
        <v>646</v>
      </c>
      <c r="D585" s="6">
        <v>511</v>
      </c>
      <c r="E585" s="6">
        <v>285</v>
      </c>
      <c r="F585" s="6">
        <v>982</v>
      </c>
      <c r="G585" s="6">
        <v>877</v>
      </c>
      <c r="H585" s="6">
        <v>696</v>
      </c>
      <c r="I585" s="6">
        <v>477</v>
      </c>
      <c r="J585" s="6">
        <v>283</v>
      </c>
      <c r="K585" s="6">
        <v>90</v>
      </c>
      <c r="L585" s="6">
        <v>3461</v>
      </c>
      <c r="M585" s="6">
        <v>2375</v>
      </c>
      <c r="N585" s="6">
        <v>7794</v>
      </c>
      <c r="O585" s="6">
        <v>45358</v>
      </c>
      <c r="P585" s="6">
        <v>2000</v>
      </c>
      <c r="Q585" s="6">
        <v>23330</v>
      </c>
      <c r="R585" s="16">
        <f t="shared" si="115"/>
        <v>13255</v>
      </c>
      <c r="T585" s="140">
        <f t="shared" si="114"/>
        <v>40941</v>
      </c>
      <c r="U585" s="154">
        <f>'copy data3'!B639</f>
        <v>1396</v>
      </c>
      <c r="V585" s="38">
        <f t="shared" si="249"/>
        <v>1383.75</v>
      </c>
      <c r="W585" s="71">
        <f t="shared" si="240"/>
        <v>38.225138121546962</v>
      </c>
      <c r="X585" s="154">
        <f>'copy data3'!D639</f>
        <v>734</v>
      </c>
      <c r="Y585" s="38">
        <f t="shared" si="250"/>
        <v>638</v>
      </c>
      <c r="Z585" s="71">
        <f t="shared" si="241"/>
        <v>80.861850443599494</v>
      </c>
      <c r="AA585" s="152">
        <f>'copy data3'!F639</f>
        <v>1120</v>
      </c>
      <c r="AB585" s="38">
        <f t="shared" si="251"/>
        <v>1197.25</v>
      </c>
      <c r="AC585" s="71">
        <f t="shared" si="242"/>
        <v>47.043222003929273</v>
      </c>
      <c r="AD585" s="152">
        <f>'copy data3'!H639</f>
        <v>1694</v>
      </c>
      <c r="AE585" s="38">
        <f t="shared" si="252"/>
        <v>1431.75</v>
      </c>
      <c r="AF585" s="71">
        <f t="shared" si="243"/>
        <v>110.13461538461537</v>
      </c>
      <c r="AG585" s="152">
        <f>'copy data3'!J639</f>
        <v>31</v>
      </c>
      <c r="AH585" s="38">
        <f t="shared" si="253"/>
        <v>34</v>
      </c>
      <c r="AI585" s="71">
        <f t="shared" si="244"/>
        <v>35.051546391752574</v>
      </c>
      <c r="AJ585" s="152">
        <f>'copy data3'!L639</f>
        <v>4975</v>
      </c>
      <c r="AK585" s="38">
        <f t="shared" si="254"/>
        <v>4714.75</v>
      </c>
      <c r="AL585" s="71">
        <f t="shared" si="245"/>
        <v>56.450550766283527</v>
      </c>
      <c r="AM585" s="152">
        <f>'copy data3'!N639</f>
        <v>10345</v>
      </c>
      <c r="AN585" s="38">
        <f t="shared" si="255"/>
        <v>10515.25</v>
      </c>
      <c r="AO585" s="71">
        <f t="shared" si="246"/>
        <v>84.507353532106407</v>
      </c>
      <c r="AP585" s="152">
        <f>'copy data3'!P639</f>
        <v>6592</v>
      </c>
      <c r="AQ585" s="38">
        <f t="shared" si="256"/>
        <v>7517.25</v>
      </c>
      <c r="AR585" s="71">
        <f t="shared" si="247"/>
        <v>66.731025299600532</v>
      </c>
      <c r="AS585" s="153">
        <f>'copy data3'!R639</f>
        <v>21912</v>
      </c>
      <c r="AT585" s="38">
        <f t="shared" si="257"/>
        <v>22747.25</v>
      </c>
      <c r="AU585" s="71">
        <f t="shared" si="248"/>
        <v>70.95212102308173</v>
      </c>
    </row>
    <row r="586" spans="1:47" ht="15.6" x14ac:dyDescent="0.3">
      <c r="A586" s="10">
        <v>38554</v>
      </c>
      <c r="B586" s="6">
        <v>1975</v>
      </c>
      <c r="C586" s="6">
        <v>1227</v>
      </c>
      <c r="D586" s="6">
        <v>340</v>
      </c>
      <c r="E586" s="6">
        <v>258</v>
      </c>
      <c r="F586" s="6">
        <v>1283</v>
      </c>
      <c r="G586" s="6">
        <v>1029</v>
      </c>
      <c r="H586" s="6">
        <v>617</v>
      </c>
      <c r="I586" s="6">
        <v>285</v>
      </c>
      <c r="J586" s="6">
        <v>117</v>
      </c>
      <c r="K586" s="6">
        <v>103</v>
      </c>
      <c r="L586" s="6">
        <v>4331</v>
      </c>
      <c r="M586" s="6">
        <v>2903</v>
      </c>
      <c r="N586" s="6">
        <v>5160</v>
      </c>
      <c r="O586" s="6">
        <v>40485</v>
      </c>
      <c r="P586" s="6">
        <v>1008</v>
      </c>
      <c r="Q586" s="6">
        <v>29092</v>
      </c>
      <c r="R586" s="16">
        <f t="shared" si="115"/>
        <v>10499</v>
      </c>
      <c r="T586" s="140">
        <f t="shared" ref="T586:T650" si="258">T585+7</f>
        <v>40948</v>
      </c>
      <c r="U586" s="154">
        <f>'copy data3'!B640</f>
        <v>1323</v>
      </c>
      <c r="V586" s="38">
        <f t="shared" si="249"/>
        <v>1379.25</v>
      </c>
      <c r="W586" s="71">
        <f t="shared" si="240"/>
        <v>37.156519396551722</v>
      </c>
      <c r="X586" s="154">
        <f>'copy data3'!D640</f>
        <v>749</v>
      </c>
      <c r="Y586" s="38">
        <f t="shared" si="250"/>
        <v>676</v>
      </c>
      <c r="Z586" s="71">
        <f t="shared" si="241"/>
        <v>95.615275813295625</v>
      </c>
      <c r="AA586" s="152">
        <f>'copy data3'!F640</f>
        <v>1045</v>
      </c>
      <c r="AB586" s="38">
        <f t="shared" si="251"/>
        <v>1145.75</v>
      </c>
      <c r="AC586" s="71">
        <f t="shared" si="242"/>
        <v>45.358273950910529</v>
      </c>
      <c r="AD586" s="152">
        <f>'copy data3'!H640</f>
        <v>1775</v>
      </c>
      <c r="AE586" s="38">
        <f t="shared" si="252"/>
        <v>1592.5</v>
      </c>
      <c r="AF586" s="71">
        <f t="shared" si="243"/>
        <v>121.37957317073172</v>
      </c>
      <c r="AG586" s="152">
        <f>'copy data3'!J640</f>
        <v>25</v>
      </c>
      <c r="AH586" s="38">
        <f t="shared" si="253"/>
        <v>29</v>
      </c>
      <c r="AI586" s="71">
        <f t="shared" si="244"/>
        <v>27.102803738317753</v>
      </c>
      <c r="AJ586" s="152">
        <f>'copy data3'!L640</f>
        <v>4916</v>
      </c>
      <c r="AK586" s="38">
        <f t="shared" si="254"/>
        <v>4822.25</v>
      </c>
      <c r="AL586" s="71">
        <f t="shared" si="245"/>
        <v>57.647937836222354</v>
      </c>
      <c r="AM586" s="152">
        <f>'copy data3'!N640</f>
        <v>10664</v>
      </c>
      <c r="AN586" s="38">
        <f t="shared" si="255"/>
        <v>10561.25</v>
      </c>
      <c r="AO586" s="71">
        <f t="shared" si="246"/>
        <v>82.522659790592286</v>
      </c>
      <c r="AP586" s="152">
        <f>'copy data3'!P640</f>
        <v>6027</v>
      </c>
      <c r="AQ586" s="38">
        <f t="shared" si="256"/>
        <v>6876</v>
      </c>
      <c r="AR586" s="71">
        <f t="shared" si="247"/>
        <v>63.927110449981406</v>
      </c>
      <c r="AS586" s="153">
        <f>'copy data3'!R640</f>
        <v>21607</v>
      </c>
      <c r="AT586" s="38">
        <f t="shared" si="257"/>
        <v>22259.5</v>
      </c>
      <c r="AU586" s="71">
        <f t="shared" si="248"/>
        <v>69.737460446755847</v>
      </c>
    </row>
    <row r="587" spans="1:47" ht="15.6" x14ac:dyDescent="0.3">
      <c r="A587" s="10">
        <v>38918</v>
      </c>
      <c r="B587" s="6">
        <v>952</v>
      </c>
      <c r="C587" s="6">
        <v>730</v>
      </c>
      <c r="D587" s="6">
        <v>481</v>
      </c>
      <c r="E587" s="6">
        <v>412</v>
      </c>
      <c r="F587" s="6">
        <v>1001</v>
      </c>
      <c r="G587" s="6">
        <v>1015</v>
      </c>
      <c r="H587" s="6">
        <v>702</v>
      </c>
      <c r="I587" s="6">
        <v>637</v>
      </c>
      <c r="J587" s="6">
        <v>264</v>
      </c>
      <c r="K587" s="6">
        <v>109</v>
      </c>
      <c r="L587" s="6">
        <v>3399</v>
      </c>
      <c r="M587" s="6">
        <v>2902</v>
      </c>
      <c r="N587" s="6">
        <v>7387</v>
      </c>
      <c r="O587" s="6">
        <v>46741</v>
      </c>
      <c r="P587" s="6">
        <v>1901</v>
      </c>
      <c r="Q587" s="6">
        <v>23628</v>
      </c>
      <c r="R587" s="16">
        <f t="shared" si="115"/>
        <v>12687</v>
      </c>
      <c r="T587" s="140">
        <f t="shared" si="258"/>
        <v>40955</v>
      </c>
      <c r="U587" s="154">
        <f>'copy data3'!B641</f>
        <v>1215</v>
      </c>
      <c r="V587" s="38">
        <f t="shared" si="249"/>
        <v>1346.5</v>
      </c>
      <c r="W587" s="71">
        <f t="shared" ref="W587:W592" si="259">(V587/U535)*100</f>
        <v>36.196236559139784</v>
      </c>
      <c r="X587" s="154">
        <f>'copy data3'!D641</f>
        <v>913</v>
      </c>
      <c r="Y587" s="38">
        <f t="shared" si="250"/>
        <v>747</v>
      </c>
      <c r="Z587" s="71">
        <f t="shared" ref="Z587:Z592" si="260">(Y587/X535)*100</f>
        <v>91.097560975609753</v>
      </c>
      <c r="AA587" s="152">
        <f>'copy data3'!F641</f>
        <v>1229</v>
      </c>
      <c r="AB587" s="38">
        <f t="shared" si="251"/>
        <v>1148.25</v>
      </c>
      <c r="AC587" s="71">
        <f t="shared" ref="AC587:AC592" si="261">(AB587/AA535)*100</f>
        <v>43.859816653934303</v>
      </c>
      <c r="AD587" s="152">
        <f>'copy data3'!H641</f>
        <v>1708</v>
      </c>
      <c r="AE587" s="38">
        <f t="shared" si="252"/>
        <v>1658.75</v>
      </c>
      <c r="AF587" s="71">
        <f t="shared" ref="AF587:AF592" si="262">(AE587/AD535)*100</f>
        <v>136.52263374485597</v>
      </c>
      <c r="AG587" s="152">
        <f>'copy data3'!J641</f>
        <v>22</v>
      </c>
      <c r="AH587" s="38">
        <f t="shared" si="253"/>
        <v>27</v>
      </c>
      <c r="AI587" s="71">
        <f t="shared" ref="AI587:AI592" si="263">(AH587/AG535)*100</f>
        <v>20.930232558139537</v>
      </c>
      <c r="AJ587" s="152">
        <f>'copy data3'!L641</f>
        <v>5087</v>
      </c>
      <c r="AK587" s="38">
        <f t="shared" si="254"/>
        <v>4927.25</v>
      </c>
      <c r="AL587" s="71">
        <f t="shared" ref="AL587:AL592" si="264">(AK587/AJ535)*100</f>
        <v>57.954010820983292</v>
      </c>
      <c r="AM587" s="152">
        <f>'copy data3'!N641</f>
        <v>10729</v>
      </c>
      <c r="AN587" s="38">
        <f t="shared" si="255"/>
        <v>10619.25</v>
      </c>
      <c r="AO587" s="71">
        <f t="shared" ref="AO587:AO592" si="265">(AN587/AM535)*100</f>
        <v>80.217933222541177</v>
      </c>
      <c r="AP587" s="152">
        <f>'copy data3'!P641</f>
        <v>5979</v>
      </c>
      <c r="AQ587" s="38">
        <f t="shared" si="256"/>
        <v>6402.5</v>
      </c>
      <c r="AR587" s="71">
        <f t="shared" ref="AR587:AR592" si="266">(AQ587/AP535)*100</f>
        <v>65.876118942278012</v>
      </c>
      <c r="AS587" s="153">
        <f>'copy data3'!R641</f>
        <v>21795</v>
      </c>
      <c r="AT587" s="38">
        <f t="shared" si="257"/>
        <v>21949</v>
      </c>
      <c r="AU587" s="71">
        <f t="shared" ref="AU587:AU592" si="267">(AT587/AS535)*100</f>
        <v>69.770177055850468</v>
      </c>
    </row>
    <row r="588" spans="1:47" ht="15.6" x14ac:dyDescent="0.3">
      <c r="A588" s="10">
        <v>38561</v>
      </c>
      <c r="B588" s="6">
        <v>2181</v>
      </c>
      <c r="C588" s="6">
        <v>1476</v>
      </c>
      <c r="D588" s="6">
        <v>308</v>
      </c>
      <c r="E588" s="6">
        <v>372</v>
      </c>
      <c r="F588" s="6">
        <v>1266</v>
      </c>
      <c r="G588" s="6">
        <v>1202</v>
      </c>
      <c r="H588" s="6">
        <v>674</v>
      </c>
      <c r="I588" s="6">
        <v>347</v>
      </c>
      <c r="J588" s="6">
        <v>142</v>
      </c>
      <c r="K588" s="6">
        <v>130</v>
      </c>
      <c r="L588" s="6">
        <v>4569</v>
      </c>
      <c r="M588" s="6">
        <v>3527</v>
      </c>
      <c r="N588" s="6">
        <v>4498</v>
      </c>
      <c r="O588" s="6">
        <v>41375</v>
      </c>
      <c r="P588" s="6">
        <v>999</v>
      </c>
      <c r="Q588" s="6">
        <v>29196</v>
      </c>
      <c r="R588" s="16">
        <f t="shared" si="115"/>
        <v>10066</v>
      </c>
      <c r="T588" s="140">
        <f t="shared" si="258"/>
        <v>40962</v>
      </c>
      <c r="U588" s="154">
        <f>'copy data3'!B642</f>
        <v>1272</v>
      </c>
      <c r="V588" s="38">
        <f t="shared" si="249"/>
        <v>1301.5</v>
      </c>
      <c r="W588" s="71">
        <f t="shared" si="259"/>
        <v>33.981723237597912</v>
      </c>
      <c r="X588" s="154">
        <f>'copy data3'!D642</f>
        <v>951</v>
      </c>
      <c r="Y588" s="38">
        <f t="shared" si="250"/>
        <v>836.75</v>
      </c>
      <c r="Z588" s="71">
        <f t="shared" si="260"/>
        <v>91.950549450549445</v>
      </c>
      <c r="AA588" s="152">
        <f>'copy data3'!F642</f>
        <v>1238</v>
      </c>
      <c r="AB588" s="38">
        <f t="shared" si="251"/>
        <v>1158</v>
      </c>
      <c r="AC588" s="71">
        <f t="shared" si="261"/>
        <v>47.323252962811608</v>
      </c>
      <c r="AD588" s="152">
        <f>'copy data3'!H642</f>
        <v>1812</v>
      </c>
      <c r="AE588" s="38">
        <f t="shared" si="252"/>
        <v>1747.25</v>
      </c>
      <c r="AF588" s="71">
        <f t="shared" si="262"/>
        <v>144.87976782752904</v>
      </c>
      <c r="AG588" s="152">
        <f>'copy data3'!J642</f>
        <v>22</v>
      </c>
      <c r="AH588" s="38">
        <f t="shared" si="253"/>
        <v>25</v>
      </c>
      <c r="AI588" s="71">
        <f t="shared" si="263"/>
        <v>19.379844961240313</v>
      </c>
      <c r="AJ588" s="152">
        <f>'copy data3'!L642</f>
        <v>5295</v>
      </c>
      <c r="AK588" s="38">
        <f t="shared" si="254"/>
        <v>5068.25</v>
      </c>
      <c r="AL588" s="71">
        <f t="shared" si="264"/>
        <v>59.479521182959751</v>
      </c>
      <c r="AM588" s="152">
        <f>'copy data3'!N642</f>
        <v>10601</v>
      </c>
      <c r="AN588" s="38">
        <f t="shared" si="255"/>
        <v>10584.75</v>
      </c>
      <c r="AO588" s="71">
        <f t="shared" si="265"/>
        <v>78.295362082994302</v>
      </c>
      <c r="AP588" s="152">
        <f>'copy data3'!P642</f>
        <v>5548</v>
      </c>
      <c r="AQ588" s="38">
        <f t="shared" si="256"/>
        <v>6036.5</v>
      </c>
      <c r="AR588" s="71">
        <f t="shared" si="266"/>
        <v>71.974484320972934</v>
      </c>
      <c r="AS588" s="153">
        <f>'copy data3'!R642</f>
        <v>21444</v>
      </c>
      <c r="AT588" s="38">
        <f t="shared" si="257"/>
        <v>21689.5</v>
      </c>
      <c r="AU588" s="71">
        <f t="shared" si="267"/>
        <v>71.283728267657025</v>
      </c>
    </row>
    <row r="589" spans="1:47" ht="15.6" x14ac:dyDescent="0.3">
      <c r="A589" s="10">
        <v>38925</v>
      </c>
      <c r="B589" s="6">
        <v>965</v>
      </c>
      <c r="C589" s="6">
        <v>895</v>
      </c>
      <c r="D589" s="6">
        <v>511</v>
      </c>
      <c r="E589" s="6">
        <v>467</v>
      </c>
      <c r="F589" s="6">
        <v>1086</v>
      </c>
      <c r="G589" s="6">
        <v>1095</v>
      </c>
      <c r="H589" s="6">
        <v>763</v>
      </c>
      <c r="I589" s="6">
        <v>701</v>
      </c>
      <c r="J589" s="6">
        <v>287</v>
      </c>
      <c r="K589" s="6">
        <v>115</v>
      </c>
      <c r="L589" s="6">
        <v>3612</v>
      </c>
      <c r="M589" s="6">
        <v>3272</v>
      </c>
      <c r="N589" s="6">
        <v>7114</v>
      </c>
      <c r="O589" s="6">
        <v>47915</v>
      </c>
      <c r="P589" s="6">
        <v>1842</v>
      </c>
      <c r="Q589" s="6">
        <v>23856</v>
      </c>
      <c r="R589" s="16">
        <f t="shared" si="115"/>
        <v>12568</v>
      </c>
      <c r="T589" s="140">
        <f t="shared" si="258"/>
        <v>40969</v>
      </c>
      <c r="U589" s="154">
        <f>'copy data3'!B643</f>
        <v>1393</v>
      </c>
      <c r="V589" s="38">
        <f t="shared" ref="V589:V596" si="268">AVERAGE(U586:U589)</f>
        <v>1300.75</v>
      </c>
      <c r="W589" s="71">
        <f t="shared" si="259"/>
        <v>34.411375661375658</v>
      </c>
      <c r="X589" s="154">
        <f>'copy data3'!D643</f>
        <v>966</v>
      </c>
      <c r="Y589" s="38">
        <f t="shared" ref="Y589:Y596" si="269">AVERAGE(X586:X589)</f>
        <v>894.75</v>
      </c>
      <c r="Z589" s="71">
        <f t="shared" si="260"/>
        <v>99.086378737541523</v>
      </c>
      <c r="AA589" s="152">
        <f>'copy data3'!F643</f>
        <v>1303</v>
      </c>
      <c r="AB589" s="38">
        <f t="shared" ref="AB589:AB596" si="270">AVERAGE(AA586:AA589)</f>
        <v>1203.75</v>
      </c>
      <c r="AC589" s="71">
        <f t="shared" si="261"/>
        <v>49.455628594905505</v>
      </c>
      <c r="AD589" s="152">
        <f>'copy data3'!H643</f>
        <v>1621</v>
      </c>
      <c r="AE589" s="38">
        <f t="shared" ref="AE589:AE596" si="271">AVERAGE(AD586:AD589)</f>
        <v>1729</v>
      </c>
      <c r="AF589" s="71">
        <f t="shared" si="262"/>
        <v>136.67984189723322</v>
      </c>
      <c r="AG589" s="152">
        <f>'copy data3'!J643</f>
        <v>26</v>
      </c>
      <c r="AH589" s="38">
        <f t="shared" ref="AH589:AH596" si="272">AVERAGE(AG586:AG589)</f>
        <v>23.75</v>
      </c>
      <c r="AI589" s="71">
        <f t="shared" si="263"/>
        <v>18.849206349206348</v>
      </c>
      <c r="AJ589" s="152">
        <f>'copy data3'!L643</f>
        <v>5309</v>
      </c>
      <c r="AK589" s="38">
        <f t="shared" ref="AK589:AK596" si="273">AVERAGE(AJ586:AJ589)</f>
        <v>5151.75</v>
      </c>
      <c r="AL589" s="71">
        <f t="shared" si="264"/>
        <v>60.551833568406209</v>
      </c>
      <c r="AM589" s="152">
        <f>'copy data3'!N643</f>
        <v>10277</v>
      </c>
      <c r="AN589" s="38">
        <f t="shared" ref="AN589:AN596" si="274">AVERAGE(AM586:AM589)</f>
        <v>10567.75</v>
      </c>
      <c r="AO589" s="71">
        <f t="shared" si="265"/>
        <v>82.618638104917522</v>
      </c>
      <c r="AP589" s="152">
        <f>'copy data3'!P643</f>
        <v>5488</v>
      </c>
      <c r="AQ589" s="38">
        <f t="shared" ref="AQ589:AQ596" si="275">AVERAGE(AP586:AP589)</f>
        <v>5760.5</v>
      </c>
      <c r="AR589" s="71">
        <f t="shared" si="266"/>
        <v>71.417059261095957</v>
      </c>
      <c r="AS589" s="153">
        <f>'copy data3'!R643</f>
        <v>21074</v>
      </c>
      <c r="AT589" s="38">
        <f t="shared" ref="AT589:AT596" si="276">AVERAGE(AS586:AS589)</f>
        <v>21480</v>
      </c>
      <c r="AU589" s="71">
        <f t="shared" si="267"/>
        <v>73.148305806231903</v>
      </c>
    </row>
    <row r="590" spans="1:47" ht="15.6" x14ac:dyDescent="0.3">
      <c r="A590" s="10">
        <v>38568</v>
      </c>
      <c r="B590" s="6">
        <v>2067</v>
      </c>
      <c r="C590" s="6">
        <v>1860</v>
      </c>
      <c r="D590" s="6">
        <v>332</v>
      </c>
      <c r="E590" s="6">
        <v>402</v>
      </c>
      <c r="F590" s="6">
        <v>1200</v>
      </c>
      <c r="G590" s="6">
        <v>1416</v>
      </c>
      <c r="H590" s="6">
        <v>707</v>
      </c>
      <c r="I590" s="6">
        <v>457</v>
      </c>
      <c r="J590" s="6">
        <v>145</v>
      </c>
      <c r="K590" s="6">
        <v>133</v>
      </c>
      <c r="L590" s="6">
        <v>4450</v>
      </c>
      <c r="M590" s="6">
        <v>4267</v>
      </c>
      <c r="N590" s="6">
        <v>4609</v>
      </c>
      <c r="O590" s="6">
        <v>42337</v>
      </c>
      <c r="P590" s="6">
        <v>958</v>
      </c>
      <c r="Q590" s="6">
        <v>29330</v>
      </c>
      <c r="R590" s="16">
        <f t="shared" si="115"/>
        <v>10017</v>
      </c>
      <c r="T590" s="140">
        <f t="shared" si="258"/>
        <v>40976</v>
      </c>
      <c r="U590" s="154">
        <f>'copy data3'!B644</f>
        <v>1283</v>
      </c>
      <c r="V590" s="38">
        <f t="shared" si="268"/>
        <v>1290.75</v>
      </c>
      <c r="W590" s="71">
        <f t="shared" si="259"/>
        <v>33.869063237995277</v>
      </c>
      <c r="X590" s="154">
        <f>'copy data3'!D644</f>
        <v>834</v>
      </c>
      <c r="Y590" s="38">
        <f t="shared" si="269"/>
        <v>916</v>
      </c>
      <c r="Z590" s="71">
        <f t="shared" si="260"/>
        <v>101.1037527593819</v>
      </c>
      <c r="AA590" s="152">
        <f>'copy data3'!F644</f>
        <v>1146</v>
      </c>
      <c r="AB590" s="38">
        <f t="shared" si="270"/>
        <v>1229</v>
      </c>
      <c r="AC590" s="71">
        <f t="shared" si="261"/>
        <v>51.682085786375112</v>
      </c>
      <c r="AD590" s="152">
        <f>'copy data3'!H644</f>
        <v>1392</v>
      </c>
      <c r="AE590" s="38">
        <f t="shared" si="271"/>
        <v>1633.25</v>
      </c>
      <c r="AF590" s="71">
        <f t="shared" si="262"/>
        <v>130.86939102564102</v>
      </c>
      <c r="AG590" s="152">
        <f>'copy data3'!J644</f>
        <v>44</v>
      </c>
      <c r="AH590" s="38">
        <f t="shared" si="272"/>
        <v>28.5</v>
      </c>
      <c r="AI590" s="71">
        <f t="shared" si="263"/>
        <v>20.503597122302157</v>
      </c>
      <c r="AJ590" s="152">
        <f>'copy data3'!L644</f>
        <v>4699</v>
      </c>
      <c r="AK590" s="38">
        <f t="shared" si="273"/>
        <v>5097.5</v>
      </c>
      <c r="AL590" s="71">
        <f t="shared" si="264"/>
        <v>60.104940455135001</v>
      </c>
      <c r="AM590" s="152">
        <f>'copy data3'!N644</f>
        <v>10078</v>
      </c>
      <c r="AN590" s="38">
        <f t="shared" si="274"/>
        <v>10421.25</v>
      </c>
      <c r="AO590" s="71">
        <f t="shared" si="265"/>
        <v>80.491619680234805</v>
      </c>
      <c r="AP590" s="152">
        <f>'copy data3'!P644</f>
        <v>5387</v>
      </c>
      <c r="AQ590" s="38">
        <f t="shared" si="275"/>
        <v>5600.5</v>
      </c>
      <c r="AR590" s="71">
        <f t="shared" si="266"/>
        <v>75.949281258475722</v>
      </c>
      <c r="AS590" s="153">
        <f>'copy data3'!R644</f>
        <v>20164</v>
      </c>
      <c r="AT590" s="38">
        <f t="shared" si="276"/>
        <v>21119.25</v>
      </c>
      <c r="AU590" s="71">
        <f t="shared" si="267"/>
        <v>73.325637108534124</v>
      </c>
    </row>
    <row r="591" spans="1:47" ht="15.6" x14ac:dyDescent="0.3">
      <c r="A591" s="10">
        <v>38932</v>
      </c>
      <c r="B591" s="6">
        <v>902</v>
      </c>
      <c r="C591" s="6">
        <v>1054</v>
      </c>
      <c r="D591" s="6">
        <v>437</v>
      </c>
      <c r="E591" s="6">
        <v>592</v>
      </c>
      <c r="F591" s="6">
        <v>1097</v>
      </c>
      <c r="G591" s="6">
        <v>1256</v>
      </c>
      <c r="H591" s="6">
        <v>723</v>
      </c>
      <c r="I591" s="6">
        <v>787</v>
      </c>
      <c r="J591" s="6">
        <v>293</v>
      </c>
      <c r="K591" s="6">
        <v>140</v>
      </c>
      <c r="L591" s="6">
        <v>3451</v>
      </c>
      <c r="M591" s="6">
        <v>3829</v>
      </c>
      <c r="N591" s="6">
        <v>6961</v>
      </c>
      <c r="O591" s="6">
        <v>49226</v>
      </c>
      <c r="P591" s="6">
        <v>1662</v>
      </c>
      <c r="Q591" s="6">
        <v>24310</v>
      </c>
      <c r="R591" s="16">
        <f t="shared" si="115"/>
        <v>12074</v>
      </c>
      <c r="T591" s="140">
        <f t="shared" si="258"/>
        <v>40983</v>
      </c>
      <c r="U591" s="154">
        <f>'copy data3'!B645</f>
        <v>1208</v>
      </c>
      <c r="V591" s="38">
        <f t="shared" si="268"/>
        <v>1289</v>
      </c>
      <c r="W591" s="71">
        <f t="shared" si="259"/>
        <v>33.965744400527008</v>
      </c>
      <c r="X591" s="154">
        <f>'copy data3'!D645</f>
        <v>855</v>
      </c>
      <c r="Y591" s="38">
        <f t="shared" si="269"/>
        <v>901.5</v>
      </c>
      <c r="Z591" s="71">
        <f t="shared" si="260"/>
        <v>104.4611819235226</v>
      </c>
      <c r="AA591" s="152">
        <f>'copy data3'!F645</f>
        <v>1167</v>
      </c>
      <c r="AB591" s="38">
        <f t="shared" si="270"/>
        <v>1213.5</v>
      </c>
      <c r="AC591" s="71">
        <f t="shared" si="261"/>
        <v>51.441288681644771</v>
      </c>
      <c r="AD591" s="152">
        <f>'copy data3'!H645</f>
        <v>1405</v>
      </c>
      <c r="AE591" s="38">
        <f t="shared" si="271"/>
        <v>1557.5</v>
      </c>
      <c r="AF591" s="71">
        <f t="shared" si="262"/>
        <v>113.5204081632653</v>
      </c>
      <c r="AG591" s="152">
        <f>'copy data3'!J645</f>
        <v>55</v>
      </c>
      <c r="AH591" s="38">
        <f t="shared" si="272"/>
        <v>36.75</v>
      </c>
      <c r="AI591" s="71">
        <f t="shared" si="263"/>
        <v>28.053435114503817</v>
      </c>
      <c r="AJ591" s="152">
        <f>'copy data3'!L645</f>
        <v>4689</v>
      </c>
      <c r="AK591" s="38">
        <f t="shared" si="273"/>
        <v>4998</v>
      </c>
      <c r="AL591" s="71">
        <f t="shared" si="264"/>
        <v>58.661971830985912</v>
      </c>
      <c r="AM591" s="152">
        <f>'copy data3'!N645</f>
        <v>10432</v>
      </c>
      <c r="AN591" s="38">
        <f t="shared" si="274"/>
        <v>10347</v>
      </c>
      <c r="AO591" s="71">
        <f t="shared" si="265"/>
        <v>79.825644190711316</v>
      </c>
      <c r="AP591" s="152">
        <f>'copy data3'!P645</f>
        <v>5133</v>
      </c>
      <c r="AQ591" s="38">
        <f t="shared" si="275"/>
        <v>5389</v>
      </c>
      <c r="AR591" s="71">
        <f t="shared" si="266"/>
        <v>78.982852117836728</v>
      </c>
      <c r="AS591" s="153">
        <f>'copy data3'!R645</f>
        <v>20254</v>
      </c>
      <c r="AT591" s="38">
        <f t="shared" si="276"/>
        <v>20734</v>
      </c>
      <c r="AU591" s="71">
        <f t="shared" si="267"/>
        <v>73.252075605016785</v>
      </c>
    </row>
    <row r="592" spans="1:47" ht="15.6" x14ac:dyDescent="0.3">
      <c r="A592" s="10">
        <v>38575</v>
      </c>
      <c r="B592" s="6">
        <v>2045</v>
      </c>
      <c r="C592" s="6">
        <v>2133</v>
      </c>
      <c r="D592" s="6">
        <v>303</v>
      </c>
      <c r="E592" s="6">
        <v>490</v>
      </c>
      <c r="F592" s="6">
        <v>1191</v>
      </c>
      <c r="G592" s="6">
        <v>1541</v>
      </c>
      <c r="H592" s="6">
        <v>708</v>
      </c>
      <c r="I592" s="6">
        <v>487</v>
      </c>
      <c r="J592" s="6">
        <v>103</v>
      </c>
      <c r="K592" s="6">
        <v>184</v>
      </c>
      <c r="L592" s="6">
        <v>4350</v>
      </c>
      <c r="M592" s="6">
        <v>4835</v>
      </c>
      <c r="N592" s="6">
        <v>4330</v>
      </c>
      <c r="O592" s="6">
        <v>43081</v>
      </c>
      <c r="P592" s="6">
        <v>901</v>
      </c>
      <c r="Q592" s="6">
        <v>29538</v>
      </c>
      <c r="R592" s="16">
        <f t="shared" ref="R592:R655" si="277">P592+N592+L592</f>
        <v>9581</v>
      </c>
      <c r="T592" s="140">
        <f t="shared" si="258"/>
        <v>40990</v>
      </c>
      <c r="U592" s="154">
        <f>'copy data3'!B646</f>
        <v>1222</v>
      </c>
      <c r="V592" s="38">
        <f t="shared" si="268"/>
        <v>1276.5</v>
      </c>
      <c r="W592" s="71">
        <f t="shared" si="259"/>
        <v>35.876897133220908</v>
      </c>
      <c r="X592" s="154">
        <f>'copy data3'!D646</f>
        <v>834</v>
      </c>
      <c r="Y592" s="38">
        <f t="shared" si="269"/>
        <v>872.25</v>
      </c>
      <c r="Z592" s="71">
        <f t="shared" si="260"/>
        <v>104.71188475390156</v>
      </c>
      <c r="AA592" s="152">
        <f>'copy data3'!F646</f>
        <v>1028</v>
      </c>
      <c r="AB592" s="38">
        <f t="shared" si="270"/>
        <v>1161</v>
      </c>
      <c r="AC592" s="71">
        <f t="shared" si="261"/>
        <v>54.867674858223062</v>
      </c>
      <c r="AD592" s="152">
        <f>'copy data3'!H646</f>
        <v>1337</v>
      </c>
      <c r="AE592" s="38">
        <f t="shared" si="271"/>
        <v>1438.75</v>
      </c>
      <c r="AF592" s="71">
        <f t="shared" si="262"/>
        <v>114.55015923566879</v>
      </c>
      <c r="AG592" s="152">
        <f>'copy data3'!J646</f>
        <v>55</v>
      </c>
      <c r="AH592" s="38">
        <f t="shared" si="272"/>
        <v>45</v>
      </c>
      <c r="AI592" s="71">
        <f t="shared" si="263"/>
        <v>32.142857142857146</v>
      </c>
      <c r="AJ592" s="152">
        <f>'copy data3'!L646</f>
        <v>4475</v>
      </c>
      <c r="AK592" s="38">
        <f t="shared" si="273"/>
        <v>4793</v>
      </c>
      <c r="AL592" s="71">
        <f t="shared" si="264"/>
        <v>60.647855244843726</v>
      </c>
      <c r="AM592" s="152">
        <f>'copy data3'!N646</f>
        <v>9919</v>
      </c>
      <c r="AN592" s="38">
        <f t="shared" si="274"/>
        <v>10176.5</v>
      </c>
      <c r="AO592" s="71">
        <f t="shared" si="265"/>
        <v>73.439416901205163</v>
      </c>
      <c r="AP592" s="152">
        <f>'copy data3'!P646</f>
        <v>5044</v>
      </c>
      <c r="AQ592" s="38">
        <f t="shared" si="275"/>
        <v>5263</v>
      </c>
      <c r="AR592" s="71">
        <f t="shared" si="266"/>
        <v>85.730575012216974</v>
      </c>
      <c r="AS592" s="153">
        <f>'copy data3'!R646</f>
        <v>19438</v>
      </c>
      <c r="AT592" s="38">
        <f t="shared" si="276"/>
        <v>20232.5</v>
      </c>
      <c r="AU592" s="71">
        <f t="shared" si="267"/>
        <v>72.520520448761602</v>
      </c>
    </row>
    <row r="593" spans="1:47" ht="15.6" x14ac:dyDescent="0.3">
      <c r="A593" s="10">
        <v>38939</v>
      </c>
      <c r="B593" s="6">
        <v>887</v>
      </c>
      <c r="C593" s="6">
        <v>1160</v>
      </c>
      <c r="D593" s="6">
        <v>405</v>
      </c>
      <c r="E593" s="6">
        <v>674</v>
      </c>
      <c r="F593" s="6">
        <v>1135</v>
      </c>
      <c r="G593" s="6">
        <v>1344</v>
      </c>
      <c r="H593" s="6">
        <v>756</v>
      </c>
      <c r="I593" s="6">
        <v>874</v>
      </c>
      <c r="J593" s="6">
        <v>268</v>
      </c>
      <c r="K593" s="6">
        <v>165</v>
      </c>
      <c r="L593" s="6">
        <v>3451</v>
      </c>
      <c r="M593" s="6">
        <v>4216</v>
      </c>
      <c r="N593" s="6">
        <v>6306</v>
      </c>
      <c r="O593" s="6">
        <v>50457</v>
      </c>
      <c r="P593" s="6">
        <v>1733</v>
      </c>
      <c r="Q593" s="6">
        <v>24497</v>
      </c>
      <c r="R593" s="16">
        <f t="shared" si="277"/>
        <v>11490</v>
      </c>
      <c r="T593" s="140">
        <f t="shared" si="258"/>
        <v>40997</v>
      </c>
      <c r="U593" s="154">
        <f>'copy data3'!B647</f>
        <v>1123</v>
      </c>
      <c r="V593" s="38">
        <f t="shared" si="268"/>
        <v>1209</v>
      </c>
      <c r="W593" s="71">
        <f t="shared" ref="W593:W598" si="278">(V593/U541)*100</f>
        <v>35.705847607796812</v>
      </c>
      <c r="X593" s="154">
        <f>'copy data3'!D647</f>
        <v>885</v>
      </c>
      <c r="Y593" s="38">
        <f t="shared" si="269"/>
        <v>852</v>
      </c>
      <c r="Z593" s="71">
        <f t="shared" ref="Z593:Z598" si="279">(Y593/X541)*100</f>
        <v>114.97975708502024</v>
      </c>
      <c r="AA593" s="152">
        <f>'copy data3'!F647</f>
        <v>1057</v>
      </c>
      <c r="AB593" s="38">
        <f t="shared" si="270"/>
        <v>1099.5</v>
      </c>
      <c r="AC593" s="71">
        <f t="shared" ref="AC593:AC598" si="280">(AB593/AA541)*100</f>
        <v>52.632838678793682</v>
      </c>
      <c r="AD593" s="152">
        <f>'copy data3'!H647</f>
        <v>1357</v>
      </c>
      <c r="AE593" s="38">
        <f t="shared" si="271"/>
        <v>1372.75</v>
      </c>
      <c r="AF593" s="71">
        <f t="shared" ref="AF593:AF598" si="281">(AE593/AD541)*100</f>
        <v>106.9119937694704</v>
      </c>
      <c r="AG593" s="152">
        <f>'copy data3'!J647</f>
        <v>56</v>
      </c>
      <c r="AH593" s="38">
        <f t="shared" si="272"/>
        <v>52.5</v>
      </c>
      <c r="AI593" s="71">
        <f t="shared" ref="AI593:AI598" si="282">(AH593/AG541)*100</f>
        <v>37.5</v>
      </c>
      <c r="AJ593" s="152">
        <f>'copy data3'!L647</f>
        <v>4478</v>
      </c>
      <c r="AK593" s="38">
        <f t="shared" si="273"/>
        <v>4585.25</v>
      </c>
      <c r="AL593" s="71">
        <f t="shared" ref="AL593:AL598" si="283">(AK593/AJ541)*100</f>
        <v>60.024217829558843</v>
      </c>
      <c r="AM593" s="152">
        <f>'copy data3'!N647</f>
        <v>10064</v>
      </c>
      <c r="AN593" s="38">
        <f t="shared" si="274"/>
        <v>10123.25</v>
      </c>
      <c r="AO593" s="71">
        <f t="shared" ref="AO593:AO598" si="284">(AN593/AM541)*100</f>
        <v>75.204293886041157</v>
      </c>
      <c r="AP593" s="152">
        <f>'copy data3'!P647</f>
        <v>4595</v>
      </c>
      <c r="AQ593" s="38">
        <f t="shared" si="275"/>
        <v>5039.75</v>
      </c>
      <c r="AR593" s="71">
        <f t="shared" ref="AR593:AR598" si="285">(AQ593/AP541)*100</f>
        <v>90.529010238907844</v>
      </c>
      <c r="AS593" s="153">
        <f>'copy data3'!R647</f>
        <v>19137</v>
      </c>
      <c r="AT593" s="38">
        <f t="shared" si="276"/>
        <v>19748.25</v>
      </c>
      <c r="AU593" s="71">
        <f t="shared" ref="AU593:AU598" si="286">(AT593/AS541)*100</f>
        <v>74.055011812352348</v>
      </c>
    </row>
    <row r="594" spans="1:47" ht="15.6" x14ac:dyDescent="0.3">
      <c r="A594" s="10">
        <v>38582</v>
      </c>
      <c r="B594" s="6">
        <v>2376</v>
      </c>
      <c r="C594" s="6">
        <v>2247</v>
      </c>
      <c r="D594" s="6">
        <v>361</v>
      </c>
      <c r="E594" s="6">
        <v>555</v>
      </c>
      <c r="F594" s="6">
        <v>1177</v>
      </c>
      <c r="G594" s="6">
        <v>1660</v>
      </c>
      <c r="H594" s="6">
        <v>819</v>
      </c>
      <c r="I594" s="6">
        <v>555</v>
      </c>
      <c r="J594" s="6">
        <v>83</v>
      </c>
      <c r="K594" s="6">
        <v>207</v>
      </c>
      <c r="L594" s="6">
        <v>4815</v>
      </c>
      <c r="M594" s="6">
        <v>5224</v>
      </c>
      <c r="N594" s="6">
        <v>3799</v>
      </c>
      <c r="O594" s="6">
        <v>43931</v>
      </c>
      <c r="P594" s="6">
        <v>853</v>
      </c>
      <c r="Q594" s="6">
        <v>29686</v>
      </c>
      <c r="R594" s="16">
        <f t="shared" si="277"/>
        <v>9467</v>
      </c>
      <c r="T594" s="140">
        <f t="shared" si="258"/>
        <v>41004</v>
      </c>
      <c r="U594" s="154">
        <f>'copy data3'!B648</f>
        <v>1220</v>
      </c>
      <c r="V594" s="38">
        <f t="shared" si="268"/>
        <v>1193.25</v>
      </c>
      <c r="W594" s="71">
        <f t="shared" si="278"/>
        <v>37.856916243654823</v>
      </c>
      <c r="X594" s="154">
        <f>'copy data3'!D648</f>
        <v>858</v>
      </c>
      <c r="Y594" s="38">
        <f t="shared" si="269"/>
        <v>858</v>
      </c>
      <c r="Z594" s="71">
        <f t="shared" si="279"/>
        <v>121.875</v>
      </c>
      <c r="AA594" s="152">
        <f>'copy data3'!F648</f>
        <v>1093</v>
      </c>
      <c r="AB594" s="38">
        <f t="shared" si="270"/>
        <v>1086.25</v>
      </c>
      <c r="AC594" s="71">
        <f t="shared" si="280"/>
        <v>51.652401331431285</v>
      </c>
      <c r="AD594" s="152">
        <f>'copy data3'!H648</f>
        <v>1263</v>
      </c>
      <c r="AE594" s="38">
        <f t="shared" si="271"/>
        <v>1340.5</v>
      </c>
      <c r="AF594" s="71">
        <f t="shared" si="281"/>
        <v>105.13725490196077</v>
      </c>
      <c r="AG594" s="152">
        <f>'copy data3'!J648</f>
        <v>56</v>
      </c>
      <c r="AH594" s="38">
        <f t="shared" si="272"/>
        <v>55.5</v>
      </c>
      <c r="AI594" s="71">
        <f t="shared" si="282"/>
        <v>44.4</v>
      </c>
      <c r="AJ594" s="152">
        <f>'copy data3'!L648</f>
        <v>4490</v>
      </c>
      <c r="AK594" s="38">
        <f t="shared" si="273"/>
        <v>4533</v>
      </c>
      <c r="AL594" s="71">
        <f t="shared" si="283"/>
        <v>61.606414786626793</v>
      </c>
      <c r="AM594" s="152">
        <f>'copy data3'!N648</f>
        <v>10365</v>
      </c>
      <c r="AN594" s="38">
        <f t="shared" si="274"/>
        <v>10195</v>
      </c>
      <c r="AO594" s="71">
        <f t="shared" si="284"/>
        <v>77.170539701763687</v>
      </c>
      <c r="AP594" s="152">
        <f>'copy data3'!P648</f>
        <v>4282</v>
      </c>
      <c r="AQ594" s="38">
        <f t="shared" si="275"/>
        <v>4763.5</v>
      </c>
      <c r="AR594" s="71">
        <f t="shared" si="285"/>
        <v>92.6390509529366</v>
      </c>
      <c r="AS594" s="153">
        <f>'copy data3'!R648</f>
        <v>19137</v>
      </c>
      <c r="AT594" s="38">
        <f t="shared" si="276"/>
        <v>19491.5</v>
      </c>
      <c r="AU594" s="71">
        <f t="shared" si="286"/>
        <v>75.809964606588622</v>
      </c>
    </row>
    <row r="595" spans="1:47" ht="15.6" x14ac:dyDescent="0.3">
      <c r="A595" s="10">
        <v>38946</v>
      </c>
      <c r="B595" s="6">
        <v>764</v>
      </c>
      <c r="C595" s="6">
        <v>1283</v>
      </c>
      <c r="D595" s="6">
        <v>484</v>
      </c>
      <c r="E595" s="6">
        <v>741</v>
      </c>
      <c r="F595" s="6">
        <v>1159</v>
      </c>
      <c r="G595" s="6">
        <v>1452</v>
      </c>
      <c r="H595" s="6">
        <v>783</v>
      </c>
      <c r="I595" s="6">
        <v>958</v>
      </c>
      <c r="J595" s="6">
        <v>263</v>
      </c>
      <c r="K595" s="6">
        <v>173</v>
      </c>
      <c r="L595" s="6">
        <v>3454</v>
      </c>
      <c r="M595" s="6">
        <v>4607</v>
      </c>
      <c r="N595" s="6">
        <v>5305</v>
      </c>
      <c r="O595" s="6">
        <v>51632</v>
      </c>
      <c r="P595" s="6">
        <v>1451</v>
      </c>
      <c r="Q595" s="6">
        <v>24826</v>
      </c>
      <c r="R595" s="16">
        <f t="shared" si="277"/>
        <v>10210</v>
      </c>
      <c r="T595" s="140">
        <f t="shared" si="258"/>
        <v>41011</v>
      </c>
      <c r="U595" s="154">
        <f>'copy data3'!B649</f>
        <v>1221</v>
      </c>
      <c r="V595" s="38">
        <f t="shared" si="268"/>
        <v>1196.5</v>
      </c>
      <c r="W595" s="71">
        <f t="shared" si="278"/>
        <v>40.340525960890091</v>
      </c>
      <c r="X595" s="154">
        <f>'copy data3'!D649</f>
        <v>882</v>
      </c>
      <c r="Y595" s="38">
        <f t="shared" si="269"/>
        <v>864.75</v>
      </c>
      <c r="Z595" s="71">
        <f t="shared" si="279"/>
        <v>159.84288354898337</v>
      </c>
      <c r="AA595" s="152">
        <f>'copy data3'!F649</f>
        <v>1026</v>
      </c>
      <c r="AB595" s="38">
        <f t="shared" si="270"/>
        <v>1051</v>
      </c>
      <c r="AC595" s="71">
        <f t="shared" si="280"/>
        <v>57.683863885839735</v>
      </c>
      <c r="AD595" s="152">
        <f>'copy data3'!H649</f>
        <v>1074</v>
      </c>
      <c r="AE595" s="38">
        <f t="shared" si="271"/>
        <v>1257.75</v>
      </c>
      <c r="AF595" s="71">
        <f t="shared" si="281"/>
        <v>102.00729927007299</v>
      </c>
      <c r="AG595" s="152">
        <f>'copy data3'!J649</f>
        <v>22</v>
      </c>
      <c r="AH595" s="38">
        <f t="shared" si="272"/>
        <v>47.25</v>
      </c>
      <c r="AI595" s="71">
        <f t="shared" si="282"/>
        <v>68.478260869565219</v>
      </c>
      <c r="AJ595" s="152">
        <f>'copy data3'!L649</f>
        <v>4224</v>
      </c>
      <c r="AK595" s="38">
        <f t="shared" si="273"/>
        <v>4416.75</v>
      </c>
      <c r="AL595" s="71">
        <f t="shared" si="283"/>
        <v>66.607600663549988</v>
      </c>
      <c r="AM595" s="152">
        <f>'copy data3'!N649</f>
        <v>9551</v>
      </c>
      <c r="AN595" s="38">
        <f t="shared" si="274"/>
        <v>9974.75</v>
      </c>
      <c r="AO595" s="71">
        <f t="shared" si="284"/>
        <v>77.389634572115767</v>
      </c>
      <c r="AP595" s="152">
        <f>'copy data3'!P649</f>
        <v>4162</v>
      </c>
      <c r="AQ595" s="38">
        <f t="shared" si="275"/>
        <v>4520.75</v>
      </c>
      <c r="AR595" s="71">
        <f t="shared" si="285"/>
        <v>89.555269413629162</v>
      </c>
      <c r="AS595" s="153">
        <f>'copy data3'!R649</f>
        <v>17937</v>
      </c>
      <c r="AT595" s="38">
        <f t="shared" si="276"/>
        <v>18912.25</v>
      </c>
      <c r="AU595" s="71">
        <f t="shared" si="286"/>
        <v>76.9792005861283</v>
      </c>
    </row>
    <row r="596" spans="1:47" ht="15.6" x14ac:dyDescent="0.3">
      <c r="A596" s="10">
        <v>38590</v>
      </c>
      <c r="B596" s="6">
        <v>2338</v>
      </c>
      <c r="C596" s="6">
        <v>2428</v>
      </c>
      <c r="D596" s="6">
        <v>385</v>
      </c>
      <c r="E596" s="6">
        <v>569</v>
      </c>
      <c r="F596" s="6">
        <v>1182</v>
      </c>
      <c r="G596" s="6">
        <v>1809</v>
      </c>
      <c r="H596" s="6">
        <v>663</v>
      </c>
      <c r="I596" s="6">
        <v>757</v>
      </c>
      <c r="J596" s="6">
        <v>77</v>
      </c>
      <c r="K596" s="6">
        <v>228</v>
      </c>
      <c r="L596" s="6">
        <v>4645</v>
      </c>
      <c r="M596" s="6">
        <v>5791</v>
      </c>
      <c r="N596" s="6">
        <v>2780</v>
      </c>
      <c r="O596" s="6">
        <v>44941</v>
      </c>
      <c r="P596" s="6">
        <v>699</v>
      </c>
      <c r="Q596" s="6">
        <v>29878</v>
      </c>
      <c r="R596" s="16">
        <f t="shared" si="277"/>
        <v>8124</v>
      </c>
      <c r="T596" s="140">
        <f t="shared" si="258"/>
        <v>41018</v>
      </c>
      <c r="U596" s="154">
        <f>'copy data3'!B650</f>
        <v>1187</v>
      </c>
      <c r="V596" s="38">
        <f t="shared" si="268"/>
        <v>1187.75</v>
      </c>
      <c r="W596" s="71">
        <f t="shared" si="278"/>
        <v>41.646213183730715</v>
      </c>
      <c r="X596" s="154">
        <f>'copy data3'!D650</f>
        <v>899</v>
      </c>
      <c r="Y596" s="38">
        <f t="shared" si="269"/>
        <v>881</v>
      </c>
      <c r="Z596" s="71">
        <f t="shared" si="279"/>
        <v>166.54064272211718</v>
      </c>
      <c r="AA596" s="152">
        <f>'copy data3'!F650</f>
        <v>1044</v>
      </c>
      <c r="AB596" s="38">
        <f t="shared" si="270"/>
        <v>1055</v>
      </c>
      <c r="AC596" s="71">
        <f t="shared" si="280"/>
        <v>68.729641693811075</v>
      </c>
      <c r="AD596" s="152">
        <f>'copy data3'!H650</f>
        <v>834</v>
      </c>
      <c r="AE596" s="38">
        <f t="shared" si="271"/>
        <v>1132</v>
      </c>
      <c r="AF596" s="71">
        <f t="shared" si="281"/>
        <v>102.35081374321882</v>
      </c>
      <c r="AG596" s="152">
        <f>'copy data3'!J650</f>
        <v>29</v>
      </c>
      <c r="AH596" s="38">
        <f t="shared" si="272"/>
        <v>40.75</v>
      </c>
      <c r="AI596" s="71">
        <f t="shared" si="282"/>
        <v>83.16326530612244</v>
      </c>
      <c r="AJ596" s="152">
        <f>'copy data3'!L650</f>
        <v>3993</v>
      </c>
      <c r="AK596" s="38">
        <f t="shared" si="273"/>
        <v>4296.25</v>
      </c>
      <c r="AL596" s="71">
        <f t="shared" si="283"/>
        <v>70.778418451400327</v>
      </c>
      <c r="AM596" s="152">
        <f>'copy data3'!N650</f>
        <v>9495</v>
      </c>
      <c r="AN596" s="38">
        <f t="shared" si="274"/>
        <v>9868.75</v>
      </c>
      <c r="AO596" s="71">
        <f t="shared" si="284"/>
        <v>80.038523925385235</v>
      </c>
      <c r="AP596" s="152">
        <f>'copy data3'!P650</f>
        <v>4742</v>
      </c>
      <c r="AQ596" s="38">
        <f t="shared" si="275"/>
        <v>4445.25</v>
      </c>
      <c r="AR596" s="71">
        <f t="shared" si="285"/>
        <v>90.332249542775855</v>
      </c>
      <c r="AS596" s="153">
        <f>'copy data3'!R650</f>
        <v>18230</v>
      </c>
      <c r="AT596" s="38">
        <f t="shared" si="276"/>
        <v>18610.25</v>
      </c>
      <c r="AU596" s="71">
        <f t="shared" si="286"/>
        <v>79.800394494232663</v>
      </c>
    </row>
    <row r="597" spans="1:47" ht="15.6" x14ac:dyDescent="0.3">
      <c r="A597" s="10">
        <v>38953</v>
      </c>
      <c r="B597" s="6">
        <v>816</v>
      </c>
      <c r="C597" s="6">
        <v>1350</v>
      </c>
      <c r="D597" s="6">
        <v>598</v>
      </c>
      <c r="E597" s="6">
        <v>815</v>
      </c>
      <c r="F597" s="6">
        <v>1155</v>
      </c>
      <c r="G597" s="6">
        <v>1535</v>
      </c>
      <c r="H597" s="6">
        <v>661</v>
      </c>
      <c r="I597" s="6">
        <v>1138</v>
      </c>
      <c r="J597" s="6">
        <v>252</v>
      </c>
      <c r="K597" s="6">
        <v>194</v>
      </c>
      <c r="L597" s="6">
        <v>3464</v>
      </c>
      <c r="M597" s="6">
        <v>5033</v>
      </c>
      <c r="N597" s="6">
        <v>3470</v>
      </c>
      <c r="O597" s="6">
        <v>53120</v>
      </c>
      <c r="P597" s="6">
        <v>1103</v>
      </c>
      <c r="Q597" s="6">
        <v>25203</v>
      </c>
      <c r="R597" s="16">
        <f t="shared" si="277"/>
        <v>8037</v>
      </c>
      <c r="T597" s="140">
        <f t="shared" si="258"/>
        <v>41025</v>
      </c>
      <c r="U597" s="154">
        <f>'copy data3'!B651</f>
        <v>1202</v>
      </c>
      <c r="V597" s="38">
        <f t="shared" ref="V597:V602" si="287">AVERAGE(U594:U597)</f>
        <v>1207.5</v>
      </c>
      <c r="W597" s="71">
        <f t="shared" si="278"/>
        <v>47.039345539540314</v>
      </c>
      <c r="X597" s="154">
        <f>'copy data3'!D651</f>
        <v>904</v>
      </c>
      <c r="Y597" s="38">
        <f t="shared" ref="Y597:Y602" si="288">AVERAGE(X594:X597)</f>
        <v>885.75</v>
      </c>
      <c r="Z597" s="71">
        <f t="shared" si="279"/>
        <v>192.13665943600867</v>
      </c>
      <c r="AA597" s="152">
        <f>'copy data3'!F651</f>
        <v>889</v>
      </c>
      <c r="AB597" s="38">
        <f t="shared" ref="AB597:AB602" si="289">AVERAGE(AA594:AA597)</f>
        <v>1013</v>
      </c>
      <c r="AC597" s="71">
        <f t="shared" si="280"/>
        <v>72.253922967189737</v>
      </c>
      <c r="AD597" s="152">
        <f>'copy data3'!H651</f>
        <v>610</v>
      </c>
      <c r="AE597" s="38">
        <f t="shared" ref="AE597:AE602" si="290">AVERAGE(AD594:AD597)</f>
        <v>945.25</v>
      </c>
      <c r="AF597" s="71">
        <f t="shared" si="281"/>
        <v>95.673076923076934</v>
      </c>
      <c r="AG597" s="152">
        <f>'copy data3'!J651</f>
        <v>24</v>
      </c>
      <c r="AH597" s="38">
        <f t="shared" ref="AH597:AH602" si="291">AVERAGE(AG594:AG597)</f>
        <v>32.75</v>
      </c>
      <c r="AI597" s="71">
        <f t="shared" si="282"/>
        <v>54.583333333333329</v>
      </c>
      <c r="AJ597" s="152">
        <f>'copy data3'!L651</f>
        <v>3628</v>
      </c>
      <c r="AK597" s="38">
        <f t="shared" ref="AK597:AK602" si="292">AVERAGE(AJ594:AJ597)</f>
        <v>4083.75</v>
      </c>
      <c r="AL597" s="71">
        <f t="shared" si="283"/>
        <v>74.561803907248489</v>
      </c>
      <c r="AM597" s="152">
        <f>'copy data3'!N651</f>
        <v>10163</v>
      </c>
      <c r="AN597" s="38">
        <f t="shared" ref="AN597:AN602" si="293">AVERAGE(AM594:AM597)</f>
        <v>9893.5</v>
      </c>
      <c r="AO597" s="71">
        <f t="shared" si="284"/>
        <v>83.729688557887599</v>
      </c>
      <c r="AP597" s="152">
        <f>'copy data3'!P651</f>
        <v>4904</v>
      </c>
      <c r="AQ597" s="38">
        <f t="shared" ref="AQ597:AQ602" si="294">AVERAGE(AP594:AP597)</f>
        <v>4522.5</v>
      </c>
      <c r="AR597" s="71">
        <f t="shared" si="285"/>
        <v>95.371151412905959</v>
      </c>
      <c r="AS597" s="153">
        <f>'copy data3'!R651</f>
        <v>18695</v>
      </c>
      <c r="AT597" s="38">
        <f t="shared" ref="AT597:AT602" si="295">AVERAGE(AS594:AS597)</f>
        <v>18499.75</v>
      </c>
      <c r="AU597" s="71">
        <f t="shared" si="286"/>
        <v>83.956206035852048</v>
      </c>
    </row>
    <row r="598" spans="1:47" ht="15.6" x14ac:dyDescent="0.3">
      <c r="A598" s="10">
        <v>38596</v>
      </c>
      <c r="B598" s="6">
        <v>2482</v>
      </c>
      <c r="C598" s="6">
        <v>2684</v>
      </c>
      <c r="D598" s="6">
        <v>421</v>
      </c>
      <c r="E598" s="6">
        <v>580</v>
      </c>
      <c r="F598" s="6">
        <v>1237</v>
      </c>
      <c r="G598" s="6">
        <v>1932</v>
      </c>
      <c r="H598" s="6">
        <v>830</v>
      </c>
      <c r="I598" s="6">
        <v>799</v>
      </c>
      <c r="J598" s="6">
        <v>97</v>
      </c>
      <c r="K598" s="6">
        <v>228</v>
      </c>
      <c r="L598" s="6">
        <v>5067</v>
      </c>
      <c r="M598" s="6">
        <v>6223</v>
      </c>
      <c r="N598" s="6">
        <v>2247</v>
      </c>
      <c r="O598" s="6">
        <v>45414</v>
      </c>
      <c r="P598" s="6">
        <v>625</v>
      </c>
      <c r="Q598" s="6">
        <v>29966</v>
      </c>
      <c r="R598" s="16">
        <f t="shared" si="277"/>
        <v>7939</v>
      </c>
      <c r="T598" s="140">
        <f t="shared" si="258"/>
        <v>41032</v>
      </c>
      <c r="U598" s="154">
        <f>'copy data3'!B652</f>
        <v>1074</v>
      </c>
      <c r="V598" s="38">
        <f t="shared" si="287"/>
        <v>1171</v>
      </c>
      <c r="W598" s="71">
        <f t="shared" si="278"/>
        <v>52.417188898836166</v>
      </c>
      <c r="X598" s="154">
        <f>'copy data3'!D652</f>
        <v>711</v>
      </c>
      <c r="Y598" s="38">
        <f t="shared" si="288"/>
        <v>849</v>
      </c>
      <c r="Z598" s="71">
        <f t="shared" si="279"/>
        <v>224.60317460317461</v>
      </c>
      <c r="AA598" s="152">
        <f>'copy data3'!F652</f>
        <v>874</v>
      </c>
      <c r="AB598" s="38">
        <f t="shared" si="289"/>
        <v>958.25</v>
      </c>
      <c r="AC598" s="71">
        <f t="shared" si="280"/>
        <v>75.870942201108477</v>
      </c>
      <c r="AD598" s="152">
        <f>'copy data3'!H652</f>
        <v>596</v>
      </c>
      <c r="AE598" s="38">
        <f t="shared" si="290"/>
        <v>778.5</v>
      </c>
      <c r="AF598" s="71">
        <f t="shared" si="281"/>
        <v>91.159250585480095</v>
      </c>
      <c r="AG598" s="152">
        <f>'copy data3'!J652</f>
        <v>44</v>
      </c>
      <c r="AH598" s="38">
        <f t="shared" si="291"/>
        <v>29.75</v>
      </c>
      <c r="AI598" s="71">
        <f t="shared" si="282"/>
        <v>69.186046511627907</v>
      </c>
      <c r="AJ598" s="152">
        <f>'copy data3'!L652</f>
        <v>3299</v>
      </c>
      <c r="AK598" s="38">
        <f t="shared" si="292"/>
        <v>3786</v>
      </c>
      <c r="AL598" s="71">
        <f t="shared" si="283"/>
        <v>79.354433032907139</v>
      </c>
      <c r="AM598" s="152">
        <f>'copy data3'!N652</f>
        <v>9691</v>
      </c>
      <c r="AN598" s="38">
        <f t="shared" si="293"/>
        <v>9725</v>
      </c>
      <c r="AO598" s="71">
        <f t="shared" si="284"/>
        <v>85.38941083501625</v>
      </c>
      <c r="AP598" s="152">
        <f>'copy data3'!P652</f>
        <v>5065</v>
      </c>
      <c r="AQ598" s="38">
        <f t="shared" si="294"/>
        <v>4718.25</v>
      </c>
      <c r="AR598" s="71">
        <f t="shared" si="285"/>
        <v>102.10452283055615</v>
      </c>
      <c r="AS598" s="153">
        <f>'copy data3'!R652</f>
        <v>18055</v>
      </c>
      <c r="AT598" s="38">
        <f t="shared" si="295"/>
        <v>18229.25</v>
      </c>
      <c r="AU598" s="71">
        <f t="shared" si="286"/>
        <v>87.720754535392913</v>
      </c>
    </row>
    <row r="599" spans="1:47" ht="15.6" x14ac:dyDescent="0.3">
      <c r="A599" s="10">
        <v>38960</v>
      </c>
      <c r="B599" s="6">
        <v>764</v>
      </c>
      <c r="C599" s="6">
        <v>1530</v>
      </c>
      <c r="D599" s="6">
        <v>489</v>
      </c>
      <c r="E599" s="6">
        <v>976</v>
      </c>
      <c r="F599" s="6">
        <v>1011</v>
      </c>
      <c r="G599" s="6">
        <v>1729</v>
      </c>
      <c r="H599" s="6">
        <v>773</v>
      </c>
      <c r="I599" s="6">
        <v>1180</v>
      </c>
      <c r="J599" s="6">
        <v>187</v>
      </c>
      <c r="K599" s="6">
        <v>243</v>
      </c>
      <c r="L599" s="6">
        <v>3222</v>
      </c>
      <c r="M599" s="6">
        <v>5658</v>
      </c>
      <c r="N599" s="6">
        <v>2454</v>
      </c>
      <c r="O599" s="6">
        <v>54354</v>
      </c>
      <c r="P599" s="6">
        <v>814</v>
      </c>
      <c r="Q599" s="6">
        <v>25510</v>
      </c>
      <c r="R599" s="16">
        <f t="shared" si="277"/>
        <v>6490</v>
      </c>
      <c r="T599" s="140">
        <f t="shared" si="258"/>
        <v>41039</v>
      </c>
      <c r="U599" s="154">
        <f>'copy data3'!B653</f>
        <v>977</v>
      </c>
      <c r="V599" s="38">
        <f t="shared" si="287"/>
        <v>1110</v>
      </c>
      <c r="W599" s="71">
        <f t="shared" ref="W599:W604" si="296">(V599/U547)*100</f>
        <v>56.004036326942483</v>
      </c>
      <c r="X599" s="154">
        <f>'copy data3'!D653</f>
        <v>480</v>
      </c>
      <c r="Y599" s="38">
        <f t="shared" si="288"/>
        <v>748.5</v>
      </c>
      <c r="Z599" s="71">
        <f t="shared" ref="Z599:Z604" si="297">(Y599/X547)*100</f>
        <v>318.51063829787233</v>
      </c>
      <c r="AA599" s="152">
        <f>'copy data3'!F653</f>
        <v>888</v>
      </c>
      <c r="AB599" s="38">
        <f t="shared" si="289"/>
        <v>923.75</v>
      </c>
      <c r="AC599" s="71">
        <f t="shared" ref="AC599:AC604" si="298">(AB599/AA547)*100</f>
        <v>87.393566698202463</v>
      </c>
      <c r="AD599" s="152">
        <f>'copy data3'!H653</f>
        <v>550</v>
      </c>
      <c r="AE599" s="38">
        <f t="shared" si="290"/>
        <v>647.5</v>
      </c>
      <c r="AF599" s="71">
        <f t="shared" ref="AF599:AF604" si="299">(AE599/AD547)*100</f>
        <v>82.379134860050897</v>
      </c>
      <c r="AG599" s="152">
        <f>'copy data3'!J653</f>
        <v>47</v>
      </c>
      <c r="AH599" s="38">
        <f t="shared" si="291"/>
        <v>36</v>
      </c>
      <c r="AI599" s="71">
        <f t="shared" ref="AI599:AI604" si="300">(AH599/AG547)*100</f>
        <v>83.720930232558146</v>
      </c>
      <c r="AJ599" s="152">
        <f>'copy data3'!L653</f>
        <v>2942</v>
      </c>
      <c r="AK599" s="38">
        <f t="shared" si="292"/>
        <v>3465.5</v>
      </c>
      <c r="AL599" s="71">
        <f t="shared" ref="AL599:AL604" si="301">(AK599/AJ547)*100</f>
        <v>84.462588349987811</v>
      </c>
      <c r="AM599" s="152">
        <f>'copy data3'!N653</f>
        <v>9364</v>
      </c>
      <c r="AN599" s="38">
        <f t="shared" si="293"/>
        <v>9678.25</v>
      </c>
      <c r="AO599" s="71">
        <f t="shared" ref="AO599:AO604" si="302">(AN599/AM547)*100</f>
        <v>85.868600833998755</v>
      </c>
      <c r="AP599" s="152">
        <f>'copy data3'!P653</f>
        <v>5111</v>
      </c>
      <c r="AQ599" s="38">
        <f t="shared" si="294"/>
        <v>4955.5</v>
      </c>
      <c r="AR599" s="71">
        <f t="shared" ref="AR599:AR604" si="303">(AQ599/AP547)*100</f>
        <v>106.09077285377863</v>
      </c>
      <c r="AS599" s="153">
        <f>'copy data3'!R653</f>
        <v>17417</v>
      </c>
      <c r="AT599" s="38">
        <f t="shared" si="295"/>
        <v>18099.25</v>
      </c>
      <c r="AU599" s="71">
        <f t="shared" ref="AU599:AU604" si="304">(AT599/AS547)*100</f>
        <v>90.293090546270889</v>
      </c>
    </row>
    <row r="600" spans="1:47" ht="15.6" x14ac:dyDescent="0.3">
      <c r="A600" s="10">
        <v>38603</v>
      </c>
      <c r="B600" s="6">
        <v>2559</v>
      </c>
      <c r="C600" s="6">
        <v>2836</v>
      </c>
      <c r="D600" s="6">
        <v>437</v>
      </c>
      <c r="E600" s="6">
        <v>598</v>
      </c>
      <c r="F600" s="6">
        <v>1321</v>
      </c>
      <c r="G600" s="6">
        <v>2070</v>
      </c>
      <c r="H600" s="6">
        <v>876</v>
      </c>
      <c r="I600" s="6">
        <v>851</v>
      </c>
      <c r="J600" s="6">
        <v>70</v>
      </c>
      <c r="K600" s="6">
        <v>256</v>
      </c>
      <c r="L600" s="6">
        <v>5263</v>
      </c>
      <c r="M600" s="6">
        <v>6611</v>
      </c>
      <c r="N600" s="6">
        <v>7986</v>
      </c>
      <c r="O600" s="6">
        <v>436</v>
      </c>
      <c r="P600" s="6">
        <v>4422</v>
      </c>
      <c r="Q600" s="6">
        <v>155</v>
      </c>
      <c r="R600" s="16">
        <f t="shared" si="277"/>
        <v>17671</v>
      </c>
      <c r="T600" s="140">
        <f t="shared" si="258"/>
        <v>41046</v>
      </c>
      <c r="U600" s="154">
        <f>'copy data3'!B654</f>
        <v>774</v>
      </c>
      <c r="V600" s="38">
        <f t="shared" si="287"/>
        <v>1006.75</v>
      </c>
      <c r="W600" s="71">
        <f t="shared" si="296"/>
        <v>63.19836785938481</v>
      </c>
      <c r="X600" s="154">
        <f>'copy data3'!D654</f>
        <v>449</v>
      </c>
      <c r="Y600" s="38">
        <f t="shared" si="288"/>
        <v>636</v>
      </c>
      <c r="Z600" s="71">
        <f t="shared" si="297"/>
        <v>363.42857142857144</v>
      </c>
      <c r="AA600" s="152">
        <f>'copy data3'!F654</f>
        <v>888</v>
      </c>
      <c r="AB600" s="38">
        <f t="shared" si="289"/>
        <v>884.75</v>
      </c>
      <c r="AC600" s="71">
        <f t="shared" si="298"/>
        <v>100.31179138321995</v>
      </c>
      <c r="AD600" s="152">
        <f>'copy data3'!H654</f>
        <v>430</v>
      </c>
      <c r="AE600" s="38">
        <f t="shared" si="290"/>
        <v>546.5</v>
      </c>
      <c r="AF600" s="71">
        <f t="shared" si="299"/>
        <v>88.861788617886191</v>
      </c>
      <c r="AG600" s="152">
        <f>'copy data3'!J654</f>
        <v>45</v>
      </c>
      <c r="AH600" s="38">
        <f t="shared" si="291"/>
        <v>40</v>
      </c>
      <c r="AI600" s="71">
        <f t="shared" si="300"/>
        <v>173.91304347826087</v>
      </c>
      <c r="AJ600" s="152">
        <f>'copy data3'!L654</f>
        <v>2446</v>
      </c>
      <c r="AK600" s="38">
        <f t="shared" si="292"/>
        <v>3078.75</v>
      </c>
      <c r="AL600" s="71">
        <f t="shared" si="301"/>
        <v>93.635948905109487</v>
      </c>
      <c r="AM600" s="152">
        <f>'copy data3'!N654</f>
        <v>8830</v>
      </c>
      <c r="AN600" s="38">
        <f t="shared" si="293"/>
        <v>9512</v>
      </c>
      <c r="AO600" s="71">
        <f t="shared" si="302"/>
        <v>86.128214415067006</v>
      </c>
      <c r="AP600" s="152">
        <f>'copy data3'!P654</f>
        <v>5510</v>
      </c>
      <c r="AQ600" s="38">
        <f t="shared" si="294"/>
        <v>5147.5</v>
      </c>
      <c r="AR600" s="71">
        <f t="shared" si="303"/>
        <v>116.40660334690185</v>
      </c>
      <c r="AS600" s="153">
        <f>'copy data3'!R654</f>
        <v>16786</v>
      </c>
      <c r="AT600" s="38">
        <f t="shared" si="295"/>
        <v>17738.25</v>
      </c>
      <c r="AU600" s="71">
        <f t="shared" si="304"/>
        <v>94.583822117948174</v>
      </c>
    </row>
    <row r="601" spans="1:47" ht="15.6" x14ac:dyDescent="0.3">
      <c r="A601" s="10">
        <v>38967</v>
      </c>
      <c r="B601" s="6">
        <v>793</v>
      </c>
      <c r="C601" s="6">
        <v>1569</v>
      </c>
      <c r="D601" s="6">
        <v>554</v>
      </c>
      <c r="E601" s="6">
        <v>989</v>
      </c>
      <c r="F601" s="6">
        <v>991</v>
      </c>
      <c r="G601" s="6">
        <v>1823</v>
      </c>
      <c r="H601" s="6">
        <v>815</v>
      </c>
      <c r="I601" s="6">
        <v>1250</v>
      </c>
      <c r="J601" s="6">
        <v>189</v>
      </c>
      <c r="K601" s="6">
        <v>243</v>
      </c>
      <c r="L601" s="6">
        <v>3343</v>
      </c>
      <c r="M601" s="6">
        <v>5874</v>
      </c>
      <c r="N601" s="6">
        <v>11501</v>
      </c>
      <c r="O601" s="6">
        <v>1103</v>
      </c>
      <c r="P601" s="6">
        <v>7004</v>
      </c>
      <c r="Q601" s="6">
        <v>212</v>
      </c>
      <c r="R601" s="16">
        <f t="shared" si="277"/>
        <v>21848</v>
      </c>
      <c r="T601" s="140">
        <f t="shared" si="258"/>
        <v>41053</v>
      </c>
      <c r="U601" s="154">
        <f>'copy data3'!B655</f>
        <v>606</v>
      </c>
      <c r="V601" s="38">
        <f t="shared" si="287"/>
        <v>857.75</v>
      </c>
      <c r="W601" s="71">
        <f t="shared" si="296"/>
        <v>83.7646484375</v>
      </c>
      <c r="X601" s="154">
        <f>'copy data3'!D655</f>
        <v>272</v>
      </c>
      <c r="Y601" s="38">
        <f t="shared" si="288"/>
        <v>478</v>
      </c>
      <c r="Z601" s="71">
        <f t="shared" si="297"/>
        <v>438.53211009174311</v>
      </c>
      <c r="AA601" s="152">
        <f>'copy data3'!F655</f>
        <v>542</v>
      </c>
      <c r="AB601" s="38">
        <f t="shared" si="289"/>
        <v>798</v>
      </c>
      <c r="AC601" s="71">
        <f t="shared" si="298"/>
        <v>128.08988764044943</v>
      </c>
      <c r="AD601" s="152">
        <f>'copy data3'!H655</f>
        <v>340</v>
      </c>
      <c r="AE601" s="38">
        <f t="shared" si="290"/>
        <v>479</v>
      </c>
      <c r="AF601" s="71">
        <f t="shared" si="299"/>
        <v>86.932849364791281</v>
      </c>
      <c r="AG601" s="152">
        <f>'copy data3'!J655</f>
        <v>36</v>
      </c>
      <c r="AH601" s="38">
        <f t="shared" si="291"/>
        <v>43</v>
      </c>
      <c r="AI601" s="71">
        <f t="shared" si="300"/>
        <v>390.90909090909093</v>
      </c>
      <c r="AJ601" s="152">
        <f>'copy data3'!L655</f>
        <v>1796</v>
      </c>
      <c r="AK601" s="38">
        <f t="shared" si="292"/>
        <v>2620.75</v>
      </c>
      <c r="AL601" s="71">
        <f t="shared" si="301"/>
        <v>112.96336206896551</v>
      </c>
      <c r="AM601" s="152">
        <f>'copy data3'!N655</f>
        <v>8204</v>
      </c>
      <c r="AN601" s="38">
        <f t="shared" si="293"/>
        <v>9022.25</v>
      </c>
      <c r="AO601" s="71">
        <f t="shared" si="302"/>
        <v>84.99528968440886</v>
      </c>
      <c r="AP601" s="152">
        <f>'copy data3'!P655</f>
        <v>5442</v>
      </c>
      <c r="AQ601" s="38">
        <f t="shared" si="294"/>
        <v>5282</v>
      </c>
      <c r="AR601" s="71">
        <f t="shared" si="303"/>
        <v>124.5754716981132</v>
      </c>
      <c r="AS601" s="153">
        <f>'copy data3'!R655</f>
        <v>15442</v>
      </c>
      <c r="AT601" s="38">
        <f t="shared" si="295"/>
        <v>16925</v>
      </c>
      <c r="AU601" s="71">
        <f t="shared" si="304"/>
        <v>98.544395924308589</v>
      </c>
    </row>
    <row r="602" spans="1:47" ht="15.6" x14ac:dyDescent="0.3">
      <c r="A602" s="10">
        <v>38610</v>
      </c>
      <c r="B602" s="6">
        <v>2496</v>
      </c>
      <c r="C602" s="6">
        <v>3233</v>
      </c>
      <c r="D602" s="6">
        <v>389</v>
      </c>
      <c r="E602" s="6">
        <v>690</v>
      </c>
      <c r="F602" s="6">
        <v>1281</v>
      </c>
      <c r="G602" s="6">
        <v>2317</v>
      </c>
      <c r="H602" s="6">
        <v>993</v>
      </c>
      <c r="I602" s="6">
        <v>918</v>
      </c>
      <c r="J602" s="6">
        <v>94</v>
      </c>
      <c r="K602" s="6">
        <v>259</v>
      </c>
      <c r="L602" s="6">
        <v>5252</v>
      </c>
      <c r="M602" s="6">
        <v>7417</v>
      </c>
      <c r="N602" s="6">
        <v>7818</v>
      </c>
      <c r="O602" s="6">
        <v>1351</v>
      </c>
      <c r="P602" s="6">
        <v>5017</v>
      </c>
      <c r="Q602" s="6">
        <v>312</v>
      </c>
      <c r="R602" s="16">
        <f t="shared" si="277"/>
        <v>18087</v>
      </c>
      <c r="T602" s="140">
        <f t="shared" si="258"/>
        <v>41060</v>
      </c>
      <c r="U602" s="154">
        <f>'copy data3'!B656</f>
        <v>396</v>
      </c>
      <c r="V602" s="38">
        <f t="shared" si="287"/>
        <v>688.25</v>
      </c>
      <c r="W602" s="71">
        <f t="shared" si="296"/>
        <v>47.075923392612864</v>
      </c>
      <c r="X602" s="154">
        <f>'copy data3'!D656</f>
        <v>130</v>
      </c>
      <c r="Y602" s="38">
        <f t="shared" si="288"/>
        <v>332.75</v>
      </c>
      <c r="Z602" s="71">
        <f t="shared" si="297"/>
        <v>70.797872340425528</v>
      </c>
      <c r="AA602" s="152">
        <f>'copy data3'!F656</f>
        <v>466</v>
      </c>
      <c r="AB602" s="38">
        <f t="shared" si="289"/>
        <v>696</v>
      </c>
      <c r="AC602" s="71">
        <f t="shared" si="298"/>
        <v>72.049689440993788</v>
      </c>
      <c r="AD602" s="152">
        <f>'copy data3'!H656</f>
        <v>297</v>
      </c>
      <c r="AE602" s="38">
        <f t="shared" si="290"/>
        <v>404.25</v>
      </c>
      <c r="AF602" s="71">
        <f t="shared" si="299"/>
        <v>45.016703786191535</v>
      </c>
      <c r="AG602" s="152">
        <f>'copy data3'!J656</f>
        <v>7.6</v>
      </c>
      <c r="AH602" s="38">
        <f t="shared" si="291"/>
        <v>33.9</v>
      </c>
      <c r="AI602" s="71">
        <f t="shared" si="300"/>
        <v>14.675324675324674</v>
      </c>
      <c r="AJ602" s="152">
        <f>'copy data3'!L656</f>
        <v>1296</v>
      </c>
      <c r="AK602" s="38">
        <f t="shared" si="292"/>
        <v>2120</v>
      </c>
      <c r="AL602" s="71">
        <f t="shared" si="301"/>
        <v>1452.0547945205478</v>
      </c>
      <c r="AM602" s="152">
        <f>'copy data3'!N656</f>
        <v>7723</v>
      </c>
      <c r="AN602" s="38">
        <f t="shared" si="293"/>
        <v>8530.25</v>
      </c>
      <c r="AO602" s="71">
        <f t="shared" si="302"/>
        <v>82.266853119876558</v>
      </c>
      <c r="AP602" s="152">
        <f>'copy data3'!P656</f>
        <v>5223</v>
      </c>
      <c r="AQ602" s="38">
        <f t="shared" si="294"/>
        <v>5321.5</v>
      </c>
      <c r="AR602" s="71">
        <f t="shared" si="303"/>
        <v>219.98759818106657</v>
      </c>
      <c r="AS602" s="153">
        <f>'copy data3'!R656</f>
        <v>14242</v>
      </c>
      <c r="AT602" s="38">
        <f t="shared" si="295"/>
        <v>15971.75</v>
      </c>
      <c r="AU602" s="71">
        <f t="shared" si="304"/>
        <v>123.48654708520179</v>
      </c>
    </row>
    <row r="603" spans="1:47" ht="15.6" x14ac:dyDescent="0.3">
      <c r="A603" s="10">
        <v>38974</v>
      </c>
      <c r="B603" s="6">
        <v>698</v>
      </c>
      <c r="C603" s="6">
        <v>1743</v>
      </c>
      <c r="D603" s="6">
        <v>648</v>
      </c>
      <c r="E603" s="6">
        <v>1062</v>
      </c>
      <c r="F603" s="6">
        <v>980</v>
      </c>
      <c r="G603" s="6">
        <v>1952</v>
      </c>
      <c r="H603" s="6">
        <v>851</v>
      </c>
      <c r="I603" s="6">
        <v>1370</v>
      </c>
      <c r="J603" s="6">
        <v>157</v>
      </c>
      <c r="K603" s="6">
        <v>276</v>
      </c>
      <c r="L603" s="6">
        <v>3334</v>
      </c>
      <c r="M603" s="6">
        <v>6403</v>
      </c>
      <c r="N603" s="6">
        <v>11138</v>
      </c>
      <c r="O603" s="6">
        <v>2496</v>
      </c>
      <c r="P603" s="6">
        <v>7409</v>
      </c>
      <c r="Q603" s="6">
        <v>569</v>
      </c>
      <c r="R603" s="16">
        <f t="shared" si="277"/>
        <v>21881</v>
      </c>
      <c r="T603" s="140">
        <f t="shared" si="258"/>
        <v>41067</v>
      </c>
      <c r="U603" s="154">
        <f>'copy data3'!B657</f>
        <v>1630</v>
      </c>
      <c r="V603" s="38">
        <f t="shared" ref="V603:V609" si="305">AVERAGE(U600:U603)</f>
        <v>851.5</v>
      </c>
      <c r="W603" s="71">
        <f t="shared" si="296"/>
        <v>39.512761020881669</v>
      </c>
      <c r="X603" s="154">
        <f>'copy data3'!D657</f>
        <v>819</v>
      </c>
      <c r="Y603" s="38">
        <f t="shared" ref="Y603:Y609" si="306">AVERAGE(X600:X603)</f>
        <v>417.5</v>
      </c>
      <c r="Z603" s="71">
        <f t="shared" si="297"/>
        <v>57.825484764542935</v>
      </c>
      <c r="AA603" s="152">
        <f>'copy data3'!F657</f>
        <v>1375</v>
      </c>
      <c r="AB603" s="38">
        <f t="shared" ref="AB603:AB609" si="307">AVERAGE(AA600:AA603)</f>
        <v>817.75</v>
      </c>
      <c r="AC603" s="71">
        <f t="shared" si="298"/>
        <v>39.409638554216869</v>
      </c>
      <c r="AD603" s="152">
        <f>'copy data3'!H657</f>
        <v>915</v>
      </c>
      <c r="AE603" s="38">
        <f t="shared" ref="AE603:AE609" si="308">AVERAGE(AD600:AD603)</f>
        <v>495.5</v>
      </c>
      <c r="AF603" s="71">
        <f t="shared" si="299"/>
        <v>41.052195526097762</v>
      </c>
      <c r="AG603" s="152">
        <f>'copy data3'!J657</f>
        <v>143</v>
      </c>
      <c r="AH603" s="38">
        <f t="shared" ref="AH603:AH609" si="309">AVERAGE(AG600:AG603)</f>
        <v>57.9</v>
      </c>
      <c r="AI603" s="71">
        <f t="shared" si="300"/>
        <v>40.489510489510486</v>
      </c>
      <c r="AJ603" s="152">
        <f>'copy data3'!L657</f>
        <v>4881</v>
      </c>
      <c r="AK603" s="38">
        <f t="shared" ref="AK603:AK609" si="310">AVERAGE(AJ600:AJ603)</f>
        <v>2604.75</v>
      </c>
      <c r="AL603" s="71">
        <f t="shared" si="301"/>
        <v>41.338676400571337</v>
      </c>
      <c r="AM603" s="152">
        <f>'copy data3'!N657</f>
        <v>7382</v>
      </c>
      <c r="AN603" s="38">
        <f t="shared" ref="AN603:AN609" si="311">AVERAGE(AM600:AM603)</f>
        <v>8034.75</v>
      </c>
      <c r="AO603" s="71">
        <f t="shared" si="302"/>
        <v>85.412458807271179</v>
      </c>
      <c r="AP603" s="152">
        <f>'copy data3'!P657</f>
        <v>5272</v>
      </c>
      <c r="AQ603" s="38">
        <f t="shared" ref="AQ603:AQ609" si="312">AVERAGE(AP600:AP603)</f>
        <v>5361.75</v>
      </c>
      <c r="AR603" s="71">
        <f t="shared" si="303"/>
        <v>126.96542742126451</v>
      </c>
      <c r="AS603" s="153">
        <f>'copy data3'!R657</f>
        <v>17535</v>
      </c>
      <c r="AT603" s="38">
        <f t="shared" ref="AT603:AT609" si="313">AVERAGE(AS600:AS603)</f>
        <v>16001.25</v>
      </c>
      <c r="AU603" s="71">
        <f t="shared" si="304"/>
        <v>80.28322713361095</v>
      </c>
    </row>
    <row r="604" spans="1:47" ht="15.6" x14ac:dyDescent="0.3">
      <c r="A604" s="10">
        <v>38617</v>
      </c>
      <c r="B604" s="6">
        <v>2600</v>
      </c>
      <c r="C604" s="6">
        <v>3509</v>
      </c>
      <c r="D604" s="6">
        <v>366</v>
      </c>
      <c r="E604" s="6">
        <v>727</v>
      </c>
      <c r="F604" s="6">
        <v>1178</v>
      </c>
      <c r="G604" s="6">
        <v>2545</v>
      </c>
      <c r="H604" s="6">
        <v>993</v>
      </c>
      <c r="I604" s="6">
        <v>967</v>
      </c>
      <c r="J604" s="6">
        <v>100</v>
      </c>
      <c r="K604" s="6">
        <v>276</v>
      </c>
      <c r="L604" s="6">
        <v>5237</v>
      </c>
      <c r="M604" s="6">
        <v>8023</v>
      </c>
      <c r="N604" s="6">
        <v>7564</v>
      </c>
      <c r="O604" s="6">
        <v>2307</v>
      </c>
      <c r="P604" s="6">
        <v>5473</v>
      </c>
      <c r="Q604" s="6">
        <v>531</v>
      </c>
      <c r="R604" s="16">
        <f t="shared" si="277"/>
        <v>18274</v>
      </c>
      <c r="T604" s="140">
        <f t="shared" si="258"/>
        <v>41074</v>
      </c>
      <c r="U604" s="154">
        <f>'copy data3'!B658</f>
        <v>1723</v>
      </c>
      <c r="V604" s="38">
        <f t="shared" si="305"/>
        <v>1088.75</v>
      </c>
      <c r="W604" s="71">
        <f t="shared" si="296"/>
        <v>50.545496750232118</v>
      </c>
      <c r="X604" s="154">
        <f>'copy data3'!D658</f>
        <v>896</v>
      </c>
      <c r="Y604" s="38">
        <f t="shared" si="306"/>
        <v>529.25</v>
      </c>
      <c r="Z604" s="71">
        <f t="shared" si="297"/>
        <v>64.46406820950061</v>
      </c>
      <c r="AA604" s="152">
        <f>'copy data3'!F658</f>
        <v>1361</v>
      </c>
      <c r="AB604" s="38">
        <f t="shared" si="307"/>
        <v>936</v>
      </c>
      <c r="AC604" s="71">
        <f t="shared" si="298"/>
        <v>46.66001994017946</v>
      </c>
      <c r="AD604" s="152">
        <f>'copy data3'!H658</f>
        <v>994</v>
      </c>
      <c r="AE604" s="38">
        <f t="shared" si="308"/>
        <v>636.5</v>
      </c>
      <c r="AF604" s="71">
        <f t="shared" si="299"/>
        <v>52.909393183707401</v>
      </c>
      <c r="AG604" s="152">
        <f>'copy data3'!J658</f>
        <v>154</v>
      </c>
      <c r="AH604" s="38">
        <f t="shared" si="309"/>
        <v>85.15</v>
      </c>
      <c r="AI604" s="71">
        <f t="shared" si="300"/>
        <v>72.16101694915254</v>
      </c>
      <c r="AJ604" s="152">
        <f>'copy data3'!L658</f>
        <v>5128</v>
      </c>
      <c r="AK604" s="38">
        <f t="shared" si="310"/>
        <v>3275.25</v>
      </c>
      <c r="AL604" s="71">
        <f t="shared" si="301"/>
        <v>51.979844469131883</v>
      </c>
      <c r="AM604" s="152">
        <f>'copy data3'!N658</f>
        <v>6840</v>
      </c>
      <c r="AN604" s="38">
        <f t="shared" si="311"/>
        <v>7537.25</v>
      </c>
      <c r="AO604" s="71">
        <f t="shared" si="302"/>
        <v>87.135838150289018</v>
      </c>
      <c r="AP604" s="152">
        <f>'copy data3'!P658</f>
        <v>5002</v>
      </c>
      <c r="AQ604" s="38">
        <f t="shared" si="312"/>
        <v>5234.75</v>
      </c>
      <c r="AR604" s="71">
        <f t="shared" si="303"/>
        <v>130.64012977289744</v>
      </c>
      <c r="AS604" s="153">
        <f>'copy data3'!R658</f>
        <v>16970</v>
      </c>
      <c r="AT604" s="38">
        <f t="shared" si="313"/>
        <v>16047.25</v>
      </c>
      <c r="AU604" s="71">
        <f t="shared" si="304"/>
        <v>84.646323451840914</v>
      </c>
    </row>
    <row r="605" spans="1:47" ht="15.6" x14ac:dyDescent="0.3">
      <c r="A605" s="10">
        <v>38981</v>
      </c>
      <c r="B605" s="6">
        <v>711</v>
      </c>
      <c r="C605" s="6">
        <v>1809</v>
      </c>
      <c r="D605" s="6">
        <v>601</v>
      </c>
      <c r="E605" s="6">
        <v>1183</v>
      </c>
      <c r="F605" s="6">
        <v>1065</v>
      </c>
      <c r="G605" s="6">
        <v>2051</v>
      </c>
      <c r="H605" s="6">
        <v>897</v>
      </c>
      <c r="I605" s="6">
        <v>1389</v>
      </c>
      <c r="J605" s="6">
        <v>150</v>
      </c>
      <c r="K605" s="6">
        <v>289</v>
      </c>
      <c r="L605" s="6">
        <v>3424</v>
      </c>
      <c r="M605" s="6">
        <v>6721</v>
      </c>
      <c r="N605" s="6">
        <v>10732</v>
      </c>
      <c r="O605" s="6">
        <v>3715</v>
      </c>
      <c r="P605" s="6">
        <v>7971</v>
      </c>
      <c r="Q605" s="6">
        <v>864</v>
      </c>
      <c r="R605" s="16">
        <f t="shared" si="277"/>
        <v>22127</v>
      </c>
      <c r="T605" s="140">
        <f t="shared" si="258"/>
        <v>41081</v>
      </c>
      <c r="U605" s="154">
        <f>'copy data3'!B659</f>
        <v>1654</v>
      </c>
      <c r="V605" s="38">
        <f t="shared" si="305"/>
        <v>1350.75</v>
      </c>
      <c r="W605" s="71">
        <f t="shared" ref="W605:W610" si="314">(V605/U553)*100</f>
        <v>61.961009174311933</v>
      </c>
      <c r="X605" s="154">
        <f>'copy data3'!D659</f>
        <v>823</v>
      </c>
      <c r="Y605" s="38">
        <f t="shared" si="306"/>
        <v>667</v>
      </c>
      <c r="Z605" s="71">
        <f t="shared" ref="Z605:Z610" si="315">(Y605/X553)*100</f>
        <v>74.859708193041527</v>
      </c>
      <c r="AA605" s="152">
        <f>'copy data3'!F659</f>
        <v>1321</v>
      </c>
      <c r="AB605" s="38">
        <f t="shared" si="307"/>
        <v>1130.75</v>
      </c>
      <c r="AC605" s="71">
        <f t="shared" ref="AC605:AC610" si="316">(AB605/AA553)*100</f>
        <v>57.750255362614908</v>
      </c>
      <c r="AD605" s="152">
        <f>'copy data3'!H659</f>
        <v>1030</v>
      </c>
      <c r="AE605" s="38">
        <f t="shared" si="308"/>
        <v>809</v>
      </c>
      <c r="AF605" s="71">
        <f t="shared" ref="AF605:AF610" si="317">(AE605/AD553)*100</f>
        <v>65.718927701056046</v>
      </c>
      <c r="AG605" s="152">
        <f>'copy data3'!J659</f>
        <v>152</v>
      </c>
      <c r="AH605" s="38">
        <f t="shared" si="309"/>
        <v>114.15</v>
      </c>
      <c r="AI605" s="71">
        <f t="shared" ref="AI605:AI610" si="318">(AH605/AG553)*100</f>
        <v>110.8252427184466</v>
      </c>
      <c r="AJ605" s="152">
        <f>'copy data3'!L659</f>
        <v>4980</v>
      </c>
      <c r="AK605" s="38">
        <f t="shared" si="310"/>
        <v>4071.25</v>
      </c>
      <c r="AL605" s="71">
        <f t="shared" ref="AL605:AL610" si="319">(AK605/AJ553)*100</f>
        <v>63.983184032688975</v>
      </c>
      <c r="AM605" s="152">
        <f>'copy data3'!N659</f>
        <v>6368</v>
      </c>
      <c r="AN605" s="38">
        <f t="shared" si="311"/>
        <v>7078.25</v>
      </c>
      <c r="AO605" s="71">
        <f t="shared" ref="AO605:AO610" si="320">(AN605/AM553)*100</f>
        <v>81.490329265484689</v>
      </c>
      <c r="AP605" s="152">
        <f>'copy data3'!P659</f>
        <v>5151</v>
      </c>
      <c r="AQ605" s="38">
        <f t="shared" si="312"/>
        <v>5162</v>
      </c>
      <c r="AR605" s="71">
        <f t="shared" ref="AR605:AR610" si="321">(AQ605/AP553)*100</f>
        <v>146.77281774239407</v>
      </c>
      <c r="AS605" s="153">
        <f>'copy data3'!R659</f>
        <v>16499</v>
      </c>
      <c r="AT605" s="38">
        <f t="shared" si="313"/>
        <v>16311.5</v>
      </c>
      <c r="AU605" s="71">
        <f t="shared" ref="AU605:AU610" si="322">(AT605/AS553)*100</f>
        <v>87.85683507486803</v>
      </c>
    </row>
    <row r="606" spans="1:47" ht="15.6" x14ac:dyDescent="0.3">
      <c r="A606" s="10">
        <v>38624</v>
      </c>
      <c r="B606" s="6">
        <v>2520</v>
      </c>
      <c r="C606" s="6">
        <v>3656</v>
      </c>
      <c r="D606" s="6">
        <v>365</v>
      </c>
      <c r="E606" s="6">
        <v>753</v>
      </c>
      <c r="F606" s="6">
        <v>1282</v>
      </c>
      <c r="G606" s="6">
        <v>2749</v>
      </c>
      <c r="H606" s="6">
        <v>871</v>
      </c>
      <c r="I606" s="6">
        <v>1164</v>
      </c>
      <c r="J606" s="6">
        <v>90</v>
      </c>
      <c r="K606" s="6">
        <v>286</v>
      </c>
      <c r="L606" s="6">
        <v>5128</v>
      </c>
      <c r="M606" s="6">
        <v>8608</v>
      </c>
      <c r="N606" s="6">
        <v>7735</v>
      </c>
      <c r="O606" s="6">
        <v>3089</v>
      </c>
      <c r="P606" s="6">
        <v>5809</v>
      </c>
      <c r="Q606" s="6">
        <v>737</v>
      </c>
      <c r="R606" s="16">
        <f t="shared" si="277"/>
        <v>18672</v>
      </c>
      <c r="T606" s="140">
        <f t="shared" si="258"/>
        <v>41088</v>
      </c>
      <c r="U606" s="154">
        <f>'copy data3'!B660</f>
        <v>1533</v>
      </c>
      <c r="V606" s="38">
        <f t="shared" si="305"/>
        <v>1635</v>
      </c>
      <c r="W606" s="71">
        <f t="shared" si="314"/>
        <v>85.691823899371073</v>
      </c>
      <c r="X606" s="154">
        <f>'copy data3'!D660</f>
        <v>821</v>
      </c>
      <c r="Y606" s="38">
        <f t="shared" si="306"/>
        <v>839.75</v>
      </c>
      <c r="Z606" s="71">
        <f t="shared" si="315"/>
        <v>83.640438247011957</v>
      </c>
      <c r="AA606" s="152">
        <f>'copy data3'!F660</f>
        <v>1271</v>
      </c>
      <c r="AB606" s="38">
        <f t="shared" si="307"/>
        <v>1332</v>
      </c>
      <c r="AC606" s="71">
        <f t="shared" si="316"/>
        <v>69.701726844583987</v>
      </c>
      <c r="AD606" s="152">
        <f>'copy data3'!H660</f>
        <v>1050</v>
      </c>
      <c r="AE606" s="38">
        <f t="shared" si="308"/>
        <v>997.25</v>
      </c>
      <c r="AF606" s="71">
        <f t="shared" si="317"/>
        <v>85.748065348237319</v>
      </c>
      <c r="AG606" s="152">
        <f>'copy data3'!J660</f>
        <v>127</v>
      </c>
      <c r="AH606" s="38">
        <f t="shared" si="309"/>
        <v>144</v>
      </c>
      <c r="AI606" s="71">
        <f t="shared" si="318"/>
        <v>194.59459459459461</v>
      </c>
      <c r="AJ606" s="152">
        <f>'copy data3'!L660</f>
        <v>4802</v>
      </c>
      <c r="AK606" s="38">
        <f t="shared" si="310"/>
        <v>4947.75</v>
      </c>
      <c r="AL606" s="71">
        <f t="shared" si="319"/>
        <v>81.646039603960389</v>
      </c>
      <c r="AM606" s="152">
        <f>'copy data3'!N660</f>
        <v>5742</v>
      </c>
      <c r="AN606" s="38">
        <f t="shared" si="311"/>
        <v>6583</v>
      </c>
      <c r="AO606" s="71">
        <f t="shared" si="320"/>
        <v>79.629853634934079</v>
      </c>
      <c r="AP606" s="152">
        <f>'copy data3'!P660</f>
        <v>5053</v>
      </c>
      <c r="AQ606" s="38">
        <f t="shared" si="312"/>
        <v>5119.5</v>
      </c>
      <c r="AR606" s="71">
        <f t="shared" si="321"/>
        <v>139.45791337510215</v>
      </c>
      <c r="AS606" s="153">
        <f>'copy data3'!R660</f>
        <v>15597</v>
      </c>
      <c r="AT606" s="38">
        <f t="shared" si="313"/>
        <v>16650.25</v>
      </c>
      <c r="AU606" s="71">
        <f t="shared" si="322"/>
        <v>92.511667963107016</v>
      </c>
    </row>
    <row r="607" spans="1:47" ht="15.6" x14ac:dyDescent="0.3">
      <c r="A607" s="10">
        <v>38988</v>
      </c>
      <c r="B607" s="6">
        <v>670</v>
      </c>
      <c r="C607" s="6">
        <v>1915</v>
      </c>
      <c r="D607" s="6">
        <v>610</v>
      </c>
      <c r="E607" s="6">
        <v>1245</v>
      </c>
      <c r="F607" s="6">
        <v>1041</v>
      </c>
      <c r="G607" s="6">
        <v>2213</v>
      </c>
      <c r="H607" s="6">
        <v>873</v>
      </c>
      <c r="I607" s="6">
        <v>1514</v>
      </c>
      <c r="J607" s="6">
        <v>110</v>
      </c>
      <c r="K607" s="6">
        <v>332</v>
      </c>
      <c r="L607" s="6">
        <v>3304</v>
      </c>
      <c r="M607" s="6">
        <v>7219</v>
      </c>
      <c r="N607" s="6">
        <v>10707</v>
      </c>
      <c r="O607" s="6">
        <v>4898</v>
      </c>
      <c r="P607" s="6">
        <v>8592</v>
      </c>
      <c r="Q607" s="6">
        <v>1437</v>
      </c>
      <c r="R607" s="16">
        <f t="shared" si="277"/>
        <v>22603</v>
      </c>
      <c r="T607" s="140">
        <f t="shared" si="258"/>
        <v>41095</v>
      </c>
      <c r="U607" s="154">
        <f>'copy data3'!B661</f>
        <v>1417</v>
      </c>
      <c r="V607" s="38">
        <f t="shared" si="305"/>
        <v>1581.75</v>
      </c>
      <c r="W607" s="71">
        <f t="shared" si="314"/>
        <v>79.365278474661309</v>
      </c>
      <c r="X607" s="154">
        <f>'copy data3'!D661</f>
        <v>806</v>
      </c>
      <c r="Y607" s="38">
        <f t="shared" si="306"/>
        <v>836.5</v>
      </c>
      <c r="Z607" s="71">
        <f t="shared" si="315"/>
        <v>83.901705115346033</v>
      </c>
      <c r="AA607" s="152">
        <f>'copy data3'!F661</f>
        <v>1287</v>
      </c>
      <c r="AB607" s="38">
        <f t="shared" si="307"/>
        <v>1310</v>
      </c>
      <c r="AC607" s="71">
        <f t="shared" si="316"/>
        <v>72.535991140642309</v>
      </c>
      <c r="AD607" s="152">
        <f>'copy data3'!H661</f>
        <v>1066</v>
      </c>
      <c r="AE607" s="38">
        <f t="shared" si="308"/>
        <v>1035</v>
      </c>
      <c r="AF607" s="71">
        <f t="shared" si="317"/>
        <v>91.350397175639898</v>
      </c>
      <c r="AG607" s="152">
        <f>'copy data3'!J661</f>
        <v>127</v>
      </c>
      <c r="AH607" s="38">
        <f t="shared" si="309"/>
        <v>140</v>
      </c>
      <c r="AI607" s="71">
        <f t="shared" si="318"/>
        <v>189.18918918918919</v>
      </c>
      <c r="AJ607" s="152">
        <f>'copy data3'!L661</f>
        <v>4703</v>
      </c>
      <c r="AK607" s="38">
        <f t="shared" si="310"/>
        <v>4903.25</v>
      </c>
      <c r="AL607" s="71">
        <f t="shared" si="319"/>
        <v>81.679993336665007</v>
      </c>
      <c r="AM607" s="152">
        <f>'copy data3'!N661</f>
        <v>5309</v>
      </c>
      <c r="AN607" s="38">
        <f t="shared" si="311"/>
        <v>6064.75</v>
      </c>
      <c r="AO607" s="71">
        <f t="shared" si="320"/>
        <v>76.885775862068968</v>
      </c>
      <c r="AP607" s="152">
        <f>'copy data3'!P661</f>
        <v>4951</v>
      </c>
      <c r="AQ607" s="38">
        <f t="shared" si="312"/>
        <v>5039.25</v>
      </c>
      <c r="AR607" s="71">
        <f t="shared" si="321"/>
        <v>146.70305676855895</v>
      </c>
      <c r="AS607" s="153">
        <f>'copy data3'!R661</f>
        <v>14963</v>
      </c>
      <c r="AT607" s="38">
        <f t="shared" si="313"/>
        <v>16007.25</v>
      </c>
      <c r="AU607" s="71">
        <f t="shared" si="322"/>
        <v>92.388606718226939</v>
      </c>
    </row>
    <row r="608" spans="1:47" ht="15.6" x14ac:dyDescent="0.3">
      <c r="A608" s="10">
        <v>38631</v>
      </c>
      <c r="B608" s="6">
        <v>2469</v>
      </c>
      <c r="C608" s="6">
        <v>3910</v>
      </c>
      <c r="D608" s="6">
        <v>298</v>
      </c>
      <c r="E608" s="6">
        <v>872</v>
      </c>
      <c r="F608" s="6">
        <v>1158</v>
      </c>
      <c r="G608" s="6">
        <v>2949</v>
      </c>
      <c r="H608" s="6">
        <v>800</v>
      </c>
      <c r="I608" s="6">
        <v>1251</v>
      </c>
      <c r="J608" s="6">
        <v>84</v>
      </c>
      <c r="K608" s="6">
        <v>304</v>
      </c>
      <c r="L608" s="6">
        <v>4808</v>
      </c>
      <c r="M608" s="6">
        <v>9285</v>
      </c>
      <c r="N608" s="6">
        <v>7645</v>
      </c>
      <c r="O608" s="6">
        <v>4106</v>
      </c>
      <c r="P608" s="6">
        <v>6096</v>
      </c>
      <c r="Q608" s="6">
        <v>1134</v>
      </c>
      <c r="R608" s="16">
        <f t="shared" si="277"/>
        <v>18549</v>
      </c>
      <c r="T608" s="140">
        <f t="shared" si="258"/>
        <v>41102</v>
      </c>
      <c r="U608" s="154">
        <f>'copy data3'!B662</f>
        <v>1500</v>
      </c>
      <c r="V608" s="38">
        <f t="shared" si="305"/>
        <v>1526</v>
      </c>
      <c r="W608" s="71">
        <f t="shared" si="314"/>
        <v>84.636716583471994</v>
      </c>
      <c r="X608" s="154">
        <f>'copy data3'!D662</f>
        <v>813</v>
      </c>
      <c r="Y608" s="38">
        <f t="shared" si="306"/>
        <v>815.75</v>
      </c>
      <c r="Z608" s="71">
        <f t="shared" si="315"/>
        <v>78.664416586306658</v>
      </c>
      <c r="AA608" s="152">
        <f>'copy data3'!F662</f>
        <v>1348</v>
      </c>
      <c r="AB608" s="38">
        <f t="shared" si="307"/>
        <v>1306.75</v>
      </c>
      <c r="AC608" s="71">
        <f t="shared" si="316"/>
        <v>72.67797552836484</v>
      </c>
      <c r="AD608" s="152">
        <f>'copy data3'!H662</f>
        <v>1137</v>
      </c>
      <c r="AE608" s="38">
        <f t="shared" si="308"/>
        <v>1070.75</v>
      </c>
      <c r="AF608" s="71">
        <f t="shared" si="317"/>
        <v>93.925438596491233</v>
      </c>
      <c r="AG608" s="152">
        <f>'copy data3'!J662</f>
        <v>123</v>
      </c>
      <c r="AH608" s="38">
        <f t="shared" si="309"/>
        <v>132.25</v>
      </c>
      <c r="AI608" s="71">
        <f t="shared" si="318"/>
        <v>153.77906976744185</v>
      </c>
      <c r="AJ608" s="152">
        <f>'copy data3'!L662</f>
        <v>4922</v>
      </c>
      <c r="AK608" s="38">
        <f t="shared" si="310"/>
        <v>4851.75</v>
      </c>
      <c r="AL608" s="71">
        <f t="shared" si="319"/>
        <v>82.752004093467519</v>
      </c>
      <c r="AM608" s="152">
        <f>'copy data3'!N662</f>
        <v>4659</v>
      </c>
      <c r="AN608" s="38">
        <f t="shared" si="311"/>
        <v>5519.5</v>
      </c>
      <c r="AO608" s="71">
        <f t="shared" si="320"/>
        <v>74.678663239074552</v>
      </c>
      <c r="AP608" s="152">
        <f>'copy data3'!P662</f>
        <v>4669</v>
      </c>
      <c r="AQ608" s="38">
        <f t="shared" si="312"/>
        <v>4956</v>
      </c>
      <c r="AR608" s="71">
        <f t="shared" si="321"/>
        <v>139.37007874015748</v>
      </c>
      <c r="AS608" s="153">
        <f>'copy data3'!R662</f>
        <v>14250</v>
      </c>
      <c r="AT608" s="38">
        <f t="shared" si="313"/>
        <v>15327.25</v>
      </c>
      <c r="AU608" s="71">
        <f t="shared" si="322"/>
        <v>91.179357525282569</v>
      </c>
    </row>
    <row r="609" spans="1:47" ht="15.6" x14ac:dyDescent="0.3">
      <c r="A609" s="10">
        <v>38995</v>
      </c>
      <c r="B609" s="6">
        <v>920</v>
      </c>
      <c r="C609" s="6">
        <v>2034</v>
      </c>
      <c r="D609" s="6">
        <v>657</v>
      </c>
      <c r="E609" s="6">
        <v>1267</v>
      </c>
      <c r="F609" s="6">
        <v>1018</v>
      </c>
      <c r="G609" s="6">
        <v>2377</v>
      </c>
      <c r="H609" s="6">
        <v>840</v>
      </c>
      <c r="I609" s="6">
        <v>1651</v>
      </c>
      <c r="J609" s="6">
        <v>110</v>
      </c>
      <c r="K609" s="6">
        <v>341</v>
      </c>
      <c r="L609" s="6">
        <v>3545</v>
      </c>
      <c r="M609" s="6">
        <v>7671</v>
      </c>
      <c r="N609" s="6">
        <v>10893</v>
      </c>
      <c r="O609" s="6">
        <v>5998</v>
      </c>
      <c r="P609" s="6">
        <v>8954</v>
      </c>
      <c r="Q609" s="6">
        <v>2161</v>
      </c>
      <c r="R609" s="16">
        <f t="shared" si="277"/>
        <v>23392</v>
      </c>
      <c r="T609" s="140">
        <f t="shared" si="258"/>
        <v>41109</v>
      </c>
      <c r="U609" s="154">
        <f>'copy data3'!B663</f>
        <v>1517</v>
      </c>
      <c r="V609" s="38">
        <f t="shared" si="305"/>
        <v>1491.75</v>
      </c>
      <c r="W609" s="71">
        <f t="shared" si="314"/>
        <v>83.477895914941243</v>
      </c>
      <c r="X609" s="154">
        <f>'copy data3'!D663</f>
        <v>840</v>
      </c>
      <c r="Y609" s="38">
        <f t="shared" si="306"/>
        <v>820</v>
      </c>
      <c r="Z609" s="71">
        <f t="shared" si="315"/>
        <v>91.415830546265326</v>
      </c>
      <c r="AA609" s="152">
        <f>'copy data3'!F663</f>
        <v>1390</v>
      </c>
      <c r="AB609" s="38">
        <f t="shared" si="307"/>
        <v>1324</v>
      </c>
      <c r="AC609" s="71">
        <f t="shared" si="316"/>
        <v>74.340258281864124</v>
      </c>
      <c r="AD609" s="152">
        <f>'copy data3'!H663</f>
        <v>1160</v>
      </c>
      <c r="AE609" s="38">
        <f t="shared" si="308"/>
        <v>1103.25</v>
      </c>
      <c r="AF609" s="71">
        <f t="shared" si="317"/>
        <v>95.354364736387211</v>
      </c>
      <c r="AG609" s="152">
        <f>'copy data3'!J663</f>
        <v>112</v>
      </c>
      <c r="AH609" s="38">
        <f t="shared" si="309"/>
        <v>122.25</v>
      </c>
      <c r="AI609" s="71">
        <f t="shared" si="318"/>
        <v>80.960264900662253</v>
      </c>
      <c r="AJ609" s="152">
        <f>'copy data3'!L663</f>
        <v>5019</v>
      </c>
      <c r="AK609" s="38">
        <f t="shared" si="310"/>
        <v>4861.5</v>
      </c>
      <c r="AL609" s="71">
        <f t="shared" si="319"/>
        <v>84.210982158323233</v>
      </c>
      <c r="AM609" s="152">
        <f>'copy data3'!N663</f>
        <v>4137</v>
      </c>
      <c r="AN609" s="38">
        <f t="shared" si="311"/>
        <v>4961.75</v>
      </c>
      <c r="AO609" s="71">
        <f t="shared" si="320"/>
        <v>73.868542504094094</v>
      </c>
      <c r="AP609" s="152">
        <f>'copy data3'!P663</f>
        <v>4386</v>
      </c>
      <c r="AQ609" s="38">
        <f t="shared" si="312"/>
        <v>4764.75</v>
      </c>
      <c r="AR609" s="71">
        <f t="shared" si="321"/>
        <v>141.34529813111837</v>
      </c>
      <c r="AS609" s="153">
        <f>'copy data3'!R663</f>
        <v>13542</v>
      </c>
      <c r="AT609" s="38">
        <f t="shared" si="313"/>
        <v>14588</v>
      </c>
      <c r="AU609" s="71">
        <f t="shared" si="322"/>
        <v>91.974024336422673</v>
      </c>
    </row>
    <row r="610" spans="1:47" ht="15.6" x14ac:dyDescent="0.3">
      <c r="A610" s="10">
        <v>38638</v>
      </c>
      <c r="B610" s="6">
        <v>2355</v>
      </c>
      <c r="C610" s="6">
        <v>4091</v>
      </c>
      <c r="D610" s="6">
        <v>313</v>
      </c>
      <c r="E610" s="6">
        <v>907</v>
      </c>
      <c r="F610" s="6">
        <v>1137</v>
      </c>
      <c r="G610" s="6">
        <v>3135</v>
      </c>
      <c r="H610" s="6">
        <v>777</v>
      </c>
      <c r="I610" s="6">
        <v>1379</v>
      </c>
      <c r="J610" s="6">
        <v>70</v>
      </c>
      <c r="K610" s="6">
        <v>326</v>
      </c>
      <c r="L610" s="6">
        <v>4651</v>
      </c>
      <c r="M610" s="6">
        <v>9837</v>
      </c>
      <c r="N610" s="6">
        <v>7380</v>
      </c>
      <c r="O610" s="6">
        <v>5335</v>
      </c>
      <c r="P610" s="6">
        <v>5987</v>
      </c>
      <c r="Q610" s="6">
        <v>2132</v>
      </c>
      <c r="R610" s="16">
        <f t="shared" si="277"/>
        <v>18018</v>
      </c>
      <c r="T610" s="140">
        <f t="shared" si="258"/>
        <v>41116</v>
      </c>
      <c r="U610" s="154">
        <f>'copy data3'!B664</f>
        <v>1509</v>
      </c>
      <c r="V610" s="38">
        <f t="shared" ref="V610:V615" si="323">AVERAGE(U607:U610)</f>
        <v>1485.75</v>
      </c>
      <c r="W610" s="71">
        <f t="shared" si="314"/>
        <v>81.679494227597587</v>
      </c>
      <c r="X610" s="154">
        <f>'copy data3'!D664</f>
        <v>745</v>
      </c>
      <c r="Y610" s="38">
        <f t="shared" ref="Y610:Y615" si="324">AVERAGE(X607:X610)</f>
        <v>801</v>
      </c>
      <c r="Z610" s="71">
        <f t="shared" si="315"/>
        <v>81.818181818181827</v>
      </c>
      <c r="AA610" s="152">
        <f>'copy data3'!F664</f>
        <v>1449</v>
      </c>
      <c r="AB610" s="38">
        <f t="shared" ref="AB610:AB615" si="325">AVERAGE(AA607:AA610)</f>
        <v>1368.5</v>
      </c>
      <c r="AC610" s="71">
        <f t="shared" si="316"/>
        <v>80.076067875950855</v>
      </c>
      <c r="AD610" s="152">
        <f>'copy data3'!H664</f>
        <v>1266</v>
      </c>
      <c r="AE610" s="38">
        <f t="shared" ref="AE610:AE615" si="326">AVERAGE(AD607:AD610)</f>
        <v>1157.25</v>
      </c>
      <c r="AF610" s="71">
        <f t="shared" si="317"/>
        <v>101.51315789473685</v>
      </c>
      <c r="AG610" s="152">
        <f>'copy data3'!J664</f>
        <v>102</v>
      </c>
      <c r="AH610" s="38">
        <f t="shared" ref="AH610:AH615" si="327">AVERAGE(AG607:AG610)</f>
        <v>116</v>
      </c>
      <c r="AI610" s="71">
        <f t="shared" si="318"/>
        <v>75.816993464052288</v>
      </c>
      <c r="AJ610" s="152">
        <f>'copy data3'!L664</f>
        <v>5072</v>
      </c>
      <c r="AK610" s="38">
        <f t="shared" ref="AK610:AK615" si="328">AVERAGE(AJ607:AJ610)</f>
        <v>4929</v>
      </c>
      <c r="AL610" s="71">
        <f t="shared" si="319"/>
        <v>84.982758620689651</v>
      </c>
      <c r="AM610" s="152">
        <f>'copy data3'!N664</f>
        <v>3732</v>
      </c>
      <c r="AN610" s="38">
        <f t="shared" ref="AN610:AN615" si="329">AVERAGE(AM607:AM610)</f>
        <v>4459.25</v>
      </c>
      <c r="AO610" s="71">
        <f t="shared" si="320"/>
        <v>71.50817831943553</v>
      </c>
      <c r="AP610" s="152">
        <f>'copy data3'!P664</f>
        <v>4135</v>
      </c>
      <c r="AQ610" s="38">
        <f t="shared" ref="AQ610:AQ615" si="330">AVERAGE(AP607:AP610)</f>
        <v>4535.25</v>
      </c>
      <c r="AR610" s="71">
        <f t="shared" si="321"/>
        <v>164.2611372691054</v>
      </c>
      <c r="AS610" s="153">
        <f>'copy data3'!R664</f>
        <v>12939</v>
      </c>
      <c r="AT610" s="38">
        <f t="shared" ref="AT610:AT615" si="331">AVERAGE(AS607:AS610)</f>
        <v>13923.5</v>
      </c>
      <c r="AU610" s="71">
        <f t="shared" si="322"/>
        <v>94.096776373589236</v>
      </c>
    </row>
    <row r="611" spans="1:47" ht="15.6" x14ac:dyDescent="0.3">
      <c r="A611" s="10">
        <v>39002</v>
      </c>
      <c r="B611" s="6">
        <v>953</v>
      </c>
      <c r="C611" s="6">
        <v>2119</v>
      </c>
      <c r="D611" s="6">
        <v>554</v>
      </c>
      <c r="E611" s="6">
        <v>1419</v>
      </c>
      <c r="F611" s="6">
        <v>914</v>
      </c>
      <c r="G611" s="6">
        <v>2575</v>
      </c>
      <c r="H611" s="6">
        <v>905</v>
      </c>
      <c r="I611" s="6">
        <v>1766</v>
      </c>
      <c r="J611" s="6">
        <v>80</v>
      </c>
      <c r="K611" s="6">
        <v>375</v>
      </c>
      <c r="L611" s="6">
        <v>3405</v>
      </c>
      <c r="M611" s="6">
        <v>8255</v>
      </c>
      <c r="N611" s="6">
        <v>10626</v>
      </c>
      <c r="O611" s="6">
        <v>7086</v>
      </c>
      <c r="P611" s="6">
        <v>8996</v>
      </c>
      <c r="Q611" s="6">
        <v>2988</v>
      </c>
      <c r="R611" s="16">
        <f t="shared" si="277"/>
        <v>23027</v>
      </c>
      <c r="T611" s="140">
        <f t="shared" si="258"/>
        <v>41123</v>
      </c>
      <c r="U611" s="154">
        <f>'copy data3'!B665</f>
        <v>1535</v>
      </c>
      <c r="V611" s="38">
        <f t="shared" si="323"/>
        <v>1515.25</v>
      </c>
      <c r="W611" s="71">
        <f t="shared" ref="W611:W616" si="332">(V611/U559)*100</f>
        <v>90.625</v>
      </c>
      <c r="X611" s="154">
        <f>'copy data3'!D665</f>
        <v>681</v>
      </c>
      <c r="Y611" s="38">
        <f t="shared" si="324"/>
        <v>769.75</v>
      </c>
      <c r="Z611" s="71">
        <f t="shared" ref="Z611:Z616" si="333">(Y611/X559)*100</f>
        <v>85.055248618784532</v>
      </c>
      <c r="AA611" s="152">
        <f>'copy data3'!F665</f>
        <v>1525</v>
      </c>
      <c r="AB611" s="38">
        <f t="shared" si="325"/>
        <v>1428</v>
      </c>
      <c r="AC611" s="71">
        <f t="shared" ref="AC611:AC616" si="334">(AB611/AA559)*100</f>
        <v>82.591093117408903</v>
      </c>
      <c r="AD611" s="152">
        <f>'copy data3'!H665</f>
        <v>1267</v>
      </c>
      <c r="AE611" s="38">
        <f t="shared" si="326"/>
        <v>1207.5</v>
      </c>
      <c r="AF611" s="71">
        <f t="shared" ref="AF611:AF616" si="335">(AE611/AD559)*100</f>
        <v>113.7005649717514</v>
      </c>
      <c r="AG611" s="152">
        <f>'copy data3'!J665</f>
        <v>132</v>
      </c>
      <c r="AH611" s="38">
        <f t="shared" si="327"/>
        <v>117.25</v>
      </c>
      <c r="AI611" s="71">
        <f t="shared" ref="AI611:AI616" si="336">(AH611/AG559)*100</f>
        <v>66.619318181818173</v>
      </c>
      <c r="AJ611" s="152">
        <f>'copy data3'!L665</f>
        <v>5141</v>
      </c>
      <c r="AK611" s="38">
        <f t="shared" si="328"/>
        <v>5038.5</v>
      </c>
      <c r="AL611" s="71">
        <f t="shared" ref="AL611:AL616" si="337">(AK611/AJ559)*100</f>
        <v>90.882034632034632</v>
      </c>
      <c r="AM611" s="152">
        <f>'copy data3'!N665</f>
        <v>3430</v>
      </c>
      <c r="AN611" s="38">
        <f t="shared" si="329"/>
        <v>3989.5</v>
      </c>
      <c r="AO611" s="71">
        <f t="shared" ref="AO611:AO616" si="338">(AN611/AM559)*100</f>
        <v>69.649092178770957</v>
      </c>
      <c r="AP611" s="152">
        <f>'copy data3'!P665</f>
        <v>3880</v>
      </c>
      <c r="AQ611" s="38">
        <f t="shared" si="330"/>
        <v>4267.5</v>
      </c>
      <c r="AR611" s="71">
        <f t="shared" ref="AR611:AR616" si="339">(AQ611/AP559)*100</f>
        <v>149.47460595446586</v>
      </c>
      <c r="AS611" s="153">
        <f>'copy data3'!R665</f>
        <v>12451</v>
      </c>
      <c r="AT611" s="38">
        <f t="shared" si="331"/>
        <v>13295.5</v>
      </c>
      <c r="AU611" s="71">
        <f t="shared" ref="AU611:AU616" si="340">(AT611/AS559)*100</f>
        <v>94.114107736957592</v>
      </c>
    </row>
    <row r="612" spans="1:47" ht="15.6" x14ac:dyDescent="0.3">
      <c r="A612" s="10">
        <v>38645</v>
      </c>
      <c r="B612" s="6">
        <v>2156</v>
      </c>
      <c r="C612" s="6">
        <v>4329</v>
      </c>
      <c r="D612" s="6">
        <v>285</v>
      </c>
      <c r="E612" s="6">
        <v>936</v>
      </c>
      <c r="F612" s="6">
        <v>1112</v>
      </c>
      <c r="G612" s="6">
        <v>3316</v>
      </c>
      <c r="H612" s="6">
        <v>711</v>
      </c>
      <c r="I612" s="6">
        <v>1625</v>
      </c>
      <c r="J612" s="6">
        <v>68</v>
      </c>
      <c r="K612" s="6">
        <v>329</v>
      </c>
      <c r="L612" s="6">
        <v>4332</v>
      </c>
      <c r="M612" s="6">
        <v>10535</v>
      </c>
      <c r="N612" s="6">
        <v>7150</v>
      </c>
      <c r="O612" s="6">
        <v>6284</v>
      </c>
      <c r="P612" s="6">
        <v>5923</v>
      </c>
      <c r="Q612" s="6">
        <v>3038</v>
      </c>
      <c r="R612" s="16">
        <f t="shared" si="277"/>
        <v>17405</v>
      </c>
      <c r="T612" s="140">
        <f t="shared" si="258"/>
        <v>41130</v>
      </c>
      <c r="U612" s="154">
        <f>'copy data3'!B666</f>
        <v>1462</v>
      </c>
      <c r="V612" s="38">
        <f t="shared" si="323"/>
        <v>1505.75</v>
      </c>
      <c r="W612" s="71">
        <f t="shared" si="332"/>
        <v>86.438002296211252</v>
      </c>
      <c r="X612" s="154">
        <f>'copy data3'!D666</f>
        <v>676</v>
      </c>
      <c r="Y612" s="38">
        <f t="shared" si="324"/>
        <v>735.5</v>
      </c>
      <c r="Z612" s="71">
        <f t="shared" si="333"/>
        <v>82.547699214365878</v>
      </c>
      <c r="AA612" s="152">
        <f>'copy data3'!F666</f>
        <v>1512</v>
      </c>
      <c r="AB612" s="38">
        <f t="shared" si="325"/>
        <v>1469</v>
      </c>
      <c r="AC612" s="71">
        <f t="shared" si="334"/>
        <v>91.412570006222765</v>
      </c>
      <c r="AD612" s="152">
        <f>'copy data3'!H666</f>
        <v>1225</v>
      </c>
      <c r="AE612" s="38">
        <f t="shared" si="326"/>
        <v>1229.5</v>
      </c>
      <c r="AF612" s="71">
        <f t="shared" si="335"/>
        <v>120.42115572967677</v>
      </c>
      <c r="AG612" s="152">
        <f>'copy data3'!J666</f>
        <v>104</v>
      </c>
      <c r="AH612" s="38">
        <f t="shared" si="327"/>
        <v>112.5</v>
      </c>
      <c r="AI612" s="71">
        <f t="shared" si="336"/>
        <v>60.483870967741936</v>
      </c>
      <c r="AJ612" s="152">
        <f>'copy data3'!L666</f>
        <v>4978</v>
      </c>
      <c r="AK612" s="38">
        <f t="shared" si="328"/>
        <v>5052.5</v>
      </c>
      <c r="AL612" s="71">
        <f t="shared" si="337"/>
        <v>92.757481182302186</v>
      </c>
      <c r="AM612" s="152">
        <f>'copy data3'!N666</f>
        <v>2920</v>
      </c>
      <c r="AN612" s="38">
        <f t="shared" si="329"/>
        <v>3554.75</v>
      </c>
      <c r="AO612" s="71">
        <f t="shared" si="338"/>
        <v>70.127244032353516</v>
      </c>
      <c r="AP612" s="152">
        <f>'copy data3'!P666</f>
        <v>3597</v>
      </c>
      <c r="AQ612" s="38">
        <f t="shared" si="330"/>
        <v>3999.5</v>
      </c>
      <c r="AR612" s="71">
        <f t="shared" si="339"/>
        <v>138.48684210526315</v>
      </c>
      <c r="AS612" s="153">
        <f>'copy data3'!R666</f>
        <v>11495</v>
      </c>
      <c r="AT612" s="38">
        <f t="shared" si="331"/>
        <v>12606.75</v>
      </c>
      <c r="AU612" s="71">
        <f t="shared" si="340"/>
        <v>94.052148612354529</v>
      </c>
    </row>
    <row r="613" spans="1:47" ht="15.6" x14ac:dyDescent="0.3">
      <c r="A613" s="10">
        <v>39009</v>
      </c>
      <c r="B613" s="6">
        <v>1086</v>
      </c>
      <c r="C613" s="6">
        <v>2141</v>
      </c>
      <c r="D613" s="6">
        <v>418</v>
      </c>
      <c r="E613" s="6">
        <v>1561</v>
      </c>
      <c r="F613" s="6">
        <v>980</v>
      </c>
      <c r="G613" s="6">
        <v>2660</v>
      </c>
      <c r="H613" s="6">
        <v>864</v>
      </c>
      <c r="I613" s="6">
        <v>1921</v>
      </c>
      <c r="J613" s="6">
        <v>90</v>
      </c>
      <c r="K613" s="6">
        <v>392</v>
      </c>
      <c r="L613" s="6">
        <v>3438</v>
      </c>
      <c r="M613" s="6">
        <v>8675</v>
      </c>
      <c r="N613" s="6">
        <v>10872</v>
      </c>
      <c r="O613" s="6">
        <v>7886</v>
      </c>
      <c r="P613" s="6">
        <v>8439</v>
      </c>
      <c r="Q613" s="6">
        <v>4172</v>
      </c>
      <c r="R613" s="16">
        <f t="shared" si="277"/>
        <v>22749</v>
      </c>
      <c r="T613" s="140">
        <f t="shared" si="258"/>
        <v>41137</v>
      </c>
      <c r="U613" s="154">
        <f>'copy data3'!B667</f>
        <v>1402</v>
      </c>
      <c r="V613" s="38">
        <f t="shared" si="323"/>
        <v>1477</v>
      </c>
      <c r="W613" s="71">
        <f t="shared" si="332"/>
        <v>83.117613956105799</v>
      </c>
      <c r="X613" s="154">
        <f>'copy data3'!D667</f>
        <v>617</v>
      </c>
      <c r="Y613" s="38">
        <f t="shared" si="324"/>
        <v>679.75</v>
      </c>
      <c r="Z613" s="71">
        <f t="shared" si="333"/>
        <v>96.009887005649716</v>
      </c>
      <c r="AA613" s="152">
        <f>'copy data3'!F667</f>
        <v>1553</v>
      </c>
      <c r="AB613" s="38">
        <f t="shared" si="325"/>
        <v>1509.75</v>
      </c>
      <c r="AC613" s="71">
        <f t="shared" si="334"/>
        <v>94.241573033707866</v>
      </c>
      <c r="AD613" s="152">
        <f>'copy data3'!H667</f>
        <v>1091</v>
      </c>
      <c r="AE613" s="38">
        <f t="shared" si="326"/>
        <v>1212.25</v>
      </c>
      <c r="AF613" s="71">
        <f t="shared" si="335"/>
        <v>116.11590038314176</v>
      </c>
      <c r="AG613" s="152">
        <f>'copy data3'!J667</f>
        <v>87</v>
      </c>
      <c r="AH613" s="38">
        <f t="shared" si="327"/>
        <v>106.25</v>
      </c>
      <c r="AI613" s="71">
        <f t="shared" si="336"/>
        <v>55.051813471502584</v>
      </c>
      <c r="AJ613" s="152">
        <f>'copy data3'!L667</f>
        <v>4749</v>
      </c>
      <c r="AK613" s="38">
        <f t="shared" si="328"/>
        <v>4985</v>
      </c>
      <c r="AL613" s="71">
        <f t="shared" si="337"/>
        <v>93.6150234741784</v>
      </c>
      <c r="AM613" s="152">
        <f>'copy data3'!N667</f>
        <v>2427</v>
      </c>
      <c r="AN613" s="38">
        <f t="shared" si="329"/>
        <v>3127.25</v>
      </c>
      <c r="AO613" s="71">
        <f t="shared" si="338"/>
        <v>67.586989409984881</v>
      </c>
      <c r="AP613" s="152">
        <f>'copy data3'!P667</f>
        <v>3043</v>
      </c>
      <c r="AQ613" s="38">
        <f t="shared" si="330"/>
        <v>3663.75</v>
      </c>
      <c r="AR613" s="71">
        <f t="shared" si="339"/>
        <v>135.04423147806855</v>
      </c>
      <c r="AS613" s="153">
        <f>'copy data3'!R667</f>
        <v>10219</v>
      </c>
      <c r="AT613" s="38">
        <f t="shared" si="331"/>
        <v>11776</v>
      </c>
      <c r="AU613" s="71">
        <f t="shared" si="340"/>
        <v>92.980655349388073</v>
      </c>
    </row>
    <row r="614" spans="1:47" ht="15.6" x14ac:dyDescent="0.3">
      <c r="A614" s="10">
        <v>38652</v>
      </c>
      <c r="B614" s="6">
        <v>1967</v>
      </c>
      <c r="C614" s="6">
        <v>4622</v>
      </c>
      <c r="D614" s="6">
        <v>283</v>
      </c>
      <c r="E614" s="6">
        <v>962</v>
      </c>
      <c r="F614" s="6">
        <v>1172</v>
      </c>
      <c r="G614" s="6">
        <v>3450</v>
      </c>
      <c r="H614" s="6">
        <v>695</v>
      </c>
      <c r="I614" s="6">
        <v>1716</v>
      </c>
      <c r="J614" s="6">
        <v>102</v>
      </c>
      <c r="K614" s="6">
        <v>332</v>
      </c>
      <c r="L614" s="6">
        <v>4219</v>
      </c>
      <c r="M614" s="6">
        <v>11082</v>
      </c>
      <c r="N614" s="6">
        <v>7354</v>
      </c>
      <c r="O614" s="6">
        <v>7298</v>
      </c>
      <c r="P614" s="6">
        <v>5673</v>
      </c>
      <c r="Q614" s="6">
        <v>4049</v>
      </c>
      <c r="R614" s="16">
        <f t="shared" si="277"/>
        <v>17246</v>
      </c>
      <c r="T614" s="140">
        <f t="shared" si="258"/>
        <v>41144</v>
      </c>
      <c r="U614" s="154">
        <f>'copy data3'!B668</f>
        <v>1502</v>
      </c>
      <c r="V614" s="38">
        <f t="shared" si="323"/>
        <v>1475.25</v>
      </c>
      <c r="W614" s="71">
        <f t="shared" si="332"/>
        <v>84.493127147766316</v>
      </c>
      <c r="X614" s="154">
        <f>'copy data3'!D668</f>
        <v>646</v>
      </c>
      <c r="Y614" s="38">
        <f t="shared" si="324"/>
        <v>655</v>
      </c>
      <c r="Z614" s="71">
        <f t="shared" si="333"/>
        <v>100.46012269938652</v>
      </c>
      <c r="AA614" s="152">
        <f>'copy data3'!F668</f>
        <v>1564</v>
      </c>
      <c r="AB614" s="38">
        <f t="shared" si="325"/>
        <v>1538.5</v>
      </c>
      <c r="AC614" s="71">
        <f t="shared" si="334"/>
        <v>100.09759271307743</v>
      </c>
      <c r="AD614" s="152">
        <f>'copy data3'!H668</f>
        <v>879</v>
      </c>
      <c r="AE614" s="38">
        <f t="shared" si="326"/>
        <v>1115.5</v>
      </c>
      <c r="AF614" s="71">
        <f t="shared" si="335"/>
        <v>110.66468253968253</v>
      </c>
      <c r="AG614" s="152">
        <f>'copy data3'!J668</f>
        <v>107</v>
      </c>
      <c r="AH614" s="38">
        <f t="shared" si="327"/>
        <v>107.5</v>
      </c>
      <c r="AI614" s="71">
        <f t="shared" si="336"/>
        <v>76.24113475177306</v>
      </c>
      <c r="AJ614" s="152">
        <f>'copy data3'!L668</f>
        <v>4698</v>
      </c>
      <c r="AK614" s="38">
        <f t="shared" si="328"/>
        <v>4891.5</v>
      </c>
      <c r="AL614" s="71">
        <f t="shared" si="337"/>
        <v>96.213611329661688</v>
      </c>
      <c r="AM614" s="152">
        <f>'copy data3'!N668</f>
        <v>2021</v>
      </c>
      <c r="AN614" s="38">
        <f t="shared" si="329"/>
        <v>2699.5</v>
      </c>
      <c r="AO614" s="71">
        <f t="shared" si="338"/>
        <v>76.25706214689265</v>
      </c>
      <c r="AP614" s="152">
        <f>'copy data3'!P668</f>
        <v>2497</v>
      </c>
      <c r="AQ614" s="38">
        <f t="shared" si="330"/>
        <v>3254.25</v>
      </c>
      <c r="AR614" s="71">
        <f t="shared" si="339"/>
        <v>131.32566585956417</v>
      </c>
      <c r="AS614" s="153">
        <f>'copy data3'!R668</f>
        <v>9216</v>
      </c>
      <c r="AT614" s="38">
        <f t="shared" si="331"/>
        <v>10845.25</v>
      </c>
      <c r="AU614" s="71">
        <f t="shared" si="340"/>
        <v>97.687353629976585</v>
      </c>
    </row>
    <row r="615" spans="1:47" ht="15.6" x14ac:dyDescent="0.3">
      <c r="A615" s="10">
        <v>39016</v>
      </c>
      <c r="B615" s="6">
        <v>1463</v>
      </c>
      <c r="C615" s="6">
        <v>2276</v>
      </c>
      <c r="D615" s="6">
        <v>436</v>
      </c>
      <c r="E615" s="6">
        <v>1605</v>
      </c>
      <c r="F615" s="6">
        <v>1068</v>
      </c>
      <c r="G615" s="6">
        <v>2766</v>
      </c>
      <c r="H615" s="6">
        <v>972</v>
      </c>
      <c r="I615" s="6">
        <v>1985</v>
      </c>
      <c r="J615" s="6">
        <v>90</v>
      </c>
      <c r="K615" s="6">
        <v>392</v>
      </c>
      <c r="L615" s="6">
        <v>4028</v>
      </c>
      <c r="M615" s="6">
        <v>9024</v>
      </c>
      <c r="N615" s="6">
        <v>10797</v>
      </c>
      <c r="O615" s="6">
        <v>8988</v>
      </c>
      <c r="P615" s="6">
        <v>7853</v>
      </c>
      <c r="Q615" s="6">
        <v>5395</v>
      </c>
      <c r="R615" s="16">
        <f t="shared" si="277"/>
        <v>22678</v>
      </c>
      <c r="T615" s="140">
        <f t="shared" si="258"/>
        <v>41151</v>
      </c>
      <c r="U615" s="154">
        <f>'copy data3'!B669</f>
        <v>1547</v>
      </c>
      <c r="V615" s="38">
        <f t="shared" si="323"/>
        <v>1478.25</v>
      </c>
      <c r="W615" s="71">
        <f t="shared" si="332"/>
        <v>84.810671256454384</v>
      </c>
      <c r="X615" s="154">
        <f>'copy data3'!D669</f>
        <v>714</v>
      </c>
      <c r="Y615" s="38">
        <f t="shared" si="324"/>
        <v>663.25</v>
      </c>
      <c r="Z615" s="71">
        <f t="shared" si="333"/>
        <v>98.845007451564825</v>
      </c>
      <c r="AA615" s="152">
        <f>'copy data3'!F669</f>
        <v>1477</v>
      </c>
      <c r="AB615" s="38">
        <f t="shared" si="325"/>
        <v>1526.5</v>
      </c>
      <c r="AC615" s="71">
        <f t="shared" si="334"/>
        <v>104.98624484181569</v>
      </c>
      <c r="AD615" s="152">
        <f>'copy data3'!H669</f>
        <v>801</v>
      </c>
      <c r="AE615" s="38">
        <f t="shared" si="326"/>
        <v>999</v>
      </c>
      <c r="AF615" s="71">
        <f t="shared" si="335"/>
        <v>97.653958944281527</v>
      </c>
      <c r="AG615" s="152">
        <f>'copy data3'!J669</f>
        <v>115</v>
      </c>
      <c r="AH615" s="38">
        <f t="shared" si="327"/>
        <v>103.25</v>
      </c>
      <c r="AI615" s="71">
        <f t="shared" si="336"/>
        <v>127.46913580246914</v>
      </c>
      <c r="AJ615" s="152">
        <f>'copy data3'!L669</f>
        <v>4652</v>
      </c>
      <c r="AK615" s="38">
        <f t="shared" si="328"/>
        <v>4769.25</v>
      </c>
      <c r="AL615" s="71">
        <f t="shared" si="337"/>
        <v>95.922164119066778</v>
      </c>
      <c r="AM615" s="152">
        <f>'copy data3'!N669</f>
        <v>1681</v>
      </c>
      <c r="AN615" s="38">
        <f t="shared" si="329"/>
        <v>2262.25</v>
      </c>
      <c r="AO615" s="71">
        <f t="shared" si="338"/>
        <v>17.175992711259585</v>
      </c>
      <c r="AP615" s="152">
        <f>'copy data3'!P669</f>
        <v>2088</v>
      </c>
      <c r="AQ615" s="38">
        <f t="shared" si="330"/>
        <v>2806.25</v>
      </c>
      <c r="AR615" s="71">
        <f t="shared" si="339"/>
        <v>19.646107532903947</v>
      </c>
      <c r="AS615" s="153">
        <f>'copy data3'!R669</f>
        <v>8421</v>
      </c>
      <c r="AT615" s="38">
        <f t="shared" si="331"/>
        <v>9837.75</v>
      </c>
      <c r="AU615" s="71">
        <f t="shared" si="340"/>
        <v>30.33814413914331</v>
      </c>
    </row>
    <row r="616" spans="1:47" ht="15.6" x14ac:dyDescent="0.3">
      <c r="A616" s="10">
        <v>38659</v>
      </c>
      <c r="B616" s="6">
        <v>2861</v>
      </c>
      <c r="C616" s="6">
        <v>4738</v>
      </c>
      <c r="D616" s="6">
        <v>247</v>
      </c>
      <c r="E616" s="6">
        <v>1010</v>
      </c>
      <c r="F616" s="6">
        <v>1133</v>
      </c>
      <c r="G616" s="6">
        <v>3692</v>
      </c>
      <c r="H616" s="6">
        <v>828</v>
      </c>
      <c r="I616" s="6">
        <v>1743</v>
      </c>
      <c r="J616" s="6">
        <v>101</v>
      </c>
      <c r="K616" s="6">
        <v>332</v>
      </c>
      <c r="L616" s="6">
        <v>5169</v>
      </c>
      <c r="M616" s="6">
        <v>11514</v>
      </c>
      <c r="N616" s="6">
        <v>7315</v>
      </c>
      <c r="O616" s="6">
        <v>8221</v>
      </c>
      <c r="P616" s="6">
        <v>5242</v>
      </c>
      <c r="Q616" s="6">
        <v>5060</v>
      </c>
      <c r="R616" s="16">
        <f t="shared" si="277"/>
        <v>17726</v>
      </c>
      <c r="T616" s="140">
        <f t="shared" si="258"/>
        <v>41158</v>
      </c>
      <c r="U616" s="154">
        <f>'copy data3'!B670</f>
        <v>1477</v>
      </c>
      <c r="V616" s="38">
        <f t="shared" ref="V616:V621" si="341">AVERAGE(U613:U616)</f>
        <v>1482</v>
      </c>
      <c r="W616" s="71">
        <f t="shared" si="332"/>
        <v>90.808823529411768</v>
      </c>
      <c r="X616" s="154">
        <f>'copy data3'!D670</f>
        <v>731</v>
      </c>
      <c r="Y616" s="38">
        <f t="shared" ref="Y616:Y621" si="342">AVERAGE(X613:X616)</f>
        <v>677</v>
      </c>
      <c r="Z616" s="71">
        <f t="shared" si="333"/>
        <v>102.11161387631975</v>
      </c>
      <c r="AA616" s="152">
        <f>'copy data3'!F670</f>
        <v>1400</v>
      </c>
      <c r="AB616" s="38">
        <f t="shared" ref="AB616:AB621" si="343">AVERAGE(AA613:AA616)</f>
        <v>1498.5</v>
      </c>
      <c r="AC616" s="71">
        <f t="shared" si="334"/>
        <v>98.1335952848723</v>
      </c>
      <c r="AD616" s="152">
        <f>'copy data3'!H670</f>
        <v>835</v>
      </c>
      <c r="AE616" s="38">
        <f t="shared" ref="AE616:AE621" si="344">AVERAGE(AD613:AD616)</f>
        <v>901.5</v>
      </c>
      <c r="AF616" s="71">
        <f t="shared" si="335"/>
        <v>89.345887016848366</v>
      </c>
      <c r="AG616" s="152">
        <f>'copy data3'!J670</f>
        <v>105</v>
      </c>
      <c r="AH616" s="38">
        <f t="shared" ref="AH616:AH621" si="345">AVERAGE(AG613:AG616)</f>
        <v>103.5</v>
      </c>
      <c r="AI616" s="71">
        <f t="shared" si="336"/>
        <v>124.69879518072288</v>
      </c>
      <c r="AJ616" s="152">
        <f>'copy data3'!L670</f>
        <v>4547</v>
      </c>
      <c r="AK616" s="38">
        <f t="shared" ref="AK616:AK621" si="346">AVERAGE(AJ613:AJ616)</f>
        <v>4661.5</v>
      </c>
      <c r="AL616" s="71">
        <f t="shared" si="337"/>
        <v>94.861619861619857</v>
      </c>
      <c r="AM616" s="152">
        <f>'copy data3'!N670</f>
        <v>9783</v>
      </c>
      <c r="AN616" s="38">
        <f t="shared" ref="AN616:AN621" si="347">AVERAGE(AM613:AM616)</f>
        <v>3978</v>
      </c>
      <c r="AO616" s="71">
        <f t="shared" si="338"/>
        <v>28.798957503800764</v>
      </c>
      <c r="AP616" s="152">
        <f>'copy data3'!P670</f>
        <v>20385</v>
      </c>
      <c r="AQ616" s="38">
        <f t="shared" ref="AQ616:AQ621" si="348">AVERAGE(AP613:AP616)</f>
        <v>7003.25</v>
      </c>
      <c r="AR616" s="71">
        <f t="shared" si="339"/>
        <v>48.864429249232487</v>
      </c>
      <c r="AS616" s="153">
        <f>'copy data3'!R670</f>
        <v>34715</v>
      </c>
      <c r="AT616" s="38">
        <f t="shared" ref="AT616:AT621" si="349">AVERAGE(AS613:AS616)</f>
        <v>15642.75</v>
      </c>
      <c r="AU616" s="71">
        <f t="shared" si="340"/>
        <v>47.317674460812484</v>
      </c>
    </row>
    <row r="617" spans="1:47" ht="15.6" x14ac:dyDescent="0.3">
      <c r="A617" s="10">
        <v>39023</v>
      </c>
      <c r="B617" s="6">
        <v>1543</v>
      </c>
      <c r="C617" s="6">
        <v>2348</v>
      </c>
      <c r="D617" s="6">
        <v>456</v>
      </c>
      <c r="E617" s="6">
        <v>1636</v>
      </c>
      <c r="F617" s="6">
        <v>1168</v>
      </c>
      <c r="G617" s="6">
        <v>2832</v>
      </c>
      <c r="H617" s="6">
        <v>1089</v>
      </c>
      <c r="I617" s="6">
        <v>2048</v>
      </c>
      <c r="J617" s="6">
        <v>89</v>
      </c>
      <c r="K617" s="6">
        <v>417</v>
      </c>
      <c r="L617" s="6">
        <v>4344</v>
      </c>
      <c r="M617" s="6">
        <v>9281</v>
      </c>
      <c r="N617" s="6">
        <v>11552</v>
      </c>
      <c r="O617" s="6">
        <v>10162</v>
      </c>
      <c r="P617" s="6">
        <v>7497</v>
      </c>
      <c r="Q617" s="6">
        <v>6519</v>
      </c>
      <c r="R617" s="16">
        <f t="shared" si="277"/>
        <v>23393</v>
      </c>
      <c r="T617" s="140">
        <f t="shared" si="258"/>
        <v>41165</v>
      </c>
      <c r="U617" s="154">
        <f>'copy data3'!B671</f>
        <v>1458</v>
      </c>
      <c r="V617" s="38">
        <f t="shared" si="341"/>
        <v>1496</v>
      </c>
      <c r="W617" s="71">
        <f t="shared" ref="W617:W622" si="350">(V617/U565)*100</f>
        <v>95.165394402035616</v>
      </c>
      <c r="X617" s="154">
        <f>'copy data3'!D671</f>
        <v>684</v>
      </c>
      <c r="Y617" s="38">
        <f t="shared" si="342"/>
        <v>693.75</v>
      </c>
      <c r="Z617" s="71">
        <f t="shared" ref="Z617:Z622" si="351">(Y617/X565)*100</f>
        <v>112.80487804878048</v>
      </c>
      <c r="AA617" s="152">
        <f>'copy data3'!F671</f>
        <v>1202</v>
      </c>
      <c r="AB617" s="38">
        <f t="shared" si="343"/>
        <v>1410.75</v>
      </c>
      <c r="AC617" s="71">
        <f t="shared" ref="AC617:AC622" si="352">(AB617/AA565)*100</f>
        <v>101.41984184040258</v>
      </c>
      <c r="AD617" s="152">
        <f>'copy data3'!H671</f>
        <v>824</v>
      </c>
      <c r="AE617" s="38">
        <f t="shared" si="344"/>
        <v>834.75</v>
      </c>
      <c r="AF617" s="71">
        <f t="shared" ref="AF617:AF622" si="353">(AE617/AD565)*100</f>
        <v>78.086997193638922</v>
      </c>
      <c r="AG617" s="152">
        <f>'copy data3'!J671</f>
        <v>92</v>
      </c>
      <c r="AH617" s="38">
        <f t="shared" si="345"/>
        <v>104.75</v>
      </c>
      <c r="AI617" s="71">
        <f t="shared" ref="AI617:AI622" si="354">(AH617/AG565)*100</f>
        <v>171.72131147540983</v>
      </c>
      <c r="AJ617" s="152">
        <f>'copy data3'!L671</f>
        <v>4260</v>
      </c>
      <c r="AK617" s="38">
        <f t="shared" si="346"/>
        <v>4539.25</v>
      </c>
      <c r="AL617" s="71">
        <f t="shared" ref="AL617:AL622" si="355">(AK617/AJ565)*100</f>
        <v>96.436158912258335</v>
      </c>
      <c r="AM617" s="152">
        <f>'copy data3'!N671</f>
        <v>9113</v>
      </c>
      <c r="AN617" s="38">
        <f t="shared" si="347"/>
        <v>5649.5</v>
      </c>
      <c r="AO617" s="71">
        <f t="shared" ref="AO617:AO622" si="356">(AN617/AM565)*100</f>
        <v>40.985925710969241</v>
      </c>
      <c r="AP617" s="152">
        <f>'copy data3'!P671</f>
        <v>20825</v>
      </c>
      <c r="AQ617" s="38">
        <f t="shared" si="348"/>
        <v>11448.75</v>
      </c>
      <c r="AR617" s="71">
        <f t="shared" ref="AR617:AR622" si="357">(AQ617/AP565)*100</f>
        <v>78.951451624025921</v>
      </c>
      <c r="AS617" s="153">
        <f>'copy data3'!R671</f>
        <v>34198</v>
      </c>
      <c r="AT617" s="38">
        <f t="shared" si="349"/>
        <v>21637.5</v>
      </c>
      <c r="AU617" s="71">
        <f t="shared" ref="AU617:AU622" si="358">(AT617/AS565)*100</f>
        <v>65.584080989330744</v>
      </c>
    </row>
    <row r="618" spans="1:47" ht="15.6" x14ac:dyDescent="0.3">
      <c r="A618" s="10">
        <v>38666</v>
      </c>
      <c r="B618" s="6">
        <v>3083</v>
      </c>
      <c r="C618" s="6">
        <v>4841</v>
      </c>
      <c r="D618" s="6">
        <v>269</v>
      </c>
      <c r="E618" s="6">
        <v>1033</v>
      </c>
      <c r="F618" s="6">
        <v>1147</v>
      </c>
      <c r="G618" s="6">
        <v>3827</v>
      </c>
      <c r="H618" s="6">
        <v>765</v>
      </c>
      <c r="I618" s="6">
        <v>1838</v>
      </c>
      <c r="J618" s="6">
        <v>92</v>
      </c>
      <c r="K618" s="6">
        <v>353</v>
      </c>
      <c r="L618" s="6">
        <v>5356</v>
      </c>
      <c r="M618" s="6">
        <v>11892</v>
      </c>
      <c r="N618" s="6">
        <v>7748</v>
      </c>
      <c r="O618" s="6">
        <v>9282</v>
      </c>
      <c r="P618" s="6">
        <v>5147</v>
      </c>
      <c r="Q618" s="6">
        <v>5754</v>
      </c>
      <c r="R618" s="16">
        <f t="shared" si="277"/>
        <v>18251</v>
      </c>
      <c r="T618" s="140">
        <f t="shared" si="258"/>
        <v>41172</v>
      </c>
      <c r="U618" s="154">
        <f>'copy data3'!B672</f>
        <v>1359</v>
      </c>
      <c r="V618" s="38">
        <f t="shared" si="341"/>
        <v>1460.25</v>
      </c>
      <c r="W618" s="71">
        <f t="shared" si="350"/>
        <v>97.155688622754482</v>
      </c>
      <c r="X618" s="154">
        <f>'copy data3'!D672</f>
        <v>712</v>
      </c>
      <c r="Y618" s="38">
        <f t="shared" si="342"/>
        <v>710.25</v>
      </c>
      <c r="Z618" s="71">
        <f t="shared" si="351"/>
        <v>105.37833827893175</v>
      </c>
      <c r="AA618" s="152">
        <f>'copy data3'!F672</f>
        <v>1182</v>
      </c>
      <c r="AB618" s="38">
        <f t="shared" si="343"/>
        <v>1315.25</v>
      </c>
      <c r="AC618" s="71">
        <f t="shared" si="352"/>
        <v>96.214337966349675</v>
      </c>
      <c r="AD618" s="152">
        <f>'copy data3'!H672</f>
        <v>783</v>
      </c>
      <c r="AE618" s="38">
        <f t="shared" si="344"/>
        <v>810.75</v>
      </c>
      <c r="AF618" s="71">
        <f t="shared" si="353"/>
        <v>82.059716599190281</v>
      </c>
      <c r="AG618" s="152">
        <f>'copy data3'!J672</f>
        <v>108</v>
      </c>
      <c r="AH618" s="38">
        <f t="shared" si="345"/>
        <v>105</v>
      </c>
      <c r="AI618" s="71">
        <f t="shared" si="354"/>
        <v>125</v>
      </c>
      <c r="AJ618" s="152">
        <f>'copy data3'!L672</f>
        <v>4143</v>
      </c>
      <c r="AK618" s="38">
        <f t="shared" si="346"/>
        <v>4400.5</v>
      </c>
      <c r="AL618" s="71">
        <f t="shared" si="355"/>
        <v>95.352112676056336</v>
      </c>
      <c r="AM618" s="152">
        <f>'copy data3'!N672</f>
        <v>8434</v>
      </c>
      <c r="AN618" s="38">
        <f t="shared" si="347"/>
        <v>7252.75</v>
      </c>
      <c r="AO618" s="71">
        <f t="shared" si="356"/>
        <v>52.754946173988948</v>
      </c>
      <c r="AP618" s="152">
        <f>'copy data3'!P672</f>
        <v>21296</v>
      </c>
      <c r="AQ618" s="38">
        <f t="shared" si="348"/>
        <v>16148.5</v>
      </c>
      <c r="AR618" s="71">
        <f t="shared" si="357"/>
        <v>106.14934595411817</v>
      </c>
      <c r="AS618" s="153">
        <f>'copy data3'!R672</f>
        <v>33873</v>
      </c>
      <c r="AT618" s="38">
        <f t="shared" si="349"/>
        <v>27801.75</v>
      </c>
      <c r="AU618" s="71">
        <f t="shared" si="358"/>
        <v>82.802448177269483</v>
      </c>
    </row>
    <row r="619" spans="1:47" ht="15.6" x14ac:dyDescent="0.3">
      <c r="A619" s="10">
        <v>39030</v>
      </c>
      <c r="B619" s="6">
        <v>1593</v>
      </c>
      <c r="C619" s="6">
        <v>2473</v>
      </c>
      <c r="D619" s="6">
        <v>466</v>
      </c>
      <c r="E619" s="6">
        <v>1665</v>
      </c>
      <c r="F619" s="6">
        <v>1078</v>
      </c>
      <c r="G619" s="6">
        <v>2966</v>
      </c>
      <c r="H619" s="6">
        <v>1083</v>
      </c>
      <c r="I619" s="6">
        <v>2099</v>
      </c>
      <c r="J619" s="6">
        <v>107</v>
      </c>
      <c r="K619" s="6">
        <v>417</v>
      </c>
      <c r="L619" s="6">
        <v>4327</v>
      </c>
      <c r="M619" s="6">
        <v>9621</v>
      </c>
      <c r="N619" s="6">
        <v>11944</v>
      </c>
      <c r="O619" s="6">
        <v>11166</v>
      </c>
      <c r="P619" s="6">
        <v>7080</v>
      </c>
      <c r="Q619" s="6">
        <v>7632</v>
      </c>
      <c r="R619" s="16">
        <f t="shared" si="277"/>
        <v>23351</v>
      </c>
      <c r="T619" s="140">
        <f t="shared" si="258"/>
        <v>41179</v>
      </c>
      <c r="U619" s="154">
        <f>'copy data3'!B673</f>
        <v>1326</v>
      </c>
      <c r="V619" s="38">
        <f t="shared" si="341"/>
        <v>1405</v>
      </c>
      <c r="W619" s="71">
        <f t="shared" si="350"/>
        <v>99.15314043754411</v>
      </c>
      <c r="X619" s="154">
        <f>'copy data3'!D673</f>
        <v>639</v>
      </c>
      <c r="Y619" s="38">
        <f t="shared" si="342"/>
        <v>691.5</v>
      </c>
      <c r="Z619" s="71">
        <f t="shared" si="351"/>
        <v>92.694369973190348</v>
      </c>
      <c r="AA619" s="152">
        <f>'copy data3'!F673</f>
        <v>1033</v>
      </c>
      <c r="AB619" s="38">
        <f t="shared" si="343"/>
        <v>1204.25</v>
      </c>
      <c r="AC619" s="71">
        <f t="shared" si="352"/>
        <v>94.08203125</v>
      </c>
      <c r="AD619" s="152">
        <f>'copy data3'!H673</f>
        <v>749</v>
      </c>
      <c r="AE619" s="38">
        <f t="shared" si="344"/>
        <v>797.75</v>
      </c>
      <c r="AF619" s="71">
        <f t="shared" si="353"/>
        <v>86.900871459694983</v>
      </c>
      <c r="AG619" s="152">
        <f>'copy data3'!J673</f>
        <v>112</v>
      </c>
      <c r="AH619" s="38">
        <f t="shared" si="345"/>
        <v>104.25</v>
      </c>
      <c r="AI619" s="71">
        <f t="shared" si="354"/>
        <v>124.10714285714286</v>
      </c>
      <c r="AJ619" s="152">
        <f>'copy data3'!L673</f>
        <v>3859</v>
      </c>
      <c r="AK619" s="38">
        <f t="shared" si="346"/>
        <v>4202.25</v>
      </c>
      <c r="AL619" s="71">
        <f t="shared" si="355"/>
        <v>94.538807649043861</v>
      </c>
      <c r="AM619" s="152">
        <f>'copy data3'!N673</f>
        <v>8331</v>
      </c>
      <c r="AN619" s="38">
        <f t="shared" si="347"/>
        <v>8915.25</v>
      </c>
      <c r="AO619" s="71">
        <f t="shared" si="356"/>
        <v>62.422979974793449</v>
      </c>
      <c r="AP619" s="152">
        <f>'copy data3'!P673</f>
        <v>21415</v>
      </c>
      <c r="AQ619" s="38">
        <f t="shared" si="348"/>
        <v>20980.25</v>
      </c>
      <c r="AR619" s="71">
        <f t="shared" si="357"/>
        <v>134.58368080056451</v>
      </c>
      <c r="AS619" s="153">
        <f>'copy data3'!R673</f>
        <v>33605</v>
      </c>
      <c r="AT619" s="38">
        <f t="shared" si="349"/>
        <v>34097.75</v>
      </c>
      <c r="AU619" s="71">
        <f t="shared" si="358"/>
        <v>99.363999300617792</v>
      </c>
    </row>
    <row r="620" spans="1:47" ht="15.6" x14ac:dyDescent="0.3">
      <c r="A620" s="10">
        <v>38673</v>
      </c>
      <c r="B620" s="6">
        <v>2950</v>
      </c>
      <c r="C620" s="6">
        <v>5045</v>
      </c>
      <c r="D620" s="6">
        <v>272</v>
      </c>
      <c r="E620" s="6">
        <v>1083</v>
      </c>
      <c r="F620" s="6">
        <v>1209</v>
      </c>
      <c r="G620" s="6">
        <v>3940</v>
      </c>
      <c r="H620" s="6">
        <v>803</v>
      </c>
      <c r="I620" s="6">
        <v>1915</v>
      </c>
      <c r="J620" s="6">
        <v>103</v>
      </c>
      <c r="K620" s="6">
        <v>361</v>
      </c>
      <c r="L620" s="6">
        <v>5337</v>
      </c>
      <c r="M620" s="6">
        <v>12343</v>
      </c>
      <c r="N620" s="6">
        <v>7814</v>
      </c>
      <c r="O620" s="6">
        <v>10249</v>
      </c>
      <c r="P620" s="6">
        <v>4384</v>
      </c>
      <c r="Q620" s="6">
        <v>6726</v>
      </c>
      <c r="R620" s="16">
        <f t="shared" si="277"/>
        <v>17535</v>
      </c>
      <c r="T620" s="140">
        <f t="shared" si="258"/>
        <v>41186</v>
      </c>
      <c r="U620" s="154">
        <f>'copy data3'!B674</f>
        <v>1227.9000000000001</v>
      </c>
      <c r="V620" s="38">
        <f t="shared" si="341"/>
        <v>1342.7249999999999</v>
      </c>
      <c r="W620" s="71">
        <f t="shared" si="350"/>
        <v>92.030500342700478</v>
      </c>
      <c r="X620" s="154">
        <f>'copy data3'!D674</f>
        <v>625.1</v>
      </c>
      <c r="Y620" s="38">
        <f t="shared" si="342"/>
        <v>665.02499999999998</v>
      </c>
      <c r="Z620" s="71">
        <f t="shared" si="351"/>
        <v>90.234056987788321</v>
      </c>
      <c r="AA620" s="152">
        <f>'copy data3'!F674</f>
        <v>1091.0999999999999</v>
      </c>
      <c r="AB620" s="38">
        <f t="shared" si="343"/>
        <v>1127.0250000000001</v>
      </c>
      <c r="AC620" s="71">
        <f t="shared" si="352"/>
        <v>87.911466458658353</v>
      </c>
      <c r="AD620" s="152">
        <f>'copy data3'!H674</f>
        <v>728.8</v>
      </c>
      <c r="AE620" s="38">
        <f t="shared" si="344"/>
        <v>771.2</v>
      </c>
      <c r="AF620" s="71">
        <f t="shared" si="353"/>
        <v>77.12</v>
      </c>
      <c r="AG620" s="152">
        <f>'copy data3'!J674</f>
        <v>84</v>
      </c>
      <c r="AH620" s="38">
        <f t="shared" si="345"/>
        <v>99</v>
      </c>
      <c r="AI620" s="71">
        <f t="shared" si="354"/>
        <v>116.47058823529413</v>
      </c>
      <c r="AJ620" s="152">
        <f>'copy data3'!L674</f>
        <v>3756.9</v>
      </c>
      <c r="AK620" s="38">
        <f t="shared" si="346"/>
        <v>4004.7249999999999</v>
      </c>
      <c r="AL620" s="71">
        <f t="shared" si="355"/>
        <v>87.765176419022566</v>
      </c>
      <c r="AM620" s="152">
        <f>'copy data3'!N674</f>
        <v>7813.9</v>
      </c>
      <c r="AN620" s="38">
        <f t="shared" si="347"/>
        <v>8422.9750000000004</v>
      </c>
      <c r="AO620" s="71">
        <f t="shared" si="356"/>
        <v>57.573308270676691</v>
      </c>
      <c r="AP620" s="152">
        <f>'copy data3'!P674</f>
        <v>20736.900000000001</v>
      </c>
      <c r="AQ620" s="38">
        <f t="shared" si="348"/>
        <v>21068.224999999999</v>
      </c>
      <c r="AR620" s="71">
        <f t="shared" si="357"/>
        <v>134.5524651935113</v>
      </c>
      <c r="AS620" s="153">
        <f>'copy data3'!R674</f>
        <v>32307.700000000004</v>
      </c>
      <c r="AT620" s="38">
        <f t="shared" si="349"/>
        <v>33495.925000000003</v>
      </c>
      <c r="AU620" s="71">
        <f t="shared" si="358"/>
        <v>96.111804539324567</v>
      </c>
    </row>
    <row r="621" spans="1:47" ht="15.6" x14ac:dyDescent="0.3">
      <c r="A621" s="10">
        <v>39037</v>
      </c>
      <c r="B621" s="6">
        <v>1615</v>
      </c>
      <c r="C621" s="6">
        <v>2527</v>
      </c>
      <c r="D621" s="6">
        <v>415</v>
      </c>
      <c r="E621" s="6">
        <v>1794</v>
      </c>
      <c r="F621" s="6">
        <v>1135</v>
      </c>
      <c r="G621" s="6">
        <v>3016</v>
      </c>
      <c r="H621" s="6">
        <v>1094</v>
      </c>
      <c r="I621" s="6">
        <v>2178</v>
      </c>
      <c r="J621" s="6">
        <v>113</v>
      </c>
      <c r="K621" s="6">
        <v>421</v>
      </c>
      <c r="L621" s="6">
        <v>4373</v>
      </c>
      <c r="M621" s="6">
        <v>9936</v>
      </c>
      <c r="N621" s="6">
        <v>11765</v>
      </c>
      <c r="O621" s="6">
        <v>12387</v>
      </c>
      <c r="P621" s="6">
        <v>7273</v>
      </c>
      <c r="Q621" s="6">
        <v>8242</v>
      </c>
      <c r="R621" s="16">
        <f t="shared" si="277"/>
        <v>23411</v>
      </c>
      <c r="T621" s="140">
        <f t="shared" si="258"/>
        <v>41193</v>
      </c>
      <c r="U621" s="154">
        <f>'copy data3'!B675</f>
        <v>1408</v>
      </c>
      <c r="V621" s="38">
        <f t="shared" si="341"/>
        <v>1330.2249999999999</v>
      </c>
      <c r="W621" s="71">
        <f t="shared" si="350"/>
        <v>93.283660589060304</v>
      </c>
      <c r="X621" s="154">
        <f>'copy data3'!D675</f>
        <v>619</v>
      </c>
      <c r="Y621" s="38">
        <f t="shared" si="342"/>
        <v>648.77499999999998</v>
      </c>
      <c r="Z621" s="71">
        <f t="shared" si="351"/>
        <v>84.366059817945384</v>
      </c>
      <c r="AA621" s="152">
        <f>'copy data3'!F675</f>
        <v>1116</v>
      </c>
      <c r="AB621" s="38">
        <f t="shared" si="343"/>
        <v>1105.5250000000001</v>
      </c>
      <c r="AC621" s="71">
        <f t="shared" si="352"/>
        <v>84.909754224270358</v>
      </c>
      <c r="AD621" s="152">
        <f>'copy data3'!H675</f>
        <v>789</v>
      </c>
      <c r="AE621" s="38">
        <f t="shared" si="344"/>
        <v>762.45</v>
      </c>
      <c r="AF621" s="71">
        <f t="shared" si="353"/>
        <v>76.092814371257489</v>
      </c>
      <c r="AG621" s="152">
        <f>'copy data3'!J675</f>
        <v>104</v>
      </c>
      <c r="AH621" s="38">
        <f t="shared" si="345"/>
        <v>102</v>
      </c>
      <c r="AI621" s="71">
        <f t="shared" si="354"/>
        <v>130.76923076923077</v>
      </c>
      <c r="AJ621" s="152">
        <f>'copy data3'!L675</f>
        <v>4036</v>
      </c>
      <c r="AK621" s="38">
        <f t="shared" si="346"/>
        <v>3948.7249999999999</v>
      </c>
      <c r="AL621" s="71">
        <f t="shared" si="355"/>
        <v>86.27321389556478</v>
      </c>
      <c r="AM621" s="152">
        <f>'copy data3'!N675</f>
        <v>7563</v>
      </c>
      <c r="AN621" s="38">
        <f t="shared" si="347"/>
        <v>8035.4750000000004</v>
      </c>
      <c r="AO621" s="71">
        <f t="shared" si="356"/>
        <v>50.764261797965759</v>
      </c>
      <c r="AP621" s="152">
        <f>'copy data3'!P675</f>
        <v>19790</v>
      </c>
      <c r="AQ621" s="38">
        <f t="shared" si="348"/>
        <v>20809.474999999999</v>
      </c>
      <c r="AR621" s="71">
        <f t="shared" si="357"/>
        <v>137.95727260673561</v>
      </c>
      <c r="AS621" s="153">
        <f>'copy data3'!R675</f>
        <v>31389</v>
      </c>
      <c r="AT621" s="38">
        <f t="shared" si="349"/>
        <v>32793.675000000003</v>
      </c>
      <c r="AU621" s="71">
        <f t="shared" si="358"/>
        <v>92.402578191039737</v>
      </c>
    </row>
    <row r="622" spans="1:47" ht="15.6" x14ac:dyDescent="0.3">
      <c r="A622" s="10">
        <v>38680</v>
      </c>
      <c r="B622" s="6">
        <v>2738</v>
      </c>
      <c r="C622" s="6">
        <v>5334</v>
      </c>
      <c r="D622" s="6">
        <v>297</v>
      </c>
      <c r="E622" s="6">
        <v>1100</v>
      </c>
      <c r="F622" s="6">
        <v>1089</v>
      </c>
      <c r="G622" s="6">
        <v>4120</v>
      </c>
      <c r="H622" s="6">
        <v>822</v>
      </c>
      <c r="I622" s="6">
        <v>1975</v>
      </c>
      <c r="J622" s="6">
        <v>95</v>
      </c>
      <c r="K622" s="6">
        <v>361</v>
      </c>
      <c r="L622" s="6">
        <v>5041</v>
      </c>
      <c r="M622" s="6">
        <v>12890</v>
      </c>
      <c r="N622" s="6">
        <v>7759</v>
      </c>
      <c r="O622" s="6">
        <v>10915</v>
      </c>
      <c r="P622" s="6">
        <v>3926</v>
      </c>
      <c r="Q622" s="6">
        <v>7515</v>
      </c>
      <c r="R622" s="16">
        <f t="shared" si="277"/>
        <v>16726</v>
      </c>
      <c r="T622" s="140">
        <f t="shared" si="258"/>
        <v>41200</v>
      </c>
      <c r="U622" s="154">
        <f>'copy data3'!B676</f>
        <v>1482</v>
      </c>
      <c r="V622" s="38">
        <f>AVERAGE(U619:U622)</f>
        <v>1360.9749999999999</v>
      </c>
      <c r="W622" s="71">
        <f t="shared" si="350"/>
        <v>101.4139344262295</v>
      </c>
      <c r="X622" s="154">
        <f>'copy data3'!D676</f>
        <v>628</v>
      </c>
      <c r="Y622" s="38">
        <f>AVERAGE(X619:X622)</f>
        <v>627.77499999999998</v>
      </c>
      <c r="Z622" s="71">
        <f t="shared" si="351"/>
        <v>79.264520202020194</v>
      </c>
      <c r="AA622" s="152">
        <f>'copy data3'!F676</f>
        <v>1209</v>
      </c>
      <c r="AB622" s="38">
        <f>AVERAGE(AA619:AA622)</f>
        <v>1112.2750000000001</v>
      </c>
      <c r="AC622" s="71">
        <f t="shared" si="352"/>
        <v>88.416136724960253</v>
      </c>
      <c r="AD622" s="152">
        <f>'copy data3'!H676</f>
        <v>839</v>
      </c>
      <c r="AE622" s="38">
        <f>AVERAGE(AD619:AD622)</f>
        <v>776.45</v>
      </c>
      <c r="AF622" s="71">
        <f t="shared" si="353"/>
        <v>74.586935638808839</v>
      </c>
      <c r="AG622" s="152">
        <f>'copy data3'!J676</f>
        <v>72</v>
      </c>
      <c r="AH622" s="38">
        <f>AVERAGE(AG619:AG622)</f>
        <v>93</v>
      </c>
      <c r="AI622" s="71">
        <f t="shared" si="354"/>
        <v>119.23076923076923</v>
      </c>
      <c r="AJ622" s="152">
        <f>'copy data3'!L676</f>
        <v>4228</v>
      </c>
      <c r="AK622" s="38">
        <f>AVERAGE(AJ619:AJ622)</f>
        <v>3969.9749999999999</v>
      </c>
      <c r="AL622" s="71">
        <f t="shared" si="355"/>
        <v>88.006539569940145</v>
      </c>
      <c r="AM622" s="152">
        <f>'copy data3'!N676</f>
        <v>7415</v>
      </c>
      <c r="AN622" s="38">
        <f>AVERAGE(AM619:AM622)</f>
        <v>7780.7250000000004</v>
      </c>
      <c r="AO622" s="71">
        <f t="shared" si="356"/>
        <v>50.237119059917354</v>
      </c>
      <c r="AP622" s="152">
        <f>'copy data3'!P676</f>
        <v>18671</v>
      </c>
      <c r="AQ622" s="38">
        <f>AVERAGE(AP619:AP622)</f>
        <v>20153.224999999999</v>
      </c>
      <c r="AR622" s="71">
        <f t="shared" si="357"/>
        <v>142.21455789993649</v>
      </c>
      <c r="AS622" s="153">
        <f>'copy data3'!R676</f>
        <v>30314</v>
      </c>
      <c r="AT622" s="38">
        <f>AVERAGE(AS619:AS622)</f>
        <v>31903.925000000003</v>
      </c>
      <c r="AU622" s="71">
        <f t="shared" si="358"/>
        <v>93.368232367573896</v>
      </c>
    </row>
    <row r="623" spans="1:47" ht="15.6" x14ac:dyDescent="0.3">
      <c r="A623" s="10">
        <v>39044</v>
      </c>
      <c r="B623" s="6">
        <v>1602</v>
      </c>
      <c r="C623" s="6">
        <v>2615</v>
      </c>
      <c r="D623" s="6">
        <v>451</v>
      </c>
      <c r="E623" s="6">
        <v>1849</v>
      </c>
      <c r="F623" s="6">
        <v>1252</v>
      </c>
      <c r="G623" s="6">
        <v>3171</v>
      </c>
      <c r="H623" s="6">
        <v>1047</v>
      </c>
      <c r="I623" s="6">
        <v>2264</v>
      </c>
      <c r="J623" s="6">
        <v>161</v>
      </c>
      <c r="K623" s="6">
        <v>447</v>
      </c>
      <c r="L623" s="6">
        <v>4512</v>
      </c>
      <c r="M623" s="6">
        <v>10345</v>
      </c>
      <c r="N623" s="6">
        <v>11889</v>
      </c>
      <c r="O623" s="6">
        <v>13284</v>
      </c>
      <c r="P623" s="6">
        <v>7331</v>
      </c>
      <c r="Q623" s="6">
        <v>8912</v>
      </c>
      <c r="R623" s="16">
        <f t="shared" si="277"/>
        <v>23732</v>
      </c>
      <c r="T623" s="140">
        <f t="shared" si="258"/>
        <v>41207</v>
      </c>
      <c r="U623" s="154">
        <f>'copy data3'!B677</f>
        <v>1510</v>
      </c>
      <c r="V623" s="38">
        <f>AVERAGE(U620:U623)</f>
        <v>1406.9749999999999</v>
      </c>
      <c r="W623" s="71">
        <f>(V623/U571)*100</f>
        <v>106.42776096822995</v>
      </c>
      <c r="X623" s="154">
        <f>'copy data3'!D677</f>
        <v>611</v>
      </c>
      <c r="Y623" s="38">
        <f>AVERAGE(X620:X623)</f>
        <v>620.77499999999998</v>
      </c>
      <c r="Z623" s="71">
        <f>(Y623/X571)*100</f>
        <v>84.115853658536579</v>
      </c>
      <c r="AA623" s="152">
        <f>'copy data3'!F677</f>
        <v>1252</v>
      </c>
      <c r="AB623" s="38">
        <f>AVERAGE(AA620:AA623)</f>
        <v>1167.0250000000001</v>
      </c>
      <c r="AC623" s="71">
        <f>(AB623/AA571)*100</f>
        <v>100.43244406196214</v>
      </c>
      <c r="AD623" s="152">
        <f>'copy data3'!H677</f>
        <v>829</v>
      </c>
      <c r="AE623" s="38">
        <f>AVERAGE(AD620:AD623)</f>
        <v>796.45</v>
      </c>
      <c r="AF623" s="71">
        <f>(AE623/AD571)*100</f>
        <v>86.009719222462209</v>
      </c>
      <c r="AG623" s="152">
        <f>'copy data3'!J677</f>
        <v>95</v>
      </c>
      <c r="AH623" s="38">
        <f>AVERAGE(AG620:AG623)</f>
        <v>88.75</v>
      </c>
      <c r="AI623" s="71">
        <f>(AH623/AG571)*100</f>
        <v>153.01724137931035</v>
      </c>
      <c r="AJ623" s="152">
        <f>'copy data3'!L677</f>
        <v>4296</v>
      </c>
      <c r="AK623" s="38">
        <f>AVERAGE(AJ620:AJ623)</f>
        <v>4079.2249999999999</v>
      </c>
      <c r="AL623" s="71">
        <f>(AK623/AJ571)*100</f>
        <v>96.985853542558246</v>
      </c>
      <c r="AM623" s="152">
        <f>'copy data3'!N677</f>
        <v>7195</v>
      </c>
      <c r="AN623" s="38">
        <f>AVERAGE(AM620:AM623)</f>
        <v>7496.7250000000004</v>
      </c>
      <c r="AO623" s="71">
        <f>(AN623/AM571)*100</f>
        <v>48.794096589429834</v>
      </c>
      <c r="AP623" s="152">
        <f>'copy data3'!P677</f>
        <v>17699</v>
      </c>
      <c r="AQ623" s="38">
        <f>AVERAGE(AP620:AP623)</f>
        <v>19224.224999999999</v>
      </c>
      <c r="AR623" s="71">
        <f>(AQ623/AP571)*100</f>
        <v>145.84800091040134</v>
      </c>
      <c r="AS623" s="153">
        <f>'copy data3'!R677</f>
        <v>29190</v>
      </c>
      <c r="AT623" s="38">
        <f>AVERAGE(AS620:AS623)</f>
        <v>30800.175000000003</v>
      </c>
      <c r="AU623" s="71">
        <f>(AT623/AS571)*100</f>
        <v>94.043464321700114</v>
      </c>
    </row>
    <row r="624" spans="1:47" ht="15.6" x14ac:dyDescent="0.3">
      <c r="A624" s="10">
        <v>38687</v>
      </c>
      <c r="B624" s="6">
        <v>2728</v>
      </c>
      <c r="C624" s="6">
        <v>5615</v>
      </c>
      <c r="D624" s="6">
        <v>288</v>
      </c>
      <c r="E624" s="6">
        <v>1124</v>
      </c>
      <c r="F624" s="6">
        <v>1067</v>
      </c>
      <c r="G624" s="6">
        <v>4231</v>
      </c>
      <c r="H624" s="6">
        <v>842</v>
      </c>
      <c r="I624" s="6">
        <v>2010</v>
      </c>
      <c r="J624" s="6">
        <v>77</v>
      </c>
      <c r="K624" s="6">
        <v>383</v>
      </c>
      <c r="L624" s="6">
        <v>5001</v>
      </c>
      <c r="M624" s="6">
        <v>13363</v>
      </c>
      <c r="N624" s="6">
        <v>7432</v>
      </c>
      <c r="O624" s="6">
        <v>11936</v>
      </c>
      <c r="P624" s="6">
        <v>4079</v>
      </c>
      <c r="Q624" s="6">
        <v>8314</v>
      </c>
      <c r="R624" s="16">
        <f t="shared" si="277"/>
        <v>16512</v>
      </c>
      <c r="T624" s="140">
        <f t="shared" si="258"/>
        <v>41214</v>
      </c>
      <c r="U624" s="154">
        <f>'copy data3'!B678</f>
        <v>1424</v>
      </c>
      <c r="V624" s="38">
        <f t="shared" ref="V624:V629" si="359">AVERAGE(U621:U624)</f>
        <v>1456</v>
      </c>
      <c r="W624" s="71">
        <f t="shared" ref="W624:W629" si="360">(V624/U572)*100</f>
        <v>109.22730682670667</v>
      </c>
      <c r="X624" s="154">
        <f>'copy data3'!D678</f>
        <v>638</v>
      </c>
      <c r="Y624" s="38">
        <f t="shared" ref="Y624:Y629" si="361">AVERAGE(X621:X624)</f>
        <v>624</v>
      </c>
      <c r="Z624" s="71">
        <f t="shared" ref="Z624:Z629" si="362">(Y624/X572)*100</f>
        <v>90.434782608695656</v>
      </c>
      <c r="AA624" s="152">
        <f>'copy data3'!F678</f>
        <v>1220</v>
      </c>
      <c r="AB624" s="38">
        <f t="shared" ref="AB624:AB629" si="363">AVERAGE(AA621:AA624)</f>
        <v>1199.25</v>
      </c>
      <c r="AC624" s="71">
        <f t="shared" ref="AC624:AC629" si="364">(AB624/AA572)*100</f>
        <v>102.15076660988073</v>
      </c>
      <c r="AD624" s="152">
        <f>'copy data3'!H678</f>
        <v>759</v>
      </c>
      <c r="AE624" s="38">
        <f t="shared" ref="AE624:AE629" si="365">AVERAGE(AD621:AD624)</f>
        <v>804</v>
      </c>
      <c r="AF624" s="71">
        <f t="shared" ref="AF624:AF629" si="366">(AE624/AD572)*100</f>
        <v>89.432703003337039</v>
      </c>
      <c r="AG624" s="152">
        <f>'copy data3'!J678</f>
        <v>72</v>
      </c>
      <c r="AH624" s="38">
        <f t="shared" ref="AH624:AH629" si="367">AVERAGE(AG621:AG624)</f>
        <v>85.75</v>
      </c>
      <c r="AI624" s="71">
        <f t="shared" ref="AI624:AI629" si="368">(AH624/AG572)*100</f>
        <v>153.125</v>
      </c>
      <c r="AJ624" s="152">
        <f>'copy data3'!L678</f>
        <v>4113</v>
      </c>
      <c r="AK624" s="38">
        <f t="shared" ref="AK624:AK629" si="369">AVERAGE(AJ621:AJ624)</f>
        <v>4168.25</v>
      </c>
      <c r="AL624" s="71">
        <f t="shared" ref="AL624:AL629" si="370">(AK624/AJ572)*100</f>
        <v>100.41556251505661</v>
      </c>
      <c r="AM624" s="152">
        <f>'copy data3'!N678</f>
        <v>6957</v>
      </c>
      <c r="AN624" s="38">
        <f t="shared" ref="AN624:AN629" si="371">AVERAGE(AM621:AM624)</f>
        <v>7282.5</v>
      </c>
      <c r="AO624" s="71">
        <f t="shared" ref="AO624:AO629" si="372">(AN624/AM572)*100</f>
        <v>48.579147488493099</v>
      </c>
      <c r="AP624" s="152">
        <f>'copy data3'!P678</f>
        <v>16137</v>
      </c>
      <c r="AQ624" s="38">
        <f t="shared" ref="AQ624:AQ629" si="373">AVERAGE(AP621:AP624)</f>
        <v>18074.25</v>
      </c>
      <c r="AR624" s="71">
        <f t="shared" ref="AR624:AR629" si="374">(AQ624/AP572)*100</f>
        <v>143.89180797707189</v>
      </c>
      <c r="AS624" s="153">
        <f>'copy data3'!R678</f>
        <v>27207</v>
      </c>
      <c r="AT624" s="38">
        <f t="shared" ref="AT624:AT629" si="375">AVERAGE(AS621:AS624)</f>
        <v>29525</v>
      </c>
      <c r="AU624" s="71">
        <f t="shared" ref="AU624:AU629" si="376">(AT624/AS572)*100</f>
        <v>93.129987698325081</v>
      </c>
    </row>
    <row r="625" spans="1:47" ht="15.6" x14ac:dyDescent="0.3">
      <c r="A625" s="10">
        <v>39051</v>
      </c>
      <c r="B625" s="6">
        <v>1565</v>
      </c>
      <c r="C625" s="6">
        <v>2710</v>
      </c>
      <c r="D625" s="6">
        <v>531</v>
      </c>
      <c r="E625" s="6">
        <v>1868</v>
      </c>
      <c r="F625" s="6">
        <v>1164</v>
      </c>
      <c r="G625" s="6">
        <v>3388</v>
      </c>
      <c r="H625" s="6">
        <v>1019</v>
      </c>
      <c r="I625" s="6">
        <v>2400</v>
      </c>
      <c r="J625" s="6">
        <v>139</v>
      </c>
      <c r="K625" s="6">
        <v>477</v>
      </c>
      <c r="L625" s="6">
        <v>4417</v>
      </c>
      <c r="M625" s="6">
        <v>10843</v>
      </c>
      <c r="N625" s="6">
        <v>11329</v>
      </c>
      <c r="O625" s="6">
        <v>14656</v>
      </c>
      <c r="P625" s="6">
        <v>7068</v>
      </c>
      <c r="Q625" s="6">
        <v>9843</v>
      </c>
      <c r="R625" s="16">
        <f t="shared" si="277"/>
        <v>22814</v>
      </c>
      <c r="T625" s="140">
        <f t="shared" si="258"/>
        <v>41221</v>
      </c>
      <c r="U625" s="154">
        <f>'copy data3'!B679</f>
        <v>1421</v>
      </c>
      <c r="V625" s="38">
        <f t="shared" si="359"/>
        <v>1459.25</v>
      </c>
      <c r="W625" s="71">
        <f t="shared" si="360"/>
        <v>101.7608089260809</v>
      </c>
      <c r="X625" s="154">
        <f>'copy data3'!D679</f>
        <v>610</v>
      </c>
      <c r="Y625" s="38">
        <f t="shared" si="361"/>
        <v>621.75</v>
      </c>
      <c r="Z625" s="71">
        <f t="shared" si="362"/>
        <v>90.23947750362845</v>
      </c>
      <c r="AA625" s="152">
        <f>'copy data3'!F679</f>
        <v>1215</v>
      </c>
      <c r="AB625" s="38">
        <f t="shared" si="363"/>
        <v>1224</v>
      </c>
      <c r="AC625" s="71">
        <f t="shared" si="364"/>
        <v>110.97008159564822</v>
      </c>
      <c r="AD625" s="152">
        <f>'copy data3'!H679</f>
        <v>836</v>
      </c>
      <c r="AE625" s="38">
        <f t="shared" si="365"/>
        <v>815.75</v>
      </c>
      <c r="AF625" s="71">
        <f t="shared" si="366"/>
        <v>93.015963511972629</v>
      </c>
      <c r="AG625" s="152">
        <f>'copy data3'!J679</f>
        <v>47</v>
      </c>
      <c r="AH625" s="38">
        <f t="shared" si="367"/>
        <v>71.5</v>
      </c>
      <c r="AI625" s="71">
        <f t="shared" si="368"/>
        <v>111.71875</v>
      </c>
      <c r="AJ625" s="152">
        <f>'copy data3'!L679</f>
        <v>4129</v>
      </c>
      <c r="AK625" s="38">
        <f t="shared" si="369"/>
        <v>4191.5</v>
      </c>
      <c r="AL625" s="71">
        <f t="shared" si="370"/>
        <v>100.5879529637629</v>
      </c>
      <c r="AM625" s="152">
        <f>'copy data3'!N679</f>
        <v>6829</v>
      </c>
      <c r="AN625" s="38">
        <f t="shared" si="371"/>
        <v>7099</v>
      </c>
      <c r="AO625" s="71">
        <f t="shared" si="372"/>
        <v>49.626004893393919</v>
      </c>
      <c r="AP625" s="152">
        <f>'copy data3'!P679</f>
        <v>14882</v>
      </c>
      <c r="AQ625" s="38">
        <f t="shared" si="373"/>
        <v>16847.25</v>
      </c>
      <c r="AR625" s="71">
        <f t="shared" si="374"/>
        <v>141.82380671773717</v>
      </c>
      <c r="AS625" s="153">
        <f>'copy data3'!R679</f>
        <v>25840</v>
      </c>
      <c r="AT625" s="38">
        <f t="shared" si="375"/>
        <v>28137.75</v>
      </c>
      <c r="AU625" s="71">
        <f t="shared" si="376"/>
        <v>92.707818523277652</v>
      </c>
    </row>
    <row r="626" spans="1:47" ht="15.6" x14ac:dyDescent="0.3">
      <c r="A626" s="10">
        <v>38694</v>
      </c>
      <c r="B626" s="6">
        <v>2807</v>
      </c>
      <c r="C626" s="6">
        <v>5796</v>
      </c>
      <c r="D626" s="6">
        <v>292</v>
      </c>
      <c r="E626" s="6">
        <v>1156</v>
      </c>
      <c r="F626" s="6">
        <v>1092</v>
      </c>
      <c r="G626" s="6">
        <v>4452</v>
      </c>
      <c r="H626" s="6">
        <v>793</v>
      </c>
      <c r="I626" s="6">
        <v>2216</v>
      </c>
      <c r="J626" s="6">
        <v>35</v>
      </c>
      <c r="K626" s="6">
        <v>438</v>
      </c>
      <c r="L626" s="6">
        <v>5018</v>
      </c>
      <c r="M626" s="6">
        <v>14059</v>
      </c>
      <c r="N626" s="6">
        <v>7334</v>
      </c>
      <c r="O626" s="6">
        <v>12951</v>
      </c>
      <c r="P626" s="6">
        <v>3944</v>
      </c>
      <c r="Q626" s="6">
        <v>8862</v>
      </c>
      <c r="R626" s="16">
        <f t="shared" si="277"/>
        <v>16296</v>
      </c>
      <c r="T626" s="140">
        <f t="shared" si="258"/>
        <v>41228</v>
      </c>
      <c r="U626" s="154">
        <f>'copy data3'!B680</f>
        <v>1514.2</v>
      </c>
      <c r="V626" s="38">
        <f t="shared" si="359"/>
        <v>1467.3</v>
      </c>
      <c r="W626" s="71">
        <f t="shared" si="360"/>
        <v>100.4312114989733</v>
      </c>
      <c r="X626" s="154">
        <f>'copy data3'!D680</f>
        <v>690.6</v>
      </c>
      <c r="Y626" s="38">
        <f t="shared" si="361"/>
        <v>637.4</v>
      </c>
      <c r="Z626" s="71">
        <f t="shared" si="362"/>
        <v>88.282548476454295</v>
      </c>
      <c r="AA626" s="152">
        <f>'copy data3'!F680</f>
        <v>1286.0999999999999</v>
      </c>
      <c r="AB626" s="38">
        <f t="shared" si="363"/>
        <v>1243.2750000000001</v>
      </c>
      <c r="AC626" s="71">
        <f t="shared" si="364"/>
        <v>105.00633445945947</v>
      </c>
      <c r="AD626" s="152">
        <f>'copy data3'!H680</f>
        <v>899.1</v>
      </c>
      <c r="AE626" s="38">
        <f t="shared" si="365"/>
        <v>830.77499999999998</v>
      </c>
      <c r="AF626" s="71">
        <f t="shared" si="366"/>
        <v>84.257099391480722</v>
      </c>
      <c r="AG626" s="152">
        <f>'copy data3'!J680</f>
        <v>45.1</v>
      </c>
      <c r="AH626" s="38">
        <f t="shared" si="367"/>
        <v>64.775000000000006</v>
      </c>
      <c r="AI626" s="71">
        <f t="shared" si="368"/>
        <v>99.65384615384616</v>
      </c>
      <c r="AJ626" s="152">
        <f>'copy data3'!L680</f>
        <v>4435.1000000000004</v>
      </c>
      <c r="AK626" s="38">
        <f t="shared" si="369"/>
        <v>4243.2749999999996</v>
      </c>
      <c r="AL626" s="71">
        <f t="shared" si="370"/>
        <v>96.023421588594687</v>
      </c>
      <c r="AM626" s="152">
        <f>'copy data3'!N680</f>
        <v>7203.8</v>
      </c>
      <c r="AN626" s="38">
        <f t="shared" si="371"/>
        <v>7046.2</v>
      </c>
      <c r="AO626" s="71">
        <f t="shared" si="372"/>
        <v>51.646998460749103</v>
      </c>
      <c r="AP626" s="152">
        <f>'copy data3'!P680</f>
        <v>13449</v>
      </c>
      <c r="AQ626" s="38">
        <f t="shared" si="373"/>
        <v>15541.75</v>
      </c>
      <c r="AR626" s="71">
        <f t="shared" si="374"/>
        <v>131.60936573799646</v>
      </c>
      <c r="AS626" s="153">
        <f>'copy data3'!R680</f>
        <v>25087.9</v>
      </c>
      <c r="AT626" s="38">
        <f t="shared" si="375"/>
        <v>26831.224999999999</v>
      </c>
      <c r="AU626" s="71">
        <f t="shared" si="376"/>
        <v>89.823658397777109</v>
      </c>
    </row>
    <row r="627" spans="1:47" ht="15.6" x14ac:dyDescent="0.3">
      <c r="A627" s="10">
        <v>39058</v>
      </c>
      <c r="B627" s="6">
        <v>1697</v>
      </c>
      <c r="C627" s="6">
        <v>2815</v>
      </c>
      <c r="D627" s="6">
        <v>489</v>
      </c>
      <c r="E627" s="6">
        <v>1940</v>
      </c>
      <c r="F627" s="6">
        <v>1173</v>
      </c>
      <c r="G627" s="6">
        <v>3501</v>
      </c>
      <c r="H627" s="6">
        <v>977</v>
      </c>
      <c r="I627" s="6">
        <v>2523</v>
      </c>
      <c r="J627" s="6">
        <v>139</v>
      </c>
      <c r="K627" s="6">
        <v>477</v>
      </c>
      <c r="L627" s="6">
        <v>4475</v>
      </c>
      <c r="M627" s="6">
        <v>11256</v>
      </c>
      <c r="N627" s="6">
        <v>11493</v>
      </c>
      <c r="O627" s="6">
        <v>15893</v>
      </c>
      <c r="P627" s="6">
        <v>6898</v>
      </c>
      <c r="Q627" s="6">
        <v>10916</v>
      </c>
      <c r="R627" s="16">
        <f t="shared" si="277"/>
        <v>22866</v>
      </c>
      <c r="T627" s="140">
        <f t="shared" si="258"/>
        <v>41235</v>
      </c>
      <c r="U627" s="154">
        <f>'copy data3'!B681</f>
        <v>1446</v>
      </c>
      <c r="V627" s="38">
        <f t="shared" si="359"/>
        <v>1451.3</v>
      </c>
      <c r="W627" s="71">
        <f t="shared" si="360"/>
        <v>105.93430656934306</v>
      </c>
      <c r="X627" s="154">
        <f>'copy data3'!D681</f>
        <v>671</v>
      </c>
      <c r="Y627" s="38">
        <f t="shared" si="361"/>
        <v>652.4</v>
      </c>
      <c r="Z627" s="71">
        <f t="shared" si="362"/>
        <v>88.162162162162161</v>
      </c>
      <c r="AA627" s="152">
        <f>'copy data3'!F681</f>
        <v>1246</v>
      </c>
      <c r="AB627" s="38">
        <f t="shared" si="363"/>
        <v>1241.7750000000001</v>
      </c>
      <c r="AC627" s="71">
        <f t="shared" si="364"/>
        <v>94.791984732824432</v>
      </c>
      <c r="AD627" s="152">
        <f>'copy data3'!H681</f>
        <v>1077</v>
      </c>
      <c r="AE627" s="38">
        <f t="shared" si="365"/>
        <v>892.77499999999998</v>
      </c>
      <c r="AF627" s="71">
        <f t="shared" si="366"/>
        <v>78.108048993875769</v>
      </c>
      <c r="AG627" s="152">
        <f>'copy data3'!J681</f>
        <v>45.1</v>
      </c>
      <c r="AH627" s="38">
        <f t="shared" si="367"/>
        <v>52.3</v>
      </c>
      <c r="AI627" s="71">
        <f t="shared" si="368"/>
        <v>95.090909090909079</v>
      </c>
      <c r="AJ627" s="152">
        <f>'copy data3'!L681</f>
        <v>4486</v>
      </c>
      <c r="AK627" s="38">
        <f t="shared" si="369"/>
        <v>4290.7749999999996</v>
      </c>
      <c r="AL627" s="71">
        <f t="shared" si="370"/>
        <v>92.873917748917748</v>
      </c>
      <c r="AM627" s="152">
        <f>'copy data3'!N681</f>
        <v>7071</v>
      </c>
      <c r="AN627" s="38">
        <f t="shared" si="371"/>
        <v>7015.2</v>
      </c>
      <c r="AO627" s="71">
        <f t="shared" si="372"/>
        <v>53.493975903614455</v>
      </c>
      <c r="AP627" s="152">
        <f>'copy data3'!P681</f>
        <v>12414</v>
      </c>
      <c r="AQ627" s="38">
        <f t="shared" si="373"/>
        <v>14220.5</v>
      </c>
      <c r="AR627" s="71">
        <f t="shared" si="374"/>
        <v>128.33228048010108</v>
      </c>
      <c r="AS627" s="153">
        <f>'copy data3'!R681</f>
        <v>23971</v>
      </c>
      <c r="AT627" s="38">
        <f t="shared" si="375"/>
        <v>25526.474999999999</v>
      </c>
      <c r="AU627" s="71">
        <f t="shared" si="376"/>
        <v>88.587454450806874</v>
      </c>
    </row>
    <row r="628" spans="1:47" ht="15.6" x14ac:dyDescent="0.3">
      <c r="A628" s="10">
        <v>38701</v>
      </c>
      <c r="B628" s="6">
        <v>2868</v>
      </c>
      <c r="C628" s="6">
        <v>5932</v>
      </c>
      <c r="D628" s="6">
        <v>279</v>
      </c>
      <c r="E628" s="6">
        <v>1207</v>
      </c>
      <c r="F628" s="6">
        <v>1139</v>
      </c>
      <c r="G628" s="6">
        <v>4556</v>
      </c>
      <c r="H628" s="6">
        <v>800</v>
      </c>
      <c r="I628" s="6">
        <v>2309</v>
      </c>
      <c r="J628" s="6">
        <v>30</v>
      </c>
      <c r="K628" s="6">
        <v>480</v>
      </c>
      <c r="L628" s="6">
        <v>5116</v>
      </c>
      <c r="M628" s="6">
        <v>14484</v>
      </c>
      <c r="N628" s="6">
        <v>7037</v>
      </c>
      <c r="O628" s="6">
        <v>14130</v>
      </c>
      <c r="P628" s="6">
        <v>4004</v>
      </c>
      <c r="Q628" s="6">
        <v>9632</v>
      </c>
      <c r="R628" s="16">
        <f t="shared" si="277"/>
        <v>16157</v>
      </c>
      <c r="T628" s="140">
        <f t="shared" si="258"/>
        <v>41242</v>
      </c>
      <c r="U628" s="154">
        <f>'copy data3'!B682</f>
        <v>1473</v>
      </c>
      <c r="V628" s="38">
        <f t="shared" si="359"/>
        <v>1463.55</v>
      </c>
      <c r="W628" s="71">
        <f t="shared" si="360"/>
        <v>103.7243090007087</v>
      </c>
      <c r="X628" s="154">
        <f>'copy data3'!D682</f>
        <v>671</v>
      </c>
      <c r="Y628" s="38">
        <f t="shared" si="361"/>
        <v>660.65</v>
      </c>
      <c r="Z628" s="71">
        <f t="shared" si="362"/>
        <v>96.445255474452551</v>
      </c>
      <c r="AA628" s="152">
        <f>'copy data3'!F682</f>
        <v>1203</v>
      </c>
      <c r="AB628" s="38">
        <f t="shared" si="363"/>
        <v>1237.5250000000001</v>
      </c>
      <c r="AC628" s="71">
        <f t="shared" si="364"/>
        <v>98.922861710631508</v>
      </c>
      <c r="AD628" s="152">
        <f>'copy data3'!H682</f>
        <v>1051</v>
      </c>
      <c r="AE628" s="38">
        <f t="shared" si="365"/>
        <v>965.77499999999998</v>
      </c>
      <c r="AF628" s="71">
        <f t="shared" si="366"/>
        <v>80.147302904564313</v>
      </c>
      <c r="AG628" s="152">
        <f>'copy data3'!J682</f>
        <v>54</v>
      </c>
      <c r="AH628" s="38">
        <f t="shared" si="367"/>
        <v>47.8</v>
      </c>
      <c r="AI628" s="71">
        <f t="shared" si="368"/>
        <v>74.6875</v>
      </c>
      <c r="AJ628" s="152">
        <f>'copy data3'!L682</f>
        <v>4452</v>
      </c>
      <c r="AK628" s="38">
        <f t="shared" si="369"/>
        <v>4375.5249999999996</v>
      </c>
      <c r="AL628" s="71">
        <f t="shared" si="370"/>
        <v>94.790402946273815</v>
      </c>
      <c r="AM628" s="152">
        <f>'copy data3'!N682</f>
        <v>6830</v>
      </c>
      <c r="AN628" s="38">
        <f t="shared" si="371"/>
        <v>6983.45</v>
      </c>
      <c r="AO628" s="71">
        <f t="shared" si="372"/>
        <v>54.673530102560086</v>
      </c>
      <c r="AP628" s="152">
        <f>'copy data3'!P682</f>
        <v>12004</v>
      </c>
      <c r="AQ628" s="38">
        <f t="shared" si="373"/>
        <v>13187.25</v>
      </c>
      <c r="AR628" s="71">
        <f t="shared" si="374"/>
        <v>119.82962289868242</v>
      </c>
      <c r="AS628" s="153">
        <f>'copy data3'!R682</f>
        <v>23286</v>
      </c>
      <c r="AT628" s="38">
        <f t="shared" si="375"/>
        <v>24546.224999999999</v>
      </c>
      <c r="AU628" s="71">
        <f t="shared" si="376"/>
        <v>86.44863351412269</v>
      </c>
    </row>
    <row r="629" spans="1:47" ht="15.6" x14ac:dyDescent="0.3">
      <c r="A629" s="10">
        <v>39065</v>
      </c>
      <c r="B629" s="6">
        <v>1673</v>
      </c>
      <c r="C629" s="6">
        <v>2991</v>
      </c>
      <c r="D629" s="6">
        <v>532</v>
      </c>
      <c r="E629" s="6">
        <v>1976</v>
      </c>
      <c r="F629" s="6">
        <v>1234</v>
      </c>
      <c r="G629" s="6">
        <v>3548</v>
      </c>
      <c r="H629" s="6">
        <v>1026</v>
      </c>
      <c r="I629" s="6">
        <v>2590</v>
      </c>
      <c r="J629" s="6">
        <v>103</v>
      </c>
      <c r="K629" s="6">
        <v>514</v>
      </c>
      <c r="L629" s="6">
        <v>4568</v>
      </c>
      <c r="M629" s="6">
        <v>11619</v>
      </c>
      <c r="N629" s="6">
        <v>11855</v>
      </c>
      <c r="O629" s="6">
        <v>16796</v>
      </c>
      <c r="P629" s="6">
        <v>7011</v>
      </c>
      <c r="Q629" s="6">
        <v>11545</v>
      </c>
      <c r="R629" s="16">
        <f t="shared" si="277"/>
        <v>23434</v>
      </c>
      <c r="T629" s="140">
        <f t="shared" si="258"/>
        <v>41249</v>
      </c>
      <c r="U629" s="154">
        <f>'copy data3'!B683</f>
        <v>1417</v>
      </c>
      <c r="V629" s="38">
        <f t="shared" si="359"/>
        <v>1462.55</v>
      </c>
      <c r="W629" s="71">
        <f t="shared" si="360"/>
        <v>111.55987795575896</v>
      </c>
      <c r="X629" s="154">
        <f>'copy data3'!D683</f>
        <v>705</v>
      </c>
      <c r="Y629" s="38">
        <f t="shared" si="361"/>
        <v>684.4</v>
      </c>
      <c r="Z629" s="71">
        <f t="shared" si="362"/>
        <v>97.771428571428558</v>
      </c>
      <c r="AA629" s="152">
        <f>'copy data3'!F683</f>
        <v>1252</v>
      </c>
      <c r="AB629" s="38">
        <f t="shared" si="363"/>
        <v>1246.7750000000001</v>
      </c>
      <c r="AC629" s="71">
        <f t="shared" si="364"/>
        <v>111.71818996415772</v>
      </c>
      <c r="AD629" s="152">
        <f>'copy data3'!H683</f>
        <v>1213</v>
      </c>
      <c r="AE629" s="38">
        <f t="shared" si="365"/>
        <v>1060.0250000000001</v>
      </c>
      <c r="AF629" s="71">
        <f t="shared" si="366"/>
        <v>89.077731092436991</v>
      </c>
      <c r="AG629" s="152">
        <f>'copy data3'!J683</f>
        <v>74</v>
      </c>
      <c r="AH629" s="38">
        <f t="shared" si="367"/>
        <v>54.55</v>
      </c>
      <c r="AI629" s="71">
        <f t="shared" si="368"/>
        <v>69.050632911392412</v>
      </c>
      <c r="AJ629" s="152">
        <f>'copy data3'!L683</f>
        <v>4661</v>
      </c>
      <c r="AK629" s="38">
        <f t="shared" si="369"/>
        <v>4508.5249999999996</v>
      </c>
      <c r="AL629" s="71">
        <f t="shared" si="370"/>
        <v>102.55971337579616</v>
      </c>
      <c r="AM629" s="152">
        <f>'copy data3'!N683</f>
        <v>6380</v>
      </c>
      <c r="AN629" s="38">
        <f t="shared" si="371"/>
        <v>6871.2</v>
      </c>
      <c r="AO629" s="71">
        <f t="shared" si="372"/>
        <v>55.457627118644069</v>
      </c>
      <c r="AP629" s="152">
        <f>'copy data3'!P683</f>
        <v>12164</v>
      </c>
      <c r="AQ629" s="38">
        <f t="shared" si="373"/>
        <v>12507.75</v>
      </c>
      <c r="AR629" s="71">
        <f t="shared" si="374"/>
        <v>119.51982799808887</v>
      </c>
      <c r="AS629" s="153">
        <f>'copy data3'!R683</f>
        <v>23205</v>
      </c>
      <c r="AT629" s="38">
        <f t="shared" si="375"/>
        <v>23887.474999999999</v>
      </c>
      <c r="AU629" s="71">
        <f t="shared" si="376"/>
        <v>87.657241936075735</v>
      </c>
    </row>
    <row r="630" spans="1:47" ht="15.6" x14ac:dyDescent="0.3">
      <c r="A630" s="10">
        <v>38708</v>
      </c>
      <c r="B630" s="6">
        <v>2719</v>
      </c>
      <c r="C630" s="6">
        <v>6202</v>
      </c>
      <c r="D630" s="6">
        <v>291</v>
      </c>
      <c r="E630" s="6">
        <v>1213</v>
      </c>
      <c r="F630" s="6">
        <v>1092</v>
      </c>
      <c r="G630" s="6">
        <v>4727</v>
      </c>
      <c r="H630" s="6">
        <v>704</v>
      </c>
      <c r="I630" s="6">
        <v>2476</v>
      </c>
      <c r="J630" s="6">
        <v>28</v>
      </c>
      <c r="K630" s="6">
        <v>504</v>
      </c>
      <c r="L630" s="6">
        <v>4834</v>
      </c>
      <c r="M630" s="6">
        <v>15122</v>
      </c>
      <c r="N630" s="6">
        <v>6619</v>
      </c>
      <c r="O630" s="6">
        <v>14891</v>
      </c>
      <c r="P630" s="6">
        <v>4286</v>
      </c>
      <c r="Q630" s="6">
        <v>10240</v>
      </c>
      <c r="R630" s="16">
        <f t="shared" si="277"/>
        <v>15739</v>
      </c>
      <c r="T630" s="140">
        <f t="shared" si="258"/>
        <v>41256</v>
      </c>
      <c r="U630" s="154">
        <f>'copy data3'!B684</f>
        <v>1453</v>
      </c>
      <c r="V630" s="38">
        <f t="shared" ref="V630:V638" si="377">AVERAGE(U627:U630)</f>
        <v>1447.25</v>
      </c>
      <c r="W630" s="71">
        <f t="shared" ref="W630:W638" si="378">(V630/U578)*100</f>
        <v>108.06018069140598</v>
      </c>
      <c r="X630" s="154">
        <f>'copy data3'!D684</f>
        <v>846</v>
      </c>
      <c r="Y630" s="38">
        <f t="shared" ref="Y630:Y638" si="379">AVERAGE(X627:X630)</f>
        <v>723.25</v>
      </c>
      <c r="Z630" s="71">
        <f t="shared" ref="Z630:Z638" si="380">(Y630/X578)*100</f>
        <v>102.00987306064879</v>
      </c>
      <c r="AA630" s="152">
        <f>'copy data3'!F684</f>
        <v>1287</v>
      </c>
      <c r="AB630" s="38">
        <f t="shared" ref="AB630:AB638" si="381">AVERAGE(AA627:AA630)</f>
        <v>1247</v>
      </c>
      <c r="AC630" s="71">
        <f t="shared" ref="AC630:AC638" si="382">(AB630/AA578)*100</f>
        <v>104.96632996632998</v>
      </c>
      <c r="AD630" s="152">
        <f>'copy data3'!H684</f>
        <v>1223</v>
      </c>
      <c r="AE630" s="38">
        <f t="shared" ref="AE630:AE638" si="383">AVERAGE(AD627:AD630)</f>
        <v>1141</v>
      </c>
      <c r="AF630" s="71">
        <f t="shared" ref="AF630:AF638" si="384">(AE630/AD578)*100</f>
        <v>106.51605675877521</v>
      </c>
      <c r="AG630" s="152">
        <f>'copy data3'!J684</f>
        <v>94</v>
      </c>
      <c r="AH630" s="38">
        <f t="shared" ref="AH630:AH638" si="385">AVERAGE(AG627:AG630)</f>
        <v>66.775000000000006</v>
      </c>
      <c r="AI630" s="71">
        <f t="shared" ref="AI630:AI638" si="386">(AH630/AG578)*100</f>
        <v>132.75347912524853</v>
      </c>
      <c r="AJ630" s="152">
        <f>'copy data3'!L684</f>
        <v>4904</v>
      </c>
      <c r="AK630" s="38">
        <f t="shared" ref="AK630:AK638" si="387">AVERAGE(AJ627:AJ630)</f>
        <v>4625.75</v>
      </c>
      <c r="AL630" s="71">
        <f t="shared" ref="AL630:AL638" si="388">(AK630/AJ578)*100</f>
        <v>106.14874477947586</v>
      </c>
      <c r="AM630" s="152">
        <f>'copy data3'!N684</f>
        <v>6511</v>
      </c>
      <c r="AN630" s="38">
        <f t="shared" ref="AN630:AN638" si="389">AVERAGE(AM627:AM630)</f>
        <v>6698</v>
      </c>
      <c r="AO630" s="71">
        <f t="shared" ref="AO630:AO638" si="390">(AN630/AM578)*100</f>
        <v>56.741553996814751</v>
      </c>
      <c r="AP630" s="152">
        <f>'copy data3'!P684</f>
        <v>11435</v>
      </c>
      <c r="AQ630" s="38">
        <f t="shared" ref="AQ630:AQ638" si="391">AVERAGE(AP627:AP630)</f>
        <v>12004.25</v>
      </c>
      <c r="AR630" s="71">
        <f t="shared" ref="AR630:AR638" si="392">(AQ630/AP578)*100</f>
        <v>117.87015307875851</v>
      </c>
      <c r="AS630" s="153">
        <f>'copy data3'!R684</f>
        <v>22850</v>
      </c>
      <c r="AT630" s="38">
        <f t="shared" ref="AT630:AT638" si="393">AVERAGE(AS627:AS630)</f>
        <v>23328</v>
      </c>
      <c r="AU630" s="71">
        <f t="shared" ref="AU630:AU638" si="394">(AT630/AS578)*100</f>
        <v>88.54307023703339</v>
      </c>
    </row>
    <row r="631" spans="1:47" ht="15.6" x14ac:dyDescent="0.3">
      <c r="A631" s="10">
        <v>39072</v>
      </c>
      <c r="B631" s="6">
        <v>1681</v>
      </c>
      <c r="C631" s="6">
        <v>3152</v>
      </c>
      <c r="D631" s="6">
        <v>553</v>
      </c>
      <c r="E631" s="6">
        <v>1987</v>
      </c>
      <c r="F631" s="6">
        <v>1280</v>
      </c>
      <c r="G631" s="6">
        <v>3622</v>
      </c>
      <c r="H631" s="6">
        <v>1033</v>
      </c>
      <c r="I631" s="6">
        <v>2616</v>
      </c>
      <c r="J631" s="6">
        <v>83</v>
      </c>
      <c r="K631" s="6">
        <v>534</v>
      </c>
      <c r="L631" s="6">
        <v>4630</v>
      </c>
      <c r="M631" s="6">
        <v>11911</v>
      </c>
      <c r="N631" s="6">
        <v>11890</v>
      </c>
      <c r="O631" s="6">
        <v>17911</v>
      </c>
      <c r="P631" s="6">
        <v>7376</v>
      </c>
      <c r="Q631" s="6">
        <v>12218</v>
      </c>
      <c r="R631" s="16">
        <f t="shared" si="277"/>
        <v>23896</v>
      </c>
      <c r="T631" s="140">
        <f t="shared" si="258"/>
        <v>41263</v>
      </c>
      <c r="U631" s="154">
        <f>'copy data3'!B685</f>
        <v>1715.9</v>
      </c>
      <c r="V631" s="38">
        <f t="shared" si="377"/>
        <v>1514.7249999999999</v>
      </c>
      <c r="W631" s="71">
        <f t="shared" si="378"/>
        <v>110.72551169590643</v>
      </c>
      <c r="X631" s="154">
        <f>'copy data3'!D685</f>
        <v>1190.4000000000001</v>
      </c>
      <c r="Y631" s="38">
        <f t="shared" si="379"/>
        <v>853.1</v>
      </c>
      <c r="Z631" s="71">
        <f t="shared" si="380"/>
        <v>123.99709302325581</v>
      </c>
      <c r="AA631" s="152">
        <f>'copy data3'!F685</f>
        <v>1220</v>
      </c>
      <c r="AB631" s="38">
        <f t="shared" si="381"/>
        <v>1240.5</v>
      </c>
      <c r="AC631" s="71">
        <f t="shared" si="382"/>
        <v>104.94923857868019</v>
      </c>
      <c r="AD631" s="152">
        <f>'copy data3'!H685</f>
        <v>1256.5</v>
      </c>
      <c r="AE631" s="38">
        <f t="shared" si="383"/>
        <v>1185.875</v>
      </c>
      <c r="AF631" s="71">
        <f t="shared" si="384"/>
        <v>109.60027726432533</v>
      </c>
      <c r="AG631" s="152">
        <f>'copy data3'!J685</f>
        <v>106.9</v>
      </c>
      <c r="AH631" s="38">
        <f t="shared" si="385"/>
        <v>82.224999999999994</v>
      </c>
      <c r="AI631" s="71">
        <f t="shared" si="386"/>
        <v>149.5</v>
      </c>
      <c r="AJ631" s="152">
        <f>'copy data3'!L685</f>
        <v>5489.8</v>
      </c>
      <c r="AK631" s="38">
        <f t="shared" si="387"/>
        <v>4876.7</v>
      </c>
      <c r="AL631" s="71">
        <f t="shared" si="388"/>
        <v>111.46742857142857</v>
      </c>
      <c r="AM631" s="152">
        <f>'copy data3'!N685</f>
        <v>6329.1</v>
      </c>
      <c r="AN631" s="38">
        <f t="shared" si="389"/>
        <v>6512.5249999999996</v>
      </c>
      <c r="AO631" s="71">
        <f t="shared" si="390"/>
        <v>58.261987833243865</v>
      </c>
      <c r="AP631" s="152">
        <f>'copy data3'!P685</f>
        <v>10368.200000000001</v>
      </c>
      <c r="AQ631" s="38">
        <f t="shared" si="391"/>
        <v>11492.8</v>
      </c>
      <c r="AR631" s="71">
        <f t="shared" si="392"/>
        <v>117.52530933633297</v>
      </c>
      <c r="AS631" s="153">
        <f>'copy data3'!R685</f>
        <v>22187.100000000002</v>
      </c>
      <c r="AT631" s="38">
        <f t="shared" si="393"/>
        <v>22882.025000000001</v>
      </c>
      <c r="AU631" s="71">
        <f t="shared" si="394"/>
        <v>90.328537028264648</v>
      </c>
    </row>
    <row r="632" spans="1:47" ht="15.6" x14ac:dyDescent="0.3">
      <c r="A632" s="10">
        <v>38715</v>
      </c>
      <c r="B632" s="6">
        <v>2692</v>
      </c>
      <c r="C632" s="6">
        <v>6320</v>
      </c>
      <c r="D632" s="6">
        <v>307</v>
      </c>
      <c r="E632" s="6">
        <v>1229</v>
      </c>
      <c r="F632" s="6">
        <v>1036</v>
      </c>
      <c r="G632" s="6">
        <v>4825</v>
      </c>
      <c r="H632" s="6">
        <v>661</v>
      </c>
      <c r="I632" s="6">
        <v>2571</v>
      </c>
      <c r="J632" s="6">
        <v>31</v>
      </c>
      <c r="K632" s="6">
        <v>508</v>
      </c>
      <c r="L632" s="6">
        <v>4727</v>
      </c>
      <c r="M632" s="6">
        <v>15453</v>
      </c>
      <c r="N632" s="6">
        <v>5991</v>
      </c>
      <c r="O632" s="6">
        <v>15978</v>
      </c>
      <c r="P632" s="6">
        <v>4375</v>
      </c>
      <c r="Q632" s="6">
        <v>10613</v>
      </c>
      <c r="R632" s="16">
        <f t="shared" si="277"/>
        <v>15093</v>
      </c>
      <c r="T632" s="140">
        <f t="shared" si="258"/>
        <v>41270</v>
      </c>
      <c r="U632" s="154">
        <f>'copy data3'!B686</f>
        <v>1802</v>
      </c>
      <c r="V632" s="38">
        <f t="shared" si="377"/>
        <v>1596.9749999999999</v>
      </c>
      <c r="W632" s="71">
        <f t="shared" si="378"/>
        <v>123.03351309707242</v>
      </c>
      <c r="X632" s="154">
        <f>'copy data3'!D686</f>
        <v>1278</v>
      </c>
      <c r="Y632" s="38">
        <f t="shared" si="379"/>
        <v>1004.85</v>
      </c>
      <c r="Z632" s="71">
        <f t="shared" si="380"/>
        <v>170.31355932203388</v>
      </c>
      <c r="AA632" s="152">
        <f>'copy data3'!F686</f>
        <v>1285</v>
      </c>
      <c r="AB632" s="38">
        <f t="shared" si="381"/>
        <v>1261</v>
      </c>
      <c r="AC632" s="71">
        <f t="shared" si="382"/>
        <v>110.22727272727273</v>
      </c>
      <c r="AD632" s="152">
        <f>'copy data3'!H686</f>
        <v>1260</v>
      </c>
      <c r="AE632" s="38">
        <f t="shared" si="383"/>
        <v>1238.125</v>
      </c>
      <c r="AF632" s="71">
        <f t="shared" si="384"/>
        <v>123.68881118881119</v>
      </c>
      <c r="AG632" s="152">
        <f>'copy data3'!J686</f>
        <v>106.9</v>
      </c>
      <c r="AH632" s="38">
        <f t="shared" si="385"/>
        <v>95.449999999999989</v>
      </c>
      <c r="AI632" s="71">
        <f t="shared" si="386"/>
        <v>173.5454545454545</v>
      </c>
      <c r="AJ632" s="152">
        <f>'copy data3'!L686</f>
        <v>5731</v>
      </c>
      <c r="AK632" s="38">
        <f t="shared" si="387"/>
        <v>5196.45</v>
      </c>
      <c r="AL632" s="71">
        <f t="shared" si="388"/>
        <v>127.11472602739727</v>
      </c>
      <c r="AM632" s="152">
        <f>'copy data3'!N686</f>
        <v>6173</v>
      </c>
      <c r="AN632" s="38">
        <f t="shared" si="389"/>
        <v>6348.2749999999996</v>
      </c>
      <c r="AO632" s="71">
        <f t="shared" si="390"/>
        <v>58.241055045871562</v>
      </c>
      <c r="AP632" s="152">
        <f>'copy data3'!P686</f>
        <v>9767</v>
      </c>
      <c r="AQ632" s="38">
        <f t="shared" si="391"/>
        <v>10933.55</v>
      </c>
      <c r="AR632" s="71">
        <f t="shared" si="392"/>
        <v>121.0534765279008</v>
      </c>
      <c r="AS632" s="153">
        <f>'copy data3'!R686</f>
        <v>21671</v>
      </c>
      <c r="AT632" s="38">
        <f t="shared" si="393"/>
        <v>22478.275000000001</v>
      </c>
      <c r="AU632" s="71">
        <f t="shared" si="394"/>
        <v>93.581494587843466</v>
      </c>
    </row>
    <row r="633" spans="1:47" ht="15.6" x14ac:dyDescent="0.3">
      <c r="A633" s="10">
        <v>39079</v>
      </c>
      <c r="B633" s="6">
        <v>1460</v>
      </c>
      <c r="C633" s="6">
        <v>3389</v>
      </c>
      <c r="D633" s="6">
        <v>550</v>
      </c>
      <c r="E633" s="6">
        <v>2008</v>
      </c>
      <c r="F633" s="6">
        <v>1301</v>
      </c>
      <c r="G633" s="6">
        <v>3683</v>
      </c>
      <c r="H633" s="6">
        <v>880</v>
      </c>
      <c r="I633" s="6">
        <v>2786</v>
      </c>
      <c r="J633" s="6">
        <v>86</v>
      </c>
      <c r="K633" s="6">
        <v>554</v>
      </c>
      <c r="L633" s="6">
        <v>4277</v>
      </c>
      <c r="M633" s="6">
        <v>12399</v>
      </c>
      <c r="N633" s="6">
        <v>11503</v>
      </c>
      <c r="O633" s="6">
        <v>18872</v>
      </c>
      <c r="P633" s="6">
        <v>6886</v>
      </c>
      <c r="Q633" s="6">
        <v>13046</v>
      </c>
      <c r="R633" s="16">
        <f t="shared" si="277"/>
        <v>22666</v>
      </c>
      <c r="T633" s="140">
        <f t="shared" si="258"/>
        <v>41277</v>
      </c>
      <c r="U633" s="154">
        <f>'copy data3'!B687</f>
        <v>1843</v>
      </c>
      <c r="V633" s="38">
        <f t="shared" si="377"/>
        <v>1703.4749999999999</v>
      </c>
      <c r="W633" s="71">
        <f t="shared" si="378"/>
        <v>131.03653846153847</v>
      </c>
      <c r="X633" s="154">
        <f>'copy data3'!D687</f>
        <v>1220</v>
      </c>
      <c r="Y633" s="38">
        <f t="shared" si="379"/>
        <v>1133.5999999999999</v>
      </c>
      <c r="Z633" s="71">
        <f t="shared" si="380"/>
        <v>194.44253859348197</v>
      </c>
      <c r="AA633" s="152">
        <f>'copy data3'!F687</f>
        <v>1200</v>
      </c>
      <c r="AB633" s="38">
        <f t="shared" si="381"/>
        <v>1248</v>
      </c>
      <c r="AC633" s="71">
        <f t="shared" si="382"/>
        <v>105.13900589721987</v>
      </c>
      <c r="AD633" s="152">
        <f>'copy data3'!H687</f>
        <v>1220</v>
      </c>
      <c r="AE633" s="38">
        <f t="shared" si="383"/>
        <v>1239.875</v>
      </c>
      <c r="AF633" s="71">
        <f t="shared" si="384"/>
        <v>109.52959363957598</v>
      </c>
      <c r="AG633" s="152">
        <f>'copy data3'!J687</f>
        <v>106.9</v>
      </c>
      <c r="AH633" s="38">
        <f t="shared" si="385"/>
        <v>103.67500000000001</v>
      </c>
      <c r="AI633" s="71">
        <f t="shared" si="386"/>
        <v>188.50000000000003</v>
      </c>
      <c r="AJ633" s="152">
        <f>'copy data3'!L687</f>
        <v>5701</v>
      </c>
      <c r="AK633" s="38">
        <f t="shared" si="387"/>
        <v>5456.45</v>
      </c>
      <c r="AL633" s="71">
        <f t="shared" si="388"/>
        <v>128.17594550152688</v>
      </c>
      <c r="AM633" s="152">
        <f>'copy data3'!N687</f>
        <v>6079</v>
      </c>
      <c r="AN633" s="38">
        <f t="shared" si="389"/>
        <v>6273.0249999999996</v>
      </c>
      <c r="AO633" s="71">
        <f t="shared" si="390"/>
        <v>59.891397746801601</v>
      </c>
      <c r="AP633" s="152">
        <f>'copy data3'!P687</f>
        <v>8912</v>
      </c>
      <c r="AQ633" s="38">
        <f t="shared" si="391"/>
        <v>10120.549999999999</v>
      </c>
      <c r="AR633" s="71">
        <f t="shared" si="392"/>
        <v>116.60963244613434</v>
      </c>
      <c r="AS633" s="153">
        <f>'copy data3'!R687</f>
        <v>20692</v>
      </c>
      <c r="AT633" s="38">
        <f t="shared" si="393"/>
        <v>21850.025000000001</v>
      </c>
      <c r="AU633" s="71">
        <f t="shared" si="394"/>
        <v>93.336287911149086</v>
      </c>
    </row>
    <row r="634" spans="1:47" ht="15.6" x14ac:dyDescent="0.3">
      <c r="A634" s="10">
        <v>38722</v>
      </c>
      <c r="B634" s="6">
        <v>2413</v>
      </c>
      <c r="C634" s="6">
        <v>6701</v>
      </c>
      <c r="D634" s="6">
        <v>337</v>
      </c>
      <c r="E634" s="6">
        <v>1277</v>
      </c>
      <c r="F634" s="6">
        <v>1003</v>
      </c>
      <c r="G634" s="6">
        <v>4935</v>
      </c>
      <c r="H634" s="6">
        <v>657</v>
      </c>
      <c r="I634" s="6">
        <v>2607</v>
      </c>
      <c r="J634" s="6">
        <v>84</v>
      </c>
      <c r="K634" s="6">
        <v>509</v>
      </c>
      <c r="L634" s="6">
        <v>4494</v>
      </c>
      <c r="M634" s="6">
        <v>16029</v>
      </c>
      <c r="N634" s="6">
        <v>5905</v>
      </c>
      <c r="O634" s="6">
        <v>16696</v>
      </c>
      <c r="P634" s="6">
        <v>4149</v>
      </c>
      <c r="Q634" s="6">
        <v>11287</v>
      </c>
      <c r="R634" s="16">
        <f t="shared" si="277"/>
        <v>14548</v>
      </c>
      <c r="T634" s="140">
        <f t="shared" si="258"/>
        <v>41284</v>
      </c>
      <c r="U634" s="154">
        <f>'copy data3'!B688</f>
        <v>1825</v>
      </c>
      <c r="V634" s="38">
        <f t="shared" si="377"/>
        <v>1796.4749999999999</v>
      </c>
      <c r="W634" s="71">
        <f t="shared" si="378"/>
        <v>133.96532438478746</v>
      </c>
      <c r="X634" s="154">
        <f>'copy data3'!D688</f>
        <v>1618</v>
      </c>
      <c r="Y634" s="38">
        <f t="shared" si="379"/>
        <v>1326.6</v>
      </c>
      <c r="Z634" s="71">
        <f t="shared" si="380"/>
        <v>222.2110552763819</v>
      </c>
      <c r="AA634" s="152">
        <f>'copy data3'!F688</f>
        <v>1167</v>
      </c>
      <c r="AB634" s="38">
        <f t="shared" si="381"/>
        <v>1218</v>
      </c>
      <c r="AC634" s="71">
        <f t="shared" si="382"/>
        <v>97.362110311750598</v>
      </c>
      <c r="AD634" s="152">
        <f>'copy data3'!H688</f>
        <v>1235</v>
      </c>
      <c r="AE634" s="38">
        <f t="shared" si="383"/>
        <v>1242.875</v>
      </c>
      <c r="AF634" s="71">
        <f t="shared" si="384"/>
        <v>109.7946113074205</v>
      </c>
      <c r="AG634" s="152">
        <f>'copy data3'!J688</f>
        <v>106.9</v>
      </c>
      <c r="AH634" s="38">
        <f t="shared" si="385"/>
        <v>106.9</v>
      </c>
      <c r="AI634" s="71">
        <f t="shared" si="386"/>
        <v>237.55555555555557</v>
      </c>
      <c r="AJ634" s="152">
        <f>'copy data3'!L688</f>
        <v>5952</v>
      </c>
      <c r="AK634" s="38">
        <f t="shared" si="387"/>
        <v>5718.45</v>
      </c>
      <c r="AL634" s="71">
        <f t="shared" si="388"/>
        <v>127.47325011145787</v>
      </c>
      <c r="AM634" s="152">
        <f>'copy data3'!N688</f>
        <v>6225</v>
      </c>
      <c r="AN634" s="38">
        <f t="shared" si="389"/>
        <v>6201.5249999999996</v>
      </c>
      <c r="AO634" s="71">
        <f t="shared" si="390"/>
        <v>59.174856870229007</v>
      </c>
      <c r="AP634" s="152">
        <f>'copy data3'!P688</f>
        <v>9240</v>
      </c>
      <c r="AQ634" s="38">
        <f t="shared" si="391"/>
        <v>9571.7999999999993</v>
      </c>
      <c r="AR634" s="71">
        <f t="shared" si="392"/>
        <v>111.40363128491619</v>
      </c>
      <c r="AS634" s="153">
        <f>'copy data3'!R688</f>
        <v>21417</v>
      </c>
      <c r="AT634" s="38">
        <f t="shared" si="393"/>
        <v>21491.775000000001</v>
      </c>
      <c r="AU634" s="71">
        <f t="shared" si="394"/>
        <v>91.229200271669924</v>
      </c>
    </row>
    <row r="635" spans="1:47" ht="15.6" x14ac:dyDescent="0.3">
      <c r="A635" s="10">
        <v>39086</v>
      </c>
      <c r="B635" s="6">
        <v>1334</v>
      </c>
      <c r="C635" s="6">
        <v>3544</v>
      </c>
      <c r="D635" s="6">
        <v>512</v>
      </c>
      <c r="E635" s="6">
        <v>2071</v>
      </c>
      <c r="F635" s="6">
        <v>1132</v>
      </c>
      <c r="G635" s="6">
        <v>3869</v>
      </c>
      <c r="H635" s="6">
        <v>963</v>
      </c>
      <c r="I635" s="6">
        <v>2875</v>
      </c>
      <c r="J635" s="6">
        <v>86</v>
      </c>
      <c r="K635" s="6">
        <v>534</v>
      </c>
      <c r="L635" s="6">
        <v>4028</v>
      </c>
      <c r="M635" s="6">
        <v>12893</v>
      </c>
      <c r="N635" s="6">
        <v>11827</v>
      </c>
      <c r="O635" s="6">
        <v>19724</v>
      </c>
      <c r="P635" s="6">
        <v>6918</v>
      </c>
      <c r="Q635" s="6">
        <v>13591</v>
      </c>
      <c r="R635" s="16">
        <f t="shared" si="277"/>
        <v>22773</v>
      </c>
      <c r="T635" s="140">
        <f t="shared" si="258"/>
        <v>41291</v>
      </c>
      <c r="U635" s="154">
        <f>'copy data3'!B689</f>
        <v>1897</v>
      </c>
      <c r="V635" s="38">
        <f t="shared" si="377"/>
        <v>1841.75</v>
      </c>
      <c r="W635" s="71">
        <f t="shared" si="378"/>
        <v>136.83135215453194</v>
      </c>
      <c r="X635" s="154">
        <f>'copy data3'!D689</f>
        <v>1680</v>
      </c>
      <c r="Y635" s="38">
        <f t="shared" si="379"/>
        <v>1449</v>
      </c>
      <c r="Z635" s="71">
        <f t="shared" si="380"/>
        <v>230.3656597774245</v>
      </c>
      <c r="AA635" s="152">
        <f>'copy data3'!F689</f>
        <v>1202</v>
      </c>
      <c r="AB635" s="38">
        <f t="shared" si="381"/>
        <v>1213.5</v>
      </c>
      <c r="AC635" s="71">
        <f t="shared" si="382"/>
        <v>99.54881050041017</v>
      </c>
      <c r="AD635" s="152">
        <f>'copy data3'!H689</f>
        <v>1077</v>
      </c>
      <c r="AE635" s="38">
        <f t="shared" si="383"/>
        <v>1198</v>
      </c>
      <c r="AF635" s="71">
        <f t="shared" si="384"/>
        <v>83.021483021483022</v>
      </c>
      <c r="AG635" s="152">
        <f>'copy data3'!J689</f>
        <v>109</v>
      </c>
      <c r="AH635" s="38">
        <f t="shared" si="385"/>
        <v>107.42500000000001</v>
      </c>
      <c r="AI635" s="71">
        <f t="shared" si="386"/>
        <v>358.08333333333337</v>
      </c>
      <c r="AJ635" s="152">
        <f>'copy data3'!L689</f>
        <v>5965</v>
      </c>
      <c r="AK635" s="38">
        <f t="shared" si="387"/>
        <v>5837.25</v>
      </c>
      <c r="AL635" s="71">
        <f t="shared" si="388"/>
        <v>125.07499464323976</v>
      </c>
      <c r="AM635" s="152">
        <f>'copy data3'!N689</f>
        <v>5994</v>
      </c>
      <c r="AN635" s="38">
        <f t="shared" si="389"/>
        <v>6117.75</v>
      </c>
      <c r="AO635" s="71">
        <f t="shared" si="390"/>
        <v>58.280937410688772</v>
      </c>
      <c r="AP635" s="152">
        <f>'copy data3'!P689</f>
        <v>8352</v>
      </c>
      <c r="AQ635" s="38">
        <f t="shared" si="391"/>
        <v>9067.75</v>
      </c>
      <c r="AR635" s="71">
        <f t="shared" si="392"/>
        <v>115.17528261145688</v>
      </c>
      <c r="AS635" s="153">
        <f>'copy data3'!R689</f>
        <v>20311</v>
      </c>
      <c r="AT635" s="38">
        <f t="shared" si="393"/>
        <v>21022.75</v>
      </c>
      <c r="AU635" s="71">
        <f t="shared" si="394"/>
        <v>91.25645700395016</v>
      </c>
    </row>
    <row r="636" spans="1:47" ht="15.6" x14ac:dyDescent="0.3">
      <c r="A636" s="10">
        <v>38729</v>
      </c>
      <c r="B636" s="6">
        <v>2319</v>
      </c>
      <c r="C636" s="6">
        <v>6893</v>
      </c>
      <c r="D636" s="6">
        <v>309</v>
      </c>
      <c r="E636" s="6">
        <v>1311</v>
      </c>
      <c r="F636" s="6">
        <v>1067</v>
      </c>
      <c r="G636" s="6">
        <v>5010</v>
      </c>
      <c r="H636" s="6">
        <v>732</v>
      </c>
      <c r="I636" s="6">
        <v>2619</v>
      </c>
      <c r="J636" s="6">
        <v>97</v>
      </c>
      <c r="K636" s="6">
        <v>516</v>
      </c>
      <c r="L636" s="6">
        <v>4525</v>
      </c>
      <c r="M636" s="6">
        <v>16350</v>
      </c>
      <c r="N636" s="6">
        <v>6184</v>
      </c>
      <c r="O636" s="6">
        <v>17639</v>
      </c>
      <c r="P636" s="6">
        <v>4870</v>
      </c>
      <c r="Q636" s="6">
        <v>11844</v>
      </c>
      <c r="R636" s="16">
        <f t="shared" si="277"/>
        <v>15579</v>
      </c>
      <c r="T636" s="140">
        <f t="shared" si="258"/>
        <v>41298</v>
      </c>
      <c r="U636" s="154">
        <f>'copy data3'!B690</f>
        <v>1747</v>
      </c>
      <c r="V636" s="38">
        <f t="shared" si="377"/>
        <v>1828</v>
      </c>
      <c r="W636" s="71">
        <f t="shared" si="378"/>
        <v>125.89531680440771</v>
      </c>
      <c r="X636" s="154">
        <f>'copy data3'!D690</f>
        <v>1627</v>
      </c>
      <c r="Y636" s="38">
        <f t="shared" si="379"/>
        <v>1536.25</v>
      </c>
      <c r="Z636" s="71">
        <f t="shared" si="380"/>
        <v>259.50168918918922</v>
      </c>
      <c r="AA636" s="152">
        <f>'copy data3'!F690</f>
        <v>1135</v>
      </c>
      <c r="AB636" s="38">
        <f t="shared" si="381"/>
        <v>1176</v>
      </c>
      <c r="AC636" s="71">
        <f t="shared" si="382"/>
        <v>98.081734778982494</v>
      </c>
      <c r="AD636" s="152">
        <f>'copy data3'!H690</f>
        <v>1019</v>
      </c>
      <c r="AE636" s="38">
        <f t="shared" si="383"/>
        <v>1137.75</v>
      </c>
      <c r="AF636" s="71">
        <f t="shared" si="384"/>
        <v>78.034979423868307</v>
      </c>
      <c r="AG636" s="152">
        <f>'copy data3'!J690</f>
        <v>107</v>
      </c>
      <c r="AH636" s="38">
        <f t="shared" si="385"/>
        <v>107.45</v>
      </c>
      <c r="AI636" s="71">
        <f t="shared" si="386"/>
        <v>358.16666666666663</v>
      </c>
      <c r="AJ636" s="152">
        <f>'copy data3'!L690</f>
        <v>5635</v>
      </c>
      <c r="AK636" s="38">
        <f t="shared" si="387"/>
        <v>5813.25</v>
      </c>
      <c r="AL636" s="71">
        <f t="shared" si="388"/>
        <v>122.87571337983513</v>
      </c>
      <c r="AM636" s="152">
        <f>'copy data3'!N690</f>
        <v>5572</v>
      </c>
      <c r="AN636" s="38">
        <f t="shared" si="389"/>
        <v>5967.5</v>
      </c>
      <c r="AO636" s="71">
        <f t="shared" si="390"/>
        <v>55.568488686097403</v>
      </c>
      <c r="AP636" s="152">
        <f>'copy data3'!P690</f>
        <v>7603</v>
      </c>
      <c r="AQ636" s="38">
        <f t="shared" si="391"/>
        <v>8526.75</v>
      </c>
      <c r="AR636" s="71">
        <f t="shared" si="392"/>
        <v>121.60225328009126</v>
      </c>
      <c r="AS636" s="153">
        <f>'copy data3'!R690</f>
        <v>18810</v>
      </c>
      <c r="AT636" s="38">
        <f t="shared" si="393"/>
        <v>20307.5</v>
      </c>
      <c r="AU636" s="71">
        <f t="shared" si="394"/>
        <v>90.327817809803406</v>
      </c>
    </row>
    <row r="637" spans="1:47" ht="15.6" x14ac:dyDescent="0.3">
      <c r="A637" s="10">
        <v>39093</v>
      </c>
      <c r="B637" s="6">
        <v>1545</v>
      </c>
      <c r="C637" s="6">
        <v>3661</v>
      </c>
      <c r="D637" s="6">
        <v>570</v>
      </c>
      <c r="E637" s="6">
        <v>2104</v>
      </c>
      <c r="F637" s="6">
        <v>1191</v>
      </c>
      <c r="G637" s="6">
        <v>3998</v>
      </c>
      <c r="H637" s="6">
        <v>1088</v>
      </c>
      <c r="I637" s="6">
        <v>2973</v>
      </c>
      <c r="J637" s="6">
        <v>74</v>
      </c>
      <c r="K637" s="6">
        <v>540</v>
      </c>
      <c r="L637" s="6">
        <v>4468</v>
      </c>
      <c r="M637" s="6">
        <v>13277</v>
      </c>
      <c r="N637" s="6">
        <v>12246</v>
      </c>
      <c r="O637" s="6">
        <v>20731</v>
      </c>
      <c r="P637" s="6">
        <v>7139</v>
      </c>
      <c r="Q637" s="6">
        <v>14466</v>
      </c>
      <c r="R637" s="16">
        <f t="shared" si="277"/>
        <v>23853</v>
      </c>
      <c r="T637" s="140">
        <f t="shared" si="258"/>
        <v>41305</v>
      </c>
      <c r="U637" s="154">
        <f>'copy data3'!B691</f>
        <v>1730</v>
      </c>
      <c r="V637" s="38">
        <f t="shared" si="377"/>
        <v>1799.75</v>
      </c>
      <c r="W637" s="71">
        <f t="shared" si="378"/>
        <v>128.92191977077363</v>
      </c>
      <c r="X637" s="154">
        <f>'copy data3'!D691</f>
        <v>1504</v>
      </c>
      <c r="Y637" s="38">
        <f t="shared" si="379"/>
        <v>1607.25</v>
      </c>
      <c r="Z637" s="71">
        <f t="shared" si="380"/>
        <v>218.97138964577655</v>
      </c>
      <c r="AA637" s="152">
        <f>'copy data3'!F691</f>
        <v>1134</v>
      </c>
      <c r="AB637" s="38">
        <f t="shared" si="381"/>
        <v>1159.5</v>
      </c>
      <c r="AC637" s="71">
        <f t="shared" si="382"/>
        <v>103.52678571428571</v>
      </c>
      <c r="AD637" s="152">
        <f>'copy data3'!H691</f>
        <v>994</v>
      </c>
      <c r="AE637" s="38">
        <f t="shared" si="383"/>
        <v>1081.25</v>
      </c>
      <c r="AF637" s="71">
        <f t="shared" si="384"/>
        <v>63.828217237308152</v>
      </c>
      <c r="AG637" s="152">
        <f>'copy data3'!J691</f>
        <v>107</v>
      </c>
      <c r="AH637" s="38">
        <f t="shared" si="385"/>
        <v>107.47499999999999</v>
      </c>
      <c r="AI637" s="71">
        <f t="shared" si="386"/>
        <v>346.69354838709677</v>
      </c>
      <c r="AJ637" s="152">
        <f>'copy data3'!L691</f>
        <v>5468</v>
      </c>
      <c r="AK637" s="38">
        <f t="shared" si="387"/>
        <v>5755</v>
      </c>
      <c r="AL637" s="71">
        <f t="shared" si="388"/>
        <v>115.67839195979899</v>
      </c>
      <c r="AM637" s="152">
        <f>'copy data3'!N691</f>
        <v>5532</v>
      </c>
      <c r="AN637" s="38">
        <f t="shared" si="389"/>
        <v>5830.75</v>
      </c>
      <c r="AO637" s="71">
        <f t="shared" si="390"/>
        <v>56.362977283711935</v>
      </c>
      <c r="AP637" s="152">
        <f>'copy data3'!P691</f>
        <v>6944</v>
      </c>
      <c r="AQ637" s="38">
        <f t="shared" si="391"/>
        <v>8034.75</v>
      </c>
      <c r="AR637" s="71">
        <f t="shared" si="392"/>
        <v>121.88637742718447</v>
      </c>
      <c r="AS637" s="153">
        <f>'copy data3'!R691</f>
        <v>17944</v>
      </c>
      <c r="AT637" s="38">
        <f t="shared" si="393"/>
        <v>19620.5</v>
      </c>
      <c r="AU637" s="71">
        <f t="shared" si="394"/>
        <v>89.542259948886453</v>
      </c>
    </row>
    <row r="638" spans="1:47" ht="15.6" x14ac:dyDescent="0.3">
      <c r="A638" s="10">
        <v>38736</v>
      </c>
      <c r="B638" s="6">
        <v>2159</v>
      </c>
      <c r="C638" s="6">
        <v>7121</v>
      </c>
      <c r="D638" s="6">
        <v>310</v>
      </c>
      <c r="E638" s="6">
        <v>1364</v>
      </c>
      <c r="F638" s="6">
        <v>1083</v>
      </c>
      <c r="G638" s="6">
        <v>5143</v>
      </c>
      <c r="H638" s="6">
        <v>742</v>
      </c>
      <c r="I638" s="6">
        <v>2694</v>
      </c>
      <c r="J638" s="6">
        <v>116</v>
      </c>
      <c r="K638" s="6">
        <v>517</v>
      </c>
      <c r="L638" s="6">
        <v>4410</v>
      </c>
      <c r="M638" s="6">
        <v>16840</v>
      </c>
      <c r="N638" s="6">
        <v>7416</v>
      </c>
      <c r="O638" s="6">
        <v>18565</v>
      </c>
      <c r="P638" s="6">
        <v>4523</v>
      </c>
      <c r="Q638" s="6">
        <v>12713</v>
      </c>
      <c r="R638" s="16">
        <f t="shared" si="277"/>
        <v>16349</v>
      </c>
      <c r="T638" s="140">
        <f t="shared" si="258"/>
        <v>41312</v>
      </c>
      <c r="U638" s="154">
        <f>'copy data3'!B692</f>
        <v>1826</v>
      </c>
      <c r="V638" s="38">
        <f t="shared" si="377"/>
        <v>1800</v>
      </c>
      <c r="W638" s="71">
        <f t="shared" si="378"/>
        <v>136.05442176870747</v>
      </c>
      <c r="X638" s="154">
        <f>'copy data3'!D692</f>
        <v>1570</v>
      </c>
      <c r="Y638" s="38">
        <f t="shared" si="379"/>
        <v>1595.25</v>
      </c>
      <c r="Z638" s="71">
        <f t="shared" si="380"/>
        <v>212.98397863818423</v>
      </c>
      <c r="AA638" s="152">
        <f>'copy data3'!F692</f>
        <v>1094</v>
      </c>
      <c r="AB638" s="38">
        <f t="shared" si="381"/>
        <v>1141.25</v>
      </c>
      <c r="AC638" s="71">
        <f t="shared" si="382"/>
        <v>109.21052631578947</v>
      </c>
      <c r="AD638" s="152">
        <f>'copy data3'!H692</f>
        <v>932</v>
      </c>
      <c r="AE638" s="38">
        <f t="shared" si="383"/>
        <v>1005.5</v>
      </c>
      <c r="AF638" s="71">
        <f t="shared" si="384"/>
        <v>56.647887323943657</v>
      </c>
      <c r="AG638" s="152">
        <f>'copy data3'!J692</f>
        <v>81</v>
      </c>
      <c r="AH638" s="38">
        <f t="shared" si="385"/>
        <v>101</v>
      </c>
      <c r="AI638" s="71">
        <f t="shared" si="386"/>
        <v>404</v>
      </c>
      <c r="AJ638" s="152">
        <f>'copy data3'!L692</f>
        <v>5543</v>
      </c>
      <c r="AK638" s="38">
        <f t="shared" si="387"/>
        <v>5652.75</v>
      </c>
      <c r="AL638" s="71">
        <f t="shared" si="388"/>
        <v>114.98677786818551</v>
      </c>
      <c r="AM638" s="152">
        <f>'copy data3'!N692</f>
        <v>5365</v>
      </c>
      <c r="AN638" s="38">
        <f t="shared" si="389"/>
        <v>5615.75</v>
      </c>
      <c r="AO638" s="71">
        <f t="shared" si="390"/>
        <v>52.660821455363838</v>
      </c>
      <c r="AP638" s="152">
        <f>'copy data3'!P692</f>
        <v>5845</v>
      </c>
      <c r="AQ638" s="38">
        <f t="shared" si="391"/>
        <v>7186</v>
      </c>
      <c r="AR638" s="71">
        <f t="shared" si="392"/>
        <v>119.23013107682097</v>
      </c>
      <c r="AS638" s="153">
        <f>'copy data3'!R692</f>
        <v>16753</v>
      </c>
      <c r="AT638" s="38">
        <f t="shared" si="393"/>
        <v>18454.5</v>
      </c>
      <c r="AU638" s="71">
        <f t="shared" si="394"/>
        <v>85.409820891377791</v>
      </c>
    </row>
    <row r="639" spans="1:47" ht="15.6" x14ac:dyDescent="0.3">
      <c r="A639" s="10">
        <v>39100</v>
      </c>
      <c r="B639" s="6">
        <v>1456</v>
      </c>
      <c r="C639" s="6">
        <v>3856</v>
      </c>
      <c r="D639" s="6">
        <v>496</v>
      </c>
      <c r="E639" s="6">
        <v>2202</v>
      </c>
      <c r="F639" s="6">
        <v>1126</v>
      </c>
      <c r="G639" s="6">
        <v>4120</v>
      </c>
      <c r="H639" s="6">
        <v>1031</v>
      </c>
      <c r="I639" s="6">
        <v>3085</v>
      </c>
      <c r="J639" s="6">
        <v>74</v>
      </c>
      <c r="K639" s="6">
        <v>544</v>
      </c>
      <c r="L639" s="6">
        <v>4184</v>
      </c>
      <c r="M639" s="6">
        <v>13807</v>
      </c>
      <c r="N639" s="6">
        <v>12204</v>
      </c>
      <c r="O639" s="6">
        <v>21764</v>
      </c>
      <c r="P639" s="6">
        <v>7124</v>
      </c>
      <c r="Q639" s="6">
        <v>15096</v>
      </c>
      <c r="R639" s="16">
        <f t="shared" si="277"/>
        <v>23512</v>
      </c>
      <c r="T639" s="140">
        <f t="shared" si="258"/>
        <v>41319</v>
      </c>
      <c r="U639" s="154">
        <f>'copy data3'!B693</f>
        <v>1810</v>
      </c>
      <c r="V639" s="38">
        <f t="shared" ref="V639:V645" si="395">AVERAGE(U636:U639)</f>
        <v>1778.25</v>
      </c>
      <c r="W639" s="71">
        <f t="shared" ref="W639:W644" si="396">(V639/U587)*100</f>
        <v>146.35802469135803</v>
      </c>
      <c r="X639" s="154">
        <f>'copy data3'!D693</f>
        <v>1636</v>
      </c>
      <c r="Y639" s="38">
        <f t="shared" ref="Y639:Y645" si="397">AVERAGE(X636:X639)</f>
        <v>1584.25</v>
      </c>
      <c r="Z639" s="71">
        <f t="shared" ref="Z639:Z644" si="398">(Y639/X587)*100</f>
        <v>173.52135815991238</v>
      </c>
      <c r="AA639" s="152">
        <f>'copy data3'!F693</f>
        <v>1259</v>
      </c>
      <c r="AB639" s="38">
        <f t="shared" ref="AB639:AB645" si="399">AVERAGE(AA636:AA639)</f>
        <v>1155.5</v>
      </c>
      <c r="AC639" s="71">
        <f t="shared" ref="AC639:AC644" si="400">(AB639/AA587)*100</f>
        <v>94.019528071602934</v>
      </c>
      <c r="AD639" s="152">
        <f>'copy data3'!H693</f>
        <v>941</v>
      </c>
      <c r="AE639" s="38">
        <f t="shared" ref="AE639:AE645" si="401">AVERAGE(AD636:AD639)</f>
        <v>971.5</v>
      </c>
      <c r="AF639" s="71">
        <f t="shared" ref="AF639:AF644" si="402">(AE639/AD587)*100</f>
        <v>56.879391100702584</v>
      </c>
      <c r="AG639" s="152">
        <f>'copy data3'!J693</f>
        <v>81</v>
      </c>
      <c r="AH639" s="38">
        <f t="shared" ref="AH639:AH645" si="403">AVERAGE(AG636:AG639)</f>
        <v>94</v>
      </c>
      <c r="AI639" s="71">
        <f t="shared" ref="AI639:AI644" si="404">(AH639/AG587)*100</f>
        <v>427.27272727272725</v>
      </c>
      <c r="AJ639" s="152">
        <f>'copy data3'!L693</f>
        <v>5726</v>
      </c>
      <c r="AK639" s="38">
        <f t="shared" ref="AK639:AK645" si="405">AVERAGE(AJ636:AJ639)</f>
        <v>5593</v>
      </c>
      <c r="AL639" s="71">
        <f t="shared" ref="AL639:AL644" si="406">(AK639/AJ587)*100</f>
        <v>109.94692353056811</v>
      </c>
      <c r="AM639" s="152">
        <f>'copy data3'!N693</f>
        <v>5470</v>
      </c>
      <c r="AN639" s="38">
        <f t="shared" ref="AN639:AN645" si="407">AVERAGE(AM636:AM639)</f>
        <v>5484.75</v>
      </c>
      <c r="AO639" s="71">
        <f t="shared" ref="AO639:AO644" si="408">(AN639/AM587)*100</f>
        <v>51.120794109423059</v>
      </c>
      <c r="AP639" s="152">
        <f>'copy data3'!P693</f>
        <v>4769</v>
      </c>
      <c r="AQ639" s="38">
        <f t="shared" ref="AQ639:AQ645" si="409">AVERAGE(AP636:AP639)</f>
        <v>6290.25</v>
      </c>
      <c r="AR639" s="71">
        <f t="shared" ref="AR639:AR644" si="410">(AQ639/AP587)*100</f>
        <v>105.20572002007025</v>
      </c>
      <c r="AS639" s="153">
        <f>'copy data3'!R693</f>
        <v>15965</v>
      </c>
      <c r="AT639" s="38">
        <f t="shared" ref="AT639:AT645" si="411">AVERAGE(AS636:AS639)</f>
        <v>17368</v>
      </c>
      <c r="AU639" s="71">
        <f t="shared" ref="AU639:AU644" si="412">(AT639/AS587)*100</f>
        <v>79.688001835283316</v>
      </c>
    </row>
    <row r="640" spans="1:47" ht="15.6" x14ac:dyDescent="0.3">
      <c r="A640" s="10">
        <v>38743</v>
      </c>
      <c r="B640" s="6">
        <v>2039</v>
      </c>
      <c r="C640" s="6">
        <v>7386</v>
      </c>
      <c r="D640" s="6">
        <v>264</v>
      </c>
      <c r="E640" s="6">
        <v>1382</v>
      </c>
      <c r="F640" s="6">
        <v>1057</v>
      </c>
      <c r="G640" s="6">
        <v>5297</v>
      </c>
      <c r="H640" s="6">
        <v>700</v>
      </c>
      <c r="I640" s="6">
        <v>2829</v>
      </c>
      <c r="J640" s="6">
        <v>126</v>
      </c>
      <c r="K640" s="6">
        <v>522</v>
      </c>
      <c r="L640" s="6">
        <v>4185</v>
      </c>
      <c r="M640" s="6">
        <v>17417</v>
      </c>
      <c r="N640" s="6">
        <v>7858</v>
      </c>
      <c r="O640" s="6">
        <v>19500</v>
      </c>
      <c r="P640" s="6">
        <v>4403</v>
      </c>
      <c r="Q640" s="6">
        <v>13280</v>
      </c>
      <c r="R640" s="16">
        <f t="shared" si="277"/>
        <v>16446</v>
      </c>
      <c r="T640" s="140">
        <f t="shared" si="258"/>
        <v>41326</v>
      </c>
      <c r="U640" s="154">
        <f>'copy data3'!B694</f>
        <v>1755</v>
      </c>
      <c r="V640" s="38">
        <f t="shared" si="395"/>
        <v>1780.25</v>
      </c>
      <c r="W640" s="71">
        <f t="shared" si="396"/>
        <v>139.9567610062893</v>
      </c>
      <c r="X640" s="154">
        <f>'copy data3'!D694</f>
        <v>1652</v>
      </c>
      <c r="Y640" s="38">
        <f t="shared" si="397"/>
        <v>1590.5</v>
      </c>
      <c r="Z640" s="71">
        <f t="shared" si="398"/>
        <v>167.24500525762355</v>
      </c>
      <c r="AA640" s="152">
        <f>'copy data3'!F694</f>
        <v>1223</v>
      </c>
      <c r="AB640" s="38">
        <f t="shared" si="399"/>
        <v>1177.5</v>
      </c>
      <c r="AC640" s="71">
        <f t="shared" si="400"/>
        <v>95.11308562197091</v>
      </c>
      <c r="AD640" s="152">
        <f>'copy data3'!H694</f>
        <v>804</v>
      </c>
      <c r="AE640" s="38">
        <f t="shared" si="401"/>
        <v>917.75</v>
      </c>
      <c r="AF640" s="71">
        <f t="shared" si="402"/>
        <v>50.648454746136863</v>
      </c>
      <c r="AG640" s="152">
        <f>'copy data3'!J694</f>
        <v>81</v>
      </c>
      <c r="AH640" s="38">
        <f t="shared" si="403"/>
        <v>87.5</v>
      </c>
      <c r="AI640" s="71">
        <f t="shared" si="404"/>
        <v>397.72727272727269</v>
      </c>
      <c r="AJ640" s="152">
        <f>'copy data3'!L694</f>
        <v>5514</v>
      </c>
      <c r="AK640" s="38">
        <f t="shared" si="405"/>
        <v>5562.75</v>
      </c>
      <c r="AL640" s="71">
        <f t="shared" si="406"/>
        <v>105.05665722379602</v>
      </c>
      <c r="AM640" s="152">
        <f>'copy data3'!N694</f>
        <v>5477</v>
      </c>
      <c r="AN640" s="38">
        <f t="shared" si="407"/>
        <v>5461</v>
      </c>
      <c r="AO640" s="71">
        <f t="shared" si="408"/>
        <v>51.51400811244222</v>
      </c>
      <c r="AP640" s="152">
        <f>'copy data3'!P694</f>
        <v>4636</v>
      </c>
      <c r="AQ640" s="38">
        <f t="shared" si="409"/>
        <v>5548.5</v>
      </c>
      <c r="AR640" s="71">
        <f t="shared" si="410"/>
        <v>100.00901225666907</v>
      </c>
      <c r="AS640" s="153">
        <f>'copy data3'!R694</f>
        <v>15627</v>
      </c>
      <c r="AT640" s="38">
        <f t="shared" si="411"/>
        <v>16572.25</v>
      </c>
      <c r="AU640" s="71">
        <f t="shared" si="412"/>
        <v>77.281523969408696</v>
      </c>
    </row>
    <row r="641" spans="1:47" ht="15.6" x14ac:dyDescent="0.3">
      <c r="A641" s="10" t="s">
        <v>172</v>
      </c>
      <c r="B641" s="6">
        <v>1528</v>
      </c>
      <c r="C641" s="6">
        <v>4044</v>
      </c>
      <c r="D641" s="6">
        <v>590</v>
      </c>
      <c r="E641" s="6">
        <v>2241</v>
      </c>
      <c r="F641" s="6">
        <v>1074</v>
      </c>
      <c r="G641" s="6">
        <v>4230</v>
      </c>
      <c r="H641" s="6">
        <v>884</v>
      </c>
      <c r="I641" s="6">
        <v>3289</v>
      </c>
      <c r="J641" s="6">
        <v>94</v>
      </c>
      <c r="K641" s="6">
        <v>579</v>
      </c>
      <c r="L641" s="6">
        <v>4170</v>
      </c>
      <c r="M641" s="6">
        <v>14382</v>
      </c>
      <c r="N641" s="6">
        <v>11800</v>
      </c>
      <c r="O641" s="6">
        <v>22957</v>
      </c>
      <c r="P641" s="6">
        <v>6778</v>
      </c>
      <c r="Q641" s="6">
        <v>16120</v>
      </c>
      <c r="R641" s="16">
        <f t="shared" si="277"/>
        <v>22748</v>
      </c>
      <c r="T641" s="140">
        <f t="shared" si="258"/>
        <v>41333</v>
      </c>
      <c r="U641" s="154">
        <f>'copy data3'!B695</f>
        <v>1685</v>
      </c>
      <c r="V641" s="38">
        <f t="shared" si="395"/>
        <v>1769</v>
      </c>
      <c r="W641" s="71">
        <f t="shared" si="396"/>
        <v>126.99210337401293</v>
      </c>
      <c r="X641" s="154">
        <f>'copy data3'!D695</f>
        <v>1681</v>
      </c>
      <c r="Y641" s="38">
        <f t="shared" si="397"/>
        <v>1634.75</v>
      </c>
      <c r="Z641" s="71">
        <f t="shared" si="398"/>
        <v>169.22877846790891</v>
      </c>
      <c r="AA641" s="152">
        <f>'copy data3'!F695</f>
        <v>1163</v>
      </c>
      <c r="AB641" s="38">
        <f t="shared" si="399"/>
        <v>1184.75</v>
      </c>
      <c r="AC641" s="71">
        <f t="shared" si="400"/>
        <v>90.924788948580201</v>
      </c>
      <c r="AD641" s="152">
        <f>'copy data3'!H695</f>
        <v>726</v>
      </c>
      <c r="AE641" s="38">
        <f t="shared" si="401"/>
        <v>850.75</v>
      </c>
      <c r="AF641" s="71">
        <f t="shared" si="402"/>
        <v>52.483035163479329</v>
      </c>
      <c r="AG641" s="152">
        <f>'copy data3'!J695</f>
        <v>111</v>
      </c>
      <c r="AH641" s="38">
        <f t="shared" si="403"/>
        <v>88.5</v>
      </c>
      <c r="AI641" s="71">
        <f t="shared" si="404"/>
        <v>340.38461538461536</v>
      </c>
      <c r="AJ641" s="152">
        <f>'copy data3'!L695</f>
        <v>5366</v>
      </c>
      <c r="AK641" s="38">
        <f t="shared" si="405"/>
        <v>5537.25</v>
      </c>
      <c r="AL641" s="71">
        <f t="shared" si="406"/>
        <v>104.29930307025805</v>
      </c>
      <c r="AM641" s="152">
        <f>'copy data3'!N695</f>
        <v>5059</v>
      </c>
      <c r="AN641" s="38">
        <f t="shared" si="407"/>
        <v>5342.75</v>
      </c>
      <c r="AO641" s="71">
        <f t="shared" si="408"/>
        <v>51.987447698744774</v>
      </c>
      <c r="AP641" s="152">
        <f>'copy data3'!P695</f>
        <v>3933</v>
      </c>
      <c r="AQ641" s="38">
        <f t="shared" si="409"/>
        <v>4795.75</v>
      </c>
      <c r="AR641" s="71">
        <f t="shared" si="410"/>
        <v>87.38611516034986</v>
      </c>
      <c r="AS641" s="153">
        <f>'copy data3'!R695</f>
        <v>14358</v>
      </c>
      <c r="AT641" s="38">
        <f t="shared" si="411"/>
        <v>15675.75</v>
      </c>
      <c r="AU641" s="71">
        <f t="shared" si="412"/>
        <v>74.384312422890758</v>
      </c>
    </row>
    <row r="642" spans="1:47" ht="15.6" x14ac:dyDescent="0.3">
      <c r="A642" s="10">
        <v>38750</v>
      </c>
      <c r="B642" s="6">
        <v>1751</v>
      </c>
      <c r="C642" s="6">
        <v>7725</v>
      </c>
      <c r="D642" s="6">
        <v>299</v>
      </c>
      <c r="E642" s="6">
        <v>1424</v>
      </c>
      <c r="F642" s="6">
        <v>1057</v>
      </c>
      <c r="G642" s="6">
        <v>5431</v>
      </c>
      <c r="H642" s="6">
        <v>687</v>
      </c>
      <c r="I642" s="6">
        <v>2920</v>
      </c>
      <c r="J642" s="6">
        <v>104</v>
      </c>
      <c r="K642" s="6">
        <v>555</v>
      </c>
      <c r="L642" s="6">
        <v>3898</v>
      </c>
      <c r="M642" s="6">
        <v>18055</v>
      </c>
      <c r="N642" s="6">
        <v>8455</v>
      </c>
      <c r="O642" s="6">
        <v>20518</v>
      </c>
      <c r="P642" s="6">
        <v>4247</v>
      </c>
      <c r="Q642" s="6">
        <v>13954</v>
      </c>
      <c r="R642" s="16">
        <f t="shared" si="277"/>
        <v>16600</v>
      </c>
      <c r="T642" s="140">
        <f t="shared" si="258"/>
        <v>41340</v>
      </c>
      <c r="U642" s="154">
        <f>'copy data3'!B696</f>
        <v>1848</v>
      </c>
      <c r="V642" s="38">
        <f t="shared" si="395"/>
        <v>1774.5</v>
      </c>
      <c r="W642" s="71">
        <f t="shared" si="396"/>
        <v>138.30865159781763</v>
      </c>
      <c r="X642" s="154">
        <f>'copy data3'!D696</f>
        <v>1511</v>
      </c>
      <c r="Y642" s="38">
        <f t="shared" si="397"/>
        <v>1620</v>
      </c>
      <c r="Z642" s="71">
        <f t="shared" si="398"/>
        <v>194.24460431654674</v>
      </c>
      <c r="AA642" s="152">
        <f>'copy data3'!F696</f>
        <v>1230</v>
      </c>
      <c r="AB642" s="38">
        <f t="shared" si="399"/>
        <v>1218.75</v>
      </c>
      <c r="AC642" s="71">
        <f t="shared" si="400"/>
        <v>106.34816753926701</v>
      </c>
      <c r="AD642" s="152">
        <f>'copy data3'!H696</f>
        <v>782</v>
      </c>
      <c r="AE642" s="38">
        <f t="shared" si="401"/>
        <v>813.25</v>
      </c>
      <c r="AF642" s="71">
        <f t="shared" si="402"/>
        <v>58.423132183908045</v>
      </c>
      <c r="AG642" s="152">
        <f>'copy data3'!J696</f>
        <v>97</v>
      </c>
      <c r="AH642" s="38">
        <f t="shared" si="403"/>
        <v>92.5</v>
      </c>
      <c r="AI642" s="71">
        <f t="shared" si="404"/>
        <v>210.22727272727272</v>
      </c>
      <c r="AJ642" s="152">
        <f>'copy data3'!L696</f>
        <v>5467</v>
      </c>
      <c r="AK642" s="38">
        <f t="shared" si="405"/>
        <v>5518.25</v>
      </c>
      <c r="AL642" s="71">
        <f t="shared" si="406"/>
        <v>117.43456054479677</v>
      </c>
      <c r="AM642" s="152">
        <f>'copy data3'!N696</f>
        <v>4934</v>
      </c>
      <c r="AN642" s="38">
        <f t="shared" si="407"/>
        <v>5235</v>
      </c>
      <c r="AO642" s="71">
        <f t="shared" si="408"/>
        <v>51.944830323476879</v>
      </c>
      <c r="AP642" s="152">
        <f>'copy data3'!P696</f>
        <v>3826</v>
      </c>
      <c r="AQ642" s="38">
        <f t="shared" si="409"/>
        <v>4291</v>
      </c>
      <c r="AR642" s="71">
        <f t="shared" si="410"/>
        <v>79.654724336365319</v>
      </c>
      <c r="AS642" s="153">
        <f>'copy data3'!R696</f>
        <v>14227</v>
      </c>
      <c r="AT642" s="38">
        <f t="shared" si="411"/>
        <v>15044.25</v>
      </c>
      <c r="AU642" s="71">
        <f t="shared" si="412"/>
        <v>74.609452489585408</v>
      </c>
    </row>
    <row r="643" spans="1:47" ht="15.6" x14ac:dyDescent="0.3">
      <c r="A643" s="10">
        <v>39114</v>
      </c>
      <c r="B643" s="6">
        <v>1526</v>
      </c>
      <c r="C643" s="6">
        <v>4293</v>
      </c>
      <c r="D643" s="6">
        <v>656</v>
      </c>
      <c r="E643" s="6">
        <v>2332</v>
      </c>
      <c r="F643" s="6">
        <v>1013</v>
      </c>
      <c r="G643" s="6">
        <v>4384</v>
      </c>
      <c r="H643" s="6">
        <v>1004</v>
      </c>
      <c r="I643" s="6">
        <v>3377</v>
      </c>
      <c r="J643" s="6">
        <v>114</v>
      </c>
      <c r="K643" s="6">
        <v>587</v>
      </c>
      <c r="L643" s="6">
        <v>4313</v>
      </c>
      <c r="M643" s="6">
        <v>14971</v>
      </c>
      <c r="N643" s="6">
        <v>11687</v>
      </c>
      <c r="O643" s="6">
        <v>23987</v>
      </c>
      <c r="P643" s="6">
        <v>6686</v>
      </c>
      <c r="Q643" s="6">
        <v>17016</v>
      </c>
      <c r="R643" s="16">
        <f t="shared" si="277"/>
        <v>22686</v>
      </c>
      <c r="T643" s="140">
        <f t="shared" si="258"/>
        <v>41347</v>
      </c>
      <c r="U643" s="154">
        <f>'copy data3'!B697</f>
        <v>1815</v>
      </c>
      <c r="V643" s="38">
        <f t="shared" si="395"/>
        <v>1775.75</v>
      </c>
      <c r="W643" s="71">
        <f t="shared" si="396"/>
        <v>146.99917218543047</v>
      </c>
      <c r="X643" s="154">
        <f>'copy data3'!D697</f>
        <v>1460</v>
      </c>
      <c r="Y643" s="38">
        <f t="shared" si="397"/>
        <v>1576</v>
      </c>
      <c r="Z643" s="71">
        <f t="shared" si="398"/>
        <v>184.32748538011697</v>
      </c>
      <c r="AA643" s="152">
        <f>'copy data3'!F697</f>
        <v>1196</v>
      </c>
      <c r="AB643" s="38">
        <f t="shared" si="399"/>
        <v>1203</v>
      </c>
      <c r="AC643" s="71">
        <f t="shared" si="400"/>
        <v>103.08483290488432</v>
      </c>
      <c r="AD643" s="152">
        <f>'copy data3'!H697</f>
        <v>754</v>
      </c>
      <c r="AE643" s="38">
        <f t="shared" si="401"/>
        <v>766.5</v>
      </c>
      <c r="AF643" s="71">
        <f t="shared" si="402"/>
        <v>54.555160142348754</v>
      </c>
      <c r="AG643" s="152">
        <f>'copy data3'!J697</f>
        <v>90</v>
      </c>
      <c r="AH643" s="38">
        <f t="shared" si="403"/>
        <v>94.75</v>
      </c>
      <c r="AI643" s="71">
        <f t="shared" si="404"/>
        <v>172.27272727272725</v>
      </c>
      <c r="AJ643" s="152">
        <f>'copy data3'!L697</f>
        <v>5315</v>
      </c>
      <c r="AK643" s="38">
        <f t="shared" si="405"/>
        <v>5415.5</v>
      </c>
      <c r="AL643" s="71">
        <f t="shared" si="406"/>
        <v>115.49370867988911</v>
      </c>
      <c r="AM643" s="152">
        <f>'copy data3'!N697</f>
        <v>4607</v>
      </c>
      <c r="AN643" s="38">
        <f t="shared" si="407"/>
        <v>5019.25</v>
      </c>
      <c r="AO643" s="71">
        <f t="shared" si="408"/>
        <v>48.113976226993863</v>
      </c>
      <c r="AP643" s="152">
        <f>'copy data3'!P697</f>
        <v>3707</v>
      </c>
      <c r="AQ643" s="38">
        <f t="shared" si="409"/>
        <v>4025.5</v>
      </c>
      <c r="AR643" s="71">
        <f t="shared" si="410"/>
        <v>78.423923631404634</v>
      </c>
      <c r="AS643" s="153">
        <f>'copy data3'!R697</f>
        <v>13629</v>
      </c>
      <c r="AT643" s="38">
        <f t="shared" si="411"/>
        <v>14460.25</v>
      </c>
      <c r="AU643" s="71">
        <f t="shared" si="412"/>
        <v>71.394539350251804</v>
      </c>
    </row>
    <row r="644" spans="1:47" ht="15.6" x14ac:dyDescent="0.3">
      <c r="A644" s="10">
        <v>38757</v>
      </c>
      <c r="B644" s="6">
        <v>1644</v>
      </c>
      <c r="C644" s="6">
        <v>7948</v>
      </c>
      <c r="D644" s="6">
        <v>344</v>
      </c>
      <c r="E644" s="6">
        <v>1467</v>
      </c>
      <c r="F644" s="6">
        <v>1170</v>
      </c>
      <c r="G644" s="6">
        <v>5533</v>
      </c>
      <c r="H644" s="6">
        <v>696</v>
      </c>
      <c r="I644" s="6">
        <v>3034</v>
      </c>
      <c r="J644" s="6">
        <v>146</v>
      </c>
      <c r="K644" s="6">
        <v>565</v>
      </c>
      <c r="L644" s="6">
        <v>3999</v>
      </c>
      <c r="M644" s="6">
        <v>18547</v>
      </c>
      <c r="N644" s="6">
        <v>8829</v>
      </c>
      <c r="O644" s="6">
        <v>21340</v>
      </c>
      <c r="P644" s="6">
        <v>3788</v>
      </c>
      <c r="Q644" s="6">
        <v>14942</v>
      </c>
      <c r="R644" s="16">
        <f t="shared" si="277"/>
        <v>16616</v>
      </c>
      <c r="T644" s="140">
        <f t="shared" si="258"/>
        <v>41354</v>
      </c>
      <c r="U644" s="154">
        <f>'copy data3'!B698</f>
        <v>2034</v>
      </c>
      <c r="V644" s="38">
        <f t="shared" si="395"/>
        <v>1845.5</v>
      </c>
      <c r="W644" s="71">
        <f t="shared" si="396"/>
        <v>151.0229132569558</v>
      </c>
      <c r="X644" s="154">
        <f>'copy data3'!D698</f>
        <v>1275</v>
      </c>
      <c r="Y644" s="38">
        <f t="shared" si="397"/>
        <v>1481.75</v>
      </c>
      <c r="Z644" s="71">
        <f t="shared" si="398"/>
        <v>177.66786570743406</v>
      </c>
      <c r="AA644" s="152">
        <f>'copy data3'!F698</f>
        <v>1276</v>
      </c>
      <c r="AB644" s="38">
        <f t="shared" si="399"/>
        <v>1216.25</v>
      </c>
      <c r="AC644" s="71">
        <f t="shared" si="400"/>
        <v>118.31225680933852</v>
      </c>
      <c r="AD644" s="152">
        <f>'copy data3'!H698</f>
        <v>676</v>
      </c>
      <c r="AE644" s="38">
        <f t="shared" si="401"/>
        <v>734.5</v>
      </c>
      <c r="AF644" s="71">
        <f t="shared" si="402"/>
        <v>54.936424831712792</v>
      </c>
      <c r="AG644" s="152">
        <f>'copy data3'!J698</f>
        <v>113</v>
      </c>
      <c r="AH644" s="38">
        <f t="shared" si="403"/>
        <v>102.75</v>
      </c>
      <c r="AI644" s="71">
        <f t="shared" si="404"/>
        <v>186.81818181818181</v>
      </c>
      <c r="AJ644" s="152">
        <f>'copy data3'!L698</f>
        <v>5373</v>
      </c>
      <c r="AK644" s="38">
        <f t="shared" si="405"/>
        <v>5380.25</v>
      </c>
      <c r="AL644" s="71">
        <f t="shared" si="406"/>
        <v>120.22905027932961</v>
      </c>
      <c r="AM644" s="152">
        <f>'copy data3'!N698</f>
        <v>4518</v>
      </c>
      <c r="AN644" s="38">
        <f t="shared" si="407"/>
        <v>4779.5</v>
      </c>
      <c r="AO644" s="71">
        <f t="shared" si="408"/>
        <v>48.185300937594519</v>
      </c>
      <c r="AP644" s="152">
        <f>'copy data3'!P698</f>
        <v>3203</v>
      </c>
      <c r="AQ644" s="38">
        <f t="shared" si="409"/>
        <v>3667.25</v>
      </c>
      <c r="AR644" s="71">
        <f t="shared" si="410"/>
        <v>72.705194290245828</v>
      </c>
      <c r="AS644" s="153">
        <f>'copy data3'!R698</f>
        <v>13094</v>
      </c>
      <c r="AT644" s="38">
        <f t="shared" si="411"/>
        <v>13827</v>
      </c>
      <c r="AU644" s="71">
        <f t="shared" si="412"/>
        <v>71.133861508385635</v>
      </c>
    </row>
    <row r="645" spans="1:47" ht="15.6" x14ac:dyDescent="0.3">
      <c r="A645" s="10">
        <v>39121</v>
      </c>
      <c r="B645" s="6">
        <v>1452</v>
      </c>
      <c r="C645" s="6">
        <v>4441</v>
      </c>
      <c r="D645" s="6">
        <v>715</v>
      </c>
      <c r="E645" s="6">
        <v>2388</v>
      </c>
      <c r="F645" s="6">
        <v>1035</v>
      </c>
      <c r="G645" s="6">
        <v>4482</v>
      </c>
      <c r="H645" s="6">
        <v>948</v>
      </c>
      <c r="I645" s="6">
        <v>3483</v>
      </c>
      <c r="J645" s="6">
        <v>116</v>
      </c>
      <c r="K645" s="6">
        <v>587</v>
      </c>
      <c r="L645" s="6">
        <v>4265</v>
      </c>
      <c r="M645" s="6">
        <v>15380</v>
      </c>
      <c r="N645" s="6">
        <v>12077</v>
      </c>
      <c r="O645" s="6">
        <v>24984</v>
      </c>
      <c r="P645" s="6">
        <v>5863</v>
      </c>
      <c r="Q645" s="6">
        <v>18220</v>
      </c>
      <c r="R645" s="16">
        <f t="shared" si="277"/>
        <v>22205</v>
      </c>
      <c r="T645" s="140">
        <f t="shared" si="258"/>
        <v>41361</v>
      </c>
      <c r="U645" s="154">
        <f>'copy data3'!B699</f>
        <v>1987</v>
      </c>
      <c r="V645" s="38">
        <f t="shared" si="395"/>
        <v>1921</v>
      </c>
      <c r="W645" s="71">
        <f t="shared" ref="W645:W650" si="413">(V645/U593)*100</f>
        <v>171.05966162065894</v>
      </c>
      <c r="X645" s="154">
        <f>'copy data3'!D699</f>
        <v>1070</v>
      </c>
      <c r="Y645" s="38">
        <f t="shared" si="397"/>
        <v>1329</v>
      </c>
      <c r="Z645" s="71">
        <f t="shared" ref="Z645:Z650" si="414">(Y645/X593)*100</f>
        <v>150.16949152542372</v>
      </c>
      <c r="AA645" s="152">
        <f>'copy data3'!F699</f>
        <v>1218</v>
      </c>
      <c r="AB645" s="38">
        <f t="shared" si="399"/>
        <v>1230</v>
      </c>
      <c r="AC645" s="71">
        <f t="shared" ref="AC645:AC650" si="415">(AB645/AA593)*100</f>
        <v>116.3670766319773</v>
      </c>
      <c r="AD645" s="152">
        <f>'copy data3'!H699</f>
        <v>653</v>
      </c>
      <c r="AE645" s="38">
        <f t="shared" si="401"/>
        <v>716.25</v>
      </c>
      <c r="AF645" s="71">
        <f t="shared" ref="AF645:AF650" si="416">(AE645/AD593)*100</f>
        <v>52.78187177597642</v>
      </c>
      <c r="AG645" s="152">
        <f>'copy data3'!J699</f>
        <v>78</v>
      </c>
      <c r="AH645" s="38">
        <f t="shared" si="403"/>
        <v>94.5</v>
      </c>
      <c r="AI645" s="71">
        <f t="shared" ref="AI645:AI650" si="417">(AH645/AG593)*100</f>
        <v>168.75</v>
      </c>
      <c r="AJ645" s="152">
        <f>'copy data3'!L699</f>
        <v>5006</v>
      </c>
      <c r="AK645" s="38">
        <f t="shared" si="405"/>
        <v>5290.25</v>
      </c>
      <c r="AL645" s="71">
        <f t="shared" ref="AL645:AL650" si="418">(AK645/AJ593)*100</f>
        <v>118.13867798124163</v>
      </c>
      <c r="AM645" s="152">
        <f>'copy data3'!N699</f>
        <v>4306</v>
      </c>
      <c r="AN645" s="38">
        <f t="shared" si="407"/>
        <v>4591.25</v>
      </c>
      <c r="AO645" s="71">
        <f t="shared" ref="AO645:AO650" si="419">(AN645/AM593)*100</f>
        <v>45.620528616852148</v>
      </c>
      <c r="AP645" s="152">
        <f>'copy data3'!P699</f>
        <v>3122</v>
      </c>
      <c r="AQ645" s="38">
        <f t="shared" si="409"/>
        <v>3464.5</v>
      </c>
      <c r="AR645" s="71">
        <f t="shared" ref="AR645:AR650" si="420">(AQ645/AP593)*100</f>
        <v>75.39717083786725</v>
      </c>
      <c r="AS645" s="153">
        <f>'copy data3'!R699</f>
        <v>12434</v>
      </c>
      <c r="AT645" s="38">
        <f t="shared" si="411"/>
        <v>13346</v>
      </c>
      <c r="AU645" s="71">
        <f t="shared" ref="AU645:AU650" si="421">(AT645/AS593)*100</f>
        <v>69.739248576056852</v>
      </c>
    </row>
    <row r="646" spans="1:47" ht="15.6" x14ac:dyDescent="0.3">
      <c r="A646" s="10">
        <v>38764</v>
      </c>
      <c r="B646" s="6">
        <v>1668</v>
      </c>
      <c r="C646" s="6">
        <v>8121</v>
      </c>
      <c r="D646" s="6">
        <v>365</v>
      </c>
      <c r="E646" s="6">
        <v>1518</v>
      </c>
      <c r="F646" s="6">
        <v>1125</v>
      </c>
      <c r="G646" s="6">
        <v>5661</v>
      </c>
      <c r="H646" s="6">
        <v>709</v>
      </c>
      <c r="I646" s="6">
        <v>3130</v>
      </c>
      <c r="J646" s="6">
        <v>192</v>
      </c>
      <c r="K646" s="6">
        <v>568</v>
      </c>
      <c r="L646" s="6">
        <v>4059</v>
      </c>
      <c r="M646" s="6">
        <v>18997</v>
      </c>
      <c r="N646" s="6">
        <v>9281</v>
      </c>
      <c r="O646" s="6">
        <v>22372</v>
      </c>
      <c r="P646" s="6">
        <v>3544</v>
      </c>
      <c r="Q646" s="6">
        <v>15691</v>
      </c>
      <c r="R646" s="16">
        <f t="shared" si="277"/>
        <v>16884</v>
      </c>
      <c r="T646" s="140">
        <f t="shared" si="258"/>
        <v>41368</v>
      </c>
      <c r="U646" s="154">
        <f>'copy data3'!B700</f>
        <v>1810</v>
      </c>
      <c r="V646" s="38">
        <f t="shared" ref="V646:V651" si="422">AVERAGE(U643:U646)</f>
        <v>1911.5</v>
      </c>
      <c r="W646" s="71">
        <f t="shared" si="413"/>
        <v>156.68032786885246</v>
      </c>
      <c r="X646" s="154">
        <f>'copy data3'!D700</f>
        <v>1021</v>
      </c>
      <c r="Y646" s="38">
        <f t="shared" ref="Y646:Y651" si="423">AVERAGE(X643:X646)</f>
        <v>1206.5</v>
      </c>
      <c r="Z646" s="71">
        <f t="shared" si="414"/>
        <v>140.61771561771562</v>
      </c>
      <c r="AA646" s="152">
        <f>'copy data3'!F700</f>
        <v>1026</v>
      </c>
      <c r="AB646" s="38">
        <f t="shared" ref="AB646:AB651" si="424">AVERAGE(AA643:AA646)</f>
        <v>1179</v>
      </c>
      <c r="AC646" s="71">
        <f t="shared" si="415"/>
        <v>107.86825251601098</v>
      </c>
      <c r="AD646" s="152">
        <f>'copy data3'!H700</f>
        <v>572</v>
      </c>
      <c r="AE646" s="38">
        <f t="shared" ref="AE646:AE651" si="425">AVERAGE(AD643:AD646)</f>
        <v>663.75</v>
      </c>
      <c r="AF646" s="71">
        <f t="shared" si="416"/>
        <v>52.553444180522568</v>
      </c>
      <c r="AG646" s="152">
        <f>'copy data3'!J700</f>
        <v>68</v>
      </c>
      <c r="AH646" s="38">
        <f t="shared" ref="AH646:AH651" si="426">AVERAGE(AG643:AG646)</f>
        <v>87.25</v>
      </c>
      <c r="AI646" s="71">
        <f t="shared" si="417"/>
        <v>155.80357142857142</v>
      </c>
      <c r="AJ646" s="152">
        <f>'copy data3'!L700</f>
        <v>4497</v>
      </c>
      <c r="AK646" s="38">
        <f t="shared" ref="AK646:AK651" si="427">AVERAGE(AJ643:AJ646)</f>
        <v>5047.75</v>
      </c>
      <c r="AL646" s="71">
        <f t="shared" si="418"/>
        <v>112.42204899777283</v>
      </c>
      <c r="AM646" s="152">
        <f>'copy data3'!N700</f>
        <v>4211</v>
      </c>
      <c r="AN646" s="38">
        <f t="shared" ref="AN646:AN651" si="428">AVERAGE(AM643:AM646)</f>
        <v>4410.5</v>
      </c>
      <c r="AO646" s="71">
        <f t="shared" si="419"/>
        <v>42.551857211770383</v>
      </c>
      <c r="AP646" s="152">
        <f>'copy data3'!P700</f>
        <v>2796</v>
      </c>
      <c r="AQ646" s="38">
        <f t="shared" ref="AQ646:AQ651" si="429">AVERAGE(AP643:AP646)</f>
        <v>3207</v>
      </c>
      <c r="AR646" s="71">
        <f t="shared" si="420"/>
        <v>74.894908921064911</v>
      </c>
      <c r="AS646" s="153">
        <f>'copy data3'!R700</f>
        <v>11504</v>
      </c>
      <c r="AT646" s="38">
        <f t="shared" ref="AT646:AT651" si="430">AVERAGE(AS643:AS646)</f>
        <v>12665.25</v>
      </c>
      <c r="AU646" s="71">
        <f t="shared" si="421"/>
        <v>66.182003448816431</v>
      </c>
    </row>
    <row r="647" spans="1:47" ht="15.6" x14ac:dyDescent="0.3">
      <c r="A647" s="10">
        <v>39128</v>
      </c>
      <c r="B647" s="6">
        <v>1403</v>
      </c>
      <c r="C647" s="6">
        <v>4575</v>
      </c>
      <c r="D647" s="6">
        <v>729</v>
      </c>
      <c r="E647" s="6">
        <v>2481</v>
      </c>
      <c r="F647" s="6">
        <v>1126</v>
      </c>
      <c r="G647" s="6">
        <v>4569</v>
      </c>
      <c r="H647" s="6">
        <v>914</v>
      </c>
      <c r="I647" s="6">
        <v>3589</v>
      </c>
      <c r="J647" s="6">
        <v>116</v>
      </c>
      <c r="K647" s="6">
        <v>596</v>
      </c>
      <c r="L647" s="6">
        <v>4287</v>
      </c>
      <c r="M647" s="6">
        <v>15809</v>
      </c>
      <c r="N647" s="6">
        <v>11657</v>
      </c>
      <c r="O647" s="6">
        <v>26233</v>
      </c>
      <c r="P647" s="6">
        <v>5736</v>
      </c>
      <c r="Q647" s="6">
        <v>18959</v>
      </c>
      <c r="R647" s="16">
        <f t="shared" si="277"/>
        <v>21680</v>
      </c>
      <c r="T647" s="140">
        <f t="shared" si="258"/>
        <v>41375</v>
      </c>
      <c r="U647" s="154">
        <f>'copy data3'!B701</f>
        <v>1856</v>
      </c>
      <c r="V647" s="38">
        <f t="shared" si="422"/>
        <v>1921.75</v>
      </c>
      <c r="W647" s="71">
        <f t="shared" si="413"/>
        <v>157.39148239148238</v>
      </c>
      <c r="X647" s="154">
        <f>'copy data3'!D701</f>
        <v>978</v>
      </c>
      <c r="Y647" s="38">
        <f t="shared" si="423"/>
        <v>1086</v>
      </c>
      <c r="Z647" s="71">
        <f t="shared" si="414"/>
        <v>123.12925170068027</v>
      </c>
      <c r="AA647" s="152">
        <f>'copy data3'!F701</f>
        <v>910</v>
      </c>
      <c r="AB647" s="38">
        <f t="shared" si="424"/>
        <v>1107.5</v>
      </c>
      <c r="AC647" s="71">
        <f t="shared" si="415"/>
        <v>107.94346978557505</v>
      </c>
      <c r="AD647" s="152">
        <f>'copy data3'!H701</f>
        <v>475</v>
      </c>
      <c r="AE647" s="38">
        <f t="shared" si="425"/>
        <v>594</v>
      </c>
      <c r="AF647" s="71">
        <f t="shared" si="416"/>
        <v>55.307262569832403</v>
      </c>
      <c r="AG647" s="152">
        <f>'copy data3'!J701</f>
        <v>125</v>
      </c>
      <c r="AH647" s="38">
        <f t="shared" si="426"/>
        <v>96</v>
      </c>
      <c r="AI647" s="71">
        <f t="shared" si="417"/>
        <v>436.36363636363632</v>
      </c>
      <c r="AJ647" s="152">
        <f>'copy data3'!L701</f>
        <v>4345</v>
      </c>
      <c r="AK647" s="38">
        <f t="shared" si="427"/>
        <v>4805.25</v>
      </c>
      <c r="AL647" s="71">
        <f t="shared" si="418"/>
        <v>113.76065340909092</v>
      </c>
      <c r="AM647" s="152">
        <f>'copy data3'!N701</f>
        <v>4310</v>
      </c>
      <c r="AN647" s="38">
        <f t="shared" si="428"/>
        <v>4336.25</v>
      </c>
      <c r="AO647" s="71">
        <f t="shared" si="419"/>
        <v>45.401005130352843</v>
      </c>
      <c r="AP647" s="152">
        <f>'copy data3'!P701</f>
        <v>2954</v>
      </c>
      <c r="AQ647" s="38">
        <f t="shared" si="429"/>
        <v>3018.75</v>
      </c>
      <c r="AR647" s="71">
        <f t="shared" si="420"/>
        <v>72.531234983181164</v>
      </c>
      <c r="AS647" s="153">
        <f>'copy data3'!R701</f>
        <v>11609</v>
      </c>
      <c r="AT647" s="38">
        <f t="shared" si="430"/>
        <v>12160.25</v>
      </c>
      <c r="AU647" s="71">
        <f t="shared" si="421"/>
        <v>67.794224229246808</v>
      </c>
    </row>
    <row r="648" spans="1:47" ht="15.6" x14ac:dyDescent="0.3">
      <c r="A648" s="10">
        <v>38771</v>
      </c>
      <c r="B648" s="6">
        <v>1579</v>
      </c>
      <c r="C648" s="6">
        <v>8300</v>
      </c>
      <c r="D648" s="6">
        <v>375</v>
      </c>
      <c r="E648" s="6">
        <v>1545</v>
      </c>
      <c r="F648" s="6">
        <v>1020</v>
      </c>
      <c r="G648" s="6">
        <v>5805</v>
      </c>
      <c r="H648" s="6">
        <v>674</v>
      </c>
      <c r="I648" s="6">
        <v>3178</v>
      </c>
      <c r="J648" s="6">
        <v>156</v>
      </c>
      <c r="K648" s="6">
        <v>584</v>
      </c>
      <c r="L648" s="6">
        <v>3804</v>
      </c>
      <c r="M648" s="6">
        <v>19412</v>
      </c>
      <c r="N648" s="6">
        <v>8935</v>
      </c>
      <c r="O648" s="6">
        <v>23325</v>
      </c>
      <c r="P648" s="6">
        <v>3406</v>
      </c>
      <c r="Q648" s="6">
        <v>16196</v>
      </c>
      <c r="R648" s="16">
        <f t="shared" si="277"/>
        <v>16145</v>
      </c>
      <c r="T648" s="140">
        <f t="shared" si="258"/>
        <v>41382</v>
      </c>
      <c r="U648" s="154">
        <f>'copy data3'!B702</f>
        <v>1711</v>
      </c>
      <c r="V648" s="38">
        <f t="shared" si="422"/>
        <v>1841</v>
      </c>
      <c r="W648" s="71">
        <f t="shared" si="413"/>
        <v>155.09688289806235</v>
      </c>
      <c r="X648" s="154">
        <f>'copy data3'!D702</f>
        <v>884</v>
      </c>
      <c r="Y648" s="38">
        <f t="shared" si="423"/>
        <v>988.25</v>
      </c>
      <c r="Z648" s="71">
        <f t="shared" si="414"/>
        <v>109.92769744160178</v>
      </c>
      <c r="AA648" s="152">
        <f>'copy data3'!F702</f>
        <v>771</v>
      </c>
      <c r="AB648" s="38">
        <f t="shared" si="424"/>
        <v>981.25</v>
      </c>
      <c r="AC648" s="71">
        <f t="shared" si="415"/>
        <v>93.989463601532563</v>
      </c>
      <c r="AD648" s="152">
        <f>'copy data3'!H702</f>
        <v>409</v>
      </c>
      <c r="AE648" s="38">
        <f t="shared" si="425"/>
        <v>527.25</v>
      </c>
      <c r="AF648" s="71">
        <f t="shared" si="416"/>
        <v>63.219424460431654</v>
      </c>
      <c r="AG648" s="152">
        <f>'copy data3'!J702</f>
        <v>100</v>
      </c>
      <c r="AH648" s="38">
        <f t="shared" si="426"/>
        <v>92.75</v>
      </c>
      <c r="AI648" s="71">
        <f t="shared" si="417"/>
        <v>319.82758620689651</v>
      </c>
      <c r="AJ648" s="152">
        <f>'copy data3'!L702</f>
        <v>3874</v>
      </c>
      <c r="AK648" s="38">
        <f t="shared" si="427"/>
        <v>4430.5</v>
      </c>
      <c r="AL648" s="71">
        <f t="shared" si="418"/>
        <v>110.95667417981467</v>
      </c>
      <c r="AM648" s="152">
        <f>'copy data3'!N702</f>
        <v>4303</v>
      </c>
      <c r="AN648" s="38">
        <f t="shared" si="428"/>
        <v>4282.5</v>
      </c>
      <c r="AO648" s="71">
        <f t="shared" si="419"/>
        <v>45.102685624012636</v>
      </c>
      <c r="AP648" s="152">
        <f>'copy data3'!P702</f>
        <v>2556</v>
      </c>
      <c r="AQ648" s="38">
        <f t="shared" si="429"/>
        <v>2857</v>
      </c>
      <c r="AR648" s="71">
        <f t="shared" si="420"/>
        <v>60.248840151834671</v>
      </c>
      <c r="AS648" s="153">
        <f>'copy data3'!R702</f>
        <v>10733</v>
      </c>
      <c r="AT648" s="38">
        <f t="shared" si="430"/>
        <v>11570</v>
      </c>
      <c r="AU648" s="71">
        <f t="shared" si="421"/>
        <v>63.46681294569391</v>
      </c>
    </row>
    <row r="649" spans="1:47" ht="15.6" x14ac:dyDescent="0.3">
      <c r="A649" s="10">
        <v>39135</v>
      </c>
      <c r="B649" s="6">
        <v>1315</v>
      </c>
      <c r="C649" s="6">
        <v>4783</v>
      </c>
      <c r="D649" s="6">
        <v>653</v>
      </c>
      <c r="E649" s="6">
        <v>2569</v>
      </c>
      <c r="F649" s="6">
        <v>1065</v>
      </c>
      <c r="G649" s="6">
        <v>4689</v>
      </c>
      <c r="H649" s="6">
        <v>861</v>
      </c>
      <c r="I649" s="6">
        <v>3767</v>
      </c>
      <c r="J649" s="6">
        <v>103</v>
      </c>
      <c r="K649" s="6">
        <v>614</v>
      </c>
      <c r="L649" s="6">
        <v>3997</v>
      </c>
      <c r="M649" s="6">
        <v>16421</v>
      </c>
      <c r="N649" s="6">
        <v>11084</v>
      </c>
      <c r="O649" s="6">
        <v>27106</v>
      </c>
      <c r="P649" s="6">
        <v>5217</v>
      </c>
      <c r="Q649" s="6">
        <v>19886</v>
      </c>
      <c r="R649" s="16">
        <f t="shared" si="277"/>
        <v>20298</v>
      </c>
      <c r="T649" s="140">
        <f t="shared" si="258"/>
        <v>41389</v>
      </c>
      <c r="U649" s="154">
        <f>'copy data3'!B703</f>
        <v>1471</v>
      </c>
      <c r="V649" s="38">
        <f t="shared" si="422"/>
        <v>1712</v>
      </c>
      <c r="W649" s="71">
        <f t="shared" si="413"/>
        <v>142.42928452579037</v>
      </c>
      <c r="X649" s="154">
        <f>'copy data3'!D703</f>
        <v>720</v>
      </c>
      <c r="Y649" s="38">
        <f t="shared" si="423"/>
        <v>900.75</v>
      </c>
      <c r="Z649" s="71">
        <f t="shared" si="414"/>
        <v>99.640486725663706</v>
      </c>
      <c r="AA649" s="152">
        <f>'copy data3'!F703</f>
        <v>658</v>
      </c>
      <c r="AB649" s="38">
        <f t="shared" si="424"/>
        <v>841.25</v>
      </c>
      <c r="AC649" s="71">
        <f t="shared" si="415"/>
        <v>94.628796400449943</v>
      </c>
      <c r="AD649" s="152">
        <f>'copy data3'!H703</f>
        <v>300</v>
      </c>
      <c r="AE649" s="38">
        <f t="shared" si="425"/>
        <v>439</v>
      </c>
      <c r="AF649" s="71">
        <f t="shared" si="416"/>
        <v>71.967213114754102</v>
      </c>
      <c r="AG649" s="152">
        <f>'copy data3'!J703</f>
        <v>99</v>
      </c>
      <c r="AH649" s="38">
        <f t="shared" si="426"/>
        <v>98</v>
      </c>
      <c r="AI649" s="71">
        <f t="shared" si="417"/>
        <v>408.33333333333331</v>
      </c>
      <c r="AJ649" s="152">
        <f>'copy data3'!L703</f>
        <v>3248</v>
      </c>
      <c r="AK649" s="38">
        <f t="shared" si="427"/>
        <v>3991</v>
      </c>
      <c r="AL649" s="71">
        <f t="shared" si="418"/>
        <v>110.00551267916208</v>
      </c>
      <c r="AM649" s="152">
        <f>'copy data3'!N703</f>
        <v>4228</v>
      </c>
      <c r="AN649" s="38">
        <f t="shared" si="428"/>
        <v>4263</v>
      </c>
      <c r="AO649" s="71">
        <f t="shared" si="419"/>
        <v>41.946275705992328</v>
      </c>
      <c r="AP649" s="152">
        <f>'copy data3'!P703</f>
        <v>2090</v>
      </c>
      <c r="AQ649" s="38">
        <f t="shared" si="429"/>
        <v>2599</v>
      </c>
      <c r="AR649" s="71">
        <f t="shared" si="420"/>
        <v>52.997553017944533</v>
      </c>
      <c r="AS649" s="153">
        <f>'copy data3'!R703</f>
        <v>9566</v>
      </c>
      <c r="AT649" s="38">
        <f t="shared" si="430"/>
        <v>10853</v>
      </c>
      <c r="AU649" s="71">
        <f t="shared" si="421"/>
        <v>58.052955335651248</v>
      </c>
    </row>
    <row r="650" spans="1:47" ht="15.6" x14ac:dyDescent="0.3">
      <c r="A650" s="10">
        <v>38778</v>
      </c>
      <c r="B650" s="6">
        <v>1444</v>
      </c>
      <c r="C650" s="6">
        <v>8526</v>
      </c>
      <c r="D650" s="6">
        <v>368</v>
      </c>
      <c r="E650" s="6">
        <v>1570</v>
      </c>
      <c r="F650" s="6">
        <v>1039</v>
      </c>
      <c r="G650" s="6">
        <v>5895</v>
      </c>
      <c r="H650" s="6">
        <v>686</v>
      </c>
      <c r="I650" s="6">
        <v>3236</v>
      </c>
      <c r="J650" s="6">
        <v>174</v>
      </c>
      <c r="K650" s="6">
        <v>585</v>
      </c>
      <c r="L650" s="6">
        <v>3710</v>
      </c>
      <c r="M650" s="6">
        <v>19812</v>
      </c>
      <c r="N650" s="6">
        <v>9246</v>
      </c>
      <c r="O650" s="6">
        <v>24376</v>
      </c>
      <c r="P650" s="6">
        <v>3134</v>
      </c>
      <c r="Q650" s="6">
        <v>16973</v>
      </c>
      <c r="R650" s="16">
        <f t="shared" si="277"/>
        <v>16090</v>
      </c>
      <c r="T650" s="140">
        <f t="shared" si="258"/>
        <v>41396</v>
      </c>
      <c r="U650" s="154">
        <f>'copy data3'!B704</f>
        <v>1406</v>
      </c>
      <c r="V650" s="38">
        <f t="shared" si="422"/>
        <v>1611</v>
      </c>
      <c r="W650" s="71">
        <f t="shared" si="413"/>
        <v>150</v>
      </c>
      <c r="X650" s="154">
        <f>'copy data3'!D704</f>
        <v>701</v>
      </c>
      <c r="Y650" s="38">
        <f t="shared" si="423"/>
        <v>820.75</v>
      </c>
      <c r="Z650" s="71">
        <f t="shared" si="414"/>
        <v>115.43600562587903</v>
      </c>
      <c r="AA650" s="152">
        <f>'copy data3'!F704</f>
        <v>518</v>
      </c>
      <c r="AB650" s="38">
        <f t="shared" si="424"/>
        <v>714.25</v>
      </c>
      <c r="AC650" s="71">
        <f t="shared" si="415"/>
        <v>81.721967963386732</v>
      </c>
      <c r="AD650" s="152">
        <f>'copy data3'!H704</f>
        <v>245</v>
      </c>
      <c r="AE650" s="38">
        <f t="shared" si="425"/>
        <v>357.25</v>
      </c>
      <c r="AF650" s="71">
        <f t="shared" si="416"/>
        <v>59.941275167785236</v>
      </c>
      <c r="AG650" s="152">
        <f>'copy data3'!J704</f>
        <v>58</v>
      </c>
      <c r="AH650" s="38">
        <f t="shared" si="426"/>
        <v>95.5</v>
      </c>
      <c r="AI650" s="71">
        <f t="shared" si="417"/>
        <v>217.04545454545453</v>
      </c>
      <c r="AJ650" s="152">
        <f>'copy data3'!L704</f>
        <v>2928</v>
      </c>
      <c r="AK650" s="38">
        <f t="shared" si="427"/>
        <v>3598.75</v>
      </c>
      <c r="AL650" s="71">
        <f t="shared" si="418"/>
        <v>109.08608669293724</v>
      </c>
      <c r="AM650" s="152">
        <f>'copy data3'!N704</f>
        <v>4152</v>
      </c>
      <c r="AN650" s="38">
        <f t="shared" si="428"/>
        <v>4248.25</v>
      </c>
      <c r="AO650" s="71">
        <f t="shared" si="419"/>
        <v>43.837065318336599</v>
      </c>
      <c r="AP650" s="152">
        <f>'copy data3'!P704</f>
        <v>2111</v>
      </c>
      <c r="AQ650" s="38">
        <f t="shared" si="429"/>
        <v>2427.75</v>
      </c>
      <c r="AR650" s="71">
        <f t="shared" si="420"/>
        <v>47.93188548864758</v>
      </c>
      <c r="AS650" s="153">
        <f>'copy data3'!R704</f>
        <v>9191</v>
      </c>
      <c r="AT650" s="38">
        <f t="shared" si="430"/>
        <v>10274.75</v>
      </c>
      <c r="AU650" s="71">
        <f t="shared" si="421"/>
        <v>56.908058709498754</v>
      </c>
    </row>
    <row r="651" spans="1:47" ht="15.6" x14ac:dyDescent="0.3">
      <c r="A651" s="10">
        <v>39142</v>
      </c>
      <c r="B651" s="6">
        <v>1324</v>
      </c>
      <c r="C651" s="6">
        <v>4927</v>
      </c>
      <c r="D651" s="6">
        <v>733</v>
      </c>
      <c r="E651" s="6">
        <v>2607</v>
      </c>
      <c r="F651" s="6">
        <v>984</v>
      </c>
      <c r="G651" s="6">
        <v>4847</v>
      </c>
      <c r="H651" s="6">
        <v>826</v>
      </c>
      <c r="I651" s="6">
        <v>3871</v>
      </c>
      <c r="J651" s="6">
        <v>98</v>
      </c>
      <c r="K651" s="6">
        <v>616</v>
      </c>
      <c r="L651" s="6">
        <v>3965</v>
      </c>
      <c r="M651" s="6">
        <v>16875</v>
      </c>
      <c r="N651" s="6">
        <v>10731</v>
      </c>
      <c r="O651" s="6">
        <v>28647</v>
      </c>
      <c r="P651" s="6">
        <v>4920</v>
      </c>
      <c r="Q651" s="6">
        <v>20749</v>
      </c>
      <c r="R651" s="16">
        <f t="shared" si="277"/>
        <v>19616</v>
      </c>
      <c r="T651" s="140">
        <f t="shared" ref="T651:T673" si="431">T650+7</f>
        <v>41403</v>
      </c>
      <c r="U651" s="154">
        <f>'copy data3'!B705</f>
        <v>0</v>
      </c>
      <c r="V651" s="38">
        <f t="shared" si="422"/>
        <v>1147</v>
      </c>
      <c r="W651" s="71">
        <f>(V651/U599)*100</f>
        <v>117.40020470829069</v>
      </c>
      <c r="X651" s="154">
        <f>'copy data3'!D705</f>
        <v>0</v>
      </c>
      <c r="Y651" s="38">
        <f t="shared" si="423"/>
        <v>576.25</v>
      </c>
      <c r="Z651" s="71">
        <f>(Y651/X599)*100</f>
        <v>120.05208333333333</v>
      </c>
      <c r="AA651" s="152">
        <f>'copy data3'!F705</f>
        <v>0</v>
      </c>
      <c r="AB651" s="38">
        <f t="shared" si="424"/>
        <v>486.75</v>
      </c>
      <c r="AC651" s="71">
        <f>(AB651/AA599)*100</f>
        <v>54.814189189189186</v>
      </c>
      <c r="AD651" s="152">
        <f>'copy data3'!H705</f>
        <v>0</v>
      </c>
      <c r="AE651" s="38">
        <f t="shared" si="425"/>
        <v>238.5</v>
      </c>
      <c r="AF651" s="71">
        <f>(AE651/AD599)*100</f>
        <v>43.363636363636367</v>
      </c>
      <c r="AG651" s="152">
        <f>'copy data3'!J705</f>
        <v>0</v>
      </c>
      <c r="AH651" s="38">
        <f t="shared" si="426"/>
        <v>64.25</v>
      </c>
      <c r="AI651" s="71">
        <f>(AH651/AG599)*100</f>
        <v>136.70212765957444</v>
      </c>
      <c r="AJ651" s="152">
        <f>'copy data3'!L705</f>
        <v>0</v>
      </c>
      <c r="AK651" s="38">
        <f t="shared" si="427"/>
        <v>2512.5</v>
      </c>
      <c r="AL651" s="71">
        <f>(AK651/AJ599)*100</f>
        <v>85.401087695445284</v>
      </c>
      <c r="AM651" s="152">
        <f>'copy data3'!N705</f>
        <v>0</v>
      </c>
      <c r="AN651" s="38">
        <f t="shared" si="428"/>
        <v>3170.75</v>
      </c>
      <c r="AO651" s="71">
        <f>(AN651/AM599)*100</f>
        <v>33.861063648013669</v>
      </c>
      <c r="AP651" s="152">
        <f>'copy data3'!P705</f>
        <v>0</v>
      </c>
      <c r="AQ651" s="38">
        <f t="shared" si="429"/>
        <v>1689.25</v>
      </c>
      <c r="AR651" s="71">
        <f>(AQ651/AP599)*100</f>
        <v>33.051261983956174</v>
      </c>
      <c r="AS651" s="153">
        <f>'copy data3'!R705</f>
        <v>0</v>
      </c>
      <c r="AT651" s="38">
        <f t="shared" si="430"/>
        <v>7372.5</v>
      </c>
      <c r="AU651" s="71">
        <f>(AT651/AS599)*100</f>
        <v>42.329333409886893</v>
      </c>
    </row>
    <row r="652" spans="1:47" ht="15.6" x14ac:dyDescent="0.3">
      <c r="A652" s="10">
        <v>38785</v>
      </c>
      <c r="B652" s="6">
        <v>1324</v>
      </c>
      <c r="C652" s="6">
        <v>8734</v>
      </c>
      <c r="D652" s="6">
        <v>294</v>
      </c>
      <c r="E652" s="6">
        <v>1640</v>
      </c>
      <c r="F652" s="6">
        <v>1042</v>
      </c>
      <c r="G652" s="6">
        <v>6026</v>
      </c>
      <c r="H652" s="6">
        <v>589</v>
      </c>
      <c r="I652" s="6">
        <v>3391</v>
      </c>
      <c r="J652" s="6">
        <v>225</v>
      </c>
      <c r="K652" s="6">
        <v>594</v>
      </c>
      <c r="L652" s="6">
        <v>3474</v>
      </c>
      <c r="M652" s="6">
        <v>20386</v>
      </c>
      <c r="N652" s="6">
        <v>9443</v>
      </c>
      <c r="O652" s="6">
        <v>25210</v>
      </c>
      <c r="P652" s="6">
        <v>2675</v>
      </c>
      <c r="Q652" s="6">
        <v>17813</v>
      </c>
      <c r="R652" s="16">
        <f t="shared" si="277"/>
        <v>15592</v>
      </c>
      <c r="T652" s="140">
        <f t="shared" si="431"/>
        <v>41410</v>
      </c>
    </row>
    <row r="653" spans="1:47" ht="15.6" x14ac:dyDescent="0.3">
      <c r="A653" s="10">
        <v>39149</v>
      </c>
      <c r="B653" s="6">
        <v>1275</v>
      </c>
      <c r="C653" s="6">
        <v>5062</v>
      </c>
      <c r="D653" s="6">
        <v>642</v>
      </c>
      <c r="E653" s="6">
        <v>2803</v>
      </c>
      <c r="F653" s="6">
        <v>990</v>
      </c>
      <c r="G653" s="6">
        <v>4979</v>
      </c>
      <c r="H653" s="6">
        <v>895</v>
      </c>
      <c r="I653" s="6">
        <v>3908</v>
      </c>
      <c r="J653" s="6">
        <v>65</v>
      </c>
      <c r="K653" s="6">
        <v>665</v>
      </c>
      <c r="L653" s="6">
        <v>3865</v>
      </c>
      <c r="M653" s="6">
        <v>17418</v>
      </c>
      <c r="N653" s="6">
        <v>10330</v>
      </c>
      <c r="O653" s="6">
        <v>29682</v>
      </c>
      <c r="P653" s="6">
        <v>4587</v>
      </c>
      <c r="Q653" s="6">
        <v>21533</v>
      </c>
      <c r="R653" s="16">
        <f t="shared" si="277"/>
        <v>18782</v>
      </c>
      <c r="T653" s="140">
        <f t="shared" si="431"/>
        <v>41417</v>
      </c>
    </row>
    <row r="654" spans="1:47" ht="15.6" x14ac:dyDescent="0.3">
      <c r="A654" s="10">
        <v>38792</v>
      </c>
      <c r="B654" s="6">
        <v>1169</v>
      </c>
      <c r="C654" s="6">
        <v>8927</v>
      </c>
      <c r="D654" s="6">
        <v>288</v>
      </c>
      <c r="E654" s="6">
        <v>1677</v>
      </c>
      <c r="F654" s="6">
        <v>1094</v>
      </c>
      <c r="G654" s="6">
        <v>6143</v>
      </c>
      <c r="H654" s="6">
        <v>737</v>
      </c>
      <c r="I654" s="6">
        <v>3425</v>
      </c>
      <c r="J654" s="6">
        <v>224</v>
      </c>
      <c r="K654" s="6">
        <v>607</v>
      </c>
      <c r="L654" s="6">
        <v>3512</v>
      </c>
      <c r="M654" s="6">
        <v>20780</v>
      </c>
      <c r="N654" s="6">
        <v>9141</v>
      </c>
      <c r="O654" s="6">
        <v>26414</v>
      </c>
      <c r="P654" s="6">
        <v>2368</v>
      </c>
      <c r="Q654" s="6">
        <v>18353</v>
      </c>
      <c r="R654" s="16">
        <f t="shared" si="277"/>
        <v>15021</v>
      </c>
      <c r="T654" s="140">
        <f t="shared" si="431"/>
        <v>41424</v>
      </c>
    </row>
    <row r="655" spans="1:47" ht="15.6" x14ac:dyDescent="0.3">
      <c r="A655" s="10">
        <v>39156</v>
      </c>
      <c r="B655" s="6">
        <v>1268</v>
      </c>
      <c r="C655" s="6">
        <v>5189</v>
      </c>
      <c r="D655" s="6">
        <v>595</v>
      </c>
      <c r="E655" s="6">
        <v>2907</v>
      </c>
      <c r="F655" s="6">
        <v>1044</v>
      </c>
      <c r="G655" s="6">
        <v>5060</v>
      </c>
      <c r="H655" s="6">
        <v>932</v>
      </c>
      <c r="I655" s="6">
        <v>4024</v>
      </c>
      <c r="J655" s="6">
        <v>74</v>
      </c>
      <c r="K655" s="6">
        <v>665</v>
      </c>
      <c r="L655" s="6">
        <v>3913</v>
      </c>
      <c r="M655" s="6">
        <v>17845</v>
      </c>
      <c r="N655" s="6">
        <v>10066</v>
      </c>
      <c r="O655" s="6">
        <v>30587</v>
      </c>
      <c r="P655" s="6">
        <v>4602</v>
      </c>
      <c r="Q655" s="6">
        <v>22033</v>
      </c>
      <c r="R655" s="16">
        <f t="shared" si="277"/>
        <v>18581</v>
      </c>
      <c r="T655" s="140">
        <f t="shared" si="431"/>
        <v>41431</v>
      </c>
    </row>
    <row r="656" spans="1:47" ht="15.6" x14ac:dyDescent="0.3">
      <c r="A656" s="10">
        <v>38799</v>
      </c>
      <c r="B656" s="6">
        <v>1325</v>
      </c>
      <c r="C656" s="6">
        <v>9075</v>
      </c>
      <c r="D656" s="6">
        <v>278</v>
      </c>
      <c r="E656" s="6">
        <v>1711</v>
      </c>
      <c r="F656" s="6">
        <v>1056</v>
      </c>
      <c r="G656" s="6">
        <v>6248</v>
      </c>
      <c r="H656" s="6">
        <v>681</v>
      </c>
      <c r="I656" s="6">
        <v>3571</v>
      </c>
      <c r="J656" s="6">
        <v>231</v>
      </c>
      <c r="K656" s="6">
        <v>624</v>
      </c>
      <c r="L656" s="6">
        <v>3571</v>
      </c>
      <c r="M656" s="6">
        <v>21229</v>
      </c>
      <c r="N656" s="6">
        <v>9285</v>
      </c>
      <c r="O656" s="6">
        <v>27309</v>
      </c>
      <c r="P656" s="6">
        <v>1898</v>
      </c>
      <c r="Q656" s="6">
        <v>19044</v>
      </c>
      <c r="R656" s="16">
        <f t="shared" ref="R656:R719" si="432">P656+N656+L656</f>
        <v>14754</v>
      </c>
      <c r="T656" s="140">
        <f t="shared" si="431"/>
        <v>41438</v>
      </c>
    </row>
    <row r="657" spans="1:20" ht="15.6" x14ac:dyDescent="0.3">
      <c r="A657" s="10">
        <v>39163</v>
      </c>
      <c r="B657" s="6">
        <v>1237</v>
      </c>
      <c r="C657" s="6">
        <v>5349</v>
      </c>
      <c r="D657" s="6">
        <v>784</v>
      </c>
      <c r="E657" s="6">
        <v>2956</v>
      </c>
      <c r="F657" s="6">
        <v>1025</v>
      </c>
      <c r="G657" s="6">
        <v>5185</v>
      </c>
      <c r="H657" s="6">
        <v>931</v>
      </c>
      <c r="I657" s="6">
        <v>4064</v>
      </c>
      <c r="J657" s="6">
        <v>87</v>
      </c>
      <c r="K657" s="6">
        <v>669</v>
      </c>
      <c r="L657" s="6">
        <v>4064</v>
      </c>
      <c r="M657" s="6">
        <v>18223</v>
      </c>
      <c r="N657" s="6">
        <v>10043</v>
      </c>
      <c r="O657" s="6">
        <v>31734</v>
      </c>
      <c r="P657" s="6">
        <v>4316</v>
      </c>
      <c r="Q657" s="6">
        <v>22590</v>
      </c>
      <c r="R657" s="16">
        <f t="shared" si="432"/>
        <v>18423</v>
      </c>
      <c r="T657" s="140">
        <f t="shared" si="431"/>
        <v>41445</v>
      </c>
    </row>
    <row r="658" spans="1:20" ht="15.6" x14ac:dyDescent="0.3">
      <c r="A658" s="10">
        <v>38806</v>
      </c>
      <c r="B658" s="6">
        <v>1365</v>
      </c>
      <c r="C658" s="6">
        <v>9208</v>
      </c>
      <c r="D658" s="6">
        <v>285</v>
      </c>
      <c r="E658" s="6">
        <v>1719</v>
      </c>
      <c r="F658" s="6">
        <v>1004</v>
      </c>
      <c r="G658" s="6">
        <v>6351</v>
      </c>
      <c r="H658" s="6">
        <v>641</v>
      </c>
      <c r="I658" s="6">
        <v>3622</v>
      </c>
      <c r="J658" s="6">
        <v>234</v>
      </c>
      <c r="K658" s="6">
        <v>645</v>
      </c>
      <c r="L658" s="6">
        <v>3528</v>
      </c>
      <c r="M658" s="6">
        <v>21544</v>
      </c>
      <c r="N658" s="6">
        <v>8755</v>
      </c>
      <c r="O658" s="6">
        <v>28499</v>
      </c>
      <c r="P658" s="6">
        <v>1786</v>
      </c>
      <c r="Q658" s="6">
        <v>19511</v>
      </c>
      <c r="R658" s="16">
        <f t="shared" si="432"/>
        <v>14069</v>
      </c>
      <c r="T658" s="140">
        <f t="shared" si="431"/>
        <v>41452</v>
      </c>
    </row>
    <row r="659" spans="1:20" ht="15.6" x14ac:dyDescent="0.3">
      <c r="A659" s="10">
        <v>39170</v>
      </c>
      <c r="B659" s="6">
        <v>1192</v>
      </c>
      <c r="C659" s="6">
        <v>5442</v>
      </c>
      <c r="D659" s="6">
        <v>729</v>
      </c>
      <c r="E659" s="6">
        <v>3080</v>
      </c>
      <c r="F659" s="6">
        <v>1003</v>
      </c>
      <c r="G659" s="6">
        <v>5291</v>
      </c>
      <c r="H659" s="6">
        <v>879</v>
      </c>
      <c r="I659" s="6">
        <v>4134</v>
      </c>
      <c r="J659" s="6">
        <v>81</v>
      </c>
      <c r="K659" s="6">
        <v>669</v>
      </c>
      <c r="L659" s="6">
        <v>3884</v>
      </c>
      <c r="M659" s="6">
        <v>18617</v>
      </c>
      <c r="N659" s="6">
        <v>9656</v>
      </c>
      <c r="O659" s="6">
        <v>32670</v>
      </c>
      <c r="P659" s="6">
        <v>3789</v>
      </c>
      <c r="Q659" s="6">
        <v>23375</v>
      </c>
      <c r="R659" s="16">
        <f t="shared" si="432"/>
        <v>17329</v>
      </c>
      <c r="T659" s="140">
        <f t="shared" si="431"/>
        <v>41459</v>
      </c>
    </row>
    <row r="660" spans="1:20" ht="15.6" x14ac:dyDescent="0.3">
      <c r="A660" s="10">
        <v>38813</v>
      </c>
      <c r="B660" s="6">
        <v>1316</v>
      </c>
      <c r="C660" s="6">
        <v>9391</v>
      </c>
      <c r="D660" s="6">
        <v>291</v>
      </c>
      <c r="E660" s="6">
        <v>1748</v>
      </c>
      <c r="F660" s="6">
        <v>979</v>
      </c>
      <c r="G660" s="6">
        <v>6439</v>
      </c>
      <c r="H660" s="6">
        <v>633</v>
      </c>
      <c r="I660" s="6">
        <v>3643</v>
      </c>
      <c r="J660" s="6">
        <v>221</v>
      </c>
      <c r="K660" s="6">
        <v>670</v>
      </c>
      <c r="L660" s="6">
        <v>3438</v>
      </c>
      <c r="M660" s="6">
        <v>21890</v>
      </c>
      <c r="N660" s="6">
        <v>8687</v>
      </c>
      <c r="O660" s="6">
        <v>29381</v>
      </c>
      <c r="P660" s="6">
        <v>1942</v>
      </c>
      <c r="Q660" s="6">
        <v>19698</v>
      </c>
      <c r="R660" s="16">
        <f t="shared" si="432"/>
        <v>14067</v>
      </c>
      <c r="T660" s="140">
        <f t="shared" si="431"/>
        <v>41466</v>
      </c>
    </row>
    <row r="661" spans="1:20" ht="15.6" x14ac:dyDescent="0.3">
      <c r="A661" s="10">
        <v>39177</v>
      </c>
      <c r="B661" s="6">
        <v>1277</v>
      </c>
      <c r="C661" s="6">
        <v>5567</v>
      </c>
      <c r="D661" s="6">
        <v>830</v>
      </c>
      <c r="E661" s="6">
        <v>3126</v>
      </c>
      <c r="F661" s="6">
        <v>1139</v>
      </c>
      <c r="G661" s="6">
        <v>5411</v>
      </c>
      <c r="H661" s="6">
        <v>832</v>
      </c>
      <c r="I661" s="6">
        <v>4228</v>
      </c>
      <c r="J661" s="6">
        <v>114</v>
      </c>
      <c r="K661" s="6">
        <v>669</v>
      </c>
      <c r="L661" s="6">
        <v>4193</v>
      </c>
      <c r="M661" s="6">
        <v>19001</v>
      </c>
      <c r="N661" s="6">
        <v>10247</v>
      </c>
      <c r="O661" s="6">
        <v>33405</v>
      </c>
      <c r="P661" s="6">
        <v>3394</v>
      </c>
      <c r="Q661" s="6">
        <v>23908</v>
      </c>
      <c r="R661" s="16">
        <f t="shared" si="432"/>
        <v>17834</v>
      </c>
      <c r="T661" s="140">
        <f t="shared" si="431"/>
        <v>41473</v>
      </c>
    </row>
    <row r="662" spans="1:20" ht="15.6" x14ac:dyDescent="0.3">
      <c r="A662" s="10">
        <v>38820</v>
      </c>
      <c r="B662" s="6">
        <v>1300</v>
      </c>
      <c r="C662" s="6">
        <v>9467</v>
      </c>
      <c r="D662" s="6">
        <v>269</v>
      </c>
      <c r="E662" s="6">
        <v>1788</v>
      </c>
      <c r="F662" s="6">
        <v>1029</v>
      </c>
      <c r="G662" s="6">
        <v>6513</v>
      </c>
      <c r="H662" s="6">
        <v>611</v>
      </c>
      <c r="I662" s="6">
        <v>3673</v>
      </c>
      <c r="J662" s="6">
        <v>220</v>
      </c>
      <c r="K662" s="6">
        <v>670</v>
      </c>
      <c r="L662" s="6">
        <v>3430</v>
      </c>
      <c r="M662" s="6">
        <v>22110</v>
      </c>
      <c r="N662" s="6">
        <v>8888</v>
      </c>
      <c r="O662" s="6">
        <v>30282</v>
      </c>
      <c r="P662" s="6">
        <v>1848</v>
      </c>
      <c r="Q662" s="6">
        <v>19987</v>
      </c>
      <c r="R662" s="16">
        <f t="shared" si="432"/>
        <v>14166</v>
      </c>
      <c r="T662" s="140">
        <f t="shared" si="431"/>
        <v>41480</v>
      </c>
    </row>
    <row r="663" spans="1:20" ht="15.6" x14ac:dyDescent="0.3">
      <c r="A663" s="10">
        <v>39184</v>
      </c>
      <c r="B663" s="6">
        <v>1169</v>
      </c>
      <c r="C663" s="6">
        <v>5761</v>
      </c>
      <c r="D663" s="6">
        <v>740</v>
      </c>
      <c r="E663" s="6">
        <v>3271</v>
      </c>
      <c r="F663" s="6">
        <v>1084</v>
      </c>
      <c r="G663" s="6">
        <v>5572</v>
      </c>
      <c r="H663" s="6">
        <v>722</v>
      </c>
      <c r="I663" s="6">
        <v>4413</v>
      </c>
      <c r="J663" s="6">
        <v>128</v>
      </c>
      <c r="K663" s="6">
        <v>678</v>
      </c>
      <c r="L663" s="6">
        <v>3842</v>
      </c>
      <c r="M663" s="6">
        <v>19695</v>
      </c>
      <c r="N663" s="6">
        <v>10152</v>
      </c>
      <c r="O663" s="6">
        <v>34302</v>
      </c>
      <c r="P663" s="6">
        <v>3201</v>
      </c>
      <c r="Q663" s="6">
        <v>24385</v>
      </c>
      <c r="R663" s="16">
        <f t="shared" si="432"/>
        <v>17195</v>
      </c>
      <c r="T663" s="140">
        <f t="shared" si="431"/>
        <v>41487</v>
      </c>
    </row>
    <row r="664" spans="1:20" ht="15.6" x14ac:dyDescent="0.3">
      <c r="A664" s="10">
        <v>38827</v>
      </c>
      <c r="B664" s="6">
        <v>1177</v>
      </c>
      <c r="C664" s="6">
        <v>9640</v>
      </c>
      <c r="D664" s="6">
        <v>262</v>
      </c>
      <c r="E664" s="6">
        <v>1798</v>
      </c>
      <c r="F664" s="6">
        <v>949</v>
      </c>
      <c r="G664" s="6">
        <v>6637</v>
      </c>
      <c r="H664" s="6">
        <v>537</v>
      </c>
      <c r="I664" s="6">
        <v>3775</v>
      </c>
      <c r="J664" s="6">
        <v>152</v>
      </c>
      <c r="K664" s="6">
        <v>777</v>
      </c>
      <c r="L664" s="6">
        <v>3076</v>
      </c>
      <c r="M664" s="6">
        <v>22627</v>
      </c>
      <c r="N664" s="6">
        <v>8475</v>
      </c>
      <c r="O664" s="6">
        <v>31478</v>
      </c>
      <c r="P664" s="6">
        <v>1687</v>
      </c>
      <c r="Q664" s="6">
        <v>20260</v>
      </c>
      <c r="R664" s="16">
        <f t="shared" si="432"/>
        <v>13238</v>
      </c>
      <c r="T664" s="140">
        <f t="shared" si="431"/>
        <v>41494</v>
      </c>
    </row>
    <row r="665" spans="1:20" ht="15.6" x14ac:dyDescent="0.3">
      <c r="A665" s="10">
        <v>39191</v>
      </c>
      <c r="B665" s="6">
        <v>1196</v>
      </c>
      <c r="C665" s="6">
        <v>5887</v>
      </c>
      <c r="D665" s="6">
        <v>716</v>
      </c>
      <c r="E665" s="6">
        <v>3325</v>
      </c>
      <c r="F665" s="6">
        <v>1051</v>
      </c>
      <c r="G665" s="6">
        <v>5653</v>
      </c>
      <c r="H665" s="6">
        <v>685</v>
      </c>
      <c r="I665" s="6">
        <v>4501</v>
      </c>
      <c r="J665" s="6">
        <v>123</v>
      </c>
      <c r="K665" s="6">
        <v>678</v>
      </c>
      <c r="L665" s="6">
        <v>3771</v>
      </c>
      <c r="M665" s="6">
        <v>20044</v>
      </c>
      <c r="N665" s="6">
        <v>10350</v>
      </c>
      <c r="O665" s="6">
        <v>35210</v>
      </c>
      <c r="P665" s="6">
        <v>3169</v>
      </c>
      <c r="Q665" s="6">
        <v>24839</v>
      </c>
      <c r="R665" s="16">
        <f t="shared" si="432"/>
        <v>17290</v>
      </c>
      <c r="T665" s="140">
        <f t="shared" si="431"/>
        <v>41501</v>
      </c>
    </row>
    <row r="666" spans="1:20" ht="15.6" x14ac:dyDescent="0.3">
      <c r="A666" s="10">
        <v>38834</v>
      </c>
      <c r="B666" s="6">
        <v>1066</v>
      </c>
      <c r="C666" s="6">
        <v>9807</v>
      </c>
      <c r="D666" s="6">
        <v>282</v>
      </c>
      <c r="E666" s="6">
        <v>1841</v>
      </c>
      <c r="F666" s="6">
        <v>912</v>
      </c>
      <c r="G666" s="6">
        <v>6793</v>
      </c>
      <c r="H666" s="6">
        <v>437</v>
      </c>
      <c r="I666" s="6">
        <v>4016</v>
      </c>
      <c r="J666" s="6">
        <v>163</v>
      </c>
      <c r="K666" s="6">
        <v>777</v>
      </c>
      <c r="L666" s="6">
        <v>2859</v>
      </c>
      <c r="M666" s="6">
        <v>23233</v>
      </c>
      <c r="N666" s="6">
        <v>8703</v>
      </c>
      <c r="O666" s="6">
        <v>32533</v>
      </c>
      <c r="P666" s="6">
        <v>1509</v>
      </c>
      <c r="Q666" s="6">
        <v>20620</v>
      </c>
      <c r="R666" s="16">
        <f t="shared" si="432"/>
        <v>13071</v>
      </c>
      <c r="T666" s="140">
        <f t="shared" si="431"/>
        <v>41508</v>
      </c>
    </row>
    <row r="667" spans="1:20" ht="15.6" x14ac:dyDescent="0.3">
      <c r="A667" s="10">
        <v>39198</v>
      </c>
      <c r="B667" s="6">
        <v>1141</v>
      </c>
      <c r="C667" s="6">
        <v>6050</v>
      </c>
      <c r="D667" s="6">
        <v>651</v>
      </c>
      <c r="E667" s="6">
        <v>3402</v>
      </c>
      <c r="F667" s="6">
        <v>946</v>
      </c>
      <c r="G667" s="6">
        <v>5768</v>
      </c>
      <c r="H667" s="6">
        <v>617</v>
      </c>
      <c r="I667" s="6">
        <v>4590</v>
      </c>
      <c r="J667" s="6">
        <v>123</v>
      </c>
      <c r="K667" s="6">
        <v>681</v>
      </c>
      <c r="L667" s="6">
        <v>3478</v>
      </c>
      <c r="M667" s="6">
        <v>20490</v>
      </c>
      <c r="N667" s="6">
        <v>9880</v>
      </c>
      <c r="O667" s="6">
        <v>36296</v>
      </c>
      <c r="P667" s="6">
        <v>2667</v>
      </c>
      <c r="Q667" s="6">
        <v>25270</v>
      </c>
      <c r="R667" s="16">
        <f t="shared" si="432"/>
        <v>16025</v>
      </c>
      <c r="T667" s="140">
        <f t="shared" si="431"/>
        <v>41515</v>
      </c>
    </row>
    <row r="668" spans="1:20" ht="15.6" x14ac:dyDescent="0.3">
      <c r="A668" s="10">
        <v>38841</v>
      </c>
      <c r="B668" s="6">
        <v>882</v>
      </c>
      <c r="C668" s="6">
        <v>9939</v>
      </c>
      <c r="D668" s="6">
        <v>305</v>
      </c>
      <c r="E668" s="6">
        <v>1875</v>
      </c>
      <c r="F668" s="6">
        <v>794</v>
      </c>
      <c r="G668" s="6">
        <v>6870</v>
      </c>
      <c r="H668" s="6">
        <v>477</v>
      </c>
      <c r="I668" s="6">
        <v>4032</v>
      </c>
      <c r="J668" s="6">
        <v>122</v>
      </c>
      <c r="K668" s="6">
        <v>830</v>
      </c>
      <c r="L668" s="6">
        <v>2579</v>
      </c>
      <c r="M668" s="6">
        <v>23547</v>
      </c>
      <c r="N668" s="6">
        <v>8703</v>
      </c>
      <c r="O668" s="6">
        <v>33638</v>
      </c>
      <c r="P668" s="6">
        <v>1634</v>
      </c>
      <c r="Q668" s="6">
        <v>20884</v>
      </c>
      <c r="R668" s="16">
        <f t="shared" si="432"/>
        <v>12916</v>
      </c>
      <c r="T668" s="140">
        <f t="shared" si="431"/>
        <v>41522</v>
      </c>
    </row>
    <row r="669" spans="1:20" ht="15.6" x14ac:dyDescent="0.3">
      <c r="A669" s="10">
        <v>39205</v>
      </c>
      <c r="B669" s="6">
        <v>1036</v>
      </c>
      <c r="C669" s="6">
        <v>6215</v>
      </c>
      <c r="D669" s="6">
        <v>526</v>
      </c>
      <c r="E669" s="6">
        <v>3527</v>
      </c>
      <c r="F669" s="6">
        <v>950</v>
      </c>
      <c r="G669" s="6">
        <v>5839</v>
      </c>
      <c r="H669" s="6">
        <v>609</v>
      </c>
      <c r="I669" s="6">
        <v>4615</v>
      </c>
      <c r="J669" s="6">
        <v>105</v>
      </c>
      <c r="K669" s="6">
        <v>731</v>
      </c>
      <c r="L669" s="6">
        <v>3226</v>
      </c>
      <c r="M669" s="6">
        <v>20927</v>
      </c>
      <c r="N669" s="6">
        <v>9468</v>
      </c>
      <c r="O669" s="6">
        <v>37232</v>
      </c>
      <c r="P669" s="6">
        <v>2475</v>
      </c>
      <c r="Q669" s="6">
        <v>25666</v>
      </c>
      <c r="R669" s="16">
        <f t="shared" si="432"/>
        <v>15169</v>
      </c>
      <c r="T669" s="140">
        <f t="shared" si="431"/>
        <v>41529</v>
      </c>
    </row>
    <row r="670" spans="1:20" ht="15.6" x14ac:dyDescent="0.3">
      <c r="A670" s="10">
        <v>38848</v>
      </c>
      <c r="B670" s="6">
        <v>843</v>
      </c>
      <c r="C670" s="6">
        <v>10072</v>
      </c>
      <c r="D670" s="6">
        <v>283</v>
      </c>
      <c r="E670" s="6">
        <v>1925</v>
      </c>
      <c r="F670" s="6">
        <v>645</v>
      </c>
      <c r="G670" s="6">
        <v>7022</v>
      </c>
      <c r="H670" s="6">
        <v>417</v>
      </c>
      <c r="I670" s="6">
        <v>4073</v>
      </c>
      <c r="J670" s="6">
        <v>86</v>
      </c>
      <c r="K670" s="6">
        <v>859</v>
      </c>
      <c r="L670" s="6">
        <v>2274</v>
      </c>
      <c r="M670" s="6">
        <v>23951</v>
      </c>
      <c r="N670" s="6">
        <v>9157</v>
      </c>
      <c r="O670" s="6">
        <v>34723</v>
      </c>
      <c r="P670" s="6">
        <v>1764</v>
      </c>
      <c r="Q670" s="6">
        <v>21086</v>
      </c>
      <c r="R670" s="16">
        <f t="shared" si="432"/>
        <v>13195</v>
      </c>
      <c r="T670" s="140">
        <f t="shared" si="431"/>
        <v>41536</v>
      </c>
    </row>
    <row r="671" spans="1:20" ht="15.6" x14ac:dyDescent="0.3">
      <c r="A671" s="10">
        <v>39212</v>
      </c>
      <c r="B671" s="6">
        <v>971</v>
      </c>
      <c r="C671" s="6">
        <v>6320</v>
      </c>
      <c r="D671" s="6">
        <v>426</v>
      </c>
      <c r="E671" s="6">
        <v>3661</v>
      </c>
      <c r="F671" s="6">
        <v>789</v>
      </c>
      <c r="G671" s="6">
        <v>5995</v>
      </c>
      <c r="H671" s="6">
        <v>432</v>
      </c>
      <c r="I671" s="6">
        <v>4782</v>
      </c>
      <c r="J671" s="6">
        <v>99</v>
      </c>
      <c r="K671" s="6">
        <v>737</v>
      </c>
      <c r="L671" s="6">
        <v>2716</v>
      </c>
      <c r="M671" s="6">
        <v>21494</v>
      </c>
      <c r="N671" s="6">
        <v>9835</v>
      </c>
      <c r="O671" s="6">
        <v>38309</v>
      </c>
      <c r="P671" s="6">
        <v>2454</v>
      </c>
      <c r="Q671" s="6">
        <v>25910</v>
      </c>
      <c r="R671" s="16">
        <f t="shared" si="432"/>
        <v>15005</v>
      </c>
      <c r="T671" s="140">
        <f t="shared" si="431"/>
        <v>41543</v>
      </c>
    </row>
    <row r="672" spans="1:20" ht="15.6" x14ac:dyDescent="0.3">
      <c r="A672" s="10">
        <v>38855</v>
      </c>
      <c r="B672" s="6">
        <v>678</v>
      </c>
      <c r="C672" s="6">
        <v>10253</v>
      </c>
      <c r="D672" s="6">
        <v>244</v>
      </c>
      <c r="E672" s="6">
        <v>1979</v>
      </c>
      <c r="F672" s="6">
        <v>518</v>
      </c>
      <c r="G672" s="6">
        <v>7142</v>
      </c>
      <c r="H672" s="6">
        <v>347</v>
      </c>
      <c r="I672" s="6">
        <v>4122</v>
      </c>
      <c r="J672" s="6">
        <v>35</v>
      </c>
      <c r="K672" s="6">
        <v>912</v>
      </c>
      <c r="L672" s="6">
        <v>1821</v>
      </c>
      <c r="M672" s="6">
        <v>24408</v>
      </c>
      <c r="N672" s="6">
        <v>8816</v>
      </c>
      <c r="O672" s="6">
        <v>36201</v>
      </c>
      <c r="P672" s="6">
        <v>1818</v>
      </c>
      <c r="Q672" s="6">
        <v>21266</v>
      </c>
      <c r="R672" s="16">
        <f t="shared" si="432"/>
        <v>12455</v>
      </c>
      <c r="T672" s="140">
        <f t="shared" si="431"/>
        <v>41550</v>
      </c>
    </row>
    <row r="673" spans="1:46" ht="15.6" x14ac:dyDescent="0.3">
      <c r="A673" s="10">
        <v>39219</v>
      </c>
      <c r="B673" s="6">
        <v>820</v>
      </c>
      <c r="C673" s="6">
        <v>6540</v>
      </c>
      <c r="D673" s="6">
        <v>336</v>
      </c>
      <c r="E673" s="6">
        <v>3733</v>
      </c>
      <c r="F673" s="6">
        <v>577</v>
      </c>
      <c r="G673" s="6">
        <v>6125</v>
      </c>
      <c r="H673" s="6">
        <v>287</v>
      </c>
      <c r="I673" s="6">
        <v>4889</v>
      </c>
      <c r="J673" s="6">
        <v>28</v>
      </c>
      <c r="K673" s="6">
        <v>739</v>
      </c>
      <c r="L673" s="6">
        <v>2048</v>
      </c>
      <c r="M673" s="6">
        <v>22025</v>
      </c>
      <c r="N673" s="6">
        <v>9682</v>
      </c>
      <c r="O673" s="6">
        <v>39119</v>
      </c>
      <c r="P673" s="6">
        <v>2207</v>
      </c>
      <c r="Q673" s="6">
        <v>26240</v>
      </c>
      <c r="R673" s="16">
        <f t="shared" si="432"/>
        <v>13937</v>
      </c>
      <c r="T673" s="140">
        <f t="shared" si="431"/>
        <v>41557</v>
      </c>
    </row>
    <row r="674" spans="1:46" ht="15.6" x14ac:dyDescent="0.3">
      <c r="A674" s="10">
        <v>38862</v>
      </c>
      <c r="B674" s="6">
        <v>473</v>
      </c>
      <c r="C674" s="6">
        <v>10459</v>
      </c>
      <c r="D674" s="6">
        <v>167</v>
      </c>
      <c r="E674" s="6">
        <v>2037</v>
      </c>
      <c r="F674" s="6">
        <v>380</v>
      </c>
      <c r="G674" s="6">
        <v>7244</v>
      </c>
      <c r="H674" s="6">
        <v>312</v>
      </c>
      <c r="I674" s="6">
        <v>4159</v>
      </c>
      <c r="J674" s="6">
        <v>9</v>
      </c>
      <c r="K674" s="6">
        <v>930</v>
      </c>
      <c r="L674" s="6">
        <v>1341</v>
      </c>
      <c r="M674" s="6">
        <v>24828</v>
      </c>
      <c r="N674" s="6">
        <v>8717</v>
      </c>
      <c r="O674" s="6">
        <v>37455</v>
      </c>
      <c r="P674" s="6">
        <v>1809</v>
      </c>
      <c r="Q674" s="6">
        <v>21622</v>
      </c>
      <c r="R674" s="16">
        <f t="shared" si="432"/>
        <v>11867</v>
      </c>
    </row>
    <row r="675" spans="1:46" ht="15.6" x14ac:dyDescent="0.3">
      <c r="A675" s="10">
        <v>39226</v>
      </c>
      <c r="B675" s="6">
        <v>560</v>
      </c>
      <c r="C675" s="6">
        <v>6650</v>
      </c>
      <c r="D675" s="6">
        <v>290</v>
      </c>
      <c r="E675" s="6">
        <v>3793</v>
      </c>
      <c r="F675" s="6">
        <v>375</v>
      </c>
      <c r="G675" s="6">
        <v>6265</v>
      </c>
      <c r="H675" s="6">
        <v>167</v>
      </c>
      <c r="I675" s="6">
        <v>4960</v>
      </c>
      <c r="J675" s="6">
        <v>27</v>
      </c>
      <c r="K675" s="6">
        <v>739</v>
      </c>
      <c r="L675" s="6">
        <v>1419</v>
      </c>
      <c r="M675" s="6">
        <v>22406</v>
      </c>
      <c r="N675" s="6">
        <v>9268</v>
      </c>
      <c r="O675" s="6">
        <v>40209</v>
      </c>
      <c r="P675" s="6">
        <v>2332</v>
      </c>
      <c r="Q675" s="6">
        <v>26461</v>
      </c>
      <c r="R675" s="16">
        <f t="shared" si="432"/>
        <v>13019</v>
      </c>
    </row>
    <row r="676" spans="1:46" ht="15.6" x14ac:dyDescent="0.3">
      <c r="A676" s="10">
        <v>38869</v>
      </c>
      <c r="B676" s="6">
        <v>256</v>
      </c>
      <c r="C676" s="6">
        <v>10644</v>
      </c>
      <c r="D676" s="6">
        <v>154</v>
      </c>
      <c r="E676" s="6">
        <v>2053</v>
      </c>
      <c r="F676" s="6">
        <v>268</v>
      </c>
      <c r="G676" s="6">
        <v>7395</v>
      </c>
      <c r="H676" s="6">
        <v>185</v>
      </c>
      <c r="I676" s="6">
        <v>4287</v>
      </c>
      <c r="J676" s="6">
        <v>4</v>
      </c>
      <c r="K676" s="6">
        <v>941</v>
      </c>
      <c r="L676" s="6">
        <v>866</v>
      </c>
      <c r="M676" s="6">
        <v>25320</v>
      </c>
      <c r="N676" s="6">
        <v>8420</v>
      </c>
      <c r="O676" s="6">
        <v>38620</v>
      </c>
      <c r="P676" s="6">
        <v>1733</v>
      </c>
      <c r="Q676" s="6">
        <v>21878</v>
      </c>
      <c r="R676" s="16">
        <f t="shared" si="432"/>
        <v>11019</v>
      </c>
    </row>
    <row r="677" spans="1:46" ht="15.6" x14ac:dyDescent="0.3">
      <c r="A677" s="10">
        <v>39233</v>
      </c>
      <c r="B677" s="6">
        <v>362</v>
      </c>
      <c r="C677" s="6">
        <v>6800</v>
      </c>
      <c r="D677" s="6">
        <v>216</v>
      </c>
      <c r="E677" s="6">
        <v>3866</v>
      </c>
      <c r="F677" s="6">
        <v>171</v>
      </c>
      <c r="G677" s="6">
        <v>6480</v>
      </c>
      <c r="H677" s="6">
        <v>132</v>
      </c>
      <c r="I677" s="6">
        <v>4996</v>
      </c>
      <c r="J677" s="6">
        <v>6</v>
      </c>
      <c r="K677" s="6">
        <v>761</v>
      </c>
      <c r="L677" s="6">
        <v>886</v>
      </c>
      <c r="M677" s="6">
        <v>22902</v>
      </c>
      <c r="N677" s="6">
        <v>8642</v>
      </c>
      <c r="O677" s="6">
        <v>41211</v>
      </c>
      <c r="P677" s="6">
        <v>2392</v>
      </c>
      <c r="Q677" s="6">
        <v>26601</v>
      </c>
      <c r="R677" s="16">
        <f t="shared" si="432"/>
        <v>11920</v>
      </c>
    </row>
    <row r="678" spans="1:46" ht="15.6" x14ac:dyDescent="0.3">
      <c r="A678" s="10">
        <v>38876</v>
      </c>
      <c r="B678" s="6">
        <v>1028</v>
      </c>
      <c r="C678" s="6">
        <v>105</v>
      </c>
      <c r="D678" s="6">
        <v>448</v>
      </c>
      <c r="E678" s="6">
        <v>26</v>
      </c>
      <c r="F678" s="6">
        <v>1217</v>
      </c>
      <c r="G678" s="6">
        <v>166</v>
      </c>
      <c r="H678" s="6">
        <v>727</v>
      </c>
      <c r="I678" s="6">
        <v>123</v>
      </c>
      <c r="J678" s="6">
        <v>305</v>
      </c>
      <c r="K678" s="6">
        <v>4</v>
      </c>
      <c r="L678" s="6">
        <v>3724</v>
      </c>
      <c r="M678" s="6">
        <v>424</v>
      </c>
      <c r="N678" s="6">
        <v>8746</v>
      </c>
      <c r="O678" s="6">
        <v>39759</v>
      </c>
      <c r="P678" s="6">
        <v>1901</v>
      </c>
      <c r="Q678" s="6">
        <v>22094</v>
      </c>
      <c r="R678" s="16">
        <f t="shared" si="432"/>
        <v>14371</v>
      </c>
    </row>
    <row r="679" spans="1:46" ht="15.6" x14ac:dyDescent="0.3">
      <c r="A679" s="10">
        <v>39240</v>
      </c>
      <c r="B679" s="6">
        <v>1595</v>
      </c>
      <c r="C679" s="6">
        <v>62</v>
      </c>
      <c r="D679" s="6">
        <v>1033</v>
      </c>
      <c r="E679" s="6">
        <v>45</v>
      </c>
      <c r="F679" s="6">
        <v>922</v>
      </c>
      <c r="G679" s="6">
        <v>92</v>
      </c>
      <c r="H679" s="6">
        <v>718</v>
      </c>
      <c r="I679" s="6">
        <v>56</v>
      </c>
      <c r="J679" s="6">
        <v>209</v>
      </c>
      <c r="K679" s="6">
        <v>12</v>
      </c>
      <c r="L679" s="6">
        <v>4476</v>
      </c>
      <c r="M679" s="6">
        <v>268</v>
      </c>
      <c r="N679" s="6">
        <v>8343</v>
      </c>
      <c r="O679" s="6">
        <v>42042</v>
      </c>
      <c r="P679" s="6">
        <v>2262</v>
      </c>
      <c r="Q679" s="6">
        <v>26952</v>
      </c>
      <c r="R679" s="16">
        <f t="shared" si="432"/>
        <v>15081</v>
      </c>
    </row>
    <row r="680" spans="1:46" ht="15.6" x14ac:dyDescent="0.3">
      <c r="A680" s="10">
        <v>38883</v>
      </c>
      <c r="B680" s="6">
        <v>1034</v>
      </c>
      <c r="C680" s="6">
        <v>235</v>
      </c>
      <c r="D680" s="6">
        <v>454</v>
      </c>
      <c r="E680" s="6">
        <v>76</v>
      </c>
      <c r="F680" s="6">
        <v>1172</v>
      </c>
      <c r="G680" s="6">
        <v>301</v>
      </c>
      <c r="H680" s="6">
        <v>683</v>
      </c>
      <c r="I680" s="6">
        <v>202</v>
      </c>
      <c r="J680" s="6">
        <v>257</v>
      </c>
      <c r="K680" s="6">
        <v>51</v>
      </c>
      <c r="L680" s="6">
        <v>3600</v>
      </c>
      <c r="M680" s="6">
        <v>865</v>
      </c>
      <c r="N680" s="6">
        <v>9037</v>
      </c>
      <c r="O680" s="6">
        <v>41043</v>
      </c>
      <c r="P680" s="6">
        <v>1893</v>
      </c>
      <c r="Q680" s="6">
        <v>22302</v>
      </c>
      <c r="R680" s="16">
        <f t="shared" si="432"/>
        <v>14530</v>
      </c>
    </row>
    <row r="681" spans="1:46" ht="15.6" x14ac:dyDescent="0.3">
      <c r="A681" s="10">
        <v>39247</v>
      </c>
      <c r="B681" s="6">
        <v>1560</v>
      </c>
      <c r="C681" s="6">
        <v>244</v>
      </c>
      <c r="D681" s="6">
        <v>1100</v>
      </c>
      <c r="E681" s="6">
        <v>101</v>
      </c>
      <c r="F681" s="6">
        <v>1023</v>
      </c>
      <c r="G681" s="6">
        <v>149</v>
      </c>
      <c r="H681" s="6">
        <v>754</v>
      </c>
      <c r="I681" s="6">
        <v>133</v>
      </c>
      <c r="J681" s="6">
        <v>209</v>
      </c>
      <c r="K681" s="6">
        <v>12</v>
      </c>
      <c r="L681" s="6">
        <v>4646</v>
      </c>
      <c r="M681" s="6">
        <v>639</v>
      </c>
      <c r="N681" s="6">
        <v>8274</v>
      </c>
      <c r="O681" s="6">
        <v>42933</v>
      </c>
      <c r="P681" s="6">
        <v>2454</v>
      </c>
      <c r="Q681" s="6">
        <v>27119</v>
      </c>
      <c r="R681" s="16">
        <f t="shared" si="432"/>
        <v>15374</v>
      </c>
    </row>
    <row r="682" spans="1:46" ht="15.6" x14ac:dyDescent="0.3">
      <c r="A682" s="10">
        <v>38890</v>
      </c>
      <c r="B682" s="6">
        <v>1092</v>
      </c>
      <c r="C682" s="6">
        <v>328</v>
      </c>
      <c r="D682" s="6">
        <v>481</v>
      </c>
      <c r="E682" s="6">
        <v>177</v>
      </c>
      <c r="F682" s="6">
        <v>1181</v>
      </c>
      <c r="G682" s="6">
        <v>417</v>
      </c>
      <c r="H682" s="6">
        <v>762</v>
      </c>
      <c r="I682" s="6">
        <v>258</v>
      </c>
      <c r="J682" s="6">
        <v>252</v>
      </c>
      <c r="K682" s="6">
        <v>57</v>
      </c>
      <c r="L682" s="6">
        <v>3770</v>
      </c>
      <c r="M682" s="6">
        <v>1237</v>
      </c>
      <c r="N682" s="6">
        <v>9214</v>
      </c>
      <c r="O682" s="6">
        <v>42220</v>
      </c>
      <c r="P682" s="6">
        <v>1954</v>
      </c>
      <c r="Q682" s="6">
        <v>22600</v>
      </c>
      <c r="R682" s="16">
        <f t="shared" si="432"/>
        <v>14938</v>
      </c>
      <c r="S682" s="14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8"/>
      <c r="AT682" s="8"/>
    </row>
    <row r="683" spans="1:46" ht="15.6" x14ac:dyDescent="0.3">
      <c r="A683" s="10">
        <v>39254</v>
      </c>
      <c r="B683" s="6">
        <v>1572</v>
      </c>
      <c r="C683" s="6">
        <v>363</v>
      </c>
      <c r="D683" s="6">
        <v>985</v>
      </c>
      <c r="E683" s="6">
        <v>337</v>
      </c>
      <c r="F683" s="6">
        <v>1325</v>
      </c>
      <c r="G683" s="6">
        <v>165</v>
      </c>
      <c r="H683" s="6">
        <v>719</v>
      </c>
      <c r="I683" s="6">
        <v>205</v>
      </c>
      <c r="J683" s="6">
        <v>225</v>
      </c>
      <c r="K683" s="6">
        <v>12</v>
      </c>
      <c r="L683" s="6">
        <v>4825</v>
      </c>
      <c r="M683" s="6">
        <v>1083</v>
      </c>
      <c r="N683" s="6">
        <v>8171</v>
      </c>
      <c r="O683" s="6">
        <v>43799</v>
      </c>
      <c r="P683" s="6">
        <v>2282</v>
      </c>
      <c r="Q683" s="6">
        <v>27531</v>
      </c>
      <c r="R683" s="16">
        <f t="shared" si="432"/>
        <v>15278</v>
      </c>
      <c r="S683" s="14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8"/>
      <c r="AT683" s="8"/>
    </row>
    <row r="684" spans="1:46" ht="15.6" x14ac:dyDescent="0.3">
      <c r="A684" s="10">
        <v>38897</v>
      </c>
      <c r="B684" s="6">
        <v>1107</v>
      </c>
      <c r="C684" s="6">
        <v>396</v>
      </c>
      <c r="D684" s="6">
        <v>467</v>
      </c>
      <c r="E684" s="6">
        <v>228</v>
      </c>
      <c r="F684" s="6">
        <v>1154</v>
      </c>
      <c r="G684" s="6">
        <v>555</v>
      </c>
      <c r="H684" s="6">
        <v>692</v>
      </c>
      <c r="I684" s="6">
        <v>356</v>
      </c>
      <c r="J684" s="6">
        <v>266</v>
      </c>
      <c r="K684" s="6">
        <v>84</v>
      </c>
      <c r="L684" s="6">
        <v>3686</v>
      </c>
      <c r="M684" s="6">
        <v>1619</v>
      </c>
      <c r="N684" s="6">
        <v>9000</v>
      </c>
      <c r="O684" s="6">
        <v>43223</v>
      </c>
      <c r="P684" s="6">
        <v>1943</v>
      </c>
      <c r="Q684" s="6">
        <v>22826</v>
      </c>
      <c r="R684" s="16">
        <f t="shared" si="432"/>
        <v>14629</v>
      </c>
      <c r="S684" s="14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8"/>
      <c r="AT684" s="8"/>
    </row>
    <row r="685" spans="1:46" ht="15.6" x14ac:dyDescent="0.3">
      <c r="A685" s="77">
        <v>39261</v>
      </c>
      <c r="B685" s="6">
        <v>1625</v>
      </c>
      <c r="C685" s="6">
        <v>538</v>
      </c>
      <c r="D685" s="6">
        <v>925</v>
      </c>
      <c r="E685" s="6">
        <v>522</v>
      </c>
      <c r="F685" s="6">
        <v>1244</v>
      </c>
      <c r="G685" s="6">
        <v>346</v>
      </c>
      <c r="H685" s="6">
        <v>759</v>
      </c>
      <c r="I685" s="6">
        <v>247</v>
      </c>
      <c r="J685" s="6">
        <v>219</v>
      </c>
      <c r="K685" s="6">
        <v>20</v>
      </c>
      <c r="L685" s="6">
        <v>4773</v>
      </c>
      <c r="M685" s="6">
        <v>1673</v>
      </c>
      <c r="N685" s="6">
        <v>8378</v>
      </c>
      <c r="O685" s="6">
        <v>44650</v>
      </c>
      <c r="P685" s="6">
        <v>2190</v>
      </c>
      <c r="Q685" s="6">
        <v>27815</v>
      </c>
      <c r="R685" s="16">
        <f t="shared" si="432"/>
        <v>15341</v>
      </c>
      <c r="S685" s="14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8"/>
      <c r="AT685" s="8"/>
    </row>
    <row r="686" spans="1:46" ht="15.6" x14ac:dyDescent="0.3">
      <c r="A686" s="10">
        <v>38904</v>
      </c>
      <c r="B686" s="6">
        <v>1087</v>
      </c>
      <c r="C686" s="6">
        <v>448</v>
      </c>
      <c r="D686" s="6">
        <v>473</v>
      </c>
      <c r="E686" s="6">
        <v>241</v>
      </c>
      <c r="F686" s="6">
        <v>1045</v>
      </c>
      <c r="G686" s="6">
        <v>713</v>
      </c>
      <c r="H686" s="6">
        <v>705</v>
      </c>
      <c r="I686" s="6">
        <v>423</v>
      </c>
      <c r="J686" s="6">
        <v>284</v>
      </c>
      <c r="K686" s="6">
        <v>90</v>
      </c>
      <c r="L686" s="6">
        <v>3592</v>
      </c>
      <c r="M686" s="6">
        <v>1914</v>
      </c>
      <c r="N686" s="6">
        <v>8656</v>
      </c>
      <c r="O686" s="6">
        <v>44157</v>
      </c>
      <c r="P686" s="6">
        <v>2119</v>
      </c>
      <c r="Q686" s="6">
        <v>22967</v>
      </c>
      <c r="R686" s="16">
        <f t="shared" si="432"/>
        <v>14367</v>
      </c>
      <c r="S686" s="14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8"/>
      <c r="AT686" s="8"/>
    </row>
    <row r="687" spans="1:46" ht="15.6" x14ac:dyDescent="0.3">
      <c r="A687" s="10">
        <v>39268</v>
      </c>
      <c r="B687" s="6">
        <v>1842</v>
      </c>
      <c r="C687" s="6">
        <v>671</v>
      </c>
      <c r="D687" s="6">
        <v>1205</v>
      </c>
      <c r="E687" s="6">
        <v>606</v>
      </c>
      <c r="F687" s="6">
        <v>1390</v>
      </c>
      <c r="G687" s="6">
        <v>384</v>
      </c>
      <c r="H687" s="6">
        <v>949</v>
      </c>
      <c r="I687" s="6">
        <v>316</v>
      </c>
      <c r="J687" s="6">
        <v>248</v>
      </c>
      <c r="K687" s="6">
        <v>20</v>
      </c>
      <c r="L687" s="6">
        <v>5633</v>
      </c>
      <c r="M687" s="6">
        <v>1997</v>
      </c>
      <c r="N687" s="6">
        <v>8573</v>
      </c>
      <c r="O687" s="6">
        <v>45462</v>
      </c>
      <c r="P687" s="6">
        <v>2147</v>
      </c>
      <c r="Q687" s="6">
        <v>28002</v>
      </c>
      <c r="R687" s="16">
        <f t="shared" si="432"/>
        <v>16353</v>
      </c>
      <c r="S687" s="14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8"/>
      <c r="AT687" s="8"/>
    </row>
    <row r="688" spans="1:46" ht="15.6" x14ac:dyDescent="0.3">
      <c r="A688" s="10">
        <v>38911</v>
      </c>
      <c r="B688" s="6">
        <v>989</v>
      </c>
      <c r="C688" s="6">
        <v>646</v>
      </c>
      <c r="D688" s="6">
        <v>511</v>
      </c>
      <c r="E688" s="6">
        <v>285</v>
      </c>
      <c r="F688" s="6">
        <v>982</v>
      </c>
      <c r="G688" s="6">
        <v>877</v>
      </c>
      <c r="H688" s="6">
        <v>696</v>
      </c>
      <c r="I688" s="6">
        <v>477</v>
      </c>
      <c r="J688" s="6">
        <v>284</v>
      </c>
      <c r="K688" s="6">
        <v>90</v>
      </c>
      <c r="L688" s="6">
        <v>3461</v>
      </c>
      <c r="M688" s="6">
        <v>2375</v>
      </c>
      <c r="N688" s="6">
        <v>7794</v>
      </c>
      <c r="O688" s="6">
        <v>45355</v>
      </c>
      <c r="P688" s="6">
        <v>2000</v>
      </c>
      <c r="Q688" s="6">
        <v>23322</v>
      </c>
      <c r="R688" s="16">
        <f t="shared" si="432"/>
        <v>13255</v>
      </c>
      <c r="S688" s="14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8"/>
      <c r="AT688" s="8"/>
    </row>
    <row r="689" spans="1:46" ht="15.6" x14ac:dyDescent="0.3">
      <c r="A689" s="10">
        <v>39275</v>
      </c>
      <c r="B689" s="6">
        <v>1915</v>
      </c>
      <c r="C689" s="6">
        <v>946</v>
      </c>
      <c r="D689" s="6">
        <v>1280</v>
      </c>
      <c r="E689" s="6">
        <v>649</v>
      </c>
      <c r="F689" s="6">
        <v>1495</v>
      </c>
      <c r="G689" s="6">
        <v>500</v>
      </c>
      <c r="H689" s="6">
        <v>960</v>
      </c>
      <c r="I689" s="6">
        <v>351</v>
      </c>
      <c r="J689" s="6">
        <v>277</v>
      </c>
      <c r="K689" s="6">
        <v>20</v>
      </c>
      <c r="L689" s="6">
        <v>5927</v>
      </c>
      <c r="M689" s="6">
        <v>2466</v>
      </c>
      <c r="N689" s="6">
        <v>8041</v>
      </c>
      <c r="O689" s="6">
        <v>46663</v>
      </c>
      <c r="P689" s="6">
        <v>2005</v>
      </c>
      <c r="Q689" s="6">
        <v>28325</v>
      </c>
      <c r="R689" s="16">
        <f t="shared" si="432"/>
        <v>15973</v>
      </c>
      <c r="S689" s="14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8"/>
      <c r="AT689" s="8"/>
    </row>
    <row r="690" spans="1:46" ht="15.6" x14ac:dyDescent="0.3">
      <c r="A690" s="10">
        <v>38918</v>
      </c>
      <c r="B690" s="6">
        <v>952</v>
      </c>
      <c r="C690" s="6">
        <v>730</v>
      </c>
      <c r="D690" s="6">
        <v>481</v>
      </c>
      <c r="E690" s="6">
        <v>412</v>
      </c>
      <c r="F690" s="6">
        <v>1001</v>
      </c>
      <c r="G690" s="6">
        <v>1015</v>
      </c>
      <c r="H690" s="6">
        <v>702</v>
      </c>
      <c r="I690" s="6">
        <v>637</v>
      </c>
      <c r="J690" s="6">
        <v>264</v>
      </c>
      <c r="K690" s="6">
        <v>109</v>
      </c>
      <c r="L690" s="6">
        <v>3399</v>
      </c>
      <c r="M690" s="6">
        <v>2902</v>
      </c>
      <c r="N690" s="6">
        <v>7387</v>
      </c>
      <c r="O690" s="6">
        <v>46738</v>
      </c>
      <c r="P690" s="6">
        <v>1901</v>
      </c>
      <c r="Q690" s="6">
        <v>23619</v>
      </c>
      <c r="R690" s="16">
        <f t="shared" si="432"/>
        <v>12687</v>
      </c>
      <c r="S690" s="14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8"/>
      <c r="AT690" s="8"/>
    </row>
    <row r="691" spans="1:46" ht="15.6" x14ac:dyDescent="0.3">
      <c r="A691" s="10">
        <v>39282</v>
      </c>
      <c r="B691" s="6">
        <v>2714</v>
      </c>
      <c r="C691" s="6">
        <v>1087</v>
      </c>
      <c r="D691" s="6">
        <v>1859</v>
      </c>
      <c r="E691" s="6">
        <v>787</v>
      </c>
      <c r="F691" s="6">
        <v>1587</v>
      </c>
      <c r="G691" s="6">
        <v>598</v>
      </c>
      <c r="H691" s="6">
        <v>948</v>
      </c>
      <c r="I691" s="6">
        <v>384</v>
      </c>
      <c r="J691" s="6">
        <v>464</v>
      </c>
      <c r="K691" s="6">
        <v>27</v>
      </c>
      <c r="L691" s="6">
        <v>7572</v>
      </c>
      <c r="M691" s="6">
        <v>2884</v>
      </c>
      <c r="N691" s="6">
        <v>7540</v>
      </c>
      <c r="O691" s="6">
        <v>47577</v>
      </c>
      <c r="P691" s="6">
        <v>2119</v>
      </c>
      <c r="Q691" s="6">
        <v>28500</v>
      </c>
      <c r="R691" s="16">
        <f t="shared" si="432"/>
        <v>17231</v>
      </c>
      <c r="S691" s="14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8"/>
      <c r="AT691" s="8"/>
    </row>
    <row r="692" spans="1:46" ht="15.6" x14ac:dyDescent="0.3">
      <c r="A692" s="10">
        <v>38925</v>
      </c>
      <c r="B692" s="6">
        <v>965</v>
      </c>
      <c r="C692" s="6">
        <v>895</v>
      </c>
      <c r="D692" s="6">
        <v>511</v>
      </c>
      <c r="E692" s="6">
        <v>467</v>
      </c>
      <c r="F692" s="6">
        <v>1086</v>
      </c>
      <c r="G692" s="6">
        <v>1095</v>
      </c>
      <c r="H692" s="6">
        <v>763</v>
      </c>
      <c r="I692" s="6">
        <v>701</v>
      </c>
      <c r="J692" s="6">
        <v>287</v>
      </c>
      <c r="K692" s="6">
        <v>115</v>
      </c>
      <c r="L692" s="6">
        <v>3612</v>
      </c>
      <c r="M692" s="6">
        <v>3272</v>
      </c>
      <c r="N692" s="6">
        <v>7114</v>
      </c>
      <c r="O692" s="6">
        <v>47911</v>
      </c>
      <c r="P692" s="6">
        <v>1842</v>
      </c>
      <c r="Q692" s="6">
        <v>23856</v>
      </c>
      <c r="R692" s="16">
        <f t="shared" si="432"/>
        <v>12568</v>
      </c>
      <c r="S692" s="14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8"/>
      <c r="AT692" s="8"/>
    </row>
    <row r="693" spans="1:46" ht="15.6" x14ac:dyDescent="0.3">
      <c r="A693" s="10">
        <v>39289</v>
      </c>
      <c r="B693" s="6">
        <v>3567</v>
      </c>
      <c r="C693" s="6">
        <v>1224</v>
      </c>
      <c r="D693" s="6">
        <v>1930</v>
      </c>
      <c r="E693" s="6">
        <v>917</v>
      </c>
      <c r="F693" s="6">
        <v>1957</v>
      </c>
      <c r="G693" s="6">
        <v>670</v>
      </c>
      <c r="H693" s="6">
        <v>974</v>
      </c>
      <c r="I693" s="6">
        <v>467</v>
      </c>
      <c r="J693" s="6">
        <v>427</v>
      </c>
      <c r="K693" s="6">
        <v>64</v>
      </c>
      <c r="L693" s="6">
        <v>8855</v>
      </c>
      <c r="M693" s="6">
        <v>3343</v>
      </c>
      <c r="N693" s="6">
        <v>7270</v>
      </c>
      <c r="O693" s="6">
        <v>48653</v>
      </c>
      <c r="P693" s="6">
        <v>2149</v>
      </c>
      <c r="Q693" s="6">
        <v>28655</v>
      </c>
      <c r="R693" s="16">
        <f t="shared" si="432"/>
        <v>18274</v>
      </c>
      <c r="S693" s="14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8"/>
      <c r="AT693" s="8"/>
    </row>
    <row r="694" spans="1:46" ht="15.6" x14ac:dyDescent="0.3">
      <c r="A694" s="10">
        <v>38932</v>
      </c>
      <c r="B694" s="6">
        <v>902</v>
      </c>
      <c r="C694" s="6">
        <v>1054</v>
      </c>
      <c r="D694" s="6">
        <v>437</v>
      </c>
      <c r="E694" s="6">
        <v>592</v>
      </c>
      <c r="F694" s="6">
        <v>1097</v>
      </c>
      <c r="G694" s="6">
        <v>1256</v>
      </c>
      <c r="H694" s="6">
        <v>723</v>
      </c>
      <c r="I694" s="6">
        <v>787</v>
      </c>
      <c r="J694" s="6">
        <v>293</v>
      </c>
      <c r="K694" s="6">
        <v>140</v>
      </c>
      <c r="L694" s="6">
        <v>3451</v>
      </c>
      <c r="M694" s="6">
        <v>3829</v>
      </c>
      <c r="N694" s="6">
        <v>6961</v>
      </c>
      <c r="O694" s="6">
        <v>49226</v>
      </c>
      <c r="P694" s="6">
        <v>1662</v>
      </c>
      <c r="Q694" s="6">
        <v>24310</v>
      </c>
      <c r="R694" s="16">
        <f t="shared" si="432"/>
        <v>12074</v>
      </c>
      <c r="S694" s="14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8"/>
      <c r="AT694" s="8"/>
    </row>
    <row r="695" spans="1:46" ht="15.6" x14ac:dyDescent="0.3">
      <c r="A695" s="10">
        <v>39296</v>
      </c>
      <c r="B695" s="6">
        <v>3672</v>
      </c>
      <c r="C695" s="6">
        <v>1554</v>
      </c>
      <c r="D695" s="6">
        <v>1801</v>
      </c>
      <c r="E695" s="6">
        <v>1144</v>
      </c>
      <c r="F695" s="6">
        <v>1995</v>
      </c>
      <c r="G695" s="6">
        <v>844</v>
      </c>
      <c r="H695" s="6">
        <v>994</v>
      </c>
      <c r="I695" s="6">
        <v>555</v>
      </c>
      <c r="J695" s="6">
        <v>452</v>
      </c>
      <c r="K695" s="6">
        <v>79</v>
      </c>
      <c r="L695" s="6">
        <v>8914</v>
      </c>
      <c r="M695" s="6">
        <v>4175</v>
      </c>
      <c r="N695" s="6">
        <v>6844</v>
      </c>
      <c r="O695" s="6">
        <v>49391</v>
      </c>
      <c r="P695" s="6">
        <v>1853</v>
      </c>
      <c r="Q695" s="6">
        <v>29105</v>
      </c>
      <c r="R695" s="16">
        <f t="shared" si="432"/>
        <v>17611</v>
      </c>
      <c r="S695" s="14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8"/>
      <c r="AT695" s="8"/>
    </row>
    <row r="696" spans="1:46" ht="15.6" x14ac:dyDescent="0.3">
      <c r="A696" s="10">
        <v>38939</v>
      </c>
      <c r="B696" s="6">
        <v>887</v>
      </c>
      <c r="C696" s="6">
        <v>1125</v>
      </c>
      <c r="D696" s="6">
        <v>405</v>
      </c>
      <c r="E696" s="6">
        <v>674</v>
      </c>
      <c r="F696" s="6">
        <v>1135</v>
      </c>
      <c r="G696" s="6">
        <v>1378</v>
      </c>
      <c r="H696" s="6">
        <v>756</v>
      </c>
      <c r="I696" s="6">
        <v>874</v>
      </c>
      <c r="J696" s="6">
        <v>268</v>
      </c>
      <c r="K696" s="6">
        <v>165</v>
      </c>
      <c r="L696" s="6">
        <v>3451</v>
      </c>
      <c r="M696" s="6">
        <v>4216</v>
      </c>
      <c r="N696" s="6">
        <v>6306</v>
      </c>
      <c r="O696" s="6">
        <v>50450</v>
      </c>
      <c r="P696" s="6">
        <v>1733</v>
      </c>
      <c r="Q696" s="6">
        <v>24497</v>
      </c>
      <c r="R696" s="16">
        <f t="shared" si="432"/>
        <v>11490</v>
      </c>
      <c r="S696" s="14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8"/>
      <c r="AT696" s="8"/>
    </row>
    <row r="697" spans="1:46" ht="15.6" x14ac:dyDescent="0.3">
      <c r="A697" s="10">
        <v>39303</v>
      </c>
      <c r="B697" s="6">
        <v>3788</v>
      </c>
      <c r="C697" s="6">
        <v>1774</v>
      </c>
      <c r="D697" s="6">
        <v>1729</v>
      </c>
      <c r="E697" s="6">
        <v>1357</v>
      </c>
      <c r="F697" s="6">
        <v>2228</v>
      </c>
      <c r="G697" s="6">
        <v>984</v>
      </c>
      <c r="H697" s="6">
        <v>1176</v>
      </c>
      <c r="I697" s="6">
        <v>629</v>
      </c>
      <c r="J697" s="6">
        <v>521</v>
      </c>
      <c r="K697" s="6">
        <v>88</v>
      </c>
      <c r="L697" s="6">
        <v>9443</v>
      </c>
      <c r="M697" s="6">
        <v>4831</v>
      </c>
      <c r="N697" s="6">
        <v>5489</v>
      </c>
      <c r="O697" s="6">
        <v>50510</v>
      </c>
      <c r="P697" s="6">
        <v>1915</v>
      </c>
      <c r="Q697" s="6">
        <v>29279</v>
      </c>
      <c r="R697" s="16">
        <f t="shared" si="432"/>
        <v>16847</v>
      </c>
      <c r="S697" s="14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8"/>
      <c r="AT697" s="8"/>
    </row>
    <row r="698" spans="1:46" ht="15.6" x14ac:dyDescent="0.3">
      <c r="A698" s="10">
        <v>38946</v>
      </c>
      <c r="B698" s="6">
        <v>764</v>
      </c>
      <c r="C698" s="6">
        <v>1295</v>
      </c>
      <c r="D698" s="6">
        <v>484</v>
      </c>
      <c r="E698" s="6">
        <v>729</v>
      </c>
      <c r="F698" s="6">
        <v>1159</v>
      </c>
      <c r="G698" s="6">
        <v>1452</v>
      </c>
      <c r="H698" s="6">
        <v>783</v>
      </c>
      <c r="I698" s="6">
        <v>958</v>
      </c>
      <c r="J698" s="6">
        <v>263</v>
      </c>
      <c r="K698" s="6">
        <v>173</v>
      </c>
      <c r="L698" s="6">
        <v>3454</v>
      </c>
      <c r="M698" s="6">
        <v>4607</v>
      </c>
      <c r="N698" s="6">
        <v>5305</v>
      </c>
      <c r="O698" s="6">
        <v>51632</v>
      </c>
      <c r="P698" s="6">
        <v>1451</v>
      </c>
      <c r="Q698" s="6">
        <v>24826</v>
      </c>
      <c r="R698" s="16">
        <f t="shared" si="432"/>
        <v>10210</v>
      </c>
      <c r="S698" s="14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8"/>
      <c r="AT698" s="8"/>
    </row>
    <row r="699" spans="1:46" ht="15.6" x14ac:dyDescent="0.3">
      <c r="A699" s="10">
        <v>39310</v>
      </c>
      <c r="B699" s="6">
        <v>3646</v>
      </c>
      <c r="C699" s="6">
        <v>2269</v>
      </c>
      <c r="D699" s="6">
        <v>1848</v>
      </c>
      <c r="E699" s="6">
        <v>1619</v>
      </c>
      <c r="F699" s="6">
        <v>2228</v>
      </c>
      <c r="G699" s="6">
        <v>1134</v>
      </c>
      <c r="H699" s="6">
        <v>1128</v>
      </c>
      <c r="I699" s="6">
        <v>819</v>
      </c>
      <c r="J699" s="6">
        <v>494</v>
      </c>
      <c r="K699" s="6">
        <v>136</v>
      </c>
      <c r="L699" s="6">
        <v>9344</v>
      </c>
      <c r="M699" s="6">
        <v>5976</v>
      </c>
      <c r="N699" s="6">
        <v>4677</v>
      </c>
      <c r="O699" s="6">
        <v>51460</v>
      </c>
      <c r="P699" s="6">
        <v>1650</v>
      </c>
      <c r="Q699" s="6">
        <v>29549</v>
      </c>
      <c r="R699" s="16">
        <f t="shared" si="432"/>
        <v>15671</v>
      </c>
      <c r="S699" s="14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8"/>
      <c r="AT699" s="8"/>
    </row>
    <row r="700" spans="1:46" ht="15.6" x14ac:dyDescent="0.3">
      <c r="A700" s="10">
        <v>38953</v>
      </c>
      <c r="B700" s="78">
        <v>816</v>
      </c>
      <c r="C700" s="78">
        <v>1350</v>
      </c>
      <c r="D700" s="78">
        <v>580</v>
      </c>
      <c r="E700" s="78">
        <v>815</v>
      </c>
      <c r="F700" s="78">
        <v>1155</v>
      </c>
      <c r="G700" s="78">
        <v>1535</v>
      </c>
      <c r="H700" s="78">
        <v>661</v>
      </c>
      <c r="I700" s="78">
        <v>1139</v>
      </c>
      <c r="J700" s="78">
        <v>252</v>
      </c>
      <c r="K700" s="78">
        <v>194</v>
      </c>
      <c r="L700" s="78">
        <v>3464</v>
      </c>
      <c r="M700" s="78">
        <v>5033</v>
      </c>
      <c r="N700" s="78">
        <v>3470</v>
      </c>
      <c r="O700" s="78">
        <v>53120</v>
      </c>
      <c r="P700" s="78">
        <v>1103</v>
      </c>
      <c r="Q700" s="78">
        <v>25203</v>
      </c>
      <c r="R700" s="16">
        <f t="shared" si="432"/>
        <v>8037</v>
      </c>
      <c r="S700" s="14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8"/>
      <c r="AT700" s="8"/>
    </row>
    <row r="701" spans="1:46" ht="15.6" x14ac:dyDescent="0.3">
      <c r="A701" s="10">
        <v>39317</v>
      </c>
      <c r="B701" s="6">
        <v>3744</v>
      </c>
      <c r="C701" s="6">
        <v>2636</v>
      </c>
      <c r="D701" s="6">
        <v>1964</v>
      </c>
      <c r="E701" s="6">
        <v>1882</v>
      </c>
      <c r="F701" s="6">
        <v>2194</v>
      </c>
      <c r="G701" s="6">
        <v>1391</v>
      </c>
      <c r="H701" s="6">
        <v>1214</v>
      </c>
      <c r="I701" s="6">
        <v>876</v>
      </c>
      <c r="J701" s="6">
        <v>448</v>
      </c>
      <c r="K701" s="6">
        <v>203</v>
      </c>
      <c r="L701" s="6">
        <v>9564</v>
      </c>
      <c r="M701" s="6">
        <v>6987</v>
      </c>
      <c r="N701" s="6">
        <v>3584</v>
      </c>
      <c r="O701" s="6">
        <v>52726</v>
      </c>
      <c r="P701" s="6">
        <v>1246</v>
      </c>
      <c r="Q701" s="6">
        <v>29871</v>
      </c>
      <c r="R701" s="16">
        <f t="shared" si="432"/>
        <v>14394</v>
      </c>
      <c r="S701" s="14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8"/>
      <c r="AT701" s="8"/>
    </row>
    <row r="702" spans="1:46" ht="15.6" x14ac:dyDescent="0.3">
      <c r="A702" s="10">
        <v>38960</v>
      </c>
      <c r="B702" s="78">
        <v>764</v>
      </c>
      <c r="C702" s="78">
        <v>1530</v>
      </c>
      <c r="D702" s="78">
        <v>489</v>
      </c>
      <c r="E702" s="78">
        <v>976</v>
      </c>
      <c r="F702" s="78">
        <v>1011</v>
      </c>
      <c r="G702" s="78">
        <v>1729</v>
      </c>
      <c r="H702" s="78">
        <v>773</v>
      </c>
      <c r="I702" s="78">
        <v>1180</v>
      </c>
      <c r="J702" s="78">
        <v>187</v>
      </c>
      <c r="K702" s="78">
        <v>243</v>
      </c>
      <c r="L702" s="78">
        <v>3222</v>
      </c>
      <c r="M702" s="78">
        <v>5658</v>
      </c>
      <c r="N702" s="78">
        <v>2454</v>
      </c>
      <c r="O702" s="78">
        <v>54354</v>
      </c>
      <c r="P702" s="78">
        <v>814</v>
      </c>
      <c r="Q702" s="78">
        <v>25510</v>
      </c>
      <c r="R702" s="16">
        <f t="shared" si="432"/>
        <v>6490</v>
      </c>
      <c r="S702" s="14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8"/>
      <c r="AT702" s="8"/>
    </row>
    <row r="703" spans="1:46" ht="15.6" x14ac:dyDescent="0.3">
      <c r="A703" s="10">
        <v>39324</v>
      </c>
      <c r="B703" s="6">
        <v>3654</v>
      </c>
      <c r="C703" s="6">
        <v>3044</v>
      </c>
      <c r="D703" s="6">
        <v>1687</v>
      </c>
      <c r="E703" s="6">
        <v>2183</v>
      </c>
      <c r="F703" s="6">
        <v>2152</v>
      </c>
      <c r="G703" s="6">
        <v>1622</v>
      </c>
      <c r="H703" s="6">
        <v>1177</v>
      </c>
      <c r="I703" s="6">
        <v>1088</v>
      </c>
      <c r="J703" s="6">
        <v>454</v>
      </c>
      <c r="K703" s="6">
        <v>209</v>
      </c>
      <c r="L703" s="6">
        <v>9124</v>
      </c>
      <c r="M703" s="6">
        <v>8146</v>
      </c>
      <c r="N703" s="6">
        <v>2771</v>
      </c>
      <c r="O703" s="6">
        <v>53799</v>
      </c>
      <c r="P703" s="6">
        <v>990</v>
      </c>
      <c r="Q703" s="6">
        <v>30261</v>
      </c>
      <c r="R703" s="16">
        <f t="shared" si="432"/>
        <v>12885</v>
      </c>
      <c r="S703" s="14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8"/>
      <c r="AT703" s="8"/>
    </row>
    <row r="704" spans="1:46" ht="15.6" x14ac:dyDescent="0.3">
      <c r="A704" s="10">
        <v>38967</v>
      </c>
      <c r="B704" s="78">
        <v>793</v>
      </c>
      <c r="C704" s="78">
        <v>1569</v>
      </c>
      <c r="D704" s="78">
        <v>554</v>
      </c>
      <c r="E704" s="78">
        <v>989</v>
      </c>
      <c r="F704" s="78">
        <v>991</v>
      </c>
      <c r="G704" s="78">
        <v>1823</v>
      </c>
      <c r="H704" s="78">
        <v>815</v>
      </c>
      <c r="I704" s="78">
        <v>1250</v>
      </c>
      <c r="J704" s="78">
        <v>189</v>
      </c>
      <c r="K704" s="78">
        <v>243</v>
      </c>
      <c r="L704" s="78">
        <v>3343</v>
      </c>
      <c r="M704" s="78">
        <v>5874</v>
      </c>
      <c r="N704" s="78">
        <v>11501</v>
      </c>
      <c r="O704" s="78">
        <v>1103</v>
      </c>
      <c r="P704" s="78">
        <v>7004</v>
      </c>
      <c r="Q704" s="78">
        <v>207</v>
      </c>
      <c r="R704" s="16">
        <f t="shared" si="432"/>
        <v>21848</v>
      </c>
      <c r="S704" s="14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8"/>
      <c r="AT704" s="8"/>
    </row>
    <row r="705" spans="1:46" ht="15.6" x14ac:dyDescent="0.3">
      <c r="A705" s="10">
        <v>39331</v>
      </c>
      <c r="B705" s="6">
        <v>4667</v>
      </c>
      <c r="C705" s="6">
        <v>3435</v>
      </c>
      <c r="D705" s="6">
        <v>1642</v>
      </c>
      <c r="E705" s="6">
        <v>2314</v>
      </c>
      <c r="F705" s="6">
        <v>2500</v>
      </c>
      <c r="G705" s="6">
        <v>1748</v>
      </c>
      <c r="H705" s="6">
        <v>1283</v>
      </c>
      <c r="I705" s="6">
        <v>1138</v>
      </c>
      <c r="J705" s="6">
        <v>435</v>
      </c>
      <c r="K705" s="6">
        <v>232</v>
      </c>
      <c r="L705" s="6">
        <v>10528</v>
      </c>
      <c r="M705" s="6">
        <v>8867</v>
      </c>
      <c r="N705" s="6">
        <v>15762</v>
      </c>
      <c r="O705" s="6">
        <v>904</v>
      </c>
      <c r="P705" s="6">
        <v>7997</v>
      </c>
      <c r="Q705" s="6">
        <v>111</v>
      </c>
      <c r="R705" s="16">
        <f t="shared" si="432"/>
        <v>34287</v>
      </c>
      <c r="S705" s="14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8"/>
      <c r="AT705" s="8"/>
    </row>
    <row r="706" spans="1:46" ht="15.6" x14ac:dyDescent="0.3">
      <c r="A706" s="10">
        <v>38974</v>
      </c>
      <c r="B706" s="78">
        <v>698</v>
      </c>
      <c r="C706" s="78">
        <v>1731</v>
      </c>
      <c r="D706" s="78">
        <v>648</v>
      </c>
      <c r="E706" s="78">
        <v>1062</v>
      </c>
      <c r="F706" s="78">
        <v>980</v>
      </c>
      <c r="G706" s="78">
        <v>1952</v>
      </c>
      <c r="H706" s="78">
        <v>851</v>
      </c>
      <c r="I706" s="78">
        <v>1370</v>
      </c>
      <c r="J706" s="78">
        <v>157</v>
      </c>
      <c r="K706" s="78">
        <v>288</v>
      </c>
      <c r="L706" s="78">
        <v>3334</v>
      </c>
      <c r="M706" s="78">
        <v>6403</v>
      </c>
      <c r="N706" s="78">
        <v>11138</v>
      </c>
      <c r="O706" s="78">
        <v>2478</v>
      </c>
      <c r="P706" s="78">
        <v>7409</v>
      </c>
      <c r="Q706" s="78">
        <v>559</v>
      </c>
      <c r="R706" s="16">
        <f t="shared" si="432"/>
        <v>21881</v>
      </c>
      <c r="S706" s="14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8"/>
      <c r="AT706" s="8"/>
    </row>
    <row r="707" spans="1:46" ht="15.6" x14ac:dyDescent="0.3">
      <c r="A707" s="10">
        <v>39338</v>
      </c>
      <c r="B707" s="6">
        <v>4885</v>
      </c>
      <c r="C707" s="6">
        <v>3794</v>
      </c>
      <c r="D707" s="6">
        <v>1686</v>
      </c>
      <c r="E707" s="6">
        <v>2494</v>
      </c>
      <c r="F707" s="6">
        <v>2647</v>
      </c>
      <c r="G707" s="6">
        <v>1990</v>
      </c>
      <c r="H707" s="6">
        <v>1405</v>
      </c>
      <c r="I707" s="6">
        <v>1239</v>
      </c>
      <c r="J707" s="6">
        <v>425</v>
      </c>
      <c r="K707" s="6">
        <v>270</v>
      </c>
      <c r="L707" s="6">
        <v>11047</v>
      </c>
      <c r="M707" s="6">
        <v>9787</v>
      </c>
      <c r="N707" s="6">
        <v>16920</v>
      </c>
      <c r="O707" s="6">
        <v>1778</v>
      </c>
      <c r="P707" s="6">
        <v>8106</v>
      </c>
      <c r="Q707" s="6">
        <v>515</v>
      </c>
      <c r="R707" s="16">
        <f t="shared" si="432"/>
        <v>36073</v>
      </c>
      <c r="S707" s="14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8"/>
      <c r="AT707" s="8"/>
    </row>
    <row r="708" spans="1:46" ht="15.6" x14ac:dyDescent="0.3">
      <c r="A708" s="10">
        <v>38981</v>
      </c>
      <c r="B708" s="78">
        <v>711</v>
      </c>
      <c r="C708" s="78">
        <v>1809</v>
      </c>
      <c r="D708" s="78">
        <v>601</v>
      </c>
      <c r="E708" s="78">
        <v>1183</v>
      </c>
      <c r="F708" s="78">
        <v>1065</v>
      </c>
      <c r="G708" s="78">
        <v>2051</v>
      </c>
      <c r="H708" s="78">
        <v>897</v>
      </c>
      <c r="I708" s="78">
        <v>1389</v>
      </c>
      <c r="J708" s="78">
        <v>150</v>
      </c>
      <c r="K708" s="78">
        <v>289</v>
      </c>
      <c r="L708" s="78">
        <v>3424</v>
      </c>
      <c r="M708" s="78">
        <v>6721</v>
      </c>
      <c r="N708" s="78">
        <v>10732</v>
      </c>
      <c r="O708" s="78">
        <v>3715</v>
      </c>
      <c r="P708" s="78">
        <v>7971</v>
      </c>
      <c r="Q708" s="78">
        <v>864</v>
      </c>
      <c r="R708" s="16">
        <f t="shared" si="432"/>
        <v>22127</v>
      </c>
      <c r="S708" s="14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8"/>
      <c r="AT708" s="8"/>
    </row>
    <row r="709" spans="1:46" ht="15.6" x14ac:dyDescent="0.3">
      <c r="A709" s="10">
        <v>39345</v>
      </c>
      <c r="B709" s="6">
        <v>5440</v>
      </c>
      <c r="C709" s="6">
        <v>4211</v>
      </c>
      <c r="D709" s="6">
        <v>1389</v>
      </c>
      <c r="E709" s="6">
        <v>2793</v>
      </c>
      <c r="F709" s="6">
        <v>2777</v>
      </c>
      <c r="G709" s="6">
        <v>2174</v>
      </c>
      <c r="H709" s="6">
        <v>1472</v>
      </c>
      <c r="I709" s="6">
        <v>1351</v>
      </c>
      <c r="J709" s="6">
        <v>449</v>
      </c>
      <c r="K709" s="6">
        <v>293</v>
      </c>
      <c r="L709" s="6">
        <v>11527</v>
      </c>
      <c r="M709" s="6">
        <v>10822</v>
      </c>
      <c r="N709" s="6">
        <v>17415</v>
      </c>
      <c r="O709" s="6">
        <v>2981</v>
      </c>
      <c r="P709" s="6">
        <v>8366</v>
      </c>
      <c r="Q709" s="6">
        <v>1000</v>
      </c>
      <c r="R709" s="16">
        <f t="shared" si="432"/>
        <v>37308</v>
      </c>
      <c r="S709" s="14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8"/>
      <c r="AT709" s="8"/>
    </row>
    <row r="710" spans="1:46" ht="15.6" x14ac:dyDescent="0.3">
      <c r="A710" s="10">
        <v>38988</v>
      </c>
      <c r="B710" s="78">
        <v>670</v>
      </c>
      <c r="C710" s="78">
        <v>1915</v>
      </c>
      <c r="D710" s="78">
        <v>610</v>
      </c>
      <c r="E710" s="78">
        <v>1245</v>
      </c>
      <c r="F710" s="78">
        <v>1041</v>
      </c>
      <c r="G710" s="78">
        <v>2213</v>
      </c>
      <c r="H710" s="78">
        <v>873</v>
      </c>
      <c r="I710" s="78">
        <v>1514</v>
      </c>
      <c r="J710" s="78">
        <v>110</v>
      </c>
      <c r="K710" s="78">
        <v>332</v>
      </c>
      <c r="L710" s="78">
        <v>3304</v>
      </c>
      <c r="M710" s="78">
        <v>7219</v>
      </c>
      <c r="N710" s="78">
        <v>10707</v>
      </c>
      <c r="O710" s="78">
        <v>4898</v>
      </c>
      <c r="P710" s="78">
        <v>8592</v>
      </c>
      <c r="Q710" s="78">
        <v>1437</v>
      </c>
      <c r="R710" s="16">
        <f t="shared" si="432"/>
        <v>22603</v>
      </c>
      <c r="S710" s="14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8"/>
      <c r="AT710" s="8"/>
    </row>
    <row r="711" spans="1:46" ht="15.6" x14ac:dyDescent="0.3">
      <c r="A711" s="10">
        <v>39352</v>
      </c>
      <c r="B711" s="6">
        <v>5857</v>
      </c>
      <c r="C711" s="6">
        <v>4833</v>
      </c>
      <c r="D711" s="6">
        <v>1239</v>
      </c>
      <c r="E711" s="6">
        <v>3010</v>
      </c>
      <c r="F711" s="6">
        <v>2854</v>
      </c>
      <c r="G711" s="6">
        <v>2405</v>
      </c>
      <c r="H711" s="6">
        <v>1619</v>
      </c>
      <c r="I711" s="6">
        <v>1366</v>
      </c>
      <c r="J711" s="6">
        <v>404</v>
      </c>
      <c r="K711" s="6">
        <v>359</v>
      </c>
      <c r="L711" s="6">
        <v>11973</v>
      </c>
      <c r="M711" s="6">
        <v>11973</v>
      </c>
      <c r="N711" s="6">
        <v>17341</v>
      </c>
      <c r="O711" s="6">
        <v>4206</v>
      </c>
      <c r="P711" s="6">
        <v>8753</v>
      </c>
      <c r="Q711" s="6">
        <v>1279</v>
      </c>
      <c r="R711" s="16">
        <f t="shared" si="432"/>
        <v>38067</v>
      </c>
      <c r="S711" s="14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8"/>
      <c r="AT711" s="8"/>
    </row>
    <row r="712" spans="1:46" ht="15.6" x14ac:dyDescent="0.3">
      <c r="A712" s="10">
        <v>38993</v>
      </c>
      <c r="B712" s="78">
        <v>920</v>
      </c>
      <c r="C712" s="78">
        <v>2034</v>
      </c>
      <c r="D712" s="78">
        <v>657</v>
      </c>
      <c r="E712" s="78">
        <v>1259</v>
      </c>
      <c r="F712" s="78">
        <v>1018</v>
      </c>
      <c r="G712" s="78">
        <v>2377</v>
      </c>
      <c r="H712" s="78">
        <v>840</v>
      </c>
      <c r="I712" s="78">
        <v>1651</v>
      </c>
      <c r="J712" s="78">
        <v>110</v>
      </c>
      <c r="K712" s="78">
        <v>341</v>
      </c>
      <c r="L712" s="78">
        <v>3545</v>
      </c>
      <c r="M712" s="78">
        <v>7662</v>
      </c>
      <c r="N712" s="78">
        <v>10893</v>
      </c>
      <c r="O712" s="78">
        <v>5998</v>
      </c>
      <c r="P712" s="78">
        <v>8954</v>
      </c>
      <c r="Q712" s="78">
        <v>2161</v>
      </c>
      <c r="R712" s="16">
        <f t="shared" si="432"/>
        <v>23392</v>
      </c>
      <c r="S712" s="14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8"/>
      <c r="AT712" s="8"/>
    </row>
    <row r="713" spans="1:46" ht="15.6" x14ac:dyDescent="0.3">
      <c r="A713" s="10">
        <v>39359</v>
      </c>
      <c r="B713" s="6">
        <v>5758</v>
      </c>
      <c r="C713" s="6">
        <v>5096</v>
      </c>
      <c r="D713" s="6">
        <v>1174</v>
      </c>
      <c r="E713" s="6">
        <v>3263</v>
      </c>
      <c r="F713" s="6">
        <v>3091</v>
      </c>
      <c r="G713" s="6">
        <v>2606</v>
      </c>
      <c r="H713" s="6">
        <v>1576</v>
      </c>
      <c r="I713" s="6">
        <v>1493</v>
      </c>
      <c r="J713" s="6">
        <v>426</v>
      </c>
      <c r="K713" s="6">
        <v>397</v>
      </c>
      <c r="L713" s="6">
        <v>12025</v>
      </c>
      <c r="M713" s="6">
        <v>12856</v>
      </c>
      <c r="N713" s="6">
        <v>18468</v>
      </c>
      <c r="O713" s="6">
        <v>5398</v>
      </c>
      <c r="P713" s="6">
        <v>8772</v>
      </c>
      <c r="Q713" s="6">
        <v>1811</v>
      </c>
      <c r="R713" s="16">
        <f t="shared" si="432"/>
        <v>39265</v>
      </c>
      <c r="S713" s="14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8"/>
      <c r="AT713" s="8"/>
    </row>
    <row r="714" spans="1:46" ht="15.6" x14ac:dyDescent="0.3">
      <c r="A714" s="10">
        <v>39000</v>
      </c>
      <c r="B714" s="78">
        <v>953</v>
      </c>
      <c r="C714" s="78">
        <v>2119</v>
      </c>
      <c r="D714" s="78">
        <v>554</v>
      </c>
      <c r="E714" s="78">
        <v>1411</v>
      </c>
      <c r="F714" s="78">
        <v>914</v>
      </c>
      <c r="G714" s="78">
        <v>2575</v>
      </c>
      <c r="H714" s="78">
        <v>905</v>
      </c>
      <c r="I714" s="78">
        <v>1766</v>
      </c>
      <c r="J714" s="78">
        <v>80</v>
      </c>
      <c r="K714" s="78">
        <v>375</v>
      </c>
      <c r="L714" s="78">
        <v>3405</v>
      </c>
      <c r="M714" s="78">
        <v>8247</v>
      </c>
      <c r="N714" s="78">
        <v>10626</v>
      </c>
      <c r="O714" s="78">
        <v>7086</v>
      </c>
      <c r="P714" s="78">
        <v>8996</v>
      </c>
      <c r="Q714" s="78">
        <v>2988</v>
      </c>
      <c r="R714" s="16">
        <f t="shared" si="432"/>
        <v>23027</v>
      </c>
      <c r="S714" s="14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8"/>
      <c r="AT714" s="8"/>
    </row>
    <row r="715" spans="1:46" ht="15.6" x14ac:dyDescent="0.3">
      <c r="A715" s="10">
        <v>39366</v>
      </c>
      <c r="B715" s="6">
        <v>5793</v>
      </c>
      <c r="C715" s="6">
        <v>5419</v>
      </c>
      <c r="D715" s="6">
        <v>1090</v>
      </c>
      <c r="E715" s="6">
        <v>3458</v>
      </c>
      <c r="F715" s="6">
        <v>3070</v>
      </c>
      <c r="G715" s="6">
        <v>2876</v>
      </c>
      <c r="H715" s="6">
        <v>1647</v>
      </c>
      <c r="I715" s="6">
        <v>1640</v>
      </c>
      <c r="J715" s="6">
        <v>420</v>
      </c>
      <c r="K715" s="6">
        <v>454</v>
      </c>
      <c r="L715" s="6">
        <v>12019</v>
      </c>
      <c r="M715" s="6">
        <v>13846</v>
      </c>
      <c r="N715" s="6">
        <v>19158</v>
      </c>
      <c r="O715" s="6">
        <v>6560</v>
      </c>
      <c r="P715" s="6">
        <v>8536</v>
      </c>
      <c r="Q715" s="6">
        <v>2797</v>
      </c>
      <c r="R715" s="16">
        <f t="shared" si="432"/>
        <v>39713</v>
      </c>
      <c r="S715" s="14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8"/>
      <c r="AT715" s="8"/>
    </row>
    <row r="716" spans="1:46" ht="15.6" x14ac:dyDescent="0.3">
      <c r="A716" s="10">
        <v>39007</v>
      </c>
      <c r="B716" s="78">
        <v>1086</v>
      </c>
      <c r="C716" s="78">
        <v>2141</v>
      </c>
      <c r="D716" s="78">
        <v>418</v>
      </c>
      <c r="E716" s="78">
        <v>1561</v>
      </c>
      <c r="F716" s="78">
        <v>980</v>
      </c>
      <c r="G716" s="78">
        <v>2660</v>
      </c>
      <c r="H716" s="78">
        <v>864</v>
      </c>
      <c r="I716" s="78">
        <v>1921</v>
      </c>
      <c r="J716" s="78">
        <v>90</v>
      </c>
      <c r="K716" s="78">
        <v>392</v>
      </c>
      <c r="L716" s="78">
        <v>3438</v>
      </c>
      <c r="M716" s="78">
        <v>8675</v>
      </c>
      <c r="N716" s="78">
        <v>10872</v>
      </c>
      <c r="O716" s="78">
        <v>7886</v>
      </c>
      <c r="P716" s="78">
        <v>8439</v>
      </c>
      <c r="Q716" s="78">
        <v>4169</v>
      </c>
      <c r="R716" s="16">
        <f t="shared" si="432"/>
        <v>22749</v>
      </c>
      <c r="S716" s="14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8"/>
      <c r="AT716" s="8"/>
    </row>
    <row r="717" spans="1:46" ht="15.6" x14ac:dyDescent="0.3">
      <c r="A717" s="10">
        <v>39373</v>
      </c>
      <c r="B717" s="6">
        <v>5490</v>
      </c>
      <c r="C717" s="6">
        <v>5799</v>
      </c>
      <c r="D717" s="6">
        <v>1111</v>
      </c>
      <c r="E717" s="6">
        <v>3555</v>
      </c>
      <c r="F717" s="6">
        <v>3170</v>
      </c>
      <c r="G717" s="6">
        <v>3089</v>
      </c>
      <c r="H717" s="6">
        <v>1569</v>
      </c>
      <c r="I717" s="6">
        <v>1756</v>
      </c>
      <c r="J717" s="6">
        <v>374</v>
      </c>
      <c r="K717" s="6">
        <v>495</v>
      </c>
      <c r="L717" s="6">
        <v>11714</v>
      </c>
      <c r="M717" s="6">
        <v>14694</v>
      </c>
      <c r="N717" s="6">
        <v>19421</v>
      </c>
      <c r="O717" s="6">
        <v>7786</v>
      </c>
      <c r="P717" s="6">
        <v>8133</v>
      </c>
      <c r="Q717" s="6">
        <v>3664</v>
      </c>
      <c r="R717" s="16">
        <f t="shared" si="432"/>
        <v>39268</v>
      </c>
      <c r="S717" s="14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8"/>
      <c r="AT717" s="8"/>
    </row>
    <row r="718" spans="1:46" ht="15.6" x14ac:dyDescent="0.3">
      <c r="A718" s="10">
        <v>39014</v>
      </c>
      <c r="B718" s="78">
        <v>1463</v>
      </c>
      <c r="C718" s="78">
        <v>2276</v>
      </c>
      <c r="D718" s="78">
        <v>436</v>
      </c>
      <c r="E718" s="78">
        <v>1605</v>
      </c>
      <c r="F718" s="78">
        <v>1068</v>
      </c>
      <c r="G718" s="78">
        <v>2766</v>
      </c>
      <c r="H718" s="78">
        <v>972</v>
      </c>
      <c r="I718" s="78">
        <v>1985</v>
      </c>
      <c r="J718" s="78">
        <v>90</v>
      </c>
      <c r="K718" s="78">
        <v>392</v>
      </c>
      <c r="L718" s="78">
        <v>4028</v>
      </c>
      <c r="M718" s="78">
        <v>9024</v>
      </c>
      <c r="N718" s="78">
        <v>10797</v>
      </c>
      <c r="O718" s="78">
        <v>8988</v>
      </c>
      <c r="P718" s="78">
        <v>7853</v>
      </c>
      <c r="Q718" s="78">
        <v>5395</v>
      </c>
      <c r="R718" s="16">
        <f t="shared" si="432"/>
        <v>22678</v>
      </c>
      <c r="S718" s="14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8"/>
      <c r="AT718" s="8"/>
    </row>
    <row r="719" spans="1:46" ht="15.6" x14ac:dyDescent="0.3">
      <c r="A719" s="10">
        <v>39380</v>
      </c>
      <c r="B719" s="6">
        <v>5262</v>
      </c>
      <c r="C719" s="6">
        <v>6145</v>
      </c>
      <c r="D719" s="6">
        <v>993</v>
      </c>
      <c r="E719" s="6">
        <v>3660</v>
      </c>
      <c r="F719" s="6">
        <v>2965</v>
      </c>
      <c r="G719" s="6">
        <v>3307</v>
      </c>
      <c r="H719" s="6">
        <v>1474</v>
      </c>
      <c r="I719" s="6">
        <v>1900</v>
      </c>
      <c r="J719" s="6">
        <v>355</v>
      </c>
      <c r="K719" s="6">
        <v>522</v>
      </c>
      <c r="L719" s="6">
        <v>11048</v>
      </c>
      <c r="M719" s="6">
        <v>15533</v>
      </c>
      <c r="N719" s="6">
        <v>18806</v>
      </c>
      <c r="O719" s="6">
        <v>9011</v>
      </c>
      <c r="P719" s="6">
        <v>8069</v>
      </c>
      <c r="Q719" s="6">
        <v>4468</v>
      </c>
      <c r="R719" s="16">
        <f t="shared" si="432"/>
        <v>37923</v>
      </c>
      <c r="S719" s="14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8"/>
      <c r="AT719" s="8"/>
    </row>
    <row r="720" spans="1:46" ht="15.6" x14ac:dyDescent="0.3">
      <c r="A720" s="10">
        <v>39023</v>
      </c>
      <c r="B720" s="78">
        <v>1543</v>
      </c>
      <c r="C720" s="78">
        <v>2348</v>
      </c>
      <c r="D720" s="78">
        <v>456</v>
      </c>
      <c r="E720" s="78">
        <v>1636</v>
      </c>
      <c r="F720" s="78">
        <v>1168</v>
      </c>
      <c r="G720" s="78">
        <v>2832</v>
      </c>
      <c r="H720" s="78">
        <v>1089</v>
      </c>
      <c r="I720" s="78">
        <v>2048</v>
      </c>
      <c r="J720" s="78">
        <v>89</v>
      </c>
      <c r="K720" s="78">
        <v>417</v>
      </c>
      <c r="L720" s="78">
        <v>4344</v>
      </c>
      <c r="M720" s="78">
        <v>9281</v>
      </c>
      <c r="N720" s="78">
        <v>11552</v>
      </c>
      <c r="O720" s="78">
        <v>10162</v>
      </c>
      <c r="P720" s="78">
        <v>7497</v>
      </c>
      <c r="Q720" s="78">
        <v>6460</v>
      </c>
      <c r="R720" s="16">
        <f t="shared" ref="R720:R783" si="433">P720+N720+L720</f>
        <v>23393</v>
      </c>
      <c r="S720" s="14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8"/>
      <c r="AT720" s="8"/>
    </row>
    <row r="721" spans="1:46" ht="15.6" x14ac:dyDescent="0.3">
      <c r="A721" s="10">
        <v>39387</v>
      </c>
      <c r="B721" s="6">
        <v>4845</v>
      </c>
      <c r="C721" s="6">
        <v>6560</v>
      </c>
      <c r="D721" s="6">
        <v>973</v>
      </c>
      <c r="E721" s="6">
        <v>3685</v>
      </c>
      <c r="F721" s="6">
        <v>2683</v>
      </c>
      <c r="G721" s="6">
        <v>3563</v>
      </c>
      <c r="H721" s="6">
        <v>1443</v>
      </c>
      <c r="I721" s="6">
        <v>1967</v>
      </c>
      <c r="J721" s="6">
        <v>355</v>
      </c>
      <c r="K721" s="6">
        <v>522</v>
      </c>
      <c r="L721" s="6">
        <v>10300</v>
      </c>
      <c r="M721" s="6">
        <v>16296</v>
      </c>
      <c r="N721" s="6">
        <v>18788</v>
      </c>
      <c r="O721" s="6">
        <v>10534</v>
      </c>
      <c r="P721" s="6">
        <v>7856</v>
      </c>
      <c r="Q721" s="6">
        <v>5296</v>
      </c>
      <c r="R721" s="16">
        <f t="shared" si="433"/>
        <v>36944</v>
      </c>
      <c r="S721" s="14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8"/>
      <c r="AT721" s="8"/>
    </row>
    <row r="722" spans="1:46" ht="15.6" x14ac:dyDescent="0.3">
      <c r="A722" s="10">
        <v>39030</v>
      </c>
      <c r="B722" s="78">
        <v>1593</v>
      </c>
      <c r="C722" s="78">
        <v>2473</v>
      </c>
      <c r="D722" s="78">
        <v>466</v>
      </c>
      <c r="E722" s="78">
        <v>1665</v>
      </c>
      <c r="F722" s="78">
        <v>1078</v>
      </c>
      <c r="G722" s="78">
        <v>2966</v>
      </c>
      <c r="H722" s="78">
        <v>1083</v>
      </c>
      <c r="I722" s="78">
        <v>2099</v>
      </c>
      <c r="J722" s="78">
        <v>107</v>
      </c>
      <c r="K722" s="78">
        <v>417</v>
      </c>
      <c r="L722" s="78">
        <v>4327</v>
      </c>
      <c r="M722" s="78">
        <v>9620</v>
      </c>
      <c r="N722" s="78">
        <v>11944</v>
      </c>
      <c r="O722" s="78">
        <v>11166</v>
      </c>
      <c r="P722" s="78">
        <v>7080</v>
      </c>
      <c r="Q722" s="78">
        <v>7624</v>
      </c>
      <c r="R722" s="16">
        <f t="shared" si="433"/>
        <v>23351</v>
      </c>
      <c r="S722" s="14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8"/>
      <c r="AT722" s="8"/>
    </row>
    <row r="723" spans="1:46" ht="15.6" x14ac:dyDescent="0.3">
      <c r="A723" s="10">
        <v>39394</v>
      </c>
      <c r="B723" s="6">
        <v>4718</v>
      </c>
      <c r="C723" s="6">
        <v>6851</v>
      </c>
      <c r="D723" s="6">
        <v>994</v>
      </c>
      <c r="E723" s="6">
        <v>3706</v>
      </c>
      <c r="F723" s="6">
        <v>2660</v>
      </c>
      <c r="G723" s="6">
        <v>3709</v>
      </c>
      <c r="H723" s="6">
        <v>1391</v>
      </c>
      <c r="I723" s="6">
        <v>2075</v>
      </c>
      <c r="J723" s="6">
        <v>362</v>
      </c>
      <c r="K723" s="6">
        <v>544</v>
      </c>
      <c r="L723" s="6">
        <v>10126</v>
      </c>
      <c r="M723" s="6">
        <v>16886</v>
      </c>
      <c r="N723" s="6">
        <v>18642</v>
      </c>
      <c r="O723" s="6">
        <v>12044</v>
      </c>
      <c r="P723" s="6">
        <v>8440</v>
      </c>
      <c r="Q723" s="6">
        <v>6008</v>
      </c>
      <c r="R723" s="16">
        <f t="shared" si="433"/>
        <v>37208</v>
      </c>
      <c r="S723" s="14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8"/>
      <c r="AT723" s="8"/>
    </row>
    <row r="724" spans="1:46" ht="15.6" x14ac:dyDescent="0.3">
      <c r="A724" s="10">
        <v>39037</v>
      </c>
      <c r="B724" s="78">
        <v>1615.4</v>
      </c>
      <c r="C724" s="78">
        <v>2527.1</v>
      </c>
      <c r="D724" s="78">
        <v>415</v>
      </c>
      <c r="E724" s="78">
        <v>1794</v>
      </c>
      <c r="F724" s="78">
        <v>1135.0999999999999</v>
      </c>
      <c r="G724" s="78">
        <v>3015.9</v>
      </c>
      <c r="H724" s="78">
        <v>1094.3</v>
      </c>
      <c r="I724" s="78">
        <v>2178</v>
      </c>
      <c r="J724" s="78">
        <v>113.3</v>
      </c>
      <c r="K724" s="78">
        <v>420.7</v>
      </c>
      <c r="L724" s="78">
        <v>4373.1000000000004</v>
      </c>
      <c r="M724" s="78">
        <v>9935.7999999999993</v>
      </c>
      <c r="N724" s="78">
        <v>11765.1</v>
      </c>
      <c r="O724" s="78">
        <v>12386.6</v>
      </c>
      <c r="P724" s="78">
        <v>7272.5</v>
      </c>
      <c r="Q724" s="78">
        <v>8233.6</v>
      </c>
      <c r="R724" s="16">
        <f t="shared" si="433"/>
        <v>23410.699999999997</v>
      </c>
      <c r="S724" s="14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8"/>
      <c r="AT724" s="8"/>
    </row>
    <row r="725" spans="1:46" ht="15.6" x14ac:dyDescent="0.3">
      <c r="A725" s="10">
        <v>39401</v>
      </c>
      <c r="B725" s="6">
        <v>4647.1000000000004</v>
      </c>
      <c r="C725" s="6">
        <v>7031.9</v>
      </c>
      <c r="D725" s="6">
        <v>984.2</v>
      </c>
      <c r="E725" s="6">
        <v>3730.1</v>
      </c>
      <c r="F725" s="6">
        <v>2651.8</v>
      </c>
      <c r="G725" s="6">
        <v>3964</v>
      </c>
      <c r="H725" s="6">
        <v>1408.3</v>
      </c>
      <c r="I725" s="6">
        <v>2129.1</v>
      </c>
      <c r="J725" s="6">
        <v>308.8</v>
      </c>
      <c r="K725" s="6">
        <v>648.5</v>
      </c>
      <c r="L725" s="6">
        <v>10000.200000000001</v>
      </c>
      <c r="M725" s="6">
        <v>17503.599999999999</v>
      </c>
      <c r="N725" s="6">
        <v>19111.3</v>
      </c>
      <c r="O725" s="6">
        <v>13420.3</v>
      </c>
      <c r="P725" s="6">
        <v>9589.9</v>
      </c>
      <c r="Q725" s="6">
        <v>6665.5</v>
      </c>
      <c r="R725" s="16">
        <f t="shared" si="433"/>
        <v>38701.399999999994</v>
      </c>
      <c r="S725" s="14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8"/>
      <c r="AT725" s="8"/>
    </row>
    <row r="726" spans="1:46" ht="15.6" x14ac:dyDescent="0.3">
      <c r="A726" s="10">
        <v>39044</v>
      </c>
      <c r="B726" s="78">
        <v>1602</v>
      </c>
      <c r="C726" s="78">
        <v>2615</v>
      </c>
      <c r="D726" s="78">
        <v>451</v>
      </c>
      <c r="E726" s="78">
        <v>1849</v>
      </c>
      <c r="F726" s="78">
        <v>1252</v>
      </c>
      <c r="G726" s="78">
        <v>3170</v>
      </c>
      <c r="H726" s="78">
        <v>1047</v>
      </c>
      <c r="I726" s="78">
        <v>2264</v>
      </c>
      <c r="J726" s="78">
        <v>161</v>
      </c>
      <c r="K726" s="78">
        <v>447</v>
      </c>
      <c r="L726" s="78">
        <v>4512</v>
      </c>
      <c r="M726" s="78">
        <v>10345</v>
      </c>
      <c r="N726" s="78">
        <v>11889</v>
      </c>
      <c r="O726" s="78">
        <v>13284</v>
      </c>
      <c r="P726" s="78">
        <v>7331</v>
      </c>
      <c r="Q726" s="78">
        <v>8904</v>
      </c>
      <c r="R726" s="16">
        <f t="shared" si="433"/>
        <v>23732</v>
      </c>
      <c r="S726" s="14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8"/>
      <c r="AT726" s="8"/>
    </row>
    <row r="727" spans="1:46" ht="15.6" x14ac:dyDescent="0.3">
      <c r="A727" s="10">
        <v>39408</v>
      </c>
      <c r="B727" s="6">
        <v>4427</v>
      </c>
      <c r="C727" s="6">
        <v>7344</v>
      </c>
      <c r="D727" s="6">
        <v>934</v>
      </c>
      <c r="E727" s="6">
        <v>3824</v>
      </c>
      <c r="F727" s="6">
        <v>2646</v>
      </c>
      <c r="G727" s="6">
        <v>4066</v>
      </c>
      <c r="H727" s="6">
        <v>1518</v>
      </c>
      <c r="I727" s="6">
        <v>2197</v>
      </c>
      <c r="J727" s="6">
        <v>307</v>
      </c>
      <c r="K727" s="6">
        <v>648.5</v>
      </c>
      <c r="L727" s="6">
        <v>9832</v>
      </c>
      <c r="M727" s="6">
        <v>18079</v>
      </c>
      <c r="N727" s="6">
        <v>19513</v>
      </c>
      <c r="O727" s="6">
        <v>14860</v>
      </c>
      <c r="P727" s="6">
        <v>9733</v>
      </c>
      <c r="Q727" s="6">
        <v>7641</v>
      </c>
      <c r="R727" s="16">
        <f t="shared" si="433"/>
        <v>39078</v>
      </c>
      <c r="S727" s="14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8"/>
      <c r="AT727" s="8"/>
    </row>
    <row r="728" spans="1:46" ht="15.6" x14ac:dyDescent="0.3">
      <c r="A728" s="10">
        <v>39051</v>
      </c>
      <c r="B728" s="78">
        <v>1565</v>
      </c>
      <c r="C728" s="78">
        <v>2710</v>
      </c>
      <c r="D728" s="78">
        <v>531</v>
      </c>
      <c r="E728" s="78">
        <v>1868</v>
      </c>
      <c r="F728" s="78">
        <v>1164</v>
      </c>
      <c r="G728" s="78">
        <v>3388</v>
      </c>
      <c r="H728" s="78">
        <v>1019</v>
      </c>
      <c r="I728" s="78">
        <v>2400</v>
      </c>
      <c r="J728" s="78">
        <v>139</v>
      </c>
      <c r="K728" s="78">
        <v>477</v>
      </c>
      <c r="L728" s="78">
        <v>4417</v>
      </c>
      <c r="M728" s="78">
        <v>10843</v>
      </c>
      <c r="N728" s="78">
        <v>11329</v>
      </c>
      <c r="O728" s="78">
        <v>14656</v>
      </c>
      <c r="P728" s="78">
        <v>7068</v>
      </c>
      <c r="Q728" s="78">
        <v>9834</v>
      </c>
      <c r="R728" s="16">
        <f t="shared" si="433"/>
        <v>22814</v>
      </c>
      <c r="S728" s="14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8"/>
      <c r="AT728" s="8"/>
    </row>
    <row r="729" spans="1:46" ht="15.6" x14ac:dyDescent="0.3">
      <c r="A729" s="10">
        <v>39415</v>
      </c>
      <c r="B729" s="6">
        <v>4357</v>
      </c>
      <c r="C729" s="6">
        <v>7580</v>
      </c>
      <c r="D729" s="6">
        <v>829</v>
      </c>
      <c r="E729" s="6">
        <v>3948</v>
      </c>
      <c r="F729" s="6">
        <v>2519</v>
      </c>
      <c r="G729" s="6">
        <v>4231</v>
      </c>
      <c r="H729" s="6">
        <v>1460</v>
      </c>
      <c r="I729" s="6">
        <v>2267</v>
      </c>
      <c r="J729" s="6">
        <v>251</v>
      </c>
      <c r="K729" s="6">
        <v>706</v>
      </c>
      <c r="L729" s="6">
        <v>9416</v>
      </c>
      <c r="M729" s="6">
        <v>18731</v>
      </c>
      <c r="N729" s="6">
        <v>19044</v>
      </c>
      <c r="O729" s="6">
        <v>16388</v>
      </c>
      <c r="P729" s="6">
        <v>9797</v>
      </c>
      <c r="Q729" s="6">
        <v>8380</v>
      </c>
      <c r="R729" s="16">
        <f t="shared" si="433"/>
        <v>38257</v>
      </c>
      <c r="S729" s="14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8"/>
      <c r="AT729" s="8"/>
    </row>
    <row r="730" spans="1:46" ht="15.6" x14ac:dyDescent="0.3">
      <c r="A730" s="10">
        <v>39058</v>
      </c>
      <c r="B730" s="78">
        <v>1697</v>
      </c>
      <c r="C730" s="78">
        <v>2815</v>
      </c>
      <c r="D730" s="78">
        <v>489</v>
      </c>
      <c r="E730" s="78">
        <v>1940</v>
      </c>
      <c r="F730" s="78">
        <v>1173</v>
      </c>
      <c r="G730" s="78">
        <v>3501</v>
      </c>
      <c r="H730" s="78">
        <v>977</v>
      </c>
      <c r="I730" s="78">
        <v>2523</v>
      </c>
      <c r="J730" s="78">
        <v>139</v>
      </c>
      <c r="K730" s="78">
        <v>477</v>
      </c>
      <c r="L730" s="78">
        <v>4475</v>
      </c>
      <c r="M730" s="78">
        <v>11256</v>
      </c>
      <c r="N730" s="78">
        <v>11493</v>
      </c>
      <c r="O730" s="78">
        <v>15893</v>
      </c>
      <c r="P730" s="78">
        <v>6898</v>
      </c>
      <c r="Q730" s="78">
        <v>10896</v>
      </c>
      <c r="R730" s="16">
        <f t="shared" si="433"/>
        <v>22866</v>
      </c>
      <c r="S730" s="14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8"/>
      <c r="AT730" s="8"/>
    </row>
    <row r="731" spans="1:46" ht="15.6" x14ac:dyDescent="0.3">
      <c r="A731" s="10">
        <v>39422</v>
      </c>
      <c r="B731" s="6">
        <v>4268</v>
      </c>
      <c r="C731" s="6">
        <v>7796</v>
      </c>
      <c r="D731" s="6">
        <v>951</v>
      </c>
      <c r="E731" s="6">
        <v>4016</v>
      </c>
      <c r="F731" s="6">
        <v>2458</v>
      </c>
      <c r="G731" s="6">
        <v>4471</v>
      </c>
      <c r="H731" s="6">
        <v>1410</v>
      </c>
      <c r="I731" s="6">
        <v>2369</v>
      </c>
      <c r="J731" s="6">
        <v>179</v>
      </c>
      <c r="K731" s="6">
        <v>744</v>
      </c>
      <c r="L731" s="6">
        <v>9266</v>
      </c>
      <c r="M731" s="6">
        <v>19395</v>
      </c>
      <c r="N731" s="6">
        <v>19144</v>
      </c>
      <c r="O731" s="6">
        <v>17444</v>
      </c>
      <c r="P731" s="6">
        <v>9869</v>
      </c>
      <c r="Q731" s="6">
        <v>9280</v>
      </c>
      <c r="R731" s="16">
        <f t="shared" si="433"/>
        <v>38279</v>
      </c>
      <c r="S731" s="14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8"/>
      <c r="AT731" s="8"/>
    </row>
    <row r="732" spans="1:46" ht="15.6" x14ac:dyDescent="0.3">
      <c r="A732" s="10">
        <v>39065</v>
      </c>
      <c r="B732" s="78">
        <v>1673</v>
      </c>
      <c r="C732" s="78">
        <v>2991</v>
      </c>
      <c r="D732" s="78">
        <v>532</v>
      </c>
      <c r="E732" s="78">
        <v>1976</v>
      </c>
      <c r="F732" s="78">
        <v>1234</v>
      </c>
      <c r="G732" s="78">
        <v>3548</v>
      </c>
      <c r="H732" s="78">
        <v>1026</v>
      </c>
      <c r="I732" s="78">
        <v>2590</v>
      </c>
      <c r="J732" s="78">
        <v>103</v>
      </c>
      <c r="K732" s="78">
        <v>514</v>
      </c>
      <c r="L732" s="78">
        <v>4568</v>
      </c>
      <c r="M732" s="78">
        <v>11619</v>
      </c>
      <c r="N732" s="78">
        <v>11855</v>
      </c>
      <c r="O732" s="78">
        <v>16793</v>
      </c>
      <c r="P732" s="78">
        <v>7011</v>
      </c>
      <c r="Q732" s="78">
        <v>11525</v>
      </c>
      <c r="R732" s="16">
        <f t="shared" si="433"/>
        <v>23434</v>
      </c>
    </row>
    <row r="733" spans="1:46" ht="15.6" x14ac:dyDescent="0.3">
      <c r="A733" s="10">
        <v>39429</v>
      </c>
      <c r="B733" s="6">
        <v>4229</v>
      </c>
      <c r="C733" s="6">
        <v>7956</v>
      </c>
      <c r="D733" s="6">
        <v>830</v>
      </c>
      <c r="E733" s="6">
        <v>4053</v>
      </c>
      <c r="F733" s="6">
        <v>2353</v>
      </c>
      <c r="G733" s="6">
        <v>4653</v>
      </c>
      <c r="H733" s="6">
        <v>1361</v>
      </c>
      <c r="I733" s="6">
        <v>2478</v>
      </c>
      <c r="J733" s="6">
        <v>173</v>
      </c>
      <c r="K733" s="6">
        <v>766</v>
      </c>
      <c r="L733" s="6">
        <v>8946</v>
      </c>
      <c r="M733" s="6">
        <v>19906</v>
      </c>
      <c r="N733" s="6">
        <v>19083</v>
      </c>
      <c r="O733" s="6">
        <v>18662</v>
      </c>
      <c r="P733" s="6">
        <v>9638</v>
      </c>
      <c r="Q733" s="6">
        <v>10368</v>
      </c>
      <c r="R733" s="16">
        <f t="shared" si="433"/>
        <v>37667</v>
      </c>
    </row>
    <row r="734" spans="1:46" ht="15.6" x14ac:dyDescent="0.3">
      <c r="A734" s="10">
        <v>39072</v>
      </c>
      <c r="B734" s="78">
        <v>1681.3</v>
      </c>
      <c r="C734" s="78">
        <v>3151.8</v>
      </c>
      <c r="D734" s="78">
        <v>552.6</v>
      </c>
      <c r="E734" s="78">
        <v>1987.4</v>
      </c>
      <c r="F734" s="78">
        <v>1280.2</v>
      </c>
      <c r="G734" s="78">
        <v>3622</v>
      </c>
      <c r="H734" s="78">
        <v>1032.5999999999999</v>
      </c>
      <c r="I734" s="78">
        <v>2615.6999999999998</v>
      </c>
      <c r="J734" s="78">
        <v>83.4</v>
      </c>
      <c r="K734" s="78">
        <v>533.9</v>
      </c>
      <c r="L734" s="78">
        <v>4630.1000000000004</v>
      </c>
      <c r="M734" s="78">
        <v>11910.7</v>
      </c>
      <c r="N734" s="78">
        <v>11890.1</v>
      </c>
      <c r="O734" s="78">
        <v>17911</v>
      </c>
      <c r="P734" s="78">
        <v>7375.7</v>
      </c>
      <c r="Q734" s="78">
        <v>12196.8</v>
      </c>
      <c r="R734" s="16">
        <f t="shared" si="433"/>
        <v>23895.9</v>
      </c>
      <c r="S734" s="8"/>
      <c r="T734" s="8"/>
      <c r="U734" s="8"/>
      <c r="V734" s="8"/>
      <c r="W734" s="8"/>
      <c r="X734" s="8"/>
      <c r="Y734" s="8"/>
    </row>
    <row r="735" spans="1:46" ht="15.6" x14ac:dyDescent="0.3">
      <c r="A735" s="10">
        <v>39436</v>
      </c>
      <c r="B735" s="6">
        <v>4080.7</v>
      </c>
      <c r="C735" s="6">
        <v>8134.2</v>
      </c>
      <c r="D735" s="6">
        <v>818</v>
      </c>
      <c r="E735" s="6">
        <v>4067.5</v>
      </c>
      <c r="F735" s="6">
        <v>2419.9</v>
      </c>
      <c r="G735" s="6">
        <v>4755.8</v>
      </c>
      <c r="H735" s="6">
        <v>1372.4</v>
      </c>
      <c r="I735" s="6">
        <v>2557.6999999999998</v>
      </c>
      <c r="J735" s="6">
        <v>173</v>
      </c>
      <c r="K735" s="6">
        <v>772.1</v>
      </c>
      <c r="L735" s="6">
        <v>8863.7999999999993</v>
      </c>
      <c r="M735" s="6">
        <v>20287.2</v>
      </c>
      <c r="N735" s="6">
        <v>19243.400000000001</v>
      </c>
      <c r="O735" s="6">
        <v>19924.599999999999</v>
      </c>
      <c r="P735" s="6">
        <v>9486.7999999999993</v>
      </c>
      <c r="Q735" s="6">
        <v>11201.9</v>
      </c>
      <c r="R735" s="16">
        <f t="shared" si="433"/>
        <v>37594</v>
      </c>
      <c r="S735" s="8"/>
      <c r="T735" s="8"/>
      <c r="U735" s="8"/>
      <c r="V735" s="8"/>
      <c r="W735" s="8"/>
      <c r="X735" s="8"/>
      <c r="Y735" s="8"/>
    </row>
    <row r="736" spans="1:46" ht="15.6" x14ac:dyDescent="0.3">
      <c r="A736" s="10">
        <v>39079</v>
      </c>
      <c r="B736" s="78">
        <v>1460</v>
      </c>
      <c r="C736" s="78">
        <v>3388</v>
      </c>
      <c r="D736" s="78">
        <v>550</v>
      </c>
      <c r="E736" s="78">
        <v>2008</v>
      </c>
      <c r="F736" s="78">
        <v>1301</v>
      </c>
      <c r="G736" s="78">
        <v>3683</v>
      </c>
      <c r="H736" s="78">
        <v>880</v>
      </c>
      <c r="I736" s="78">
        <v>2786</v>
      </c>
      <c r="J736" s="78">
        <v>86</v>
      </c>
      <c r="K736" s="78">
        <v>533.9</v>
      </c>
      <c r="L736" s="78">
        <v>4277</v>
      </c>
      <c r="M736" s="78">
        <v>12399</v>
      </c>
      <c r="N736" s="78">
        <v>11503</v>
      </c>
      <c r="O736" s="78">
        <v>18863</v>
      </c>
      <c r="P736" s="78">
        <v>6886</v>
      </c>
      <c r="Q736" s="78">
        <v>13025</v>
      </c>
      <c r="R736" s="16">
        <f t="shared" si="433"/>
        <v>22666</v>
      </c>
    </row>
    <row r="737" spans="1:18" ht="15.6" x14ac:dyDescent="0.3">
      <c r="A737" s="10">
        <v>39443</v>
      </c>
      <c r="B737" s="6">
        <v>3986</v>
      </c>
      <c r="C737" s="6">
        <v>8302</v>
      </c>
      <c r="D737" s="6">
        <v>740</v>
      </c>
      <c r="E737" s="6">
        <v>4148</v>
      </c>
      <c r="F737" s="6">
        <v>2322</v>
      </c>
      <c r="G737" s="6">
        <v>4894</v>
      </c>
      <c r="H737" s="6">
        <v>1324</v>
      </c>
      <c r="I737" s="6">
        <v>2609</v>
      </c>
      <c r="J737" s="6">
        <v>173</v>
      </c>
      <c r="K737" s="6">
        <v>772</v>
      </c>
      <c r="L737" s="6">
        <v>8545</v>
      </c>
      <c r="M737" s="6">
        <v>20725</v>
      </c>
      <c r="N737" s="6">
        <v>18804</v>
      </c>
      <c r="O737" s="6">
        <v>21065</v>
      </c>
      <c r="P737" s="6">
        <v>9041</v>
      </c>
      <c r="Q737" s="6">
        <v>11789</v>
      </c>
      <c r="R737" s="16">
        <f t="shared" si="433"/>
        <v>36390</v>
      </c>
    </row>
    <row r="738" spans="1:18" ht="15.6" x14ac:dyDescent="0.3">
      <c r="A738" s="10">
        <v>39086</v>
      </c>
      <c r="B738" s="78">
        <v>1334</v>
      </c>
      <c r="C738" s="78">
        <v>3544</v>
      </c>
      <c r="D738" s="78">
        <v>512</v>
      </c>
      <c r="E738" s="78">
        <v>2071</v>
      </c>
      <c r="F738" s="78">
        <v>1132</v>
      </c>
      <c r="G738" s="78">
        <v>3869</v>
      </c>
      <c r="H738" s="78">
        <v>963</v>
      </c>
      <c r="I738" s="78">
        <v>2875</v>
      </c>
      <c r="J738" s="78">
        <v>86</v>
      </c>
      <c r="K738" s="78">
        <v>533.9</v>
      </c>
      <c r="L738" s="78">
        <v>4028</v>
      </c>
      <c r="M738" s="78">
        <v>12893</v>
      </c>
      <c r="N738" s="78">
        <v>11827</v>
      </c>
      <c r="O738" s="78">
        <v>19716</v>
      </c>
      <c r="P738" s="78">
        <v>6918</v>
      </c>
      <c r="Q738" s="78">
        <v>13583</v>
      </c>
      <c r="R738" s="16">
        <f t="shared" si="433"/>
        <v>22773</v>
      </c>
    </row>
    <row r="739" spans="1:18" ht="15.6" x14ac:dyDescent="0.3">
      <c r="A739" s="10">
        <v>39450</v>
      </c>
      <c r="B739" s="6">
        <v>3785</v>
      </c>
      <c r="C739" s="6">
        <v>8525</v>
      </c>
      <c r="D739" s="6">
        <v>820</v>
      </c>
      <c r="E739" s="6">
        <v>4197</v>
      </c>
      <c r="F739" s="6">
        <v>2207</v>
      </c>
      <c r="G739" s="6">
        <v>5037</v>
      </c>
      <c r="H739" s="6">
        <v>1282</v>
      </c>
      <c r="I739" s="6">
        <v>2642</v>
      </c>
      <c r="J739" s="6">
        <v>171</v>
      </c>
      <c r="K739" s="6">
        <v>794</v>
      </c>
      <c r="L739" s="6">
        <v>8265</v>
      </c>
      <c r="M739" s="6">
        <v>21195</v>
      </c>
      <c r="N739" s="6">
        <v>18496</v>
      </c>
      <c r="O739" s="6">
        <v>22043</v>
      </c>
      <c r="P739" s="6">
        <v>8218</v>
      </c>
      <c r="Q739" s="6">
        <v>12729</v>
      </c>
      <c r="R739" s="16">
        <f t="shared" si="433"/>
        <v>34979</v>
      </c>
    </row>
    <row r="740" spans="1:18" ht="15.6" x14ac:dyDescent="0.3">
      <c r="A740" s="10">
        <v>39093</v>
      </c>
      <c r="B740" s="78">
        <v>1545</v>
      </c>
      <c r="C740" s="78">
        <v>3661</v>
      </c>
      <c r="D740" s="78">
        <v>570</v>
      </c>
      <c r="E740" s="78">
        <v>2104</v>
      </c>
      <c r="F740" s="78">
        <v>1191</v>
      </c>
      <c r="G740" s="78">
        <v>3998</v>
      </c>
      <c r="H740" s="78">
        <v>1088</v>
      </c>
      <c r="I740" s="78">
        <v>2973</v>
      </c>
      <c r="J740" s="78">
        <v>74</v>
      </c>
      <c r="K740" s="78">
        <v>540</v>
      </c>
      <c r="L740" s="78">
        <v>4468</v>
      </c>
      <c r="M740" s="78">
        <v>13277</v>
      </c>
      <c r="N740" s="78">
        <v>12246</v>
      </c>
      <c r="O740" s="78">
        <v>20721</v>
      </c>
      <c r="P740" s="78">
        <v>7139</v>
      </c>
      <c r="Q740" s="78">
        <v>14458</v>
      </c>
      <c r="R740" s="16">
        <f t="shared" si="433"/>
        <v>23853</v>
      </c>
    </row>
    <row r="741" spans="1:18" ht="15.6" x14ac:dyDescent="0.3">
      <c r="A741" s="10">
        <v>39457</v>
      </c>
      <c r="B741" s="6">
        <v>3597</v>
      </c>
      <c r="C741" s="6">
        <v>8781</v>
      </c>
      <c r="D741" s="6">
        <v>853</v>
      </c>
      <c r="E741" s="6">
        <v>4234</v>
      </c>
      <c r="F741" s="6">
        <v>2142</v>
      </c>
      <c r="G741" s="6">
        <v>5277</v>
      </c>
      <c r="H741" s="6">
        <v>1249</v>
      </c>
      <c r="I741" s="6">
        <v>2781</v>
      </c>
      <c r="J741" s="6">
        <v>125</v>
      </c>
      <c r="K741" s="6">
        <v>827</v>
      </c>
      <c r="L741" s="6">
        <v>7966</v>
      </c>
      <c r="M741" s="6">
        <v>21899</v>
      </c>
      <c r="N741" s="6">
        <v>19363</v>
      </c>
      <c r="O741" s="6">
        <v>23482</v>
      </c>
      <c r="P741" s="6">
        <v>8428</v>
      </c>
      <c r="Q741" s="6">
        <v>13484</v>
      </c>
      <c r="R741" s="16">
        <f t="shared" si="433"/>
        <v>35757</v>
      </c>
    </row>
    <row r="742" spans="1:18" ht="15.6" x14ac:dyDescent="0.3">
      <c r="A742" s="10">
        <v>39100</v>
      </c>
      <c r="B742" s="78">
        <v>1456</v>
      </c>
      <c r="C742" s="78">
        <v>3856</v>
      </c>
      <c r="D742" s="78">
        <v>496</v>
      </c>
      <c r="E742" s="78">
        <v>2202</v>
      </c>
      <c r="F742" s="78">
        <v>1126</v>
      </c>
      <c r="G742" s="78">
        <v>4120</v>
      </c>
      <c r="H742" s="78">
        <v>1031</v>
      </c>
      <c r="I742" s="78">
        <v>3085</v>
      </c>
      <c r="J742" s="78">
        <v>74</v>
      </c>
      <c r="K742" s="78">
        <v>544</v>
      </c>
      <c r="L742" s="78">
        <v>4184</v>
      </c>
      <c r="M742" s="78">
        <v>13807</v>
      </c>
      <c r="N742" s="78">
        <v>12204</v>
      </c>
      <c r="O742" s="78">
        <v>21755</v>
      </c>
      <c r="P742" s="78">
        <v>7124</v>
      </c>
      <c r="Q742" s="78">
        <v>15088</v>
      </c>
      <c r="R742" s="16">
        <f t="shared" si="433"/>
        <v>23512</v>
      </c>
    </row>
    <row r="743" spans="1:18" ht="15.6" x14ac:dyDescent="0.3">
      <c r="A743" s="10">
        <v>39464</v>
      </c>
      <c r="B743" s="6">
        <v>3679</v>
      </c>
      <c r="C743" s="6">
        <v>8958</v>
      </c>
      <c r="D743" s="6">
        <v>846</v>
      </c>
      <c r="E743" s="6">
        <v>4240</v>
      </c>
      <c r="F743" s="6">
        <v>2084</v>
      </c>
      <c r="G743" s="6">
        <v>5461</v>
      </c>
      <c r="H743" s="6">
        <v>1165</v>
      </c>
      <c r="I743" s="6">
        <v>2904</v>
      </c>
      <c r="J743" s="6">
        <v>120</v>
      </c>
      <c r="K743" s="6">
        <v>832</v>
      </c>
      <c r="L743" s="6">
        <v>7894</v>
      </c>
      <c r="M743" s="6">
        <v>22394</v>
      </c>
      <c r="N743" s="6">
        <v>19623</v>
      </c>
      <c r="O743" s="6">
        <v>24817</v>
      </c>
      <c r="P743" s="6">
        <v>8085</v>
      </c>
      <c r="Q743" s="6">
        <v>14491</v>
      </c>
      <c r="R743" s="16">
        <f t="shared" si="433"/>
        <v>35602</v>
      </c>
    </row>
    <row r="744" spans="1:18" ht="15.6" x14ac:dyDescent="0.3">
      <c r="A744" s="10">
        <v>39107</v>
      </c>
      <c r="B744" s="78">
        <v>1528</v>
      </c>
      <c r="C744" s="78">
        <v>4044</v>
      </c>
      <c r="D744" s="78">
        <v>590</v>
      </c>
      <c r="E744" s="78">
        <v>2241</v>
      </c>
      <c r="F744" s="78">
        <v>1074</v>
      </c>
      <c r="G744" s="78">
        <v>4230</v>
      </c>
      <c r="H744" s="78">
        <v>884</v>
      </c>
      <c r="I744" s="78">
        <v>3289</v>
      </c>
      <c r="J744" s="78">
        <v>94</v>
      </c>
      <c r="K744" s="78">
        <v>579</v>
      </c>
      <c r="L744" s="78">
        <v>4170</v>
      </c>
      <c r="M744" s="78">
        <v>14382</v>
      </c>
      <c r="N744" s="78">
        <v>11800</v>
      </c>
      <c r="O744" s="78">
        <v>22957</v>
      </c>
      <c r="P744" s="78">
        <v>6778</v>
      </c>
      <c r="Q744" s="78">
        <v>16112</v>
      </c>
      <c r="R744" s="16">
        <f t="shared" si="433"/>
        <v>22748</v>
      </c>
    </row>
    <row r="745" spans="1:18" ht="15.6" x14ac:dyDescent="0.3">
      <c r="A745" s="10">
        <v>39471</v>
      </c>
      <c r="B745" s="6">
        <v>3604</v>
      </c>
      <c r="C745" s="6">
        <v>9230</v>
      </c>
      <c r="D745" s="6">
        <v>854</v>
      </c>
      <c r="E745" s="6">
        <v>4302</v>
      </c>
      <c r="F745" s="6">
        <v>2028</v>
      </c>
      <c r="G745" s="6">
        <v>5653</v>
      </c>
      <c r="H745" s="6">
        <v>1197</v>
      </c>
      <c r="I745" s="6">
        <v>2978</v>
      </c>
      <c r="J745" s="6">
        <v>95</v>
      </c>
      <c r="K745" s="6">
        <v>854</v>
      </c>
      <c r="L745" s="6">
        <v>7779</v>
      </c>
      <c r="M745" s="6">
        <v>23018</v>
      </c>
      <c r="N745" s="6">
        <v>20020</v>
      </c>
      <c r="O745" s="6">
        <v>26308</v>
      </c>
      <c r="P745" s="6">
        <v>7841</v>
      </c>
      <c r="Q745" s="6">
        <v>15223</v>
      </c>
      <c r="R745" s="16">
        <f t="shared" si="433"/>
        <v>35640</v>
      </c>
    </row>
    <row r="746" spans="1:18" ht="15.6" x14ac:dyDescent="0.3">
      <c r="A746" s="10">
        <v>39114</v>
      </c>
      <c r="B746" s="78">
        <v>1526</v>
      </c>
      <c r="C746" s="78">
        <v>4293</v>
      </c>
      <c r="D746" s="78">
        <v>656</v>
      </c>
      <c r="E746" s="78">
        <v>2332</v>
      </c>
      <c r="F746" s="78">
        <v>1013</v>
      </c>
      <c r="G746" s="78">
        <v>4384</v>
      </c>
      <c r="H746" s="78">
        <v>1004</v>
      </c>
      <c r="I746" s="78">
        <v>3377</v>
      </c>
      <c r="J746" s="78">
        <v>114</v>
      </c>
      <c r="K746" s="78">
        <v>587</v>
      </c>
      <c r="L746" s="78">
        <v>4313</v>
      </c>
      <c r="M746" s="78">
        <v>14971</v>
      </c>
      <c r="N746" s="78">
        <v>11687</v>
      </c>
      <c r="O746" s="78">
        <v>23977</v>
      </c>
      <c r="P746" s="78">
        <v>6686</v>
      </c>
      <c r="Q746" s="78">
        <v>16952</v>
      </c>
      <c r="R746" s="16">
        <f t="shared" si="433"/>
        <v>22686</v>
      </c>
    </row>
    <row r="747" spans="1:18" ht="15.6" x14ac:dyDescent="0.3">
      <c r="A747" s="10">
        <v>39478</v>
      </c>
      <c r="B747" s="6">
        <v>3636</v>
      </c>
      <c r="C747" s="6">
        <v>9394</v>
      </c>
      <c r="D747" s="6">
        <v>818</v>
      </c>
      <c r="E747" s="6">
        <v>4343</v>
      </c>
      <c r="F747" s="6">
        <v>1966</v>
      </c>
      <c r="G747" s="6">
        <v>5812</v>
      </c>
      <c r="H747" s="6">
        <v>1126</v>
      </c>
      <c r="I747" s="6">
        <v>3051</v>
      </c>
      <c r="J747" s="6">
        <v>85</v>
      </c>
      <c r="K747" s="6">
        <v>879</v>
      </c>
      <c r="L747" s="6">
        <v>7631</v>
      </c>
      <c r="M747" s="6">
        <v>23478</v>
      </c>
      <c r="N747" s="6">
        <v>19799</v>
      </c>
      <c r="O747" s="6">
        <v>27558</v>
      </c>
      <c r="P747" s="6">
        <v>7986</v>
      </c>
      <c r="Q747" s="6">
        <v>16115</v>
      </c>
      <c r="R747" s="16">
        <f t="shared" si="433"/>
        <v>35416</v>
      </c>
    </row>
    <row r="748" spans="1:18" ht="15.6" x14ac:dyDescent="0.3">
      <c r="A748" s="10">
        <v>39121</v>
      </c>
      <c r="B748" s="78">
        <v>1452</v>
      </c>
      <c r="C748" s="78">
        <v>4441</v>
      </c>
      <c r="D748" s="78">
        <v>715</v>
      </c>
      <c r="E748" s="78">
        <v>2388</v>
      </c>
      <c r="F748" s="78">
        <v>1035</v>
      </c>
      <c r="G748" s="78">
        <v>4482</v>
      </c>
      <c r="H748" s="78">
        <v>948</v>
      </c>
      <c r="I748" s="78">
        <v>3483</v>
      </c>
      <c r="J748" s="78">
        <v>116</v>
      </c>
      <c r="K748" s="78">
        <v>587</v>
      </c>
      <c r="L748" s="78">
        <v>4265</v>
      </c>
      <c r="M748" s="78">
        <v>15380</v>
      </c>
      <c r="N748" s="78">
        <v>12077</v>
      </c>
      <c r="O748" s="78">
        <v>24974</v>
      </c>
      <c r="P748" s="78">
        <v>5863</v>
      </c>
      <c r="Q748" s="78">
        <v>18148</v>
      </c>
      <c r="R748" s="16">
        <f t="shared" si="433"/>
        <v>22205</v>
      </c>
    </row>
    <row r="749" spans="1:18" ht="15.6" x14ac:dyDescent="0.3">
      <c r="A749" s="10">
        <v>39485</v>
      </c>
      <c r="B749" s="6">
        <v>3356</v>
      </c>
      <c r="C749" s="6">
        <v>9665</v>
      </c>
      <c r="D749" s="6">
        <v>842</v>
      </c>
      <c r="E749" s="6">
        <v>4384</v>
      </c>
      <c r="F749" s="6">
        <v>1832</v>
      </c>
      <c r="G749" s="6">
        <v>5964</v>
      </c>
      <c r="H749" s="6">
        <v>1056</v>
      </c>
      <c r="I749" s="6">
        <v>3125</v>
      </c>
      <c r="J749" s="6">
        <v>82</v>
      </c>
      <c r="K749" s="6">
        <v>887</v>
      </c>
      <c r="L749" s="6">
        <v>7168</v>
      </c>
      <c r="M749" s="6">
        <v>24025</v>
      </c>
      <c r="N749" s="6">
        <v>19586</v>
      </c>
      <c r="O749" s="6">
        <v>28695</v>
      </c>
      <c r="P749" s="6">
        <v>7289</v>
      </c>
      <c r="Q749" s="6">
        <v>17140</v>
      </c>
      <c r="R749" s="16">
        <f t="shared" si="433"/>
        <v>34043</v>
      </c>
    </row>
    <row r="750" spans="1:18" ht="15.6" x14ac:dyDescent="0.3">
      <c r="A750" s="10">
        <v>39128</v>
      </c>
      <c r="B750" s="78">
        <v>1403</v>
      </c>
      <c r="C750" s="78">
        <v>4575</v>
      </c>
      <c r="D750" s="78">
        <v>729</v>
      </c>
      <c r="E750" s="78">
        <v>2481</v>
      </c>
      <c r="F750" s="78">
        <v>1126</v>
      </c>
      <c r="G750" s="78">
        <v>4569</v>
      </c>
      <c r="H750" s="78">
        <v>914</v>
      </c>
      <c r="I750" s="78">
        <v>3589</v>
      </c>
      <c r="J750" s="78">
        <v>116</v>
      </c>
      <c r="K750" s="78">
        <v>596</v>
      </c>
      <c r="L750" s="78">
        <v>4287</v>
      </c>
      <c r="M750" s="78">
        <v>15809</v>
      </c>
      <c r="N750" s="78">
        <v>11657</v>
      </c>
      <c r="O750" s="78">
        <v>26214</v>
      </c>
      <c r="P750" s="78">
        <v>5736</v>
      </c>
      <c r="Q750" s="78">
        <v>18943</v>
      </c>
      <c r="R750" s="16">
        <f t="shared" si="433"/>
        <v>21680</v>
      </c>
    </row>
    <row r="751" spans="1:18" ht="15.6" x14ac:dyDescent="0.3">
      <c r="A751" s="10">
        <v>39492</v>
      </c>
      <c r="B751" s="6">
        <v>3190</v>
      </c>
      <c r="C751" s="6">
        <v>9990</v>
      </c>
      <c r="D751" s="6">
        <v>736</v>
      </c>
      <c r="E751" s="6">
        <v>4407</v>
      </c>
      <c r="F751" s="6">
        <v>1689</v>
      </c>
      <c r="G751" s="6">
        <v>6128</v>
      </c>
      <c r="H751" s="6">
        <v>966</v>
      </c>
      <c r="I751" s="6">
        <v>3213</v>
      </c>
      <c r="J751" s="6">
        <v>77</v>
      </c>
      <c r="K751" s="6">
        <v>898</v>
      </c>
      <c r="L751" s="6">
        <v>6658</v>
      </c>
      <c r="M751" s="6">
        <v>24636</v>
      </c>
      <c r="N751" s="6">
        <v>19316</v>
      </c>
      <c r="O751" s="6">
        <v>30107</v>
      </c>
      <c r="P751" s="6">
        <v>6977</v>
      </c>
      <c r="Q751" s="6">
        <v>18083</v>
      </c>
      <c r="R751" s="16">
        <f t="shared" si="433"/>
        <v>32951</v>
      </c>
    </row>
    <row r="752" spans="1:18" ht="15.6" x14ac:dyDescent="0.3">
      <c r="A752" s="10">
        <v>39135</v>
      </c>
      <c r="B752" s="78">
        <v>1315</v>
      </c>
      <c r="C752" s="78">
        <v>4783</v>
      </c>
      <c r="D752" s="78">
        <v>653</v>
      </c>
      <c r="E752" s="78">
        <v>2569</v>
      </c>
      <c r="F752" s="78">
        <v>1065</v>
      </c>
      <c r="G752" s="78">
        <v>4689</v>
      </c>
      <c r="H752" s="78">
        <v>861</v>
      </c>
      <c r="I752" s="78">
        <v>3767</v>
      </c>
      <c r="J752" s="78">
        <v>103</v>
      </c>
      <c r="K752" s="78">
        <v>614</v>
      </c>
      <c r="L752" s="78">
        <v>3997</v>
      </c>
      <c r="M752" s="78">
        <v>16421</v>
      </c>
      <c r="N752" s="78">
        <v>11084</v>
      </c>
      <c r="O752" s="78">
        <v>27106</v>
      </c>
      <c r="P752" s="78">
        <v>5217</v>
      </c>
      <c r="Q752" s="78">
        <v>19877</v>
      </c>
      <c r="R752" s="16">
        <f t="shared" si="433"/>
        <v>20298</v>
      </c>
    </row>
    <row r="753" spans="1:18" ht="15.6" x14ac:dyDescent="0.3">
      <c r="A753" s="10">
        <v>39499</v>
      </c>
      <c r="B753" s="6">
        <v>3187</v>
      </c>
      <c r="C753" s="6">
        <v>10141</v>
      </c>
      <c r="D753" s="6">
        <v>746</v>
      </c>
      <c r="E753" s="6">
        <v>4454</v>
      </c>
      <c r="F753" s="6">
        <v>1586</v>
      </c>
      <c r="G753" s="6">
        <v>6300</v>
      </c>
      <c r="H753" s="6">
        <v>860</v>
      </c>
      <c r="I753" s="6">
        <v>3325</v>
      </c>
      <c r="J753" s="6">
        <v>77</v>
      </c>
      <c r="K753" s="6">
        <v>926</v>
      </c>
      <c r="L753" s="6">
        <v>6456</v>
      </c>
      <c r="M753" s="6">
        <v>25146</v>
      </c>
      <c r="N753" s="6">
        <v>18670</v>
      </c>
      <c r="O753" s="6">
        <v>31355</v>
      </c>
      <c r="P753" s="6">
        <v>6893</v>
      </c>
      <c r="Q753" s="6">
        <v>18750</v>
      </c>
      <c r="R753" s="16">
        <f t="shared" si="433"/>
        <v>32019</v>
      </c>
    </row>
    <row r="754" spans="1:18" ht="15.6" x14ac:dyDescent="0.3">
      <c r="A754" s="10">
        <v>39142</v>
      </c>
      <c r="B754" s="78">
        <v>1324</v>
      </c>
      <c r="C754" s="78">
        <v>4927</v>
      </c>
      <c r="D754" s="78">
        <v>733</v>
      </c>
      <c r="E754" s="78">
        <v>2607</v>
      </c>
      <c r="F754" s="78">
        <v>984</v>
      </c>
      <c r="G754" s="78">
        <v>4847</v>
      </c>
      <c r="H754" s="78">
        <v>826</v>
      </c>
      <c r="I754" s="78">
        <v>3878</v>
      </c>
      <c r="J754" s="78">
        <v>98</v>
      </c>
      <c r="K754" s="78">
        <v>616</v>
      </c>
      <c r="L754" s="78">
        <v>3965</v>
      </c>
      <c r="M754" s="78">
        <v>16875</v>
      </c>
      <c r="N754" s="78">
        <v>10731</v>
      </c>
      <c r="O754" s="78">
        <v>28532</v>
      </c>
      <c r="P754" s="78">
        <v>4920</v>
      </c>
      <c r="Q754" s="78">
        <v>20741</v>
      </c>
      <c r="R754" s="16">
        <f t="shared" si="433"/>
        <v>19616</v>
      </c>
    </row>
    <row r="755" spans="1:18" ht="15.6" x14ac:dyDescent="0.3">
      <c r="A755" s="10">
        <v>39506</v>
      </c>
      <c r="B755" s="6">
        <v>3297</v>
      </c>
      <c r="C755" s="6">
        <v>10381</v>
      </c>
      <c r="D755" s="6">
        <v>746</v>
      </c>
      <c r="E755" s="6">
        <v>4537</v>
      </c>
      <c r="F755" s="6">
        <v>1480</v>
      </c>
      <c r="G755" s="6">
        <v>6398</v>
      </c>
      <c r="H755" s="6">
        <v>818</v>
      </c>
      <c r="I755" s="6">
        <v>3369</v>
      </c>
      <c r="J755" s="6">
        <v>67</v>
      </c>
      <c r="K755" s="6">
        <v>941</v>
      </c>
      <c r="L755" s="6">
        <v>6409</v>
      </c>
      <c r="M755" s="6">
        <v>25626</v>
      </c>
      <c r="N755" s="6">
        <v>17986</v>
      </c>
      <c r="O755" s="6">
        <v>32687</v>
      </c>
      <c r="P755" s="6">
        <v>6138</v>
      </c>
      <c r="Q755" s="6">
        <v>19709</v>
      </c>
      <c r="R755" s="16">
        <f t="shared" si="433"/>
        <v>30533</v>
      </c>
    </row>
    <row r="756" spans="1:18" ht="15.6" x14ac:dyDescent="0.3">
      <c r="A756" s="10">
        <v>39149</v>
      </c>
      <c r="B756" s="78">
        <v>1275</v>
      </c>
      <c r="C756" s="78">
        <v>5062</v>
      </c>
      <c r="D756" s="78">
        <v>642</v>
      </c>
      <c r="E756" s="78">
        <v>2803</v>
      </c>
      <c r="F756" s="78">
        <v>990</v>
      </c>
      <c r="G756" s="78">
        <v>4979</v>
      </c>
      <c r="H756" s="78">
        <v>895</v>
      </c>
      <c r="I756" s="78">
        <v>3909</v>
      </c>
      <c r="J756" s="78">
        <v>65</v>
      </c>
      <c r="K756" s="78">
        <v>665</v>
      </c>
      <c r="L756" s="78">
        <v>3865</v>
      </c>
      <c r="M756" s="78">
        <v>17418</v>
      </c>
      <c r="N756" s="78">
        <v>10330</v>
      </c>
      <c r="O756" s="78">
        <v>29682</v>
      </c>
      <c r="P756" s="78">
        <v>4587</v>
      </c>
      <c r="Q756" s="78">
        <v>21525</v>
      </c>
      <c r="R756" s="16">
        <f t="shared" si="433"/>
        <v>18782</v>
      </c>
    </row>
    <row r="757" spans="1:18" ht="15.6" x14ac:dyDescent="0.3">
      <c r="A757" s="10">
        <v>39513</v>
      </c>
      <c r="B757" s="6">
        <v>3224</v>
      </c>
      <c r="C757" s="6">
        <v>10602</v>
      </c>
      <c r="D757" s="6">
        <v>678</v>
      </c>
      <c r="E757" s="6">
        <v>4613</v>
      </c>
      <c r="F757" s="6">
        <v>1388</v>
      </c>
      <c r="G757" s="6">
        <v>6534</v>
      </c>
      <c r="H757" s="6">
        <v>747</v>
      </c>
      <c r="I757" s="6">
        <v>3427</v>
      </c>
      <c r="J757" s="6">
        <v>76</v>
      </c>
      <c r="K757" s="6">
        <v>956</v>
      </c>
      <c r="L757" s="6">
        <v>6113</v>
      </c>
      <c r="M757" s="6">
        <v>26132</v>
      </c>
      <c r="N757" s="6">
        <v>17692</v>
      </c>
      <c r="O757" s="6">
        <v>33749</v>
      </c>
      <c r="P757" s="6">
        <v>5509</v>
      </c>
      <c r="Q757" s="6">
        <v>20595</v>
      </c>
      <c r="R757" s="16">
        <f t="shared" si="433"/>
        <v>29314</v>
      </c>
    </row>
    <row r="758" spans="1:18" ht="15.6" x14ac:dyDescent="0.3">
      <c r="A758" s="10">
        <v>39156</v>
      </c>
      <c r="B758" s="78">
        <v>1268</v>
      </c>
      <c r="C758" s="78">
        <v>5189</v>
      </c>
      <c r="D758" s="78">
        <v>595</v>
      </c>
      <c r="E758" s="78">
        <v>2907</v>
      </c>
      <c r="F758" s="78">
        <v>1044</v>
      </c>
      <c r="G758" s="78">
        <v>5060</v>
      </c>
      <c r="H758" s="78">
        <v>932</v>
      </c>
      <c r="I758" s="78">
        <v>4024</v>
      </c>
      <c r="J758" s="78">
        <v>74</v>
      </c>
      <c r="K758" s="78">
        <v>665</v>
      </c>
      <c r="L758" s="78">
        <v>3913</v>
      </c>
      <c r="M758" s="78">
        <v>17845</v>
      </c>
      <c r="N758" s="78">
        <v>10066</v>
      </c>
      <c r="O758" s="78">
        <v>30587</v>
      </c>
      <c r="P758" s="78">
        <v>4602</v>
      </c>
      <c r="Q758" s="78">
        <v>22033</v>
      </c>
      <c r="R758" s="16">
        <f t="shared" si="433"/>
        <v>18581</v>
      </c>
    </row>
    <row r="759" spans="1:18" ht="15.6" x14ac:dyDescent="0.3">
      <c r="A759" s="10">
        <v>39520</v>
      </c>
      <c r="B759" s="6">
        <v>2794</v>
      </c>
      <c r="C759" s="6">
        <v>10921</v>
      </c>
      <c r="D759" s="6">
        <v>664</v>
      </c>
      <c r="E759" s="6">
        <v>4771</v>
      </c>
      <c r="F759" s="6">
        <v>1304</v>
      </c>
      <c r="G759" s="6">
        <v>6599</v>
      </c>
      <c r="H759" s="6">
        <v>728</v>
      </c>
      <c r="I759" s="6">
        <v>3449</v>
      </c>
      <c r="J759" s="6">
        <v>76</v>
      </c>
      <c r="K759" s="6">
        <v>956</v>
      </c>
      <c r="L759" s="6">
        <v>5566</v>
      </c>
      <c r="M759" s="6">
        <v>26696</v>
      </c>
      <c r="N759" s="6">
        <v>16969</v>
      </c>
      <c r="O759" s="6">
        <v>35222</v>
      </c>
      <c r="P759" s="6">
        <v>5191</v>
      </c>
      <c r="Q759" s="6">
        <v>21351</v>
      </c>
      <c r="R759" s="16">
        <f t="shared" si="433"/>
        <v>27726</v>
      </c>
    </row>
    <row r="760" spans="1:18" ht="15.6" x14ac:dyDescent="0.3">
      <c r="A760" s="10">
        <v>39163</v>
      </c>
      <c r="B760" s="78">
        <v>1237</v>
      </c>
      <c r="C760" s="78">
        <v>5349</v>
      </c>
      <c r="D760" s="78">
        <v>784</v>
      </c>
      <c r="E760" s="78">
        <v>2956</v>
      </c>
      <c r="F760" s="78">
        <v>1025</v>
      </c>
      <c r="G760" s="78">
        <v>5184</v>
      </c>
      <c r="H760" s="78">
        <v>931</v>
      </c>
      <c r="I760" s="78">
        <v>4064</v>
      </c>
      <c r="J760" s="78">
        <v>87</v>
      </c>
      <c r="K760" s="78">
        <v>669</v>
      </c>
      <c r="L760" s="78">
        <v>4064</v>
      </c>
      <c r="M760" s="78">
        <v>18223</v>
      </c>
      <c r="N760" s="78">
        <v>10043</v>
      </c>
      <c r="O760" s="78">
        <v>31734</v>
      </c>
      <c r="P760" s="78">
        <v>4316</v>
      </c>
      <c r="Q760" s="78">
        <v>22590</v>
      </c>
      <c r="R760" s="16">
        <f t="shared" si="433"/>
        <v>18423</v>
      </c>
    </row>
    <row r="761" spans="1:18" ht="15.6" x14ac:dyDescent="0.3">
      <c r="A761" s="10">
        <v>39527</v>
      </c>
      <c r="B761" s="6">
        <v>2704</v>
      </c>
      <c r="C761" s="6">
        <v>11126</v>
      </c>
      <c r="D761" s="6">
        <v>761</v>
      </c>
      <c r="E761" s="6">
        <v>4795</v>
      </c>
      <c r="F761" s="6">
        <v>1200</v>
      </c>
      <c r="G761" s="6">
        <v>6760</v>
      </c>
      <c r="H761" s="6">
        <v>696</v>
      </c>
      <c r="I761" s="6">
        <v>3566</v>
      </c>
      <c r="J761" s="6">
        <v>53</v>
      </c>
      <c r="K761" s="6">
        <v>980</v>
      </c>
      <c r="L761" s="6">
        <v>5414</v>
      </c>
      <c r="M761" s="6">
        <v>27228</v>
      </c>
      <c r="N761" s="6">
        <v>16312</v>
      </c>
      <c r="O761" s="6">
        <v>36511</v>
      </c>
      <c r="P761" s="6">
        <v>4924</v>
      </c>
      <c r="Q761" s="6">
        <v>21988</v>
      </c>
      <c r="R761" s="16">
        <f t="shared" si="433"/>
        <v>26650</v>
      </c>
    </row>
    <row r="762" spans="1:18" ht="15.6" x14ac:dyDescent="0.3">
      <c r="A762" s="10">
        <v>39170</v>
      </c>
      <c r="B762" s="78">
        <v>1192</v>
      </c>
      <c r="C762" s="78">
        <v>5442</v>
      </c>
      <c r="D762" s="78">
        <v>729</v>
      </c>
      <c r="E762" s="78">
        <v>3080</v>
      </c>
      <c r="F762" s="78">
        <v>1003</v>
      </c>
      <c r="G762" s="78">
        <v>5291</v>
      </c>
      <c r="H762" s="78">
        <v>879</v>
      </c>
      <c r="I762" s="78">
        <v>4134</v>
      </c>
      <c r="J762" s="78">
        <v>81</v>
      </c>
      <c r="K762" s="78">
        <v>669</v>
      </c>
      <c r="L762" s="78">
        <v>3884</v>
      </c>
      <c r="M762" s="78">
        <v>18616</v>
      </c>
      <c r="N762" s="78">
        <v>9656</v>
      </c>
      <c r="O762" s="78">
        <v>32671</v>
      </c>
      <c r="P762" s="78">
        <v>3789</v>
      </c>
      <c r="Q762" s="78">
        <v>23375</v>
      </c>
      <c r="R762" s="16">
        <f t="shared" si="433"/>
        <v>17329</v>
      </c>
    </row>
    <row r="763" spans="1:18" ht="15.6" x14ac:dyDescent="0.3">
      <c r="A763" s="10">
        <v>39534</v>
      </c>
      <c r="B763" s="6">
        <v>2557</v>
      </c>
      <c r="C763" s="6">
        <v>11318</v>
      </c>
      <c r="D763" s="6">
        <v>914</v>
      </c>
      <c r="E763" s="6">
        <v>4826</v>
      </c>
      <c r="F763" s="6">
        <v>1052</v>
      </c>
      <c r="G763" s="6">
        <v>6931</v>
      </c>
      <c r="H763" s="6">
        <v>627</v>
      </c>
      <c r="I763" s="6">
        <v>3652</v>
      </c>
      <c r="J763" s="6">
        <v>53</v>
      </c>
      <c r="K763" s="6">
        <v>978</v>
      </c>
      <c r="L763" s="6">
        <v>5203</v>
      </c>
      <c r="M763" s="6">
        <v>27706</v>
      </c>
      <c r="N763" s="6">
        <v>15871</v>
      </c>
      <c r="O763" s="6">
        <v>37657</v>
      </c>
      <c r="P763" s="6">
        <v>4381</v>
      </c>
      <c r="Q763" s="6">
        <v>22716</v>
      </c>
      <c r="R763" s="16">
        <f t="shared" si="433"/>
        <v>25455</v>
      </c>
    </row>
    <row r="764" spans="1:18" ht="15.6" x14ac:dyDescent="0.3">
      <c r="A764" s="10">
        <v>39177</v>
      </c>
      <c r="B764" s="78">
        <v>1277</v>
      </c>
      <c r="C764" s="78">
        <v>5567</v>
      </c>
      <c r="D764" s="78">
        <v>830</v>
      </c>
      <c r="E764" s="78">
        <v>3126</v>
      </c>
      <c r="F764" s="78">
        <v>1139</v>
      </c>
      <c r="G764" s="78">
        <v>5412</v>
      </c>
      <c r="H764" s="78">
        <v>832</v>
      </c>
      <c r="I764" s="78">
        <v>4228</v>
      </c>
      <c r="J764" s="78">
        <v>114</v>
      </c>
      <c r="K764" s="78">
        <v>669</v>
      </c>
      <c r="L764" s="78">
        <v>4193</v>
      </c>
      <c r="M764" s="78">
        <v>19001</v>
      </c>
      <c r="N764" s="78">
        <v>10247</v>
      </c>
      <c r="O764" s="78">
        <v>33404</v>
      </c>
      <c r="P764" s="78">
        <v>3394</v>
      </c>
      <c r="Q764" s="78">
        <v>23908</v>
      </c>
      <c r="R764" s="16">
        <f t="shared" si="433"/>
        <v>17834</v>
      </c>
    </row>
    <row r="765" spans="1:18" ht="15.6" x14ac:dyDescent="0.3">
      <c r="A765" s="10">
        <v>39541</v>
      </c>
      <c r="B765" s="6">
        <v>2431</v>
      </c>
      <c r="C765" s="6">
        <v>11743</v>
      </c>
      <c r="D765" s="6">
        <v>786</v>
      </c>
      <c r="E765" s="6">
        <v>4993</v>
      </c>
      <c r="F765" s="6">
        <v>1023</v>
      </c>
      <c r="G765" s="6">
        <v>7029</v>
      </c>
      <c r="H765" s="6">
        <v>580</v>
      </c>
      <c r="I765" s="6">
        <v>3710</v>
      </c>
      <c r="J765" s="6">
        <v>77</v>
      </c>
      <c r="K765" s="6">
        <v>992</v>
      </c>
      <c r="L765" s="6">
        <v>4897</v>
      </c>
      <c r="M765" s="6">
        <v>28466</v>
      </c>
      <c r="N765" s="6">
        <v>15090</v>
      </c>
      <c r="O765" s="6">
        <v>38906</v>
      </c>
      <c r="P765" s="6">
        <v>4538</v>
      </c>
      <c r="Q765" s="6">
        <v>23142</v>
      </c>
      <c r="R765" s="16">
        <f t="shared" si="433"/>
        <v>24525</v>
      </c>
    </row>
    <row r="766" spans="1:18" ht="15.6" x14ac:dyDescent="0.3">
      <c r="A766" s="10">
        <v>39184</v>
      </c>
      <c r="B766" s="78">
        <v>1169</v>
      </c>
      <c r="C766" s="78">
        <v>5761</v>
      </c>
      <c r="D766" s="78">
        <v>740</v>
      </c>
      <c r="E766" s="78">
        <v>3271</v>
      </c>
      <c r="F766" s="78">
        <v>1084</v>
      </c>
      <c r="G766" s="78">
        <v>5572</v>
      </c>
      <c r="H766" s="78">
        <v>722</v>
      </c>
      <c r="I766" s="78">
        <v>4413</v>
      </c>
      <c r="J766" s="78">
        <v>128</v>
      </c>
      <c r="K766" s="78">
        <v>678</v>
      </c>
      <c r="L766" s="78">
        <v>3842</v>
      </c>
      <c r="M766" s="78">
        <v>19695</v>
      </c>
      <c r="N766" s="78">
        <v>10152</v>
      </c>
      <c r="O766" s="78">
        <v>34301</v>
      </c>
      <c r="P766" s="78">
        <v>3201</v>
      </c>
      <c r="Q766" s="78">
        <v>24385</v>
      </c>
      <c r="R766" s="16">
        <f t="shared" si="433"/>
        <v>17195</v>
      </c>
    </row>
    <row r="767" spans="1:18" ht="15.6" x14ac:dyDescent="0.3">
      <c r="A767" s="10">
        <v>39548</v>
      </c>
      <c r="B767" s="6">
        <v>2341</v>
      </c>
      <c r="C767" s="6">
        <v>11941</v>
      </c>
      <c r="D767" s="6">
        <v>737</v>
      </c>
      <c r="E767" s="6">
        <v>5073</v>
      </c>
      <c r="F767" s="6">
        <v>972</v>
      </c>
      <c r="G767" s="6">
        <v>7060</v>
      </c>
      <c r="H767" s="6">
        <v>571</v>
      </c>
      <c r="I767" s="6">
        <v>3722</v>
      </c>
      <c r="J767" s="6">
        <v>83</v>
      </c>
      <c r="K767" s="6">
        <v>992</v>
      </c>
      <c r="L767" s="6">
        <v>4704</v>
      </c>
      <c r="M767" s="6">
        <v>28788</v>
      </c>
      <c r="N767" s="6">
        <v>14847</v>
      </c>
      <c r="O767" s="6">
        <v>40012</v>
      </c>
      <c r="P767" s="6">
        <v>4607</v>
      </c>
      <c r="Q767" s="6">
        <v>23550</v>
      </c>
      <c r="R767" s="16">
        <f t="shared" si="433"/>
        <v>24158</v>
      </c>
    </row>
    <row r="768" spans="1:18" ht="15.6" x14ac:dyDescent="0.3">
      <c r="A768" s="10">
        <v>39191</v>
      </c>
      <c r="B768" s="78">
        <v>1196</v>
      </c>
      <c r="C768" s="78">
        <v>5887</v>
      </c>
      <c r="D768" s="78">
        <v>716</v>
      </c>
      <c r="E768" s="78">
        <v>3325</v>
      </c>
      <c r="F768" s="78">
        <v>1051</v>
      </c>
      <c r="G768" s="78">
        <v>5653</v>
      </c>
      <c r="H768" s="78">
        <v>685</v>
      </c>
      <c r="I768" s="78">
        <v>4501</v>
      </c>
      <c r="J768" s="78">
        <v>123</v>
      </c>
      <c r="K768" s="78">
        <v>678</v>
      </c>
      <c r="L768" s="78">
        <v>3771</v>
      </c>
      <c r="M768" s="78">
        <v>20045</v>
      </c>
      <c r="N768" s="78">
        <v>10350</v>
      </c>
      <c r="O768" s="78">
        <v>35209</v>
      </c>
      <c r="P768" s="78">
        <v>3169</v>
      </c>
      <c r="Q768" s="78">
        <v>24839</v>
      </c>
      <c r="R768" s="16">
        <f t="shared" si="433"/>
        <v>17290</v>
      </c>
    </row>
    <row r="769" spans="1:18" ht="15.6" x14ac:dyDescent="0.3">
      <c r="A769" s="10">
        <v>39555</v>
      </c>
      <c r="B769" s="6">
        <v>2136</v>
      </c>
      <c r="C769" s="6">
        <v>12265</v>
      </c>
      <c r="D769" s="6">
        <v>734</v>
      </c>
      <c r="E769" s="6">
        <v>5080</v>
      </c>
      <c r="F769" s="6">
        <v>893</v>
      </c>
      <c r="G769" s="6">
        <v>7174</v>
      </c>
      <c r="H769" s="6">
        <v>482</v>
      </c>
      <c r="I769" s="6">
        <v>3794</v>
      </c>
      <c r="J769" s="6">
        <v>67</v>
      </c>
      <c r="K769" s="6">
        <v>1026</v>
      </c>
      <c r="L769" s="6">
        <v>4312</v>
      </c>
      <c r="M769" s="6">
        <v>29339</v>
      </c>
      <c r="N769" s="6">
        <v>14512</v>
      </c>
      <c r="O769" s="6">
        <v>41128</v>
      </c>
      <c r="P769" s="6">
        <v>4444</v>
      </c>
      <c r="Q769" s="6">
        <v>24090</v>
      </c>
      <c r="R769" s="16">
        <f t="shared" si="433"/>
        <v>23268</v>
      </c>
    </row>
    <row r="770" spans="1:18" ht="15.6" x14ac:dyDescent="0.3">
      <c r="A770" s="10">
        <v>39198</v>
      </c>
      <c r="B770" s="78">
        <v>1141</v>
      </c>
      <c r="C770" s="78">
        <v>6050</v>
      </c>
      <c r="D770" s="78">
        <v>651</v>
      </c>
      <c r="E770" s="78">
        <v>3402</v>
      </c>
      <c r="F770" s="78">
        <v>946</v>
      </c>
      <c r="G770" s="78">
        <v>5768</v>
      </c>
      <c r="H770" s="78">
        <v>617</v>
      </c>
      <c r="I770" s="78">
        <v>4590</v>
      </c>
      <c r="J770" s="78">
        <v>123</v>
      </c>
      <c r="K770" s="78">
        <v>681</v>
      </c>
      <c r="L770" s="78">
        <v>3478</v>
      </c>
      <c r="M770" s="78">
        <v>20490</v>
      </c>
      <c r="N770" s="78">
        <v>9880</v>
      </c>
      <c r="O770" s="78">
        <v>36294</v>
      </c>
      <c r="P770" s="78">
        <v>2667</v>
      </c>
      <c r="Q770" s="78">
        <v>25270</v>
      </c>
      <c r="R770" s="16">
        <f t="shared" si="433"/>
        <v>16025</v>
      </c>
    </row>
    <row r="771" spans="1:18" ht="15.6" x14ac:dyDescent="0.3">
      <c r="A771" s="10">
        <v>39562</v>
      </c>
      <c r="B771" s="6">
        <v>1888</v>
      </c>
      <c r="C771" s="6">
        <v>12573</v>
      </c>
      <c r="D771" s="6">
        <v>786</v>
      </c>
      <c r="E771" s="6">
        <v>5109</v>
      </c>
      <c r="F771" s="6">
        <v>860</v>
      </c>
      <c r="G771" s="6">
        <v>7229</v>
      </c>
      <c r="H771" s="6">
        <v>317</v>
      </c>
      <c r="I771" s="6">
        <v>3971</v>
      </c>
      <c r="J771" s="6">
        <v>63</v>
      </c>
      <c r="K771" s="6">
        <v>1032</v>
      </c>
      <c r="L771" s="6">
        <v>3913</v>
      </c>
      <c r="M771" s="6">
        <v>29914</v>
      </c>
      <c r="N771" s="6">
        <v>14060</v>
      </c>
      <c r="O771" s="6">
        <v>42132</v>
      </c>
      <c r="P771" s="6">
        <v>4210</v>
      </c>
      <c r="Q771" s="6">
        <v>24635</v>
      </c>
      <c r="R771" s="16">
        <f t="shared" si="433"/>
        <v>22183</v>
      </c>
    </row>
    <row r="772" spans="1:18" ht="15.6" x14ac:dyDescent="0.3">
      <c r="A772" s="10">
        <v>39205</v>
      </c>
      <c r="B772" s="78">
        <v>1036</v>
      </c>
      <c r="C772" s="78">
        <v>6215</v>
      </c>
      <c r="D772" s="78">
        <v>526</v>
      </c>
      <c r="E772" s="78">
        <v>3527</v>
      </c>
      <c r="F772" s="78">
        <v>950</v>
      </c>
      <c r="G772" s="78">
        <v>5839</v>
      </c>
      <c r="H772" s="78">
        <v>609</v>
      </c>
      <c r="I772" s="78">
        <v>4615</v>
      </c>
      <c r="J772" s="78">
        <v>105</v>
      </c>
      <c r="K772" s="78">
        <v>730</v>
      </c>
      <c r="L772" s="78">
        <v>3226</v>
      </c>
      <c r="M772" s="78">
        <v>20927</v>
      </c>
      <c r="N772" s="78">
        <v>9468</v>
      </c>
      <c r="O772" s="78">
        <v>37162</v>
      </c>
      <c r="P772" s="78">
        <v>2475</v>
      </c>
      <c r="Q772" s="78">
        <v>25666</v>
      </c>
      <c r="R772" s="16">
        <f t="shared" si="433"/>
        <v>15169</v>
      </c>
    </row>
    <row r="773" spans="1:18" ht="15.6" x14ac:dyDescent="0.3">
      <c r="A773" s="10">
        <v>39569</v>
      </c>
      <c r="B773" s="6">
        <v>1683</v>
      </c>
      <c r="C773" s="6">
        <v>12867</v>
      </c>
      <c r="D773" s="6">
        <v>743</v>
      </c>
      <c r="E773" s="6">
        <v>5220</v>
      </c>
      <c r="F773" s="6">
        <v>712</v>
      </c>
      <c r="G773" s="6">
        <v>7393</v>
      </c>
      <c r="H773" s="6">
        <v>257</v>
      </c>
      <c r="I773" s="6">
        <v>4035</v>
      </c>
      <c r="J773" s="6">
        <v>64</v>
      </c>
      <c r="K773" s="6">
        <v>1032</v>
      </c>
      <c r="L773" s="6">
        <v>3460</v>
      </c>
      <c r="M773" s="6">
        <v>30546</v>
      </c>
      <c r="N773" s="6">
        <v>13460</v>
      </c>
      <c r="O773" s="6">
        <v>43069</v>
      </c>
      <c r="P773" s="6">
        <v>3889</v>
      </c>
      <c r="Q773" s="6">
        <v>24997</v>
      </c>
      <c r="R773" s="16">
        <f t="shared" si="433"/>
        <v>20809</v>
      </c>
    </row>
    <row r="774" spans="1:18" ht="15.6" x14ac:dyDescent="0.3">
      <c r="A774" s="10">
        <v>39212</v>
      </c>
      <c r="B774" s="78">
        <v>971</v>
      </c>
      <c r="C774" s="78">
        <v>6320</v>
      </c>
      <c r="D774" s="78">
        <v>426</v>
      </c>
      <c r="E774" s="78">
        <v>3661</v>
      </c>
      <c r="F774" s="78">
        <v>789</v>
      </c>
      <c r="G774" s="78">
        <v>5995</v>
      </c>
      <c r="H774" s="78">
        <v>432</v>
      </c>
      <c r="I774" s="78">
        <v>4782</v>
      </c>
      <c r="J774" s="78">
        <v>98</v>
      </c>
      <c r="K774" s="78">
        <v>737</v>
      </c>
      <c r="L774" s="78">
        <v>2716</v>
      </c>
      <c r="M774" s="78">
        <v>21494</v>
      </c>
      <c r="N774" s="78">
        <v>9835</v>
      </c>
      <c r="O774" s="78">
        <v>38309</v>
      </c>
      <c r="P774" s="78">
        <v>2454</v>
      </c>
      <c r="Q774" s="78">
        <v>25910</v>
      </c>
      <c r="R774" s="16">
        <f t="shared" si="433"/>
        <v>15005</v>
      </c>
    </row>
    <row r="775" spans="1:18" ht="15.6" x14ac:dyDescent="0.3">
      <c r="A775" s="10">
        <v>39576</v>
      </c>
      <c r="B775" s="6">
        <v>1484</v>
      </c>
      <c r="C775" s="6">
        <v>13066</v>
      </c>
      <c r="D775" s="6">
        <v>715</v>
      </c>
      <c r="E775" s="6">
        <v>5372</v>
      </c>
      <c r="F775" s="6">
        <v>534</v>
      </c>
      <c r="G775" s="6">
        <v>7567</v>
      </c>
      <c r="H775" s="6">
        <v>209</v>
      </c>
      <c r="I775" s="6">
        <v>4084</v>
      </c>
      <c r="J775" s="6">
        <v>38</v>
      </c>
      <c r="K775" s="6">
        <v>1057</v>
      </c>
      <c r="L775" s="6">
        <v>2980</v>
      </c>
      <c r="M775" s="6">
        <v>31146</v>
      </c>
      <c r="N775" s="6">
        <v>13012</v>
      </c>
      <c r="O775" s="6">
        <v>44064</v>
      </c>
      <c r="P775" s="6">
        <v>3603</v>
      </c>
      <c r="Q775" s="6">
        <v>25484</v>
      </c>
      <c r="R775" s="16">
        <f t="shared" si="433"/>
        <v>19595</v>
      </c>
    </row>
    <row r="776" spans="1:18" ht="15.6" x14ac:dyDescent="0.3">
      <c r="A776" s="10">
        <v>39219</v>
      </c>
      <c r="B776" s="78">
        <v>820</v>
      </c>
      <c r="C776" s="78">
        <v>6540</v>
      </c>
      <c r="D776" s="78">
        <v>336</v>
      </c>
      <c r="E776" s="78">
        <v>3733</v>
      </c>
      <c r="F776" s="78">
        <v>577</v>
      </c>
      <c r="G776" s="78">
        <v>6125</v>
      </c>
      <c r="H776" s="78">
        <v>287</v>
      </c>
      <c r="I776" s="78">
        <v>4889</v>
      </c>
      <c r="J776" s="78">
        <v>28</v>
      </c>
      <c r="K776" s="78">
        <v>739</v>
      </c>
      <c r="L776" s="78">
        <v>2048</v>
      </c>
      <c r="M776" s="78">
        <v>22025</v>
      </c>
      <c r="N776" s="78">
        <v>9682</v>
      </c>
      <c r="O776" s="78">
        <v>39119</v>
      </c>
      <c r="P776" s="78">
        <v>2207</v>
      </c>
      <c r="Q776" s="78">
        <v>26240</v>
      </c>
      <c r="R776" s="16">
        <f t="shared" si="433"/>
        <v>13937</v>
      </c>
    </row>
    <row r="777" spans="1:18" ht="15.6" x14ac:dyDescent="0.3">
      <c r="A777" s="10">
        <v>39583</v>
      </c>
      <c r="B777" s="6">
        <v>1362</v>
      </c>
      <c r="C777" s="6">
        <v>13249</v>
      </c>
      <c r="D777" s="6">
        <v>720</v>
      </c>
      <c r="E777" s="6">
        <v>5404</v>
      </c>
      <c r="F777" s="6">
        <v>485</v>
      </c>
      <c r="G777" s="6">
        <v>7615</v>
      </c>
      <c r="H777" s="6">
        <v>160</v>
      </c>
      <c r="I777" s="6">
        <v>4134</v>
      </c>
      <c r="J777" s="6">
        <v>26</v>
      </c>
      <c r="K777" s="6">
        <v>1069</v>
      </c>
      <c r="L777" s="6">
        <v>2752</v>
      </c>
      <c r="M777" s="6">
        <v>31472</v>
      </c>
      <c r="N777" s="6">
        <v>12775</v>
      </c>
      <c r="O777" s="6">
        <v>44808</v>
      </c>
      <c r="P777" s="6">
        <v>3714</v>
      </c>
      <c r="Q777" s="6">
        <v>25756</v>
      </c>
      <c r="R777" s="16">
        <f t="shared" si="433"/>
        <v>19241</v>
      </c>
    </row>
    <row r="778" spans="1:18" ht="15.6" x14ac:dyDescent="0.3">
      <c r="A778" s="10">
        <v>39226</v>
      </c>
      <c r="B778" s="78">
        <v>560</v>
      </c>
      <c r="C778" s="78">
        <v>6650</v>
      </c>
      <c r="D778" s="78">
        <v>290</v>
      </c>
      <c r="E778" s="78">
        <v>3793</v>
      </c>
      <c r="F778" s="78">
        <v>375</v>
      </c>
      <c r="G778" s="78">
        <v>6265</v>
      </c>
      <c r="H778" s="78">
        <v>167</v>
      </c>
      <c r="I778" s="78">
        <v>4960</v>
      </c>
      <c r="J778" s="78">
        <v>27</v>
      </c>
      <c r="K778" s="78">
        <v>739</v>
      </c>
      <c r="L778" s="78">
        <v>1419</v>
      </c>
      <c r="M778" s="78">
        <v>22406</v>
      </c>
      <c r="N778" s="78">
        <v>9268</v>
      </c>
      <c r="O778" s="78">
        <v>40209</v>
      </c>
      <c r="P778" s="78">
        <v>2332</v>
      </c>
      <c r="Q778" s="78">
        <v>26460</v>
      </c>
      <c r="R778" s="16">
        <f t="shared" si="433"/>
        <v>13019</v>
      </c>
    </row>
    <row r="779" spans="1:18" ht="15.6" x14ac:dyDescent="0.3">
      <c r="A779" s="10">
        <v>39590</v>
      </c>
      <c r="B779" s="6">
        <v>891</v>
      </c>
      <c r="C779" s="6">
        <v>13415</v>
      </c>
      <c r="D779" s="6">
        <v>603</v>
      </c>
      <c r="E779" s="6">
        <v>5475</v>
      </c>
      <c r="F779" s="6">
        <v>387</v>
      </c>
      <c r="G779" s="6">
        <v>7699</v>
      </c>
      <c r="H779" s="6">
        <v>137</v>
      </c>
      <c r="I779" s="6">
        <v>4156</v>
      </c>
      <c r="J779" s="6">
        <v>26</v>
      </c>
      <c r="K779" s="6">
        <v>1069</v>
      </c>
      <c r="L779" s="6">
        <v>2044</v>
      </c>
      <c r="M779" s="6">
        <v>31815</v>
      </c>
      <c r="N779" s="6">
        <v>12180</v>
      </c>
      <c r="O779" s="6">
        <v>45881</v>
      </c>
      <c r="P779" s="6">
        <v>3575</v>
      </c>
      <c r="Q779" s="6">
        <v>26141</v>
      </c>
      <c r="R779" s="16">
        <f t="shared" si="433"/>
        <v>17799</v>
      </c>
    </row>
    <row r="780" spans="1:18" ht="15.6" x14ac:dyDescent="0.3">
      <c r="A780" s="10">
        <v>39233</v>
      </c>
      <c r="B780" s="78">
        <v>362</v>
      </c>
      <c r="C780" s="78">
        <v>6800</v>
      </c>
      <c r="D780" s="78">
        <v>216</v>
      </c>
      <c r="E780" s="78">
        <v>3866</v>
      </c>
      <c r="F780" s="78">
        <v>171</v>
      </c>
      <c r="G780" s="78">
        <v>6480</v>
      </c>
      <c r="H780" s="78">
        <v>132</v>
      </c>
      <c r="I780" s="78">
        <v>4996</v>
      </c>
      <c r="J780" s="78">
        <v>6</v>
      </c>
      <c r="K780" s="78">
        <v>761</v>
      </c>
      <c r="L780" s="78">
        <v>886</v>
      </c>
      <c r="M780" s="78">
        <v>22902</v>
      </c>
      <c r="N780" s="78">
        <v>8642</v>
      </c>
      <c r="O780" s="78">
        <v>41211</v>
      </c>
      <c r="P780" s="78">
        <v>2392</v>
      </c>
      <c r="Q780" s="78">
        <v>26600</v>
      </c>
      <c r="R780" s="16">
        <f t="shared" si="433"/>
        <v>11920</v>
      </c>
    </row>
    <row r="781" spans="1:18" ht="15.6" x14ac:dyDescent="0.3">
      <c r="A781" s="10">
        <v>39597</v>
      </c>
      <c r="B781" s="6">
        <v>697</v>
      </c>
      <c r="C781" s="6">
        <v>13709</v>
      </c>
      <c r="D781" s="6">
        <v>525</v>
      </c>
      <c r="E781" s="6">
        <v>5568</v>
      </c>
      <c r="F781" s="6">
        <v>271</v>
      </c>
      <c r="G781" s="6">
        <v>7842</v>
      </c>
      <c r="H781" s="6">
        <v>103</v>
      </c>
      <c r="I781" s="6">
        <v>4191</v>
      </c>
      <c r="J781" s="6">
        <v>22</v>
      </c>
      <c r="K781" s="6">
        <v>1075</v>
      </c>
      <c r="L781" s="6">
        <v>1614</v>
      </c>
      <c r="M781" s="6">
        <v>32385</v>
      </c>
      <c r="N781" s="6">
        <v>11725</v>
      </c>
      <c r="O781" s="6">
        <v>46866</v>
      </c>
      <c r="P781" s="6">
        <v>3591</v>
      </c>
      <c r="Q781" s="6">
        <v>26424</v>
      </c>
      <c r="R781" s="16">
        <f t="shared" si="433"/>
        <v>16930</v>
      </c>
    </row>
    <row r="782" spans="1:18" ht="15.6" x14ac:dyDescent="0.3">
      <c r="A782" s="10">
        <v>39240</v>
      </c>
      <c r="B782" s="78">
        <v>1595</v>
      </c>
      <c r="C782" s="78">
        <v>62</v>
      </c>
      <c r="D782" s="78">
        <v>1033</v>
      </c>
      <c r="E782" s="78">
        <v>45</v>
      </c>
      <c r="F782" s="78">
        <v>922</v>
      </c>
      <c r="G782" s="78">
        <v>92</v>
      </c>
      <c r="H782" s="78">
        <v>718</v>
      </c>
      <c r="I782" s="78">
        <v>56</v>
      </c>
      <c r="J782" s="78">
        <v>209</v>
      </c>
      <c r="K782" s="78">
        <v>12</v>
      </c>
      <c r="L782" s="78">
        <v>4476</v>
      </c>
      <c r="M782" s="78">
        <v>268</v>
      </c>
      <c r="N782" s="78">
        <v>8343</v>
      </c>
      <c r="O782" s="78">
        <v>42037</v>
      </c>
      <c r="P782" s="78">
        <v>2262</v>
      </c>
      <c r="Q782" s="78">
        <v>26951</v>
      </c>
      <c r="R782" s="16">
        <f t="shared" si="433"/>
        <v>15081</v>
      </c>
    </row>
    <row r="783" spans="1:18" ht="15.6" x14ac:dyDescent="0.3">
      <c r="A783" s="10">
        <v>39604</v>
      </c>
      <c r="B783" s="6">
        <v>3458</v>
      </c>
      <c r="C783" s="6">
        <v>206</v>
      </c>
      <c r="D783" s="6">
        <v>1544</v>
      </c>
      <c r="E783" s="6">
        <v>75</v>
      </c>
      <c r="F783" s="6">
        <v>1129</v>
      </c>
      <c r="G783" s="6">
        <v>77</v>
      </c>
      <c r="H783" s="6">
        <v>812</v>
      </c>
      <c r="I783" s="96">
        <v>0.4</v>
      </c>
      <c r="J783" s="6">
        <v>235</v>
      </c>
      <c r="K783" s="6">
        <v>8</v>
      </c>
      <c r="L783" s="6">
        <v>7177</v>
      </c>
      <c r="M783" s="6">
        <v>367</v>
      </c>
      <c r="N783" s="6">
        <v>11085</v>
      </c>
      <c r="O783" s="6">
        <v>48031</v>
      </c>
      <c r="P783" s="6">
        <v>3658</v>
      </c>
      <c r="Q783" s="6">
        <v>26629</v>
      </c>
      <c r="R783" s="16">
        <f t="shared" si="433"/>
        <v>21920</v>
      </c>
    </row>
    <row r="784" spans="1:18" ht="15.6" x14ac:dyDescent="0.3">
      <c r="A784" s="10">
        <v>39247</v>
      </c>
      <c r="B784" s="78">
        <v>1560</v>
      </c>
      <c r="C784" s="78">
        <v>244</v>
      </c>
      <c r="D784" s="78">
        <v>1100</v>
      </c>
      <c r="E784" s="78">
        <v>101</v>
      </c>
      <c r="F784" s="78">
        <v>1023</v>
      </c>
      <c r="G784" s="78">
        <v>149</v>
      </c>
      <c r="H784" s="78">
        <v>754</v>
      </c>
      <c r="I784" s="78">
        <v>133</v>
      </c>
      <c r="J784" s="78">
        <v>209</v>
      </c>
      <c r="K784" s="78">
        <v>12</v>
      </c>
      <c r="L784" s="78">
        <v>4646</v>
      </c>
      <c r="M784" s="78">
        <v>639</v>
      </c>
      <c r="N784" s="78">
        <v>8274</v>
      </c>
      <c r="O784" s="78">
        <v>42933</v>
      </c>
      <c r="P784" s="78">
        <v>2454</v>
      </c>
      <c r="Q784" s="78">
        <v>27119</v>
      </c>
      <c r="R784" s="16">
        <f t="shared" ref="R784:R847" si="434">P784+N784+L784</f>
        <v>15374</v>
      </c>
    </row>
    <row r="785" spans="1:18" ht="15.6" x14ac:dyDescent="0.3">
      <c r="A785" s="10">
        <v>39611</v>
      </c>
      <c r="B785" s="6">
        <v>3481</v>
      </c>
      <c r="C785" s="6">
        <v>496</v>
      </c>
      <c r="D785" s="6">
        <v>1577</v>
      </c>
      <c r="E785" s="6">
        <v>97</v>
      </c>
      <c r="F785" s="6">
        <v>1194</v>
      </c>
      <c r="G785" s="6">
        <v>101</v>
      </c>
      <c r="H785" s="6">
        <v>855</v>
      </c>
      <c r="I785" s="6">
        <v>38</v>
      </c>
      <c r="J785" s="6">
        <v>235</v>
      </c>
      <c r="K785" s="6">
        <v>11</v>
      </c>
      <c r="L785" s="6">
        <v>7342</v>
      </c>
      <c r="M785" s="6">
        <v>741</v>
      </c>
      <c r="N785" s="6">
        <v>10341</v>
      </c>
      <c r="O785" s="6">
        <v>49118</v>
      </c>
      <c r="P785" s="6">
        <v>3473</v>
      </c>
      <c r="Q785" s="6">
        <v>26985</v>
      </c>
      <c r="R785" s="16">
        <f t="shared" si="434"/>
        <v>21156</v>
      </c>
    </row>
    <row r="786" spans="1:18" ht="15.6" x14ac:dyDescent="0.3">
      <c r="A786" s="10">
        <v>39254</v>
      </c>
      <c r="B786" s="78">
        <v>1572</v>
      </c>
      <c r="C786" s="78">
        <v>363</v>
      </c>
      <c r="D786" s="78">
        <v>985</v>
      </c>
      <c r="E786" s="78">
        <v>337</v>
      </c>
      <c r="F786" s="78">
        <v>1325</v>
      </c>
      <c r="G786" s="78">
        <v>165</v>
      </c>
      <c r="H786" s="78">
        <v>719</v>
      </c>
      <c r="I786" s="78">
        <v>205</v>
      </c>
      <c r="J786" s="78">
        <v>225</v>
      </c>
      <c r="K786" s="78">
        <v>12</v>
      </c>
      <c r="L786" s="78">
        <v>4825</v>
      </c>
      <c r="M786" s="78">
        <v>1083</v>
      </c>
      <c r="N786" s="78">
        <v>8171</v>
      </c>
      <c r="O786" s="78">
        <v>43789</v>
      </c>
      <c r="P786" s="78">
        <v>2282</v>
      </c>
      <c r="Q786" s="78">
        <v>27530</v>
      </c>
      <c r="R786" s="16">
        <f t="shared" si="434"/>
        <v>15278</v>
      </c>
    </row>
    <row r="787" spans="1:18" ht="15.6" x14ac:dyDescent="0.3">
      <c r="A787" s="10">
        <v>39618</v>
      </c>
      <c r="B787" s="6">
        <v>3379</v>
      </c>
      <c r="C787" s="6">
        <v>745</v>
      </c>
      <c r="D787" s="6">
        <v>1593</v>
      </c>
      <c r="E787" s="6">
        <v>232</v>
      </c>
      <c r="F787" s="6">
        <v>1261</v>
      </c>
      <c r="G787" s="6">
        <v>186</v>
      </c>
      <c r="H787" s="6">
        <v>867</v>
      </c>
      <c r="I787" s="6">
        <v>69</v>
      </c>
      <c r="J787" s="6">
        <v>236</v>
      </c>
      <c r="K787" s="6">
        <v>12</v>
      </c>
      <c r="L787" s="6">
        <v>7336</v>
      </c>
      <c r="M787" s="6">
        <v>1245</v>
      </c>
      <c r="N787" s="6">
        <v>9588</v>
      </c>
      <c r="O787" s="6">
        <v>50102</v>
      </c>
      <c r="P787" s="6">
        <v>2877</v>
      </c>
      <c r="Q787" s="6">
        <v>27313</v>
      </c>
      <c r="R787" s="16">
        <f t="shared" si="434"/>
        <v>19801</v>
      </c>
    </row>
    <row r="788" spans="1:18" ht="15.6" x14ac:dyDescent="0.3">
      <c r="A788" s="10">
        <v>39261</v>
      </c>
      <c r="B788" s="78">
        <v>1625.3</v>
      </c>
      <c r="C788" s="78">
        <v>523.6</v>
      </c>
      <c r="D788" s="78">
        <v>925</v>
      </c>
      <c r="E788" s="78">
        <v>518.29999999999995</v>
      </c>
      <c r="F788" s="78">
        <v>1244</v>
      </c>
      <c r="G788" s="78">
        <v>346.4</v>
      </c>
      <c r="H788" s="78">
        <v>759.1</v>
      </c>
      <c r="I788" s="78">
        <v>247</v>
      </c>
      <c r="J788" s="78">
        <v>219.3</v>
      </c>
      <c r="K788" s="78">
        <v>19.899999999999999</v>
      </c>
      <c r="L788" s="78">
        <v>4772.7</v>
      </c>
      <c r="M788" s="78">
        <v>1655.2</v>
      </c>
      <c r="N788" s="78">
        <v>8377.6</v>
      </c>
      <c r="O788" s="78">
        <v>44649.8</v>
      </c>
      <c r="P788" s="78">
        <v>2189.9</v>
      </c>
      <c r="Q788" s="78">
        <v>27814.6</v>
      </c>
      <c r="R788" s="16">
        <f t="shared" si="434"/>
        <v>15340.2</v>
      </c>
    </row>
    <row r="789" spans="1:18" ht="15.6" x14ac:dyDescent="0.3">
      <c r="A789" s="10">
        <v>39625</v>
      </c>
      <c r="B789" s="78">
        <v>3519.7</v>
      </c>
      <c r="C789" s="6">
        <v>974.8</v>
      </c>
      <c r="D789" s="6">
        <v>1548.3</v>
      </c>
      <c r="E789" s="6">
        <v>387.1</v>
      </c>
      <c r="F789" s="6">
        <v>1345</v>
      </c>
      <c r="G789" s="6">
        <v>233.5</v>
      </c>
      <c r="H789" s="6">
        <v>917.9</v>
      </c>
      <c r="I789" s="6">
        <v>72.5</v>
      </c>
      <c r="J789" s="6">
        <v>236.5</v>
      </c>
      <c r="K789" s="6">
        <v>13.4</v>
      </c>
      <c r="L789" s="6">
        <v>7567.4</v>
      </c>
      <c r="M789" s="6">
        <v>1681.2</v>
      </c>
      <c r="N789" s="6">
        <v>8724.4</v>
      </c>
      <c r="O789" s="6">
        <v>51286.1</v>
      </c>
      <c r="P789" s="6">
        <v>2786.9</v>
      </c>
      <c r="Q789" s="6">
        <v>27868.5</v>
      </c>
      <c r="R789" s="16">
        <f t="shared" si="434"/>
        <v>19078.699999999997</v>
      </c>
    </row>
    <row r="790" spans="1:18" ht="15.6" x14ac:dyDescent="0.3">
      <c r="A790" s="10">
        <v>39268</v>
      </c>
      <c r="B790" s="78">
        <v>1842</v>
      </c>
      <c r="C790" s="78">
        <v>657</v>
      </c>
      <c r="D790" s="78">
        <v>1205</v>
      </c>
      <c r="E790" s="78">
        <v>602</v>
      </c>
      <c r="F790" s="78">
        <v>1390</v>
      </c>
      <c r="G790" s="78">
        <v>384</v>
      </c>
      <c r="H790" s="78">
        <v>949</v>
      </c>
      <c r="I790" s="78">
        <v>316</v>
      </c>
      <c r="J790" s="78">
        <v>248</v>
      </c>
      <c r="K790" s="78">
        <v>19.899999999999999</v>
      </c>
      <c r="L790" s="78">
        <v>5633</v>
      </c>
      <c r="M790" s="78">
        <v>1978</v>
      </c>
      <c r="N790" s="78">
        <v>8573</v>
      </c>
      <c r="O790" s="78">
        <v>45462</v>
      </c>
      <c r="P790" s="78">
        <v>2147</v>
      </c>
      <c r="Q790" s="78">
        <v>28002</v>
      </c>
      <c r="R790" s="16">
        <f t="shared" si="434"/>
        <v>16353</v>
      </c>
    </row>
    <row r="791" spans="1:18" ht="15.6" x14ac:dyDescent="0.3">
      <c r="A791" s="10">
        <v>39632</v>
      </c>
      <c r="B791" s="78">
        <v>3542</v>
      </c>
      <c r="C791" s="6">
        <v>1221</v>
      </c>
      <c r="D791" s="6">
        <v>1521</v>
      </c>
      <c r="E791" s="6">
        <v>615</v>
      </c>
      <c r="F791" s="6">
        <v>1393</v>
      </c>
      <c r="G791" s="6">
        <v>301</v>
      </c>
      <c r="H791" s="6">
        <v>920</v>
      </c>
      <c r="I791" s="6">
        <v>103</v>
      </c>
      <c r="J791" s="6">
        <v>236.5</v>
      </c>
      <c r="K791" s="6">
        <v>13.4</v>
      </c>
      <c r="L791" s="6">
        <v>7612</v>
      </c>
      <c r="M791" s="6">
        <v>2253</v>
      </c>
      <c r="N791" s="6">
        <v>8131</v>
      </c>
      <c r="O791" s="6">
        <v>52217</v>
      </c>
      <c r="P791" s="6">
        <v>2550</v>
      </c>
      <c r="Q791" s="6">
        <v>28172</v>
      </c>
      <c r="R791" s="16">
        <f t="shared" si="434"/>
        <v>18293</v>
      </c>
    </row>
    <row r="792" spans="1:18" ht="15.6" x14ac:dyDescent="0.3">
      <c r="A792" s="10">
        <v>39275</v>
      </c>
      <c r="B792" s="78">
        <v>1915</v>
      </c>
      <c r="C792" s="78">
        <v>932</v>
      </c>
      <c r="D792" s="78">
        <v>1280</v>
      </c>
      <c r="E792" s="78">
        <v>649</v>
      </c>
      <c r="F792" s="78">
        <v>1495</v>
      </c>
      <c r="G792" s="78">
        <v>497</v>
      </c>
      <c r="H792" s="78">
        <v>960</v>
      </c>
      <c r="I792" s="78">
        <v>351</v>
      </c>
      <c r="J792" s="78">
        <v>277</v>
      </c>
      <c r="K792" s="78">
        <v>19.899999999999999</v>
      </c>
      <c r="L792" s="78">
        <v>5927</v>
      </c>
      <c r="M792" s="78">
        <v>2449</v>
      </c>
      <c r="N792" s="78">
        <v>8041</v>
      </c>
      <c r="O792" s="78">
        <v>46663</v>
      </c>
      <c r="P792" s="78">
        <v>2005</v>
      </c>
      <c r="Q792" s="78">
        <v>28325</v>
      </c>
      <c r="R792" s="16">
        <f t="shared" si="434"/>
        <v>15973</v>
      </c>
    </row>
    <row r="793" spans="1:18" ht="15.6" x14ac:dyDescent="0.3">
      <c r="A793" s="10">
        <v>39639</v>
      </c>
      <c r="B793" s="78">
        <v>3529</v>
      </c>
      <c r="C793" s="6">
        <v>1582</v>
      </c>
      <c r="D793" s="6">
        <v>1520</v>
      </c>
      <c r="E793" s="6">
        <v>815</v>
      </c>
      <c r="F793" s="6">
        <v>1414</v>
      </c>
      <c r="G793" s="6">
        <v>366</v>
      </c>
      <c r="H793" s="6">
        <v>1017</v>
      </c>
      <c r="I793" s="6">
        <v>123</v>
      </c>
      <c r="J793" s="6">
        <v>236.5</v>
      </c>
      <c r="K793" s="6">
        <v>13.4</v>
      </c>
      <c r="L793" s="6">
        <v>7716</v>
      </c>
      <c r="M793" s="6">
        <v>2898</v>
      </c>
      <c r="N793" s="6">
        <v>7811</v>
      </c>
      <c r="O793" s="6">
        <v>52906</v>
      </c>
      <c r="P793" s="6">
        <v>2360</v>
      </c>
      <c r="Q793" s="6">
        <v>28425</v>
      </c>
      <c r="R793" s="16">
        <f t="shared" si="434"/>
        <v>17887</v>
      </c>
    </row>
    <row r="794" spans="1:18" ht="15.6" x14ac:dyDescent="0.3">
      <c r="A794" s="10">
        <v>39282</v>
      </c>
      <c r="B794" s="78">
        <v>2714</v>
      </c>
      <c r="C794" s="78">
        <v>1088</v>
      </c>
      <c r="D794" s="78">
        <v>1859</v>
      </c>
      <c r="E794" s="78">
        <v>786</v>
      </c>
      <c r="F794" s="78">
        <v>1587</v>
      </c>
      <c r="G794" s="78">
        <v>595</v>
      </c>
      <c r="H794" s="78">
        <v>948</v>
      </c>
      <c r="I794" s="78">
        <v>384</v>
      </c>
      <c r="J794" s="78">
        <v>464</v>
      </c>
      <c r="K794" s="78">
        <v>27</v>
      </c>
      <c r="L794" s="78">
        <v>7572</v>
      </c>
      <c r="M794" s="78">
        <v>2880</v>
      </c>
      <c r="N794" s="78">
        <v>7540</v>
      </c>
      <c r="O794" s="78">
        <v>47577</v>
      </c>
      <c r="P794" s="78">
        <v>2119</v>
      </c>
      <c r="Q794" s="78">
        <v>28500</v>
      </c>
      <c r="R794" s="16">
        <f t="shared" si="434"/>
        <v>17231</v>
      </c>
    </row>
    <row r="795" spans="1:18" ht="15.6" x14ac:dyDescent="0.3">
      <c r="A795" s="10">
        <v>39646</v>
      </c>
      <c r="B795" s="78">
        <v>3378</v>
      </c>
      <c r="C795" s="6">
        <v>1939</v>
      </c>
      <c r="D795" s="6">
        <v>1333</v>
      </c>
      <c r="E795" s="6">
        <v>1228</v>
      </c>
      <c r="F795" s="6">
        <v>1475</v>
      </c>
      <c r="G795" s="6">
        <v>403</v>
      </c>
      <c r="H795" s="6">
        <v>1094</v>
      </c>
      <c r="I795" s="6">
        <v>123</v>
      </c>
      <c r="J795" s="6">
        <v>212</v>
      </c>
      <c r="K795" s="6">
        <v>41</v>
      </c>
      <c r="L795" s="6">
        <v>7491</v>
      </c>
      <c r="M795" s="6">
        <v>3733</v>
      </c>
      <c r="N795" s="6">
        <v>7388</v>
      </c>
      <c r="O795" s="6">
        <v>53653</v>
      </c>
      <c r="P795" s="6">
        <v>2343</v>
      </c>
      <c r="Q795" s="6">
        <v>28625</v>
      </c>
      <c r="R795" s="16">
        <f t="shared" si="434"/>
        <v>17222</v>
      </c>
    </row>
    <row r="796" spans="1:18" ht="15.6" x14ac:dyDescent="0.3">
      <c r="A796" s="10">
        <v>39289</v>
      </c>
      <c r="B796" s="78">
        <v>3567</v>
      </c>
      <c r="C796" s="78">
        <v>1224</v>
      </c>
      <c r="D796" s="78">
        <v>1930</v>
      </c>
      <c r="E796" s="78">
        <v>916</v>
      </c>
      <c r="F796" s="78">
        <v>1957</v>
      </c>
      <c r="G796" s="78">
        <v>667</v>
      </c>
      <c r="H796" s="78">
        <v>974</v>
      </c>
      <c r="I796" s="78">
        <v>467</v>
      </c>
      <c r="J796" s="78">
        <v>427</v>
      </c>
      <c r="K796" s="78">
        <v>64</v>
      </c>
      <c r="L796" s="78">
        <v>8855</v>
      </c>
      <c r="M796" s="78">
        <v>3338</v>
      </c>
      <c r="N796" s="78">
        <v>7270</v>
      </c>
      <c r="O796" s="78">
        <v>48623</v>
      </c>
      <c r="P796" s="78">
        <v>2149</v>
      </c>
      <c r="Q796" s="78">
        <v>28655</v>
      </c>
      <c r="R796" s="16">
        <f t="shared" si="434"/>
        <v>18274</v>
      </c>
    </row>
    <row r="797" spans="1:18" ht="15.6" x14ac:dyDescent="0.3">
      <c r="A797" s="10">
        <v>39653</v>
      </c>
      <c r="B797" s="78">
        <v>3439</v>
      </c>
      <c r="C797" s="6">
        <v>2258</v>
      </c>
      <c r="D797" s="6">
        <v>1393</v>
      </c>
      <c r="E797" s="6">
        <v>1402</v>
      </c>
      <c r="F797" s="6">
        <v>1509</v>
      </c>
      <c r="G797" s="6">
        <v>448</v>
      </c>
      <c r="H797" s="6">
        <v>1087</v>
      </c>
      <c r="I797" s="6">
        <v>156</v>
      </c>
      <c r="J797" s="6">
        <v>212</v>
      </c>
      <c r="K797" s="6">
        <v>47</v>
      </c>
      <c r="L797" s="6">
        <v>7640</v>
      </c>
      <c r="M797" s="6">
        <v>4311</v>
      </c>
      <c r="N797" s="6">
        <v>6216</v>
      </c>
      <c r="O797" s="6">
        <v>54888</v>
      </c>
      <c r="P797" s="6">
        <v>2233</v>
      </c>
      <c r="Q797" s="6">
        <v>29007</v>
      </c>
      <c r="R797" s="16">
        <f t="shared" si="434"/>
        <v>16089</v>
      </c>
    </row>
    <row r="798" spans="1:18" ht="15.6" x14ac:dyDescent="0.3">
      <c r="A798" s="10">
        <v>39296</v>
      </c>
      <c r="B798" s="78">
        <v>3672</v>
      </c>
      <c r="C798" s="78">
        <v>1554</v>
      </c>
      <c r="D798" s="78">
        <v>1801</v>
      </c>
      <c r="E798" s="78">
        <v>1142</v>
      </c>
      <c r="F798" s="78">
        <v>1995</v>
      </c>
      <c r="G798" s="78">
        <v>841</v>
      </c>
      <c r="H798" s="78">
        <v>994</v>
      </c>
      <c r="I798" s="78">
        <v>555</v>
      </c>
      <c r="J798" s="78">
        <v>452</v>
      </c>
      <c r="K798" s="78">
        <v>79</v>
      </c>
      <c r="L798" s="78">
        <v>8914</v>
      </c>
      <c r="M798" s="78">
        <v>4171</v>
      </c>
      <c r="N798" s="78">
        <v>6844</v>
      </c>
      <c r="O798" s="78">
        <v>49361</v>
      </c>
      <c r="P798" s="78">
        <v>1853</v>
      </c>
      <c r="Q798" s="78">
        <v>29105</v>
      </c>
      <c r="R798" s="16">
        <f t="shared" si="434"/>
        <v>17611</v>
      </c>
    </row>
    <row r="799" spans="1:18" ht="15.6" x14ac:dyDescent="0.3">
      <c r="A799" s="10">
        <v>39660</v>
      </c>
      <c r="B799" s="78">
        <v>3433</v>
      </c>
      <c r="C799" s="6">
        <v>2765</v>
      </c>
      <c r="D799" s="6">
        <v>1339</v>
      </c>
      <c r="E799" s="6">
        <v>1549</v>
      </c>
      <c r="F799" s="6">
        <v>1467</v>
      </c>
      <c r="G799" s="6">
        <v>548</v>
      </c>
      <c r="H799" s="6">
        <v>1071</v>
      </c>
      <c r="I799" s="6">
        <v>197</v>
      </c>
      <c r="J799" s="6">
        <v>212</v>
      </c>
      <c r="K799" s="6">
        <v>54</v>
      </c>
      <c r="L799" s="6">
        <v>7522</v>
      </c>
      <c r="M799" s="6">
        <v>5112</v>
      </c>
      <c r="N799" s="6">
        <v>5677</v>
      </c>
      <c r="O799" s="6">
        <v>55764</v>
      </c>
      <c r="P799" s="6">
        <v>2223</v>
      </c>
      <c r="Q799" s="6">
        <v>29391</v>
      </c>
      <c r="R799" s="16">
        <f t="shared" si="434"/>
        <v>15422</v>
      </c>
    </row>
    <row r="800" spans="1:18" ht="15.6" x14ac:dyDescent="0.3">
      <c r="A800" s="10">
        <v>39303</v>
      </c>
      <c r="B800" s="78">
        <v>3788</v>
      </c>
      <c r="C800" s="78">
        <v>1774</v>
      </c>
      <c r="D800" s="78">
        <v>1729</v>
      </c>
      <c r="E800" s="78">
        <v>1356</v>
      </c>
      <c r="F800" s="78">
        <v>2228</v>
      </c>
      <c r="G800" s="78">
        <v>981</v>
      </c>
      <c r="H800" s="78">
        <v>1176</v>
      </c>
      <c r="I800" s="78">
        <v>629</v>
      </c>
      <c r="J800" s="78">
        <v>521</v>
      </c>
      <c r="K800" s="78">
        <v>88</v>
      </c>
      <c r="L800" s="78">
        <v>9443</v>
      </c>
      <c r="M800" s="78">
        <v>4827</v>
      </c>
      <c r="N800" s="78">
        <v>5489</v>
      </c>
      <c r="O800" s="78">
        <v>50504</v>
      </c>
      <c r="P800" s="78">
        <v>1915</v>
      </c>
      <c r="Q800" s="78">
        <v>29279</v>
      </c>
      <c r="R800" s="16">
        <f t="shared" si="434"/>
        <v>16847</v>
      </c>
    </row>
    <row r="801" spans="1:18" ht="15.6" x14ac:dyDescent="0.3">
      <c r="A801" s="10">
        <v>39667</v>
      </c>
      <c r="B801" s="78">
        <v>3328</v>
      </c>
      <c r="C801" s="6">
        <v>3140</v>
      </c>
      <c r="D801" s="6">
        <v>1251</v>
      </c>
      <c r="E801" s="6">
        <v>1777</v>
      </c>
      <c r="F801" s="6">
        <v>1579</v>
      </c>
      <c r="G801" s="6">
        <v>646</v>
      </c>
      <c r="H801" s="6">
        <v>1023</v>
      </c>
      <c r="I801" s="6">
        <v>272</v>
      </c>
      <c r="J801" s="6">
        <v>179</v>
      </c>
      <c r="K801" s="6">
        <v>91</v>
      </c>
      <c r="L801" s="6">
        <v>7359</v>
      </c>
      <c r="M801" s="6">
        <v>5925</v>
      </c>
      <c r="N801" s="6">
        <v>5124</v>
      </c>
      <c r="O801" s="6">
        <v>56703</v>
      </c>
      <c r="P801" s="6">
        <v>1889</v>
      </c>
      <c r="Q801" s="6">
        <v>29676</v>
      </c>
      <c r="R801" s="16">
        <f t="shared" si="434"/>
        <v>14372</v>
      </c>
    </row>
    <row r="802" spans="1:18" ht="15.6" x14ac:dyDescent="0.3">
      <c r="A802" s="10">
        <v>39310</v>
      </c>
      <c r="B802" s="78">
        <v>3646</v>
      </c>
      <c r="C802" s="78">
        <v>2269</v>
      </c>
      <c r="D802" s="78">
        <v>1848</v>
      </c>
      <c r="E802" s="78">
        <v>1618</v>
      </c>
      <c r="F802" s="78">
        <v>2228</v>
      </c>
      <c r="G802" s="78">
        <v>1134</v>
      </c>
      <c r="H802" s="78">
        <v>1128</v>
      </c>
      <c r="I802" s="78">
        <v>819</v>
      </c>
      <c r="J802" s="78">
        <v>494</v>
      </c>
      <c r="K802" s="78">
        <v>136</v>
      </c>
      <c r="L802" s="78">
        <v>9344</v>
      </c>
      <c r="M802" s="78">
        <v>5976</v>
      </c>
      <c r="N802" s="78">
        <v>4677</v>
      </c>
      <c r="O802" s="78">
        <v>51454</v>
      </c>
      <c r="P802" s="78">
        <v>1650</v>
      </c>
      <c r="Q802" s="78">
        <v>29549</v>
      </c>
      <c r="R802" s="16">
        <f t="shared" si="434"/>
        <v>15671</v>
      </c>
    </row>
    <row r="803" spans="1:18" ht="15.6" x14ac:dyDescent="0.3">
      <c r="A803" s="10">
        <v>39674</v>
      </c>
      <c r="B803" s="78">
        <v>3350</v>
      </c>
      <c r="C803" s="6">
        <v>3834</v>
      </c>
      <c r="D803" s="6">
        <v>1180</v>
      </c>
      <c r="E803" s="6">
        <v>1929</v>
      </c>
      <c r="F803" s="6">
        <v>1638</v>
      </c>
      <c r="G803" s="6">
        <v>680</v>
      </c>
      <c r="H803" s="6">
        <v>953</v>
      </c>
      <c r="I803" s="6">
        <v>364</v>
      </c>
      <c r="J803" s="6">
        <v>149</v>
      </c>
      <c r="K803" s="6">
        <v>124</v>
      </c>
      <c r="L803" s="6">
        <v>7270</v>
      </c>
      <c r="M803" s="6">
        <v>6930</v>
      </c>
      <c r="N803" s="6">
        <v>4230</v>
      </c>
      <c r="O803" s="6">
        <v>57794</v>
      </c>
      <c r="P803" s="6">
        <v>1642</v>
      </c>
      <c r="Q803" s="6">
        <v>29841</v>
      </c>
      <c r="R803" s="16">
        <f t="shared" si="434"/>
        <v>13142</v>
      </c>
    </row>
    <row r="804" spans="1:18" ht="15.6" x14ac:dyDescent="0.3">
      <c r="A804" s="10">
        <v>39317</v>
      </c>
      <c r="B804" s="78">
        <v>3744</v>
      </c>
      <c r="C804" s="78">
        <v>2636</v>
      </c>
      <c r="D804" s="78">
        <v>1964</v>
      </c>
      <c r="E804" s="78">
        <v>1882</v>
      </c>
      <c r="F804" s="78">
        <v>2194</v>
      </c>
      <c r="G804" s="78">
        <v>1391</v>
      </c>
      <c r="H804" s="78">
        <v>1214</v>
      </c>
      <c r="I804" s="78">
        <v>876</v>
      </c>
      <c r="J804" s="78">
        <v>448</v>
      </c>
      <c r="K804" s="78">
        <v>203</v>
      </c>
      <c r="L804" s="78">
        <v>9564</v>
      </c>
      <c r="M804" s="78">
        <v>6987</v>
      </c>
      <c r="N804" s="78">
        <v>3584</v>
      </c>
      <c r="O804" s="78">
        <v>52721</v>
      </c>
      <c r="P804" s="78">
        <v>1246</v>
      </c>
      <c r="Q804" s="78">
        <v>29871</v>
      </c>
      <c r="R804" s="16">
        <f t="shared" si="434"/>
        <v>14394</v>
      </c>
    </row>
    <row r="805" spans="1:18" ht="15.6" x14ac:dyDescent="0.3">
      <c r="A805" s="10">
        <v>39681</v>
      </c>
      <c r="B805" s="78">
        <v>3236</v>
      </c>
      <c r="C805" s="6">
        <v>4143</v>
      </c>
      <c r="D805" s="6">
        <v>1083</v>
      </c>
      <c r="E805" s="6">
        <v>2097</v>
      </c>
      <c r="F805" s="6">
        <v>1546</v>
      </c>
      <c r="G805" s="6">
        <v>790</v>
      </c>
      <c r="H805" s="6">
        <v>905</v>
      </c>
      <c r="I805" s="6">
        <v>473</v>
      </c>
      <c r="J805" s="6">
        <v>150</v>
      </c>
      <c r="K805" s="6">
        <v>146</v>
      </c>
      <c r="L805" s="6">
        <v>6919</v>
      </c>
      <c r="M805" s="6">
        <v>7649</v>
      </c>
      <c r="N805" s="6">
        <v>3712</v>
      </c>
      <c r="O805" s="6">
        <v>58615</v>
      </c>
      <c r="P805" s="6">
        <v>1225</v>
      </c>
      <c r="Q805" s="6">
        <v>30065</v>
      </c>
      <c r="R805" s="16">
        <f t="shared" si="434"/>
        <v>11856</v>
      </c>
    </row>
    <row r="806" spans="1:18" ht="15.6" x14ac:dyDescent="0.3">
      <c r="A806" s="10">
        <v>39324</v>
      </c>
      <c r="B806" s="78">
        <v>3654</v>
      </c>
      <c r="C806" s="78">
        <v>3044</v>
      </c>
      <c r="D806" s="78">
        <v>1687</v>
      </c>
      <c r="E806" s="78">
        <v>2176</v>
      </c>
      <c r="F806" s="78">
        <v>2152</v>
      </c>
      <c r="G806" s="78">
        <v>1622</v>
      </c>
      <c r="H806" s="78">
        <v>1177</v>
      </c>
      <c r="I806" s="78">
        <v>1088</v>
      </c>
      <c r="J806" s="78">
        <v>454</v>
      </c>
      <c r="K806" s="78">
        <v>209</v>
      </c>
      <c r="L806" s="78">
        <v>9124</v>
      </c>
      <c r="M806" s="78">
        <v>8138</v>
      </c>
      <c r="N806" s="78">
        <v>2771</v>
      </c>
      <c r="O806" s="78">
        <v>53794</v>
      </c>
      <c r="P806" s="78">
        <v>990</v>
      </c>
      <c r="Q806" s="78">
        <v>30261</v>
      </c>
      <c r="R806" s="16">
        <f t="shared" si="434"/>
        <v>12885</v>
      </c>
    </row>
    <row r="807" spans="1:18" ht="15.6" x14ac:dyDescent="0.3">
      <c r="A807" s="10">
        <v>39688</v>
      </c>
      <c r="B807" s="78">
        <v>2880</v>
      </c>
      <c r="C807" s="6">
        <v>4577</v>
      </c>
      <c r="D807" s="6">
        <v>1031</v>
      </c>
      <c r="E807" s="6">
        <v>2246</v>
      </c>
      <c r="F807" s="6">
        <v>1647</v>
      </c>
      <c r="G807" s="6">
        <v>895</v>
      </c>
      <c r="H807" s="6">
        <v>796</v>
      </c>
      <c r="I807" s="6">
        <v>622</v>
      </c>
      <c r="J807" s="6">
        <v>149</v>
      </c>
      <c r="K807" s="6">
        <v>160</v>
      </c>
      <c r="L807" s="6">
        <v>6504</v>
      </c>
      <c r="M807" s="6">
        <v>8500</v>
      </c>
      <c r="N807" s="6">
        <v>2861</v>
      </c>
      <c r="O807" s="6">
        <v>59666</v>
      </c>
      <c r="P807" s="6">
        <v>923</v>
      </c>
      <c r="Q807" s="6">
        <v>30411</v>
      </c>
      <c r="R807" s="16">
        <f t="shared" si="434"/>
        <v>10288</v>
      </c>
    </row>
    <row r="808" spans="1:18" ht="15.6" x14ac:dyDescent="0.3">
      <c r="A808" s="10">
        <v>39331</v>
      </c>
      <c r="B808" s="78">
        <v>4667</v>
      </c>
      <c r="C808" s="78">
        <v>3421</v>
      </c>
      <c r="D808" s="78">
        <v>1643</v>
      </c>
      <c r="E808" s="78">
        <v>2314</v>
      </c>
      <c r="F808" s="78">
        <v>2500</v>
      </c>
      <c r="G808" s="78">
        <v>1748</v>
      </c>
      <c r="H808" s="78">
        <v>1283</v>
      </c>
      <c r="I808" s="78">
        <v>1138</v>
      </c>
      <c r="J808" s="78">
        <v>435</v>
      </c>
      <c r="K808" s="78">
        <v>232</v>
      </c>
      <c r="L808" s="78">
        <v>10528</v>
      </c>
      <c r="M808" s="78">
        <v>8853</v>
      </c>
      <c r="N808" s="78">
        <v>15762</v>
      </c>
      <c r="O808" s="78">
        <v>884</v>
      </c>
      <c r="P808" s="78">
        <v>7997</v>
      </c>
      <c r="Q808" s="78">
        <v>111</v>
      </c>
      <c r="R808" s="16">
        <f t="shared" si="434"/>
        <v>34287</v>
      </c>
    </row>
    <row r="809" spans="1:18" ht="15.6" x14ac:dyDescent="0.3">
      <c r="A809" s="10">
        <v>39695</v>
      </c>
      <c r="B809" s="78">
        <v>2663</v>
      </c>
      <c r="C809" s="6">
        <v>4934</v>
      </c>
      <c r="D809" s="6">
        <v>1088</v>
      </c>
      <c r="E809" s="6">
        <v>2307</v>
      </c>
      <c r="F809" s="6">
        <v>1635</v>
      </c>
      <c r="G809" s="6">
        <v>1069</v>
      </c>
      <c r="H809" s="6">
        <v>738</v>
      </c>
      <c r="I809" s="6">
        <v>718</v>
      </c>
      <c r="J809" s="6">
        <v>149</v>
      </c>
      <c r="K809" s="6">
        <v>160</v>
      </c>
      <c r="L809" s="6">
        <v>6273</v>
      </c>
      <c r="M809" s="6">
        <v>9188</v>
      </c>
      <c r="N809" s="6">
        <v>11884</v>
      </c>
      <c r="O809" s="6">
        <v>199</v>
      </c>
      <c r="P809" s="6">
        <v>8913</v>
      </c>
      <c r="Q809" s="6">
        <v>33</v>
      </c>
      <c r="R809" s="16">
        <f t="shared" si="434"/>
        <v>27070</v>
      </c>
    </row>
    <row r="810" spans="1:18" ht="15.6" x14ac:dyDescent="0.3">
      <c r="A810" s="10">
        <v>39338</v>
      </c>
      <c r="B810" s="78">
        <v>4885</v>
      </c>
      <c r="C810" s="78">
        <v>3780</v>
      </c>
      <c r="D810" s="78">
        <v>1686</v>
      </c>
      <c r="E810" s="78">
        <v>2494</v>
      </c>
      <c r="F810" s="78">
        <v>2647</v>
      </c>
      <c r="G810" s="78">
        <v>1990</v>
      </c>
      <c r="H810" s="78">
        <v>1405</v>
      </c>
      <c r="I810" s="78">
        <v>1239</v>
      </c>
      <c r="J810" s="78">
        <v>425</v>
      </c>
      <c r="K810" s="78">
        <v>270</v>
      </c>
      <c r="L810" s="78">
        <v>11047</v>
      </c>
      <c r="M810" s="78">
        <v>9774</v>
      </c>
      <c r="N810" s="78">
        <v>16920</v>
      </c>
      <c r="O810" s="78">
        <v>1757</v>
      </c>
      <c r="P810" s="78">
        <v>8106</v>
      </c>
      <c r="Q810" s="78">
        <v>111</v>
      </c>
      <c r="R810" s="16">
        <f t="shared" si="434"/>
        <v>36073</v>
      </c>
    </row>
    <row r="811" spans="1:18" ht="15.6" x14ac:dyDescent="0.3">
      <c r="A811" s="10">
        <v>39702</v>
      </c>
      <c r="B811" s="78">
        <v>2728</v>
      </c>
      <c r="C811" s="6">
        <v>5171</v>
      </c>
      <c r="D811" s="6">
        <v>1063</v>
      </c>
      <c r="E811" s="6">
        <v>2422</v>
      </c>
      <c r="F811" s="6">
        <v>1640</v>
      </c>
      <c r="G811" s="6">
        <v>1211</v>
      </c>
      <c r="H811" s="6">
        <v>813</v>
      </c>
      <c r="I811" s="6">
        <v>759</v>
      </c>
      <c r="J811" s="6">
        <v>149</v>
      </c>
      <c r="K811" s="6">
        <v>162</v>
      </c>
      <c r="L811" s="6">
        <v>6394</v>
      </c>
      <c r="M811" s="6">
        <v>9725</v>
      </c>
      <c r="N811" s="6">
        <v>11346</v>
      </c>
      <c r="O811" s="6">
        <v>1062</v>
      </c>
      <c r="P811" s="6">
        <v>9103</v>
      </c>
      <c r="Q811" s="6">
        <v>515</v>
      </c>
      <c r="R811" s="16">
        <f t="shared" si="434"/>
        <v>26843</v>
      </c>
    </row>
    <row r="812" spans="1:18" ht="15.6" x14ac:dyDescent="0.3">
      <c r="A812" s="10">
        <v>39345</v>
      </c>
      <c r="B812" s="78">
        <v>5440</v>
      </c>
      <c r="C812" s="78">
        <v>4197</v>
      </c>
      <c r="D812" s="78">
        <v>1389</v>
      </c>
      <c r="E812" s="78">
        <v>2793</v>
      </c>
      <c r="F812" s="78">
        <v>2777</v>
      </c>
      <c r="G812" s="78">
        <v>2174</v>
      </c>
      <c r="H812" s="78">
        <v>1472</v>
      </c>
      <c r="I812" s="78">
        <v>1351</v>
      </c>
      <c r="J812" s="78">
        <v>449</v>
      </c>
      <c r="K812" s="78">
        <v>293</v>
      </c>
      <c r="L812" s="78">
        <v>11527</v>
      </c>
      <c r="M812" s="78">
        <v>10808</v>
      </c>
      <c r="N812" s="78">
        <v>17415</v>
      </c>
      <c r="O812" s="78">
        <v>2960</v>
      </c>
      <c r="P812" s="78">
        <v>8366</v>
      </c>
      <c r="Q812" s="78">
        <v>1000</v>
      </c>
      <c r="R812" s="16">
        <f t="shared" si="434"/>
        <v>37308</v>
      </c>
    </row>
    <row r="813" spans="1:18" ht="15.6" x14ac:dyDescent="0.3">
      <c r="A813" s="10">
        <v>39709</v>
      </c>
      <c r="B813" s="78">
        <v>2565</v>
      </c>
      <c r="C813" s="6">
        <v>5371</v>
      </c>
      <c r="D813" s="6">
        <v>989</v>
      </c>
      <c r="E813" s="6">
        <v>2594</v>
      </c>
      <c r="F813" s="6">
        <v>1502</v>
      </c>
      <c r="G813" s="6">
        <v>1478</v>
      </c>
      <c r="H813" s="6">
        <v>743</v>
      </c>
      <c r="I813" s="6">
        <v>851</v>
      </c>
      <c r="J813" s="6">
        <v>149</v>
      </c>
      <c r="K813" s="6">
        <v>162</v>
      </c>
      <c r="L813" s="6">
        <v>5948</v>
      </c>
      <c r="M813" s="6">
        <v>10455</v>
      </c>
      <c r="N813" s="6">
        <v>10900</v>
      </c>
      <c r="O813" s="6">
        <v>2056</v>
      </c>
      <c r="P813" s="6">
        <v>9651</v>
      </c>
      <c r="Q813" s="6">
        <v>319</v>
      </c>
      <c r="R813" s="16">
        <f t="shared" si="434"/>
        <v>26499</v>
      </c>
    </row>
    <row r="814" spans="1:18" ht="15.6" x14ac:dyDescent="0.3">
      <c r="A814" s="10">
        <v>39352</v>
      </c>
      <c r="B814" s="78">
        <v>5857</v>
      </c>
      <c r="C814" s="78">
        <v>4819</v>
      </c>
      <c r="D814" s="78">
        <v>1239</v>
      </c>
      <c r="E814" s="78">
        <v>3010</v>
      </c>
      <c r="F814" s="78">
        <v>2854</v>
      </c>
      <c r="G814" s="78">
        <v>2405</v>
      </c>
      <c r="H814" s="78">
        <v>1619</v>
      </c>
      <c r="I814" s="78">
        <v>1366</v>
      </c>
      <c r="J814" s="78">
        <v>404</v>
      </c>
      <c r="K814" s="78">
        <v>359</v>
      </c>
      <c r="L814" s="78">
        <v>11973</v>
      </c>
      <c r="M814" s="78">
        <v>11960</v>
      </c>
      <c r="N814" s="78">
        <v>17341</v>
      </c>
      <c r="O814" s="78">
        <v>4150</v>
      </c>
      <c r="P814" s="78">
        <v>8753</v>
      </c>
      <c r="Q814" s="78">
        <v>1279</v>
      </c>
      <c r="R814" s="16">
        <f t="shared" si="434"/>
        <v>38067</v>
      </c>
    </row>
    <row r="815" spans="1:18" ht="15.6" x14ac:dyDescent="0.3">
      <c r="A815" s="10">
        <v>39716</v>
      </c>
      <c r="B815" s="78">
        <v>2757</v>
      </c>
      <c r="C815" s="6">
        <v>5584</v>
      </c>
      <c r="D815" s="6">
        <v>1000</v>
      </c>
      <c r="E815" s="6">
        <v>2640</v>
      </c>
      <c r="F815" s="6">
        <v>1461</v>
      </c>
      <c r="G815" s="6">
        <v>1649</v>
      </c>
      <c r="H815" s="6">
        <v>645</v>
      </c>
      <c r="I815" s="6">
        <v>1000</v>
      </c>
      <c r="J815" s="6">
        <v>104</v>
      </c>
      <c r="K815" s="6">
        <v>215</v>
      </c>
      <c r="L815" s="6">
        <v>5967</v>
      </c>
      <c r="M815" s="6">
        <v>11088</v>
      </c>
      <c r="N815" s="6">
        <v>10303</v>
      </c>
      <c r="O815" s="6">
        <v>3222</v>
      </c>
      <c r="P815" s="6">
        <v>9960</v>
      </c>
      <c r="Q815" s="6">
        <v>481</v>
      </c>
      <c r="R815" s="16">
        <f t="shared" si="434"/>
        <v>26230</v>
      </c>
    </row>
    <row r="816" spans="1:18" ht="15.6" x14ac:dyDescent="0.3">
      <c r="A816" s="10">
        <v>39359</v>
      </c>
      <c r="B816" s="78">
        <v>5758</v>
      </c>
      <c r="C816" s="78">
        <v>5083</v>
      </c>
      <c r="D816" s="78">
        <v>1174</v>
      </c>
      <c r="E816" s="78">
        <v>3263</v>
      </c>
      <c r="F816" s="78">
        <v>3091</v>
      </c>
      <c r="G816" s="78">
        <v>2606</v>
      </c>
      <c r="H816" s="78">
        <v>1576</v>
      </c>
      <c r="I816" s="78">
        <v>1493</v>
      </c>
      <c r="J816" s="78">
        <v>426</v>
      </c>
      <c r="K816" s="78">
        <v>397</v>
      </c>
      <c r="L816" s="78">
        <v>12025</v>
      </c>
      <c r="M816" s="78">
        <v>12842</v>
      </c>
      <c r="N816" s="78">
        <v>18468</v>
      </c>
      <c r="O816" s="78">
        <v>5317</v>
      </c>
      <c r="P816" s="78">
        <v>8772</v>
      </c>
      <c r="Q816" s="78">
        <v>1811</v>
      </c>
      <c r="R816" s="16">
        <f t="shared" si="434"/>
        <v>39265</v>
      </c>
    </row>
    <row r="817" spans="1:18" ht="15.6" x14ac:dyDescent="0.3">
      <c r="A817" s="10">
        <v>39723</v>
      </c>
      <c r="B817" s="78">
        <v>2408</v>
      </c>
      <c r="C817" s="6">
        <v>6046</v>
      </c>
      <c r="D817" s="6">
        <v>935</v>
      </c>
      <c r="E817" s="6">
        <v>2845</v>
      </c>
      <c r="F817" s="6">
        <v>1415</v>
      </c>
      <c r="G817" s="6">
        <v>1800</v>
      </c>
      <c r="H817" s="6">
        <v>724</v>
      </c>
      <c r="I817" s="6">
        <v>1075</v>
      </c>
      <c r="J817" s="6">
        <v>104</v>
      </c>
      <c r="K817" s="6">
        <v>215</v>
      </c>
      <c r="L817" s="6">
        <v>5586</v>
      </c>
      <c r="M817" s="6">
        <v>11981</v>
      </c>
      <c r="N817" s="6">
        <v>10435</v>
      </c>
      <c r="O817" s="6">
        <v>4046</v>
      </c>
      <c r="P817" s="6">
        <v>10164</v>
      </c>
      <c r="Q817" s="6">
        <v>880</v>
      </c>
      <c r="R817" s="16">
        <f t="shared" si="434"/>
        <v>26185</v>
      </c>
    </row>
    <row r="818" spans="1:18" ht="15.6" x14ac:dyDescent="0.3">
      <c r="A818" s="10">
        <v>39366</v>
      </c>
      <c r="B818" s="78">
        <v>5793</v>
      </c>
      <c r="C818" s="78">
        <v>5405</v>
      </c>
      <c r="D818" s="78">
        <v>1090</v>
      </c>
      <c r="E818" s="78">
        <v>3458</v>
      </c>
      <c r="F818" s="78">
        <v>3070</v>
      </c>
      <c r="G818" s="78">
        <v>2876</v>
      </c>
      <c r="H818" s="78">
        <v>1647</v>
      </c>
      <c r="I818" s="78">
        <v>1640</v>
      </c>
      <c r="J818" s="78">
        <v>420</v>
      </c>
      <c r="K818" s="78">
        <v>454</v>
      </c>
      <c r="L818" s="78">
        <v>12019</v>
      </c>
      <c r="M818" s="78">
        <v>13832</v>
      </c>
      <c r="N818" s="78">
        <v>19158</v>
      </c>
      <c r="O818" s="78">
        <v>6478</v>
      </c>
      <c r="P818" s="78">
        <v>8536</v>
      </c>
      <c r="Q818" s="78">
        <v>2782</v>
      </c>
      <c r="R818" s="16">
        <f t="shared" si="434"/>
        <v>39713</v>
      </c>
    </row>
    <row r="819" spans="1:18" ht="15.6" x14ac:dyDescent="0.3">
      <c r="A819" s="10">
        <v>39730</v>
      </c>
      <c r="B819" s="78">
        <v>2331</v>
      </c>
      <c r="C819" s="6">
        <v>6379</v>
      </c>
      <c r="D819" s="6">
        <v>967</v>
      </c>
      <c r="E819" s="6">
        <v>2922</v>
      </c>
      <c r="F819" s="6">
        <v>1337</v>
      </c>
      <c r="G819" s="6">
        <v>2010</v>
      </c>
      <c r="H819" s="6">
        <v>659</v>
      </c>
      <c r="I819" s="6">
        <v>1107</v>
      </c>
      <c r="J819" s="6">
        <v>76</v>
      </c>
      <c r="K819" s="6">
        <v>215</v>
      </c>
      <c r="L819" s="6">
        <v>5370</v>
      </c>
      <c r="M819" s="6">
        <v>12633</v>
      </c>
      <c r="N819" s="6">
        <v>10487</v>
      </c>
      <c r="O819" s="6">
        <v>4969</v>
      </c>
      <c r="P819" s="6">
        <v>10784</v>
      </c>
      <c r="Q819" s="6">
        <v>1288</v>
      </c>
      <c r="R819" s="16">
        <f t="shared" si="434"/>
        <v>26641</v>
      </c>
    </row>
    <row r="820" spans="1:18" ht="15.6" x14ac:dyDescent="0.3">
      <c r="A820" s="10">
        <v>39373</v>
      </c>
      <c r="B820" s="78">
        <v>5490</v>
      </c>
      <c r="C820" s="78">
        <v>5793</v>
      </c>
      <c r="D820" s="78">
        <v>1111</v>
      </c>
      <c r="E820" s="78">
        <v>3555</v>
      </c>
      <c r="F820" s="78">
        <v>3170</v>
      </c>
      <c r="G820" s="78">
        <v>3089</v>
      </c>
      <c r="H820" s="78">
        <v>1569</v>
      </c>
      <c r="I820" s="78">
        <v>1756</v>
      </c>
      <c r="J820" s="78">
        <v>374</v>
      </c>
      <c r="K820" s="78">
        <v>495</v>
      </c>
      <c r="L820" s="78">
        <v>11714</v>
      </c>
      <c r="M820" s="78">
        <v>14688</v>
      </c>
      <c r="N820" s="78">
        <v>19421</v>
      </c>
      <c r="O820" s="78">
        <v>7761</v>
      </c>
      <c r="P820" s="78">
        <v>8133</v>
      </c>
      <c r="Q820" s="78">
        <v>3648</v>
      </c>
      <c r="R820" s="16">
        <f t="shared" si="434"/>
        <v>39268</v>
      </c>
    </row>
    <row r="821" spans="1:18" ht="15.6" x14ac:dyDescent="0.3">
      <c r="A821" s="10">
        <v>39737</v>
      </c>
      <c r="B821" s="78">
        <v>2221</v>
      </c>
      <c r="C821" s="6">
        <v>6651</v>
      </c>
      <c r="D821" s="6">
        <v>1031</v>
      </c>
      <c r="E821" s="6">
        <v>2979</v>
      </c>
      <c r="F821" s="6">
        <v>1245</v>
      </c>
      <c r="G821" s="6">
        <v>2171</v>
      </c>
      <c r="H821" s="6">
        <v>662</v>
      </c>
      <c r="I821" s="6">
        <v>1130</v>
      </c>
      <c r="J821" s="6">
        <v>76</v>
      </c>
      <c r="K821" s="6">
        <v>222</v>
      </c>
      <c r="L821" s="6">
        <v>5234</v>
      </c>
      <c r="M821" s="6">
        <v>13152</v>
      </c>
      <c r="N821" s="6">
        <v>10523</v>
      </c>
      <c r="O821" s="6">
        <v>5723</v>
      </c>
      <c r="P821" s="78">
        <v>10489</v>
      </c>
      <c r="Q821" s="6">
        <v>2367</v>
      </c>
      <c r="R821" s="16">
        <f t="shared" si="434"/>
        <v>26246</v>
      </c>
    </row>
    <row r="822" spans="1:18" ht="15.6" x14ac:dyDescent="0.3">
      <c r="A822" s="10">
        <v>39380</v>
      </c>
      <c r="B822" s="78">
        <v>5262</v>
      </c>
      <c r="C822" s="78">
        <v>6145</v>
      </c>
      <c r="D822" s="78">
        <v>993</v>
      </c>
      <c r="E822" s="78">
        <v>3660</v>
      </c>
      <c r="F822" s="78">
        <v>2965</v>
      </c>
      <c r="G822" s="78">
        <v>3307</v>
      </c>
      <c r="H822" s="78">
        <v>1474</v>
      </c>
      <c r="I822" s="78">
        <v>1900</v>
      </c>
      <c r="J822" s="78">
        <v>355</v>
      </c>
      <c r="K822" s="78">
        <v>512</v>
      </c>
      <c r="L822" s="78">
        <v>11048</v>
      </c>
      <c r="M822" s="78">
        <v>15524</v>
      </c>
      <c r="N822" s="78">
        <v>18806</v>
      </c>
      <c r="O822" s="78">
        <v>9011</v>
      </c>
      <c r="P822" s="78">
        <v>8069</v>
      </c>
      <c r="Q822" s="78">
        <v>4452</v>
      </c>
      <c r="R822" s="16">
        <f t="shared" si="434"/>
        <v>37923</v>
      </c>
    </row>
    <row r="823" spans="1:18" ht="15.6" x14ac:dyDescent="0.3">
      <c r="A823" s="10">
        <v>39744</v>
      </c>
      <c r="B823" s="78">
        <v>2161</v>
      </c>
      <c r="C823" s="6">
        <v>6893</v>
      </c>
      <c r="D823" s="6">
        <v>1001</v>
      </c>
      <c r="E823" s="6">
        <v>3118</v>
      </c>
      <c r="F823" s="6">
        <v>1265</v>
      </c>
      <c r="G823" s="6">
        <v>2307</v>
      </c>
      <c r="H823" s="6">
        <v>603</v>
      </c>
      <c r="I823" s="6">
        <v>1203</v>
      </c>
      <c r="J823" s="6">
        <v>76</v>
      </c>
      <c r="K823" s="6">
        <v>222</v>
      </c>
      <c r="L823" s="6">
        <v>5104</v>
      </c>
      <c r="M823" s="6">
        <v>13743</v>
      </c>
      <c r="N823" s="6">
        <v>10333</v>
      </c>
      <c r="O823" s="6">
        <v>6326</v>
      </c>
      <c r="P823" s="78">
        <v>10597</v>
      </c>
      <c r="Q823" s="6">
        <v>3651</v>
      </c>
      <c r="R823" s="16">
        <f t="shared" si="434"/>
        <v>26034</v>
      </c>
    </row>
    <row r="824" spans="1:18" ht="15.6" x14ac:dyDescent="0.3">
      <c r="A824" s="10">
        <v>39387</v>
      </c>
      <c r="B824" s="78">
        <v>4845</v>
      </c>
      <c r="C824" s="78">
        <v>6560</v>
      </c>
      <c r="D824" s="78">
        <v>973</v>
      </c>
      <c r="E824" s="78">
        <v>3685</v>
      </c>
      <c r="F824" s="78">
        <v>2683</v>
      </c>
      <c r="G824" s="78">
        <v>3561</v>
      </c>
      <c r="H824" s="78">
        <v>1443</v>
      </c>
      <c r="I824" s="78">
        <v>1967</v>
      </c>
      <c r="J824" s="78">
        <v>355</v>
      </c>
      <c r="K824" s="78">
        <v>513</v>
      </c>
      <c r="L824" s="78">
        <v>10300</v>
      </c>
      <c r="M824" s="78">
        <v>16285</v>
      </c>
      <c r="N824" s="78">
        <v>18788</v>
      </c>
      <c r="O824" s="78">
        <v>10534</v>
      </c>
      <c r="P824" s="78">
        <v>7856</v>
      </c>
      <c r="Q824" s="78">
        <v>5281</v>
      </c>
      <c r="R824" s="16">
        <f t="shared" si="434"/>
        <v>36944</v>
      </c>
    </row>
    <row r="825" spans="1:18" ht="15.6" x14ac:dyDescent="0.3">
      <c r="A825" s="10">
        <v>39751</v>
      </c>
      <c r="B825" s="78">
        <v>2121</v>
      </c>
      <c r="C825" s="6">
        <v>7114</v>
      </c>
      <c r="D825" s="6">
        <v>980</v>
      </c>
      <c r="E825" s="6">
        <v>3151</v>
      </c>
      <c r="F825" s="6">
        <v>1305</v>
      </c>
      <c r="G825" s="6">
        <v>2406</v>
      </c>
      <c r="H825" s="6">
        <v>608</v>
      </c>
      <c r="I825" s="6">
        <v>1223</v>
      </c>
      <c r="J825" s="6">
        <v>80</v>
      </c>
      <c r="K825" s="6">
        <v>227</v>
      </c>
      <c r="L825" s="6">
        <v>5093</v>
      </c>
      <c r="M825" s="6">
        <v>14120</v>
      </c>
      <c r="N825" s="6">
        <v>10186</v>
      </c>
      <c r="O825" s="6">
        <v>6944</v>
      </c>
      <c r="P825" s="78">
        <v>10003</v>
      </c>
      <c r="Q825" s="6">
        <v>5140</v>
      </c>
      <c r="R825" s="16">
        <f t="shared" si="434"/>
        <v>25282</v>
      </c>
    </row>
    <row r="826" spans="1:18" ht="15.6" x14ac:dyDescent="0.3">
      <c r="A826" s="10">
        <v>39393</v>
      </c>
      <c r="B826" s="78">
        <v>4718</v>
      </c>
      <c r="C826" s="78">
        <v>6851</v>
      </c>
      <c r="D826" s="78">
        <v>994</v>
      </c>
      <c r="E826" s="78">
        <v>3706</v>
      </c>
      <c r="F826" s="78">
        <v>2660</v>
      </c>
      <c r="G826" s="78">
        <v>3708</v>
      </c>
      <c r="H826" s="78">
        <v>1391</v>
      </c>
      <c r="I826" s="78">
        <v>2075</v>
      </c>
      <c r="J826" s="78">
        <v>362</v>
      </c>
      <c r="K826" s="78">
        <v>535</v>
      </c>
      <c r="L826" s="78">
        <v>10126</v>
      </c>
      <c r="M826" s="78">
        <v>16875</v>
      </c>
      <c r="N826" s="78">
        <v>18643</v>
      </c>
      <c r="O826" s="78">
        <v>12044</v>
      </c>
      <c r="P826" s="78">
        <v>8440</v>
      </c>
      <c r="Q826" s="78">
        <v>5992</v>
      </c>
      <c r="R826" s="16">
        <f t="shared" si="434"/>
        <v>37209</v>
      </c>
    </row>
    <row r="827" spans="1:18" ht="15.6" x14ac:dyDescent="0.3">
      <c r="A827" s="10">
        <v>39758</v>
      </c>
      <c r="B827" s="78">
        <v>2046</v>
      </c>
      <c r="C827" s="6">
        <v>7272</v>
      </c>
      <c r="D827" s="6">
        <v>972</v>
      </c>
      <c r="E827" s="6">
        <v>3274</v>
      </c>
      <c r="F827" s="6">
        <v>1248</v>
      </c>
      <c r="G827" s="6">
        <v>2499</v>
      </c>
      <c r="H827" s="6">
        <v>548</v>
      </c>
      <c r="I827" s="6">
        <v>1291</v>
      </c>
      <c r="J827" s="6">
        <v>80</v>
      </c>
      <c r="K827" s="6">
        <v>233</v>
      </c>
      <c r="L827" s="6">
        <v>4893</v>
      </c>
      <c r="M827" s="6">
        <v>14568</v>
      </c>
      <c r="N827" s="6">
        <v>9733</v>
      </c>
      <c r="O827" s="6">
        <v>7753</v>
      </c>
      <c r="P827" s="78">
        <v>9439</v>
      </c>
      <c r="Q827" s="6">
        <v>6182</v>
      </c>
      <c r="R827" s="16">
        <f t="shared" si="434"/>
        <v>24065</v>
      </c>
    </row>
    <row r="828" spans="1:18" ht="15.6" x14ac:dyDescent="0.3">
      <c r="A828" s="10">
        <v>39400</v>
      </c>
      <c r="B828" s="78">
        <v>4647</v>
      </c>
      <c r="C828" s="78">
        <v>7032</v>
      </c>
      <c r="D828" s="78">
        <v>984</v>
      </c>
      <c r="E828" s="78">
        <v>3730</v>
      </c>
      <c r="F828" s="78">
        <v>2652</v>
      </c>
      <c r="G828" s="78">
        <v>3962</v>
      </c>
      <c r="H828" s="78">
        <v>1408</v>
      </c>
      <c r="I828" s="78">
        <v>2129</v>
      </c>
      <c r="J828" s="78">
        <v>309</v>
      </c>
      <c r="K828" s="78">
        <v>639</v>
      </c>
      <c r="L828" s="78">
        <v>10000</v>
      </c>
      <c r="M828" s="78">
        <v>17492</v>
      </c>
      <c r="N828" s="78">
        <v>19111</v>
      </c>
      <c r="O828" s="78">
        <v>13420</v>
      </c>
      <c r="P828" s="78">
        <v>9590</v>
      </c>
      <c r="Q828" s="78">
        <v>6650</v>
      </c>
      <c r="R828" s="16">
        <f t="shared" si="434"/>
        <v>38701</v>
      </c>
    </row>
    <row r="829" spans="1:18" ht="15.6" x14ac:dyDescent="0.3">
      <c r="A829" s="10">
        <v>39765</v>
      </c>
      <c r="B829" s="78">
        <v>2037</v>
      </c>
      <c r="C829" s="6">
        <v>7443</v>
      </c>
      <c r="D829" s="6">
        <v>1033</v>
      </c>
      <c r="E829" s="6">
        <v>3352</v>
      </c>
      <c r="F829" s="6">
        <v>1233</v>
      </c>
      <c r="G829" s="6">
        <v>2647</v>
      </c>
      <c r="H829" s="6">
        <v>570</v>
      </c>
      <c r="I829" s="6">
        <v>1345</v>
      </c>
      <c r="J829" s="6">
        <v>81</v>
      </c>
      <c r="K829" s="6">
        <v>234</v>
      </c>
      <c r="L829" s="6">
        <v>4952</v>
      </c>
      <c r="M829" s="6">
        <v>15020</v>
      </c>
      <c r="N829" s="6">
        <v>9411</v>
      </c>
      <c r="O829" s="6">
        <v>8458</v>
      </c>
      <c r="P829" s="78">
        <v>9163</v>
      </c>
      <c r="Q829" s="6">
        <v>7249</v>
      </c>
      <c r="R829" s="16">
        <f t="shared" si="434"/>
        <v>23526</v>
      </c>
    </row>
    <row r="830" spans="1:18" ht="15.6" x14ac:dyDescent="0.3">
      <c r="A830" s="10">
        <v>39407</v>
      </c>
      <c r="B830" s="78">
        <v>4427</v>
      </c>
      <c r="C830" s="78">
        <v>7342</v>
      </c>
      <c r="D830" s="78">
        <v>934</v>
      </c>
      <c r="E830" s="78">
        <v>3824</v>
      </c>
      <c r="F830" s="78">
        <v>2646</v>
      </c>
      <c r="G830" s="78">
        <v>4064</v>
      </c>
      <c r="H830" s="78">
        <v>1518</v>
      </c>
      <c r="I830" s="78">
        <v>2197</v>
      </c>
      <c r="J830" s="78">
        <v>307</v>
      </c>
      <c r="K830" s="78">
        <v>639</v>
      </c>
      <c r="L830" s="78">
        <v>9832</v>
      </c>
      <c r="M830" s="78">
        <v>18066</v>
      </c>
      <c r="N830" s="78">
        <v>19513</v>
      </c>
      <c r="O830" s="78">
        <v>14848</v>
      </c>
      <c r="P830" s="78">
        <v>9733</v>
      </c>
      <c r="Q830" s="78">
        <v>7625</v>
      </c>
      <c r="R830" s="16">
        <f t="shared" si="434"/>
        <v>39078</v>
      </c>
    </row>
    <row r="831" spans="1:18" ht="15.6" x14ac:dyDescent="0.3">
      <c r="A831" s="10">
        <v>39772</v>
      </c>
      <c r="B831" s="78">
        <v>2008</v>
      </c>
      <c r="C831" s="6">
        <v>7715</v>
      </c>
      <c r="D831" s="6">
        <v>959</v>
      </c>
      <c r="E831" s="6">
        <v>3446</v>
      </c>
      <c r="F831" s="6">
        <v>1174</v>
      </c>
      <c r="G831" s="6">
        <v>2812</v>
      </c>
      <c r="H831" s="6">
        <v>563</v>
      </c>
      <c r="I831" s="6">
        <v>1384</v>
      </c>
      <c r="J831" s="6">
        <v>115</v>
      </c>
      <c r="K831" s="6">
        <v>236</v>
      </c>
      <c r="L831" s="6">
        <v>4818</v>
      </c>
      <c r="M831" s="6">
        <v>15593</v>
      </c>
      <c r="N831" s="6">
        <v>9110</v>
      </c>
      <c r="O831" s="6">
        <v>9224</v>
      </c>
      <c r="P831" s="78">
        <v>8929</v>
      </c>
      <c r="Q831" s="6">
        <v>8265</v>
      </c>
      <c r="R831" s="16">
        <f t="shared" si="434"/>
        <v>22857</v>
      </c>
    </row>
    <row r="832" spans="1:18" ht="15.6" x14ac:dyDescent="0.3">
      <c r="A832" s="10">
        <v>39414</v>
      </c>
      <c r="B832" s="78">
        <v>4357</v>
      </c>
      <c r="C832" s="78">
        <v>7578</v>
      </c>
      <c r="D832" s="78">
        <v>829</v>
      </c>
      <c r="E832" s="78">
        <v>3948</v>
      </c>
      <c r="F832" s="78">
        <v>2519</v>
      </c>
      <c r="G832" s="78">
        <v>4229</v>
      </c>
      <c r="H832" s="78">
        <v>1460</v>
      </c>
      <c r="I832" s="78">
        <v>2267</v>
      </c>
      <c r="J832" s="78">
        <v>251</v>
      </c>
      <c r="K832" s="78">
        <v>697</v>
      </c>
      <c r="L832" s="78">
        <v>9416</v>
      </c>
      <c r="M832" s="78">
        <v>18718</v>
      </c>
      <c r="N832" s="78">
        <v>19044</v>
      </c>
      <c r="O832" s="78">
        <v>16371</v>
      </c>
      <c r="P832" s="78">
        <v>9797</v>
      </c>
      <c r="Q832" s="78">
        <v>8365</v>
      </c>
      <c r="R832" s="16">
        <f t="shared" si="434"/>
        <v>38257</v>
      </c>
    </row>
    <row r="833" spans="1:18" ht="15.6" x14ac:dyDescent="0.3">
      <c r="A833" s="10">
        <v>39779</v>
      </c>
      <c r="B833" s="78">
        <v>1842</v>
      </c>
      <c r="C833" s="6">
        <v>7899</v>
      </c>
      <c r="D833" s="6">
        <v>924</v>
      </c>
      <c r="E833" s="6">
        <v>3492</v>
      </c>
      <c r="F833" s="6">
        <v>1040</v>
      </c>
      <c r="G833" s="6">
        <v>2977</v>
      </c>
      <c r="H833" s="6">
        <v>653</v>
      </c>
      <c r="I833" s="6">
        <v>1420</v>
      </c>
      <c r="J833" s="6">
        <v>104</v>
      </c>
      <c r="K833" s="6">
        <v>268</v>
      </c>
      <c r="L833" s="6">
        <v>4563</v>
      </c>
      <c r="M833" s="6">
        <v>16056</v>
      </c>
      <c r="N833" s="6">
        <v>8524</v>
      </c>
      <c r="O833" s="6">
        <v>10198</v>
      </c>
      <c r="P833" s="78">
        <v>8026</v>
      </c>
      <c r="Q833" s="6">
        <v>9527</v>
      </c>
      <c r="R833" s="16">
        <f t="shared" si="434"/>
        <v>21113</v>
      </c>
    </row>
    <row r="834" spans="1:18" ht="15.6" x14ac:dyDescent="0.3">
      <c r="A834" s="10">
        <v>39422</v>
      </c>
      <c r="B834" s="78">
        <v>4268</v>
      </c>
      <c r="C834" s="78">
        <v>7794</v>
      </c>
      <c r="D834" s="78">
        <v>951</v>
      </c>
      <c r="E834" s="78">
        <v>4016</v>
      </c>
      <c r="F834" s="78">
        <v>2458</v>
      </c>
      <c r="G834" s="78">
        <v>4470</v>
      </c>
      <c r="H834" s="78">
        <v>1410</v>
      </c>
      <c r="I834" s="78">
        <v>2369</v>
      </c>
      <c r="J834" s="78">
        <v>179</v>
      </c>
      <c r="K834" s="78">
        <v>734</v>
      </c>
      <c r="L834" s="78">
        <v>9266</v>
      </c>
      <c r="M834" s="78">
        <v>19382</v>
      </c>
      <c r="N834" s="78">
        <v>19114</v>
      </c>
      <c r="O834" s="78">
        <v>17427</v>
      </c>
      <c r="P834" s="78">
        <v>9869</v>
      </c>
      <c r="Q834" s="78">
        <v>9265</v>
      </c>
      <c r="R834" s="16">
        <f t="shared" si="434"/>
        <v>38249</v>
      </c>
    </row>
    <row r="835" spans="1:18" ht="15.6" x14ac:dyDescent="0.3">
      <c r="A835" s="10">
        <v>39786</v>
      </c>
      <c r="B835" s="78">
        <v>1836</v>
      </c>
      <c r="C835" s="6">
        <v>7970</v>
      </c>
      <c r="D835" s="6">
        <v>901</v>
      </c>
      <c r="E835" s="6">
        <v>3534</v>
      </c>
      <c r="F835" s="6">
        <v>1096</v>
      </c>
      <c r="G835" s="6">
        <v>3032</v>
      </c>
      <c r="H835" s="6">
        <v>543</v>
      </c>
      <c r="I835" s="6">
        <v>1573</v>
      </c>
      <c r="J835" s="6">
        <v>104</v>
      </c>
      <c r="K835" s="6">
        <v>270</v>
      </c>
      <c r="L835" s="6">
        <v>4480</v>
      </c>
      <c r="M835" s="6">
        <v>16378</v>
      </c>
      <c r="N835" s="6">
        <v>8764</v>
      </c>
      <c r="O835" s="6">
        <v>10843</v>
      </c>
      <c r="P835" s="78">
        <v>7889</v>
      </c>
      <c r="Q835" s="6">
        <v>10474</v>
      </c>
      <c r="R835" s="16">
        <f t="shared" si="434"/>
        <v>21133</v>
      </c>
    </row>
    <row r="836" spans="1:18" ht="15.6" x14ac:dyDescent="0.3">
      <c r="A836" s="10">
        <v>39429</v>
      </c>
      <c r="B836" s="78">
        <v>4229</v>
      </c>
      <c r="C836" s="78">
        <v>7956</v>
      </c>
      <c r="D836" s="78">
        <v>830</v>
      </c>
      <c r="E836" s="78">
        <v>4053</v>
      </c>
      <c r="F836" s="78">
        <v>2353</v>
      </c>
      <c r="G836" s="78">
        <v>4653</v>
      </c>
      <c r="H836" s="78">
        <v>1361</v>
      </c>
      <c r="I836" s="78">
        <v>2478</v>
      </c>
      <c r="J836" s="78">
        <v>173</v>
      </c>
      <c r="K836" s="78">
        <v>766</v>
      </c>
      <c r="L836" s="78">
        <v>8946</v>
      </c>
      <c r="M836" s="78">
        <v>19906</v>
      </c>
      <c r="N836" s="78">
        <v>19083</v>
      </c>
      <c r="O836" s="78">
        <v>18657</v>
      </c>
      <c r="P836" s="78">
        <v>9638</v>
      </c>
      <c r="Q836" s="78">
        <v>10368</v>
      </c>
      <c r="R836" s="16">
        <f t="shared" si="434"/>
        <v>37667</v>
      </c>
    </row>
    <row r="837" spans="1:18" ht="15.6" x14ac:dyDescent="0.3">
      <c r="A837" s="10">
        <v>39793</v>
      </c>
      <c r="B837" s="78">
        <v>1841</v>
      </c>
      <c r="C837" s="6">
        <v>8060</v>
      </c>
      <c r="D837" s="6">
        <v>920</v>
      </c>
      <c r="E837" s="6">
        <v>3567</v>
      </c>
      <c r="F837" s="6">
        <v>979</v>
      </c>
      <c r="G837" s="6">
        <v>3224</v>
      </c>
      <c r="H837" s="6">
        <v>511</v>
      </c>
      <c r="I837" s="6">
        <v>1639</v>
      </c>
      <c r="J837" s="6">
        <v>75</v>
      </c>
      <c r="K837" s="6">
        <v>303</v>
      </c>
      <c r="L837" s="6">
        <v>4327</v>
      </c>
      <c r="M837" s="6">
        <v>16793</v>
      </c>
      <c r="N837" s="6">
        <v>8666</v>
      </c>
      <c r="O837" s="6">
        <v>11553</v>
      </c>
      <c r="P837" s="78">
        <v>7628</v>
      </c>
      <c r="Q837" s="6">
        <v>11629</v>
      </c>
      <c r="R837" s="16">
        <f t="shared" si="434"/>
        <v>20621</v>
      </c>
    </row>
    <row r="838" spans="1:18" ht="15.6" x14ac:dyDescent="0.3">
      <c r="A838" s="10">
        <v>39436</v>
      </c>
      <c r="B838" s="78">
        <v>4080.7</v>
      </c>
      <c r="C838" s="78">
        <v>8134.2</v>
      </c>
      <c r="D838" s="78">
        <v>818</v>
      </c>
      <c r="E838" s="78">
        <v>4067.5</v>
      </c>
      <c r="F838" s="78">
        <v>2419.9</v>
      </c>
      <c r="G838" s="78">
        <v>4755.8</v>
      </c>
      <c r="H838" s="78">
        <v>1372.4</v>
      </c>
      <c r="I838" s="78">
        <v>2557.6999999999998</v>
      </c>
      <c r="J838" s="78">
        <v>173</v>
      </c>
      <c r="K838" s="78">
        <v>772.1</v>
      </c>
      <c r="L838" s="78">
        <v>8863.7999999999993</v>
      </c>
      <c r="M838" s="78">
        <v>20287.2</v>
      </c>
      <c r="N838" s="78">
        <v>19243.400000000001</v>
      </c>
      <c r="O838" s="78">
        <v>19916.599999999999</v>
      </c>
      <c r="P838" s="78">
        <v>9486.7999999999993</v>
      </c>
      <c r="Q838" s="78">
        <v>11201.9</v>
      </c>
      <c r="R838" s="16">
        <f t="shared" si="434"/>
        <v>37594</v>
      </c>
    </row>
    <row r="839" spans="1:18" ht="15.6" x14ac:dyDescent="0.3">
      <c r="A839" s="10">
        <v>39800</v>
      </c>
      <c r="B839" s="78">
        <v>1807.1</v>
      </c>
      <c r="C839" s="6">
        <v>8176.6</v>
      </c>
      <c r="D839" s="6">
        <v>899.7</v>
      </c>
      <c r="E839" s="6">
        <v>3651.4</v>
      </c>
      <c r="F839" s="6">
        <v>937.8</v>
      </c>
      <c r="G839" s="6">
        <v>3292.7</v>
      </c>
      <c r="H839" s="6">
        <v>569.79999999999995</v>
      </c>
      <c r="I839" s="6">
        <v>1659.9</v>
      </c>
      <c r="J839" s="6">
        <v>75.099999999999994</v>
      </c>
      <c r="K839" s="6">
        <v>303.39999999999998</v>
      </c>
      <c r="L839" s="6">
        <v>4289.5</v>
      </c>
      <c r="M839" s="6">
        <v>17084</v>
      </c>
      <c r="N839" s="6">
        <v>8386</v>
      </c>
      <c r="O839" s="6">
        <v>12384.6</v>
      </c>
      <c r="P839" s="78">
        <v>7260.9</v>
      </c>
      <c r="Q839" s="6">
        <v>12580.5</v>
      </c>
      <c r="R839" s="16">
        <f t="shared" si="434"/>
        <v>19936.400000000001</v>
      </c>
    </row>
    <row r="840" spans="1:18" ht="15.6" x14ac:dyDescent="0.3">
      <c r="A840" s="10">
        <v>39443</v>
      </c>
      <c r="B840" s="78">
        <v>3986</v>
      </c>
      <c r="C840" s="78">
        <v>8302</v>
      </c>
      <c r="D840" s="78">
        <v>740</v>
      </c>
      <c r="E840" s="78">
        <v>4148</v>
      </c>
      <c r="F840" s="78">
        <v>2322</v>
      </c>
      <c r="G840" s="78">
        <v>4894</v>
      </c>
      <c r="H840" s="78">
        <v>1324</v>
      </c>
      <c r="I840" s="78">
        <v>2609</v>
      </c>
      <c r="J840" s="78">
        <v>173</v>
      </c>
      <c r="K840" s="78">
        <v>772.1</v>
      </c>
      <c r="L840" s="78">
        <v>8545</v>
      </c>
      <c r="M840" s="78">
        <v>20725</v>
      </c>
      <c r="N840" s="78">
        <v>18804</v>
      </c>
      <c r="O840" s="78">
        <v>21057</v>
      </c>
      <c r="P840" s="78">
        <v>9041</v>
      </c>
      <c r="Q840" s="78">
        <v>11789</v>
      </c>
      <c r="R840" s="16">
        <f t="shared" si="434"/>
        <v>36390</v>
      </c>
    </row>
    <row r="841" spans="1:18" ht="15.6" x14ac:dyDescent="0.3">
      <c r="A841" s="10">
        <v>39807</v>
      </c>
      <c r="B841" s="78">
        <v>1878</v>
      </c>
      <c r="C841" s="6">
        <v>8210</v>
      </c>
      <c r="D841" s="6">
        <v>956</v>
      </c>
      <c r="E841" s="6">
        <v>3661</v>
      </c>
      <c r="F841" s="6">
        <v>950</v>
      </c>
      <c r="G841" s="6">
        <v>3349</v>
      </c>
      <c r="H841" s="6">
        <v>656</v>
      </c>
      <c r="I841" s="6">
        <v>1738</v>
      </c>
      <c r="J841" s="6">
        <v>91</v>
      </c>
      <c r="K841" s="6">
        <v>303.39999999999998</v>
      </c>
      <c r="L841" s="6">
        <v>4531</v>
      </c>
      <c r="M841" s="6">
        <v>17261</v>
      </c>
      <c r="N841" s="6">
        <v>8054</v>
      </c>
      <c r="O841" s="6">
        <v>12987</v>
      </c>
      <c r="P841" s="78">
        <v>6851</v>
      </c>
      <c r="Q841" s="6">
        <v>13501</v>
      </c>
      <c r="R841" s="16">
        <f t="shared" si="434"/>
        <v>19436</v>
      </c>
    </row>
    <row r="842" spans="1:18" ht="15.6" x14ac:dyDescent="0.3">
      <c r="A842" s="10">
        <v>39450</v>
      </c>
      <c r="B842" s="78">
        <v>3785</v>
      </c>
      <c r="C842" s="78">
        <v>8525</v>
      </c>
      <c r="D842" s="78">
        <v>820</v>
      </c>
      <c r="E842" s="78">
        <v>4197</v>
      </c>
      <c r="F842" s="78">
        <v>2207</v>
      </c>
      <c r="G842" s="78">
        <v>5037</v>
      </c>
      <c r="H842" s="78">
        <v>1282</v>
      </c>
      <c r="I842" s="78">
        <v>2642</v>
      </c>
      <c r="J842" s="78">
        <v>171</v>
      </c>
      <c r="K842" s="78">
        <v>794</v>
      </c>
      <c r="L842" s="78">
        <v>8265</v>
      </c>
      <c r="M842" s="78">
        <v>21195</v>
      </c>
      <c r="N842" s="78">
        <v>18496</v>
      </c>
      <c r="O842" s="78">
        <v>21971</v>
      </c>
      <c r="P842" s="78">
        <v>8218</v>
      </c>
      <c r="Q842" s="78">
        <v>12729</v>
      </c>
      <c r="R842" s="16">
        <f t="shared" si="434"/>
        <v>34979</v>
      </c>
    </row>
    <row r="843" spans="1:18" ht="15.6" x14ac:dyDescent="0.3">
      <c r="A843" s="10">
        <v>39814</v>
      </c>
      <c r="B843" s="78">
        <v>1797</v>
      </c>
      <c r="C843" s="6">
        <v>8335</v>
      </c>
      <c r="D843" s="6">
        <v>869</v>
      </c>
      <c r="E843" s="6">
        <v>3743</v>
      </c>
      <c r="F843" s="6">
        <v>885</v>
      </c>
      <c r="G843" s="6">
        <v>3417</v>
      </c>
      <c r="H843" s="6">
        <v>579</v>
      </c>
      <c r="I843" s="6">
        <v>1815</v>
      </c>
      <c r="J843" s="6">
        <v>91</v>
      </c>
      <c r="K843" s="6">
        <v>304</v>
      </c>
      <c r="L843" s="6">
        <v>4221</v>
      </c>
      <c r="M843" s="6">
        <v>17613</v>
      </c>
      <c r="N843" s="6">
        <v>7703</v>
      </c>
      <c r="O843" s="6">
        <v>13598</v>
      </c>
      <c r="P843" s="78">
        <v>6576</v>
      </c>
      <c r="Q843" s="6">
        <v>14306</v>
      </c>
      <c r="R843" s="16">
        <f t="shared" si="434"/>
        <v>18500</v>
      </c>
    </row>
    <row r="844" spans="1:18" ht="15.6" x14ac:dyDescent="0.3">
      <c r="A844" s="10">
        <v>39457</v>
      </c>
      <c r="B844" s="78">
        <v>3597</v>
      </c>
      <c r="C844" s="78">
        <v>8781</v>
      </c>
      <c r="D844" s="78">
        <v>853</v>
      </c>
      <c r="E844" s="78">
        <v>4234</v>
      </c>
      <c r="F844" s="78">
        <v>2142</v>
      </c>
      <c r="G844" s="78">
        <v>5277</v>
      </c>
      <c r="H844" s="78">
        <v>1249</v>
      </c>
      <c r="I844" s="78">
        <v>2781</v>
      </c>
      <c r="J844" s="78">
        <v>125</v>
      </c>
      <c r="K844" s="78">
        <v>827</v>
      </c>
      <c r="L844" s="78">
        <v>7966</v>
      </c>
      <c r="M844" s="78">
        <v>21899</v>
      </c>
      <c r="N844" s="78">
        <v>19363</v>
      </c>
      <c r="O844" s="78">
        <v>23474</v>
      </c>
      <c r="P844" s="78">
        <v>8428</v>
      </c>
      <c r="Q844" s="78">
        <v>13484</v>
      </c>
      <c r="R844" s="16">
        <f t="shared" si="434"/>
        <v>35757</v>
      </c>
    </row>
    <row r="845" spans="1:18" ht="15.6" x14ac:dyDescent="0.3">
      <c r="A845" s="10">
        <v>39821</v>
      </c>
      <c r="B845" s="78">
        <v>1577</v>
      </c>
      <c r="C845" s="6">
        <v>8640</v>
      </c>
      <c r="D845" s="6">
        <v>705</v>
      </c>
      <c r="E845" s="6">
        <v>3810</v>
      </c>
      <c r="F845" s="6">
        <v>804</v>
      </c>
      <c r="G845" s="6">
        <v>3578</v>
      </c>
      <c r="H845" s="6">
        <v>561</v>
      </c>
      <c r="I845" s="6">
        <v>1853</v>
      </c>
      <c r="J845" s="6">
        <v>91</v>
      </c>
      <c r="K845" s="6">
        <v>304</v>
      </c>
      <c r="L845" s="6">
        <v>3738</v>
      </c>
      <c r="M845" s="6">
        <v>18184</v>
      </c>
      <c r="N845" s="6">
        <v>7307</v>
      </c>
      <c r="O845" s="6">
        <v>14210</v>
      </c>
      <c r="P845" s="78">
        <v>7211</v>
      </c>
      <c r="Q845" s="6">
        <v>15033</v>
      </c>
      <c r="R845" s="16">
        <f t="shared" si="434"/>
        <v>18256</v>
      </c>
    </row>
    <row r="846" spans="1:18" ht="15.6" x14ac:dyDescent="0.3">
      <c r="A846" s="10">
        <v>39464</v>
      </c>
      <c r="B846" s="78">
        <v>3679</v>
      </c>
      <c r="C846" s="78">
        <v>8958</v>
      </c>
      <c r="D846" s="78">
        <v>846</v>
      </c>
      <c r="E846" s="78">
        <v>4240</v>
      </c>
      <c r="F846" s="78">
        <v>2084</v>
      </c>
      <c r="G846" s="78">
        <v>5461</v>
      </c>
      <c r="H846" s="78">
        <v>1165</v>
      </c>
      <c r="I846" s="78">
        <v>2904</v>
      </c>
      <c r="J846" s="78">
        <v>120</v>
      </c>
      <c r="K846" s="78">
        <v>832</v>
      </c>
      <c r="L846" s="78">
        <v>7894</v>
      </c>
      <c r="M846" s="78">
        <v>22394</v>
      </c>
      <c r="N846" s="78">
        <v>19623</v>
      </c>
      <c r="O846" s="78">
        <v>24809</v>
      </c>
      <c r="P846" s="78">
        <v>8085</v>
      </c>
      <c r="Q846" s="78">
        <v>14491</v>
      </c>
      <c r="R846" s="16">
        <f t="shared" si="434"/>
        <v>35602</v>
      </c>
    </row>
    <row r="847" spans="1:18" ht="15.6" x14ac:dyDescent="0.3">
      <c r="A847" s="10">
        <v>39828</v>
      </c>
      <c r="B847" s="78">
        <v>1693</v>
      </c>
      <c r="C847" s="6">
        <v>8682</v>
      </c>
      <c r="D847" s="6">
        <v>666</v>
      </c>
      <c r="E847" s="6">
        <v>3853</v>
      </c>
      <c r="F847" s="6">
        <v>932</v>
      </c>
      <c r="G847" s="6">
        <v>3627</v>
      </c>
      <c r="H847" s="6">
        <v>583</v>
      </c>
      <c r="I847" s="6">
        <v>1898</v>
      </c>
      <c r="J847" s="6">
        <v>91</v>
      </c>
      <c r="K847" s="6">
        <v>305</v>
      </c>
      <c r="L847" s="6">
        <v>3966</v>
      </c>
      <c r="M847" s="6">
        <v>18366</v>
      </c>
      <c r="N847" s="6">
        <v>7709</v>
      </c>
      <c r="O847" s="6">
        <v>14894</v>
      </c>
      <c r="P847" s="78">
        <v>7518</v>
      </c>
      <c r="Q847" s="6">
        <v>16050</v>
      </c>
      <c r="R847" s="16">
        <f t="shared" si="434"/>
        <v>19193</v>
      </c>
    </row>
    <row r="848" spans="1:18" ht="15.6" x14ac:dyDescent="0.3">
      <c r="A848" s="10">
        <v>39471</v>
      </c>
      <c r="B848" s="78">
        <v>3604</v>
      </c>
      <c r="C848" s="78">
        <v>9230</v>
      </c>
      <c r="D848" s="78">
        <v>854</v>
      </c>
      <c r="E848" s="78">
        <v>4302</v>
      </c>
      <c r="F848" s="78">
        <v>2028</v>
      </c>
      <c r="G848" s="78">
        <v>5653</v>
      </c>
      <c r="H848" s="78">
        <v>1197</v>
      </c>
      <c r="I848" s="78">
        <v>2978</v>
      </c>
      <c r="J848" s="78">
        <v>95</v>
      </c>
      <c r="K848" s="78">
        <v>854</v>
      </c>
      <c r="L848" s="78">
        <v>7779</v>
      </c>
      <c r="M848" s="78">
        <v>23018</v>
      </c>
      <c r="N848" s="78">
        <v>20020</v>
      </c>
      <c r="O848" s="78">
        <v>26300</v>
      </c>
      <c r="P848" s="78">
        <v>7841</v>
      </c>
      <c r="Q848" s="78">
        <v>15223</v>
      </c>
      <c r="R848" s="16">
        <f t="shared" ref="R848:R911" si="435">P848+N848+L848</f>
        <v>35640</v>
      </c>
    </row>
    <row r="849" spans="1:18" ht="15.6" x14ac:dyDescent="0.3">
      <c r="A849" s="10">
        <v>39835</v>
      </c>
      <c r="B849" s="78">
        <v>1294</v>
      </c>
      <c r="C849" s="6">
        <v>8833</v>
      </c>
      <c r="D849" s="6">
        <v>699</v>
      </c>
      <c r="E849" s="6">
        <v>3892</v>
      </c>
      <c r="F849" s="6">
        <v>850</v>
      </c>
      <c r="G849" s="6">
        <v>3745</v>
      </c>
      <c r="H849" s="6">
        <v>725</v>
      </c>
      <c r="I849" s="6">
        <v>1922</v>
      </c>
      <c r="J849" s="6">
        <v>75</v>
      </c>
      <c r="K849" s="6">
        <v>320</v>
      </c>
      <c r="L849" s="6">
        <v>3644</v>
      </c>
      <c r="M849" s="6">
        <v>18711</v>
      </c>
      <c r="N849" s="6">
        <v>8078</v>
      </c>
      <c r="O849" s="6">
        <v>15633</v>
      </c>
      <c r="P849" s="78">
        <v>7086</v>
      </c>
      <c r="Q849" s="6">
        <v>17008</v>
      </c>
      <c r="R849" s="16">
        <f t="shared" si="435"/>
        <v>18808</v>
      </c>
    </row>
    <row r="850" spans="1:18" ht="15.6" x14ac:dyDescent="0.3">
      <c r="A850" s="10">
        <v>39478</v>
      </c>
      <c r="B850" s="78">
        <v>3636</v>
      </c>
      <c r="C850" s="78">
        <v>9394</v>
      </c>
      <c r="D850" s="78">
        <v>818</v>
      </c>
      <c r="E850" s="78">
        <v>4343</v>
      </c>
      <c r="F850" s="78">
        <v>1966</v>
      </c>
      <c r="G850" s="78">
        <v>5812</v>
      </c>
      <c r="H850" s="78">
        <v>1126</v>
      </c>
      <c r="I850" s="78">
        <v>3051</v>
      </c>
      <c r="J850" s="78">
        <v>85</v>
      </c>
      <c r="K850" s="78">
        <v>879</v>
      </c>
      <c r="L850" s="78">
        <v>7631</v>
      </c>
      <c r="M850" s="78">
        <v>23478</v>
      </c>
      <c r="N850" s="78">
        <v>19799</v>
      </c>
      <c r="O850" s="78">
        <v>27550</v>
      </c>
      <c r="P850" s="78">
        <v>7986</v>
      </c>
      <c r="Q850" s="78">
        <v>16115</v>
      </c>
      <c r="R850" s="16">
        <f t="shared" si="435"/>
        <v>35416</v>
      </c>
    </row>
    <row r="851" spans="1:18" ht="15.6" x14ac:dyDescent="0.3">
      <c r="A851" s="10">
        <v>39842</v>
      </c>
      <c r="B851" s="78">
        <v>1307</v>
      </c>
      <c r="C851" s="6">
        <v>8960</v>
      </c>
      <c r="D851" s="6">
        <v>678</v>
      </c>
      <c r="E851" s="6">
        <v>3928</v>
      </c>
      <c r="F851" s="6">
        <v>837</v>
      </c>
      <c r="G851" s="6">
        <v>3823</v>
      </c>
      <c r="H851" s="6">
        <v>692</v>
      </c>
      <c r="I851" s="6">
        <v>2046</v>
      </c>
      <c r="J851" s="6">
        <v>53</v>
      </c>
      <c r="K851" s="6">
        <v>358</v>
      </c>
      <c r="L851" s="6">
        <v>3568</v>
      </c>
      <c r="M851" s="6">
        <v>19114</v>
      </c>
      <c r="N851" s="6">
        <v>8497</v>
      </c>
      <c r="O851" s="6">
        <v>16378</v>
      </c>
      <c r="P851" s="78">
        <v>6359</v>
      </c>
      <c r="Q851" s="6">
        <v>18072</v>
      </c>
      <c r="R851" s="16">
        <f t="shared" si="435"/>
        <v>18424</v>
      </c>
    </row>
    <row r="852" spans="1:18" ht="15.6" x14ac:dyDescent="0.3">
      <c r="A852" s="10">
        <v>39485</v>
      </c>
      <c r="B852" s="78">
        <v>3356</v>
      </c>
      <c r="C852" s="78">
        <v>9665</v>
      </c>
      <c r="D852" s="78">
        <v>842</v>
      </c>
      <c r="E852" s="78">
        <v>4384</v>
      </c>
      <c r="F852" s="78">
        <v>1832</v>
      </c>
      <c r="G852" s="78">
        <v>5964</v>
      </c>
      <c r="H852" s="78">
        <v>1056</v>
      </c>
      <c r="I852" s="78">
        <v>3125</v>
      </c>
      <c r="J852" s="78">
        <v>82</v>
      </c>
      <c r="K852" s="78">
        <v>887</v>
      </c>
      <c r="L852" s="78">
        <v>7168</v>
      </c>
      <c r="M852" s="78">
        <v>24025</v>
      </c>
      <c r="N852" s="78">
        <v>19586</v>
      </c>
      <c r="O852" s="78">
        <v>28695</v>
      </c>
      <c r="P852" s="78">
        <v>7289</v>
      </c>
      <c r="Q852" s="78">
        <v>17140</v>
      </c>
      <c r="R852" s="16">
        <f t="shared" si="435"/>
        <v>34043</v>
      </c>
    </row>
    <row r="853" spans="1:18" ht="15.6" x14ac:dyDescent="0.3">
      <c r="A853" s="10">
        <v>39849</v>
      </c>
      <c r="B853" s="78">
        <v>1191</v>
      </c>
      <c r="C853" s="6">
        <v>9199</v>
      </c>
      <c r="D853" s="6">
        <v>748</v>
      </c>
      <c r="E853" s="6">
        <v>3979</v>
      </c>
      <c r="F853" s="6">
        <v>792</v>
      </c>
      <c r="G853" s="6">
        <v>3930</v>
      </c>
      <c r="H853" s="6">
        <v>679</v>
      </c>
      <c r="I853" s="6">
        <v>2165</v>
      </c>
      <c r="J853" s="6">
        <v>53</v>
      </c>
      <c r="K853" s="6">
        <v>358</v>
      </c>
      <c r="L853" s="6">
        <v>3462</v>
      </c>
      <c r="M853" s="6">
        <v>19632</v>
      </c>
      <c r="N853" s="6">
        <v>9473</v>
      </c>
      <c r="O853" s="6">
        <v>16946</v>
      </c>
      <c r="P853" s="78">
        <v>6035</v>
      </c>
      <c r="Q853" s="6">
        <v>19465</v>
      </c>
      <c r="R853" s="16">
        <f t="shared" si="435"/>
        <v>18970</v>
      </c>
    </row>
    <row r="854" spans="1:18" ht="15.6" x14ac:dyDescent="0.3">
      <c r="A854" s="10">
        <v>39492</v>
      </c>
      <c r="B854" s="78">
        <v>3190</v>
      </c>
      <c r="C854" s="78">
        <v>9990</v>
      </c>
      <c r="D854" s="78">
        <v>736</v>
      </c>
      <c r="E854" s="78">
        <v>4407</v>
      </c>
      <c r="F854" s="78">
        <v>1689</v>
      </c>
      <c r="G854" s="78">
        <v>6128</v>
      </c>
      <c r="H854" s="78">
        <v>966</v>
      </c>
      <c r="I854" s="78">
        <v>3213</v>
      </c>
      <c r="J854" s="78">
        <v>77</v>
      </c>
      <c r="K854" s="78">
        <v>898</v>
      </c>
      <c r="L854" s="78">
        <v>6658</v>
      </c>
      <c r="M854" s="78">
        <v>24636</v>
      </c>
      <c r="N854" s="78">
        <v>19316</v>
      </c>
      <c r="O854" s="78">
        <v>30107</v>
      </c>
      <c r="P854" s="78">
        <v>6977</v>
      </c>
      <c r="Q854" s="78">
        <v>18083</v>
      </c>
      <c r="R854" s="16">
        <f t="shared" si="435"/>
        <v>32951</v>
      </c>
    </row>
    <row r="855" spans="1:18" ht="15.6" x14ac:dyDescent="0.3">
      <c r="A855" s="10">
        <v>39856</v>
      </c>
      <c r="B855" s="78">
        <v>1232</v>
      </c>
      <c r="C855" s="6">
        <v>9271</v>
      </c>
      <c r="D855" s="6">
        <v>733</v>
      </c>
      <c r="E855" s="6">
        <v>4051</v>
      </c>
      <c r="F855" s="6">
        <v>858</v>
      </c>
      <c r="G855" s="6">
        <v>4007</v>
      </c>
      <c r="H855" s="6">
        <v>768</v>
      </c>
      <c r="I855" s="6">
        <v>2197</v>
      </c>
      <c r="J855" s="6">
        <v>53</v>
      </c>
      <c r="K855" s="6">
        <v>359</v>
      </c>
      <c r="L855" s="6">
        <v>3643</v>
      </c>
      <c r="M855" s="6">
        <v>19884</v>
      </c>
      <c r="N855" s="6">
        <v>9894</v>
      </c>
      <c r="O855" s="6">
        <v>17857</v>
      </c>
      <c r="P855" s="78">
        <v>5870</v>
      </c>
      <c r="Q855" s="6">
        <v>20724</v>
      </c>
      <c r="R855" s="16">
        <f t="shared" si="435"/>
        <v>19407</v>
      </c>
    </row>
    <row r="856" spans="1:18" ht="15.6" x14ac:dyDescent="0.3">
      <c r="A856" s="10">
        <v>39499</v>
      </c>
      <c r="B856" s="78">
        <v>3187</v>
      </c>
      <c r="C856" s="78">
        <v>10141</v>
      </c>
      <c r="D856" s="78">
        <v>746</v>
      </c>
      <c r="E856" s="78">
        <v>4454</v>
      </c>
      <c r="F856" s="78">
        <v>1586</v>
      </c>
      <c r="G856" s="78">
        <v>6300</v>
      </c>
      <c r="H856" s="78">
        <v>860</v>
      </c>
      <c r="I856" s="78">
        <v>3325</v>
      </c>
      <c r="J856" s="78">
        <v>77</v>
      </c>
      <c r="K856" s="78">
        <v>926</v>
      </c>
      <c r="L856" s="78">
        <v>6456</v>
      </c>
      <c r="M856" s="78">
        <v>25146</v>
      </c>
      <c r="N856" s="78">
        <v>18670</v>
      </c>
      <c r="O856" s="78">
        <v>31355</v>
      </c>
      <c r="P856" s="78">
        <v>6893</v>
      </c>
      <c r="Q856" s="78">
        <v>18750</v>
      </c>
      <c r="R856" s="16">
        <f t="shared" si="435"/>
        <v>32019</v>
      </c>
    </row>
    <row r="857" spans="1:18" ht="15.6" x14ac:dyDescent="0.3">
      <c r="A857" s="10">
        <v>39863</v>
      </c>
      <c r="B857" s="78">
        <v>1344</v>
      </c>
      <c r="C857" s="6">
        <v>9346</v>
      </c>
      <c r="D857" s="6">
        <v>765</v>
      </c>
      <c r="E857" s="6">
        <v>4081</v>
      </c>
      <c r="F857" s="6">
        <v>900</v>
      </c>
      <c r="G857" s="6">
        <v>4070</v>
      </c>
      <c r="H857" s="6">
        <v>751</v>
      </c>
      <c r="I857" s="6">
        <v>2324</v>
      </c>
      <c r="J857" s="6">
        <v>51</v>
      </c>
      <c r="K857" s="6">
        <v>360</v>
      </c>
      <c r="L857" s="6">
        <v>3811</v>
      </c>
      <c r="M857" s="6">
        <v>20181</v>
      </c>
      <c r="N857" s="6">
        <v>9572</v>
      </c>
      <c r="O857" s="6">
        <v>18629</v>
      </c>
      <c r="P857" s="78">
        <v>5301</v>
      </c>
      <c r="Q857" s="6">
        <v>21632</v>
      </c>
      <c r="R857" s="16">
        <f t="shared" si="435"/>
        <v>18684</v>
      </c>
    </row>
    <row r="858" spans="1:18" ht="15.6" x14ac:dyDescent="0.3">
      <c r="A858" s="10">
        <v>39506</v>
      </c>
      <c r="B858" s="78">
        <v>3297</v>
      </c>
      <c r="C858" s="78">
        <v>10381</v>
      </c>
      <c r="D858" s="78">
        <v>746</v>
      </c>
      <c r="E858" s="78">
        <v>4537</v>
      </c>
      <c r="F858" s="78">
        <v>1480</v>
      </c>
      <c r="G858" s="78">
        <v>6398</v>
      </c>
      <c r="H858" s="78">
        <v>818</v>
      </c>
      <c r="I858" s="78">
        <v>3369</v>
      </c>
      <c r="J858" s="78">
        <v>67</v>
      </c>
      <c r="K858" s="78">
        <v>941</v>
      </c>
      <c r="L858" s="78">
        <v>6409</v>
      </c>
      <c r="M858" s="78">
        <v>25626</v>
      </c>
      <c r="N858" s="78">
        <v>17986</v>
      </c>
      <c r="O858" s="78">
        <v>32687</v>
      </c>
      <c r="P858" s="78">
        <v>6138</v>
      </c>
      <c r="Q858" s="78">
        <v>19709</v>
      </c>
      <c r="R858" s="16">
        <f t="shared" si="435"/>
        <v>30533</v>
      </c>
    </row>
    <row r="859" spans="1:18" ht="15.6" x14ac:dyDescent="0.3">
      <c r="A859" s="10">
        <v>39870</v>
      </c>
      <c r="B859" s="78">
        <v>1289</v>
      </c>
      <c r="C859" s="6">
        <v>9473</v>
      </c>
      <c r="D859" s="6">
        <v>729</v>
      </c>
      <c r="E859" s="6">
        <v>4160</v>
      </c>
      <c r="F859" s="6">
        <v>954</v>
      </c>
      <c r="G859" s="6">
        <v>4099</v>
      </c>
      <c r="H859" s="6">
        <v>822</v>
      </c>
      <c r="I859" s="6">
        <v>2341</v>
      </c>
      <c r="J859" s="6">
        <v>51</v>
      </c>
      <c r="K859" s="6">
        <v>360</v>
      </c>
      <c r="L859" s="6">
        <v>3844</v>
      </c>
      <c r="M859" s="6">
        <v>20433</v>
      </c>
      <c r="N859" s="6">
        <v>9455</v>
      </c>
      <c r="O859" s="6">
        <v>19537</v>
      </c>
      <c r="P859" s="78">
        <v>4705</v>
      </c>
      <c r="Q859" s="6">
        <v>22384</v>
      </c>
      <c r="R859" s="16">
        <f t="shared" si="435"/>
        <v>18004</v>
      </c>
    </row>
    <row r="860" spans="1:18" ht="15.6" x14ac:dyDescent="0.3">
      <c r="A860" s="10">
        <v>39513</v>
      </c>
      <c r="B860" s="78">
        <v>3224</v>
      </c>
      <c r="C860" s="78">
        <v>10602</v>
      </c>
      <c r="D860" s="78">
        <v>678</v>
      </c>
      <c r="E860" s="78">
        <v>4613</v>
      </c>
      <c r="F860" s="78">
        <v>1388</v>
      </c>
      <c r="G860" s="78">
        <v>6534</v>
      </c>
      <c r="H860" s="78">
        <v>747</v>
      </c>
      <c r="I860" s="78">
        <v>3427</v>
      </c>
      <c r="J860" s="78">
        <v>76</v>
      </c>
      <c r="K860" s="78">
        <v>956</v>
      </c>
      <c r="L860" s="78">
        <v>6113</v>
      </c>
      <c r="M860" s="78">
        <v>26132</v>
      </c>
      <c r="N860" s="78">
        <v>17692</v>
      </c>
      <c r="O860" s="78">
        <v>33749</v>
      </c>
      <c r="P860" s="78">
        <v>5509</v>
      </c>
      <c r="Q860" s="78">
        <v>20595</v>
      </c>
      <c r="R860" s="16">
        <f t="shared" si="435"/>
        <v>29314</v>
      </c>
    </row>
    <row r="861" spans="1:18" ht="15.6" x14ac:dyDescent="0.3">
      <c r="A861" s="10">
        <v>39877</v>
      </c>
      <c r="B861" s="78">
        <v>1240</v>
      </c>
      <c r="C861" s="6">
        <v>9640</v>
      </c>
      <c r="D861" s="6">
        <v>758</v>
      </c>
      <c r="E861" s="6">
        <v>4193</v>
      </c>
      <c r="F861" s="6">
        <v>915</v>
      </c>
      <c r="G861" s="6">
        <v>4257</v>
      </c>
      <c r="H861" s="6">
        <v>764</v>
      </c>
      <c r="I861" s="6">
        <v>2436</v>
      </c>
      <c r="J861" s="6">
        <v>79</v>
      </c>
      <c r="K861" s="6">
        <v>360</v>
      </c>
      <c r="L861" s="6">
        <v>3755</v>
      </c>
      <c r="M861" s="6">
        <v>20885</v>
      </c>
      <c r="N861" s="6">
        <v>9478</v>
      </c>
      <c r="O861" s="6">
        <v>20606</v>
      </c>
      <c r="P861" s="78">
        <v>4656</v>
      </c>
      <c r="Q861" s="6">
        <v>23270</v>
      </c>
      <c r="R861" s="16">
        <f t="shared" si="435"/>
        <v>17889</v>
      </c>
    </row>
    <row r="862" spans="1:18" ht="15.6" x14ac:dyDescent="0.3">
      <c r="A862" s="10">
        <v>39520</v>
      </c>
      <c r="B862" s="78">
        <v>2794</v>
      </c>
      <c r="C862" s="78">
        <v>10921</v>
      </c>
      <c r="D862" s="78">
        <v>664</v>
      </c>
      <c r="E862" s="78">
        <v>4771</v>
      </c>
      <c r="F862" s="78">
        <v>1304</v>
      </c>
      <c r="G862" s="78">
        <v>6599</v>
      </c>
      <c r="H862" s="78">
        <v>728</v>
      </c>
      <c r="I862" s="78">
        <v>3449</v>
      </c>
      <c r="J862" s="78">
        <v>76</v>
      </c>
      <c r="K862" s="78">
        <v>956</v>
      </c>
      <c r="L862" s="78">
        <v>5566</v>
      </c>
      <c r="M862" s="78">
        <v>26696</v>
      </c>
      <c r="N862" s="78">
        <v>16969</v>
      </c>
      <c r="O862" s="78">
        <v>35222</v>
      </c>
      <c r="P862" s="78">
        <v>5191</v>
      </c>
      <c r="Q862" s="78">
        <v>21351</v>
      </c>
      <c r="R862" s="16">
        <f t="shared" si="435"/>
        <v>27726</v>
      </c>
    </row>
    <row r="863" spans="1:18" ht="15.6" x14ac:dyDescent="0.3">
      <c r="A863" s="10">
        <v>39884</v>
      </c>
      <c r="B863" s="78">
        <v>1166</v>
      </c>
      <c r="C863" s="6">
        <v>9770</v>
      </c>
      <c r="D863" s="6">
        <v>717</v>
      </c>
      <c r="E863" s="6">
        <v>4262</v>
      </c>
      <c r="F863" s="6">
        <v>934</v>
      </c>
      <c r="G863" s="6">
        <v>4310</v>
      </c>
      <c r="H863" s="6">
        <v>762</v>
      </c>
      <c r="I863" s="6">
        <v>2495</v>
      </c>
      <c r="J863" s="6">
        <v>79</v>
      </c>
      <c r="K863" s="6">
        <v>360</v>
      </c>
      <c r="L863" s="6">
        <v>3658</v>
      </c>
      <c r="M863" s="6">
        <v>21197</v>
      </c>
      <c r="N863" s="6">
        <v>8986</v>
      </c>
      <c r="O863" s="6">
        <v>21540</v>
      </c>
      <c r="P863" s="78">
        <v>4170</v>
      </c>
      <c r="Q863" s="6">
        <v>23899</v>
      </c>
      <c r="R863" s="16">
        <f t="shared" si="435"/>
        <v>16814</v>
      </c>
    </row>
    <row r="864" spans="1:18" ht="15.6" x14ac:dyDescent="0.3">
      <c r="A864" s="10">
        <v>39527</v>
      </c>
      <c r="B864" s="78">
        <v>2704</v>
      </c>
      <c r="C864" s="78">
        <v>11126</v>
      </c>
      <c r="D864" s="78">
        <v>761</v>
      </c>
      <c r="E864" s="78">
        <v>4795</v>
      </c>
      <c r="F864" s="78">
        <v>1200</v>
      </c>
      <c r="G864" s="78">
        <v>6760</v>
      </c>
      <c r="H864" s="78">
        <v>696</v>
      </c>
      <c r="I864" s="78">
        <v>3566</v>
      </c>
      <c r="J864" s="78">
        <v>53</v>
      </c>
      <c r="K864" s="78">
        <v>980</v>
      </c>
      <c r="L864" s="78">
        <v>5414</v>
      </c>
      <c r="M864" s="78">
        <v>27228</v>
      </c>
      <c r="N864" s="78">
        <v>16312</v>
      </c>
      <c r="O864" s="78">
        <v>36511</v>
      </c>
      <c r="P864" s="78">
        <v>4924</v>
      </c>
      <c r="Q864" s="78">
        <v>21988</v>
      </c>
      <c r="R864" s="16">
        <f t="shared" si="435"/>
        <v>26650</v>
      </c>
    </row>
    <row r="865" spans="1:18" ht="15.6" x14ac:dyDescent="0.3">
      <c r="A865" s="10">
        <v>39891</v>
      </c>
      <c r="B865" s="78">
        <v>1091</v>
      </c>
      <c r="C865" s="6">
        <v>9968</v>
      </c>
      <c r="D865" s="6">
        <v>556</v>
      </c>
      <c r="E865" s="6">
        <v>4458</v>
      </c>
      <c r="F865" s="6">
        <v>930</v>
      </c>
      <c r="G865" s="6">
        <v>4381</v>
      </c>
      <c r="H865" s="6">
        <v>673</v>
      </c>
      <c r="I865" s="6">
        <v>2622</v>
      </c>
      <c r="J865" s="6">
        <v>79</v>
      </c>
      <c r="K865" s="6">
        <v>362</v>
      </c>
      <c r="L865" s="6">
        <v>3329</v>
      </c>
      <c r="M865" s="6">
        <v>21790</v>
      </c>
      <c r="N865" s="6">
        <v>9400</v>
      </c>
      <c r="O865" s="6">
        <v>22316</v>
      </c>
      <c r="P865" s="78">
        <v>4105</v>
      </c>
      <c r="Q865" s="6">
        <v>24393</v>
      </c>
      <c r="R865" s="16">
        <f t="shared" si="435"/>
        <v>16834</v>
      </c>
    </row>
    <row r="866" spans="1:18" ht="15.6" x14ac:dyDescent="0.3">
      <c r="A866" s="10">
        <v>39534</v>
      </c>
      <c r="B866" s="78">
        <v>2557</v>
      </c>
      <c r="C866" s="78">
        <v>11318</v>
      </c>
      <c r="D866" s="78">
        <v>914</v>
      </c>
      <c r="E866" s="78">
        <v>4826</v>
      </c>
      <c r="F866" s="78">
        <v>1052</v>
      </c>
      <c r="G866" s="78">
        <v>6931</v>
      </c>
      <c r="H866" s="78">
        <v>627</v>
      </c>
      <c r="I866" s="78">
        <v>3652</v>
      </c>
      <c r="J866" s="78">
        <v>53</v>
      </c>
      <c r="K866" s="78">
        <v>980</v>
      </c>
      <c r="L866" s="78">
        <v>5203</v>
      </c>
      <c r="M866" s="78">
        <v>27706</v>
      </c>
      <c r="N866" s="78">
        <v>15871</v>
      </c>
      <c r="O866" s="78">
        <v>37651</v>
      </c>
      <c r="P866" s="78">
        <v>4381</v>
      </c>
      <c r="Q866" s="78">
        <v>22716</v>
      </c>
      <c r="R866" s="16">
        <f t="shared" si="435"/>
        <v>25455</v>
      </c>
    </row>
    <row r="867" spans="1:18" ht="15.6" x14ac:dyDescent="0.3">
      <c r="A867" s="10">
        <v>39898</v>
      </c>
      <c r="B867" s="78">
        <v>1010</v>
      </c>
      <c r="C867" s="6">
        <v>10115</v>
      </c>
      <c r="D867" s="6">
        <v>486</v>
      </c>
      <c r="E867" s="6">
        <v>4541</v>
      </c>
      <c r="F867" s="6">
        <v>965</v>
      </c>
      <c r="G867" s="6">
        <v>4469</v>
      </c>
      <c r="H867" s="6">
        <v>709</v>
      </c>
      <c r="I867" s="6">
        <v>2677</v>
      </c>
      <c r="J867" s="6">
        <v>66</v>
      </c>
      <c r="K867" s="6">
        <v>365</v>
      </c>
      <c r="L867" s="6">
        <v>3236</v>
      </c>
      <c r="M867" s="6">
        <v>22167</v>
      </c>
      <c r="N867" s="6">
        <v>9657</v>
      </c>
      <c r="O867" s="6">
        <v>23310</v>
      </c>
      <c r="P867" s="78">
        <v>3955</v>
      </c>
      <c r="Q867" s="6">
        <v>25144</v>
      </c>
      <c r="R867" s="16">
        <f t="shared" si="435"/>
        <v>16848</v>
      </c>
    </row>
    <row r="868" spans="1:18" ht="15.6" x14ac:dyDescent="0.3">
      <c r="A868" s="10">
        <v>39541</v>
      </c>
      <c r="B868" s="78">
        <v>2431</v>
      </c>
      <c r="C868" s="78">
        <v>11743</v>
      </c>
      <c r="D868" s="78">
        <v>786</v>
      </c>
      <c r="E868" s="78">
        <v>4993</v>
      </c>
      <c r="F868" s="78">
        <v>1023</v>
      </c>
      <c r="G868" s="78">
        <v>7029</v>
      </c>
      <c r="H868" s="78">
        <v>580</v>
      </c>
      <c r="I868" s="78">
        <v>3710</v>
      </c>
      <c r="J868" s="78">
        <v>77</v>
      </c>
      <c r="K868" s="78">
        <v>992</v>
      </c>
      <c r="L868" s="78">
        <v>4897</v>
      </c>
      <c r="M868" s="78">
        <v>28466</v>
      </c>
      <c r="N868" s="78">
        <v>15090</v>
      </c>
      <c r="O868" s="78">
        <v>38906</v>
      </c>
      <c r="P868" s="78">
        <v>4538</v>
      </c>
      <c r="Q868" s="78">
        <v>23142</v>
      </c>
      <c r="R868" s="16">
        <f t="shared" si="435"/>
        <v>24525</v>
      </c>
    </row>
    <row r="869" spans="1:18" ht="15.6" x14ac:dyDescent="0.3">
      <c r="A869" s="10">
        <v>39905</v>
      </c>
      <c r="B869" s="78">
        <v>965</v>
      </c>
      <c r="C869" s="6">
        <v>10252</v>
      </c>
      <c r="D869" s="6">
        <v>401</v>
      </c>
      <c r="E869" s="6">
        <v>4656</v>
      </c>
      <c r="F869" s="6">
        <v>899</v>
      </c>
      <c r="G869" s="6">
        <v>4582</v>
      </c>
      <c r="H869" s="6">
        <v>586</v>
      </c>
      <c r="I869" s="6">
        <v>2822</v>
      </c>
      <c r="J869" s="6">
        <v>66</v>
      </c>
      <c r="K869" s="6">
        <v>365</v>
      </c>
      <c r="L869" s="6">
        <v>2916</v>
      </c>
      <c r="M869" s="6">
        <v>22675</v>
      </c>
      <c r="N869" s="6">
        <v>9664</v>
      </c>
      <c r="O869" s="6">
        <v>24367</v>
      </c>
      <c r="P869" s="78">
        <v>3802</v>
      </c>
      <c r="Q869" s="6">
        <v>25728</v>
      </c>
      <c r="R869" s="16">
        <f t="shared" si="435"/>
        <v>16382</v>
      </c>
    </row>
    <row r="870" spans="1:18" ht="15.6" x14ac:dyDescent="0.3">
      <c r="A870" s="10">
        <v>39548</v>
      </c>
      <c r="B870" s="78">
        <v>2341</v>
      </c>
      <c r="C870" s="78">
        <v>11941</v>
      </c>
      <c r="D870" s="78">
        <v>737</v>
      </c>
      <c r="E870" s="78">
        <v>5073</v>
      </c>
      <c r="F870" s="78">
        <v>972</v>
      </c>
      <c r="G870" s="78">
        <v>7060</v>
      </c>
      <c r="H870" s="78">
        <v>571</v>
      </c>
      <c r="I870" s="78">
        <v>3722</v>
      </c>
      <c r="J870" s="78">
        <v>83</v>
      </c>
      <c r="K870" s="78">
        <v>992</v>
      </c>
      <c r="L870" s="78">
        <v>4704</v>
      </c>
      <c r="M870" s="78">
        <v>28788</v>
      </c>
      <c r="N870" s="78">
        <v>14848</v>
      </c>
      <c r="O870" s="78">
        <v>40018</v>
      </c>
      <c r="P870" s="78">
        <v>4607</v>
      </c>
      <c r="Q870" s="78">
        <v>23550</v>
      </c>
      <c r="R870" s="16">
        <f t="shared" si="435"/>
        <v>24159</v>
      </c>
    </row>
    <row r="871" spans="1:18" ht="15.6" x14ac:dyDescent="0.3">
      <c r="A871" s="10">
        <v>39912</v>
      </c>
      <c r="B871" s="78">
        <v>814</v>
      </c>
      <c r="C871" s="6">
        <v>10434</v>
      </c>
      <c r="D871" s="6">
        <v>370</v>
      </c>
      <c r="E871" s="6">
        <v>4706</v>
      </c>
      <c r="F871" s="6">
        <v>769</v>
      </c>
      <c r="G871" s="6">
        <v>4721</v>
      </c>
      <c r="H871" s="6">
        <v>533</v>
      </c>
      <c r="I871" s="6">
        <v>2919</v>
      </c>
      <c r="J871" s="6">
        <v>66</v>
      </c>
      <c r="K871" s="6">
        <v>382</v>
      </c>
      <c r="L871" s="6">
        <v>2551</v>
      </c>
      <c r="M871" s="6">
        <v>23162</v>
      </c>
      <c r="N871" s="6">
        <v>9679</v>
      </c>
      <c r="O871" s="6">
        <v>25231</v>
      </c>
      <c r="P871" s="78">
        <v>4073</v>
      </c>
      <c r="Q871" s="6">
        <v>26265</v>
      </c>
      <c r="R871" s="16">
        <f t="shared" si="435"/>
        <v>16303</v>
      </c>
    </row>
    <row r="872" spans="1:18" ht="15.6" x14ac:dyDescent="0.3">
      <c r="A872" s="10">
        <v>39555</v>
      </c>
      <c r="B872" s="78">
        <v>2136</v>
      </c>
      <c r="C872" s="78">
        <v>12265</v>
      </c>
      <c r="D872" s="78">
        <v>734</v>
      </c>
      <c r="E872" s="78">
        <v>5080</v>
      </c>
      <c r="F872" s="78">
        <v>893</v>
      </c>
      <c r="G872" s="78">
        <v>7174</v>
      </c>
      <c r="H872" s="78">
        <v>482</v>
      </c>
      <c r="I872" s="78">
        <v>3794</v>
      </c>
      <c r="J872" s="78">
        <v>67</v>
      </c>
      <c r="K872" s="78">
        <v>1026</v>
      </c>
      <c r="L872" s="78">
        <v>4312</v>
      </c>
      <c r="M872" s="78">
        <v>29339</v>
      </c>
      <c r="N872" s="78">
        <v>14512</v>
      </c>
      <c r="O872" s="78">
        <v>41128</v>
      </c>
      <c r="P872" s="78">
        <v>4444</v>
      </c>
      <c r="Q872" s="78">
        <v>24090</v>
      </c>
      <c r="R872" s="16">
        <f t="shared" si="435"/>
        <v>23268</v>
      </c>
    </row>
    <row r="873" spans="1:18" ht="15.6" x14ac:dyDescent="0.3">
      <c r="A873" s="10">
        <v>39919</v>
      </c>
      <c r="B873" s="78">
        <v>906</v>
      </c>
      <c r="C873" s="6">
        <v>10505</v>
      </c>
      <c r="D873" s="6">
        <v>312</v>
      </c>
      <c r="E873" s="6">
        <v>4798</v>
      </c>
      <c r="F873" s="6">
        <v>668</v>
      </c>
      <c r="G873" s="6">
        <v>4854</v>
      </c>
      <c r="H873" s="6">
        <v>469</v>
      </c>
      <c r="I873" s="6">
        <v>2987</v>
      </c>
      <c r="J873" s="6">
        <v>43</v>
      </c>
      <c r="K873" s="6">
        <v>405</v>
      </c>
      <c r="L873" s="6">
        <v>2396</v>
      </c>
      <c r="M873" s="6">
        <v>23549</v>
      </c>
      <c r="N873" s="6">
        <v>9866</v>
      </c>
      <c r="O873" s="6">
        <v>26248</v>
      </c>
      <c r="P873" s="78">
        <v>4029</v>
      </c>
      <c r="Q873" s="6">
        <v>26926</v>
      </c>
      <c r="R873" s="16">
        <f t="shared" si="435"/>
        <v>16291</v>
      </c>
    </row>
    <row r="874" spans="1:18" ht="15.6" x14ac:dyDescent="0.3">
      <c r="A874" s="10">
        <v>39562</v>
      </c>
      <c r="B874" s="78">
        <v>1888</v>
      </c>
      <c r="C874" s="78">
        <v>12573</v>
      </c>
      <c r="D874" s="78">
        <v>786</v>
      </c>
      <c r="E874" s="78">
        <v>5109</v>
      </c>
      <c r="F874" s="78">
        <v>860</v>
      </c>
      <c r="G874" s="78">
        <v>7229</v>
      </c>
      <c r="H874" s="78">
        <v>317</v>
      </c>
      <c r="I874" s="78">
        <v>3971</v>
      </c>
      <c r="J874" s="78">
        <v>63</v>
      </c>
      <c r="K874" s="78">
        <v>1032</v>
      </c>
      <c r="L874" s="78">
        <v>3913</v>
      </c>
      <c r="M874" s="78">
        <v>29914</v>
      </c>
      <c r="N874" s="78">
        <v>14060</v>
      </c>
      <c r="O874" s="78">
        <v>42132</v>
      </c>
      <c r="P874" s="78">
        <v>4210</v>
      </c>
      <c r="Q874" s="78">
        <v>24635</v>
      </c>
      <c r="R874" s="16">
        <f t="shared" si="435"/>
        <v>22183</v>
      </c>
    </row>
    <row r="875" spans="1:18" ht="15.6" x14ac:dyDescent="0.3">
      <c r="A875" s="10">
        <v>39926</v>
      </c>
      <c r="B875" s="78">
        <v>755</v>
      </c>
      <c r="C875" s="6">
        <v>10664</v>
      </c>
      <c r="D875" s="6">
        <v>291</v>
      </c>
      <c r="E875" s="6">
        <v>4839</v>
      </c>
      <c r="F875" s="6">
        <v>583</v>
      </c>
      <c r="G875" s="6">
        <v>4979</v>
      </c>
      <c r="H875" s="6">
        <v>515</v>
      </c>
      <c r="I875" s="6">
        <v>3013</v>
      </c>
      <c r="J875" s="6">
        <v>32</v>
      </c>
      <c r="K875" s="6">
        <v>417</v>
      </c>
      <c r="L875" s="6">
        <v>2175</v>
      </c>
      <c r="M875" s="6">
        <v>23912</v>
      </c>
      <c r="N875" s="6">
        <v>10253</v>
      </c>
      <c r="O875" s="6">
        <v>27086</v>
      </c>
      <c r="P875" s="78">
        <v>4583</v>
      </c>
      <c r="Q875" s="6">
        <v>27206</v>
      </c>
      <c r="R875" s="16">
        <f t="shared" si="435"/>
        <v>17011</v>
      </c>
    </row>
    <row r="876" spans="1:18" ht="15.6" x14ac:dyDescent="0.3">
      <c r="A876" s="10">
        <v>39569</v>
      </c>
      <c r="B876" s="78">
        <v>1683</v>
      </c>
      <c r="C876" s="78">
        <v>12867</v>
      </c>
      <c r="D876" s="78">
        <v>743</v>
      </c>
      <c r="E876" s="78">
        <v>5195</v>
      </c>
      <c r="F876" s="78">
        <v>712</v>
      </c>
      <c r="G876" s="78">
        <v>7393</v>
      </c>
      <c r="H876" s="78">
        <v>257</v>
      </c>
      <c r="I876" s="78">
        <v>4035</v>
      </c>
      <c r="J876" s="78">
        <v>64</v>
      </c>
      <c r="K876" s="78">
        <v>1032</v>
      </c>
      <c r="L876" s="78">
        <v>3460</v>
      </c>
      <c r="M876" s="78">
        <v>30521</v>
      </c>
      <c r="N876" s="78">
        <v>13460</v>
      </c>
      <c r="O876" s="78">
        <v>43069</v>
      </c>
      <c r="P876" s="78">
        <v>3889</v>
      </c>
      <c r="Q876" s="78">
        <v>24997</v>
      </c>
      <c r="R876" s="16">
        <f t="shared" si="435"/>
        <v>20809</v>
      </c>
    </row>
    <row r="877" spans="1:18" ht="15.6" x14ac:dyDescent="0.3">
      <c r="A877" s="10">
        <v>39933</v>
      </c>
      <c r="B877" s="78">
        <v>693</v>
      </c>
      <c r="C877" s="6">
        <v>10775</v>
      </c>
      <c r="D877" s="6">
        <v>275</v>
      </c>
      <c r="E877" s="6">
        <v>4872</v>
      </c>
      <c r="F877" s="6">
        <v>613</v>
      </c>
      <c r="G877" s="6">
        <v>5055</v>
      </c>
      <c r="H877" s="6">
        <v>552</v>
      </c>
      <c r="I877" s="6">
        <v>3059</v>
      </c>
      <c r="J877" s="6">
        <v>29</v>
      </c>
      <c r="K877" s="6">
        <v>420</v>
      </c>
      <c r="L877" s="6">
        <v>2161</v>
      </c>
      <c r="M877" s="6">
        <v>24181</v>
      </c>
      <c r="N877" s="6">
        <v>10052</v>
      </c>
      <c r="O877" s="6">
        <v>27876</v>
      </c>
      <c r="P877" s="78">
        <v>4851</v>
      </c>
      <c r="Q877" s="6">
        <v>27593</v>
      </c>
      <c r="R877" s="16">
        <f t="shared" si="435"/>
        <v>17064</v>
      </c>
    </row>
    <row r="878" spans="1:18" ht="15.6" x14ac:dyDescent="0.3">
      <c r="A878" s="10">
        <v>39576</v>
      </c>
      <c r="B878" s="78">
        <v>1484</v>
      </c>
      <c r="C878" s="78">
        <v>13066</v>
      </c>
      <c r="D878" s="78">
        <v>715</v>
      </c>
      <c r="E878" s="78">
        <v>5348</v>
      </c>
      <c r="F878" s="78">
        <v>534</v>
      </c>
      <c r="G878" s="78">
        <v>7567</v>
      </c>
      <c r="H878" s="78">
        <v>209</v>
      </c>
      <c r="I878" s="78">
        <v>4084</v>
      </c>
      <c r="J878" s="78">
        <v>38</v>
      </c>
      <c r="K878" s="78">
        <v>1057</v>
      </c>
      <c r="L878" s="78">
        <v>2980</v>
      </c>
      <c r="M878" s="78">
        <v>31121</v>
      </c>
      <c r="N878" s="78">
        <v>13012</v>
      </c>
      <c r="O878" s="78">
        <v>44064</v>
      </c>
      <c r="P878" s="78">
        <v>3603</v>
      </c>
      <c r="Q878" s="78">
        <v>25484</v>
      </c>
      <c r="R878" s="16">
        <f t="shared" si="435"/>
        <v>19595</v>
      </c>
    </row>
    <row r="879" spans="1:18" ht="15.6" x14ac:dyDescent="0.3">
      <c r="A879" s="10">
        <v>39940</v>
      </c>
      <c r="B879" s="78">
        <v>660</v>
      </c>
      <c r="C879" s="6">
        <v>10885</v>
      </c>
      <c r="D879" s="6">
        <v>208</v>
      </c>
      <c r="E879" s="6">
        <v>4943</v>
      </c>
      <c r="F879" s="6">
        <v>525</v>
      </c>
      <c r="G879" s="6">
        <v>5158</v>
      </c>
      <c r="H879" s="6">
        <v>532</v>
      </c>
      <c r="I879" s="6">
        <v>3078</v>
      </c>
      <c r="J879" s="6">
        <v>29</v>
      </c>
      <c r="K879" s="6">
        <v>420</v>
      </c>
      <c r="L879" s="6">
        <v>1953</v>
      </c>
      <c r="M879" s="6">
        <v>24492</v>
      </c>
      <c r="N879" s="6">
        <v>9717</v>
      </c>
      <c r="O879" s="6">
        <v>29149</v>
      </c>
      <c r="P879" s="78">
        <v>4811</v>
      </c>
      <c r="Q879" s="6">
        <v>28035</v>
      </c>
      <c r="R879" s="16">
        <f t="shared" si="435"/>
        <v>16481</v>
      </c>
    </row>
    <row r="880" spans="1:18" ht="15.6" x14ac:dyDescent="0.3">
      <c r="A880" s="10">
        <v>39583</v>
      </c>
      <c r="B880" s="78">
        <v>1362</v>
      </c>
      <c r="C880" s="78">
        <v>13249</v>
      </c>
      <c r="D880" s="78">
        <v>720</v>
      </c>
      <c r="E880" s="78">
        <v>5380</v>
      </c>
      <c r="F880" s="78">
        <v>485</v>
      </c>
      <c r="G880" s="78">
        <v>7615</v>
      </c>
      <c r="H880" s="78">
        <v>160</v>
      </c>
      <c r="I880" s="78">
        <v>4134</v>
      </c>
      <c r="J880" s="78">
        <v>26</v>
      </c>
      <c r="K880" s="78">
        <v>1069</v>
      </c>
      <c r="L880" s="78">
        <v>2752</v>
      </c>
      <c r="M880" s="78">
        <v>31448</v>
      </c>
      <c r="N880" s="78">
        <v>12775</v>
      </c>
      <c r="O880" s="78">
        <v>44808</v>
      </c>
      <c r="P880" s="78">
        <v>3714</v>
      </c>
      <c r="Q880" s="78">
        <v>25756</v>
      </c>
      <c r="R880" s="16">
        <f t="shared" si="435"/>
        <v>19241</v>
      </c>
    </row>
    <row r="881" spans="1:18" ht="15.6" x14ac:dyDescent="0.3">
      <c r="A881" s="10">
        <v>39947</v>
      </c>
      <c r="B881" s="78">
        <v>619</v>
      </c>
      <c r="C881" s="6">
        <v>10969</v>
      </c>
      <c r="D881" s="6">
        <v>180</v>
      </c>
      <c r="E881" s="6">
        <v>4996</v>
      </c>
      <c r="F881" s="6">
        <v>353</v>
      </c>
      <c r="G881" s="6">
        <v>5315</v>
      </c>
      <c r="H881" s="6">
        <v>389</v>
      </c>
      <c r="I881" s="6">
        <v>3159</v>
      </c>
      <c r="J881" s="6">
        <v>20</v>
      </c>
      <c r="K881" s="6">
        <v>440</v>
      </c>
      <c r="L881" s="6">
        <v>1561</v>
      </c>
      <c r="M881" s="6">
        <v>24878</v>
      </c>
      <c r="N881" s="6">
        <v>9692</v>
      </c>
      <c r="O881" s="6">
        <v>29857</v>
      </c>
      <c r="P881" s="78">
        <v>5098</v>
      </c>
      <c r="Q881" s="6">
        <v>28448</v>
      </c>
      <c r="R881" s="16">
        <f t="shared" si="435"/>
        <v>16351</v>
      </c>
    </row>
    <row r="882" spans="1:18" ht="15.6" x14ac:dyDescent="0.3">
      <c r="A882" s="10">
        <v>39590</v>
      </c>
      <c r="B882" s="78">
        <v>891</v>
      </c>
      <c r="C882" s="78">
        <v>13415</v>
      </c>
      <c r="D882" s="78">
        <v>603</v>
      </c>
      <c r="E882" s="78">
        <v>5475</v>
      </c>
      <c r="F882" s="78">
        <v>387</v>
      </c>
      <c r="G882" s="78">
        <v>7699</v>
      </c>
      <c r="H882" s="78">
        <v>137</v>
      </c>
      <c r="I882" s="78">
        <v>4156</v>
      </c>
      <c r="J882" s="78">
        <v>26</v>
      </c>
      <c r="K882" s="78">
        <v>1069</v>
      </c>
      <c r="L882" s="78">
        <v>2044</v>
      </c>
      <c r="M882" s="78">
        <v>31815</v>
      </c>
      <c r="N882" s="78">
        <v>12180</v>
      </c>
      <c r="O882" s="78">
        <v>45881</v>
      </c>
      <c r="P882" s="78">
        <v>3575</v>
      </c>
      <c r="Q882" s="78">
        <v>26141</v>
      </c>
      <c r="R882" s="16">
        <f t="shared" si="435"/>
        <v>17799</v>
      </c>
    </row>
    <row r="883" spans="1:18" ht="15.6" x14ac:dyDescent="0.3">
      <c r="A883" s="10">
        <v>39954</v>
      </c>
      <c r="B883" s="78">
        <v>461</v>
      </c>
      <c r="C883" s="6">
        <v>11138</v>
      </c>
      <c r="D883" s="6">
        <v>145</v>
      </c>
      <c r="E883" s="6">
        <v>5051</v>
      </c>
      <c r="F883" s="6">
        <v>361</v>
      </c>
      <c r="G883" s="6">
        <v>5350</v>
      </c>
      <c r="H883" s="6">
        <v>232</v>
      </c>
      <c r="I883" s="6">
        <v>3345</v>
      </c>
      <c r="J883" s="6">
        <v>5</v>
      </c>
      <c r="K883" s="6">
        <v>454</v>
      </c>
      <c r="L883" s="6">
        <v>1205</v>
      </c>
      <c r="M883" s="6">
        <v>25338</v>
      </c>
      <c r="N883" s="6">
        <v>9638</v>
      </c>
      <c r="O883" s="6">
        <v>30667</v>
      </c>
      <c r="P883" s="78">
        <v>4779</v>
      </c>
      <c r="Q883" s="6">
        <v>28981</v>
      </c>
      <c r="R883" s="16">
        <f t="shared" si="435"/>
        <v>15622</v>
      </c>
    </row>
    <row r="884" spans="1:18" ht="15.6" x14ac:dyDescent="0.3">
      <c r="A884" s="10">
        <v>39597</v>
      </c>
      <c r="B884" s="78">
        <v>697</v>
      </c>
      <c r="C884" s="78">
        <v>13709</v>
      </c>
      <c r="D884" s="78">
        <v>525</v>
      </c>
      <c r="E884" s="78">
        <v>5568</v>
      </c>
      <c r="F884" s="78">
        <v>271</v>
      </c>
      <c r="G884" s="78">
        <v>7842</v>
      </c>
      <c r="H884" s="78">
        <v>103</v>
      </c>
      <c r="I884" s="78">
        <v>4191</v>
      </c>
      <c r="J884" s="78">
        <v>20</v>
      </c>
      <c r="K884" s="78">
        <v>1075</v>
      </c>
      <c r="L884" s="78">
        <v>1614</v>
      </c>
      <c r="M884" s="78">
        <v>32385</v>
      </c>
      <c r="N884" s="78">
        <v>11725</v>
      </c>
      <c r="O884" s="78">
        <v>46866</v>
      </c>
      <c r="P884" s="78">
        <v>3591</v>
      </c>
      <c r="Q884" s="78">
        <v>26424</v>
      </c>
      <c r="R884" s="16">
        <f t="shared" si="435"/>
        <v>16930</v>
      </c>
    </row>
    <row r="885" spans="1:18" ht="15.6" x14ac:dyDescent="0.3">
      <c r="A885" s="10">
        <v>39961</v>
      </c>
      <c r="B885" s="78">
        <v>358</v>
      </c>
      <c r="C885" s="6">
        <v>11244</v>
      </c>
      <c r="D885" s="6">
        <v>170</v>
      </c>
      <c r="E885" s="6">
        <v>5100</v>
      </c>
      <c r="F885" s="6">
        <v>304</v>
      </c>
      <c r="G885" s="6">
        <v>5408</v>
      </c>
      <c r="H885" s="6">
        <v>168</v>
      </c>
      <c r="I885" s="6">
        <v>3420</v>
      </c>
      <c r="J885" s="6">
        <v>5</v>
      </c>
      <c r="K885" s="6">
        <v>454</v>
      </c>
      <c r="L885" s="6">
        <v>1005</v>
      </c>
      <c r="M885" s="6">
        <v>25626</v>
      </c>
      <c r="N885" s="6">
        <v>9386</v>
      </c>
      <c r="O885" s="6">
        <v>31523</v>
      </c>
      <c r="P885" s="78">
        <v>4443</v>
      </c>
      <c r="Q885" s="6">
        <v>29293</v>
      </c>
      <c r="R885" s="16">
        <f t="shared" si="435"/>
        <v>14834</v>
      </c>
    </row>
    <row r="886" spans="1:18" ht="15.6" x14ac:dyDescent="0.3">
      <c r="A886" s="10">
        <v>39604</v>
      </c>
      <c r="B886" s="78">
        <v>3458</v>
      </c>
      <c r="C886" s="78">
        <v>206</v>
      </c>
      <c r="D886" s="78">
        <v>1544</v>
      </c>
      <c r="E886" s="78">
        <v>75</v>
      </c>
      <c r="F886" s="78">
        <v>1129</v>
      </c>
      <c r="G886" s="78">
        <v>77</v>
      </c>
      <c r="H886" s="78">
        <v>812</v>
      </c>
      <c r="I886" s="78">
        <v>0.4</v>
      </c>
      <c r="J886" s="78">
        <v>235</v>
      </c>
      <c r="K886" s="78">
        <v>8</v>
      </c>
      <c r="L886" s="78">
        <v>7177</v>
      </c>
      <c r="M886" s="78">
        <v>367</v>
      </c>
      <c r="N886" s="78">
        <v>11085</v>
      </c>
      <c r="O886" s="78">
        <v>48031</v>
      </c>
      <c r="P886" s="78">
        <v>3658</v>
      </c>
      <c r="Q886" s="78">
        <v>26629</v>
      </c>
      <c r="R886" s="16">
        <f t="shared" si="435"/>
        <v>21920</v>
      </c>
    </row>
    <row r="887" spans="1:18" ht="15.6" x14ac:dyDescent="0.3">
      <c r="A887" s="10">
        <v>39968</v>
      </c>
      <c r="B887" s="78">
        <v>1074</v>
      </c>
      <c r="C887" s="6">
        <v>62</v>
      </c>
      <c r="D887" s="6">
        <v>462</v>
      </c>
      <c r="E887" s="6">
        <v>0</v>
      </c>
      <c r="F887" s="6">
        <v>801</v>
      </c>
      <c r="G887" s="6">
        <v>5</v>
      </c>
      <c r="H887" s="6">
        <v>888</v>
      </c>
      <c r="I887" s="6">
        <v>9</v>
      </c>
      <c r="J887" s="6">
        <v>186</v>
      </c>
      <c r="K887" s="6">
        <v>0</v>
      </c>
      <c r="L887" s="6">
        <v>3410</v>
      </c>
      <c r="M887" s="6">
        <v>77</v>
      </c>
      <c r="N887" s="6">
        <v>9475</v>
      </c>
      <c r="O887" s="6">
        <v>32147</v>
      </c>
      <c r="P887" s="78">
        <v>4081</v>
      </c>
      <c r="Q887" s="6">
        <v>29595</v>
      </c>
      <c r="R887" s="16">
        <f t="shared" si="435"/>
        <v>16966</v>
      </c>
    </row>
    <row r="888" spans="1:18" ht="15.6" x14ac:dyDescent="0.3">
      <c r="A888" s="10">
        <v>39611</v>
      </c>
      <c r="B888" s="78">
        <v>3481</v>
      </c>
      <c r="C888" s="78">
        <v>496</v>
      </c>
      <c r="D888" s="78">
        <v>1577</v>
      </c>
      <c r="E888" s="78">
        <v>97</v>
      </c>
      <c r="F888" s="78">
        <v>1194</v>
      </c>
      <c r="G888" s="78">
        <v>101</v>
      </c>
      <c r="H888" s="78">
        <v>855</v>
      </c>
      <c r="I888" s="78">
        <v>36</v>
      </c>
      <c r="J888" s="78">
        <v>235</v>
      </c>
      <c r="K888" s="78">
        <v>11</v>
      </c>
      <c r="L888" s="78">
        <v>7342</v>
      </c>
      <c r="M888" s="78">
        <v>741</v>
      </c>
      <c r="N888" s="78">
        <v>10341</v>
      </c>
      <c r="O888" s="78">
        <v>49113</v>
      </c>
      <c r="P888" s="78">
        <v>3473</v>
      </c>
      <c r="Q888" s="78">
        <v>26985</v>
      </c>
      <c r="R888" s="16">
        <f t="shared" si="435"/>
        <v>21156</v>
      </c>
    </row>
    <row r="889" spans="1:18" ht="15.6" x14ac:dyDescent="0.3">
      <c r="A889" s="10">
        <v>39975</v>
      </c>
      <c r="B889" s="78">
        <v>1016</v>
      </c>
      <c r="C889" s="6">
        <v>206</v>
      </c>
      <c r="D889" s="6">
        <v>504</v>
      </c>
      <c r="E889" s="6">
        <v>24</v>
      </c>
      <c r="F889" s="6">
        <v>763</v>
      </c>
      <c r="G889" s="6">
        <v>123</v>
      </c>
      <c r="H889" s="6">
        <v>807</v>
      </c>
      <c r="I889" s="6">
        <v>110</v>
      </c>
      <c r="J889" s="6">
        <v>196</v>
      </c>
      <c r="K889" s="6">
        <v>7</v>
      </c>
      <c r="L889" s="6">
        <v>3286</v>
      </c>
      <c r="M889" s="6">
        <v>468</v>
      </c>
      <c r="N889" s="6">
        <v>9424</v>
      </c>
      <c r="O889" s="6">
        <v>32965</v>
      </c>
      <c r="P889" s="78">
        <v>3877</v>
      </c>
      <c r="Q889" s="6">
        <v>29944</v>
      </c>
      <c r="R889" s="16">
        <f t="shared" si="435"/>
        <v>16587</v>
      </c>
    </row>
    <row r="890" spans="1:18" ht="15.6" x14ac:dyDescent="0.3">
      <c r="A890" s="10">
        <v>39618</v>
      </c>
      <c r="B890" s="78">
        <v>3379</v>
      </c>
      <c r="C890" s="78">
        <v>745</v>
      </c>
      <c r="D890" s="78">
        <v>1593</v>
      </c>
      <c r="E890" s="78">
        <v>232</v>
      </c>
      <c r="F890" s="78">
        <v>1261</v>
      </c>
      <c r="G890" s="78">
        <v>186</v>
      </c>
      <c r="H890" s="78">
        <v>867</v>
      </c>
      <c r="I890" s="78">
        <v>69</v>
      </c>
      <c r="J890" s="78">
        <v>236</v>
      </c>
      <c r="K890" s="78">
        <v>12</v>
      </c>
      <c r="L890" s="78">
        <v>7336</v>
      </c>
      <c r="M890" s="78">
        <v>1245</v>
      </c>
      <c r="N890" s="78">
        <v>9588</v>
      </c>
      <c r="O890" s="78">
        <v>50097</v>
      </c>
      <c r="P890" s="78">
        <v>2877</v>
      </c>
      <c r="Q890" s="78">
        <v>27313</v>
      </c>
      <c r="R890" s="16">
        <f t="shared" si="435"/>
        <v>19801</v>
      </c>
    </row>
    <row r="891" spans="1:18" ht="15.6" x14ac:dyDescent="0.3">
      <c r="A891" s="10">
        <v>39982</v>
      </c>
      <c r="B891" s="78">
        <v>1041</v>
      </c>
      <c r="C891" s="6">
        <v>329</v>
      </c>
      <c r="D891" s="6">
        <v>534</v>
      </c>
      <c r="E891" s="6">
        <v>57</v>
      </c>
      <c r="F891" s="6">
        <v>751</v>
      </c>
      <c r="G891" s="6">
        <v>212</v>
      </c>
      <c r="H891" s="6">
        <v>809</v>
      </c>
      <c r="I891" s="6">
        <v>187</v>
      </c>
      <c r="J891" s="6">
        <v>196</v>
      </c>
      <c r="K891" s="6">
        <v>7</v>
      </c>
      <c r="L891" s="6">
        <v>3331</v>
      </c>
      <c r="M891" s="6">
        <v>792</v>
      </c>
      <c r="N891" s="6">
        <v>9072</v>
      </c>
      <c r="O891" s="6">
        <v>34003</v>
      </c>
      <c r="P891" s="78">
        <v>3527</v>
      </c>
      <c r="Q891" s="6">
        <v>30322</v>
      </c>
      <c r="R891" s="16">
        <f t="shared" si="435"/>
        <v>15930</v>
      </c>
    </row>
    <row r="892" spans="1:18" ht="15.6" x14ac:dyDescent="0.3">
      <c r="A892" s="10">
        <v>39625</v>
      </c>
      <c r="B892" s="78">
        <v>3519.7</v>
      </c>
      <c r="C892" s="78">
        <v>974.8</v>
      </c>
      <c r="D892" s="78">
        <v>1548.3</v>
      </c>
      <c r="E892" s="78">
        <v>387.1</v>
      </c>
      <c r="F892" s="78">
        <v>1345</v>
      </c>
      <c r="G892" s="78">
        <v>233.5</v>
      </c>
      <c r="H892" s="78">
        <v>917.9</v>
      </c>
      <c r="I892" s="78">
        <v>72.5</v>
      </c>
      <c r="J892" s="78">
        <v>236.5</v>
      </c>
      <c r="K892" s="78">
        <v>13.4</v>
      </c>
      <c r="L892" s="78">
        <v>7567.4</v>
      </c>
      <c r="M892" s="78">
        <v>1681.2</v>
      </c>
      <c r="N892" s="78">
        <v>8724.4</v>
      </c>
      <c r="O892" s="78">
        <v>51286.1</v>
      </c>
      <c r="P892" s="78">
        <v>2186.9</v>
      </c>
      <c r="Q892" s="78">
        <v>27868.5</v>
      </c>
      <c r="R892" s="16">
        <f t="shared" si="435"/>
        <v>18478.699999999997</v>
      </c>
    </row>
    <row r="893" spans="1:18" ht="15.6" x14ac:dyDescent="0.3">
      <c r="A893" s="10">
        <v>39989</v>
      </c>
      <c r="B893" s="78">
        <v>1064.5999999999999</v>
      </c>
      <c r="C893" s="6">
        <v>418.7</v>
      </c>
      <c r="D893" s="6">
        <v>510.1</v>
      </c>
      <c r="E893" s="6">
        <v>112</v>
      </c>
      <c r="F893" s="6">
        <v>741.1</v>
      </c>
      <c r="G893" s="6">
        <v>274.7</v>
      </c>
      <c r="H893" s="6">
        <v>714.7</v>
      </c>
      <c r="I893" s="6">
        <v>306.5</v>
      </c>
      <c r="J893" s="6">
        <v>175.5</v>
      </c>
      <c r="K893" s="6">
        <v>47</v>
      </c>
      <c r="L893" s="6">
        <v>3206.1</v>
      </c>
      <c r="M893" s="6">
        <v>1158.9000000000001</v>
      </c>
      <c r="N893" s="6">
        <v>9485</v>
      </c>
      <c r="O893" s="6">
        <v>34746.199999999997</v>
      </c>
      <c r="P893" s="78">
        <v>3333.2</v>
      </c>
      <c r="Q893" s="6">
        <v>30709.200000000001</v>
      </c>
      <c r="R893" s="16">
        <f t="shared" si="435"/>
        <v>16024.300000000001</v>
      </c>
    </row>
    <row r="894" spans="1:18" ht="15.6" x14ac:dyDescent="0.3">
      <c r="A894" s="110">
        <v>39632</v>
      </c>
      <c r="B894" s="111">
        <v>3542</v>
      </c>
      <c r="C894" s="111">
        <v>1221</v>
      </c>
      <c r="D894" s="111">
        <v>1521</v>
      </c>
      <c r="E894" s="111">
        <v>615</v>
      </c>
      <c r="F894" s="111">
        <v>1393</v>
      </c>
      <c r="G894" s="111">
        <v>301</v>
      </c>
      <c r="H894" s="111">
        <v>920</v>
      </c>
      <c r="I894" s="111">
        <v>103</v>
      </c>
      <c r="J894" s="111">
        <v>237</v>
      </c>
      <c r="K894" s="111">
        <v>13.4</v>
      </c>
      <c r="L894" s="111">
        <v>7612</v>
      </c>
      <c r="M894" s="111">
        <v>2253</v>
      </c>
      <c r="N894" s="111">
        <v>8131</v>
      </c>
      <c r="O894" s="111">
        <v>52217</v>
      </c>
      <c r="P894" s="111">
        <v>2550</v>
      </c>
      <c r="Q894" s="111">
        <v>28172</v>
      </c>
      <c r="R894" s="16">
        <f t="shared" si="435"/>
        <v>18293</v>
      </c>
    </row>
    <row r="895" spans="1:18" ht="15.6" x14ac:dyDescent="0.3">
      <c r="A895" s="110">
        <v>39996</v>
      </c>
      <c r="B895" s="111">
        <v>1093</v>
      </c>
      <c r="C895" s="109">
        <v>524</v>
      </c>
      <c r="D895" s="109">
        <v>462</v>
      </c>
      <c r="E895" s="109">
        <v>193</v>
      </c>
      <c r="F895" s="109">
        <v>896</v>
      </c>
      <c r="G895" s="109">
        <v>338</v>
      </c>
      <c r="H895" s="109">
        <v>785</v>
      </c>
      <c r="I895" s="109">
        <v>419</v>
      </c>
      <c r="J895" s="109">
        <v>185</v>
      </c>
      <c r="K895" s="109">
        <v>54</v>
      </c>
      <c r="L895" s="109">
        <v>3422</v>
      </c>
      <c r="M895" s="109">
        <v>1527</v>
      </c>
      <c r="N895" s="109">
        <v>9266</v>
      </c>
      <c r="O895" s="109">
        <v>35714</v>
      </c>
      <c r="P895" s="111">
        <v>3202</v>
      </c>
      <c r="Q895" s="109">
        <v>31127</v>
      </c>
      <c r="R895" s="16">
        <f t="shared" si="435"/>
        <v>15890</v>
      </c>
    </row>
    <row r="896" spans="1:18" ht="15.6" x14ac:dyDescent="0.3">
      <c r="A896" s="107">
        <v>39639</v>
      </c>
      <c r="B896" s="108">
        <v>3529</v>
      </c>
      <c r="C896" s="108">
        <v>1582</v>
      </c>
      <c r="D896" s="108">
        <v>1520</v>
      </c>
      <c r="E896" s="108">
        <v>815</v>
      </c>
      <c r="F896" s="108">
        <v>1414</v>
      </c>
      <c r="G896" s="108">
        <v>366</v>
      </c>
      <c r="H896" s="108">
        <v>1017</v>
      </c>
      <c r="I896" s="108">
        <v>123</v>
      </c>
      <c r="J896" s="108">
        <v>237</v>
      </c>
      <c r="K896" s="108">
        <v>13.4</v>
      </c>
      <c r="L896" s="108">
        <v>7716</v>
      </c>
      <c r="M896" s="108">
        <v>2898</v>
      </c>
      <c r="N896" s="108">
        <v>7811</v>
      </c>
      <c r="O896" s="108">
        <v>52906</v>
      </c>
      <c r="P896" s="108">
        <v>2360</v>
      </c>
      <c r="Q896" s="108">
        <v>28425</v>
      </c>
      <c r="R896" s="16">
        <f t="shared" si="435"/>
        <v>17887</v>
      </c>
    </row>
    <row r="897" spans="1:18" ht="15.6" x14ac:dyDescent="0.3">
      <c r="A897" s="107">
        <v>40003</v>
      </c>
      <c r="B897" s="108">
        <v>1326</v>
      </c>
      <c r="C897" s="106">
        <v>623</v>
      </c>
      <c r="D897" s="106">
        <v>518</v>
      </c>
      <c r="E897" s="106">
        <v>207</v>
      </c>
      <c r="F897" s="106">
        <v>878</v>
      </c>
      <c r="G897" s="106">
        <v>372</v>
      </c>
      <c r="H897" s="106">
        <v>772</v>
      </c>
      <c r="I897" s="106">
        <v>436</v>
      </c>
      <c r="J897" s="106">
        <v>185</v>
      </c>
      <c r="K897" s="106">
        <v>54</v>
      </c>
      <c r="L897" s="106">
        <v>3680</v>
      </c>
      <c r="M897" s="106">
        <v>1691</v>
      </c>
      <c r="N897" s="106">
        <v>8996</v>
      </c>
      <c r="O897" s="106">
        <v>36684</v>
      </c>
      <c r="P897" s="108">
        <v>2947</v>
      </c>
      <c r="Q897" s="106">
        <v>31517</v>
      </c>
      <c r="R897" s="16">
        <f t="shared" si="435"/>
        <v>15623</v>
      </c>
    </row>
    <row r="898" spans="1:18" ht="15.6" x14ac:dyDescent="0.3">
      <c r="A898" s="107">
        <v>39646</v>
      </c>
      <c r="B898" s="108">
        <v>3378</v>
      </c>
      <c r="C898" s="108">
        <v>1939</v>
      </c>
      <c r="D898" s="108">
        <v>1333</v>
      </c>
      <c r="E898" s="108">
        <v>1228</v>
      </c>
      <c r="F898" s="108">
        <v>1475</v>
      </c>
      <c r="G898" s="108">
        <v>403</v>
      </c>
      <c r="H898" s="108">
        <v>1094</v>
      </c>
      <c r="I898" s="108">
        <v>123</v>
      </c>
      <c r="J898" s="108">
        <v>212</v>
      </c>
      <c r="K898" s="108">
        <v>41</v>
      </c>
      <c r="L898" s="108">
        <v>7491</v>
      </c>
      <c r="M898" s="108">
        <v>3733</v>
      </c>
      <c r="N898" s="108">
        <v>7388</v>
      </c>
      <c r="O898" s="108">
        <v>53653</v>
      </c>
      <c r="P898" s="108">
        <v>2343</v>
      </c>
      <c r="Q898" s="108">
        <v>28625</v>
      </c>
      <c r="R898" s="16">
        <f t="shared" si="435"/>
        <v>17222</v>
      </c>
    </row>
    <row r="899" spans="1:18" ht="15.6" x14ac:dyDescent="0.3">
      <c r="A899" s="107">
        <v>40010</v>
      </c>
      <c r="B899" s="108">
        <v>1308</v>
      </c>
      <c r="C899" s="106">
        <v>819</v>
      </c>
      <c r="D899" s="106">
        <v>538</v>
      </c>
      <c r="E899" s="106">
        <v>267</v>
      </c>
      <c r="F899" s="106">
        <v>851</v>
      </c>
      <c r="G899" s="106">
        <v>450</v>
      </c>
      <c r="H899" s="106">
        <v>705</v>
      </c>
      <c r="I899" s="106">
        <v>538</v>
      </c>
      <c r="J899" s="106">
        <v>183</v>
      </c>
      <c r="K899" s="106">
        <v>55</v>
      </c>
      <c r="L899" s="106">
        <v>3586</v>
      </c>
      <c r="M899" s="106">
        <v>2128</v>
      </c>
      <c r="N899" s="106">
        <v>8833</v>
      </c>
      <c r="O899" s="106">
        <v>37605</v>
      </c>
      <c r="P899" s="108">
        <v>2984</v>
      </c>
      <c r="Q899" s="106">
        <v>31800</v>
      </c>
      <c r="R899" s="16">
        <f t="shared" si="435"/>
        <v>15403</v>
      </c>
    </row>
    <row r="900" spans="1:18" ht="15.6" x14ac:dyDescent="0.3">
      <c r="A900" s="107">
        <v>39653</v>
      </c>
      <c r="B900" s="108">
        <v>3439</v>
      </c>
      <c r="C900" s="108">
        <v>2258</v>
      </c>
      <c r="D900" s="108">
        <v>1393</v>
      </c>
      <c r="E900" s="108">
        <v>1402</v>
      </c>
      <c r="F900" s="108">
        <v>1509</v>
      </c>
      <c r="G900" s="108">
        <v>448</v>
      </c>
      <c r="H900" s="108">
        <v>1087</v>
      </c>
      <c r="I900" s="108">
        <v>156</v>
      </c>
      <c r="J900" s="108">
        <v>212</v>
      </c>
      <c r="K900" s="108">
        <v>47</v>
      </c>
      <c r="L900" s="108">
        <v>7640</v>
      </c>
      <c r="M900" s="108">
        <v>4311</v>
      </c>
      <c r="N900" s="108">
        <v>6216</v>
      </c>
      <c r="O900" s="108">
        <v>54888</v>
      </c>
      <c r="P900" s="108">
        <v>2233</v>
      </c>
      <c r="Q900" s="108">
        <v>28625</v>
      </c>
      <c r="R900" s="16">
        <f t="shared" si="435"/>
        <v>16089</v>
      </c>
    </row>
    <row r="901" spans="1:18" ht="15.6" x14ac:dyDescent="0.3">
      <c r="A901" s="107">
        <v>40017</v>
      </c>
      <c r="B901" s="108">
        <v>1326</v>
      </c>
      <c r="C901" s="106">
        <v>946</v>
      </c>
      <c r="D901" s="106">
        <v>598</v>
      </c>
      <c r="E901" s="106">
        <v>372</v>
      </c>
      <c r="F901" s="106">
        <v>929</v>
      </c>
      <c r="G901" s="106">
        <v>494</v>
      </c>
      <c r="H901" s="106">
        <v>787</v>
      </c>
      <c r="I901" s="106">
        <v>565</v>
      </c>
      <c r="J901" s="106">
        <v>213</v>
      </c>
      <c r="K901" s="106">
        <v>61</v>
      </c>
      <c r="L901" s="106">
        <v>3853</v>
      </c>
      <c r="M901" s="106">
        <v>2436</v>
      </c>
      <c r="N901" s="106">
        <v>7837</v>
      </c>
      <c r="O901" s="106">
        <v>39086</v>
      </c>
      <c r="P901" s="108">
        <v>2887</v>
      </c>
      <c r="Q901" s="106">
        <v>32142</v>
      </c>
      <c r="R901" s="16">
        <f t="shared" si="435"/>
        <v>14577</v>
      </c>
    </row>
    <row r="902" spans="1:18" ht="15.6" x14ac:dyDescent="0.3">
      <c r="A902" s="107">
        <v>39660</v>
      </c>
      <c r="B902" s="108">
        <v>3433</v>
      </c>
      <c r="C902" s="108">
        <v>2765</v>
      </c>
      <c r="D902" s="108">
        <v>1339</v>
      </c>
      <c r="E902" s="108">
        <v>1549</v>
      </c>
      <c r="F902" s="108">
        <v>1467</v>
      </c>
      <c r="G902" s="108">
        <v>548</v>
      </c>
      <c r="H902" s="108">
        <v>1071</v>
      </c>
      <c r="I902" s="108">
        <v>197</v>
      </c>
      <c r="J902" s="108">
        <v>212</v>
      </c>
      <c r="K902" s="108">
        <v>54</v>
      </c>
      <c r="L902" s="108">
        <v>7522</v>
      </c>
      <c r="M902" s="108">
        <v>5112</v>
      </c>
      <c r="N902" s="108">
        <v>5677</v>
      </c>
      <c r="O902" s="108">
        <v>55764</v>
      </c>
      <c r="P902" s="108">
        <v>2223</v>
      </c>
      <c r="Q902" s="108">
        <v>29391</v>
      </c>
      <c r="R902" s="16">
        <f t="shared" si="435"/>
        <v>15422</v>
      </c>
    </row>
    <row r="903" spans="1:18" ht="15.6" x14ac:dyDescent="0.3">
      <c r="A903" s="107">
        <v>40024</v>
      </c>
      <c r="B903" s="108">
        <v>1364</v>
      </c>
      <c r="C903" s="106">
        <v>1136</v>
      </c>
      <c r="D903" s="106">
        <v>569</v>
      </c>
      <c r="E903" s="106">
        <v>498</v>
      </c>
      <c r="F903" s="106">
        <v>944</v>
      </c>
      <c r="G903" s="106">
        <v>546</v>
      </c>
      <c r="H903" s="106">
        <v>898</v>
      </c>
      <c r="I903" s="106">
        <v>583</v>
      </c>
      <c r="J903" s="106">
        <v>241</v>
      </c>
      <c r="K903" s="106">
        <v>64</v>
      </c>
      <c r="L903" s="106">
        <v>4016</v>
      </c>
      <c r="M903" s="106">
        <v>2826</v>
      </c>
      <c r="N903" s="106">
        <v>7070</v>
      </c>
      <c r="O903" s="106">
        <v>40249</v>
      </c>
      <c r="P903" s="108">
        <v>3164</v>
      </c>
      <c r="Q903" s="106">
        <v>32360</v>
      </c>
      <c r="R903" s="16">
        <f t="shared" si="435"/>
        <v>14250</v>
      </c>
    </row>
    <row r="904" spans="1:18" ht="15.6" x14ac:dyDescent="0.3">
      <c r="A904" s="107">
        <v>39667</v>
      </c>
      <c r="B904" s="108">
        <v>3328</v>
      </c>
      <c r="C904" s="108">
        <v>3140</v>
      </c>
      <c r="D904" s="108">
        <v>1251</v>
      </c>
      <c r="E904" s="108">
        <v>1777</v>
      </c>
      <c r="F904" s="108">
        <v>1579</v>
      </c>
      <c r="G904" s="108">
        <v>646</v>
      </c>
      <c r="H904" s="108">
        <v>1023</v>
      </c>
      <c r="I904" s="108">
        <v>272</v>
      </c>
      <c r="J904" s="108">
        <v>179</v>
      </c>
      <c r="K904" s="108">
        <v>91</v>
      </c>
      <c r="L904" s="108">
        <v>7359</v>
      </c>
      <c r="M904" s="108">
        <v>5925</v>
      </c>
      <c r="N904" s="108">
        <v>5124</v>
      </c>
      <c r="O904" s="108">
        <v>56703</v>
      </c>
      <c r="P904" s="108">
        <v>1889</v>
      </c>
      <c r="Q904" s="108">
        <v>29676</v>
      </c>
      <c r="R904" s="16">
        <f t="shared" si="435"/>
        <v>14372</v>
      </c>
    </row>
    <row r="905" spans="1:18" ht="15.6" x14ac:dyDescent="0.3">
      <c r="A905" s="107">
        <v>40031</v>
      </c>
      <c r="B905" s="108">
        <v>1328</v>
      </c>
      <c r="C905" s="106">
        <v>1282</v>
      </c>
      <c r="D905" s="106">
        <v>634</v>
      </c>
      <c r="E905" s="106">
        <v>523</v>
      </c>
      <c r="F905" s="106">
        <v>945</v>
      </c>
      <c r="G905" s="106">
        <v>652</v>
      </c>
      <c r="H905" s="106">
        <v>985</v>
      </c>
      <c r="I905" s="106">
        <v>653</v>
      </c>
      <c r="J905" s="106">
        <v>229</v>
      </c>
      <c r="K905" s="106">
        <v>96</v>
      </c>
      <c r="L905" s="106">
        <v>4115</v>
      </c>
      <c r="M905" s="106">
        <v>3206</v>
      </c>
      <c r="N905" s="106">
        <v>6654</v>
      </c>
      <c r="O905" s="106">
        <v>41206</v>
      </c>
      <c r="P905" s="108">
        <v>3153</v>
      </c>
      <c r="Q905" s="106">
        <v>32630</v>
      </c>
      <c r="R905" s="16">
        <f t="shared" si="435"/>
        <v>13922</v>
      </c>
    </row>
    <row r="906" spans="1:18" ht="15.6" x14ac:dyDescent="0.3">
      <c r="A906" s="107">
        <v>39674</v>
      </c>
      <c r="B906" s="108">
        <v>3350</v>
      </c>
      <c r="C906" s="108">
        <v>3834</v>
      </c>
      <c r="D906" s="108">
        <v>1180</v>
      </c>
      <c r="E906" s="108">
        <v>1929</v>
      </c>
      <c r="F906" s="108">
        <v>1638</v>
      </c>
      <c r="G906" s="108">
        <v>680</v>
      </c>
      <c r="H906" s="108">
        <v>953</v>
      </c>
      <c r="I906" s="108">
        <v>364</v>
      </c>
      <c r="J906" s="108">
        <v>149</v>
      </c>
      <c r="K906" s="108">
        <v>124</v>
      </c>
      <c r="L906" s="108">
        <v>7270</v>
      </c>
      <c r="M906" s="108">
        <v>6930</v>
      </c>
      <c r="N906" s="108">
        <v>4230</v>
      </c>
      <c r="O906" s="108">
        <v>57794</v>
      </c>
      <c r="P906" s="108">
        <v>1642</v>
      </c>
      <c r="Q906" s="108">
        <v>29841</v>
      </c>
      <c r="R906" s="16">
        <f t="shared" si="435"/>
        <v>13142</v>
      </c>
    </row>
    <row r="907" spans="1:18" ht="15.6" x14ac:dyDescent="0.3">
      <c r="A907" s="107">
        <v>40038</v>
      </c>
      <c r="B907" s="108">
        <v>1329</v>
      </c>
      <c r="C907" s="106">
        <v>1414</v>
      </c>
      <c r="D907" s="106">
        <v>625</v>
      </c>
      <c r="E907" s="106">
        <v>584</v>
      </c>
      <c r="F907" s="106">
        <v>930</v>
      </c>
      <c r="G907" s="106">
        <v>763</v>
      </c>
      <c r="H907" s="106">
        <v>983</v>
      </c>
      <c r="I907" s="106">
        <v>702</v>
      </c>
      <c r="J907" s="106">
        <v>233</v>
      </c>
      <c r="K907" s="106">
        <v>118</v>
      </c>
      <c r="L907" s="106">
        <v>4099</v>
      </c>
      <c r="M907" s="106">
        <v>3581</v>
      </c>
      <c r="N907" s="106">
        <v>6107</v>
      </c>
      <c r="O907" s="106">
        <v>42330</v>
      </c>
      <c r="P907" s="108">
        <v>3273</v>
      </c>
      <c r="Q907" s="106">
        <v>32786</v>
      </c>
      <c r="R907" s="16">
        <f t="shared" si="435"/>
        <v>13479</v>
      </c>
    </row>
    <row r="908" spans="1:18" ht="15.6" x14ac:dyDescent="0.3">
      <c r="A908" s="107">
        <v>39681</v>
      </c>
      <c r="B908" s="108">
        <v>3236</v>
      </c>
      <c r="C908" s="108">
        <v>4143</v>
      </c>
      <c r="D908" s="108">
        <v>1083</v>
      </c>
      <c r="E908" s="108">
        <v>2097</v>
      </c>
      <c r="F908" s="108">
        <v>1546</v>
      </c>
      <c r="G908" s="108">
        <v>790</v>
      </c>
      <c r="H908" s="108">
        <v>905</v>
      </c>
      <c r="I908" s="108">
        <v>473</v>
      </c>
      <c r="J908" s="108">
        <v>149</v>
      </c>
      <c r="K908" s="108">
        <v>146</v>
      </c>
      <c r="L908" s="108">
        <v>6919</v>
      </c>
      <c r="M908" s="108">
        <v>7649</v>
      </c>
      <c r="N908" s="108">
        <v>3712</v>
      </c>
      <c r="O908" s="108">
        <v>58615</v>
      </c>
      <c r="P908" s="108">
        <v>1225</v>
      </c>
      <c r="Q908" s="108">
        <v>30065</v>
      </c>
      <c r="R908" s="16">
        <f t="shared" si="435"/>
        <v>11856</v>
      </c>
    </row>
    <row r="909" spans="1:18" ht="15.6" x14ac:dyDescent="0.3">
      <c r="A909" s="107">
        <v>40045</v>
      </c>
      <c r="B909" s="108">
        <v>1402</v>
      </c>
      <c r="C909" s="106">
        <v>1597</v>
      </c>
      <c r="D909" s="106">
        <v>729</v>
      </c>
      <c r="E909" s="106">
        <v>628</v>
      </c>
      <c r="F909" s="106">
        <v>959</v>
      </c>
      <c r="G909" s="106">
        <v>888</v>
      </c>
      <c r="H909" s="106">
        <v>969</v>
      </c>
      <c r="I909" s="106">
        <v>798</v>
      </c>
      <c r="J909" s="106">
        <v>243</v>
      </c>
      <c r="K909" s="106">
        <v>120</v>
      </c>
      <c r="L909" s="106">
        <v>4302</v>
      </c>
      <c r="M909" s="106">
        <v>4031</v>
      </c>
      <c r="N909" s="106">
        <v>5098</v>
      </c>
      <c r="O909" s="106">
        <v>43605</v>
      </c>
      <c r="P909" s="108">
        <v>3049</v>
      </c>
      <c r="Q909" s="106">
        <v>33097</v>
      </c>
      <c r="R909" s="16">
        <f t="shared" si="435"/>
        <v>12449</v>
      </c>
    </row>
    <row r="910" spans="1:18" ht="15.6" x14ac:dyDescent="0.3">
      <c r="A910" s="107">
        <v>39688</v>
      </c>
      <c r="B910" s="108">
        <v>2880</v>
      </c>
      <c r="C910" s="108">
        <v>4577</v>
      </c>
      <c r="D910" s="108">
        <v>1031</v>
      </c>
      <c r="E910" s="108">
        <v>2246</v>
      </c>
      <c r="F910" s="108">
        <v>1647</v>
      </c>
      <c r="G910" s="108">
        <v>895</v>
      </c>
      <c r="H910" s="108">
        <v>796</v>
      </c>
      <c r="I910" s="108">
        <v>622</v>
      </c>
      <c r="J910" s="108">
        <v>149</v>
      </c>
      <c r="K910" s="108">
        <v>160</v>
      </c>
      <c r="L910" s="108">
        <v>6504</v>
      </c>
      <c r="M910" s="108">
        <v>8500</v>
      </c>
      <c r="N910" s="108">
        <v>2861</v>
      </c>
      <c r="O910" s="108">
        <v>59666</v>
      </c>
      <c r="P910" s="108">
        <v>923</v>
      </c>
      <c r="Q910" s="108">
        <v>30411</v>
      </c>
      <c r="R910" s="16">
        <f t="shared" si="435"/>
        <v>10288</v>
      </c>
    </row>
    <row r="911" spans="1:18" ht="15.6" x14ac:dyDescent="0.3">
      <c r="A911" s="107">
        <v>40052</v>
      </c>
      <c r="B911" s="108">
        <v>1271</v>
      </c>
      <c r="C911" s="106">
        <v>1802</v>
      </c>
      <c r="D911" s="106">
        <v>813</v>
      </c>
      <c r="E911" s="106">
        <v>739</v>
      </c>
      <c r="F911" s="106">
        <v>954</v>
      </c>
      <c r="G911" s="106">
        <v>962</v>
      </c>
      <c r="H911" s="106">
        <v>963</v>
      </c>
      <c r="I911" s="106">
        <v>836</v>
      </c>
      <c r="J911" s="106">
        <v>270</v>
      </c>
      <c r="K911" s="106">
        <v>128</v>
      </c>
      <c r="L911" s="106">
        <v>4272</v>
      </c>
      <c r="M911" s="106">
        <v>4466</v>
      </c>
      <c r="N911" s="106">
        <v>4398</v>
      </c>
      <c r="O911" s="106">
        <v>44650</v>
      </c>
      <c r="P911" s="108">
        <v>2382</v>
      </c>
      <c r="Q911" s="106">
        <v>33705</v>
      </c>
      <c r="R911" s="16">
        <f t="shared" si="435"/>
        <v>11052</v>
      </c>
    </row>
    <row r="912" spans="1:18" ht="15.6" x14ac:dyDescent="0.3">
      <c r="A912" s="107">
        <v>39695</v>
      </c>
      <c r="B912" s="108">
        <v>2663</v>
      </c>
      <c r="C912" s="108">
        <v>4934</v>
      </c>
      <c r="D912" s="108">
        <v>1088</v>
      </c>
      <c r="E912" s="108">
        <v>2307</v>
      </c>
      <c r="F912" s="108">
        <v>1635</v>
      </c>
      <c r="G912" s="108">
        <v>1069</v>
      </c>
      <c r="H912" s="108">
        <v>738</v>
      </c>
      <c r="I912" s="108">
        <v>718</v>
      </c>
      <c r="J912" s="108">
        <v>149</v>
      </c>
      <c r="K912" s="108">
        <v>160</v>
      </c>
      <c r="L912" s="108">
        <v>6273</v>
      </c>
      <c r="M912" s="108">
        <v>9188</v>
      </c>
      <c r="N912" s="108">
        <v>11884</v>
      </c>
      <c r="O912" s="108">
        <v>199</v>
      </c>
      <c r="P912" s="108">
        <v>8913</v>
      </c>
      <c r="Q912" s="108">
        <v>33</v>
      </c>
      <c r="R912" s="16">
        <f t="shared" ref="R912:R925" si="436">P912+N912+L912</f>
        <v>27070</v>
      </c>
    </row>
    <row r="913" spans="1:18" ht="15.6" x14ac:dyDescent="0.3">
      <c r="A913" s="107">
        <v>40059</v>
      </c>
      <c r="B913" s="108">
        <v>1282</v>
      </c>
      <c r="C913" s="106">
        <v>1935</v>
      </c>
      <c r="D913" s="106">
        <v>870</v>
      </c>
      <c r="E913" s="106">
        <v>773</v>
      </c>
      <c r="F913" s="106">
        <v>981</v>
      </c>
      <c r="G913" s="106">
        <v>1047</v>
      </c>
      <c r="H913" s="106">
        <v>962</v>
      </c>
      <c r="I913" s="106">
        <v>970</v>
      </c>
      <c r="J913" s="106">
        <v>275</v>
      </c>
      <c r="K913" s="106">
        <v>195</v>
      </c>
      <c r="L913" s="106">
        <v>4371</v>
      </c>
      <c r="M913" s="106">
        <v>4919</v>
      </c>
      <c r="N913" s="106">
        <v>12131</v>
      </c>
      <c r="O913" s="106">
        <v>537</v>
      </c>
      <c r="P913" s="108">
        <v>16947</v>
      </c>
      <c r="Q913" s="106">
        <v>194</v>
      </c>
      <c r="R913" s="16">
        <f t="shared" si="436"/>
        <v>33449</v>
      </c>
    </row>
    <row r="914" spans="1:18" ht="15.6" x14ac:dyDescent="0.3">
      <c r="A914" s="107">
        <v>39702</v>
      </c>
      <c r="B914" s="108">
        <v>2728</v>
      </c>
      <c r="C914" s="108">
        <v>5171</v>
      </c>
      <c r="D914" s="108">
        <v>1063</v>
      </c>
      <c r="E914" s="108">
        <v>2422</v>
      </c>
      <c r="F914" s="108">
        <v>1640</v>
      </c>
      <c r="G914" s="108">
        <v>1211</v>
      </c>
      <c r="H914" s="108">
        <v>813</v>
      </c>
      <c r="I914" s="108">
        <v>759</v>
      </c>
      <c r="J914" s="108">
        <v>149</v>
      </c>
      <c r="K914" s="108">
        <v>162</v>
      </c>
      <c r="L914" s="108">
        <v>6394</v>
      </c>
      <c r="M914" s="108">
        <v>9725</v>
      </c>
      <c r="N914" s="108">
        <v>11346</v>
      </c>
      <c r="O914" s="108">
        <v>1062</v>
      </c>
      <c r="P914" s="108">
        <v>9103</v>
      </c>
      <c r="Q914" s="108">
        <v>255</v>
      </c>
      <c r="R914" s="16">
        <f t="shared" si="436"/>
        <v>26843</v>
      </c>
    </row>
    <row r="915" spans="1:18" ht="15.6" x14ac:dyDescent="0.3">
      <c r="A915" s="107">
        <v>40066</v>
      </c>
      <c r="B915" s="108">
        <v>1284</v>
      </c>
      <c r="C915" s="106">
        <v>2121</v>
      </c>
      <c r="D915" s="106">
        <v>802</v>
      </c>
      <c r="E915" s="106">
        <v>912</v>
      </c>
      <c r="F915" s="106">
        <v>917</v>
      </c>
      <c r="G915" s="106">
        <v>1230</v>
      </c>
      <c r="H915" s="106">
        <v>930</v>
      </c>
      <c r="I915" s="106">
        <v>1043</v>
      </c>
      <c r="J915" s="106">
        <v>290</v>
      </c>
      <c r="K915" s="106">
        <v>208</v>
      </c>
      <c r="L915" s="106">
        <v>4224</v>
      </c>
      <c r="M915" s="106">
        <v>5515</v>
      </c>
      <c r="N915" s="106">
        <v>11935</v>
      </c>
      <c r="O915" s="106">
        <v>1699</v>
      </c>
      <c r="P915" s="108">
        <v>17173</v>
      </c>
      <c r="Q915" s="106">
        <v>458</v>
      </c>
      <c r="R915" s="16">
        <f t="shared" si="436"/>
        <v>33332</v>
      </c>
    </row>
    <row r="916" spans="1:18" ht="15.6" x14ac:dyDescent="0.3">
      <c r="A916" s="107">
        <v>39709</v>
      </c>
      <c r="B916" s="108">
        <v>2565</v>
      </c>
      <c r="C916" s="108">
        <v>5371</v>
      </c>
      <c r="D916" s="108">
        <v>989</v>
      </c>
      <c r="E916" s="108">
        <v>2594</v>
      </c>
      <c r="F916" s="108">
        <v>1502</v>
      </c>
      <c r="G916" s="108">
        <v>1478</v>
      </c>
      <c r="H916" s="108">
        <v>743</v>
      </c>
      <c r="I916" s="108">
        <v>851</v>
      </c>
      <c r="J916" s="108">
        <v>149</v>
      </c>
      <c r="K916" s="108">
        <v>162</v>
      </c>
      <c r="L916" s="108">
        <v>5948</v>
      </c>
      <c r="M916" s="108">
        <v>10455</v>
      </c>
      <c r="N916" s="108">
        <v>10900</v>
      </c>
      <c r="O916" s="108">
        <v>2056</v>
      </c>
      <c r="P916" s="108">
        <v>9651</v>
      </c>
      <c r="Q916" s="108">
        <v>319</v>
      </c>
      <c r="R916" s="16">
        <f t="shared" si="436"/>
        <v>26499</v>
      </c>
    </row>
    <row r="917" spans="1:18" ht="15.6" x14ac:dyDescent="0.3">
      <c r="A917" s="107">
        <v>40073</v>
      </c>
      <c r="B917" s="108">
        <v>1244</v>
      </c>
      <c r="C917" s="106">
        <v>2347</v>
      </c>
      <c r="D917" s="106">
        <v>769</v>
      </c>
      <c r="E917" s="106">
        <v>997</v>
      </c>
      <c r="F917" s="106">
        <v>892</v>
      </c>
      <c r="G917" s="106">
        <v>1392</v>
      </c>
      <c r="H917" s="106">
        <v>897</v>
      </c>
      <c r="I917" s="106">
        <v>1157</v>
      </c>
      <c r="J917" s="106">
        <v>312</v>
      </c>
      <c r="K917" s="106">
        <v>224</v>
      </c>
      <c r="L917" s="106">
        <v>4114</v>
      </c>
      <c r="M917" s="106">
        <v>6117</v>
      </c>
      <c r="N917" s="106">
        <v>11570</v>
      </c>
      <c r="O917" s="106">
        <v>2738</v>
      </c>
      <c r="P917" s="108">
        <v>18242</v>
      </c>
      <c r="Q917" s="106">
        <v>541</v>
      </c>
      <c r="R917" s="16">
        <f t="shared" si="436"/>
        <v>33926</v>
      </c>
    </row>
    <row r="918" spans="1:18" ht="15.6" x14ac:dyDescent="0.3">
      <c r="A918" s="107">
        <v>39716</v>
      </c>
      <c r="B918" s="108">
        <v>2757</v>
      </c>
      <c r="C918" s="108">
        <v>5584</v>
      </c>
      <c r="D918" s="108">
        <v>1000</v>
      </c>
      <c r="E918" s="108">
        <v>2640</v>
      </c>
      <c r="F918" s="108">
        <v>1461</v>
      </c>
      <c r="G918" s="108">
        <v>1649</v>
      </c>
      <c r="H918" s="108">
        <v>645</v>
      </c>
      <c r="I918" s="108">
        <v>1000</v>
      </c>
      <c r="J918" s="108">
        <v>104</v>
      </c>
      <c r="K918" s="108">
        <v>215</v>
      </c>
      <c r="L918" s="108">
        <v>5967</v>
      </c>
      <c r="M918" s="108">
        <v>11088</v>
      </c>
      <c r="N918" s="108">
        <v>10303</v>
      </c>
      <c r="O918" s="108">
        <v>3220</v>
      </c>
      <c r="P918" s="108">
        <v>9960</v>
      </c>
      <c r="Q918" s="108">
        <v>481</v>
      </c>
      <c r="R918" s="16">
        <f t="shared" si="436"/>
        <v>26230</v>
      </c>
    </row>
    <row r="919" spans="1:18" ht="15.6" x14ac:dyDescent="0.3">
      <c r="A919" s="107">
        <v>40080</v>
      </c>
      <c r="B919" s="108">
        <v>1189</v>
      </c>
      <c r="C919" s="106">
        <v>2523</v>
      </c>
      <c r="D919" s="106">
        <v>714</v>
      </c>
      <c r="E919" s="106">
        <v>1106</v>
      </c>
      <c r="F919" s="106">
        <v>915</v>
      </c>
      <c r="G919" s="106">
        <v>1559</v>
      </c>
      <c r="H919" s="106">
        <v>831</v>
      </c>
      <c r="I919" s="106">
        <v>1315</v>
      </c>
      <c r="J919" s="106">
        <v>372</v>
      </c>
      <c r="K919" s="106">
        <v>246</v>
      </c>
      <c r="L919" s="106">
        <v>4021</v>
      </c>
      <c r="M919" s="106">
        <v>6748</v>
      </c>
      <c r="N919" s="106">
        <v>11828</v>
      </c>
      <c r="O919" s="106">
        <v>3703</v>
      </c>
      <c r="P919" s="108">
        <v>19418</v>
      </c>
      <c r="Q919" s="106">
        <v>750</v>
      </c>
      <c r="R919" s="16">
        <f t="shared" si="436"/>
        <v>35267</v>
      </c>
    </row>
    <row r="920" spans="1:18" ht="15.6" x14ac:dyDescent="0.3">
      <c r="A920" s="107">
        <v>39723</v>
      </c>
      <c r="B920" s="108">
        <v>2408</v>
      </c>
      <c r="C920" s="108">
        <v>6046</v>
      </c>
      <c r="D920" s="108">
        <v>935</v>
      </c>
      <c r="E920" s="108">
        <v>2845</v>
      </c>
      <c r="F920" s="108">
        <v>1405</v>
      </c>
      <c r="G920" s="108">
        <v>1800</v>
      </c>
      <c r="H920" s="108">
        <v>724</v>
      </c>
      <c r="I920" s="108">
        <v>1075</v>
      </c>
      <c r="J920" s="108">
        <v>104</v>
      </c>
      <c r="K920" s="108">
        <v>215</v>
      </c>
      <c r="L920" s="108">
        <v>5586</v>
      </c>
      <c r="M920" s="108">
        <v>11981</v>
      </c>
      <c r="N920" s="108">
        <v>10435</v>
      </c>
      <c r="O920" s="108">
        <v>4046</v>
      </c>
      <c r="P920" s="108">
        <v>10164</v>
      </c>
      <c r="Q920" s="108">
        <v>880</v>
      </c>
      <c r="R920" s="16">
        <f t="shared" si="436"/>
        <v>26185</v>
      </c>
    </row>
    <row r="921" spans="1:18" ht="15.6" x14ac:dyDescent="0.3">
      <c r="A921" s="107">
        <v>40087</v>
      </c>
      <c r="B921" s="108">
        <v>1205</v>
      </c>
      <c r="C921" s="106">
        <v>2772</v>
      </c>
      <c r="D921" s="106">
        <v>643</v>
      </c>
      <c r="E921" s="106">
        <v>1205</v>
      </c>
      <c r="F921" s="106">
        <v>998</v>
      </c>
      <c r="G921" s="106">
        <v>1706</v>
      </c>
      <c r="H921" s="106">
        <v>871</v>
      </c>
      <c r="I921" s="106">
        <v>1427</v>
      </c>
      <c r="J921" s="106">
        <v>397</v>
      </c>
      <c r="K921" s="106">
        <v>303</v>
      </c>
      <c r="L921" s="106">
        <v>4113</v>
      </c>
      <c r="M921" s="106">
        <v>7414</v>
      </c>
      <c r="N921" s="106">
        <v>11206</v>
      </c>
      <c r="O921" s="106">
        <v>4847</v>
      </c>
      <c r="P921" s="108">
        <v>19528</v>
      </c>
      <c r="Q921" s="106">
        <v>1091</v>
      </c>
      <c r="R921" s="16">
        <f t="shared" si="436"/>
        <v>34847</v>
      </c>
    </row>
    <row r="922" spans="1:18" ht="15.6" x14ac:dyDescent="0.3">
      <c r="A922" s="107">
        <v>39730</v>
      </c>
      <c r="B922" s="108">
        <v>2331</v>
      </c>
      <c r="C922" s="108">
        <v>6379</v>
      </c>
      <c r="D922" s="108">
        <v>967</v>
      </c>
      <c r="E922" s="108">
        <v>2922</v>
      </c>
      <c r="F922" s="108">
        <v>1337</v>
      </c>
      <c r="G922" s="108">
        <v>2010</v>
      </c>
      <c r="H922" s="108">
        <v>659</v>
      </c>
      <c r="I922" s="108">
        <v>1107</v>
      </c>
      <c r="J922" s="108">
        <v>76</v>
      </c>
      <c r="K922" s="108">
        <v>215</v>
      </c>
      <c r="L922" s="108">
        <v>5370</v>
      </c>
      <c r="M922" s="108">
        <v>12633</v>
      </c>
      <c r="N922" s="108">
        <v>10487</v>
      </c>
      <c r="O922" s="108">
        <v>4919</v>
      </c>
      <c r="P922" s="108">
        <v>10784</v>
      </c>
      <c r="Q922" s="108">
        <v>1288</v>
      </c>
      <c r="R922" s="16">
        <f t="shared" si="436"/>
        <v>26641</v>
      </c>
    </row>
    <row r="923" spans="1:18" ht="15.6" x14ac:dyDescent="0.3">
      <c r="A923" s="107">
        <v>40094</v>
      </c>
      <c r="B923" s="108">
        <v>1100</v>
      </c>
      <c r="C923" s="106">
        <v>2981</v>
      </c>
      <c r="D923" s="106">
        <v>623</v>
      </c>
      <c r="E923" s="106">
        <v>1262</v>
      </c>
      <c r="F923" s="106">
        <v>1009</v>
      </c>
      <c r="G923" s="106">
        <v>1849</v>
      </c>
      <c r="H923" s="106">
        <v>932</v>
      </c>
      <c r="I923" s="106">
        <v>1488</v>
      </c>
      <c r="J923" s="106">
        <v>404</v>
      </c>
      <c r="K923" s="106">
        <v>357</v>
      </c>
      <c r="L923" s="106">
        <v>4069</v>
      </c>
      <c r="M923" s="106">
        <v>7938</v>
      </c>
      <c r="N923" s="106">
        <v>11167</v>
      </c>
      <c r="O923" s="106">
        <v>5517</v>
      </c>
      <c r="P923" s="108">
        <v>19577</v>
      </c>
      <c r="Q923" s="106">
        <v>1696</v>
      </c>
      <c r="R923" s="16">
        <f t="shared" si="436"/>
        <v>34813</v>
      </c>
    </row>
    <row r="924" spans="1:18" ht="15.6" x14ac:dyDescent="0.3">
      <c r="A924" s="107">
        <v>39737</v>
      </c>
      <c r="B924" s="108">
        <v>2221</v>
      </c>
      <c r="C924" s="108">
        <v>6651</v>
      </c>
      <c r="D924" s="108">
        <v>1031</v>
      </c>
      <c r="E924" s="108">
        <v>2979</v>
      </c>
      <c r="F924" s="108">
        <v>1245</v>
      </c>
      <c r="G924" s="108">
        <v>2171</v>
      </c>
      <c r="H924" s="108">
        <v>662</v>
      </c>
      <c r="I924" s="108">
        <v>1130</v>
      </c>
      <c r="J924" s="108">
        <v>76</v>
      </c>
      <c r="K924" s="108">
        <v>222</v>
      </c>
      <c r="L924" s="108">
        <v>5234</v>
      </c>
      <c r="M924" s="108">
        <v>13252</v>
      </c>
      <c r="N924" s="108">
        <v>10523</v>
      </c>
      <c r="O924" s="108">
        <v>5672</v>
      </c>
      <c r="P924" s="108">
        <v>10489</v>
      </c>
      <c r="Q924" s="108">
        <v>2302</v>
      </c>
      <c r="R924" s="16">
        <f t="shared" si="436"/>
        <v>26246</v>
      </c>
    </row>
    <row r="925" spans="1:18" ht="15.6" x14ac:dyDescent="0.3">
      <c r="A925" s="107">
        <v>40101</v>
      </c>
      <c r="B925" s="108">
        <v>1252</v>
      </c>
      <c r="C925" s="106">
        <v>3130</v>
      </c>
      <c r="D925" s="106">
        <v>589</v>
      </c>
      <c r="E925" s="106">
        <v>1373</v>
      </c>
      <c r="F925" s="106">
        <v>1008</v>
      </c>
      <c r="G925" s="106">
        <v>1967</v>
      </c>
      <c r="H925" s="106">
        <v>995</v>
      </c>
      <c r="I925" s="106">
        <v>1544</v>
      </c>
      <c r="J925" s="106">
        <v>385</v>
      </c>
      <c r="K925" s="106">
        <v>390</v>
      </c>
      <c r="L925" s="106">
        <v>4229</v>
      </c>
      <c r="M925" s="106">
        <v>8405</v>
      </c>
      <c r="N925" s="106">
        <v>10584</v>
      </c>
      <c r="O925" s="106">
        <v>6335</v>
      </c>
      <c r="P925" s="108">
        <v>19708</v>
      </c>
      <c r="Q925" s="106">
        <v>2552</v>
      </c>
      <c r="R925" s="16">
        <f t="shared" si="436"/>
        <v>34521</v>
      </c>
    </row>
    <row r="926" spans="1:18" ht="15.6" x14ac:dyDescent="0.3">
      <c r="A926" s="107">
        <v>39744</v>
      </c>
      <c r="B926" s="108">
        <v>2161</v>
      </c>
      <c r="C926" s="108">
        <v>6893</v>
      </c>
      <c r="D926" s="108">
        <v>1001</v>
      </c>
      <c r="E926" s="108">
        <v>3118</v>
      </c>
      <c r="F926" s="108">
        <v>1265</v>
      </c>
      <c r="G926" s="108">
        <v>2307</v>
      </c>
      <c r="H926" s="108">
        <v>603</v>
      </c>
      <c r="I926" s="108">
        <v>1203</v>
      </c>
      <c r="J926" s="108">
        <v>76</v>
      </c>
      <c r="K926" s="108">
        <v>222</v>
      </c>
      <c r="L926" s="108">
        <v>5104</v>
      </c>
      <c r="M926" s="108">
        <v>13743</v>
      </c>
      <c r="N926" s="108">
        <v>10333</v>
      </c>
      <c r="O926" s="108">
        <v>6275</v>
      </c>
      <c r="P926" s="108">
        <v>10597</v>
      </c>
      <c r="Q926" s="108">
        <v>3651</v>
      </c>
      <c r="R926" s="16">
        <f t="shared" ref="R926:R933" si="437">P926+N926+L926</f>
        <v>26034</v>
      </c>
    </row>
    <row r="927" spans="1:18" ht="15.6" x14ac:dyDescent="0.3">
      <c r="A927" s="107">
        <v>40108</v>
      </c>
      <c r="B927" s="108">
        <v>1256</v>
      </c>
      <c r="C927" s="106">
        <v>3244</v>
      </c>
      <c r="D927" s="106">
        <v>594</v>
      </c>
      <c r="E927" s="106">
        <v>1386</v>
      </c>
      <c r="F927" s="106">
        <v>1013</v>
      </c>
      <c r="G927" s="106">
        <v>2109</v>
      </c>
      <c r="H927" s="106">
        <v>961</v>
      </c>
      <c r="I927" s="106">
        <v>1647</v>
      </c>
      <c r="J927" s="106">
        <v>322</v>
      </c>
      <c r="K927" s="106">
        <v>444</v>
      </c>
      <c r="L927" s="106">
        <v>4146</v>
      </c>
      <c r="M927" s="106">
        <v>8830</v>
      </c>
      <c r="N927" s="106">
        <v>10284</v>
      </c>
      <c r="O927" s="106">
        <v>7002</v>
      </c>
      <c r="P927" s="108">
        <v>18965</v>
      </c>
      <c r="Q927" s="106">
        <v>3986</v>
      </c>
      <c r="R927" s="16">
        <f t="shared" si="437"/>
        <v>33395</v>
      </c>
    </row>
    <row r="928" spans="1:18" ht="15.6" x14ac:dyDescent="0.3">
      <c r="A928" s="107">
        <v>39751</v>
      </c>
      <c r="B928" s="108">
        <v>2121</v>
      </c>
      <c r="C928" s="108">
        <v>7114</v>
      </c>
      <c r="D928" s="108">
        <v>980</v>
      </c>
      <c r="E928" s="108">
        <v>3151</v>
      </c>
      <c r="F928" s="108">
        <v>1305</v>
      </c>
      <c r="G928" s="108">
        <v>2406</v>
      </c>
      <c r="H928" s="108">
        <v>608</v>
      </c>
      <c r="I928" s="108">
        <v>1223</v>
      </c>
      <c r="J928" s="108">
        <v>80</v>
      </c>
      <c r="K928" s="108">
        <v>227</v>
      </c>
      <c r="L928" s="108">
        <v>5093</v>
      </c>
      <c r="M928" s="108">
        <v>14120</v>
      </c>
      <c r="N928" s="108">
        <v>10186</v>
      </c>
      <c r="O928" s="108">
        <v>6894</v>
      </c>
      <c r="P928" s="108">
        <v>10003</v>
      </c>
      <c r="Q928" s="108">
        <v>5140</v>
      </c>
      <c r="R928" s="16">
        <f t="shared" si="437"/>
        <v>25282</v>
      </c>
    </row>
    <row r="929" spans="1:56" ht="15.6" x14ac:dyDescent="0.3">
      <c r="A929" s="107">
        <v>40115</v>
      </c>
      <c r="B929" s="108">
        <v>1263</v>
      </c>
      <c r="C929" s="106">
        <v>3346</v>
      </c>
      <c r="D929" s="106">
        <v>557</v>
      </c>
      <c r="E929" s="106">
        <v>1462</v>
      </c>
      <c r="F929" s="106">
        <v>1020</v>
      </c>
      <c r="G929" s="106">
        <v>2167</v>
      </c>
      <c r="H929" s="106">
        <v>980</v>
      </c>
      <c r="I929" s="106">
        <v>1677</v>
      </c>
      <c r="J929" s="106">
        <v>322</v>
      </c>
      <c r="K929" s="106">
        <v>468</v>
      </c>
      <c r="L929" s="106">
        <v>4141</v>
      </c>
      <c r="M929" s="106">
        <v>9120</v>
      </c>
      <c r="N929" s="106">
        <v>10140</v>
      </c>
      <c r="O929" s="106">
        <v>7710</v>
      </c>
      <c r="P929" s="108">
        <v>17795</v>
      </c>
      <c r="Q929" s="106">
        <v>5679</v>
      </c>
      <c r="R929" s="16">
        <f t="shared" si="437"/>
        <v>32076</v>
      </c>
    </row>
    <row r="930" spans="1:56" ht="15.6" x14ac:dyDescent="0.3">
      <c r="A930" s="107">
        <v>39758</v>
      </c>
      <c r="B930" s="108">
        <v>2046</v>
      </c>
      <c r="C930" s="108">
        <v>7272</v>
      </c>
      <c r="D930" s="108">
        <v>972</v>
      </c>
      <c r="E930" s="108">
        <v>3274</v>
      </c>
      <c r="F930" s="108">
        <v>1248</v>
      </c>
      <c r="G930" s="108">
        <v>2499</v>
      </c>
      <c r="H930" s="108">
        <v>548</v>
      </c>
      <c r="I930" s="108">
        <v>1291</v>
      </c>
      <c r="J930" s="108">
        <v>80</v>
      </c>
      <c r="K930" s="108">
        <v>233</v>
      </c>
      <c r="L930" s="108">
        <v>4893</v>
      </c>
      <c r="M930" s="108">
        <v>14568</v>
      </c>
      <c r="N930" s="108">
        <v>9733</v>
      </c>
      <c r="O930" s="108">
        <v>7702</v>
      </c>
      <c r="P930" s="108">
        <v>9439</v>
      </c>
      <c r="Q930" s="108">
        <v>6182</v>
      </c>
      <c r="R930" s="16">
        <f t="shared" si="437"/>
        <v>24065</v>
      </c>
    </row>
    <row r="931" spans="1:56" ht="15.6" x14ac:dyDescent="0.3">
      <c r="A931" s="107">
        <v>40122</v>
      </c>
      <c r="B931" s="108">
        <v>1406</v>
      </c>
      <c r="C931" s="106">
        <v>3431</v>
      </c>
      <c r="D931" s="106">
        <v>540</v>
      </c>
      <c r="E931" s="106">
        <v>1506</v>
      </c>
      <c r="F931" s="106">
        <v>1026</v>
      </c>
      <c r="G931" s="106">
        <v>2250</v>
      </c>
      <c r="H931" s="106">
        <v>826</v>
      </c>
      <c r="I931" s="106">
        <v>1876</v>
      </c>
      <c r="J931" s="106">
        <v>300</v>
      </c>
      <c r="K931" s="106">
        <v>514</v>
      </c>
      <c r="L931" s="106">
        <v>4097</v>
      </c>
      <c r="M931" s="106">
        <v>9576</v>
      </c>
      <c r="N931" s="106">
        <v>9871</v>
      </c>
      <c r="O931" s="106">
        <v>8468</v>
      </c>
      <c r="P931" s="108">
        <v>17431</v>
      </c>
      <c r="Q931" s="106">
        <v>7251</v>
      </c>
      <c r="R931" s="16">
        <f t="shared" si="437"/>
        <v>31399</v>
      </c>
    </row>
    <row r="932" spans="1:56" ht="15.6" x14ac:dyDescent="0.3">
      <c r="A932" s="107">
        <v>39765</v>
      </c>
      <c r="B932" s="108">
        <v>2037</v>
      </c>
      <c r="C932" s="108">
        <v>7443</v>
      </c>
      <c r="D932" s="108">
        <v>1033</v>
      </c>
      <c r="E932" s="108">
        <v>3352</v>
      </c>
      <c r="F932" s="108">
        <v>1233</v>
      </c>
      <c r="G932" s="108">
        <v>2647</v>
      </c>
      <c r="H932" s="108">
        <v>570</v>
      </c>
      <c r="I932" s="108">
        <v>1345</v>
      </c>
      <c r="J932" s="108">
        <v>81</v>
      </c>
      <c r="K932" s="108">
        <v>234</v>
      </c>
      <c r="L932" s="108">
        <v>4952</v>
      </c>
      <c r="M932" s="108">
        <v>15020</v>
      </c>
      <c r="N932" s="108">
        <v>9411</v>
      </c>
      <c r="O932" s="108">
        <v>8458</v>
      </c>
      <c r="P932" s="108">
        <v>9163</v>
      </c>
      <c r="Q932" s="108">
        <v>7249</v>
      </c>
      <c r="R932" s="16">
        <f t="shared" si="437"/>
        <v>23526</v>
      </c>
    </row>
    <row r="933" spans="1:56" ht="15.6" x14ac:dyDescent="0.3">
      <c r="A933" s="107">
        <v>40129</v>
      </c>
      <c r="B933" s="108">
        <v>1318</v>
      </c>
      <c r="C933" s="106">
        <v>3642</v>
      </c>
      <c r="D933" s="106">
        <v>505</v>
      </c>
      <c r="E933" s="106">
        <v>1573</v>
      </c>
      <c r="F933" s="106">
        <v>1044</v>
      </c>
      <c r="G933" s="106">
        <v>2366</v>
      </c>
      <c r="H933" s="106">
        <v>793</v>
      </c>
      <c r="I933" s="106">
        <v>1955</v>
      </c>
      <c r="J933" s="106">
        <v>312</v>
      </c>
      <c r="K933" s="106">
        <v>528</v>
      </c>
      <c r="L933" s="106">
        <v>3972</v>
      </c>
      <c r="M933" s="106">
        <v>10063</v>
      </c>
      <c r="N933" s="106">
        <v>9540</v>
      </c>
      <c r="O933" s="106">
        <v>9151</v>
      </c>
      <c r="P933" s="108">
        <v>17057</v>
      </c>
      <c r="Q933" s="106">
        <v>8975</v>
      </c>
      <c r="R933" s="16">
        <f t="shared" si="437"/>
        <v>30569</v>
      </c>
    </row>
    <row r="934" spans="1:56" ht="15.6" x14ac:dyDescent="0.3">
      <c r="A934" s="107">
        <v>39772</v>
      </c>
      <c r="B934" s="108">
        <v>2008</v>
      </c>
      <c r="C934" s="108">
        <v>7715</v>
      </c>
      <c r="D934" s="108">
        <v>959</v>
      </c>
      <c r="E934" s="108">
        <v>3446</v>
      </c>
      <c r="F934" s="108">
        <v>1174</v>
      </c>
      <c r="G934" s="108">
        <v>2812</v>
      </c>
      <c r="H934" s="108">
        <v>563</v>
      </c>
      <c r="I934" s="108">
        <v>1384</v>
      </c>
      <c r="J934" s="108">
        <v>115</v>
      </c>
      <c r="K934" s="108">
        <v>236</v>
      </c>
      <c r="L934" s="108">
        <v>4818</v>
      </c>
      <c r="M934" s="108">
        <v>15593</v>
      </c>
      <c r="N934" s="108">
        <v>9110</v>
      </c>
      <c r="O934" s="108">
        <v>9224</v>
      </c>
      <c r="P934" s="108">
        <v>8929</v>
      </c>
      <c r="Q934" s="108">
        <v>8265</v>
      </c>
      <c r="R934" s="16">
        <f t="shared" ref="R934:R941" si="438">P934+N934+L934</f>
        <v>22857</v>
      </c>
    </row>
    <row r="935" spans="1:56" ht="15.6" x14ac:dyDescent="0.3">
      <c r="A935" s="107">
        <v>40136</v>
      </c>
      <c r="B935" s="108">
        <v>1300</v>
      </c>
      <c r="C935" s="106">
        <v>3799</v>
      </c>
      <c r="D935" s="106">
        <v>473</v>
      </c>
      <c r="E935" s="106">
        <v>1617</v>
      </c>
      <c r="F935" s="106">
        <v>1108</v>
      </c>
      <c r="G935" s="106">
        <v>2450</v>
      </c>
      <c r="H935" s="106">
        <v>724</v>
      </c>
      <c r="I935" s="106">
        <v>2055</v>
      </c>
      <c r="J935" s="106">
        <v>303</v>
      </c>
      <c r="K935" s="106">
        <v>558</v>
      </c>
      <c r="L935" s="106">
        <v>3907</v>
      </c>
      <c r="M935" s="106">
        <v>10479</v>
      </c>
      <c r="N935" s="106">
        <v>10136</v>
      </c>
      <c r="O935" s="106">
        <v>9779</v>
      </c>
      <c r="P935" s="108">
        <v>15758</v>
      </c>
      <c r="Q935" s="106">
        <v>11334</v>
      </c>
      <c r="R935" s="16">
        <f t="shared" si="438"/>
        <v>29801</v>
      </c>
      <c r="AW935" s="114">
        <f>+(L935/L933-1)*100</f>
        <v>-1.636455186304131</v>
      </c>
      <c r="AX935" s="114">
        <f>+(L935/L934-1)*100</f>
        <v>-18.908260689082613</v>
      </c>
      <c r="AY935" s="114">
        <f>+(P935/P933-1)*100</f>
        <v>-7.6156416720408071</v>
      </c>
      <c r="AZ935" s="114">
        <f>(P935/P934-1)*100</f>
        <v>76.481128905812511</v>
      </c>
      <c r="BA935" s="114">
        <f>(N935/N933-1)*100</f>
        <v>6.2473794549266159</v>
      </c>
      <c r="BB935" s="114">
        <f>+(N935/N934-1)*100</f>
        <v>11.262349066959377</v>
      </c>
      <c r="BC935" s="114">
        <f>+(R935/R933-1)*100</f>
        <v>-2.5123491118453356</v>
      </c>
      <c r="BD935" s="114">
        <f>+(R935/R934-1)*100</f>
        <v>30.380189876186737</v>
      </c>
    </row>
    <row r="936" spans="1:56" ht="15.6" x14ac:dyDescent="0.3">
      <c r="A936" s="107">
        <v>39779</v>
      </c>
      <c r="B936" s="108">
        <v>1842</v>
      </c>
      <c r="C936" s="108">
        <v>7899</v>
      </c>
      <c r="D936" s="108">
        <v>924</v>
      </c>
      <c r="E936" s="108">
        <v>3492</v>
      </c>
      <c r="F936" s="108">
        <v>1040</v>
      </c>
      <c r="G936" s="108">
        <v>2977</v>
      </c>
      <c r="H936" s="108">
        <v>653</v>
      </c>
      <c r="I936" s="108">
        <v>1420</v>
      </c>
      <c r="J936" s="108">
        <v>104</v>
      </c>
      <c r="K936" s="108">
        <v>268</v>
      </c>
      <c r="L936" s="108">
        <v>4563</v>
      </c>
      <c r="M936" s="108">
        <v>16056</v>
      </c>
      <c r="N936" s="108">
        <v>8524</v>
      </c>
      <c r="O936" s="108">
        <v>10155</v>
      </c>
      <c r="P936" s="108">
        <v>8026</v>
      </c>
      <c r="Q936" s="108">
        <v>9527</v>
      </c>
      <c r="R936" s="16">
        <f t="shared" si="438"/>
        <v>21113</v>
      </c>
    </row>
    <row r="937" spans="1:56" ht="15.6" x14ac:dyDescent="0.3">
      <c r="A937" s="107">
        <v>40143</v>
      </c>
      <c r="B937" s="108">
        <v>1461</v>
      </c>
      <c r="C937" s="106">
        <v>3869</v>
      </c>
      <c r="D937" s="106">
        <v>474</v>
      </c>
      <c r="E937" s="106">
        <v>1646</v>
      </c>
      <c r="F937" s="106">
        <v>1001</v>
      </c>
      <c r="G937" s="106">
        <v>2597</v>
      </c>
      <c r="H937" s="106">
        <v>699</v>
      </c>
      <c r="I937" s="106">
        <v>2150</v>
      </c>
      <c r="J937" s="106">
        <v>278</v>
      </c>
      <c r="K937" s="106">
        <v>603</v>
      </c>
      <c r="L937" s="106">
        <v>3913</v>
      </c>
      <c r="M937" s="106">
        <v>10864</v>
      </c>
      <c r="N937" s="106">
        <v>9915</v>
      </c>
      <c r="O937" s="106">
        <v>10659</v>
      </c>
      <c r="P937" s="108">
        <v>15116</v>
      </c>
      <c r="Q937" s="106">
        <v>12698</v>
      </c>
      <c r="R937" s="16">
        <f t="shared" si="438"/>
        <v>28944</v>
      </c>
      <c r="AW937" s="114">
        <f>+(L937/L935-1)*100</f>
        <v>0.15357051446123204</v>
      </c>
      <c r="AX937" s="114">
        <f>+(L937/L936-1)*100</f>
        <v>-14.245014245014243</v>
      </c>
      <c r="AY937" s="114">
        <f>+(P937/P935-1)*100</f>
        <v>-4.0741210813554973</v>
      </c>
      <c r="AZ937" s="114">
        <f>(P937/P936-1)*100</f>
        <v>88.337901819087961</v>
      </c>
      <c r="BA937" s="114">
        <f>(N937/N935-1)*100</f>
        <v>-2.1803472770323573</v>
      </c>
      <c r="BB937" s="114">
        <f>+(N937/N936-1)*100</f>
        <v>16.31862975129048</v>
      </c>
      <c r="BC937" s="114">
        <f>+(R937/R935-1)*100</f>
        <v>-2.875742424750849</v>
      </c>
      <c r="BD937" s="114">
        <f>+(R937/R936-1)*100</f>
        <v>37.090891867569752</v>
      </c>
    </row>
    <row r="938" spans="1:56" ht="15.6" x14ac:dyDescent="0.3">
      <c r="A938" s="107">
        <v>39786</v>
      </c>
      <c r="B938" s="108">
        <v>1836</v>
      </c>
      <c r="C938" s="108">
        <v>7970</v>
      </c>
      <c r="D938" s="108">
        <v>901</v>
      </c>
      <c r="E938" s="108">
        <v>3534</v>
      </c>
      <c r="F938" s="108">
        <v>1096</v>
      </c>
      <c r="G938" s="108">
        <v>3032</v>
      </c>
      <c r="H938" s="108">
        <v>543</v>
      </c>
      <c r="I938" s="108">
        <v>1573</v>
      </c>
      <c r="J938" s="108">
        <v>104</v>
      </c>
      <c r="K938" s="108">
        <v>270</v>
      </c>
      <c r="L938" s="108">
        <v>4480</v>
      </c>
      <c r="M938" s="108">
        <v>16378</v>
      </c>
      <c r="N938" s="108">
        <v>8764</v>
      </c>
      <c r="O938" s="108">
        <v>10843</v>
      </c>
      <c r="P938" s="108">
        <v>7889</v>
      </c>
      <c r="Q938" s="108">
        <v>10474</v>
      </c>
      <c r="R938" s="16">
        <f t="shared" si="438"/>
        <v>21133</v>
      </c>
    </row>
    <row r="939" spans="1:56" ht="15.6" x14ac:dyDescent="0.3">
      <c r="A939" s="107">
        <v>40150</v>
      </c>
      <c r="B939" s="108">
        <v>1467</v>
      </c>
      <c r="C939" s="106">
        <v>3980</v>
      </c>
      <c r="D939" s="106">
        <v>489</v>
      </c>
      <c r="E939" s="106">
        <v>1675</v>
      </c>
      <c r="F939" s="106">
        <v>930</v>
      </c>
      <c r="G939" s="106">
        <v>2700</v>
      </c>
      <c r="H939" s="106">
        <v>725</v>
      </c>
      <c r="I939" s="106">
        <v>2176</v>
      </c>
      <c r="J939" s="106">
        <v>241</v>
      </c>
      <c r="K939" s="106">
        <v>640</v>
      </c>
      <c r="L939" s="106">
        <v>3851</v>
      </c>
      <c r="M939" s="106">
        <v>11170</v>
      </c>
      <c r="N939" s="106">
        <v>10057</v>
      </c>
      <c r="O939" s="106">
        <v>11365</v>
      </c>
      <c r="P939" s="108">
        <v>13977</v>
      </c>
      <c r="Q939" s="106">
        <v>14642</v>
      </c>
      <c r="R939" s="16">
        <f t="shared" si="438"/>
        <v>27885</v>
      </c>
      <c r="AW939" s="114">
        <f>+(L939/L937-1)*100</f>
        <v>-1.5844620495783279</v>
      </c>
      <c r="AX939" s="114">
        <f>+(L939/L938-1)*100</f>
        <v>-14.040178571428575</v>
      </c>
      <c r="AY939" s="114">
        <f>+(P939/P937-1)*100</f>
        <v>-7.5350621857634303</v>
      </c>
      <c r="AZ939" s="114">
        <f>(P939/P938-1)*100</f>
        <v>77.170744074027127</v>
      </c>
      <c r="BA939" s="114">
        <f>(N939/N937-1)*100</f>
        <v>1.4321734745335268</v>
      </c>
      <c r="BB939" s="114">
        <f>+(N939/N938-1)*100</f>
        <v>14.753537197626665</v>
      </c>
      <c r="BC939" s="114">
        <f>+(R939/R937-1)*100</f>
        <v>-3.6587893864013288</v>
      </c>
      <c r="BD939" s="114">
        <f>+(R939/R938-1)*100</f>
        <v>31.950030757582937</v>
      </c>
    </row>
    <row r="940" spans="1:56" ht="15.6" x14ac:dyDescent="0.3">
      <c r="A940" s="107">
        <v>39793</v>
      </c>
      <c r="B940" s="108">
        <v>1841</v>
      </c>
      <c r="C940" s="108">
        <v>8060</v>
      </c>
      <c r="D940" s="108">
        <v>920</v>
      </c>
      <c r="E940" s="108">
        <v>3567</v>
      </c>
      <c r="F940" s="108">
        <v>979</v>
      </c>
      <c r="G940" s="108">
        <v>3224</v>
      </c>
      <c r="H940" s="108">
        <v>511</v>
      </c>
      <c r="I940" s="108">
        <v>1639</v>
      </c>
      <c r="J940" s="108">
        <v>75</v>
      </c>
      <c r="K940" s="108">
        <v>303</v>
      </c>
      <c r="L940" s="108">
        <v>4327</v>
      </c>
      <c r="M940" s="108">
        <v>16793</v>
      </c>
      <c r="N940" s="108">
        <v>8666</v>
      </c>
      <c r="O940" s="108">
        <v>11553</v>
      </c>
      <c r="P940" s="108">
        <v>7628</v>
      </c>
      <c r="Q940" s="108">
        <v>11629</v>
      </c>
      <c r="R940" s="16">
        <f t="shared" si="438"/>
        <v>20621</v>
      </c>
    </row>
    <row r="941" spans="1:56" ht="15.6" x14ac:dyDescent="0.3">
      <c r="A941" s="107">
        <v>40157</v>
      </c>
      <c r="B941" s="108">
        <v>1424</v>
      </c>
      <c r="C941" s="106">
        <v>4172</v>
      </c>
      <c r="D941" s="106">
        <v>512</v>
      </c>
      <c r="E941" s="106">
        <v>1698</v>
      </c>
      <c r="F941" s="106">
        <v>973</v>
      </c>
      <c r="G941" s="106">
        <v>2749</v>
      </c>
      <c r="H941" s="106">
        <v>708</v>
      </c>
      <c r="I941" s="106">
        <v>2251</v>
      </c>
      <c r="J941" s="106">
        <v>241</v>
      </c>
      <c r="K941" s="106">
        <v>640</v>
      </c>
      <c r="L941" s="106">
        <v>3858</v>
      </c>
      <c r="M941" s="106">
        <v>11509</v>
      </c>
      <c r="N941" s="106">
        <v>10507</v>
      </c>
      <c r="O941" s="106">
        <v>12142</v>
      </c>
      <c r="P941" s="108">
        <v>13248</v>
      </c>
      <c r="Q941" s="106">
        <v>16305</v>
      </c>
      <c r="R941" s="16">
        <f t="shared" si="438"/>
        <v>27613</v>
      </c>
      <c r="AW941" s="114">
        <f>+(L941/L939-1)*100</f>
        <v>0.18177096857958652</v>
      </c>
      <c r="AX941" s="114">
        <f>+(L941/L940-1)*100</f>
        <v>-10.838918419228104</v>
      </c>
      <c r="AY941" s="114">
        <f>+(P941/P939-1)*100</f>
        <v>-5.2157115260785591</v>
      </c>
      <c r="AZ941" s="114">
        <f>(P941/P940-1)*100</f>
        <v>73.675930781331942</v>
      </c>
      <c r="BA941" s="114">
        <f>(N941/N939-1)*100</f>
        <v>4.4744953763547812</v>
      </c>
      <c r="BB941" s="114">
        <f>+(N941/N940-1)*100</f>
        <v>21.243941841680126</v>
      </c>
      <c r="BC941" s="114">
        <f>+(R941/R939-1)*100</f>
        <v>-0.97543482158867212</v>
      </c>
      <c r="BD941" s="114">
        <f>+(R941/R940-1)*100</f>
        <v>33.907181998933126</v>
      </c>
    </row>
    <row r="942" spans="1:56" ht="15.6" x14ac:dyDescent="0.3">
      <c r="A942" s="107">
        <v>39800</v>
      </c>
      <c r="B942" s="108">
        <v>1807</v>
      </c>
      <c r="C942" s="108">
        <v>8177</v>
      </c>
      <c r="D942" s="108">
        <v>900</v>
      </c>
      <c r="E942" s="108">
        <v>3651</v>
      </c>
      <c r="F942" s="108">
        <v>938</v>
      </c>
      <c r="G942" s="108">
        <v>3293</v>
      </c>
      <c r="H942" s="108">
        <v>570</v>
      </c>
      <c r="I942" s="108">
        <v>1660</v>
      </c>
      <c r="J942" s="108">
        <v>75</v>
      </c>
      <c r="K942" s="108">
        <v>303</v>
      </c>
      <c r="L942" s="108">
        <v>4290</v>
      </c>
      <c r="M942" s="108">
        <v>17084</v>
      </c>
      <c r="N942" s="108">
        <v>8386</v>
      </c>
      <c r="O942" s="108">
        <v>12385</v>
      </c>
      <c r="P942" s="108">
        <v>7261</v>
      </c>
      <c r="Q942" s="108">
        <v>12581</v>
      </c>
      <c r="R942" s="16">
        <f t="shared" ref="R942:R947" si="439">P942+N942+L942</f>
        <v>19937</v>
      </c>
    </row>
    <row r="943" spans="1:56" ht="15.6" x14ac:dyDescent="0.3">
      <c r="A943" s="107">
        <v>40164</v>
      </c>
      <c r="B943" s="108">
        <v>1369</v>
      </c>
      <c r="C943" s="106">
        <v>4325</v>
      </c>
      <c r="D943" s="106">
        <v>502</v>
      </c>
      <c r="E943" s="106">
        <v>1732</v>
      </c>
      <c r="F943" s="106">
        <v>972</v>
      </c>
      <c r="G943" s="106">
        <v>2800</v>
      </c>
      <c r="H943" s="106">
        <v>670</v>
      </c>
      <c r="I943" s="106">
        <v>2341</v>
      </c>
      <c r="J943" s="106">
        <v>241</v>
      </c>
      <c r="K943" s="106">
        <v>640</v>
      </c>
      <c r="L943" s="106">
        <v>3752</v>
      </c>
      <c r="M943" s="106">
        <v>11837</v>
      </c>
      <c r="N943" s="106">
        <v>11684</v>
      </c>
      <c r="O943" s="106">
        <v>12556</v>
      </c>
      <c r="P943" s="108">
        <v>13551</v>
      </c>
      <c r="Q943" s="106">
        <v>17199</v>
      </c>
      <c r="R943" s="16">
        <f t="shared" si="439"/>
        <v>28987</v>
      </c>
      <c r="AW943" s="114"/>
      <c r="AX943" s="114"/>
      <c r="BA943" s="114"/>
      <c r="BB943" s="114"/>
      <c r="BC943" s="114"/>
      <c r="BD943" s="114"/>
    </row>
    <row r="944" spans="1:56" ht="15.6" x14ac:dyDescent="0.3">
      <c r="A944" s="107">
        <v>39807</v>
      </c>
      <c r="B944" s="108">
        <v>1877</v>
      </c>
      <c r="C944" s="108">
        <v>8210</v>
      </c>
      <c r="D944" s="108">
        <v>956</v>
      </c>
      <c r="E944" s="108">
        <v>3661</v>
      </c>
      <c r="F944" s="108">
        <v>950</v>
      </c>
      <c r="G944" s="108">
        <v>3349</v>
      </c>
      <c r="H944" s="108">
        <v>656</v>
      </c>
      <c r="I944" s="108">
        <v>1738</v>
      </c>
      <c r="J944" s="108">
        <v>91</v>
      </c>
      <c r="K944" s="108">
        <v>303</v>
      </c>
      <c r="L944" s="108">
        <v>4531</v>
      </c>
      <c r="M944" s="108">
        <v>17261</v>
      </c>
      <c r="N944" s="108">
        <v>8054</v>
      </c>
      <c r="O944" s="108">
        <v>12987</v>
      </c>
      <c r="P944" s="108">
        <v>6851</v>
      </c>
      <c r="Q944" s="108">
        <v>13501</v>
      </c>
      <c r="R944" s="16">
        <f t="shared" si="439"/>
        <v>19436</v>
      </c>
    </row>
    <row r="945" spans="1:52" ht="15.6" x14ac:dyDescent="0.3">
      <c r="A945" s="107">
        <v>40171</v>
      </c>
      <c r="B945" s="108">
        <v>1406</v>
      </c>
      <c r="C945" s="106">
        <v>4434</v>
      </c>
      <c r="D945" s="106">
        <v>502</v>
      </c>
      <c r="E945" s="106">
        <v>1762</v>
      </c>
      <c r="F945" s="106">
        <v>955</v>
      </c>
      <c r="G945" s="106">
        <v>2895</v>
      </c>
      <c r="H945" s="106">
        <v>724</v>
      </c>
      <c r="I945" s="106">
        <v>2394</v>
      </c>
      <c r="J945" s="106">
        <v>241</v>
      </c>
      <c r="K945" s="106">
        <v>645</v>
      </c>
      <c r="L945" s="106">
        <v>3828</v>
      </c>
      <c r="M945" s="106">
        <v>12131</v>
      </c>
      <c r="N945" s="106">
        <v>11593</v>
      </c>
      <c r="O945" s="106">
        <v>13420</v>
      </c>
      <c r="P945" s="108">
        <v>12970</v>
      </c>
      <c r="Q945" s="106">
        <v>18579</v>
      </c>
      <c r="R945" s="16">
        <f t="shared" si="439"/>
        <v>28391</v>
      </c>
      <c r="AY945" s="114"/>
      <c r="AZ945" s="114"/>
    </row>
    <row r="946" spans="1:52" ht="15.6" x14ac:dyDescent="0.3">
      <c r="A946" s="107">
        <v>39814</v>
      </c>
      <c r="B946" s="108">
        <v>1797</v>
      </c>
      <c r="C946" s="108">
        <v>8335</v>
      </c>
      <c r="D946" s="108">
        <v>869</v>
      </c>
      <c r="E946" s="108">
        <v>3743</v>
      </c>
      <c r="F946" s="108">
        <v>885</v>
      </c>
      <c r="G946" s="108">
        <v>3417</v>
      </c>
      <c r="H946" s="108">
        <v>579</v>
      </c>
      <c r="I946" s="108">
        <v>1815</v>
      </c>
      <c r="J946" s="108">
        <v>91</v>
      </c>
      <c r="K946" s="108">
        <v>304</v>
      </c>
      <c r="L946" s="108">
        <v>4221</v>
      </c>
      <c r="M946" s="108">
        <v>17613</v>
      </c>
      <c r="N946" s="108">
        <v>7703</v>
      </c>
      <c r="O946" s="108">
        <v>13598</v>
      </c>
      <c r="P946" s="108">
        <v>6576</v>
      </c>
      <c r="Q946" s="108">
        <v>14306</v>
      </c>
      <c r="R946" s="16">
        <f t="shared" si="439"/>
        <v>18500</v>
      </c>
    </row>
    <row r="947" spans="1:52" ht="15.6" x14ac:dyDescent="0.3">
      <c r="A947" s="107">
        <v>40178</v>
      </c>
      <c r="B947" s="108">
        <v>1368</v>
      </c>
      <c r="C947" s="106">
        <v>4544</v>
      </c>
      <c r="D947" s="106">
        <v>482</v>
      </c>
      <c r="E947" s="106">
        <v>1797</v>
      </c>
      <c r="F947" s="106">
        <v>914</v>
      </c>
      <c r="G947" s="106">
        <v>2940</v>
      </c>
      <c r="H947" s="106">
        <v>695</v>
      </c>
      <c r="I947" s="106">
        <v>2425</v>
      </c>
      <c r="J947" s="106">
        <v>218</v>
      </c>
      <c r="K947" s="106">
        <v>669</v>
      </c>
      <c r="L947" s="106">
        <v>3677</v>
      </c>
      <c r="M947" s="106">
        <v>12375</v>
      </c>
      <c r="N947" s="106">
        <v>11160</v>
      </c>
      <c r="O947" s="106">
        <v>14218</v>
      </c>
      <c r="P947" s="108">
        <v>12517</v>
      </c>
      <c r="Q947" s="106">
        <v>19749</v>
      </c>
      <c r="R947" s="16">
        <f t="shared" si="439"/>
        <v>27354</v>
      </c>
      <c r="AY947" s="114"/>
      <c r="AZ947" s="114"/>
    </row>
    <row r="948" spans="1:52" ht="15.6" x14ac:dyDescent="0.3">
      <c r="A948" s="107">
        <v>39821</v>
      </c>
      <c r="B948" s="108">
        <v>1577</v>
      </c>
      <c r="C948" s="108">
        <v>8640</v>
      </c>
      <c r="D948" s="108">
        <v>705</v>
      </c>
      <c r="E948" s="108">
        <v>3810</v>
      </c>
      <c r="F948" s="108">
        <v>804</v>
      </c>
      <c r="G948" s="108">
        <v>3578</v>
      </c>
      <c r="H948" s="108">
        <v>561</v>
      </c>
      <c r="I948" s="108">
        <v>1853</v>
      </c>
      <c r="J948" s="108">
        <v>91</v>
      </c>
      <c r="K948" s="108">
        <v>304</v>
      </c>
      <c r="L948" s="108">
        <v>3738</v>
      </c>
      <c r="M948" s="108">
        <v>18184</v>
      </c>
      <c r="N948" s="108">
        <v>7307</v>
      </c>
      <c r="O948" s="108">
        <v>14210</v>
      </c>
      <c r="P948" s="108">
        <v>7211</v>
      </c>
      <c r="Q948" s="108">
        <v>15033</v>
      </c>
      <c r="R948" s="16">
        <f t="shared" ref="R948:R953" si="440">P948+N948+L948</f>
        <v>18256</v>
      </c>
    </row>
    <row r="949" spans="1:52" ht="15.6" x14ac:dyDescent="0.3">
      <c r="A949" s="107">
        <v>40185</v>
      </c>
      <c r="B949" s="108">
        <v>1323</v>
      </c>
      <c r="C949" s="106">
        <v>4719</v>
      </c>
      <c r="D949" s="106">
        <v>478</v>
      </c>
      <c r="E949" s="106">
        <v>1803</v>
      </c>
      <c r="F949" s="106">
        <v>882</v>
      </c>
      <c r="G949" s="106">
        <v>2995</v>
      </c>
      <c r="H949" s="106">
        <v>671</v>
      </c>
      <c r="I949" s="106">
        <v>2475</v>
      </c>
      <c r="J949" s="106">
        <v>214</v>
      </c>
      <c r="K949" s="106">
        <v>674</v>
      </c>
      <c r="L949" s="106">
        <v>3568</v>
      </c>
      <c r="M949" s="106">
        <v>12666</v>
      </c>
      <c r="N949" s="106">
        <v>10829</v>
      </c>
      <c r="O949" s="106">
        <v>14876</v>
      </c>
      <c r="P949" s="108">
        <v>11648</v>
      </c>
      <c r="Q949" s="106">
        <v>21314</v>
      </c>
      <c r="R949" s="16">
        <f t="shared" si="440"/>
        <v>26045</v>
      </c>
    </row>
    <row r="950" spans="1:52" ht="15.6" x14ac:dyDescent="0.3">
      <c r="A950" s="107">
        <v>39828</v>
      </c>
      <c r="B950" s="108">
        <v>1693</v>
      </c>
      <c r="C950" s="108">
        <v>8682</v>
      </c>
      <c r="D950" s="108">
        <v>666</v>
      </c>
      <c r="E950" s="108">
        <v>3853</v>
      </c>
      <c r="F950" s="108">
        <v>933</v>
      </c>
      <c r="G950" s="108">
        <v>3627</v>
      </c>
      <c r="H950" s="108">
        <v>583</v>
      </c>
      <c r="I950" s="108">
        <v>1898</v>
      </c>
      <c r="J950" s="108">
        <v>91</v>
      </c>
      <c r="K950" s="108">
        <v>305</v>
      </c>
      <c r="L950" s="108">
        <v>3966</v>
      </c>
      <c r="M950" s="108">
        <v>18366</v>
      </c>
      <c r="N950" s="108">
        <v>7709</v>
      </c>
      <c r="O950" s="108">
        <v>14894</v>
      </c>
      <c r="P950" s="108">
        <v>7518</v>
      </c>
      <c r="Q950" s="108">
        <v>16050</v>
      </c>
      <c r="R950" s="16">
        <f t="shared" si="440"/>
        <v>19193</v>
      </c>
    </row>
    <row r="951" spans="1:52" ht="15.6" x14ac:dyDescent="0.3">
      <c r="A951" s="107">
        <v>40192</v>
      </c>
      <c r="B951" s="108">
        <v>1552</v>
      </c>
      <c r="C951" s="106">
        <v>4806</v>
      </c>
      <c r="D951" s="106">
        <v>465</v>
      </c>
      <c r="E951" s="106">
        <v>1876</v>
      </c>
      <c r="F951" s="106">
        <v>1052</v>
      </c>
      <c r="G951" s="106">
        <v>3086</v>
      </c>
      <c r="H951" s="106">
        <v>798</v>
      </c>
      <c r="I951" s="106">
        <v>2514</v>
      </c>
      <c r="J951" s="106">
        <v>210</v>
      </c>
      <c r="K951" s="106">
        <v>701</v>
      </c>
      <c r="L951" s="106">
        <v>4077</v>
      </c>
      <c r="M951" s="106">
        <v>12983</v>
      </c>
      <c r="N951" s="106">
        <v>11604</v>
      </c>
      <c r="O951" s="106">
        <v>15712</v>
      </c>
      <c r="P951" s="108">
        <v>11031</v>
      </c>
      <c r="Q951" s="106">
        <v>22860</v>
      </c>
      <c r="R951" s="16">
        <f t="shared" si="440"/>
        <v>26712</v>
      </c>
    </row>
    <row r="952" spans="1:52" ht="15.6" x14ac:dyDescent="0.3">
      <c r="A952" s="107">
        <v>39835</v>
      </c>
      <c r="B952" s="108">
        <v>1294</v>
      </c>
      <c r="C952" s="108">
        <v>8833</v>
      </c>
      <c r="D952" s="108">
        <v>699</v>
      </c>
      <c r="E952" s="108">
        <v>3892</v>
      </c>
      <c r="F952" s="108">
        <v>850</v>
      </c>
      <c r="G952" s="108">
        <v>3745</v>
      </c>
      <c r="H952" s="108">
        <v>725</v>
      </c>
      <c r="I952" s="108">
        <v>1922</v>
      </c>
      <c r="J952" s="108">
        <v>75</v>
      </c>
      <c r="K952" s="108">
        <v>320</v>
      </c>
      <c r="L952" s="108">
        <v>3644</v>
      </c>
      <c r="M952" s="108">
        <v>18711</v>
      </c>
      <c r="N952" s="108">
        <v>8078</v>
      </c>
      <c r="O952" s="108">
        <v>15633</v>
      </c>
      <c r="P952" s="108">
        <v>7086</v>
      </c>
      <c r="Q952" s="108">
        <v>17008</v>
      </c>
      <c r="R952" s="16">
        <f t="shared" si="440"/>
        <v>18808</v>
      </c>
    </row>
    <row r="953" spans="1:52" ht="15.6" x14ac:dyDescent="0.3">
      <c r="A953" s="107">
        <v>40199</v>
      </c>
      <c r="B953" s="108">
        <v>1677</v>
      </c>
      <c r="C953" s="106">
        <v>5028</v>
      </c>
      <c r="D953" s="106">
        <v>470</v>
      </c>
      <c r="E953" s="106">
        <v>1918</v>
      </c>
      <c r="F953" s="106">
        <v>1078</v>
      </c>
      <c r="G953" s="106">
        <v>3173</v>
      </c>
      <c r="H953" s="106">
        <v>900</v>
      </c>
      <c r="I953" s="106">
        <v>2586</v>
      </c>
      <c r="J953" s="106">
        <v>189</v>
      </c>
      <c r="K953" s="106">
        <v>703</v>
      </c>
      <c r="L953" s="106">
        <v>4313</v>
      </c>
      <c r="M953" s="106">
        <v>13407</v>
      </c>
      <c r="N953" s="106">
        <v>11974</v>
      </c>
      <c r="O953" s="106">
        <v>16244</v>
      </c>
      <c r="P953" s="108">
        <v>10310</v>
      </c>
      <c r="Q953" s="106">
        <v>24254</v>
      </c>
      <c r="R953" s="16">
        <f t="shared" si="440"/>
        <v>26597</v>
      </c>
    </row>
    <row r="954" spans="1:52" ht="15.6" x14ac:dyDescent="0.3">
      <c r="A954" s="107">
        <v>39842</v>
      </c>
      <c r="B954" s="108">
        <v>1307</v>
      </c>
      <c r="C954" s="108">
        <v>8960</v>
      </c>
      <c r="D954" s="108">
        <v>678</v>
      </c>
      <c r="E954" s="108">
        <v>3928</v>
      </c>
      <c r="F954" s="108">
        <v>837</v>
      </c>
      <c r="G954" s="108">
        <v>3823</v>
      </c>
      <c r="H954" s="108">
        <v>692</v>
      </c>
      <c r="I954" s="108">
        <v>2046</v>
      </c>
      <c r="J954" s="108">
        <v>53</v>
      </c>
      <c r="K954" s="108">
        <v>358</v>
      </c>
      <c r="L954" s="108">
        <v>3568</v>
      </c>
      <c r="M954" s="108">
        <v>19114</v>
      </c>
      <c r="N954" s="108">
        <v>8497</v>
      </c>
      <c r="O954" s="108">
        <v>16378</v>
      </c>
      <c r="P954" s="108">
        <v>6359</v>
      </c>
      <c r="Q954" s="108">
        <v>18072</v>
      </c>
      <c r="R954" s="16">
        <f t="shared" ref="R954:R959" si="441">P954+N954+L954</f>
        <v>18424</v>
      </c>
    </row>
    <row r="955" spans="1:52" ht="15.6" x14ac:dyDescent="0.3">
      <c r="A955" s="107">
        <v>40206</v>
      </c>
      <c r="B955" s="108">
        <v>1644</v>
      </c>
      <c r="C955" s="106">
        <v>5208</v>
      </c>
      <c r="D955" s="106">
        <v>484</v>
      </c>
      <c r="E955" s="106">
        <v>1977</v>
      </c>
      <c r="F955" s="106">
        <v>1073</v>
      </c>
      <c r="G955" s="106">
        <v>3299</v>
      </c>
      <c r="H955" s="106">
        <v>886</v>
      </c>
      <c r="I955" s="106">
        <v>2647</v>
      </c>
      <c r="J955" s="106">
        <v>194</v>
      </c>
      <c r="K955" s="106">
        <v>705</v>
      </c>
      <c r="L955" s="106">
        <v>4282</v>
      </c>
      <c r="M955" s="106">
        <v>13857</v>
      </c>
      <c r="N955" s="106">
        <v>11775</v>
      </c>
      <c r="O955" s="106">
        <v>17367</v>
      </c>
      <c r="P955" s="108">
        <v>9417</v>
      </c>
      <c r="Q955" s="106">
        <v>25529</v>
      </c>
      <c r="R955" s="16">
        <f t="shared" si="441"/>
        <v>25474</v>
      </c>
    </row>
    <row r="956" spans="1:52" ht="15.6" x14ac:dyDescent="0.3">
      <c r="A956" s="107">
        <v>39849</v>
      </c>
      <c r="B956" s="108">
        <v>1191</v>
      </c>
      <c r="C956" s="108">
        <v>9199</v>
      </c>
      <c r="D956" s="108">
        <v>748</v>
      </c>
      <c r="E956" s="108">
        <v>3979</v>
      </c>
      <c r="F956" s="108">
        <v>792</v>
      </c>
      <c r="G956" s="108">
        <v>3930</v>
      </c>
      <c r="H956" s="108">
        <v>679</v>
      </c>
      <c r="I956" s="108">
        <v>2165</v>
      </c>
      <c r="J956" s="108">
        <v>53</v>
      </c>
      <c r="K956" s="108">
        <v>358</v>
      </c>
      <c r="L956" s="108">
        <v>3462</v>
      </c>
      <c r="M956" s="108">
        <v>19632</v>
      </c>
      <c r="N956" s="108">
        <v>9473</v>
      </c>
      <c r="O956" s="108">
        <v>16946</v>
      </c>
      <c r="P956" s="108">
        <v>6035</v>
      </c>
      <c r="Q956" s="108">
        <v>19465</v>
      </c>
      <c r="R956" s="16">
        <f t="shared" si="441"/>
        <v>18970</v>
      </c>
    </row>
    <row r="957" spans="1:52" ht="15.6" x14ac:dyDescent="0.3">
      <c r="A957" s="107">
        <v>40213</v>
      </c>
      <c r="B957" s="108">
        <v>1653</v>
      </c>
      <c r="C957" s="106">
        <v>5385</v>
      </c>
      <c r="D957" s="106">
        <v>506</v>
      </c>
      <c r="E957" s="106">
        <v>2040</v>
      </c>
      <c r="F957" s="106">
        <v>1061</v>
      </c>
      <c r="G957" s="106">
        <v>3366</v>
      </c>
      <c r="H957" s="106">
        <v>952</v>
      </c>
      <c r="I957" s="106">
        <v>2801</v>
      </c>
      <c r="J957" s="106">
        <v>210</v>
      </c>
      <c r="K957" s="106">
        <v>713</v>
      </c>
      <c r="L957" s="106">
        <v>4382</v>
      </c>
      <c r="M957" s="106">
        <v>14305</v>
      </c>
      <c r="N957" s="106">
        <v>11914</v>
      </c>
      <c r="O957" s="106">
        <v>17971</v>
      </c>
      <c r="P957" s="108">
        <v>8531</v>
      </c>
      <c r="Q957" s="106">
        <v>26728</v>
      </c>
      <c r="R957" s="16">
        <f t="shared" si="441"/>
        <v>24827</v>
      </c>
    </row>
    <row r="958" spans="1:52" ht="15.6" x14ac:dyDescent="0.3">
      <c r="A958" s="107">
        <v>39856</v>
      </c>
      <c r="B958" s="108">
        <v>1232</v>
      </c>
      <c r="C958" s="108">
        <v>9271</v>
      </c>
      <c r="D958" s="108">
        <v>733</v>
      </c>
      <c r="E958" s="108">
        <v>4051</v>
      </c>
      <c r="F958" s="108">
        <v>856</v>
      </c>
      <c r="G958" s="108">
        <v>4007</v>
      </c>
      <c r="H958" s="108">
        <v>768</v>
      </c>
      <c r="I958" s="108">
        <v>2197</v>
      </c>
      <c r="J958" s="108">
        <v>53</v>
      </c>
      <c r="K958" s="108">
        <v>359</v>
      </c>
      <c r="L958" s="108">
        <v>3643</v>
      </c>
      <c r="M958" s="108">
        <v>19884</v>
      </c>
      <c r="N958" s="108">
        <v>9894</v>
      </c>
      <c r="O958" s="108">
        <v>17857</v>
      </c>
      <c r="P958" s="108">
        <v>5870</v>
      </c>
      <c r="Q958" s="108">
        <v>20724</v>
      </c>
      <c r="R958" s="16">
        <f t="shared" si="441"/>
        <v>19407</v>
      </c>
    </row>
    <row r="959" spans="1:52" ht="15.6" x14ac:dyDescent="0.3">
      <c r="A959" s="107">
        <v>40220</v>
      </c>
      <c r="B959" s="108">
        <v>1714</v>
      </c>
      <c r="C959" s="106">
        <v>5577</v>
      </c>
      <c r="D959" s="106">
        <v>531</v>
      </c>
      <c r="E959" s="106">
        <v>2062</v>
      </c>
      <c r="F959" s="106">
        <v>1115</v>
      </c>
      <c r="G959" s="106">
        <v>3444</v>
      </c>
      <c r="H959" s="106">
        <v>880</v>
      </c>
      <c r="I959" s="106">
        <v>2849</v>
      </c>
      <c r="J959" s="106">
        <v>186</v>
      </c>
      <c r="K959" s="106">
        <v>738</v>
      </c>
      <c r="L959" s="106">
        <v>4427</v>
      </c>
      <c r="M959" s="106">
        <v>14670</v>
      </c>
      <c r="N959" s="106">
        <v>12236</v>
      </c>
      <c r="O959" s="106">
        <v>18623</v>
      </c>
      <c r="P959" s="108">
        <v>7615</v>
      </c>
      <c r="Q959" s="106">
        <v>27847</v>
      </c>
      <c r="R959" s="16">
        <f t="shared" si="441"/>
        <v>24278</v>
      </c>
    </row>
    <row r="960" spans="1:52" ht="15.6" x14ac:dyDescent="0.3">
      <c r="A960" s="107">
        <v>39863</v>
      </c>
      <c r="B960" s="108">
        <v>1344</v>
      </c>
      <c r="C960" s="108">
        <v>9346</v>
      </c>
      <c r="D960" s="108">
        <v>765</v>
      </c>
      <c r="E960" s="108">
        <v>4081</v>
      </c>
      <c r="F960" s="108">
        <v>900</v>
      </c>
      <c r="G960" s="108">
        <v>4070</v>
      </c>
      <c r="H960" s="108">
        <v>751</v>
      </c>
      <c r="I960" s="108">
        <v>2324</v>
      </c>
      <c r="J960" s="108">
        <v>51</v>
      </c>
      <c r="K960" s="108">
        <v>360</v>
      </c>
      <c r="L960" s="108">
        <v>3811</v>
      </c>
      <c r="M960" s="108">
        <v>20181</v>
      </c>
      <c r="N960" s="108">
        <v>9572</v>
      </c>
      <c r="O960" s="108">
        <v>18629</v>
      </c>
      <c r="P960" s="108">
        <v>5301</v>
      </c>
      <c r="Q960" s="108">
        <v>21632</v>
      </c>
      <c r="R960" s="16">
        <f t="shared" ref="R960:R965" si="442">P960+N960+L960</f>
        <v>18684</v>
      </c>
    </row>
    <row r="961" spans="1:18" ht="15.6" x14ac:dyDescent="0.3">
      <c r="A961" s="107">
        <v>40227</v>
      </c>
      <c r="B961" s="108">
        <v>1748</v>
      </c>
      <c r="C961" s="106">
        <v>5798</v>
      </c>
      <c r="D961" s="106">
        <v>534</v>
      </c>
      <c r="E961" s="106">
        <v>2092</v>
      </c>
      <c r="F961" s="106">
        <v>1052</v>
      </c>
      <c r="G961" s="106">
        <v>3578</v>
      </c>
      <c r="H961" s="106">
        <v>822</v>
      </c>
      <c r="I961" s="106">
        <v>2922</v>
      </c>
      <c r="J961" s="106">
        <v>186</v>
      </c>
      <c r="K961" s="106">
        <v>738</v>
      </c>
      <c r="L961" s="106">
        <v>4342</v>
      </c>
      <c r="M961" s="106">
        <v>15129</v>
      </c>
      <c r="N961" s="106">
        <v>11397</v>
      </c>
      <c r="O961" s="106">
        <v>19839</v>
      </c>
      <c r="P961" s="108">
        <v>6732</v>
      </c>
      <c r="Q961" s="106">
        <v>28969</v>
      </c>
      <c r="R961" s="16">
        <f t="shared" si="442"/>
        <v>22471</v>
      </c>
    </row>
    <row r="962" spans="1:18" ht="15.6" x14ac:dyDescent="0.3">
      <c r="A962" s="107">
        <v>39870</v>
      </c>
      <c r="B962" s="108">
        <v>1289</v>
      </c>
      <c r="C962" s="108">
        <v>9473</v>
      </c>
      <c r="D962" s="108">
        <v>729</v>
      </c>
      <c r="E962" s="108">
        <v>4160</v>
      </c>
      <c r="F962" s="108">
        <v>954</v>
      </c>
      <c r="G962" s="108">
        <v>4099</v>
      </c>
      <c r="H962" s="108">
        <v>822</v>
      </c>
      <c r="I962" s="108">
        <v>2341</v>
      </c>
      <c r="J962" s="108">
        <v>51</v>
      </c>
      <c r="K962" s="108">
        <v>360</v>
      </c>
      <c r="L962" s="108">
        <v>3844</v>
      </c>
      <c r="M962" s="108">
        <v>20433</v>
      </c>
      <c r="N962" s="108">
        <v>9455</v>
      </c>
      <c r="O962" s="108">
        <v>19537</v>
      </c>
      <c r="P962" s="108">
        <v>4705</v>
      </c>
      <c r="Q962" s="108">
        <v>22384</v>
      </c>
      <c r="R962" s="16">
        <f t="shared" si="442"/>
        <v>18004</v>
      </c>
    </row>
    <row r="963" spans="1:18" ht="15.6" x14ac:dyDescent="0.3">
      <c r="A963" s="107">
        <v>40234</v>
      </c>
      <c r="B963" s="108">
        <v>1563</v>
      </c>
      <c r="C963" s="106">
        <v>6036</v>
      </c>
      <c r="D963" s="106">
        <v>526</v>
      </c>
      <c r="E963" s="106">
        <v>2120</v>
      </c>
      <c r="F963" s="106">
        <v>962</v>
      </c>
      <c r="G963" s="106">
        <v>3697</v>
      </c>
      <c r="H963" s="106">
        <v>736</v>
      </c>
      <c r="I963" s="106">
        <v>3011</v>
      </c>
      <c r="J963" s="106">
        <v>186</v>
      </c>
      <c r="K963" s="106">
        <v>738</v>
      </c>
      <c r="L963" s="106">
        <v>3971</v>
      </c>
      <c r="M963" s="106">
        <v>15602</v>
      </c>
      <c r="N963" s="106">
        <v>11103</v>
      </c>
      <c r="O963" s="106">
        <v>20894</v>
      </c>
      <c r="P963" s="108">
        <v>5817</v>
      </c>
      <c r="Q963" s="106">
        <v>30667</v>
      </c>
      <c r="R963" s="16">
        <f t="shared" si="442"/>
        <v>20891</v>
      </c>
    </row>
    <row r="964" spans="1:18" ht="15.6" x14ac:dyDescent="0.3">
      <c r="A964" s="107">
        <v>39877</v>
      </c>
      <c r="B964" s="108">
        <v>1240</v>
      </c>
      <c r="C964" s="108">
        <v>9640</v>
      </c>
      <c r="D964" s="108">
        <v>758</v>
      </c>
      <c r="E964" s="108">
        <v>4193</v>
      </c>
      <c r="F964" s="108">
        <v>915</v>
      </c>
      <c r="G964" s="108">
        <v>4257</v>
      </c>
      <c r="H964" s="108">
        <v>764</v>
      </c>
      <c r="I964" s="108">
        <v>2436</v>
      </c>
      <c r="J964" s="108">
        <v>79</v>
      </c>
      <c r="K964" s="108">
        <v>360</v>
      </c>
      <c r="L964" s="108">
        <v>3755</v>
      </c>
      <c r="M964" s="108">
        <v>20885</v>
      </c>
      <c r="N964" s="108">
        <v>9478</v>
      </c>
      <c r="O964" s="108">
        <v>20606</v>
      </c>
      <c r="P964" s="108">
        <v>4656</v>
      </c>
      <c r="Q964" s="108">
        <v>23270</v>
      </c>
      <c r="R964" s="16">
        <f t="shared" si="442"/>
        <v>17889</v>
      </c>
    </row>
    <row r="965" spans="1:18" ht="15.6" x14ac:dyDescent="0.3">
      <c r="A965" s="107">
        <v>40241</v>
      </c>
      <c r="B965" s="108">
        <v>1524</v>
      </c>
      <c r="C965" s="106">
        <v>6272</v>
      </c>
      <c r="D965" s="106">
        <v>531</v>
      </c>
      <c r="E965" s="106">
        <v>2168</v>
      </c>
      <c r="F965" s="106">
        <v>940</v>
      </c>
      <c r="G965" s="106">
        <v>3825</v>
      </c>
      <c r="H965" s="106">
        <v>638</v>
      </c>
      <c r="I965" s="106">
        <v>3134</v>
      </c>
      <c r="J965" s="106">
        <v>207</v>
      </c>
      <c r="K965" s="106">
        <v>743</v>
      </c>
      <c r="L965" s="106">
        <v>3838</v>
      </c>
      <c r="M965" s="106">
        <v>16143</v>
      </c>
      <c r="N965" s="106">
        <v>10477</v>
      </c>
      <c r="O965" s="106">
        <v>21859</v>
      </c>
      <c r="P965" s="108">
        <v>4768</v>
      </c>
      <c r="Q965" s="106">
        <v>31000</v>
      </c>
      <c r="R965" s="16">
        <f t="shared" si="442"/>
        <v>19083</v>
      </c>
    </row>
    <row r="966" spans="1:18" ht="15.6" x14ac:dyDescent="0.3">
      <c r="A966" s="107">
        <v>39884</v>
      </c>
      <c r="B966" s="108">
        <v>1166</v>
      </c>
      <c r="C966" s="108">
        <v>9770</v>
      </c>
      <c r="D966" s="108">
        <v>717</v>
      </c>
      <c r="E966" s="108">
        <v>4262</v>
      </c>
      <c r="F966" s="108">
        <v>934</v>
      </c>
      <c r="G966" s="108">
        <v>4310</v>
      </c>
      <c r="H966" s="108">
        <v>761</v>
      </c>
      <c r="I966" s="108">
        <v>2495</v>
      </c>
      <c r="J966" s="108">
        <v>79</v>
      </c>
      <c r="K966" s="108">
        <v>360</v>
      </c>
      <c r="L966" s="108">
        <v>3658</v>
      </c>
      <c r="M966" s="108">
        <v>21197</v>
      </c>
      <c r="N966" s="108">
        <v>8985</v>
      </c>
      <c r="O966" s="108">
        <v>21540</v>
      </c>
      <c r="P966" s="108">
        <v>4170</v>
      </c>
      <c r="Q966" s="108">
        <v>23899</v>
      </c>
      <c r="R966" s="16">
        <f t="shared" ref="R966:R973" si="443">P966+N966+L966</f>
        <v>16813</v>
      </c>
    </row>
    <row r="967" spans="1:18" ht="15.6" x14ac:dyDescent="0.3">
      <c r="A967" s="107">
        <v>40248</v>
      </c>
      <c r="B967" s="108">
        <v>1476</v>
      </c>
      <c r="C967" s="106">
        <v>6399</v>
      </c>
      <c r="D967" s="106">
        <v>518</v>
      </c>
      <c r="E967" s="106">
        <v>2180</v>
      </c>
      <c r="F967" s="106">
        <v>1070</v>
      </c>
      <c r="G967" s="106">
        <v>3868</v>
      </c>
      <c r="H967" s="106">
        <v>677</v>
      </c>
      <c r="I967" s="106">
        <v>3144</v>
      </c>
      <c r="J967" s="106">
        <v>165</v>
      </c>
      <c r="K967" s="106">
        <v>808</v>
      </c>
      <c r="L967" s="106">
        <v>3906</v>
      </c>
      <c r="M967" s="106">
        <v>16400</v>
      </c>
      <c r="N967" s="106">
        <v>10269</v>
      </c>
      <c r="O967" s="106">
        <v>22814</v>
      </c>
      <c r="P967" s="108">
        <v>4069</v>
      </c>
      <c r="Q967" s="106">
        <v>31913</v>
      </c>
      <c r="R967" s="16">
        <f t="shared" si="443"/>
        <v>18244</v>
      </c>
    </row>
    <row r="968" spans="1:18" ht="15.6" x14ac:dyDescent="0.3">
      <c r="A968" s="107">
        <v>39891</v>
      </c>
      <c r="B968" s="108">
        <v>1191</v>
      </c>
      <c r="C968" s="108">
        <v>9968</v>
      </c>
      <c r="D968" s="108">
        <v>556</v>
      </c>
      <c r="E968" s="108">
        <v>4458</v>
      </c>
      <c r="F968" s="108">
        <v>930</v>
      </c>
      <c r="G968" s="108">
        <v>4380</v>
      </c>
      <c r="H968" s="108">
        <v>673</v>
      </c>
      <c r="I968" s="108">
        <v>2622</v>
      </c>
      <c r="J968" s="108">
        <v>79</v>
      </c>
      <c r="K968" s="108">
        <v>632</v>
      </c>
      <c r="L968" s="108">
        <v>3329</v>
      </c>
      <c r="M968" s="108">
        <v>21790</v>
      </c>
      <c r="N968" s="108">
        <v>9400</v>
      </c>
      <c r="O968" s="108">
        <v>22316</v>
      </c>
      <c r="P968" s="108">
        <v>4105</v>
      </c>
      <c r="Q968" s="108">
        <v>24393</v>
      </c>
      <c r="R968" s="16">
        <f t="shared" si="443"/>
        <v>16834</v>
      </c>
    </row>
    <row r="969" spans="1:18" ht="15.6" x14ac:dyDescent="0.3">
      <c r="A969" s="107">
        <v>40255</v>
      </c>
      <c r="B969" s="108">
        <v>1490</v>
      </c>
      <c r="C969" s="106">
        <v>6588</v>
      </c>
      <c r="D969" s="106">
        <v>497</v>
      </c>
      <c r="E969" s="106">
        <v>2271</v>
      </c>
      <c r="F969" s="106">
        <v>1031</v>
      </c>
      <c r="G969" s="106">
        <v>3951</v>
      </c>
      <c r="H969" s="106">
        <v>656</v>
      </c>
      <c r="I969" s="106">
        <v>3212</v>
      </c>
      <c r="J969" s="106">
        <v>151</v>
      </c>
      <c r="K969" s="106">
        <v>831</v>
      </c>
      <c r="L969" s="106">
        <v>3824</v>
      </c>
      <c r="M969" s="106">
        <v>16854</v>
      </c>
      <c r="N969" s="106">
        <v>9715</v>
      </c>
      <c r="O969" s="106">
        <v>23975</v>
      </c>
      <c r="P969" s="108">
        <v>3546</v>
      </c>
      <c r="Q969" s="106">
        <v>32652</v>
      </c>
      <c r="R969" s="16">
        <f t="shared" si="443"/>
        <v>17085</v>
      </c>
    </row>
    <row r="970" spans="1:18" ht="15.6" x14ac:dyDescent="0.3">
      <c r="A970" s="107">
        <v>39898</v>
      </c>
      <c r="B970" s="108">
        <v>1010</v>
      </c>
      <c r="C970" s="108">
        <v>10115</v>
      </c>
      <c r="D970" s="108">
        <v>486</v>
      </c>
      <c r="E970" s="108">
        <v>4541</v>
      </c>
      <c r="F970" s="108">
        <v>965</v>
      </c>
      <c r="G970" s="108">
        <v>4469</v>
      </c>
      <c r="H970" s="108">
        <v>709</v>
      </c>
      <c r="I970" s="108">
        <v>2677</v>
      </c>
      <c r="J970" s="108">
        <v>66</v>
      </c>
      <c r="K970" s="108">
        <v>365</v>
      </c>
      <c r="L970" s="108">
        <v>3236</v>
      </c>
      <c r="M970" s="108">
        <v>22167</v>
      </c>
      <c r="N970" s="108">
        <v>9657</v>
      </c>
      <c r="O970" s="108">
        <v>23310</v>
      </c>
      <c r="P970" s="108">
        <v>3955</v>
      </c>
      <c r="Q970" s="108">
        <v>25144</v>
      </c>
      <c r="R970" s="16">
        <f t="shared" si="443"/>
        <v>16848</v>
      </c>
    </row>
    <row r="971" spans="1:18" ht="15.6" x14ac:dyDescent="0.3">
      <c r="A971" s="107">
        <v>40262</v>
      </c>
      <c r="B971" s="108">
        <v>1268</v>
      </c>
      <c r="C971" s="106">
        <v>6881</v>
      </c>
      <c r="D971" s="106">
        <v>478</v>
      </c>
      <c r="E971" s="106">
        <v>2309</v>
      </c>
      <c r="F971" s="106">
        <v>977</v>
      </c>
      <c r="G971" s="106">
        <v>4282</v>
      </c>
      <c r="H971" s="106">
        <v>685</v>
      </c>
      <c r="I971" s="106">
        <v>3243</v>
      </c>
      <c r="J971" s="106">
        <v>155</v>
      </c>
      <c r="K971" s="106">
        <v>831</v>
      </c>
      <c r="L971" s="106">
        <v>3562</v>
      </c>
      <c r="M971" s="106">
        <v>17546</v>
      </c>
      <c r="N971" s="106">
        <v>9327</v>
      </c>
      <c r="O971" s="106">
        <v>25190</v>
      </c>
      <c r="P971" s="108">
        <v>2691</v>
      </c>
      <c r="Q971" s="106">
        <v>33686</v>
      </c>
      <c r="R971" s="16">
        <f t="shared" si="443"/>
        <v>15580</v>
      </c>
    </row>
    <row r="972" spans="1:18" ht="15.6" x14ac:dyDescent="0.3">
      <c r="A972" s="107">
        <v>39905</v>
      </c>
      <c r="B972" s="108">
        <v>965</v>
      </c>
      <c r="C972" s="108">
        <v>10252</v>
      </c>
      <c r="D972" s="108">
        <v>401</v>
      </c>
      <c r="E972" s="108">
        <v>4656</v>
      </c>
      <c r="F972" s="108">
        <v>899</v>
      </c>
      <c r="G972" s="108">
        <v>4582</v>
      </c>
      <c r="H972" s="108">
        <v>586</v>
      </c>
      <c r="I972" s="108">
        <v>2822</v>
      </c>
      <c r="J972" s="108">
        <v>66</v>
      </c>
      <c r="K972" s="108">
        <v>365</v>
      </c>
      <c r="L972" s="108">
        <v>2916</v>
      </c>
      <c r="M972" s="108">
        <v>22675</v>
      </c>
      <c r="N972" s="108">
        <v>9664</v>
      </c>
      <c r="O972" s="108">
        <v>24367</v>
      </c>
      <c r="P972" s="108">
        <v>3802</v>
      </c>
      <c r="Q972" s="108">
        <v>25728</v>
      </c>
      <c r="R972" s="16">
        <f t="shared" si="443"/>
        <v>16382</v>
      </c>
    </row>
    <row r="973" spans="1:18" ht="15.6" x14ac:dyDescent="0.3">
      <c r="A973" s="107">
        <v>40269</v>
      </c>
      <c r="B973" s="108">
        <v>1117</v>
      </c>
      <c r="C973" s="106">
        <v>7089</v>
      </c>
      <c r="D973" s="106">
        <v>451</v>
      </c>
      <c r="E973" s="106">
        <v>2368</v>
      </c>
      <c r="F973" s="106">
        <v>1118</v>
      </c>
      <c r="G973" s="106">
        <v>4342</v>
      </c>
      <c r="H973" s="106">
        <v>610</v>
      </c>
      <c r="I973" s="106">
        <v>3351</v>
      </c>
      <c r="J973" s="106">
        <v>139</v>
      </c>
      <c r="K973" s="106">
        <v>847</v>
      </c>
      <c r="L973" s="106">
        <v>3435</v>
      </c>
      <c r="M973" s="106">
        <v>17997</v>
      </c>
      <c r="N973" s="106">
        <v>9809</v>
      </c>
      <c r="O973" s="106">
        <v>26065</v>
      </c>
      <c r="P973" s="108">
        <v>2456</v>
      </c>
      <c r="Q973" s="106">
        <v>34127</v>
      </c>
      <c r="R973" s="16">
        <f t="shared" si="443"/>
        <v>15700</v>
      </c>
    </row>
    <row r="974" spans="1:18" ht="15.6" x14ac:dyDescent="0.3">
      <c r="A974" s="107">
        <v>39912</v>
      </c>
      <c r="B974" s="108">
        <v>814</v>
      </c>
      <c r="C974" s="108">
        <v>10434</v>
      </c>
      <c r="D974" s="108">
        <v>370</v>
      </c>
      <c r="E974" s="108">
        <v>4706</v>
      </c>
      <c r="F974" s="108">
        <v>769</v>
      </c>
      <c r="G974" s="108">
        <v>4721</v>
      </c>
      <c r="H974" s="108">
        <v>533</v>
      </c>
      <c r="I974" s="108">
        <v>2919</v>
      </c>
      <c r="J974" s="108">
        <v>66</v>
      </c>
      <c r="K974" s="108">
        <v>382</v>
      </c>
      <c r="L974" s="108">
        <v>2551</v>
      </c>
      <c r="M974" s="108">
        <v>23162</v>
      </c>
      <c r="N974" s="108">
        <v>9679</v>
      </c>
      <c r="O974" s="108">
        <v>25222</v>
      </c>
      <c r="P974" s="108">
        <v>4073</v>
      </c>
      <c r="Q974" s="108">
        <v>26265</v>
      </c>
      <c r="R974" s="16">
        <f t="shared" ref="R974:R979" si="444">P974+N974+L974</f>
        <v>16303</v>
      </c>
    </row>
    <row r="975" spans="1:18" ht="15.6" x14ac:dyDescent="0.3">
      <c r="A975" s="107">
        <v>40276</v>
      </c>
      <c r="B975" s="108">
        <v>961</v>
      </c>
      <c r="C975" s="106">
        <v>7281</v>
      </c>
      <c r="D975" s="106">
        <v>385</v>
      </c>
      <c r="E975" s="106">
        <v>2439</v>
      </c>
      <c r="F975" s="106">
        <v>988</v>
      </c>
      <c r="G975" s="106">
        <v>4495</v>
      </c>
      <c r="H975" s="106">
        <v>619</v>
      </c>
      <c r="I975" s="106">
        <v>3381</v>
      </c>
      <c r="J975" s="106">
        <v>107</v>
      </c>
      <c r="K975" s="106">
        <v>877</v>
      </c>
      <c r="L975" s="106">
        <v>3060</v>
      </c>
      <c r="M975" s="106">
        <v>18473</v>
      </c>
      <c r="N975" s="106">
        <v>9702</v>
      </c>
      <c r="O975" s="106">
        <v>27178</v>
      </c>
      <c r="P975" s="108">
        <v>2175</v>
      </c>
      <c r="Q975" s="106">
        <v>34566</v>
      </c>
      <c r="R975" s="16">
        <f t="shared" si="444"/>
        <v>14937</v>
      </c>
    </row>
    <row r="976" spans="1:18" ht="15.6" x14ac:dyDescent="0.3">
      <c r="A976" s="107">
        <v>39919</v>
      </c>
      <c r="B976" s="108">
        <v>906</v>
      </c>
      <c r="C976" s="108">
        <v>10505</v>
      </c>
      <c r="D976" s="108">
        <v>312</v>
      </c>
      <c r="E976" s="108">
        <v>4798</v>
      </c>
      <c r="F976" s="108">
        <v>668</v>
      </c>
      <c r="G976" s="108">
        <v>4828</v>
      </c>
      <c r="H976" s="108">
        <v>468</v>
      </c>
      <c r="I976" s="108">
        <v>2987</v>
      </c>
      <c r="J976" s="108">
        <v>43</v>
      </c>
      <c r="K976" s="108">
        <v>405</v>
      </c>
      <c r="L976" s="108">
        <v>2396</v>
      </c>
      <c r="M976" s="108">
        <v>23523</v>
      </c>
      <c r="N976" s="108">
        <v>9866</v>
      </c>
      <c r="O976" s="108">
        <v>26248</v>
      </c>
      <c r="P976" s="108">
        <v>4029</v>
      </c>
      <c r="Q976" s="108">
        <v>26926</v>
      </c>
      <c r="R976" s="16">
        <f t="shared" si="444"/>
        <v>16291</v>
      </c>
    </row>
    <row r="977" spans="1:18" ht="15.6" x14ac:dyDescent="0.3">
      <c r="A977" s="107">
        <v>40283</v>
      </c>
      <c r="B977" s="108">
        <v>1006</v>
      </c>
      <c r="C977" s="106">
        <v>7406</v>
      </c>
      <c r="D977" s="106">
        <v>331</v>
      </c>
      <c r="E977" s="106">
        <v>2503</v>
      </c>
      <c r="F977" s="106">
        <v>865</v>
      </c>
      <c r="G977" s="106">
        <v>4632</v>
      </c>
      <c r="H977" s="106">
        <v>475</v>
      </c>
      <c r="I977" s="106">
        <v>3486</v>
      </c>
      <c r="J977" s="106">
        <v>118</v>
      </c>
      <c r="K977" s="106">
        <v>878</v>
      </c>
      <c r="L977" s="106">
        <v>2794</v>
      </c>
      <c r="M977" s="106">
        <v>18905</v>
      </c>
      <c r="N977" s="106">
        <v>10028</v>
      </c>
      <c r="O977" s="106">
        <v>28334</v>
      </c>
      <c r="P977" s="108">
        <v>2057</v>
      </c>
      <c r="Q977" s="106">
        <v>34993</v>
      </c>
      <c r="R977" s="16">
        <f t="shared" si="444"/>
        <v>14879</v>
      </c>
    </row>
    <row r="978" spans="1:18" ht="15.6" x14ac:dyDescent="0.3">
      <c r="A978" s="107">
        <v>39926</v>
      </c>
      <c r="B978" s="108">
        <v>755</v>
      </c>
      <c r="C978" s="108">
        <v>10664</v>
      </c>
      <c r="D978" s="108">
        <v>291</v>
      </c>
      <c r="E978" s="108">
        <v>4839</v>
      </c>
      <c r="F978" s="108">
        <v>583</v>
      </c>
      <c r="G978" s="108">
        <v>4953</v>
      </c>
      <c r="H978" s="108">
        <v>515</v>
      </c>
      <c r="I978" s="108">
        <v>3013</v>
      </c>
      <c r="J978" s="108">
        <v>32</v>
      </c>
      <c r="K978" s="108">
        <v>417</v>
      </c>
      <c r="L978" s="108">
        <v>2175</v>
      </c>
      <c r="M978" s="108">
        <v>23886</v>
      </c>
      <c r="N978" s="108">
        <v>10253</v>
      </c>
      <c r="O978" s="108">
        <v>27086</v>
      </c>
      <c r="P978" s="108">
        <v>4583</v>
      </c>
      <c r="Q978" s="108">
        <v>27206</v>
      </c>
      <c r="R978" s="16">
        <f t="shared" si="444"/>
        <v>17011</v>
      </c>
    </row>
    <row r="979" spans="1:18" ht="15.6" x14ac:dyDescent="0.3">
      <c r="A979" s="107">
        <v>40290</v>
      </c>
      <c r="B979" s="108">
        <v>1013</v>
      </c>
      <c r="C979" s="106">
        <v>7479</v>
      </c>
      <c r="D979" s="106">
        <v>281</v>
      </c>
      <c r="E979" s="106">
        <v>2577</v>
      </c>
      <c r="F979" s="106">
        <v>833</v>
      </c>
      <c r="G979" s="106">
        <v>4701</v>
      </c>
      <c r="H979" s="106">
        <v>471</v>
      </c>
      <c r="I979" s="106">
        <v>3525</v>
      </c>
      <c r="J979" s="106">
        <v>90</v>
      </c>
      <c r="K979" s="106">
        <v>903</v>
      </c>
      <c r="L979" s="106">
        <v>2689</v>
      </c>
      <c r="M979" s="106">
        <v>19184</v>
      </c>
      <c r="N979" s="106">
        <v>10343</v>
      </c>
      <c r="O979" s="106">
        <v>29248</v>
      </c>
      <c r="P979" s="108">
        <v>1880</v>
      </c>
      <c r="Q979" s="106">
        <v>35270</v>
      </c>
      <c r="R979" s="16">
        <f t="shared" si="444"/>
        <v>14912</v>
      </c>
    </row>
    <row r="980" spans="1:18" ht="15.6" x14ac:dyDescent="0.3">
      <c r="A980" s="107">
        <v>39933</v>
      </c>
      <c r="B980" s="108">
        <v>693</v>
      </c>
      <c r="C980" s="108">
        <v>10775</v>
      </c>
      <c r="D980" s="108">
        <v>275</v>
      </c>
      <c r="E980" s="108">
        <v>4872</v>
      </c>
      <c r="F980" s="108">
        <v>613</v>
      </c>
      <c r="G980" s="108">
        <v>5029</v>
      </c>
      <c r="H980" s="108">
        <v>552</v>
      </c>
      <c r="I980" s="108">
        <v>3059</v>
      </c>
      <c r="J980" s="108">
        <v>29</v>
      </c>
      <c r="K980" s="108">
        <v>420</v>
      </c>
      <c r="L980" s="108">
        <v>2161</v>
      </c>
      <c r="M980" s="108">
        <v>24155</v>
      </c>
      <c r="N980" s="108">
        <v>10052</v>
      </c>
      <c r="O980" s="108">
        <v>27876</v>
      </c>
      <c r="P980" s="108">
        <v>4851</v>
      </c>
      <c r="Q980" s="108">
        <v>27593</v>
      </c>
      <c r="R980" s="16">
        <f t="shared" ref="R980:R985" si="445">P980+N980+L980</f>
        <v>17064</v>
      </c>
    </row>
    <row r="981" spans="1:18" ht="15.6" x14ac:dyDescent="0.3">
      <c r="A981" s="107">
        <v>40297</v>
      </c>
      <c r="B981" s="108">
        <v>910</v>
      </c>
      <c r="C981" s="106">
        <v>7651</v>
      </c>
      <c r="D981" s="106">
        <v>258</v>
      </c>
      <c r="E981" s="106">
        <v>2610</v>
      </c>
      <c r="F981" s="106">
        <v>683</v>
      </c>
      <c r="G981" s="106">
        <v>4906</v>
      </c>
      <c r="H981" s="106">
        <v>406</v>
      </c>
      <c r="I981" s="106">
        <v>3605</v>
      </c>
      <c r="J981" s="106">
        <v>93</v>
      </c>
      <c r="K981" s="106">
        <v>903</v>
      </c>
      <c r="L981" s="106">
        <v>2348</v>
      </c>
      <c r="M981" s="106">
        <v>19675</v>
      </c>
      <c r="N981" s="106">
        <v>11338</v>
      </c>
      <c r="O981" s="106">
        <v>30084</v>
      </c>
      <c r="P981" s="108">
        <v>1874</v>
      </c>
      <c r="Q981" s="106">
        <v>35560</v>
      </c>
      <c r="R981" s="16">
        <f t="shared" si="445"/>
        <v>15560</v>
      </c>
    </row>
    <row r="982" spans="1:18" ht="15.6" x14ac:dyDescent="0.3">
      <c r="A982" s="107">
        <v>39940</v>
      </c>
      <c r="B982" s="108">
        <v>660</v>
      </c>
      <c r="C982" s="108">
        <v>10884</v>
      </c>
      <c r="D982" s="108">
        <v>208</v>
      </c>
      <c r="E982" s="108">
        <v>4943</v>
      </c>
      <c r="F982" s="108">
        <v>525</v>
      </c>
      <c r="G982" s="108">
        <v>5132</v>
      </c>
      <c r="H982" s="108">
        <v>532</v>
      </c>
      <c r="I982" s="108">
        <v>3087</v>
      </c>
      <c r="J982" s="108">
        <v>29</v>
      </c>
      <c r="K982" s="108">
        <v>420</v>
      </c>
      <c r="L982" s="108">
        <v>1953</v>
      </c>
      <c r="M982" s="108">
        <v>24466</v>
      </c>
      <c r="N982" s="108">
        <v>9717</v>
      </c>
      <c r="O982" s="108">
        <v>29149</v>
      </c>
      <c r="P982" s="108">
        <v>4811</v>
      </c>
      <c r="Q982" s="108">
        <v>28035</v>
      </c>
      <c r="R982" s="16">
        <f t="shared" si="445"/>
        <v>16481</v>
      </c>
    </row>
    <row r="983" spans="1:18" ht="15.6" x14ac:dyDescent="0.3">
      <c r="A983" s="107">
        <v>40304</v>
      </c>
      <c r="B983" s="108">
        <v>813</v>
      </c>
      <c r="C983" s="106">
        <v>7879</v>
      </c>
      <c r="D983" s="106">
        <v>247</v>
      </c>
      <c r="E983" s="106">
        <v>2635</v>
      </c>
      <c r="F983" s="106">
        <v>507</v>
      </c>
      <c r="G983" s="106">
        <v>5083</v>
      </c>
      <c r="H983" s="106">
        <v>397</v>
      </c>
      <c r="I983" s="106">
        <v>3688</v>
      </c>
      <c r="J983" s="106">
        <v>111</v>
      </c>
      <c r="K983" s="106">
        <v>909</v>
      </c>
      <c r="L983" s="106">
        <v>2074</v>
      </c>
      <c r="M983" s="106">
        <v>20193</v>
      </c>
      <c r="N983" s="106">
        <v>11124</v>
      </c>
      <c r="O983" s="106">
        <v>31117</v>
      </c>
      <c r="P983" s="108">
        <v>1942</v>
      </c>
      <c r="Q983" s="106">
        <v>35700</v>
      </c>
      <c r="R983" s="16">
        <f t="shared" si="445"/>
        <v>15140</v>
      </c>
    </row>
    <row r="984" spans="1:18" ht="15.6" x14ac:dyDescent="0.3">
      <c r="A984" s="107">
        <v>39947</v>
      </c>
      <c r="B984" s="108">
        <v>619</v>
      </c>
      <c r="C984" s="108">
        <v>10969</v>
      </c>
      <c r="D984" s="108">
        <v>180</v>
      </c>
      <c r="E984" s="108">
        <v>4996</v>
      </c>
      <c r="F984" s="108">
        <v>353</v>
      </c>
      <c r="G984" s="108">
        <v>5315</v>
      </c>
      <c r="H984" s="108">
        <v>389</v>
      </c>
      <c r="I984" s="108">
        <v>3159</v>
      </c>
      <c r="J984" s="108">
        <v>20</v>
      </c>
      <c r="K984" s="108">
        <v>440</v>
      </c>
      <c r="L984" s="108">
        <v>1561</v>
      </c>
      <c r="M984" s="108">
        <v>24878</v>
      </c>
      <c r="N984" s="108">
        <v>9692</v>
      </c>
      <c r="O984" s="108">
        <v>29857</v>
      </c>
      <c r="P984" s="108">
        <v>5098</v>
      </c>
      <c r="Q984" s="108">
        <v>28425</v>
      </c>
      <c r="R984" s="16">
        <f t="shared" si="445"/>
        <v>16351</v>
      </c>
    </row>
    <row r="985" spans="1:18" ht="15.6" x14ac:dyDescent="0.3">
      <c r="A985" s="107">
        <v>40311</v>
      </c>
      <c r="B985" s="108">
        <v>743</v>
      </c>
      <c r="C985" s="106">
        <v>8037</v>
      </c>
      <c r="D985" s="106">
        <v>235</v>
      </c>
      <c r="E985" s="106">
        <v>2662</v>
      </c>
      <c r="F985" s="106">
        <v>493</v>
      </c>
      <c r="G985" s="106">
        <v>5162</v>
      </c>
      <c r="H985" s="106">
        <v>392</v>
      </c>
      <c r="I985" s="106">
        <v>3751</v>
      </c>
      <c r="J985" s="106">
        <v>125</v>
      </c>
      <c r="K985" s="106">
        <v>916</v>
      </c>
      <c r="L985" s="106">
        <v>1989</v>
      </c>
      <c r="M985" s="106">
        <v>20528</v>
      </c>
      <c r="N985" s="106">
        <v>11499</v>
      </c>
      <c r="O985" s="106">
        <v>32096</v>
      </c>
      <c r="P985" s="108">
        <v>2149</v>
      </c>
      <c r="Q985" s="106">
        <v>35970</v>
      </c>
      <c r="R985" s="16">
        <f t="shared" si="445"/>
        <v>15637</v>
      </c>
    </row>
    <row r="986" spans="1:18" ht="15.6" x14ac:dyDescent="0.3">
      <c r="A986" s="107">
        <v>39954</v>
      </c>
      <c r="B986" s="108">
        <v>461</v>
      </c>
      <c r="C986" s="108">
        <v>11138</v>
      </c>
      <c r="D986" s="108">
        <v>145</v>
      </c>
      <c r="E986" s="108">
        <v>5051</v>
      </c>
      <c r="F986" s="108">
        <v>361</v>
      </c>
      <c r="G986" s="108">
        <v>5350</v>
      </c>
      <c r="H986" s="108">
        <v>232</v>
      </c>
      <c r="I986" s="108">
        <v>3345</v>
      </c>
      <c r="J986" s="108">
        <v>5</v>
      </c>
      <c r="K986" s="108">
        <v>454</v>
      </c>
      <c r="L986" s="108">
        <v>1205</v>
      </c>
      <c r="M986" s="108">
        <v>25338</v>
      </c>
      <c r="N986" s="108">
        <v>9638</v>
      </c>
      <c r="O986" s="108">
        <v>30667</v>
      </c>
      <c r="P986" s="108">
        <v>4779</v>
      </c>
      <c r="Q986" s="108">
        <v>28981</v>
      </c>
      <c r="R986" s="16">
        <f t="shared" ref="R986:R993" si="446">P986+N986+L986</f>
        <v>15622</v>
      </c>
    </row>
    <row r="987" spans="1:18" ht="15.6" x14ac:dyDescent="0.3">
      <c r="A987" s="107">
        <v>40318</v>
      </c>
      <c r="B987" s="108">
        <v>591</v>
      </c>
      <c r="C987" s="106">
        <v>8285</v>
      </c>
      <c r="D987" s="106">
        <v>256</v>
      </c>
      <c r="E987" s="106">
        <v>2695</v>
      </c>
      <c r="F987" s="106">
        <v>369</v>
      </c>
      <c r="G987" s="106">
        <v>5290</v>
      </c>
      <c r="H987" s="106">
        <v>269</v>
      </c>
      <c r="I987" s="106">
        <v>3873</v>
      </c>
      <c r="J987" s="106">
        <v>81</v>
      </c>
      <c r="K987" s="106">
        <v>957</v>
      </c>
      <c r="L987" s="106">
        <v>1566</v>
      </c>
      <c r="M987" s="106">
        <v>21100</v>
      </c>
      <c r="N987" s="106">
        <v>11290</v>
      </c>
      <c r="O987" s="106">
        <v>33336</v>
      </c>
      <c r="P987" s="108">
        <v>2180</v>
      </c>
      <c r="Q987" s="106">
        <v>36115</v>
      </c>
      <c r="R987" s="16">
        <f t="shared" si="446"/>
        <v>15036</v>
      </c>
    </row>
    <row r="988" spans="1:18" ht="15.6" x14ac:dyDescent="0.3">
      <c r="A988" s="107">
        <v>39961</v>
      </c>
      <c r="B988" s="108">
        <v>358</v>
      </c>
      <c r="C988" s="108">
        <v>11244</v>
      </c>
      <c r="D988" s="108">
        <v>170</v>
      </c>
      <c r="E988" s="108">
        <v>5100</v>
      </c>
      <c r="F988" s="108">
        <v>304</v>
      </c>
      <c r="G988" s="108">
        <v>5408</v>
      </c>
      <c r="H988" s="108">
        <v>168</v>
      </c>
      <c r="I988" s="108">
        <v>3420</v>
      </c>
      <c r="J988" s="108">
        <v>5</v>
      </c>
      <c r="K988" s="108">
        <v>454</v>
      </c>
      <c r="L988" s="108">
        <v>1005</v>
      </c>
      <c r="M988" s="108">
        <v>25626</v>
      </c>
      <c r="N988" s="108">
        <v>9386</v>
      </c>
      <c r="O988" s="108">
        <v>31523</v>
      </c>
      <c r="P988" s="108">
        <v>4443</v>
      </c>
      <c r="Q988" s="108">
        <v>29293</v>
      </c>
      <c r="R988" s="16">
        <f t="shared" si="446"/>
        <v>14834</v>
      </c>
    </row>
    <row r="989" spans="1:18" ht="15.6" x14ac:dyDescent="0.3">
      <c r="A989" s="107">
        <v>40325</v>
      </c>
      <c r="B989" s="108">
        <v>340</v>
      </c>
      <c r="C989" s="106">
        <v>8458</v>
      </c>
      <c r="D989" s="106">
        <v>252</v>
      </c>
      <c r="E989" s="106">
        <v>2733</v>
      </c>
      <c r="F989" s="106">
        <v>323</v>
      </c>
      <c r="G989" s="106">
        <v>5329</v>
      </c>
      <c r="H989" s="106">
        <v>258</v>
      </c>
      <c r="I989" s="106">
        <v>3897</v>
      </c>
      <c r="J989" s="106">
        <v>40</v>
      </c>
      <c r="K989" s="106">
        <v>983</v>
      </c>
      <c r="L989" s="106">
        <v>1213</v>
      </c>
      <c r="M989" s="106">
        <v>21400</v>
      </c>
      <c r="N989" s="106">
        <v>10262</v>
      </c>
      <c r="O989" s="106">
        <v>34562</v>
      </c>
      <c r="P989" s="108">
        <v>2166</v>
      </c>
      <c r="Q989" s="106">
        <v>36264</v>
      </c>
      <c r="R989" s="16">
        <f t="shared" si="446"/>
        <v>13641</v>
      </c>
    </row>
    <row r="990" spans="1:18" ht="15.6" x14ac:dyDescent="0.3">
      <c r="A990" s="107">
        <v>39968</v>
      </c>
      <c r="B990" s="108">
        <v>1074</v>
      </c>
      <c r="C990" s="108">
        <v>62</v>
      </c>
      <c r="D990" s="108">
        <v>462</v>
      </c>
      <c r="E990" s="108">
        <v>0</v>
      </c>
      <c r="F990" s="108">
        <v>801</v>
      </c>
      <c r="G990" s="108">
        <v>5</v>
      </c>
      <c r="H990" s="108">
        <v>888</v>
      </c>
      <c r="I990" s="108">
        <v>9</v>
      </c>
      <c r="J990" s="108">
        <v>186</v>
      </c>
      <c r="K990" s="108">
        <v>0</v>
      </c>
      <c r="L990" s="108">
        <v>3410</v>
      </c>
      <c r="M990" s="108">
        <v>76</v>
      </c>
      <c r="N990" s="108">
        <v>9475</v>
      </c>
      <c r="O990" s="108">
        <v>32147</v>
      </c>
      <c r="P990" s="108">
        <v>4081</v>
      </c>
      <c r="Q990" s="108">
        <v>29595</v>
      </c>
      <c r="R990" s="16">
        <f t="shared" si="446"/>
        <v>16966</v>
      </c>
    </row>
    <row r="991" spans="1:18" ht="15.6" x14ac:dyDescent="0.3">
      <c r="A991" s="107">
        <v>40332</v>
      </c>
      <c r="B991" s="108">
        <v>1462</v>
      </c>
      <c r="C991" s="106">
        <v>71</v>
      </c>
      <c r="D991" s="106">
        <v>470</v>
      </c>
      <c r="E991" s="106">
        <v>43</v>
      </c>
      <c r="F991" s="106">
        <v>966</v>
      </c>
      <c r="G991" s="106">
        <v>14</v>
      </c>
      <c r="H991" s="106">
        <v>898</v>
      </c>
      <c r="I991" s="106">
        <v>12</v>
      </c>
      <c r="J991" s="106">
        <v>231</v>
      </c>
      <c r="K991" s="106">
        <v>6</v>
      </c>
      <c r="L991" s="106">
        <v>4028</v>
      </c>
      <c r="M991" s="106">
        <v>146</v>
      </c>
      <c r="N991" s="106">
        <v>10369</v>
      </c>
      <c r="O991" s="106">
        <v>35474</v>
      </c>
      <c r="P991" s="108">
        <v>2419</v>
      </c>
      <c r="Q991" s="106">
        <v>36432</v>
      </c>
      <c r="R991" s="16">
        <f t="shared" si="446"/>
        <v>16816</v>
      </c>
    </row>
    <row r="992" spans="1:18" ht="15.6" x14ac:dyDescent="0.3">
      <c r="A992" s="107">
        <v>39975</v>
      </c>
      <c r="B992" s="108">
        <v>1016</v>
      </c>
      <c r="C992" s="108">
        <v>206</v>
      </c>
      <c r="D992" s="108">
        <v>504</v>
      </c>
      <c r="E992" s="108">
        <v>24</v>
      </c>
      <c r="F992" s="108">
        <v>763</v>
      </c>
      <c r="G992" s="108">
        <v>121</v>
      </c>
      <c r="H992" s="108">
        <v>807</v>
      </c>
      <c r="I992" s="108">
        <v>110</v>
      </c>
      <c r="J992" s="108">
        <v>196</v>
      </c>
      <c r="K992" s="108">
        <v>7</v>
      </c>
      <c r="L992" s="108">
        <v>3286</v>
      </c>
      <c r="M992" s="108">
        <v>468</v>
      </c>
      <c r="N992" s="108">
        <v>9424</v>
      </c>
      <c r="O992" s="108">
        <v>32965</v>
      </c>
      <c r="P992" s="108">
        <v>3877</v>
      </c>
      <c r="Q992" s="108">
        <v>29944</v>
      </c>
      <c r="R992" s="16">
        <f t="shared" si="446"/>
        <v>16587</v>
      </c>
    </row>
    <row r="993" spans="1:18" ht="15.6" x14ac:dyDescent="0.3">
      <c r="A993" s="107">
        <v>40339</v>
      </c>
      <c r="B993" s="108">
        <v>1878</v>
      </c>
      <c r="C993" s="106">
        <v>206</v>
      </c>
      <c r="D993" s="106">
        <v>485</v>
      </c>
      <c r="E993" s="106">
        <v>79</v>
      </c>
      <c r="F993" s="106">
        <v>995</v>
      </c>
      <c r="G993" s="106">
        <v>121</v>
      </c>
      <c r="H993" s="106">
        <v>992</v>
      </c>
      <c r="I993" s="106">
        <v>98</v>
      </c>
      <c r="J993" s="106">
        <v>243</v>
      </c>
      <c r="K993" s="106">
        <v>36</v>
      </c>
      <c r="L993" s="106">
        <v>4592</v>
      </c>
      <c r="M993" s="106">
        <v>540</v>
      </c>
      <c r="N993" s="106">
        <v>10386</v>
      </c>
      <c r="O993" s="106">
        <v>36547</v>
      </c>
      <c r="P993" s="108">
        <v>2071</v>
      </c>
      <c r="Q993" s="106">
        <v>36643</v>
      </c>
      <c r="R993" s="16">
        <f t="shared" si="446"/>
        <v>17049</v>
      </c>
    </row>
    <row r="994" spans="1:18" ht="15.6" x14ac:dyDescent="0.3">
      <c r="A994" s="107">
        <v>39982</v>
      </c>
      <c r="B994" s="108">
        <v>1041</v>
      </c>
      <c r="C994" s="108">
        <v>329</v>
      </c>
      <c r="D994" s="108">
        <v>534</v>
      </c>
      <c r="E994" s="108">
        <v>57</v>
      </c>
      <c r="F994" s="108">
        <v>751</v>
      </c>
      <c r="G994" s="108">
        <v>212</v>
      </c>
      <c r="H994" s="108">
        <v>809</v>
      </c>
      <c r="I994" s="108">
        <v>187</v>
      </c>
      <c r="J994" s="108">
        <v>196</v>
      </c>
      <c r="K994" s="108">
        <v>7</v>
      </c>
      <c r="L994" s="108">
        <v>3331</v>
      </c>
      <c r="M994" s="108">
        <v>792</v>
      </c>
      <c r="N994" s="108">
        <v>9072</v>
      </c>
      <c r="O994" s="108">
        <v>34004</v>
      </c>
      <c r="P994" s="108">
        <v>3527</v>
      </c>
      <c r="Q994" s="108">
        <v>30322</v>
      </c>
      <c r="R994" s="16">
        <f t="shared" ref="R994:R999" si="447">P994+N994+L994</f>
        <v>15930</v>
      </c>
    </row>
    <row r="995" spans="1:18" ht="15.6" x14ac:dyDescent="0.3">
      <c r="A995" s="107">
        <v>40346</v>
      </c>
      <c r="B995" s="108">
        <v>2169</v>
      </c>
      <c r="C995" s="106">
        <v>302</v>
      </c>
      <c r="D995" s="106">
        <v>514</v>
      </c>
      <c r="E995" s="106">
        <v>117</v>
      </c>
      <c r="F995" s="106">
        <v>1021</v>
      </c>
      <c r="G995" s="106">
        <v>211</v>
      </c>
      <c r="H995" s="106">
        <v>1079</v>
      </c>
      <c r="I995" s="106">
        <v>156</v>
      </c>
      <c r="J995" s="106">
        <v>250</v>
      </c>
      <c r="K995" s="106">
        <v>36</v>
      </c>
      <c r="L995" s="106">
        <v>5033</v>
      </c>
      <c r="M995" s="106">
        <v>821</v>
      </c>
      <c r="N995" s="106">
        <v>10692</v>
      </c>
      <c r="O995" s="106">
        <v>37365</v>
      </c>
      <c r="P995" s="108">
        <v>2140</v>
      </c>
      <c r="Q995" s="106">
        <v>36882</v>
      </c>
      <c r="R995" s="16">
        <f t="shared" si="447"/>
        <v>17865</v>
      </c>
    </row>
    <row r="996" spans="1:18" ht="15.6" x14ac:dyDescent="0.3">
      <c r="A996" s="107">
        <v>39989</v>
      </c>
      <c r="B996" s="108">
        <v>1065</v>
      </c>
      <c r="C996" s="108">
        <v>419</v>
      </c>
      <c r="D996" s="108">
        <v>510</v>
      </c>
      <c r="E996" s="108">
        <v>112</v>
      </c>
      <c r="F996" s="108">
        <v>741</v>
      </c>
      <c r="G996" s="108">
        <v>275</v>
      </c>
      <c r="H996" s="108">
        <v>715</v>
      </c>
      <c r="I996" s="108">
        <v>307</v>
      </c>
      <c r="J996" s="108">
        <v>176</v>
      </c>
      <c r="K996" s="108">
        <v>47</v>
      </c>
      <c r="L996" s="108">
        <v>3206</v>
      </c>
      <c r="M996" s="108">
        <v>1159</v>
      </c>
      <c r="N996" s="108">
        <v>9485</v>
      </c>
      <c r="O996" s="108">
        <v>34746</v>
      </c>
      <c r="P996" s="108">
        <v>3333</v>
      </c>
      <c r="Q996" s="108">
        <v>30709</v>
      </c>
      <c r="R996" s="16">
        <f t="shared" si="447"/>
        <v>16024</v>
      </c>
    </row>
    <row r="997" spans="1:18" ht="15.6" x14ac:dyDescent="0.3">
      <c r="A997" s="107">
        <v>40353</v>
      </c>
      <c r="B997" s="108">
        <v>2104</v>
      </c>
      <c r="C997" s="106">
        <v>528</v>
      </c>
      <c r="D997" s="106">
        <v>548</v>
      </c>
      <c r="E997" s="106">
        <v>167</v>
      </c>
      <c r="F997" s="106">
        <v>961</v>
      </c>
      <c r="G997" s="106">
        <v>365</v>
      </c>
      <c r="H997" s="106">
        <v>1039</v>
      </c>
      <c r="I997" s="106">
        <v>274</v>
      </c>
      <c r="J997" s="106">
        <v>250</v>
      </c>
      <c r="K997" s="106">
        <v>36</v>
      </c>
      <c r="L997" s="106">
        <v>4902</v>
      </c>
      <c r="M997" s="106">
        <v>1369</v>
      </c>
      <c r="N997" s="106">
        <v>10389</v>
      </c>
      <c r="O997" s="106">
        <v>38318</v>
      </c>
      <c r="P997" s="108">
        <v>2266</v>
      </c>
      <c r="Q997" s="106">
        <v>37021</v>
      </c>
      <c r="R997" s="16">
        <f t="shared" si="447"/>
        <v>17557</v>
      </c>
    </row>
    <row r="998" spans="1:18" ht="15.6" x14ac:dyDescent="0.3">
      <c r="A998" s="107">
        <v>39996</v>
      </c>
      <c r="B998" s="108">
        <v>1093</v>
      </c>
      <c r="C998" s="108">
        <v>524</v>
      </c>
      <c r="D998" s="108">
        <v>462</v>
      </c>
      <c r="E998" s="108">
        <v>193</v>
      </c>
      <c r="F998" s="108">
        <v>896</v>
      </c>
      <c r="G998" s="108">
        <v>338</v>
      </c>
      <c r="H998" s="108">
        <v>785</v>
      </c>
      <c r="I998" s="108">
        <v>419</v>
      </c>
      <c r="J998" s="108">
        <v>185</v>
      </c>
      <c r="K998" s="108">
        <v>54</v>
      </c>
      <c r="L998" s="108">
        <v>3422</v>
      </c>
      <c r="M998" s="108">
        <v>1527</v>
      </c>
      <c r="N998" s="108">
        <v>9266</v>
      </c>
      <c r="O998" s="108">
        <v>35714</v>
      </c>
      <c r="P998" s="108">
        <v>3202</v>
      </c>
      <c r="Q998" s="108">
        <v>31127</v>
      </c>
      <c r="R998" s="16">
        <f t="shared" si="447"/>
        <v>15890</v>
      </c>
    </row>
    <row r="999" spans="1:18" ht="15.6" x14ac:dyDescent="0.3">
      <c r="A999" s="107">
        <v>40360</v>
      </c>
      <c r="B999" s="108">
        <v>2066</v>
      </c>
      <c r="C999" s="106">
        <v>792</v>
      </c>
      <c r="D999" s="106">
        <v>540</v>
      </c>
      <c r="E999" s="106">
        <v>212</v>
      </c>
      <c r="F999" s="106">
        <v>1013</v>
      </c>
      <c r="G999" s="106">
        <v>453</v>
      </c>
      <c r="H999" s="106">
        <v>959</v>
      </c>
      <c r="I999" s="106">
        <v>433</v>
      </c>
      <c r="J999" s="106">
        <v>280</v>
      </c>
      <c r="K999" s="106">
        <v>37</v>
      </c>
      <c r="L999" s="106">
        <v>4858</v>
      </c>
      <c r="M999" s="106">
        <v>1927</v>
      </c>
      <c r="N999" s="106">
        <v>9860</v>
      </c>
      <c r="O999" s="106">
        <v>39348</v>
      </c>
      <c r="P999" s="108">
        <v>2452</v>
      </c>
      <c r="Q999" s="106">
        <v>37097</v>
      </c>
      <c r="R999" s="16">
        <f t="shared" si="447"/>
        <v>17170</v>
      </c>
    </row>
    <row r="1000" spans="1:18" ht="15.6" x14ac:dyDescent="0.3">
      <c r="A1000" s="107">
        <v>40003</v>
      </c>
      <c r="B1000" s="108">
        <v>1327</v>
      </c>
      <c r="C1000" s="108">
        <v>623</v>
      </c>
      <c r="D1000" s="108">
        <v>518</v>
      </c>
      <c r="E1000" s="108">
        <v>207</v>
      </c>
      <c r="F1000" s="108">
        <v>878</v>
      </c>
      <c r="G1000" s="108">
        <v>372</v>
      </c>
      <c r="H1000" s="108">
        <v>772</v>
      </c>
      <c r="I1000" s="108">
        <v>436</v>
      </c>
      <c r="J1000" s="108">
        <v>185</v>
      </c>
      <c r="K1000" s="108">
        <v>54</v>
      </c>
      <c r="L1000" s="108">
        <v>3680</v>
      </c>
      <c r="M1000" s="108">
        <v>1691</v>
      </c>
      <c r="N1000" s="108">
        <v>8996</v>
      </c>
      <c r="O1000" s="108">
        <v>36684</v>
      </c>
      <c r="P1000" s="108">
        <v>2947</v>
      </c>
      <c r="Q1000" s="108">
        <v>31517</v>
      </c>
      <c r="R1000" s="16">
        <f t="shared" ref="R1000:R1005" si="448">P1000+N1000+L1000</f>
        <v>15623</v>
      </c>
    </row>
    <row r="1001" spans="1:18" ht="15.6" x14ac:dyDescent="0.3">
      <c r="A1001" s="107">
        <v>40367</v>
      </c>
      <c r="B1001" s="108">
        <v>1980</v>
      </c>
      <c r="C1001" s="106">
        <v>1051</v>
      </c>
      <c r="D1001" s="106">
        <v>523</v>
      </c>
      <c r="E1001" s="106">
        <v>238</v>
      </c>
      <c r="F1001" s="106">
        <v>1044</v>
      </c>
      <c r="G1001" s="106">
        <v>506</v>
      </c>
      <c r="H1001" s="106">
        <v>978</v>
      </c>
      <c r="I1001" s="106">
        <v>451</v>
      </c>
      <c r="J1001" s="106">
        <v>286</v>
      </c>
      <c r="K1001" s="106">
        <v>37</v>
      </c>
      <c r="L1001" s="106">
        <v>4812</v>
      </c>
      <c r="M1001" s="106">
        <v>2283</v>
      </c>
      <c r="N1001" s="106">
        <v>9495</v>
      </c>
      <c r="O1001" s="106">
        <v>40391</v>
      </c>
      <c r="P1001" s="108">
        <v>2912</v>
      </c>
      <c r="Q1001" s="106">
        <v>37303</v>
      </c>
      <c r="R1001" s="16">
        <f t="shared" si="448"/>
        <v>17219</v>
      </c>
    </row>
    <row r="1002" spans="1:18" ht="15.6" x14ac:dyDescent="0.3">
      <c r="A1002" s="107">
        <v>40010</v>
      </c>
      <c r="B1002" s="108">
        <v>1308</v>
      </c>
      <c r="C1002" s="108">
        <v>819</v>
      </c>
      <c r="D1002" s="108">
        <v>538</v>
      </c>
      <c r="E1002" s="108">
        <v>267</v>
      </c>
      <c r="F1002" s="108">
        <v>851</v>
      </c>
      <c r="G1002" s="108">
        <v>450</v>
      </c>
      <c r="H1002" s="108">
        <v>705</v>
      </c>
      <c r="I1002" s="108">
        <v>538</v>
      </c>
      <c r="J1002" s="108">
        <v>183</v>
      </c>
      <c r="K1002" s="108">
        <v>55</v>
      </c>
      <c r="L1002" s="108">
        <v>3586</v>
      </c>
      <c r="M1002" s="108">
        <v>2128</v>
      </c>
      <c r="N1002" s="108">
        <v>8833</v>
      </c>
      <c r="O1002" s="108">
        <v>37605</v>
      </c>
      <c r="P1002" s="108">
        <v>2984</v>
      </c>
      <c r="Q1002" s="108">
        <v>31800</v>
      </c>
      <c r="R1002" s="16">
        <f t="shared" si="448"/>
        <v>15403</v>
      </c>
    </row>
    <row r="1003" spans="1:18" ht="15.6" x14ac:dyDescent="0.3">
      <c r="A1003" s="107">
        <v>40374</v>
      </c>
      <c r="B1003" s="108">
        <v>1825</v>
      </c>
      <c r="C1003" s="106">
        <v>1317</v>
      </c>
      <c r="D1003" s="106">
        <v>519</v>
      </c>
      <c r="E1003" s="106">
        <v>291</v>
      </c>
      <c r="F1003" s="106">
        <v>1035</v>
      </c>
      <c r="G1003" s="106">
        <v>598</v>
      </c>
      <c r="H1003" s="106">
        <v>976</v>
      </c>
      <c r="I1003" s="106">
        <v>559</v>
      </c>
      <c r="J1003" s="106">
        <v>294</v>
      </c>
      <c r="K1003" s="106">
        <v>64</v>
      </c>
      <c r="L1003" s="106">
        <v>4649</v>
      </c>
      <c r="M1003" s="106">
        <v>2828</v>
      </c>
      <c r="N1003" s="106">
        <v>9161</v>
      </c>
      <c r="O1003" s="106">
        <v>41339</v>
      </c>
      <c r="P1003" s="108">
        <v>2749</v>
      </c>
      <c r="Q1003" s="106">
        <v>37578</v>
      </c>
      <c r="R1003" s="16">
        <f t="shared" si="448"/>
        <v>16559</v>
      </c>
    </row>
    <row r="1004" spans="1:18" ht="15.6" x14ac:dyDescent="0.3">
      <c r="A1004" s="107">
        <v>40017</v>
      </c>
      <c r="B1004" s="108">
        <v>1326</v>
      </c>
      <c r="C1004" s="108">
        <v>946</v>
      </c>
      <c r="D1004" s="108">
        <v>598</v>
      </c>
      <c r="E1004" s="108">
        <v>372</v>
      </c>
      <c r="F1004" s="108">
        <v>929</v>
      </c>
      <c r="G1004" s="108">
        <v>494</v>
      </c>
      <c r="H1004" s="108">
        <v>787</v>
      </c>
      <c r="I1004" s="108">
        <v>565</v>
      </c>
      <c r="J1004" s="108">
        <v>213</v>
      </c>
      <c r="K1004" s="108">
        <v>61</v>
      </c>
      <c r="L1004" s="108">
        <v>3853</v>
      </c>
      <c r="M1004" s="108">
        <v>2436</v>
      </c>
      <c r="N1004" s="108">
        <v>7837</v>
      </c>
      <c r="O1004" s="108">
        <v>39059</v>
      </c>
      <c r="P1004" s="108">
        <v>2887</v>
      </c>
      <c r="Q1004" s="108">
        <v>32142</v>
      </c>
      <c r="R1004" s="16">
        <f t="shared" si="448"/>
        <v>14577</v>
      </c>
    </row>
    <row r="1005" spans="1:18" ht="15.6" x14ac:dyDescent="0.3">
      <c r="A1005" s="107">
        <v>40381</v>
      </c>
      <c r="B1005" s="108">
        <v>2013</v>
      </c>
      <c r="C1005" s="106">
        <v>1539</v>
      </c>
      <c r="D1005" s="106">
        <v>540</v>
      </c>
      <c r="E1005" s="106">
        <v>336</v>
      </c>
      <c r="F1005" s="106">
        <v>1187</v>
      </c>
      <c r="G1005" s="106">
        <v>747</v>
      </c>
      <c r="H1005" s="106">
        <v>1021</v>
      </c>
      <c r="I1005" s="106">
        <v>581</v>
      </c>
      <c r="J1005" s="106">
        <v>356</v>
      </c>
      <c r="K1005" s="106">
        <v>76</v>
      </c>
      <c r="L1005" s="106">
        <v>5118</v>
      </c>
      <c r="M1005" s="106">
        <v>3279</v>
      </c>
      <c r="N1005" s="106">
        <v>8394</v>
      </c>
      <c r="O1005" s="106">
        <v>42539</v>
      </c>
      <c r="P1005" s="108">
        <v>2910</v>
      </c>
      <c r="Q1005" s="106">
        <v>37756</v>
      </c>
      <c r="R1005" s="16">
        <f t="shared" si="448"/>
        <v>16422</v>
      </c>
    </row>
    <row r="1006" spans="1:18" ht="15.6" x14ac:dyDescent="0.3">
      <c r="A1006" s="107">
        <v>40024</v>
      </c>
      <c r="B1006" s="108">
        <v>1364</v>
      </c>
      <c r="C1006" s="108">
        <v>1136</v>
      </c>
      <c r="D1006" s="108">
        <v>569</v>
      </c>
      <c r="E1006" s="108">
        <v>498</v>
      </c>
      <c r="F1006" s="108">
        <v>944</v>
      </c>
      <c r="G1006" s="108">
        <v>546</v>
      </c>
      <c r="H1006" s="108">
        <v>898</v>
      </c>
      <c r="I1006" s="108">
        <v>583</v>
      </c>
      <c r="J1006" s="108">
        <v>241</v>
      </c>
      <c r="K1006" s="108">
        <v>64</v>
      </c>
      <c r="L1006" s="108">
        <v>4016</v>
      </c>
      <c r="M1006" s="108">
        <v>2826</v>
      </c>
      <c r="N1006" s="108">
        <v>7070</v>
      </c>
      <c r="O1006" s="108">
        <v>40249</v>
      </c>
      <c r="P1006" s="108">
        <v>3164</v>
      </c>
      <c r="Q1006" s="108">
        <v>32360</v>
      </c>
      <c r="R1006" s="16">
        <f t="shared" ref="R1006:R1011" si="449">P1006+N1006+L1006</f>
        <v>14250</v>
      </c>
    </row>
    <row r="1007" spans="1:18" ht="15.6" x14ac:dyDescent="0.3">
      <c r="A1007" s="107">
        <v>40388</v>
      </c>
      <c r="B1007" s="108">
        <v>2116</v>
      </c>
      <c r="C1007" s="106">
        <v>1836</v>
      </c>
      <c r="D1007" s="106">
        <v>601</v>
      </c>
      <c r="E1007" s="106">
        <v>357</v>
      </c>
      <c r="F1007" s="106">
        <v>1229</v>
      </c>
      <c r="G1007" s="106">
        <v>938</v>
      </c>
      <c r="H1007" s="106">
        <v>1144</v>
      </c>
      <c r="I1007" s="106">
        <v>629</v>
      </c>
      <c r="J1007" s="106">
        <v>309</v>
      </c>
      <c r="K1007" s="106">
        <v>94</v>
      </c>
      <c r="L1007" s="106">
        <v>5400</v>
      </c>
      <c r="M1007" s="106">
        <v>3852</v>
      </c>
      <c r="N1007" s="106">
        <v>8033</v>
      </c>
      <c r="O1007" s="106">
        <v>43372</v>
      </c>
      <c r="P1007" s="108">
        <v>2656</v>
      </c>
      <c r="Q1007" s="106">
        <v>38016</v>
      </c>
      <c r="R1007" s="16">
        <f t="shared" si="449"/>
        <v>16089</v>
      </c>
    </row>
    <row r="1008" spans="1:18" ht="15.6" x14ac:dyDescent="0.3">
      <c r="A1008" s="107">
        <v>40031</v>
      </c>
      <c r="B1008" s="108">
        <v>1324</v>
      </c>
      <c r="C1008" s="108">
        <v>1282</v>
      </c>
      <c r="D1008" s="108">
        <v>634</v>
      </c>
      <c r="E1008" s="108">
        <v>523</v>
      </c>
      <c r="F1008" s="108">
        <v>945</v>
      </c>
      <c r="G1008" s="108">
        <v>652</v>
      </c>
      <c r="H1008" s="108">
        <v>985</v>
      </c>
      <c r="I1008" s="108">
        <v>653</v>
      </c>
      <c r="J1008" s="108">
        <v>229</v>
      </c>
      <c r="K1008" s="108">
        <v>96</v>
      </c>
      <c r="L1008" s="108">
        <v>4115</v>
      </c>
      <c r="M1008" s="108">
        <v>3206</v>
      </c>
      <c r="N1008" s="108">
        <v>6654</v>
      </c>
      <c r="O1008" s="108">
        <v>41206</v>
      </c>
      <c r="P1008" s="108">
        <v>3153</v>
      </c>
      <c r="Q1008" s="108">
        <v>32630</v>
      </c>
      <c r="R1008" s="16">
        <f t="shared" si="449"/>
        <v>13922</v>
      </c>
    </row>
    <row r="1009" spans="1:18" ht="15.6" x14ac:dyDescent="0.3">
      <c r="A1009" s="107">
        <v>40395</v>
      </c>
      <c r="B1009" s="108">
        <v>2753</v>
      </c>
      <c r="C1009" s="106">
        <v>1998</v>
      </c>
      <c r="D1009" s="106">
        <v>584</v>
      </c>
      <c r="E1009" s="106">
        <v>399</v>
      </c>
      <c r="F1009" s="106">
        <v>1391</v>
      </c>
      <c r="G1009" s="106">
        <v>1046</v>
      </c>
      <c r="H1009" s="106">
        <v>1261</v>
      </c>
      <c r="I1009" s="106">
        <v>708</v>
      </c>
      <c r="J1009" s="106">
        <v>307</v>
      </c>
      <c r="K1009" s="106">
        <v>123</v>
      </c>
      <c r="L1009" s="106">
        <v>6295</v>
      </c>
      <c r="M1009" s="106">
        <v>4274</v>
      </c>
      <c r="N1009" s="106">
        <v>7464</v>
      </c>
      <c r="O1009" s="106">
        <v>44379</v>
      </c>
      <c r="P1009" s="108">
        <v>2707</v>
      </c>
      <c r="Q1009" s="106">
        <v>38232</v>
      </c>
      <c r="R1009" s="16">
        <f t="shared" si="449"/>
        <v>16466</v>
      </c>
    </row>
    <row r="1010" spans="1:18" ht="15.6" x14ac:dyDescent="0.3">
      <c r="A1010" s="107">
        <v>40038</v>
      </c>
      <c r="B1010" s="108">
        <v>1329</v>
      </c>
      <c r="C1010" s="108">
        <v>1414</v>
      </c>
      <c r="D1010" s="108">
        <v>625</v>
      </c>
      <c r="E1010" s="108">
        <v>584</v>
      </c>
      <c r="F1010" s="108">
        <v>930</v>
      </c>
      <c r="G1010" s="108">
        <v>763</v>
      </c>
      <c r="H1010" s="108">
        <v>983</v>
      </c>
      <c r="I1010" s="108">
        <v>702</v>
      </c>
      <c r="J1010" s="108">
        <v>233</v>
      </c>
      <c r="K1010" s="108">
        <v>118</v>
      </c>
      <c r="L1010" s="108">
        <v>4099</v>
      </c>
      <c r="M1010" s="108">
        <v>3581</v>
      </c>
      <c r="N1010" s="108">
        <v>6107</v>
      </c>
      <c r="O1010" s="108">
        <v>42330</v>
      </c>
      <c r="P1010" s="108">
        <v>3273</v>
      </c>
      <c r="Q1010" s="108">
        <v>32786</v>
      </c>
      <c r="R1010" s="16">
        <f t="shared" si="449"/>
        <v>13479</v>
      </c>
    </row>
    <row r="1011" spans="1:18" ht="15.6" x14ac:dyDescent="0.3">
      <c r="A1011" s="107">
        <v>40402</v>
      </c>
      <c r="B1011" s="108">
        <v>3191</v>
      </c>
      <c r="C1011" s="106">
        <v>2242</v>
      </c>
      <c r="D1011" s="106">
        <v>559</v>
      </c>
      <c r="E1011" s="106">
        <v>437</v>
      </c>
      <c r="F1011" s="106">
        <v>1781</v>
      </c>
      <c r="G1011" s="106">
        <v>1170</v>
      </c>
      <c r="H1011" s="106">
        <v>1230</v>
      </c>
      <c r="I1011" s="106">
        <v>859</v>
      </c>
      <c r="J1011" s="106">
        <v>370</v>
      </c>
      <c r="K1011" s="106">
        <v>144</v>
      </c>
      <c r="L1011" s="106">
        <v>7131</v>
      </c>
      <c r="M1011" s="106">
        <v>4851</v>
      </c>
      <c r="N1011" s="106">
        <v>7053</v>
      </c>
      <c r="O1011" s="106">
        <v>45386</v>
      </c>
      <c r="P1011" s="108">
        <v>2391</v>
      </c>
      <c r="Q1011" s="106">
        <v>38729</v>
      </c>
      <c r="R1011" s="16">
        <f t="shared" si="449"/>
        <v>16575</v>
      </c>
    </row>
    <row r="1012" spans="1:18" ht="15.6" x14ac:dyDescent="0.3">
      <c r="A1012" s="107">
        <v>40045</v>
      </c>
      <c r="B1012" s="108">
        <v>1402</v>
      </c>
      <c r="C1012" s="108">
        <v>1597</v>
      </c>
      <c r="D1012" s="108">
        <v>729</v>
      </c>
      <c r="E1012" s="108">
        <v>628</v>
      </c>
      <c r="F1012" s="108">
        <v>959</v>
      </c>
      <c r="G1012" s="108">
        <v>888</v>
      </c>
      <c r="H1012" s="108">
        <v>969</v>
      </c>
      <c r="I1012" s="108">
        <v>798</v>
      </c>
      <c r="J1012" s="108">
        <v>243</v>
      </c>
      <c r="K1012" s="108">
        <v>120</v>
      </c>
      <c r="L1012" s="108">
        <v>4302</v>
      </c>
      <c r="M1012" s="108">
        <v>4031</v>
      </c>
      <c r="N1012" s="108">
        <v>7053</v>
      </c>
      <c r="O1012" s="108">
        <v>43605</v>
      </c>
      <c r="P1012" s="108">
        <v>3049</v>
      </c>
      <c r="Q1012" s="108">
        <v>33097</v>
      </c>
      <c r="R1012" s="16">
        <f t="shared" ref="R1012:R1017" si="450">P1012+N1012+L1012</f>
        <v>14404</v>
      </c>
    </row>
    <row r="1013" spans="1:18" ht="15.6" x14ac:dyDescent="0.3">
      <c r="A1013" s="107">
        <v>40409</v>
      </c>
      <c r="B1013" s="108">
        <v>3565</v>
      </c>
      <c r="C1013" s="106">
        <v>2518</v>
      </c>
      <c r="D1013" s="106">
        <v>608</v>
      </c>
      <c r="E1013" s="106">
        <v>464</v>
      </c>
      <c r="F1013" s="106">
        <v>1952</v>
      </c>
      <c r="G1013" s="106">
        <v>1245</v>
      </c>
      <c r="H1013" s="106">
        <v>1246</v>
      </c>
      <c r="I1013" s="106">
        <v>947</v>
      </c>
      <c r="J1013" s="106">
        <v>331</v>
      </c>
      <c r="K1013" s="106">
        <v>185</v>
      </c>
      <c r="L1013" s="106">
        <v>7702</v>
      </c>
      <c r="M1013" s="106">
        <v>5358</v>
      </c>
      <c r="N1013" s="106">
        <v>5923</v>
      </c>
      <c r="O1013" s="106">
        <v>46557</v>
      </c>
      <c r="P1013" s="108">
        <v>2237</v>
      </c>
      <c r="Q1013" s="106">
        <v>39050</v>
      </c>
      <c r="R1013" s="16">
        <f t="shared" si="450"/>
        <v>15862</v>
      </c>
    </row>
    <row r="1014" spans="1:18" ht="15.6" x14ac:dyDescent="0.3">
      <c r="A1014" s="107">
        <v>40052</v>
      </c>
      <c r="B1014" s="108">
        <v>1271</v>
      </c>
      <c r="C1014" s="108">
        <v>1802</v>
      </c>
      <c r="D1014" s="108">
        <v>813</v>
      </c>
      <c r="E1014" s="108">
        <v>739</v>
      </c>
      <c r="F1014" s="108">
        <v>954</v>
      </c>
      <c r="G1014" s="108">
        <v>962</v>
      </c>
      <c r="H1014" s="108">
        <v>963</v>
      </c>
      <c r="I1014" s="108">
        <v>836</v>
      </c>
      <c r="J1014" s="108">
        <v>270</v>
      </c>
      <c r="K1014" s="108">
        <v>128</v>
      </c>
      <c r="L1014" s="108">
        <v>4272</v>
      </c>
      <c r="M1014" s="108">
        <v>4466</v>
      </c>
      <c r="N1014" s="108">
        <v>4398</v>
      </c>
      <c r="O1014" s="108">
        <v>44650</v>
      </c>
      <c r="P1014" s="108">
        <v>2382</v>
      </c>
      <c r="Q1014" s="108">
        <v>33705</v>
      </c>
      <c r="R1014" s="16">
        <f t="shared" si="450"/>
        <v>11052</v>
      </c>
    </row>
    <row r="1015" spans="1:18" ht="15.6" x14ac:dyDescent="0.3">
      <c r="A1015" s="107">
        <v>40416</v>
      </c>
      <c r="B1015" s="108">
        <v>3585</v>
      </c>
      <c r="C1015" s="106">
        <v>2903</v>
      </c>
      <c r="D1015" s="106">
        <v>629</v>
      </c>
      <c r="E1015" s="106">
        <v>497</v>
      </c>
      <c r="F1015" s="106">
        <v>2232</v>
      </c>
      <c r="G1015" s="106">
        <v>1365</v>
      </c>
      <c r="H1015" s="106">
        <v>1329</v>
      </c>
      <c r="I1015" s="106">
        <v>998</v>
      </c>
      <c r="J1015" s="106">
        <v>357</v>
      </c>
      <c r="K1015" s="106">
        <v>188</v>
      </c>
      <c r="L1015" s="106">
        <v>8133</v>
      </c>
      <c r="M1015" s="106">
        <v>5951</v>
      </c>
      <c r="N1015" s="106">
        <v>4753</v>
      </c>
      <c r="O1015" s="106">
        <v>47700</v>
      </c>
      <c r="P1015" s="108">
        <v>2004</v>
      </c>
      <c r="Q1015" s="106">
        <v>39285</v>
      </c>
      <c r="R1015" s="16">
        <f t="shared" si="450"/>
        <v>14890</v>
      </c>
    </row>
    <row r="1016" spans="1:18" ht="15.6" x14ac:dyDescent="0.3">
      <c r="A1016" s="107">
        <v>40059</v>
      </c>
      <c r="B1016" s="108">
        <v>1282</v>
      </c>
      <c r="C1016" s="108">
        <v>1935</v>
      </c>
      <c r="D1016" s="108">
        <v>870</v>
      </c>
      <c r="E1016" s="108">
        <v>773</v>
      </c>
      <c r="F1016" s="108">
        <v>981</v>
      </c>
      <c r="G1016" s="108">
        <v>1047</v>
      </c>
      <c r="H1016" s="108">
        <v>962</v>
      </c>
      <c r="I1016" s="108">
        <v>970</v>
      </c>
      <c r="J1016" s="108">
        <v>275</v>
      </c>
      <c r="K1016" s="108">
        <v>189</v>
      </c>
      <c r="L1016" s="108">
        <v>4371</v>
      </c>
      <c r="M1016" s="108">
        <v>4913</v>
      </c>
      <c r="N1016" s="108">
        <v>12131</v>
      </c>
      <c r="O1016" s="108">
        <v>537</v>
      </c>
      <c r="P1016" s="108">
        <v>16947</v>
      </c>
      <c r="Q1016" s="108">
        <v>194</v>
      </c>
      <c r="R1016" s="16">
        <f t="shared" si="450"/>
        <v>33449</v>
      </c>
    </row>
    <row r="1017" spans="1:18" ht="15.6" x14ac:dyDescent="0.3">
      <c r="A1017" s="107">
        <v>40423</v>
      </c>
      <c r="B1017" s="108">
        <v>3899</v>
      </c>
      <c r="C1017" s="106">
        <v>3152</v>
      </c>
      <c r="D1017" s="106">
        <v>599</v>
      </c>
      <c r="E1017" s="106">
        <v>541</v>
      </c>
      <c r="F1017" s="106">
        <v>2230</v>
      </c>
      <c r="G1017" s="106">
        <v>1608</v>
      </c>
      <c r="H1017" s="106">
        <v>1341</v>
      </c>
      <c r="I1017" s="106">
        <v>1121</v>
      </c>
      <c r="J1017" s="106">
        <v>358</v>
      </c>
      <c r="K1017" s="106">
        <v>190</v>
      </c>
      <c r="L1017" s="106">
        <v>8426</v>
      </c>
      <c r="M1017" s="106">
        <v>6611</v>
      </c>
      <c r="N1017" s="106">
        <v>15102</v>
      </c>
      <c r="O1017" s="106">
        <v>259</v>
      </c>
      <c r="P1017" s="108">
        <v>17705</v>
      </c>
      <c r="Q1017" s="106">
        <v>81</v>
      </c>
      <c r="R1017" s="16">
        <f t="shared" si="450"/>
        <v>41233</v>
      </c>
    </row>
    <row r="1018" spans="1:18" ht="15.6" x14ac:dyDescent="0.3">
      <c r="A1018" s="107">
        <v>40066</v>
      </c>
      <c r="B1018" s="108">
        <v>1284</v>
      </c>
      <c r="C1018" s="108">
        <v>2121</v>
      </c>
      <c r="D1018" s="108">
        <v>802</v>
      </c>
      <c r="E1018" s="108">
        <v>912</v>
      </c>
      <c r="F1018" s="108">
        <v>917</v>
      </c>
      <c r="G1018" s="108">
        <v>1212</v>
      </c>
      <c r="H1018" s="108">
        <v>930</v>
      </c>
      <c r="I1018" s="108">
        <v>1036</v>
      </c>
      <c r="J1018" s="108">
        <v>290</v>
      </c>
      <c r="K1018" s="108">
        <v>202</v>
      </c>
      <c r="L1018" s="108">
        <v>4224</v>
      </c>
      <c r="M1018" s="108">
        <v>5484</v>
      </c>
      <c r="N1018" s="108">
        <v>11935</v>
      </c>
      <c r="O1018" s="108">
        <v>1699</v>
      </c>
      <c r="P1018" s="108">
        <v>17173</v>
      </c>
      <c r="Q1018" s="108">
        <v>458</v>
      </c>
      <c r="R1018" s="16">
        <f t="shared" ref="R1018:R1023" si="451">P1018+N1018+L1018</f>
        <v>33332</v>
      </c>
    </row>
    <row r="1019" spans="1:18" ht="15.6" x14ac:dyDescent="0.3">
      <c r="A1019" s="107">
        <v>40430</v>
      </c>
      <c r="B1019" s="108">
        <v>3506</v>
      </c>
      <c r="C1019" s="106">
        <v>3712</v>
      </c>
      <c r="D1019" s="106">
        <v>598</v>
      </c>
      <c r="E1019" s="106">
        <v>560</v>
      </c>
      <c r="F1019" s="106">
        <v>2177</v>
      </c>
      <c r="G1019" s="106">
        <v>1828</v>
      </c>
      <c r="H1019" s="106">
        <v>1385</v>
      </c>
      <c r="I1019" s="106">
        <v>1162</v>
      </c>
      <c r="J1019" s="106">
        <v>373</v>
      </c>
      <c r="K1019" s="106">
        <v>221</v>
      </c>
      <c r="L1019" s="106">
        <v>8039</v>
      </c>
      <c r="M1019" s="106">
        <v>7483</v>
      </c>
      <c r="N1019" s="106">
        <v>14588</v>
      </c>
      <c r="O1019" s="106">
        <v>1385</v>
      </c>
      <c r="P1019" s="108">
        <v>18201</v>
      </c>
      <c r="Q1019" s="106">
        <v>254</v>
      </c>
      <c r="R1019" s="16">
        <f t="shared" si="451"/>
        <v>40828</v>
      </c>
    </row>
    <row r="1020" spans="1:18" ht="15.6" x14ac:dyDescent="0.3">
      <c r="A1020" s="107">
        <v>40073</v>
      </c>
      <c r="B1020" s="108">
        <v>1244</v>
      </c>
      <c r="C1020" s="108">
        <v>2347</v>
      </c>
      <c r="D1020" s="108">
        <v>769</v>
      </c>
      <c r="E1020" s="108">
        <v>997</v>
      </c>
      <c r="F1020" s="108">
        <v>892</v>
      </c>
      <c r="G1020" s="108">
        <v>1389</v>
      </c>
      <c r="H1020" s="108">
        <v>897</v>
      </c>
      <c r="I1020" s="108">
        <v>1150</v>
      </c>
      <c r="J1020" s="108">
        <v>312</v>
      </c>
      <c r="K1020" s="108">
        <v>218</v>
      </c>
      <c r="L1020" s="108">
        <v>4114</v>
      </c>
      <c r="M1020" s="108">
        <v>6101</v>
      </c>
      <c r="N1020" s="108">
        <v>11570</v>
      </c>
      <c r="O1020" s="108">
        <v>2738</v>
      </c>
      <c r="P1020" s="108">
        <v>18242</v>
      </c>
      <c r="Q1020" s="108">
        <v>541</v>
      </c>
      <c r="R1020" s="16">
        <f t="shared" si="451"/>
        <v>33926</v>
      </c>
    </row>
    <row r="1021" spans="1:18" ht="15.6" x14ac:dyDescent="0.3">
      <c r="A1021" s="107">
        <v>40437</v>
      </c>
      <c r="B1021" s="108">
        <v>3697</v>
      </c>
      <c r="C1021" s="106">
        <v>4153</v>
      </c>
      <c r="D1021" s="106">
        <v>591</v>
      </c>
      <c r="E1021" s="106">
        <v>573</v>
      </c>
      <c r="F1021" s="106">
        <v>2225</v>
      </c>
      <c r="G1021" s="106">
        <v>1998</v>
      </c>
      <c r="H1021" s="106">
        <v>1305</v>
      </c>
      <c r="I1021" s="106">
        <v>1378</v>
      </c>
      <c r="J1021" s="106">
        <v>253</v>
      </c>
      <c r="K1021" s="106">
        <v>300</v>
      </c>
      <c r="L1021" s="106">
        <v>8070</v>
      </c>
      <c r="M1021" s="106">
        <v>8402</v>
      </c>
      <c r="N1021" s="106">
        <v>14158</v>
      </c>
      <c r="O1021" s="106">
        <v>2377</v>
      </c>
      <c r="P1021" s="108">
        <v>18939</v>
      </c>
      <c r="Q1021" s="106">
        <v>600</v>
      </c>
      <c r="R1021" s="16">
        <f t="shared" si="451"/>
        <v>41167</v>
      </c>
    </row>
    <row r="1022" spans="1:18" ht="15.6" x14ac:dyDescent="0.3">
      <c r="A1022" s="107">
        <v>40080</v>
      </c>
      <c r="B1022" s="108">
        <v>1189</v>
      </c>
      <c r="C1022" s="108">
        <v>2523</v>
      </c>
      <c r="D1022" s="108">
        <v>714</v>
      </c>
      <c r="E1022" s="108">
        <v>1106</v>
      </c>
      <c r="F1022" s="108">
        <v>915</v>
      </c>
      <c r="G1022" s="108">
        <v>1556</v>
      </c>
      <c r="H1022" s="108">
        <v>831</v>
      </c>
      <c r="I1022" s="108">
        <v>1308</v>
      </c>
      <c r="J1022" s="108">
        <v>372</v>
      </c>
      <c r="K1022" s="108">
        <v>240</v>
      </c>
      <c r="L1022" s="108">
        <v>4021</v>
      </c>
      <c r="M1022" s="108">
        <v>6732</v>
      </c>
      <c r="N1022" s="108">
        <v>11828</v>
      </c>
      <c r="O1022" s="108">
        <v>3702</v>
      </c>
      <c r="P1022" s="108">
        <v>19418</v>
      </c>
      <c r="Q1022" s="108">
        <v>750</v>
      </c>
      <c r="R1022" s="16">
        <f t="shared" si="451"/>
        <v>35267</v>
      </c>
    </row>
    <row r="1023" spans="1:18" ht="15.6" x14ac:dyDescent="0.3">
      <c r="A1023" s="107">
        <v>40444</v>
      </c>
      <c r="B1023" s="108">
        <v>3734</v>
      </c>
      <c r="C1023" s="106">
        <v>4417</v>
      </c>
      <c r="D1023" s="106">
        <v>609</v>
      </c>
      <c r="E1023" s="106">
        <v>589</v>
      </c>
      <c r="F1023" s="106">
        <v>2119</v>
      </c>
      <c r="G1023" s="106">
        <v>2331</v>
      </c>
      <c r="H1023" s="106">
        <v>1216</v>
      </c>
      <c r="I1023" s="106">
        <v>1519</v>
      </c>
      <c r="J1023" s="106">
        <v>238</v>
      </c>
      <c r="K1023" s="106">
        <v>331</v>
      </c>
      <c r="L1023" s="106">
        <v>7916</v>
      </c>
      <c r="M1023" s="106">
        <v>9187</v>
      </c>
      <c r="N1023" s="106">
        <v>14142</v>
      </c>
      <c r="O1023" s="106">
        <v>3319</v>
      </c>
      <c r="P1023" s="108">
        <v>20155</v>
      </c>
      <c r="Q1023" s="106">
        <v>1121</v>
      </c>
      <c r="R1023" s="16">
        <f t="shared" si="451"/>
        <v>42213</v>
      </c>
    </row>
    <row r="1024" spans="1:18" ht="15.6" x14ac:dyDescent="0.3">
      <c r="A1024" s="107">
        <v>40087</v>
      </c>
      <c r="B1024" s="108">
        <v>1205</v>
      </c>
      <c r="C1024" s="108">
        <v>2772</v>
      </c>
      <c r="D1024" s="108">
        <v>643</v>
      </c>
      <c r="E1024" s="108">
        <v>1205</v>
      </c>
      <c r="F1024" s="108">
        <v>997</v>
      </c>
      <c r="G1024" s="108">
        <v>1706</v>
      </c>
      <c r="H1024" s="108">
        <v>871</v>
      </c>
      <c r="I1024" s="108">
        <v>1427</v>
      </c>
      <c r="J1024" s="108">
        <v>397</v>
      </c>
      <c r="K1024" s="108">
        <v>297</v>
      </c>
      <c r="L1024" s="108">
        <v>4113</v>
      </c>
      <c r="M1024" s="108">
        <v>7408</v>
      </c>
      <c r="N1024" s="108">
        <v>11206</v>
      </c>
      <c r="O1024" s="108">
        <v>4847</v>
      </c>
      <c r="P1024" s="108">
        <v>19528</v>
      </c>
      <c r="Q1024" s="108">
        <v>1091</v>
      </c>
      <c r="R1024" s="16">
        <f t="shared" ref="R1024:R1029" si="452">P1024+N1024+L1024</f>
        <v>34847</v>
      </c>
    </row>
    <row r="1025" spans="1:18" ht="15.6" x14ac:dyDescent="0.3">
      <c r="A1025" s="107">
        <v>40451</v>
      </c>
      <c r="B1025" s="108">
        <v>3600</v>
      </c>
      <c r="C1025" s="106">
        <v>4788</v>
      </c>
      <c r="D1025" s="106">
        <v>560</v>
      </c>
      <c r="E1025" s="106">
        <v>676</v>
      </c>
      <c r="F1025" s="106">
        <v>2245</v>
      </c>
      <c r="G1025" s="106">
        <v>2572</v>
      </c>
      <c r="H1025" s="106">
        <v>1228</v>
      </c>
      <c r="I1025" s="106">
        <v>1657</v>
      </c>
      <c r="J1025" s="106">
        <v>213</v>
      </c>
      <c r="K1025" s="106">
        <v>373</v>
      </c>
      <c r="L1025" s="106">
        <v>7846</v>
      </c>
      <c r="M1025" s="106">
        <v>10066</v>
      </c>
      <c r="N1025" s="106">
        <v>13770</v>
      </c>
      <c r="O1025" s="106">
        <v>4297</v>
      </c>
      <c r="P1025" s="108">
        <v>20449</v>
      </c>
      <c r="Q1025" s="106">
        <v>1776</v>
      </c>
      <c r="R1025" s="16">
        <f t="shared" si="452"/>
        <v>42065</v>
      </c>
    </row>
    <row r="1026" spans="1:18" ht="15.6" x14ac:dyDescent="0.3">
      <c r="A1026" s="107">
        <v>40094</v>
      </c>
      <c r="B1026" s="108">
        <v>1100</v>
      </c>
      <c r="C1026" s="108">
        <v>2981</v>
      </c>
      <c r="D1026" s="108">
        <v>623</v>
      </c>
      <c r="E1026" s="108">
        <v>1262</v>
      </c>
      <c r="F1026" s="108">
        <v>1009</v>
      </c>
      <c r="G1026" s="108">
        <v>1849</v>
      </c>
      <c r="H1026" s="108">
        <v>932</v>
      </c>
      <c r="I1026" s="108">
        <v>1488</v>
      </c>
      <c r="J1026" s="108">
        <v>404</v>
      </c>
      <c r="K1026" s="108">
        <v>351</v>
      </c>
      <c r="L1026" s="108">
        <v>4069</v>
      </c>
      <c r="M1026" s="108">
        <v>7932</v>
      </c>
      <c r="N1026" s="108">
        <v>11167</v>
      </c>
      <c r="O1026" s="108">
        <v>5517</v>
      </c>
      <c r="P1026" s="108">
        <v>19577</v>
      </c>
      <c r="Q1026" s="108">
        <v>1696</v>
      </c>
      <c r="R1026" s="16">
        <f t="shared" si="452"/>
        <v>34813</v>
      </c>
    </row>
    <row r="1027" spans="1:18" ht="15.6" x14ac:dyDescent="0.3">
      <c r="A1027" s="107">
        <v>40458</v>
      </c>
      <c r="B1027" s="108">
        <v>3505</v>
      </c>
      <c r="C1027" s="106">
        <v>5058</v>
      </c>
      <c r="D1027" s="106">
        <v>488</v>
      </c>
      <c r="E1027" s="106">
        <v>714</v>
      </c>
      <c r="F1027" s="106">
        <v>2110</v>
      </c>
      <c r="G1027" s="106">
        <v>2798</v>
      </c>
      <c r="H1027" s="106">
        <v>1254</v>
      </c>
      <c r="I1027" s="106">
        <v>1764</v>
      </c>
      <c r="J1027" s="106">
        <v>197</v>
      </c>
      <c r="K1027" s="106">
        <v>395</v>
      </c>
      <c r="L1027" s="106">
        <v>7554</v>
      </c>
      <c r="M1027" s="106">
        <v>10729</v>
      </c>
      <c r="N1027" s="106">
        <v>13868</v>
      </c>
      <c r="O1027" s="106">
        <v>5105</v>
      </c>
      <c r="P1027" s="108">
        <v>20368</v>
      </c>
      <c r="Q1027" s="106">
        <v>2965</v>
      </c>
      <c r="R1027" s="16">
        <f t="shared" si="452"/>
        <v>41790</v>
      </c>
    </row>
    <row r="1028" spans="1:18" ht="15.6" x14ac:dyDescent="0.3">
      <c r="A1028" s="107">
        <v>40101</v>
      </c>
      <c r="B1028" s="108">
        <v>1252</v>
      </c>
      <c r="C1028" s="108">
        <v>3130</v>
      </c>
      <c r="D1028" s="108">
        <v>589</v>
      </c>
      <c r="E1028" s="108">
        <v>1373</v>
      </c>
      <c r="F1028" s="108">
        <v>1008</v>
      </c>
      <c r="G1028" s="108">
        <v>1967</v>
      </c>
      <c r="H1028" s="108">
        <v>995</v>
      </c>
      <c r="I1028" s="108">
        <v>1544</v>
      </c>
      <c r="J1028" s="108">
        <v>385</v>
      </c>
      <c r="K1028" s="108">
        <v>384</v>
      </c>
      <c r="L1028" s="108">
        <v>4229</v>
      </c>
      <c r="M1028" s="108">
        <v>8399</v>
      </c>
      <c r="N1028" s="108">
        <v>10584</v>
      </c>
      <c r="O1028" s="108">
        <v>6335</v>
      </c>
      <c r="P1028" s="108">
        <v>19708</v>
      </c>
      <c r="Q1028" s="108">
        <v>2552</v>
      </c>
      <c r="R1028" s="16">
        <f t="shared" si="452"/>
        <v>34521</v>
      </c>
    </row>
    <row r="1029" spans="1:18" ht="15.6" x14ac:dyDescent="0.3">
      <c r="A1029" s="107">
        <v>40465</v>
      </c>
      <c r="B1029" s="108">
        <v>3531</v>
      </c>
      <c r="C1029" s="106">
        <v>5363</v>
      </c>
      <c r="D1029" s="106">
        <v>546</v>
      </c>
      <c r="E1029" s="106">
        <v>734</v>
      </c>
      <c r="F1029" s="106">
        <v>2029</v>
      </c>
      <c r="G1029" s="106">
        <v>3004</v>
      </c>
      <c r="H1029" s="106">
        <v>1220</v>
      </c>
      <c r="I1029" s="106">
        <v>1820</v>
      </c>
      <c r="J1029" s="106">
        <v>211</v>
      </c>
      <c r="K1029" s="106">
        <v>401</v>
      </c>
      <c r="L1029" s="106">
        <v>7536</v>
      </c>
      <c r="M1029" s="106">
        <v>11321</v>
      </c>
      <c r="N1029" s="106">
        <v>13247</v>
      </c>
      <c r="O1029" s="106">
        <v>5938</v>
      </c>
      <c r="P1029" s="108">
        <v>20760</v>
      </c>
      <c r="Q1029" s="106">
        <v>4569</v>
      </c>
      <c r="R1029" s="16">
        <f t="shared" si="452"/>
        <v>41543</v>
      </c>
    </row>
    <row r="1030" spans="1:18" ht="15.6" x14ac:dyDescent="0.3">
      <c r="A1030" s="107">
        <v>40108</v>
      </c>
      <c r="B1030" s="108">
        <v>1256</v>
      </c>
      <c r="C1030" s="108">
        <v>3244</v>
      </c>
      <c r="D1030" s="108">
        <v>594</v>
      </c>
      <c r="E1030" s="108">
        <v>1386</v>
      </c>
      <c r="F1030" s="108">
        <v>1013</v>
      </c>
      <c r="G1030" s="108">
        <v>2109</v>
      </c>
      <c r="H1030" s="108">
        <v>960</v>
      </c>
      <c r="I1030" s="108">
        <v>1647</v>
      </c>
      <c r="J1030" s="108">
        <v>322</v>
      </c>
      <c r="K1030" s="108">
        <v>444</v>
      </c>
      <c r="L1030" s="108">
        <v>4146</v>
      </c>
      <c r="M1030" s="108">
        <v>8830</v>
      </c>
      <c r="N1030" s="108">
        <v>10284</v>
      </c>
      <c r="O1030" s="108">
        <v>7002</v>
      </c>
      <c r="P1030" s="108">
        <v>18965</v>
      </c>
      <c r="Q1030" s="108">
        <v>3986</v>
      </c>
      <c r="R1030" s="16">
        <f t="shared" ref="R1030:R1037" si="453">P1030+N1030+L1030</f>
        <v>33395</v>
      </c>
    </row>
    <row r="1031" spans="1:18" ht="15.6" x14ac:dyDescent="0.3">
      <c r="A1031" s="107">
        <v>40472</v>
      </c>
      <c r="B1031" s="108">
        <v>3320</v>
      </c>
      <c r="C1031" s="106">
        <v>5631</v>
      </c>
      <c r="D1031" s="106">
        <v>624</v>
      </c>
      <c r="E1031" s="106">
        <v>788</v>
      </c>
      <c r="F1031" s="106">
        <v>2193</v>
      </c>
      <c r="G1031" s="106">
        <v>3155</v>
      </c>
      <c r="H1031" s="106">
        <v>1191</v>
      </c>
      <c r="I1031" s="106">
        <v>1927</v>
      </c>
      <c r="J1031" s="106">
        <v>160</v>
      </c>
      <c r="K1031" s="106">
        <v>465</v>
      </c>
      <c r="L1031" s="106">
        <v>7487</v>
      </c>
      <c r="M1031" s="106">
        <v>11965</v>
      </c>
      <c r="N1031" s="106">
        <v>13217</v>
      </c>
      <c r="O1031" s="106">
        <v>6502</v>
      </c>
      <c r="P1031" s="108">
        <v>20852</v>
      </c>
      <c r="Q1031" s="106">
        <v>6503</v>
      </c>
      <c r="R1031" s="16">
        <f t="shared" si="453"/>
        <v>41556</v>
      </c>
    </row>
    <row r="1032" spans="1:18" ht="15.6" x14ac:dyDescent="0.3">
      <c r="A1032" s="107">
        <v>40115</v>
      </c>
      <c r="B1032" s="108">
        <v>1263</v>
      </c>
      <c r="C1032" s="108">
        <v>3346</v>
      </c>
      <c r="D1032" s="108">
        <v>557</v>
      </c>
      <c r="E1032" s="108">
        <v>1462</v>
      </c>
      <c r="F1032" s="108">
        <v>1020</v>
      </c>
      <c r="G1032" s="108">
        <v>2167</v>
      </c>
      <c r="H1032" s="108">
        <v>980</v>
      </c>
      <c r="I1032" s="108">
        <v>1677</v>
      </c>
      <c r="J1032" s="108">
        <v>322</v>
      </c>
      <c r="K1032" s="108">
        <v>468</v>
      </c>
      <c r="L1032" s="108">
        <v>4141</v>
      </c>
      <c r="M1032" s="108">
        <v>9120</v>
      </c>
      <c r="N1032" s="108">
        <v>10140</v>
      </c>
      <c r="O1032" s="108">
        <v>7710</v>
      </c>
      <c r="P1032" s="108">
        <v>17795</v>
      </c>
      <c r="Q1032" s="108">
        <v>5539</v>
      </c>
      <c r="R1032" s="16">
        <f t="shared" si="453"/>
        <v>32076</v>
      </c>
    </row>
    <row r="1033" spans="1:18" ht="15.6" x14ac:dyDescent="0.3">
      <c r="A1033" s="107">
        <v>40479</v>
      </c>
      <c r="B1033" s="108">
        <v>3365</v>
      </c>
      <c r="C1033" s="106">
        <v>5834</v>
      </c>
      <c r="D1033" s="106">
        <v>553</v>
      </c>
      <c r="E1033" s="106">
        <v>868</v>
      </c>
      <c r="F1033" s="106">
        <v>2326</v>
      </c>
      <c r="G1033" s="106">
        <v>3230</v>
      </c>
      <c r="H1033" s="106">
        <v>1185</v>
      </c>
      <c r="I1033" s="106">
        <v>1993</v>
      </c>
      <c r="J1033" s="106">
        <v>194</v>
      </c>
      <c r="K1033" s="106">
        <v>469</v>
      </c>
      <c r="L1033" s="106">
        <v>7623</v>
      </c>
      <c r="M1033" s="106">
        <v>12394</v>
      </c>
      <c r="N1033" s="106">
        <v>12798</v>
      </c>
      <c r="O1033" s="106">
        <v>7382</v>
      </c>
      <c r="P1033" s="108">
        <v>20473</v>
      </c>
      <c r="Q1033" s="106">
        <v>8459</v>
      </c>
      <c r="R1033" s="16">
        <f t="shared" si="453"/>
        <v>40894</v>
      </c>
    </row>
    <row r="1034" spans="1:18" ht="15.6" x14ac:dyDescent="0.3">
      <c r="A1034" s="107">
        <v>40122</v>
      </c>
      <c r="B1034" s="108">
        <v>1406</v>
      </c>
      <c r="C1034" s="108">
        <v>3431</v>
      </c>
      <c r="D1034" s="108">
        <v>540</v>
      </c>
      <c r="E1034" s="108">
        <v>1506</v>
      </c>
      <c r="F1034" s="108">
        <v>1026</v>
      </c>
      <c r="G1034" s="108">
        <v>2250</v>
      </c>
      <c r="H1034" s="108">
        <v>826</v>
      </c>
      <c r="I1034" s="108">
        <v>1876</v>
      </c>
      <c r="J1034" s="108">
        <v>300</v>
      </c>
      <c r="K1034" s="108">
        <v>514</v>
      </c>
      <c r="L1034" s="108">
        <v>4097</v>
      </c>
      <c r="M1034" s="108">
        <v>9576</v>
      </c>
      <c r="N1034" s="108">
        <v>9871</v>
      </c>
      <c r="O1034" s="108">
        <v>8468</v>
      </c>
      <c r="P1034" s="108">
        <v>17431</v>
      </c>
      <c r="Q1034" s="108">
        <v>7060</v>
      </c>
      <c r="R1034" s="16">
        <f t="shared" si="453"/>
        <v>31399</v>
      </c>
    </row>
    <row r="1035" spans="1:18" ht="15.6" x14ac:dyDescent="0.3">
      <c r="A1035" s="107">
        <v>40486</v>
      </c>
      <c r="B1035" s="108">
        <v>3546</v>
      </c>
      <c r="C1035" s="106">
        <v>6004</v>
      </c>
      <c r="D1035" s="106">
        <v>560</v>
      </c>
      <c r="E1035" s="106">
        <v>870</v>
      </c>
      <c r="F1035" s="106">
        <v>2509</v>
      </c>
      <c r="G1035" s="106">
        <v>3414</v>
      </c>
      <c r="H1035" s="106">
        <v>1169</v>
      </c>
      <c r="I1035" s="106">
        <v>2112</v>
      </c>
      <c r="J1035" s="106">
        <v>156</v>
      </c>
      <c r="K1035" s="106">
        <v>511</v>
      </c>
      <c r="L1035" s="106">
        <v>7939</v>
      </c>
      <c r="M1035" s="106">
        <v>12911</v>
      </c>
      <c r="N1035" s="106">
        <v>12620</v>
      </c>
      <c r="O1035" s="106">
        <v>8133</v>
      </c>
      <c r="P1035" s="108">
        <v>19603</v>
      </c>
      <c r="Q1035" s="106">
        <v>10138</v>
      </c>
      <c r="R1035" s="16">
        <f t="shared" si="453"/>
        <v>40162</v>
      </c>
    </row>
    <row r="1036" spans="1:18" ht="15.6" x14ac:dyDescent="0.3">
      <c r="A1036" s="107">
        <v>40129</v>
      </c>
      <c r="B1036" s="108">
        <v>1318</v>
      </c>
      <c r="C1036" s="108">
        <v>3642</v>
      </c>
      <c r="D1036" s="108">
        <v>505</v>
      </c>
      <c r="E1036" s="108">
        <v>1573</v>
      </c>
      <c r="F1036" s="108">
        <v>1044</v>
      </c>
      <c r="G1036" s="108">
        <v>2366</v>
      </c>
      <c r="H1036" s="108">
        <v>793</v>
      </c>
      <c r="I1036" s="108">
        <v>1955</v>
      </c>
      <c r="J1036" s="108">
        <v>312</v>
      </c>
      <c r="K1036" s="108">
        <v>528</v>
      </c>
      <c r="L1036" s="108">
        <v>3972</v>
      </c>
      <c r="M1036" s="108">
        <v>10063</v>
      </c>
      <c r="N1036" s="108">
        <v>9540</v>
      </c>
      <c r="O1036" s="108">
        <v>9151</v>
      </c>
      <c r="P1036" s="108">
        <v>17057</v>
      </c>
      <c r="Q1036" s="108">
        <v>8784</v>
      </c>
      <c r="R1036" s="16">
        <f t="shared" si="453"/>
        <v>30569</v>
      </c>
    </row>
    <row r="1037" spans="1:18" ht="15.6" x14ac:dyDescent="0.3">
      <c r="A1037" s="107">
        <v>40493</v>
      </c>
      <c r="B1037" s="108">
        <v>3801</v>
      </c>
      <c r="C1037" s="106">
        <v>6236</v>
      </c>
      <c r="D1037" s="106">
        <v>596</v>
      </c>
      <c r="E1037" s="106">
        <v>913</v>
      </c>
      <c r="F1037" s="106">
        <v>2646</v>
      </c>
      <c r="G1037" s="106">
        <v>3546</v>
      </c>
      <c r="H1037" s="106">
        <v>1246</v>
      </c>
      <c r="I1037" s="106">
        <v>2143</v>
      </c>
      <c r="J1037" s="106">
        <v>157</v>
      </c>
      <c r="K1037" s="106">
        <v>512</v>
      </c>
      <c r="L1037" s="106">
        <v>8444</v>
      </c>
      <c r="M1037" s="106">
        <v>13349</v>
      </c>
      <c r="N1037" s="106">
        <v>12375</v>
      </c>
      <c r="O1037" s="106">
        <v>8912</v>
      </c>
      <c r="P1037" s="108">
        <v>18843</v>
      </c>
      <c r="Q1037" s="106">
        <v>11905</v>
      </c>
      <c r="R1037" s="16">
        <f t="shared" si="453"/>
        <v>39662</v>
      </c>
    </row>
    <row r="1038" spans="1:18" ht="15.6" x14ac:dyDescent="0.3">
      <c r="A1038" s="107">
        <v>40136</v>
      </c>
      <c r="B1038" s="108">
        <v>1300</v>
      </c>
      <c r="C1038" s="108">
        <v>3799</v>
      </c>
      <c r="D1038" s="108">
        <v>473</v>
      </c>
      <c r="E1038" s="108">
        <v>1617</v>
      </c>
      <c r="F1038" s="108">
        <v>1108</v>
      </c>
      <c r="G1038" s="108">
        <v>2450</v>
      </c>
      <c r="H1038" s="108">
        <v>724</v>
      </c>
      <c r="I1038" s="108">
        <v>2055</v>
      </c>
      <c r="J1038" s="108">
        <v>303</v>
      </c>
      <c r="K1038" s="108">
        <v>558</v>
      </c>
      <c r="L1038" s="108">
        <v>3908</v>
      </c>
      <c r="M1038" s="108">
        <v>10479</v>
      </c>
      <c r="N1038" s="108">
        <v>10136</v>
      </c>
      <c r="O1038" s="108">
        <v>9779</v>
      </c>
      <c r="P1038" s="108">
        <v>15758</v>
      </c>
      <c r="Q1038" s="108">
        <v>11219</v>
      </c>
      <c r="R1038" s="16">
        <f t="shared" ref="R1038:R1043" si="454">P1038+N1038+L1038</f>
        <v>29802</v>
      </c>
    </row>
    <row r="1039" spans="1:18" ht="15.6" x14ac:dyDescent="0.3">
      <c r="A1039" s="107">
        <v>40500</v>
      </c>
      <c r="B1039" s="108">
        <v>3660</v>
      </c>
      <c r="C1039" s="106">
        <v>6562</v>
      </c>
      <c r="D1039" s="106">
        <v>694</v>
      </c>
      <c r="E1039" s="106">
        <v>934</v>
      </c>
      <c r="F1039" s="106">
        <v>2772</v>
      </c>
      <c r="G1039" s="106">
        <v>3654</v>
      </c>
      <c r="H1039" s="106">
        <v>1344</v>
      </c>
      <c r="I1039" s="106">
        <v>2198</v>
      </c>
      <c r="J1039" s="106">
        <v>195</v>
      </c>
      <c r="K1039" s="106">
        <v>526</v>
      </c>
      <c r="L1039" s="106">
        <v>8665</v>
      </c>
      <c r="M1039" s="106">
        <v>13873</v>
      </c>
      <c r="N1039" s="106">
        <v>12416</v>
      </c>
      <c r="O1039" s="106">
        <v>9695</v>
      </c>
      <c r="P1039" s="108">
        <v>17885</v>
      </c>
      <c r="Q1039" s="106">
        <v>13537</v>
      </c>
      <c r="R1039" s="16">
        <f t="shared" si="454"/>
        <v>38966</v>
      </c>
    </row>
    <row r="1040" spans="1:18" ht="15.6" x14ac:dyDescent="0.3">
      <c r="A1040" s="107">
        <v>40143</v>
      </c>
      <c r="B1040" s="108">
        <v>1461</v>
      </c>
      <c r="C1040" s="108">
        <v>3869</v>
      </c>
      <c r="D1040" s="108">
        <v>474</v>
      </c>
      <c r="E1040" s="108">
        <v>1646</v>
      </c>
      <c r="F1040" s="108">
        <v>1001</v>
      </c>
      <c r="G1040" s="108">
        <v>2597</v>
      </c>
      <c r="H1040" s="108">
        <v>699</v>
      </c>
      <c r="I1040" s="108">
        <v>2150</v>
      </c>
      <c r="J1040" s="108">
        <v>278</v>
      </c>
      <c r="K1040" s="108">
        <v>603</v>
      </c>
      <c r="L1040" s="108">
        <v>3913</v>
      </c>
      <c r="M1040" s="108">
        <v>10864</v>
      </c>
      <c r="N1040" s="108">
        <v>9915</v>
      </c>
      <c r="O1040" s="108">
        <v>10659</v>
      </c>
      <c r="P1040" s="108">
        <v>15116</v>
      </c>
      <c r="Q1040" s="108">
        <v>12517</v>
      </c>
      <c r="R1040" s="16">
        <f t="shared" si="454"/>
        <v>28944</v>
      </c>
    </row>
    <row r="1041" spans="1:18" ht="15.6" x14ac:dyDescent="0.3">
      <c r="A1041" s="107">
        <v>40507</v>
      </c>
      <c r="B1041" s="108">
        <v>3650</v>
      </c>
      <c r="C1041" s="106">
        <v>6895</v>
      </c>
      <c r="D1041" s="106">
        <v>780</v>
      </c>
      <c r="E1041" s="106">
        <v>952</v>
      </c>
      <c r="F1041" s="106">
        <v>2808</v>
      </c>
      <c r="G1041" s="106">
        <v>3820</v>
      </c>
      <c r="H1041" s="106">
        <v>1329</v>
      </c>
      <c r="I1041" s="106">
        <v>2239</v>
      </c>
      <c r="J1041" s="106">
        <v>174</v>
      </c>
      <c r="K1041" s="106">
        <v>556</v>
      </c>
      <c r="L1041" s="106">
        <v>8740</v>
      </c>
      <c r="M1041" s="106">
        <v>14461</v>
      </c>
      <c r="N1041" s="106">
        <v>12389</v>
      </c>
      <c r="O1041" s="106">
        <v>10479</v>
      </c>
      <c r="P1041" s="108">
        <v>17599</v>
      </c>
      <c r="Q1041" s="106">
        <v>15165</v>
      </c>
      <c r="R1041" s="16">
        <f t="shared" si="454"/>
        <v>38728</v>
      </c>
    </row>
    <row r="1042" spans="1:18" ht="15.6" x14ac:dyDescent="0.3">
      <c r="A1042" s="107">
        <v>40150</v>
      </c>
      <c r="B1042" s="108">
        <v>1467</v>
      </c>
      <c r="C1042" s="108">
        <v>3980</v>
      </c>
      <c r="D1042" s="108">
        <v>489</v>
      </c>
      <c r="E1042" s="108">
        <v>1675</v>
      </c>
      <c r="F1042" s="108">
        <v>930</v>
      </c>
      <c r="G1042" s="108">
        <v>2700</v>
      </c>
      <c r="H1042" s="108">
        <v>725</v>
      </c>
      <c r="I1042" s="108">
        <v>2176</v>
      </c>
      <c r="J1042" s="108">
        <v>241</v>
      </c>
      <c r="K1042" s="108">
        <v>640</v>
      </c>
      <c r="L1042" s="108">
        <v>3851</v>
      </c>
      <c r="M1042" s="108">
        <v>11171</v>
      </c>
      <c r="N1042" s="108">
        <v>10057</v>
      </c>
      <c r="O1042" s="108">
        <v>11365</v>
      </c>
      <c r="P1042" s="108">
        <v>13977</v>
      </c>
      <c r="Q1042" s="108">
        <v>14584</v>
      </c>
      <c r="R1042" s="16">
        <f t="shared" si="454"/>
        <v>27885</v>
      </c>
    </row>
    <row r="1043" spans="1:18" ht="15.6" x14ac:dyDescent="0.3">
      <c r="A1043" s="107">
        <v>40514</v>
      </c>
      <c r="B1043" s="108">
        <v>3613</v>
      </c>
      <c r="C1043" s="106">
        <v>7156</v>
      </c>
      <c r="D1043" s="106">
        <v>802</v>
      </c>
      <c r="E1043" s="106">
        <v>998</v>
      </c>
      <c r="F1043" s="106">
        <v>2750</v>
      </c>
      <c r="G1043" s="106">
        <v>4057</v>
      </c>
      <c r="H1043" s="106">
        <v>1273</v>
      </c>
      <c r="I1043" s="106">
        <v>2358</v>
      </c>
      <c r="J1043" s="106">
        <v>163</v>
      </c>
      <c r="K1043" s="106">
        <v>568</v>
      </c>
      <c r="L1043" s="106">
        <v>8601</v>
      </c>
      <c r="M1043" s="106">
        <v>15136</v>
      </c>
      <c r="N1043" s="106">
        <v>12365</v>
      </c>
      <c r="O1043" s="106">
        <v>11174</v>
      </c>
      <c r="P1043" s="108">
        <v>16742</v>
      </c>
      <c r="Q1043" s="106">
        <v>16659</v>
      </c>
      <c r="R1043" s="16">
        <f t="shared" si="454"/>
        <v>37708</v>
      </c>
    </row>
    <row r="1044" spans="1:18" ht="15.6" x14ac:dyDescent="0.3">
      <c r="A1044" s="107">
        <v>40157</v>
      </c>
      <c r="B1044" s="108">
        <v>1424</v>
      </c>
      <c r="C1044" s="108">
        <v>4172</v>
      </c>
      <c r="D1044" s="108">
        <v>512</v>
      </c>
      <c r="E1044" s="108">
        <v>1698</v>
      </c>
      <c r="F1044" s="108">
        <v>973</v>
      </c>
      <c r="G1044" s="108">
        <v>2749</v>
      </c>
      <c r="H1044" s="108">
        <v>708</v>
      </c>
      <c r="I1044" s="108">
        <v>2251</v>
      </c>
      <c r="J1044" s="108">
        <v>241</v>
      </c>
      <c r="K1044" s="108">
        <v>640</v>
      </c>
      <c r="L1044" s="108">
        <v>3858</v>
      </c>
      <c r="M1044" s="108">
        <v>11509</v>
      </c>
      <c r="N1044" s="108">
        <v>10507</v>
      </c>
      <c r="O1044" s="108">
        <v>12142</v>
      </c>
      <c r="P1044" s="108">
        <v>13248</v>
      </c>
      <c r="Q1044" s="108">
        <v>16248</v>
      </c>
      <c r="R1044" s="16">
        <f t="shared" ref="R1044:R1049" si="455">P1044+N1044+L1044</f>
        <v>27613</v>
      </c>
    </row>
    <row r="1045" spans="1:18" ht="15.6" x14ac:dyDescent="0.3">
      <c r="A1045" s="107">
        <v>40521</v>
      </c>
      <c r="B1045" s="108">
        <v>4012</v>
      </c>
      <c r="C1045" s="106">
        <v>7257</v>
      </c>
      <c r="D1045" s="106">
        <v>810</v>
      </c>
      <c r="E1045" s="106">
        <v>1037</v>
      </c>
      <c r="F1045" s="106">
        <v>2737</v>
      </c>
      <c r="G1045" s="106">
        <v>4273</v>
      </c>
      <c r="H1045" s="106">
        <v>1273</v>
      </c>
      <c r="I1045" s="106">
        <v>2479</v>
      </c>
      <c r="J1045" s="106">
        <v>164</v>
      </c>
      <c r="K1045" s="106">
        <v>590</v>
      </c>
      <c r="L1045" s="106">
        <v>8996</v>
      </c>
      <c r="M1045" s="106">
        <v>15635</v>
      </c>
      <c r="N1045" s="106">
        <v>12365</v>
      </c>
      <c r="O1045" s="106">
        <v>11985</v>
      </c>
      <c r="P1045" s="108">
        <v>15478</v>
      </c>
      <c r="Q1045" s="106">
        <v>18008</v>
      </c>
      <c r="R1045" s="16">
        <f t="shared" si="455"/>
        <v>36839</v>
      </c>
    </row>
    <row r="1046" spans="1:18" ht="15.6" x14ac:dyDescent="0.3">
      <c r="A1046" s="107">
        <v>40164</v>
      </c>
      <c r="B1046" s="108">
        <v>1368.5</v>
      </c>
      <c r="C1046" s="108">
        <v>4342.5</v>
      </c>
      <c r="D1046" s="108">
        <v>501.1</v>
      </c>
      <c r="E1046" s="108">
        <v>1731.8</v>
      </c>
      <c r="F1046" s="108">
        <v>971.6</v>
      </c>
      <c r="G1046" s="108">
        <v>2799.7</v>
      </c>
      <c r="H1046" s="108">
        <v>669.5</v>
      </c>
      <c r="I1046" s="108">
        <v>2341</v>
      </c>
      <c r="J1046" s="108">
        <v>241</v>
      </c>
      <c r="K1046" s="108">
        <v>639.70000000000005</v>
      </c>
      <c r="L1046" s="108">
        <v>3751.9</v>
      </c>
      <c r="M1046" s="108">
        <v>11836.6</v>
      </c>
      <c r="N1046" s="108">
        <v>11684.4</v>
      </c>
      <c r="O1046" s="108">
        <v>12556.2</v>
      </c>
      <c r="P1046" s="108">
        <v>13550.7</v>
      </c>
      <c r="Q1046" s="108">
        <v>17140.7</v>
      </c>
      <c r="R1046" s="16">
        <f t="shared" si="455"/>
        <v>28987</v>
      </c>
    </row>
    <row r="1047" spans="1:18" ht="15.6" x14ac:dyDescent="0.3">
      <c r="A1047" s="107">
        <v>40528</v>
      </c>
      <c r="B1047" s="108">
        <v>4040</v>
      </c>
      <c r="C1047" s="106">
        <v>7541.3</v>
      </c>
      <c r="D1047" s="106">
        <v>832</v>
      </c>
      <c r="E1047" s="106">
        <v>1103.0999999999999</v>
      </c>
      <c r="F1047" s="106">
        <v>2611.9</v>
      </c>
      <c r="G1047" s="106">
        <v>4512.3999999999996</v>
      </c>
      <c r="H1047" s="106">
        <v>1287.2</v>
      </c>
      <c r="I1047" s="106">
        <v>2541.1</v>
      </c>
      <c r="J1047" s="106">
        <v>101.9</v>
      </c>
      <c r="K1047" s="106">
        <v>650.9</v>
      </c>
      <c r="L1047" s="106">
        <v>8873</v>
      </c>
      <c r="M1047" s="106">
        <v>16348.9</v>
      </c>
      <c r="N1047" s="106">
        <v>12442.6</v>
      </c>
      <c r="O1047" s="106">
        <v>12813.5</v>
      </c>
      <c r="P1047" s="108">
        <v>14873.4</v>
      </c>
      <c r="Q1047" s="106">
        <v>19440</v>
      </c>
      <c r="R1047" s="16">
        <f t="shared" si="455"/>
        <v>36189</v>
      </c>
    </row>
    <row r="1048" spans="1:18" ht="15.6" x14ac:dyDescent="0.3">
      <c r="A1048" s="107">
        <v>40171</v>
      </c>
      <c r="B1048" s="108">
        <v>1406</v>
      </c>
      <c r="C1048" s="108">
        <v>4434</v>
      </c>
      <c r="D1048" s="108">
        <v>502</v>
      </c>
      <c r="E1048" s="108">
        <v>1762</v>
      </c>
      <c r="F1048" s="108">
        <v>955</v>
      </c>
      <c r="G1048" s="108">
        <v>2895</v>
      </c>
      <c r="H1048" s="108">
        <v>724</v>
      </c>
      <c r="I1048" s="108">
        <v>2394</v>
      </c>
      <c r="J1048" s="108">
        <v>241</v>
      </c>
      <c r="K1048" s="108">
        <v>645</v>
      </c>
      <c r="L1048" s="108">
        <v>3828</v>
      </c>
      <c r="M1048" s="108">
        <v>12131</v>
      </c>
      <c r="N1048" s="108">
        <v>11593</v>
      </c>
      <c r="O1048" s="108">
        <v>13420</v>
      </c>
      <c r="P1048" s="108">
        <v>12970</v>
      </c>
      <c r="Q1048" s="108">
        <v>18512</v>
      </c>
      <c r="R1048" s="16">
        <f t="shared" si="455"/>
        <v>28391</v>
      </c>
    </row>
    <row r="1049" spans="1:18" ht="15.6" x14ac:dyDescent="0.3">
      <c r="A1049" s="107">
        <v>40535</v>
      </c>
      <c r="B1049" s="108">
        <v>4048</v>
      </c>
      <c r="C1049" s="106">
        <v>7712</v>
      </c>
      <c r="D1049" s="106">
        <v>836</v>
      </c>
      <c r="E1049" s="106">
        <v>1144</v>
      </c>
      <c r="F1049" s="106">
        <v>2521</v>
      </c>
      <c r="G1049" s="106">
        <v>4689</v>
      </c>
      <c r="H1049" s="106">
        <v>1238</v>
      </c>
      <c r="I1049" s="106">
        <v>2674</v>
      </c>
      <c r="J1049" s="106">
        <v>114</v>
      </c>
      <c r="K1049" s="106">
        <v>677</v>
      </c>
      <c r="L1049" s="106">
        <v>8758</v>
      </c>
      <c r="M1049" s="106">
        <v>16896</v>
      </c>
      <c r="N1049" s="106">
        <v>12059</v>
      </c>
      <c r="O1049" s="106">
        <v>13954</v>
      </c>
      <c r="P1049" s="108">
        <v>14623</v>
      </c>
      <c r="Q1049" s="106">
        <v>20354</v>
      </c>
      <c r="R1049" s="16">
        <f t="shared" si="455"/>
        <v>35440</v>
      </c>
    </row>
    <row r="1050" spans="1:18" ht="15.6" x14ac:dyDescent="0.3">
      <c r="A1050" s="107">
        <v>40178</v>
      </c>
      <c r="B1050" s="108">
        <v>1368</v>
      </c>
      <c r="C1050" s="108">
        <v>4544</v>
      </c>
      <c r="D1050" s="108">
        <v>482</v>
      </c>
      <c r="E1050" s="108">
        <v>1797</v>
      </c>
      <c r="F1050" s="108">
        <v>914</v>
      </c>
      <c r="G1050" s="108">
        <v>2940</v>
      </c>
      <c r="H1050" s="108">
        <v>695</v>
      </c>
      <c r="I1050" s="108">
        <v>2425</v>
      </c>
      <c r="J1050" s="108">
        <v>218</v>
      </c>
      <c r="K1050" s="108">
        <v>669</v>
      </c>
      <c r="L1050" s="108">
        <v>3677</v>
      </c>
      <c r="M1050" s="108">
        <v>12375</v>
      </c>
      <c r="N1050" s="108">
        <v>11160</v>
      </c>
      <c r="O1050" s="108">
        <v>14218</v>
      </c>
      <c r="P1050" s="108">
        <v>12517</v>
      </c>
      <c r="Q1050" s="108">
        <v>19691</v>
      </c>
      <c r="R1050" s="16">
        <f t="shared" ref="R1050:R1055" si="456">P1050+N1050+L1050</f>
        <v>27354</v>
      </c>
    </row>
    <row r="1051" spans="1:18" ht="15.6" x14ac:dyDescent="0.3">
      <c r="A1051" s="107">
        <v>40542</v>
      </c>
      <c r="B1051" s="108">
        <v>3971</v>
      </c>
      <c r="C1051" s="106">
        <v>8025</v>
      </c>
      <c r="D1051" s="106">
        <v>814</v>
      </c>
      <c r="E1051" s="106">
        <v>1171</v>
      </c>
      <c r="F1051" s="106">
        <v>2611</v>
      </c>
      <c r="G1051" s="106">
        <v>4696</v>
      </c>
      <c r="H1051" s="106">
        <v>1277</v>
      </c>
      <c r="I1051" s="106">
        <v>2701</v>
      </c>
      <c r="J1051" s="106">
        <v>114</v>
      </c>
      <c r="K1051" s="106">
        <v>672</v>
      </c>
      <c r="L1051" s="106">
        <v>8786</v>
      </c>
      <c r="M1051" s="106">
        <v>17265</v>
      </c>
      <c r="N1051" s="106">
        <v>11814</v>
      </c>
      <c r="O1051" s="106">
        <v>14510</v>
      </c>
      <c r="P1051" s="108">
        <v>14129</v>
      </c>
      <c r="Q1051" s="106">
        <v>21272</v>
      </c>
      <c r="R1051" s="16">
        <f t="shared" si="456"/>
        <v>34729</v>
      </c>
    </row>
    <row r="1052" spans="1:18" ht="15.6" x14ac:dyDescent="0.3">
      <c r="A1052" s="107">
        <v>40185</v>
      </c>
      <c r="B1052" s="108">
        <v>1323</v>
      </c>
      <c r="C1052" s="108">
        <v>4719</v>
      </c>
      <c r="D1052" s="108">
        <v>478</v>
      </c>
      <c r="E1052" s="108">
        <v>1803</v>
      </c>
      <c r="F1052" s="108">
        <v>882</v>
      </c>
      <c r="G1052" s="108">
        <v>2995</v>
      </c>
      <c r="H1052" s="108">
        <v>671</v>
      </c>
      <c r="I1052" s="108">
        <v>2475</v>
      </c>
      <c r="J1052" s="108">
        <v>214</v>
      </c>
      <c r="K1052" s="108">
        <v>674</v>
      </c>
      <c r="L1052" s="108">
        <v>3568</v>
      </c>
      <c r="M1052" s="108">
        <v>12666</v>
      </c>
      <c r="N1052" s="108">
        <v>10829</v>
      </c>
      <c r="O1052" s="108">
        <v>14876</v>
      </c>
      <c r="P1052" s="108">
        <v>11648</v>
      </c>
      <c r="Q1052" s="108">
        <v>21314</v>
      </c>
      <c r="R1052" s="16">
        <f t="shared" si="456"/>
        <v>26045</v>
      </c>
    </row>
    <row r="1053" spans="1:18" ht="15.6" x14ac:dyDescent="0.3">
      <c r="A1053" s="107">
        <v>40549</v>
      </c>
      <c r="B1053" s="108">
        <v>3675</v>
      </c>
      <c r="C1053" s="106">
        <v>8369</v>
      </c>
      <c r="D1053" s="106">
        <v>810</v>
      </c>
      <c r="E1053" s="106">
        <v>1234</v>
      </c>
      <c r="F1053" s="106">
        <v>2537</v>
      </c>
      <c r="G1053" s="106">
        <v>4815</v>
      </c>
      <c r="H1053" s="106">
        <v>1197</v>
      </c>
      <c r="I1053" s="106">
        <v>2788</v>
      </c>
      <c r="J1053" s="106">
        <v>101</v>
      </c>
      <c r="K1053" s="106">
        <v>672</v>
      </c>
      <c r="L1053" s="106">
        <v>8320</v>
      </c>
      <c r="M1053" s="106">
        <v>17879</v>
      </c>
      <c r="N1053" s="106">
        <v>11738</v>
      </c>
      <c r="O1053" s="106">
        <v>15026</v>
      </c>
      <c r="P1053" s="108">
        <v>13674</v>
      </c>
      <c r="Q1053" s="106">
        <v>22222</v>
      </c>
      <c r="R1053" s="16">
        <f t="shared" si="456"/>
        <v>33732</v>
      </c>
    </row>
    <row r="1054" spans="1:18" ht="15.6" x14ac:dyDescent="0.3">
      <c r="A1054" s="107">
        <v>40192</v>
      </c>
      <c r="B1054" s="108">
        <v>1552</v>
      </c>
      <c r="C1054" s="108">
        <v>4806</v>
      </c>
      <c r="D1054" s="108">
        <v>465</v>
      </c>
      <c r="E1054" s="108">
        <v>1876</v>
      </c>
      <c r="F1054" s="108">
        <v>1052</v>
      </c>
      <c r="G1054" s="108">
        <v>3086</v>
      </c>
      <c r="H1054" s="108">
        <v>798</v>
      </c>
      <c r="I1054" s="108">
        <v>2514</v>
      </c>
      <c r="J1054" s="108">
        <v>210</v>
      </c>
      <c r="K1054" s="108">
        <v>701</v>
      </c>
      <c r="L1054" s="108">
        <v>4077</v>
      </c>
      <c r="M1054" s="108">
        <v>12983</v>
      </c>
      <c r="N1054" s="108">
        <v>11604</v>
      </c>
      <c r="O1054" s="108">
        <v>15687</v>
      </c>
      <c r="P1054" s="108">
        <v>11031</v>
      </c>
      <c r="Q1054" s="108">
        <v>22860</v>
      </c>
      <c r="R1054" s="16">
        <f t="shared" si="456"/>
        <v>26712</v>
      </c>
    </row>
    <row r="1055" spans="1:18" ht="15.6" x14ac:dyDescent="0.3">
      <c r="A1055" s="107">
        <v>40556</v>
      </c>
      <c r="B1055" s="108">
        <v>3798</v>
      </c>
      <c r="C1055" s="106">
        <v>8739</v>
      </c>
      <c r="D1055" s="106">
        <v>807</v>
      </c>
      <c r="E1055" s="106">
        <v>1286</v>
      </c>
      <c r="F1055" s="106">
        <v>2629</v>
      </c>
      <c r="G1055" s="106">
        <v>5029</v>
      </c>
      <c r="H1055" s="106">
        <v>1321</v>
      </c>
      <c r="I1055" s="106">
        <v>2845</v>
      </c>
      <c r="J1055" s="106">
        <v>121</v>
      </c>
      <c r="K1055" s="106">
        <v>679</v>
      </c>
      <c r="L1055" s="106">
        <v>8676</v>
      </c>
      <c r="M1055" s="106">
        <v>18577</v>
      </c>
      <c r="N1055" s="106">
        <v>12055</v>
      </c>
      <c r="O1055" s="106">
        <v>15613</v>
      </c>
      <c r="P1055" s="108">
        <v>13062</v>
      </c>
      <c r="Q1055" s="106">
        <v>23567</v>
      </c>
      <c r="R1055" s="16">
        <f t="shared" si="456"/>
        <v>33793</v>
      </c>
    </row>
    <row r="1056" spans="1:18" ht="15.6" x14ac:dyDescent="0.3">
      <c r="A1056" s="107">
        <v>40199</v>
      </c>
      <c r="B1056" s="108">
        <v>1677</v>
      </c>
      <c r="C1056" s="108">
        <v>5028</v>
      </c>
      <c r="D1056" s="108">
        <v>470</v>
      </c>
      <c r="E1056" s="108">
        <v>1918</v>
      </c>
      <c r="F1056" s="108">
        <v>1078</v>
      </c>
      <c r="G1056" s="108">
        <v>3173</v>
      </c>
      <c r="H1056" s="108">
        <v>900</v>
      </c>
      <c r="I1056" s="108">
        <v>2586</v>
      </c>
      <c r="J1056" s="108">
        <v>189</v>
      </c>
      <c r="K1056" s="108">
        <v>703</v>
      </c>
      <c r="L1056" s="108">
        <v>4313</v>
      </c>
      <c r="M1056" s="108">
        <v>13407</v>
      </c>
      <c r="N1056" s="108">
        <v>11974</v>
      </c>
      <c r="O1056" s="108">
        <v>16219</v>
      </c>
      <c r="P1056" s="108">
        <v>10310</v>
      </c>
      <c r="Q1056" s="108">
        <v>24254</v>
      </c>
      <c r="R1056" s="16">
        <f t="shared" ref="R1056:R1061" si="457">P1056+N1056+L1056</f>
        <v>26597</v>
      </c>
    </row>
    <row r="1057" spans="1:18" ht="15.6" x14ac:dyDescent="0.3">
      <c r="A1057" s="107">
        <v>40563</v>
      </c>
      <c r="B1057" s="108">
        <v>3993</v>
      </c>
      <c r="C1057" s="106">
        <v>9030</v>
      </c>
      <c r="D1057" s="106">
        <v>781</v>
      </c>
      <c r="E1057" s="106">
        <v>1406</v>
      </c>
      <c r="F1057" s="106">
        <v>2682</v>
      </c>
      <c r="G1057" s="106">
        <v>5148</v>
      </c>
      <c r="H1057" s="106">
        <v>1343</v>
      </c>
      <c r="I1057" s="106">
        <v>2934</v>
      </c>
      <c r="J1057" s="106">
        <v>101</v>
      </c>
      <c r="K1057" s="106">
        <v>701</v>
      </c>
      <c r="L1057" s="106">
        <v>8900</v>
      </c>
      <c r="M1057" s="106">
        <v>19219</v>
      </c>
      <c r="N1057" s="106">
        <v>11700</v>
      </c>
      <c r="O1057" s="106">
        <v>16383</v>
      </c>
      <c r="P1057" s="108">
        <v>12565</v>
      </c>
      <c r="Q1057" s="106">
        <v>24769</v>
      </c>
      <c r="R1057" s="16">
        <f t="shared" si="457"/>
        <v>33165</v>
      </c>
    </row>
    <row r="1058" spans="1:18" ht="15.6" x14ac:dyDescent="0.3">
      <c r="A1058" s="107">
        <v>40206</v>
      </c>
      <c r="B1058" s="108">
        <v>1644</v>
      </c>
      <c r="C1058" s="108">
        <v>5208</v>
      </c>
      <c r="D1058" s="108">
        <v>484</v>
      </c>
      <c r="E1058" s="108">
        <v>1997</v>
      </c>
      <c r="F1058" s="108">
        <v>1073</v>
      </c>
      <c r="G1058" s="108">
        <v>3299</v>
      </c>
      <c r="H1058" s="108">
        <v>886</v>
      </c>
      <c r="I1058" s="108">
        <v>2647</v>
      </c>
      <c r="J1058" s="108">
        <v>194</v>
      </c>
      <c r="K1058" s="108">
        <v>705</v>
      </c>
      <c r="L1058" s="108">
        <v>4282</v>
      </c>
      <c r="M1058" s="108">
        <v>13857</v>
      </c>
      <c r="N1058" s="108">
        <v>11775</v>
      </c>
      <c r="O1058" s="108">
        <v>17342</v>
      </c>
      <c r="P1058" s="108">
        <v>9415</v>
      </c>
      <c r="Q1058" s="108">
        <v>25529</v>
      </c>
      <c r="R1058" s="16">
        <f t="shared" si="457"/>
        <v>25472</v>
      </c>
    </row>
    <row r="1059" spans="1:18" ht="15.6" x14ac:dyDescent="0.3">
      <c r="A1059" s="107">
        <v>40570</v>
      </c>
      <c r="B1059" s="108">
        <v>3915</v>
      </c>
      <c r="C1059" s="106">
        <v>9345</v>
      </c>
      <c r="D1059" s="106">
        <v>844</v>
      </c>
      <c r="E1059" s="106">
        <v>1454</v>
      </c>
      <c r="F1059" s="106">
        <v>2667</v>
      </c>
      <c r="G1059" s="106">
        <v>5273</v>
      </c>
      <c r="H1059" s="106">
        <v>1301</v>
      </c>
      <c r="I1059" s="106">
        <v>3033</v>
      </c>
      <c r="J1059" s="106">
        <v>116</v>
      </c>
      <c r="K1059" s="106">
        <v>706</v>
      </c>
      <c r="L1059" s="106">
        <v>8843</v>
      </c>
      <c r="M1059" s="106">
        <v>19810</v>
      </c>
      <c r="N1059" s="106">
        <v>12005</v>
      </c>
      <c r="O1059" s="106">
        <v>17245</v>
      </c>
      <c r="P1059" s="108">
        <v>12478</v>
      </c>
      <c r="Q1059" s="106">
        <v>25886</v>
      </c>
      <c r="R1059" s="16">
        <f t="shared" si="457"/>
        <v>33326</v>
      </c>
    </row>
    <row r="1060" spans="1:18" ht="15.6" x14ac:dyDescent="0.3">
      <c r="A1060" s="107">
        <v>40213</v>
      </c>
      <c r="B1060" s="108">
        <v>1653</v>
      </c>
      <c r="C1060" s="108">
        <v>5385</v>
      </c>
      <c r="D1060" s="108">
        <v>506</v>
      </c>
      <c r="E1060" s="108">
        <v>2040</v>
      </c>
      <c r="F1060" s="108">
        <v>1061</v>
      </c>
      <c r="G1060" s="108">
        <v>3366</v>
      </c>
      <c r="H1060" s="108">
        <v>952</v>
      </c>
      <c r="I1060" s="108">
        <v>2801</v>
      </c>
      <c r="J1060" s="108">
        <v>210</v>
      </c>
      <c r="K1060" s="108">
        <v>713</v>
      </c>
      <c r="L1060" s="108">
        <v>4382</v>
      </c>
      <c r="M1060" s="108">
        <v>14305</v>
      </c>
      <c r="N1060" s="108">
        <v>11914</v>
      </c>
      <c r="O1060" s="108">
        <v>17946</v>
      </c>
      <c r="P1060" s="108">
        <v>8531</v>
      </c>
      <c r="Q1060" s="108">
        <v>26671</v>
      </c>
      <c r="R1060" s="16">
        <f t="shared" si="457"/>
        <v>24827</v>
      </c>
    </row>
    <row r="1061" spans="1:18" ht="15.6" x14ac:dyDescent="0.3">
      <c r="A1061" s="107">
        <v>40577</v>
      </c>
      <c r="B1061" s="108">
        <v>3620</v>
      </c>
      <c r="C1061" s="106">
        <v>9813</v>
      </c>
      <c r="D1061" s="106">
        <v>789</v>
      </c>
      <c r="E1061" s="106">
        <v>1544</v>
      </c>
      <c r="F1061" s="106">
        <v>2545</v>
      </c>
      <c r="G1061" s="106">
        <v>5472</v>
      </c>
      <c r="H1061" s="106">
        <v>1300</v>
      </c>
      <c r="I1061" s="106">
        <v>3129</v>
      </c>
      <c r="J1061" s="106">
        <v>97</v>
      </c>
      <c r="K1061" s="106">
        <v>735</v>
      </c>
      <c r="L1061" s="106">
        <v>8352</v>
      </c>
      <c r="M1061" s="106">
        <v>20693</v>
      </c>
      <c r="N1061" s="106">
        <v>12443</v>
      </c>
      <c r="O1061" s="106">
        <v>17914</v>
      </c>
      <c r="P1061" s="108">
        <v>11265</v>
      </c>
      <c r="Q1061" s="106">
        <v>27123</v>
      </c>
      <c r="R1061" s="16">
        <f t="shared" si="457"/>
        <v>32060</v>
      </c>
    </row>
    <row r="1062" spans="1:18" ht="15.6" x14ac:dyDescent="0.3">
      <c r="A1062" s="107">
        <v>40220</v>
      </c>
      <c r="B1062" s="108">
        <v>1714</v>
      </c>
      <c r="C1062" s="108">
        <v>5577</v>
      </c>
      <c r="D1062" s="108">
        <v>531</v>
      </c>
      <c r="E1062" s="108">
        <v>2062</v>
      </c>
      <c r="F1062" s="108">
        <v>1115</v>
      </c>
      <c r="G1062" s="108">
        <v>3444</v>
      </c>
      <c r="H1062" s="108">
        <v>880</v>
      </c>
      <c r="I1062" s="108">
        <v>2849</v>
      </c>
      <c r="J1062" s="108">
        <v>186</v>
      </c>
      <c r="K1062" s="108">
        <v>738</v>
      </c>
      <c r="L1062" s="108">
        <v>4427</v>
      </c>
      <c r="M1062" s="108">
        <v>14670</v>
      </c>
      <c r="N1062" s="108">
        <v>12236</v>
      </c>
      <c r="O1062" s="108">
        <v>18598</v>
      </c>
      <c r="P1062" s="108">
        <v>7615</v>
      </c>
      <c r="Q1062" s="108">
        <v>27790</v>
      </c>
      <c r="R1062" s="16">
        <f t="shared" ref="R1062:R1067" si="458">P1062+N1062+L1062</f>
        <v>24278</v>
      </c>
    </row>
    <row r="1063" spans="1:18" ht="15.6" x14ac:dyDescent="0.3">
      <c r="A1063" s="107">
        <v>40584</v>
      </c>
      <c r="B1063" s="108">
        <v>3712</v>
      </c>
      <c r="C1063" s="106">
        <v>10151</v>
      </c>
      <c r="D1063" s="106">
        <v>707</v>
      </c>
      <c r="E1063" s="106">
        <v>1602</v>
      </c>
      <c r="F1063" s="106">
        <v>2526</v>
      </c>
      <c r="G1063" s="106">
        <v>5585</v>
      </c>
      <c r="H1063" s="106">
        <v>1312</v>
      </c>
      <c r="I1063" s="106">
        <v>3207</v>
      </c>
      <c r="J1063" s="106">
        <v>107</v>
      </c>
      <c r="K1063" s="106">
        <v>735</v>
      </c>
      <c r="L1063" s="106">
        <v>8365</v>
      </c>
      <c r="M1063" s="106">
        <v>21279</v>
      </c>
      <c r="N1063" s="106">
        <v>12798</v>
      </c>
      <c r="O1063" s="106">
        <v>18590</v>
      </c>
      <c r="P1063" s="108">
        <v>10756</v>
      </c>
      <c r="Q1063" s="106">
        <v>28146</v>
      </c>
      <c r="R1063" s="16">
        <f t="shared" si="458"/>
        <v>31919</v>
      </c>
    </row>
    <row r="1064" spans="1:18" ht="15.6" x14ac:dyDescent="0.3">
      <c r="A1064" s="107">
        <v>40227</v>
      </c>
      <c r="B1064" s="108">
        <v>1748</v>
      </c>
      <c r="C1064" s="108">
        <v>5798</v>
      </c>
      <c r="D1064" s="108">
        <v>534</v>
      </c>
      <c r="E1064" s="108">
        <v>2092</v>
      </c>
      <c r="F1064" s="108">
        <v>1052</v>
      </c>
      <c r="G1064" s="108">
        <v>3580</v>
      </c>
      <c r="H1064" s="108">
        <v>822</v>
      </c>
      <c r="I1064" s="108">
        <v>2922</v>
      </c>
      <c r="J1064" s="108">
        <v>186</v>
      </c>
      <c r="K1064" s="108">
        <v>738</v>
      </c>
      <c r="L1064" s="108">
        <v>4342</v>
      </c>
      <c r="M1064" s="108">
        <v>15129</v>
      </c>
      <c r="N1064" s="108">
        <v>11397</v>
      </c>
      <c r="O1064" s="108">
        <v>19839</v>
      </c>
      <c r="P1064" s="108">
        <v>6732</v>
      </c>
      <c r="Q1064" s="108">
        <v>28912</v>
      </c>
      <c r="R1064" s="16">
        <f t="shared" si="458"/>
        <v>22471</v>
      </c>
    </row>
    <row r="1065" spans="1:18" ht="15.6" x14ac:dyDescent="0.3">
      <c r="A1065" s="107">
        <v>40591</v>
      </c>
      <c r="B1065" s="108">
        <v>3720</v>
      </c>
      <c r="C1065" s="106">
        <v>10588</v>
      </c>
      <c r="D1065" s="106">
        <v>820</v>
      </c>
      <c r="E1065" s="106">
        <v>1723</v>
      </c>
      <c r="F1065" s="106">
        <v>2618</v>
      </c>
      <c r="G1065" s="106">
        <v>5721</v>
      </c>
      <c r="H1065" s="106">
        <v>1215</v>
      </c>
      <c r="I1065" s="106">
        <v>3373</v>
      </c>
      <c r="J1065" s="106">
        <v>129</v>
      </c>
      <c r="K1065" s="106">
        <v>744</v>
      </c>
      <c r="L1065" s="106">
        <v>8502</v>
      </c>
      <c r="M1065" s="106">
        <v>22150</v>
      </c>
      <c r="N1065" s="106">
        <v>13238</v>
      </c>
      <c r="O1065" s="106">
        <v>19650</v>
      </c>
      <c r="P1065" s="108">
        <v>9719</v>
      </c>
      <c r="Q1065" s="106">
        <v>29318</v>
      </c>
      <c r="R1065" s="16">
        <f t="shared" si="458"/>
        <v>31459</v>
      </c>
    </row>
    <row r="1066" spans="1:18" ht="15.6" x14ac:dyDescent="0.3">
      <c r="A1066" s="107">
        <v>40234</v>
      </c>
      <c r="B1066" s="108">
        <v>1563</v>
      </c>
      <c r="C1066" s="108">
        <v>6036</v>
      </c>
      <c r="D1066" s="108">
        <v>526</v>
      </c>
      <c r="E1066" s="108">
        <v>2120</v>
      </c>
      <c r="F1066" s="108">
        <v>962</v>
      </c>
      <c r="G1066" s="108">
        <v>3697</v>
      </c>
      <c r="H1066" s="108">
        <v>736</v>
      </c>
      <c r="I1066" s="108">
        <v>3011</v>
      </c>
      <c r="J1066" s="108">
        <v>186</v>
      </c>
      <c r="K1066" s="108">
        <v>738</v>
      </c>
      <c r="L1066" s="108">
        <v>3971</v>
      </c>
      <c r="M1066" s="108">
        <v>15602</v>
      </c>
      <c r="N1066" s="108">
        <v>11103</v>
      </c>
      <c r="O1066" s="108">
        <v>20894</v>
      </c>
      <c r="P1066" s="108">
        <v>5817</v>
      </c>
      <c r="Q1066" s="108">
        <v>30009</v>
      </c>
      <c r="R1066" s="16">
        <f t="shared" si="458"/>
        <v>20891</v>
      </c>
    </row>
    <row r="1067" spans="1:18" ht="15.6" x14ac:dyDescent="0.3">
      <c r="A1067" s="107">
        <v>40598</v>
      </c>
      <c r="B1067" s="108">
        <v>3830</v>
      </c>
      <c r="C1067" s="106">
        <v>10845</v>
      </c>
      <c r="D1067" s="106">
        <v>910</v>
      </c>
      <c r="E1067" s="106">
        <v>1754</v>
      </c>
      <c r="F1067" s="106">
        <v>2447</v>
      </c>
      <c r="G1067" s="106">
        <v>5935</v>
      </c>
      <c r="H1067" s="106">
        <v>1206</v>
      </c>
      <c r="I1067" s="106">
        <v>3414</v>
      </c>
      <c r="J1067" s="106">
        <v>129</v>
      </c>
      <c r="K1067" s="106">
        <v>744</v>
      </c>
      <c r="L1067" s="106">
        <v>8521</v>
      </c>
      <c r="M1067" s="106">
        <v>22692</v>
      </c>
      <c r="N1067" s="106">
        <v>13519</v>
      </c>
      <c r="O1067" s="106">
        <v>20451</v>
      </c>
      <c r="P1067" s="108">
        <v>8387</v>
      </c>
      <c r="Q1067" s="106">
        <v>31012</v>
      </c>
      <c r="R1067" s="16">
        <f t="shared" si="458"/>
        <v>30427</v>
      </c>
    </row>
    <row r="1068" spans="1:18" ht="15.6" x14ac:dyDescent="0.3">
      <c r="A1068" s="107">
        <v>40241</v>
      </c>
      <c r="B1068" s="108">
        <v>1524</v>
      </c>
      <c r="C1068" s="108">
        <v>6272</v>
      </c>
      <c r="D1068" s="108">
        <v>531</v>
      </c>
      <c r="E1068" s="108">
        <v>2168</v>
      </c>
      <c r="F1068" s="108">
        <v>940</v>
      </c>
      <c r="G1068" s="108">
        <v>3825</v>
      </c>
      <c r="H1068" s="108">
        <v>638</v>
      </c>
      <c r="I1068" s="108">
        <v>3134</v>
      </c>
      <c r="J1068" s="108">
        <v>207</v>
      </c>
      <c r="K1068" s="108">
        <v>743</v>
      </c>
      <c r="L1068" s="108">
        <v>3838</v>
      </c>
      <c r="M1068" s="108">
        <v>16143</v>
      </c>
      <c r="N1068" s="108">
        <v>10477</v>
      </c>
      <c r="O1068" s="108">
        <v>21859</v>
      </c>
      <c r="P1068" s="108">
        <v>4768</v>
      </c>
      <c r="Q1068" s="108">
        <v>30942</v>
      </c>
      <c r="R1068" s="16">
        <f t="shared" ref="R1068:R1073" si="459">P1068+N1068+L1068</f>
        <v>19083</v>
      </c>
    </row>
    <row r="1069" spans="1:18" ht="15.6" x14ac:dyDescent="0.3">
      <c r="A1069" s="107">
        <v>40605</v>
      </c>
      <c r="B1069" s="108">
        <v>3780</v>
      </c>
      <c r="C1069" s="106">
        <v>11209</v>
      </c>
      <c r="D1069" s="106">
        <v>903</v>
      </c>
      <c r="E1069" s="106">
        <v>1805</v>
      </c>
      <c r="F1069" s="106">
        <v>2434</v>
      </c>
      <c r="G1069" s="106">
        <v>6036</v>
      </c>
      <c r="H1069" s="108">
        <v>1265</v>
      </c>
      <c r="I1069" s="106">
        <v>3483</v>
      </c>
      <c r="J1069" s="106">
        <v>126</v>
      </c>
      <c r="K1069" s="106">
        <v>748</v>
      </c>
      <c r="L1069" s="106">
        <v>8508</v>
      </c>
      <c r="M1069" s="106">
        <v>23281</v>
      </c>
      <c r="N1069" s="106">
        <v>12791</v>
      </c>
      <c r="O1069" s="106">
        <v>21655</v>
      </c>
      <c r="P1069" s="108">
        <v>8066</v>
      </c>
      <c r="Q1069" s="106">
        <v>31744</v>
      </c>
      <c r="R1069" s="16">
        <f t="shared" si="459"/>
        <v>29365</v>
      </c>
    </row>
    <row r="1070" spans="1:18" ht="15.6" x14ac:dyDescent="0.3">
      <c r="A1070" s="107">
        <v>40248</v>
      </c>
      <c r="B1070" s="108">
        <v>1476</v>
      </c>
      <c r="C1070" s="108">
        <v>6399</v>
      </c>
      <c r="D1070" s="108">
        <v>518</v>
      </c>
      <c r="E1070" s="108">
        <v>2180</v>
      </c>
      <c r="F1070" s="108">
        <v>1070</v>
      </c>
      <c r="G1070" s="108">
        <v>3868</v>
      </c>
      <c r="H1070" s="108">
        <v>677</v>
      </c>
      <c r="I1070" s="108">
        <v>3144</v>
      </c>
      <c r="J1070" s="108">
        <v>165</v>
      </c>
      <c r="K1070" s="108">
        <v>808</v>
      </c>
      <c r="L1070" s="108">
        <v>3906</v>
      </c>
      <c r="M1070" s="108">
        <v>16400</v>
      </c>
      <c r="N1070" s="108">
        <v>10269</v>
      </c>
      <c r="O1070" s="108">
        <v>22814</v>
      </c>
      <c r="P1070" s="108">
        <v>4069</v>
      </c>
      <c r="Q1070" s="108">
        <v>31856</v>
      </c>
      <c r="R1070" s="16">
        <f t="shared" si="459"/>
        <v>18244</v>
      </c>
    </row>
    <row r="1071" spans="1:18" ht="15.6" x14ac:dyDescent="0.3">
      <c r="A1071" s="107">
        <v>40612</v>
      </c>
      <c r="B1071" s="108">
        <v>3811</v>
      </c>
      <c r="C1071" s="106">
        <v>11679</v>
      </c>
      <c r="D1071" s="106">
        <v>906</v>
      </c>
      <c r="E1071" s="106">
        <v>1819</v>
      </c>
      <c r="F1071" s="106">
        <v>2378</v>
      </c>
      <c r="G1071" s="106">
        <v>6171</v>
      </c>
      <c r="H1071" s="108">
        <v>1248</v>
      </c>
      <c r="I1071" s="106">
        <v>3553</v>
      </c>
      <c r="J1071" s="106">
        <v>139</v>
      </c>
      <c r="K1071" s="106">
        <v>750</v>
      </c>
      <c r="L1071" s="106">
        <v>8481</v>
      </c>
      <c r="M1071" s="106">
        <v>23971</v>
      </c>
      <c r="N1071" s="106">
        <v>12947</v>
      </c>
      <c r="O1071" s="106">
        <v>22536</v>
      </c>
      <c r="P1071" s="108">
        <v>7374</v>
      </c>
      <c r="Q1071" s="106">
        <v>32583</v>
      </c>
      <c r="R1071" s="16">
        <f t="shared" si="459"/>
        <v>28802</v>
      </c>
    </row>
    <row r="1072" spans="1:18" ht="15.6" x14ac:dyDescent="0.3">
      <c r="A1072" s="107">
        <v>40255</v>
      </c>
      <c r="B1072" s="108">
        <v>1490</v>
      </c>
      <c r="C1072" s="108">
        <v>6588</v>
      </c>
      <c r="D1072" s="108">
        <v>497</v>
      </c>
      <c r="E1072" s="108">
        <v>2271</v>
      </c>
      <c r="F1072" s="108">
        <v>1031</v>
      </c>
      <c r="G1072" s="108">
        <v>3951</v>
      </c>
      <c r="H1072" s="108">
        <v>656</v>
      </c>
      <c r="I1072" s="108">
        <v>3212</v>
      </c>
      <c r="J1072" s="108">
        <v>151</v>
      </c>
      <c r="K1072" s="108">
        <v>831</v>
      </c>
      <c r="L1072" s="108">
        <v>3824</v>
      </c>
      <c r="M1072" s="108">
        <v>16853</v>
      </c>
      <c r="N1072" s="108">
        <v>9715</v>
      </c>
      <c r="O1072" s="108">
        <v>23975</v>
      </c>
      <c r="P1072" s="108">
        <v>3546</v>
      </c>
      <c r="Q1072" s="108">
        <v>32652</v>
      </c>
      <c r="R1072" s="16">
        <f t="shared" si="459"/>
        <v>17085</v>
      </c>
    </row>
    <row r="1073" spans="1:18" ht="15.6" x14ac:dyDescent="0.3">
      <c r="A1073" s="107">
        <v>40619</v>
      </c>
      <c r="B1073" s="108">
        <v>3795</v>
      </c>
      <c r="C1073" s="106">
        <v>12003</v>
      </c>
      <c r="D1073" s="106">
        <v>863</v>
      </c>
      <c r="E1073" s="106">
        <v>1903</v>
      </c>
      <c r="F1073" s="106">
        <v>2359</v>
      </c>
      <c r="G1073" s="106">
        <v>6343</v>
      </c>
      <c r="H1073" s="108">
        <v>1372</v>
      </c>
      <c r="I1073" s="106">
        <v>3577</v>
      </c>
      <c r="J1073" s="106">
        <v>131</v>
      </c>
      <c r="K1073" s="106">
        <v>767</v>
      </c>
      <c r="L1073" s="106">
        <v>8520</v>
      </c>
      <c r="M1073" s="106">
        <v>24592</v>
      </c>
      <c r="N1073" s="106">
        <v>12962</v>
      </c>
      <c r="O1073" s="106">
        <v>23416</v>
      </c>
      <c r="P1073" s="108">
        <v>6823</v>
      </c>
      <c r="Q1073" s="106">
        <v>33399</v>
      </c>
      <c r="R1073" s="16">
        <f t="shared" si="459"/>
        <v>28305</v>
      </c>
    </row>
    <row r="1074" spans="1:18" ht="15.6" x14ac:dyDescent="0.3">
      <c r="A1074" s="107">
        <v>40262</v>
      </c>
      <c r="B1074" s="108">
        <v>1268</v>
      </c>
      <c r="C1074" s="108">
        <v>6881</v>
      </c>
      <c r="D1074" s="108">
        <v>477</v>
      </c>
      <c r="E1074" s="108">
        <v>2309</v>
      </c>
      <c r="F1074" s="108">
        <v>977</v>
      </c>
      <c r="G1074" s="108">
        <v>4282</v>
      </c>
      <c r="H1074" s="108">
        <v>685</v>
      </c>
      <c r="I1074" s="108">
        <v>3243</v>
      </c>
      <c r="J1074" s="108">
        <v>155</v>
      </c>
      <c r="K1074" s="108">
        <v>831</v>
      </c>
      <c r="L1074" s="108">
        <v>3562</v>
      </c>
      <c r="M1074" s="108">
        <v>17546</v>
      </c>
      <c r="N1074" s="108">
        <v>9327</v>
      </c>
      <c r="O1074" s="108">
        <v>25170</v>
      </c>
      <c r="P1074" s="108">
        <v>2691</v>
      </c>
      <c r="Q1074" s="108">
        <v>33630</v>
      </c>
      <c r="R1074" s="16">
        <f t="shared" ref="R1074:R1079" si="460">P1074+N1074+L1074</f>
        <v>15580</v>
      </c>
    </row>
    <row r="1075" spans="1:18" ht="15.6" x14ac:dyDescent="0.3">
      <c r="A1075" s="107">
        <v>40626</v>
      </c>
      <c r="B1075" s="108">
        <v>3558</v>
      </c>
      <c r="C1075" s="106">
        <v>12372</v>
      </c>
      <c r="D1075" s="106">
        <v>833</v>
      </c>
      <c r="E1075" s="106">
        <v>1948</v>
      </c>
      <c r="F1075" s="106">
        <v>2116</v>
      </c>
      <c r="G1075" s="106">
        <v>6668</v>
      </c>
      <c r="H1075" s="108">
        <v>1256</v>
      </c>
      <c r="I1075" s="106">
        <v>3726</v>
      </c>
      <c r="J1075" s="106">
        <v>140</v>
      </c>
      <c r="K1075" s="106">
        <v>768</v>
      </c>
      <c r="L1075" s="106">
        <v>7903</v>
      </c>
      <c r="M1075" s="106">
        <v>25480</v>
      </c>
      <c r="N1075" s="106">
        <v>13857</v>
      </c>
      <c r="O1075" s="106">
        <v>24436</v>
      </c>
      <c r="P1075" s="108">
        <v>6139</v>
      </c>
      <c r="Q1075" s="106">
        <v>34227</v>
      </c>
      <c r="R1075" s="16">
        <f t="shared" si="460"/>
        <v>27899</v>
      </c>
    </row>
    <row r="1076" spans="1:18" ht="15.6" x14ac:dyDescent="0.3">
      <c r="A1076" s="107">
        <v>40269</v>
      </c>
      <c r="B1076" s="108">
        <v>1117</v>
      </c>
      <c r="C1076" s="108">
        <v>7089</v>
      </c>
      <c r="D1076" s="108">
        <v>451</v>
      </c>
      <c r="E1076" s="108">
        <v>2368</v>
      </c>
      <c r="F1076" s="108">
        <v>1118</v>
      </c>
      <c r="G1076" s="108">
        <v>4342</v>
      </c>
      <c r="H1076" s="108">
        <v>610</v>
      </c>
      <c r="I1076" s="108">
        <v>3351</v>
      </c>
      <c r="J1076" s="108">
        <v>139</v>
      </c>
      <c r="K1076" s="108">
        <v>847</v>
      </c>
      <c r="L1076" s="108">
        <v>3435</v>
      </c>
      <c r="M1076" s="108">
        <v>17997</v>
      </c>
      <c r="N1076" s="108">
        <v>9809</v>
      </c>
      <c r="O1076" s="108">
        <v>26056</v>
      </c>
      <c r="P1076" s="108">
        <v>2456</v>
      </c>
      <c r="Q1076" s="108">
        <v>34071</v>
      </c>
      <c r="R1076" s="16">
        <f t="shared" si="460"/>
        <v>15700</v>
      </c>
    </row>
    <row r="1077" spans="1:18" ht="15.6" x14ac:dyDescent="0.3">
      <c r="A1077" s="107">
        <v>40633</v>
      </c>
      <c r="B1077" s="108">
        <v>3386</v>
      </c>
      <c r="C1077" s="106">
        <v>12842</v>
      </c>
      <c r="D1077" s="106">
        <v>741</v>
      </c>
      <c r="E1077" s="106">
        <v>2030</v>
      </c>
      <c r="F1077" s="106">
        <v>2089</v>
      </c>
      <c r="G1077" s="106">
        <v>6825</v>
      </c>
      <c r="H1077" s="108">
        <v>1284</v>
      </c>
      <c r="I1077" s="106">
        <v>3739</v>
      </c>
      <c r="J1077" s="106">
        <v>140</v>
      </c>
      <c r="K1077" s="106">
        <v>767</v>
      </c>
      <c r="L1077" s="106">
        <v>7639</v>
      </c>
      <c r="M1077" s="106">
        <v>26202</v>
      </c>
      <c r="N1077" s="106">
        <v>13461</v>
      </c>
      <c r="O1077" s="106">
        <v>25451</v>
      </c>
      <c r="P1077" s="108">
        <v>5567</v>
      </c>
      <c r="Q1077" s="106">
        <v>34876</v>
      </c>
      <c r="R1077" s="16">
        <f t="shared" si="460"/>
        <v>26667</v>
      </c>
    </row>
    <row r="1078" spans="1:18" ht="15.6" x14ac:dyDescent="0.3">
      <c r="A1078" s="107">
        <v>40276</v>
      </c>
      <c r="B1078" s="108">
        <v>961</v>
      </c>
      <c r="C1078" s="108">
        <v>7281</v>
      </c>
      <c r="D1078" s="108">
        <v>385</v>
      </c>
      <c r="E1078" s="108">
        <v>2439</v>
      </c>
      <c r="F1078" s="108">
        <v>988</v>
      </c>
      <c r="G1078" s="108">
        <v>4495</v>
      </c>
      <c r="H1078" s="108">
        <v>619</v>
      </c>
      <c r="I1078" s="108">
        <v>3381</v>
      </c>
      <c r="J1078" s="108">
        <v>107</v>
      </c>
      <c r="K1078" s="108">
        <v>877</v>
      </c>
      <c r="L1078" s="108">
        <v>3060</v>
      </c>
      <c r="M1078" s="108">
        <v>18473</v>
      </c>
      <c r="N1078" s="108">
        <v>9702</v>
      </c>
      <c r="O1078" s="108">
        <v>27159</v>
      </c>
      <c r="P1078" s="108">
        <v>2175</v>
      </c>
      <c r="Q1078" s="108">
        <v>34510</v>
      </c>
      <c r="R1078" s="16">
        <f t="shared" si="460"/>
        <v>14937</v>
      </c>
    </row>
    <row r="1079" spans="1:18" ht="15.6" x14ac:dyDescent="0.3">
      <c r="A1079" s="107">
        <v>40640</v>
      </c>
      <c r="B1079" s="108">
        <v>3152</v>
      </c>
      <c r="C1079" s="106">
        <v>13167</v>
      </c>
      <c r="D1079" s="106">
        <v>704</v>
      </c>
      <c r="E1079" s="106">
        <v>2097</v>
      </c>
      <c r="F1079" s="106">
        <v>2103</v>
      </c>
      <c r="G1079" s="106">
        <v>7011</v>
      </c>
      <c r="H1079" s="108">
        <v>1275</v>
      </c>
      <c r="I1079" s="106">
        <v>3844</v>
      </c>
      <c r="J1079" s="106">
        <v>125</v>
      </c>
      <c r="K1079" s="106">
        <v>809</v>
      </c>
      <c r="L1079" s="106">
        <v>7358</v>
      </c>
      <c r="M1079" s="106">
        <v>26927</v>
      </c>
      <c r="N1079" s="106">
        <v>13211</v>
      </c>
      <c r="O1079" s="106">
        <v>26549</v>
      </c>
      <c r="P1079" s="108">
        <v>5142</v>
      </c>
      <c r="Q1079" s="106">
        <v>35431</v>
      </c>
      <c r="R1079" s="16">
        <f t="shared" si="460"/>
        <v>25711</v>
      </c>
    </row>
    <row r="1080" spans="1:18" ht="15.6" x14ac:dyDescent="0.3">
      <c r="A1080" s="107">
        <v>40283</v>
      </c>
      <c r="B1080" s="108">
        <v>1006</v>
      </c>
      <c r="C1080" s="108">
        <v>7406</v>
      </c>
      <c r="D1080" s="108">
        <v>331</v>
      </c>
      <c r="E1080" s="108">
        <v>2503</v>
      </c>
      <c r="F1080" s="108">
        <v>865</v>
      </c>
      <c r="G1080" s="108">
        <v>4632</v>
      </c>
      <c r="H1080" s="108">
        <v>475</v>
      </c>
      <c r="I1080" s="108">
        <v>3486</v>
      </c>
      <c r="J1080" s="108">
        <v>118</v>
      </c>
      <c r="K1080" s="108">
        <v>878</v>
      </c>
      <c r="L1080" s="108">
        <v>2794</v>
      </c>
      <c r="M1080" s="108">
        <v>18905</v>
      </c>
      <c r="N1080" s="108">
        <v>10028</v>
      </c>
      <c r="O1080" s="108">
        <v>28314</v>
      </c>
      <c r="P1080" s="108">
        <v>2057</v>
      </c>
      <c r="Q1080" s="108">
        <v>34937</v>
      </c>
      <c r="R1080" s="16">
        <f t="shared" ref="R1080:R1085" si="461">P1080+N1080+L1080</f>
        <v>14879</v>
      </c>
    </row>
    <row r="1081" spans="1:18" ht="15.6" x14ac:dyDescent="0.3">
      <c r="A1081" s="107">
        <v>40647</v>
      </c>
      <c r="B1081" s="108">
        <v>2966</v>
      </c>
      <c r="C1081" s="106">
        <v>13516</v>
      </c>
      <c r="D1081" s="106">
        <v>541</v>
      </c>
      <c r="E1081" s="106">
        <v>2284</v>
      </c>
      <c r="F1081" s="106">
        <v>1822</v>
      </c>
      <c r="G1081" s="106">
        <v>7176</v>
      </c>
      <c r="H1081" s="108">
        <v>1233</v>
      </c>
      <c r="I1081" s="106">
        <v>3933</v>
      </c>
      <c r="J1081" s="106">
        <v>69</v>
      </c>
      <c r="K1081" s="106">
        <v>879</v>
      </c>
      <c r="L1081" s="106">
        <v>6631</v>
      </c>
      <c r="M1081" s="106">
        <v>27789</v>
      </c>
      <c r="N1081" s="106">
        <v>12889</v>
      </c>
      <c r="O1081" s="106">
        <v>27485</v>
      </c>
      <c r="P1081" s="108">
        <v>5048</v>
      </c>
      <c r="Q1081" s="106">
        <v>35874</v>
      </c>
      <c r="R1081" s="16">
        <f t="shared" si="461"/>
        <v>24568</v>
      </c>
    </row>
    <row r="1082" spans="1:18" ht="15.6" x14ac:dyDescent="0.3">
      <c r="A1082" s="107">
        <v>40290</v>
      </c>
      <c r="B1082" s="108">
        <v>1013</v>
      </c>
      <c r="C1082" s="108">
        <v>7479</v>
      </c>
      <c r="D1082" s="108">
        <v>281</v>
      </c>
      <c r="E1082" s="108">
        <v>2577</v>
      </c>
      <c r="F1082" s="108">
        <v>833</v>
      </c>
      <c r="G1082" s="108">
        <v>4701</v>
      </c>
      <c r="H1082" s="108">
        <v>471</v>
      </c>
      <c r="I1082" s="108">
        <v>3525</v>
      </c>
      <c r="J1082" s="108">
        <v>90</v>
      </c>
      <c r="K1082" s="108">
        <v>903</v>
      </c>
      <c r="L1082" s="108">
        <v>2689</v>
      </c>
      <c r="M1082" s="108">
        <v>19184</v>
      </c>
      <c r="N1082" s="108">
        <v>10343</v>
      </c>
      <c r="O1082" s="108">
        <v>29228</v>
      </c>
      <c r="P1082" s="108">
        <v>1880</v>
      </c>
      <c r="Q1082" s="108">
        <v>35215</v>
      </c>
      <c r="R1082" s="16">
        <f t="shared" si="461"/>
        <v>14912</v>
      </c>
    </row>
    <row r="1083" spans="1:18" ht="15.6" x14ac:dyDescent="0.3">
      <c r="A1083" s="107">
        <v>40654</v>
      </c>
      <c r="B1083" s="108">
        <v>2852</v>
      </c>
      <c r="C1083" s="106">
        <v>13773</v>
      </c>
      <c r="D1083" s="106">
        <v>529</v>
      </c>
      <c r="E1083" s="106">
        <v>2329</v>
      </c>
      <c r="F1083" s="106">
        <v>1535</v>
      </c>
      <c r="G1083" s="106">
        <v>7497</v>
      </c>
      <c r="H1083" s="108">
        <v>1106</v>
      </c>
      <c r="I1083" s="106">
        <v>4117</v>
      </c>
      <c r="J1083" s="106">
        <v>49</v>
      </c>
      <c r="K1083" s="106">
        <v>900</v>
      </c>
      <c r="L1083" s="106">
        <v>6070</v>
      </c>
      <c r="M1083" s="106">
        <v>28615</v>
      </c>
      <c r="N1083" s="106">
        <v>12330</v>
      </c>
      <c r="O1083" s="106">
        <v>28393</v>
      </c>
      <c r="P1083" s="108">
        <v>4921</v>
      </c>
      <c r="Q1083" s="106">
        <v>36144</v>
      </c>
      <c r="R1083" s="16">
        <f t="shared" si="461"/>
        <v>23321</v>
      </c>
    </row>
    <row r="1084" spans="1:18" ht="15.6" x14ac:dyDescent="0.3">
      <c r="A1084" s="107">
        <v>40297</v>
      </c>
      <c r="B1084" s="108">
        <v>910</v>
      </c>
      <c r="C1084" s="108">
        <v>7651</v>
      </c>
      <c r="D1084" s="108">
        <v>258</v>
      </c>
      <c r="E1084" s="108">
        <v>2610</v>
      </c>
      <c r="F1084" s="108">
        <v>683</v>
      </c>
      <c r="G1084" s="108">
        <v>4906</v>
      </c>
      <c r="H1084" s="108">
        <v>406</v>
      </c>
      <c r="I1084" s="108">
        <v>3605</v>
      </c>
      <c r="J1084" s="108">
        <v>92</v>
      </c>
      <c r="K1084" s="108">
        <v>903</v>
      </c>
      <c r="L1084" s="108">
        <v>2348</v>
      </c>
      <c r="M1084" s="108">
        <v>19675</v>
      </c>
      <c r="N1084" s="108">
        <v>11338</v>
      </c>
      <c r="O1084" s="108">
        <v>30084</v>
      </c>
      <c r="P1084" s="108">
        <v>1874</v>
      </c>
      <c r="Q1084" s="108">
        <v>35504</v>
      </c>
      <c r="R1084" s="16">
        <f t="shared" si="461"/>
        <v>15560</v>
      </c>
    </row>
    <row r="1085" spans="1:18" ht="15.6" x14ac:dyDescent="0.3">
      <c r="A1085" s="107">
        <v>40661</v>
      </c>
      <c r="B1085" s="108">
        <v>2567</v>
      </c>
      <c r="C1085" s="106">
        <v>14158</v>
      </c>
      <c r="D1085" s="106">
        <v>461</v>
      </c>
      <c r="E1085" s="106">
        <v>2403</v>
      </c>
      <c r="F1085" s="106">
        <v>1402</v>
      </c>
      <c r="G1085" s="106">
        <v>7768</v>
      </c>
      <c r="H1085" s="108">
        <v>988</v>
      </c>
      <c r="I1085" s="106">
        <v>4246</v>
      </c>
      <c r="J1085" s="106">
        <v>60</v>
      </c>
      <c r="K1085" s="106">
        <v>908</v>
      </c>
      <c r="L1085" s="106">
        <v>5477</v>
      </c>
      <c r="M1085" s="106">
        <v>29482</v>
      </c>
      <c r="N1085" s="106">
        <v>11816</v>
      </c>
      <c r="O1085" s="106">
        <v>29191</v>
      </c>
      <c r="P1085" s="108">
        <v>4742</v>
      </c>
      <c r="Q1085" s="106">
        <v>36344</v>
      </c>
      <c r="R1085" s="16">
        <f t="shared" si="461"/>
        <v>22035</v>
      </c>
    </row>
    <row r="1086" spans="1:18" ht="15.6" x14ac:dyDescent="0.3">
      <c r="A1086" s="107">
        <v>40304</v>
      </c>
      <c r="B1086" s="108">
        <v>813</v>
      </c>
      <c r="C1086" s="108">
        <v>7879</v>
      </c>
      <c r="D1086" s="108">
        <v>247</v>
      </c>
      <c r="E1086" s="108">
        <v>2635</v>
      </c>
      <c r="F1086" s="108">
        <v>507</v>
      </c>
      <c r="G1086" s="108">
        <v>5083</v>
      </c>
      <c r="H1086" s="108">
        <v>397</v>
      </c>
      <c r="I1086" s="108">
        <v>3688</v>
      </c>
      <c r="J1086" s="108">
        <v>111</v>
      </c>
      <c r="K1086" s="108">
        <v>909</v>
      </c>
      <c r="L1086" s="108">
        <v>2074</v>
      </c>
      <c r="M1086" s="108">
        <v>20193</v>
      </c>
      <c r="N1086" s="108">
        <v>11123</v>
      </c>
      <c r="O1086" s="108">
        <v>31117</v>
      </c>
      <c r="P1086" s="108">
        <v>1942</v>
      </c>
      <c r="Q1086" s="108">
        <v>35699</v>
      </c>
      <c r="R1086" s="16">
        <f t="shared" ref="R1086:R1091" si="462">P1086+N1086+L1086</f>
        <v>15139</v>
      </c>
    </row>
    <row r="1087" spans="1:18" ht="15.6" x14ac:dyDescent="0.3">
      <c r="A1087" s="107">
        <v>40668</v>
      </c>
      <c r="B1087" s="108">
        <v>2234</v>
      </c>
      <c r="C1087" s="106">
        <v>14653</v>
      </c>
      <c r="D1087" s="106">
        <v>378</v>
      </c>
      <c r="E1087" s="106">
        <v>2555</v>
      </c>
      <c r="F1087" s="106">
        <v>1263</v>
      </c>
      <c r="G1087" s="106">
        <v>7932</v>
      </c>
      <c r="H1087" s="108">
        <v>854</v>
      </c>
      <c r="I1087" s="106">
        <v>4443</v>
      </c>
      <c r="J1087" s="106">
        <v>43</v>
      </c>
      <c r="K1087" s="106">
        <v>925</v>
      </c>
      <c r="L1087" s="106">
        <v>4771</v>
      </c>
      <c r="M1087" s="106">
        <v>30509</v>
      </c>
      <c r="N1087" s="106">
        <v>11389</v>
      </c>
      <c r="O1087" s="106">
        <v>30051</v>
      </c>
      <c r="P1087" s="108">
        <v>4621</v>
      </c>
      <c r="Q1087" s="106">
        <v>36525</v>
      </c>
      <c r="R1087" s="16">
        <f t="shared" si="462"/>
        <v>20781</v>
      </c>
    </row>
    <row r="1088" spans="1:18" ht="15.6" x14ac:dyDescent="0.3">
      <c r="A1088" s="107">
        <v>40311</v>
      </c>
      <c r="B1088" s="108">
        <v>743</v>
      </c>
      <c r="C1088" s="108">
        <v>8037</v>
      </c>
      <c r="D1088" s="108">
        <v>235</v>
      </c>
      <c r="E1088" s="108">
        <v>2662</v>
      </c>
      <c r="F1088" s="108">
        <v>493</v>
      </c>
      <c r="G1088" s="108">
        <v>5162</v>
      </c>
      <c r="H1088" s="108">
        <v>392</v>
      </c>
      <c r="I1088" s="108">
        <v>3751</v>
      </c>
      <c r="J1088" s="108">
        <v>125</v>
      </c>
      <c r="K1088" s="108">
        <v>916</v>
      </c>
      <c r="L1088" s="108">
        <v>1989</v>
      </c>
      <c r="M1088" s="108">
        <v>20528</v>
      </c>
      <c r="N1088" s="108">
        <v>11499</v>
      </c>
      <c r="O1088" s="108">
        <v>32096</v>
      </c>
      <c r="P1088" s="108">
        <v>2149</v>
      </c>
      <c r="Q1088" s="108">
        <v>35970</v>
      </c>
      <c r="R1088" s="16">
        <f t="shared" si="462"/>
        <v>15637</v>
      </c>
    </row>
    <row r="1089" spans="1:18" ht="15.6" x14ac:dyDescent="0.3">
      <c r="A1089" s="107">
        <v>40675</v>
      </c>
      <c r="B1089" s="108">
        <v>1982</v>
      </c>
      <c r="C1089" s="106">
        <v>14979</v>
      </c>
      <c r="D1089" s="106">
        <v>235</v>
      </c>
      <c r="E1089" s="106">
        <v>2692</v>
      </c>
      <c r="F1089" s="106">
        <v>1057</v>
      </c>
      <c r="G1089" s="106">
        <v>8177</v>
      </c>
      <c r="H1089" s="108">
        <v>786</v>
      </c>
      <c r="I1089" s="106">
        <v>4529</v>
      </c>
      <c r="J1089" s="106">
        <v>43</v>
      </c>
      <c r="K1089" s="106">
        <v>925</v>
      </c>
      <c r="L1089" s="106">
        <v>4103</v>
      </c>
      <c r="M1089" s="106">
        <v>31303</v>
      </c>
      <c r="N1089" s="106">
        <v>11271</v>
      </c>
      <c r="O1089" s="106">
        <v>31013</v>
      </c>
      <c r="P1089" s="108">
        <v>4671</v>
      </c>
      <c r="Q1089" s="106">
        <v>36641</v>
      </c>
      <c r="R1089" s="16">
        <f t="shared" si="462"/>
        <v>20045</v>
      </c>
    </row>
    <row r="1090" spans="1:18" ht="15.6" x14ac:dyDescent="0.3">
      <c r="A1090" s="107">
        <v>40318</v>
      </c>
      <c r="B1090" s="108">
        <v>591</v>
      </c>
      <c r="C1090" s="108">
        <v>8285</v>
      </c>
      <c r="D1090" s="108">
        <v>256</v>
      </c>
      <c r="E1090" s="108">
        <v>2695</v>
      </c>
      <c r="F1090" s="108">
        <v>369</v>
      </c>
      <c r="G1090" s="108">
        <v>5290</v>
      </c>
      <c r="H1090" s="108">
        <v>269</v>
      </c>
      <c r="I1090" s="108">
        <v>3873</v>
      </c>
      <c r="J1090" s="108">
        <v>81</v>
      </c>
      <c r="K1090" s="108">
        <v>957</v>
      </c>
      <c r="L1090" s="108">
        <v>1566</v>
      </c>
      <c r="M1090" s="108">
        <v>21100</v>
      </c>
      <c r="N1090" s="108">
        <v>11290</v>
      </c>
      <c r="O1090" s="108">
        <v>33336</v>
      </c>
      <c r="P1090" s="108">
        <v>2180</v>
      </c>
      <c r="Q1090" s="108">
        <v>36115</v>
      </c>
      <c r="R1090" s="16">
        <f t="shared" si="462"/>
        <v>15036</v>
      </c>
    </row>
    <row r="1091" spans="1:18" ht="15.6" x14ac:dyDescent="0.3">
      <c r="A1091" s="107">
        <v>40682</v>
      </c>
      <c r="B1091" s="108">
        <v>1593</v>
      </c>
      <c r="C1091" s="106">
        <v>15301</v>
      </c>
      <c r="D1091" s="106">
        <v>175</v>
      </c>
      <c r="E1091" s="106">
        <v>2747</v>
      </c>
      <c r="F1091" s="106">
        <v>882</v>
      </c>
      <c r="G1091" s="106">
        <v>8378</v>
      </c>
      <c r="H1091" s="108">
        <v>615</v>
      </c>
      <c r="I1091" s="106">
        <v>4709</v>
      </c>
      <c r="J1091" s="106">
        <v>23</v>
      </c>
      <c r="K1091" s="106">
        <v>956</v>
      </c>
      <c r="L1091" s="106">
        <v>3288</v>
      </c>
      <c r="M1091" s="106">
        <v>32089</v>
      </c>
      <c r="N1091" s="106">
        <v>11044</v>
      </c>
      <c r="O1091" s="106">
        <v>31967</v>
      </c>
      <c r="P1091" s="108">
        <v>4422</v>
      </c>
      <c r="Q1091" s="106">
        <v>37053</v>
      </c>
      <c r="R1091" s="16">
        <f t="shared" si="462"/>
        <v>18754</v>
      </c>
    </row>
    <row r="1092" spans="1:18" ht="15.6" x14ac:dyDescent="0.3">
      <c r="A1092" s="107">
        <v>40325</v>
      </c>
      <c r="B1092" s="108">
        <v>340</v>
      </c>
      <c r="C1092" s="108">
        <v>8458</v>
      </c>
      <c r="D1092" s="108">
        <v>252</v>
      </c>
      <c r="E1092" s="108">
        <v>2733</v>
      </c>
      <c r="F1092" s="108">
        <v>323</v>
      </c>
      <c r="G1092" s="108">
        <v>5329</v>
      </c>
      <c r="H1092" s="108">
        <v>251</v>
      </c>
      <c r="I1092" s="108">
        <v>3897</v>
      </c>
      <c r="J1092" s="108">
        <v>40</v>
      </c>
      <c r="K1092" s="108">
        <v>983</v>
      </c>
      <c r="L1092" s="108">
        <v>1213</v>
      </c>
      <c r="M1092" s="108">
        <v>21400</v>
      </c>
      <c r="N1092" s="108">
        <v>10262</v>
      </c>
      <c r="O1092" s="108">
        <v>34562</v>
      </c>
      <c r="P1092" s="108">
        <v>2166</v>
      </c>
      <c r="Q1092" s="108">
        <v>36264</v>
      </c>
      <c r="R1092" s="16">
        <f t="shared" ref="R1092:R1097" si="463">P1092+N1092+L1092</f>
        <v>13641</v>
      </c>
    </row>
    <row r="1093" spans="1:18" ht="15.6" x14ac:dyDescent="0.3">
      <c r="A1093" s="107">
        <v>40689</v>
      </c>
      <c r="B1093" s="108">
        <v>1024</v>
      </c>
      <c r="C1093" s="106">
        <v>15837</v>
      </c>
      <c r="D1093" s="106">
        <v>109</v>
      </c>
      <c r="E1093" s="106">
        <v>2828</v>
      </c>
      <c r="F1093" s="108">
        <v>623</v>
      </c>
      <c r="G1093" s="108">
        <v>8623</v>
      </c>
      <c r="H1093" s="108">
        <v>551</v>
      </c>
      <c r="I1093" s="108">
        <v>4717</v>
      </c>
      <c r="J1093" s="108">
        <v>11</v>
      </c>
      <c r="K1093" s="108">
        <v>979</v>
      </c>
      <c r="L1093" s="108">
        <v>2320</v>
      </c>
      <c r="M1093" s="108">
        <v>32984</v>
      </c>
      <c r="N1093" s="108">
        <v>10615</v>
      </c>
      <c r="O1093" s="108">
        <v>32867</v>
      </c>
      <c r="P1093" s="108">
        <v>4240</v>
      </c>
      <c r="Q1093" s="108">
        <v>37318</v>
      </c>
      <c r="R1093" s="16">
        <f t="shared" si="463"/>
        <v>17175</v>
      </c>
    </row>
    <row r="1094" spans="1:18" ht="15.6" x14ac:dyDescent="0.3">
      <c r="A1094" s="107">
        <v>40331</v>
      </c>
      <c r="B1094" s="108">
        <v>1462</v>
      </c>
      <c r="C1094" s="108">
        <v>71</v>
      </c>
      <c r="D1094" s="108">
        <v>470</v>
      </c>
      <c r="E1094" s="108">
        <v>43</v>
      </c>
      <c r="F1094" s="108">
        <v>966</v>
      </c>
      <c r="G1094" s="108">
        <v>14</v>
      </c>
      <c r="H1094" s="108">
        <v>898</v>
      </c>
      <c r="I1094" s="108">
        <v>12</v>
      </c>
      <c r="J1094" s="108">
        <v>231</v>
      </c>
      <c r="K1094" s="108">
        <v>6</v>
      </c>
      <c r="L1094" s="108">
        <v>4028</v>
      </c>
      <c r="M1094" s="108">
        <v>143</v>
      </c>
      <c r="N1094" s="108">
        <v>10615</v>
      </c>
      <c r="O1094" s="108">
        <v>35474</v>
      </c>
      <c r="P1094" s="108">
        <v>2419</v>
      </c>
      <c r="Q1094" s="108">
        <v>36432</v>
      </c>
      <c r="R1094" s="16">
        <f t="shared" si="463"/>
        <v>17062</v>
      </c>
    </row>
    <row r="1095" spans="1:18" ht="15.6" x14ac:dyDescent="0.3">
      <c r="A1095" s="107">
        <v>40695</v>
      </c>
      <c r="B1095" s="108">
        <v>2320</v>
      </c>
      <c r="C1095" s="106">
        <v>92</v>
      </c>
      <c r="D1095" s="106">
        <v>698</v>
      </c>
      <c r="E1095" s="106">
        <v>0</v>
      </c>
      <c r="F1095" s="108">
        <v>2008</v>
      </c>
      <c r="G1095" s="108">
        <v>40</v>
      </c>
      <c r="H1095" s="108">
        <v>1306</v>
      </c>
      <c r="I1095" s="108">
        <v>11</v>
      </c>
      <c r="J1095" s="108">
        <v>164</v>
      </c>
      <c r="K1095" s="108">
        <v>0</v>
      </c>
      <c r="L1095" s="108">
        <v>6496</v>
      </c>
      <c r="M1095" s="108">
        <v>146</v>
      </c>
      <c r="N1095" s="108">
        <v>9931</v>
      </c>
      <c r="O1095" s="108">
        <v>33871</v>
      </c>
      <c r="P1095" s="108">
        <v>4187</v>
      </c>
      <c r="Q1095" s="108">
        <v>37491</v>
      </c>
      <c r="R1095" s="16">
        <f t="shared" si="463"/>
        <v>20614</v>
      </c>
    </row>
    <row r="1096" spans="1:18" ht="15.6" x14ac:dyDescent="0.3">
      <c r="A1096" s="107">
        <v>40338</v>
      </c>
      <c r="B1096" s="108">
        <v>1878</v>
      </c>
      <c r="C1096" s="108">
        <v>206</v>
      </c>
      <c r="D1096" s="108">
        <v>485</v>
      </c>
      <c r="E1096" s="108">
        <v>79</v>
      </c>
      <c r="F1096" s="108">
        <v>995</v>
      </c>
      <c r="G1096" s="108">
        <v>121</v>
      </c>
      <c r="H1096" s="108">
        <v>992</v>
      </c>
      <c r="I1096" s="108">
        <v>98</v>
      </c>
      <c r="J1096" s="108">
        <v>243</v>
      </c>
      <c r="K1096" s="108">
        <v>36</v>
      </c>
      <c r="L1096" s="108">
        <v>4592</v>
      </c>
      <c r="M1096" s="108">
        <v>540</v>
      </c>
      <c r="N1096" s="108">
        <v>10386</v>
      </c>
      <c r="O1096" s="108">
        <v>36547</v>
      </c>
      <c r="P1096" s="108">
        <v>2071</v>
      </c>
      <c r="Q1096" s="108">
        <v>36643</v>
      </c>
      <c r="R1096" s="16">
        <f t="shared" si="463"/>
        <v>17049</v>
      </c>
    </row>
    <row r="1097" spans="1:18" ht="15.6" x14ac:dyDescent="0.3">
      <c r="A1097" s="107">
        <v>40702</v>
      </c>
      <c r="B1097" s="108">
        <v>2155</v>
      </c>
      <c r="C1097" s="106">
        <v>360</v>
      </c>
      <c r="D1097" s="106">
        <v>722</v>
      </c>
      <c r="E1097" s="106">
        <v>74</v>
      </c>
      <c r="F1097" s="108">
        <v>2075</v>
      </c>
      <c r="G1097" s="108">
        <v>158</v>
      </c>
      <c r="H1097" s="108">
        <v>1207</v>
      </c>
      <c r="I1097" s="108">
        <v>178</v>
      </c>
      <c r="J1097" s="108">
        <v>143</v>
      </c>
      <c r="K1097" s="108">
        <v>23</v>
      </c>
      <c r="L1097" s="108">
        <v>6301</v>
      </c>
      <c r="M1097" s="108">
        <v>793</v>
      </c>
      <c r="N1097" s="108">
        <v>9407</v>
      </c>
      <c r="O1097" s="108">
        <v>34692</v>
      </c>
      <c r="P1097" s="108">
        <v>4223</v>
      </c>
      <c r="Q1097" s="108">
        <v>37634</v>
      </c>
      <c r="R1097" s="16">
        <f t="shared" si="463"/>
        <v>19931</v>
      </c>
    </row>
    <row r="1098" spans="1:18" ht="15.6" x14ac:dyDescent="0.3">
      <c r="A1098" s="107">
        <v>40346</v>
      </c>
      <c r="B1098" s="108">
        <v>2169</v>
      </c>
      <c r="C1098" s="108">
        <v>302</v>
      </c>
      <c r="D1098" s="108">
        <v>514</v>
      </c>
      <c r="E1098" s="108">
        <v>117</v>
      </c>
      <c r="F1098" s="108">
        <v>1021</v>
      </c>
      <c r="G1098" s="108">
        <v>211</v>
      </c>
      <c r="H1098" s="108">
        <v>1079</v>
      </c>
      <c r="I1098" s="108">
        <v>156</v>
      </c>
      <c r="J1098" s="108">
        <v>250</v>
      </c>
      <c r="K1098" s="108">
        <v>36</v>
      </c>
      <c r="L1098" s="108">
        <v>5033</v>
      </c>
      <c r="M1098" s="108">
        <v>821</v>
      </c>
      <c r="N1098" s="108">
        <v>10692</v>
      </c>
      <c r="O1098" s="108">
        <v>37365</v>
      </c>
      <c r="P1098" s="108">
        <v>2140</v>
      </c>
      <c r="Q1098" s="108">
        <v>36882</v>
      </c>
      <c r="R1098" s="16">
        <f t="shared" ref="R1098:R1103" si="464">P1098+N1098+L1098</f>
        <v>17865</v>
      </c>
    </row>
    <row r="1099" spans="1:18" ht="15.6" x14ac:dyDescent="0.3">
      <c r="A1099" s="107">
        <v>40710</v>
      </c>
      <c r="B1099" s="108">
        <v>2154</v>
      </c>
      <c r="C1099" s="106">
        <v>648</v>
      </c>
      <c r="D1099" s="106">
        <v>821</v>
      </c>
      <c r="E1099" s="106">
        <v>119</v>
      </c>
      <c r="F1099" s="108">
        <v>2006</v>
      </c>
      <c r="G1099" s="108">
        <v>353</v>
      </c>
      <c r="H1099" s="108">
        <v>1203</v>
      </c>
      <c r="I1099" s="108">
        <v>286</v>
      </c>
      <c r="J1099" s="108">
        <v>118</v>
      </c>
      <c r="K1099" s="108">
        <v>48</v>
      </c>
      <c r="L1099" s="108">
        <v>6301</v>
      </c>
      <c r="M1099" s="108">
        <v>1455</v>
      </c>
      <c r="N1099" s="108">
        <v>8650</v>
      </c>
      <c r="O1099" s="108">
        <v>35859</v>
      </c>
      <c r="P1099" s="108">
        <v>4007</v>
      </c>
      <c r="Q1099" s="108">
        <v>37818</v>
      </c>
      <c r="R1099" s="16">
        <f t="shared" si="464"/>
        <v>18958</v>
      </c>
    </row>
    <row r="1100" spans="1:18" ht="15.6" x14ac:dyDescent="0.3">
      <c r="A1100" s="107">
        <v>40353</v>
      </c>
      <c r="B1100" s="108">
        <v>2104</v>
      </c>
      <c r="C1100" s="108">
        <v>528</v>
      </c>
      <c r="D1100" s="108">
        <v>549</v>
      </c>
      <c r="E1100" s="108">
        <v>167</v>
      </c>
      <c r="F1100" s="108">
        <v>961</v>
      </c>
      <c r="G1100" s="108">
        <v>365</v>
      </c>
      <c r="H1100" s="108">
        <v>1039</v>
      </c>
      <c r="I1100" s="108">
        <v>274</v>
      </c>
      <c r="J1100" s="108">
        <v>250</v>
      </c>
      <c r="K1100" s="108">
        <v>36</v>
      </c>
      <c r="L1100" s="108">
        <v>4902</v>
      </c>
      <c r="M1100" s="108">
        <v>1369</v>
      </c>
      <c r="N1100" s="108">
        <v>10389</v>
      </c>
      <c r="O1100" s="108">
        <v>38318</v>
      </c>
      <c r="P1100" s="108">
        <v>2266</v>
      </c>
      <c r="Q1100" s="108">
        <v>37021</v>
      </c>
      <c r="R1100" s="16">
        <f t="shared" si="464"/>
        <v>17557</v>
      </c>
    </row>
    <row r="1101" spans="1:18" ht="15.6" x14ac:dyDescent="0.3">
      <c r="A1101" s="107">
        <v>40717</v>
      </c>
      <c r="B1101" s="108">
        <v>2180</v>
      </c>
      <c r="C1101" s="106">
        <v>921</v>
      </c>
      <c r="D1101" s="106">
        <v>891</v>
      </c>
      <c r="E1101" s="106">
        <v>187</v>
      </c>
      <c r="F1101" s="108">
        <v>1958</v>
      </c>
      <c r="G1101" s="108">
        <v>440</v>
      </c>
      <c r="H1101" s="108">
        <v>1231</v>
      </c>
      <c r="I1101" s="108">
        <v>339</v>
      </c>
      <c r="J1101" s="108">
        <v>103</v>
      </c>
      <c r="K1101" s="108">
        <v>51</v>
      </c>
      <c r="L1101" s="108">
        <v>6363</v>
      </c>
      <c r="M1101" s="108">
        <v>1937</v>
      </c>
      <c r="N1101" s="108">
        <v>8686</v>
      </c>
      <c r="O1101" s="108">
        <v>36515</v>
      </c>
      <c r="P1101" s="108">
        <v>3517</v>
      </c>
      <c r="Q1101" s="108">
        <v>37973</v>
      </c>
      <c r="R1101" s="16">
        <f t="shared" si="464"/>
        <v>18566</v>
      </c>
    </row>
    <row r="1102" spans="1:18" ht="15.6" x14ac:dyDescent="0.3">
      <c r="A1102" s="107">
        <v>40360</v>
      </c>
      <c r="B1102" s="108">
        <v>2066</v>
      </c>
      <c r="C1102" s="108">
        <v>792</v>
      </c>
      <c r="D1102" s="108">
        <v>540</v>
      </c>
      <c r="E1102" s="108">
        <v>212</v>
      </c>
      <c r="F1102" s="108">
        <v>1013</v>
      </c>
      <c r="G1102" s="108">
        <v>453</v>
      </c>
      <c r="H1102" s="108">
        <v>959</v>
      </c>
      <c r="I1102" s="108">
        <v>433</v>
      </c>
      <c r="J1102" s="108">
        <v>280</v>
      </c>
      <c r="K1102" s="108">
        <v>37</v>
      </c>
      <c r="L1102" s="108">
        <v>4858</v>
      </c>
      <c r="M1102" s="108">
        <v>1927</v>
      </c>
      <c r="N1102" s="108">
        <v>9860</v>
      </c>
      <c r="O1102" s="108">
        <v>39348</v>
      </c>
      <c r="P1102" s="108">
        <v>2452</v>
      </c>
      <c r="Q1102" s="108">
        <v>37097</v>
      </c>
      <c r="R1102" s="16">
        <f t="shared" si="464"/>
        <v>17170</v>
      </c>
    </row>
    <row r="1103" spans="1:18" ht="15.6" x14ac:dyDescent="0.3">
      <c r="A1103" s="107">
        <v>40724</v>
      </c>
      <c r="B1103" s="108">
        <v>1908</v>
      </c>
      <c r="C1103" s="106">
        <v>1284</v>
      </c>
      <c r="D1103" s="108">
        <v>1004</v>
      </c>
      <c r="E1103" s="108">
        <v>229</v>
      </c>
      <c r="F1103" s="108">
        <v>1911</v>
      </c>
      <c r="G1103" s="108">
        <v>581</v>
      </c>
      <c r="H1103" s="108">
        <v>1163</v>
      </c>
      <c r="I1103" s="108">
        <v>486</v>
      </c>
      <c r="J1103" s="108">
        <v>74</v>
      </c>
      <c r="K1103" s="108">
        <v>85</v>
      </c>
      <c r="L1103" s="108">
        <v>6060</v>
      </c>
      <c r="M1103" s="108">
        <v>2664</v>
      </c>
      <c r="N1103" s="108">
        <v>8267</v>
      </c>
      <c r="O1103" s="108">
        <v>37555</v>
      </c>
      <c r="P1103" s="108">
        <v>3671</v>
      </c>
      <c r="Q1103" s="108">
        <v>38124</v>
      </c>
      <c r="R1103" s="16">
        <f t="shared" si="464"/>
        <v>17998</v>
      </c>
    </row>
    <row r="1104" spans="1:18" ht="15.6" x14ac:dyDescent="0.3">
      <c r="A1104" s="107">
        <v>40367</v>
      </c>
      <c r="B1104" s="108">
        <v>1980</v>
      </c>
      <c r="C1104" s="108">
        <v>1051</v>
      </c>
      <c r="D1104" s="108">
        <v>523</v>
      </c>
      <c r="E1104" s="108">
        <v>238</v>
      </c>
      <c r="F1104" s="108">
        <v>1044</v>
      </c>
      <c r="G1104" s="108">
        <v>506</v>
      </c>
      <c r="H1104" s="108">
        <v>978</v>
      </c>
      <c r="I1104" s="108">
        <v>451</v>
      </c>
      <c r="J1104" s="108">
        <v>286</v>
      </c>
      <c r="K1104" s="108">
        <v>37</v>
      </c>
      <c r="L1104" s="108">
        <v>4812</v>
      </c>
      <c r="M1104" s="108">
        <v>2283</v>
      </c>
      <c r="N1104" s="108">
        <v>9495</v>
      </c>
      <c r="O1104" s="108">
        <v>40391</v>
      </c>
      <c r="P1104" s="108">
        <v>2912</v>
      </c>
      <c r="Q1104" s="108">
        <v>37303</v>
      </c>
      <c r="R1104" s="16">
        <f t="shared" ref="R1104:R1109" si="465">P1104+N1104+L1104</f>
        <v>17219</v>
      </c>
    </row>
    <row r="1105" spans="1:18" ht="15.6" x14ac:dyDescent="0.3">
      <c r="A1105" s="107">
        <v>40731</v>
      </c>
      <c r="B1105" s="108">
        <v>1993</v>
      </c>
      <c r="C1105" s="106">
        <v>1462</v>
      </c>
      <c r="D1105" s="108">
        <v>997</v>
      </c>
      <c r="E1105" s="108">
        <v>325</v>
      </c>
      <c r="F1105" s="108">
        <v>1806</v>
      </c>
      <c r="G1105" s="108">
        <v>772</v>
      </c>
      <c r="H1105" s="108">
        <v>1133</v>
      </c>
      <c r="I1105" s="108">
        <v>592</v>
      </c>
      <c r="J1105" s="108">
        <v>74</v>
      </c>
      <c r="K1105" s="108">
        <v>90</v>
      </c>
      <c r="L1105" s="108">
        <v>6003</v>
      </c>
      <c r="M1105" s="108">
        <v>3241</v>
      </c>
      <c r="N1105" s="108">
        <v>7888</v>
      </c>
      <c r="O1105" s="108">
        <v>38416</v>
      </c>
      <c r="P1105" s="108">
        <v>3435</v>
      </c>
      <c r="Q1105" s="108">
        <v>38364</v>
      </c>
      <c r="R1105" s="16">
        <f t="shared" si="465"/>
        <v>17326</v>
      </c>
    </row>
    <row r="1106" spans="1:18" ht="15.6" x14ac:dyDescent="0.3">
      <c r="A1106" s="107">
        <v>40374</v>
      </c>
      <c r="B1106" s="108">
        <v>1825</v>
      </c>
      <c r="C1106" s="108">
        <v>1317</v>
      </c>
      <c r="D1106" s="108">
        <v>519</v>
      </c>
      <c r="E1106" s="108">
        <v>291</v>
      </c>
      <c r="F1106" s="108">
        <v>1035</v>
      </c>
      <c r="G1106" s="108">
        <v>598</v>
      </c>
      <c r="H1106" s="108">
        <v>976</v>
      </c>
      <c r="I1106" s="108">
        <v>559</v>
      </c>
      <c r="J1106" s="108">
        <v>294</v>
      </c>
      <c r="K1106" s="108">
        <v>64</v>
      </c>
      <c r="L1106" s="108">
        <v>4649</v>
      </c>
      <c r="M1106" s="108">
        <v>2828</v>
      </c>
      <c r="N1106" s="108">
        <v>9161</v>
      </c>
      <c r="O1106" s="108">
        <v>41339</v>
      </c>
      <c r="P1106" s="108">
        <v>2749</v>
      </c>
      <c r="Q1106" s="108">
        <v>37578</v>
      </c>
      <c r="R1106" s="16">
        <f t="shared" si="465"/>
        <v>16559</v>
      </c>
    </row>
    <row r="1107" spans="1:18" ht="15.6" x14ac:dyDescent="0.3">
      <c r="A1107" s="107">
        <v>40738</v>
      </c>
      <c r="B1107" s="108">
        <v>1803</v>
      </c>
      <c r="C1107" s="106">
        <v>1751</v>
      </c>
      <c r="D1107" s="108">
        <v>1037</v>
      </c>
      <c r="E1107" s="108">
        <v>362</v>
      </c>
      <c r="F1107" s="108">
        <v>1798</v>
      </c>
      <c r="G1107" s="108">
        <v>879</v>
      </c>
      <c r="H1107" s="108">
        <v>1140</v>
      </c>
      <c r="I1107" s="108">
        <v>632</v>
      </c>
      <c r="J1107" s="108">
        <v>86</v>
      </c>
      <c r="K1107" s="108">
        <v>101</v>
      </c>
      <c r="L1107" s="108">
        <v>5863</v>
      </c>
      <c r="M1107" s="108">
        <v>3725</v>
      </c>
      <c r="N1107" s="108">
        <v>7391</v>
      </c>
      <c r="O1107" s="108">
        <v>39342</v>
      </c>
      <c r="P1107" s="108">
        <v>3556</v>
      </c>
      <c r="Q1107" s="108">
        <v>38500</v>
      </c>
      <c r="R1107" s="16">
        <f t="shared" si="465"/>
        <v>16810</v>
      </c>
    </row>
    <row r="1108" spans="1:18" ht="15.6" x14ac:dyDescent="0.3">
      <c r="A1108" s="107">
        <v>40381</v>
      </c>
      <c r="B1108" s="108">
        <v>2013</v>
      </c>
      <c r="C1108" s="108">
        <v>1539</v>
      </c>
      <c r="D1108" s="108">
        <v>540</v>
      </c>
      <c r="E1108" s="108">
        <v>336</v>
      </c>
      <c r="F1108" s="108">
        <v>1187</v>
      </c>
      <c r="G1108" s="108">
        <v>747</v>
      </c>
      <c r="H1108" s="108">
        <v>1021</v>
      </c>
      <c r="I1108" s="108">
        <v>581</v>
      </c>
      <c r="J1108" s="108">
        <v>356</v>
      </c>
      <c r="K1108" s="108">
        <v>76</v>
      </c>
      <c r="L1108" s="108">
        <v>5118</v>
      </c>
      <c r="M1108" s="108">
        <v>3279</v>
      </c>
      <c r="N1108" s="108">
        <v>8394</v>
      </c>
      <c r="O1108" s="108">
        <v>42538</v>
      </c>
      <c r="P1108" s="108">
        <v>2910</v>
      </c>
      <c r="Q1108" s="108">
        <v>37756</v>
      </c>
      <c r="R1108" s="16">
        <f t="shared" si="465"/>
        <v>16422</v>
      </c>
    </row>
    <row r="1109" spans="1:18" ht="15.6" x14ac:dyDescent="0.3">
      <c r="A1109" s="107">
        <v>40745</v>
      </c>
      <c r="B1109" s="108">
        <v>1787</v>
      </c>
      <c r="C1109" s="106">
        <v>1946</v>
      </c>
      <c r="D1109" s="108">
        <v>897</v>
      </c>
      <c r="E1109" s="108">
        <v>521</v>
      </c>
      <c r="F1109" s="108">
        <v>1781</v>
      </c>
      <c r="G1109" s="108">
        <v>1039</v>
      </c>
      <c r="H1109" s="108">
        <v>1157</v>
      </c>
      <c r="I1109" s="108">
        <v>672</v>
      </c>
      <c r="J1109" s="108">
        <v>151</v>
      </c>
      <c r="K1109" s="108">
        <v>111</v>
      </c>
      <c r="L1109" s="108">
        <v>5773</v>
      </c>
      <c r="M1109" s="108">
        <v>4289</v>
      </c>
      <c r="N1109" s="108">
        <v>6717</v>
      </c>
      <c r="O1109" s="108">
        <v>40348</v>
      </c>
      <c r="P1109" s="108">
        <v>3371</v>
      </c>
      <c r="Q1109" s="108">
        <v>38695</v>
      </c>
      <c r="R1109" s="16">
        <f t="shared" si="465"/>
        <v>15861</v>
      </c>
    </row>
    <row r="1110" spans="1:18" ht="15.6" x14ac:dyDescent="0.3">
      <c r="A1110" s="107">
        <v>40388</v>
      </c>
      <c r="B1110" s="108">
        <v>2116</v>
      </c>
      <c r="C1110" s="108">
        <v>1836</v>
      </c>
      <c r="D1110" s="108">
        <v>601</v>
      </c>
      <c r="E1110" s="108">
        <v>357</v>
      </c>
      <c r="F1110" s="108">
        <v>1229</v>
      </c>
      <c r="G1110" s="108">
        <v>936</v>
      </c>
      <c r="H1110" s="108">
        <v>1144</v>
      </c>
      <c r="I1110" s="108">
        <v>629</v>
      </c>
      <c r="J1110" s="108">
        <v>309</v>
      </c>
      <c r="K1110" s="108">
        <v>83</v>
      </c>
      <c r="L1110" s="108">
        <v>5400</v>
      </c>
      <c r="M1110" s="108">
        <v>3840</v>
      </c>
      <c r="N1110" s="108">
        <v>8033</v>
      </c>
      <c r="O1110" s="108">
        <v>43371</v>
      </c>
      <c r="P1110" s="108">
        <v>2656</v>
      </c>
      <c r="Q1110" s="108">
        <v>38016</v>
      </c>
      <c r="R1110" s="16">
        <f t="shared" ref="R1110:R1115" si="466">P1110+N1110+L1110</f>
        <v>16089</v>
      </c>
    </row>
    <row r="1111" spans="1:18" ht="15.6" x14ac:dyDescent="0.3">
      <c r="A1111" s="107">
        <v>40752</v>
      </c>
      <c r="B1111" s="108">
        <v>1819</v>
      </c>
      <c r="C1111" s="106">
        <v>2159</v>
      </c>
      <c r="D1111" s="108">
        <v>979</v>
      </c>
      <c r="E1111" s="108">
        <v>548</v>
      </c>
      <c r="F1111" s="108">
        <v>1709</v>
      </c>
      <c r="G1111" s="108">
        <v>1204</v>
      </c>
      <c r="H1111" s="108">
        <v>1140</v>
      </c>
      <c r="I1111" s="108">
        <v>737</v>
      </c>
      <c r="J1111" s="108">
        <v>153</v>
      </c>
      <c r="K1111" s="108">
        <v>113</v>
      </c>
      <c r="L1111" s="108">
        <v>5800</v>
      </c>
      <c r="M1111" s="108">
        <v>4761</v>
      </c>
      <c r="N1111" s="108">
        <v>6236</v>
      </c>
      <c r="O1111" s="108">
        <v>41126</v>
      </c>
      <c r="P1111" s="108">
        <v>2761</v>
      </c>
      <c r="Q1111" s="108">
        <v>38900</v>
      </c>
      <c r="R1111" s="16">
        <f t="shared" si="466"/>
        <v>14797</v>
      </c>
    </row>
    <row r="1112" spans="1:18" ht="15.6" x14ac:dyDescent="0.3">
      <c r="A1112" s="107">
        <v>40394</v>
      </c>
      <c r="B1112" s="108">
        <v>2753</v>
      </c>
      <c r="C1112" s="108">
        <v>1998</v>
      </c>
      <c r="D1112" s="108">
        <v>584</v>
      </c>
      <c r="E1112" s="108">
        <v>399</v>
      </c>
      <c r="F1112" s="108">
        <v>1391</v>
      </c>
      <c r="G1112" s="108">
        <v>1046</v>
      </c>
      <c r="H1112" s="108">
        <v>1261</v>
      </c>
      <c r="I1112" s="108">
        <v>708</v>
      </c>
      <c r="J1112" s="108">
        <v>307</v>
      </c>
      <c r="K1112" s="108">
        <v>123</v>
      </c>
      <c r="L1112" s="108">
        <v>6295</v>
      </c>
      <c r="M1112" s="108">
        <v>4274</v>
      </c>
      <c r="N1112" s="108">
        <v>7464</v>
      </c>
      <c r="O1112" s="108">
        <v>44379</v>
      </c>
      <c r="P1112" s="108">
        <v>2707</v>
      </c>
      <c r="Q1112" s="108">
        <v>38232</v>
      </c>
      <c r="R1112" s="16">
        <f t="shared" si="466"/>
        <v>16466</v>
      </c>
    </row>
    <row r="1113" spans="1:18" ht="15.6" x14ac:dyDescent="0.3">
      <c r="A1113" s="107">
        <v>40758</v>
      </c>
      <c r="B1113" s="108">
        <v>1672</v>
      </c>
      <c r="C1113" s="106">
        <v>2440</v>
      </c>
      <c r="D1113" s="108">
        <v>905</v>
      </c>
      <c r="E1113" s="108">
        <v>707</v>
      </c>
      <c r="F1113" s="108">
        <v>1729</v>
      </c>
      <c r="G1113" s="108">
        <v>1294</v>
      </c>
      <c r="H1113" s="108">
        <v>1062</v>
      </c>
      <c r="I1113" s="108">
        <v>839</v>
      </c>
      <c r="J1113" s="108">
        <v>176</v>
      </c>
      <c r="K1113" s="108">
        <v>113</v>
      </c>
      <c r="L1113" s="108">
        <v>5544</v>
      </c>
      <c r="M1113" s="108">
        <v>5393</v>
      </c>
      <c r="N1113" s="108">
        <v>5728</v>
      </c>
      <c r="O1113" s="108">
        <v>42075</v>
      </c>
      <c r="P1113" s="108">
        <v>2855</v>
      </c>
      <c r="Q1113" s="108">
        <v>39045</v>
      </c>
      <c r="R1113" s="16">
        <f t="shared" si="466"/>
        <v>14127</v>
      </c>
    </row>
    <row r="1114" spans="1:18" ht="15.6" x14ac:dyDescent="0.3">
      <c r="A1114" s="107">
        <v>40402</v>
      </c>
      <c r="B1114" s="108">
        <v>3191</v>
      </c>
      <c r="C1114" s="108">
        <v>2242</v>
      </c>
      <c r="D1114" s="108">
        <v>559</v>
      </c>
      <c r="E1114" s="108">
        <v>437</v>
      </c>
      <c r="F1114" s="108">
        <v>1781</v>
      </c>
      <c r="G1114" s="108">
        <v>1170</v>
      </c>
      <c r="H1114" s="108">
        <v>1230</v>
      </c>
      <c r="I1114" s="108">
        <v>859</v>
      </c>
      <c r="J1114" s="108">
        <v>370</v>
      </c>
      <c r="K1114" s="108">
        <v>144</v>
      </c>
      <c r="L1114" s="108">
        <v>7131</v>
      </c>
      <c r="M1114" s="108">
        <v>4851</v>
      </c>
      <c r="N1114" s="108">
        <v>7053</v>
      </c>
      <c r="O1114" s="108">
        <v>45386</v>
      </c>
      <c r="P1114" s="108">
        <v>2391</v>
      </c>
      <c r="Q1114" s="108">
        <v>38729</v>
      </c>
      <c r="R1114" s="16">
        <f t="shared" si="466"/>
        <v>16575</v>
      </c>
    </row>
    <row r="1115" spans="1:18" ht="15.6" x14ac:dyDescent="0.3">
      <c r="A1115" s="107">
        <v>40766</v>
      </c>
      <c r="B1115" s="108">
        <v>1742</v>
      </c>
      <c r="C1115" s="106">
        <v>2650</v>
      </c>
      <c r="D1115" s="108">
        <v>891</v>
      </c>
      <c r="E1115" s="108">
        <v>770</v>
      </c>
      <c r="F1115" s="108">
        <v>1607</v>
      </c>
      <c r="G1115" s="108">
        <v>1503</v>
      </c>
      <c r="H1115" s="108">
        <v>1021</v>
      </c>
      <c r="I1115" s="108">
        <v>1003</v>
      </c>
      <c r="J1115" s="108">
        <v>186</v>
      </c>
      <c r="K1115" s="108">
        <v>113</v>
      </c>
      <c r="L1115" s="108">
        <v>5447</v>
      </c>
      <c r="M1115" s="108">
        <v>6040</v>
      </c>
      <c r="N1115" s="108">
        <v>5069</v>
      </c>
      <c r="O1115" s="108">
        <v>42977</v>
      </c>
      <c r="P1115" s="108">
        <v>2888</v>
      </c>
      <c r="Q1115" s="108">
        <v>39235</v>
      </c>
      <c r="R1115" s="16">
        <f t="shared" si="466"/>
        <v>13404</v>
      </c>
    </row>
    <row r="1116" spans="1:18" ht="15.6" x14ac:dyDescent="0.3">
      <c r="A1116" s="107">
        <v>40409</v>
      </c>
      <c r="B1116" s="108">
        <v>3565</v>
      </c>
      <c r="C1116" s="108">
        <v>2518</v>
      </c>
      <c r="D1116" s="108">
        <v>608</v>
      </c>
      <c r="E1116" s="108">
        <v>464</v>
      </c>
      <c r="F1116" s="108">
        <v>1952</v>
      </c>
      <c r="G1116" s="108">
        <v>1245</v>
      </c>
      <c r="H1116" s="108">
        <v>1246</v>
      </c>
      <c r="I1116" s="108">
        <v>947</v>
      </c>
      <c r="J1116" s="108">
        <v>331</v>
      </c>
      <c r="K1116" s="108">
        <v>185</v>
      </c>
      <c r="L1116" s="108">
        <v>7702</v>
      </c>
      <c r="M1116" s="108">
        <v>5358</v>
      </c>
      <c r="N1116" s="108">
        <v>5923</v>
      </c>
      <c r="O1116" s="108">
        <v>46498</v>
      </c>
      <c r="P1116" s="108">
        <v>2237</v>
      </c>
      <c r="Q1116" s="108">
        <v>39050</v>
      </c>
      <c r="R1116" s="16">
        <f t="shared" ref="R1116:R1121" si="467">P1116+N1116+L1116</f>
        <v>15862</v>
      </c>
    </row>
    <row r="1117" spans="1:18" ht="15.6" x14ac:dyDescent="0.3">
      <c r="A1117" s="107">
        <v>40773</v>
      </c>
      <c r="B1117" s="108">
        <v>1777</v>
      </c>
      <c r="C1117" s="106">
        <v>2757</v>
      </c>
      <c r="D1117" s="108">
        <v>708</v>
      </c>
      <c r="E1117" s="108">
        <v>983</v>
      </c>
      <c r="F1117" s="108">
        <v>1602</v>
      </c>
      <c r="G1117" s="108">
        <v>1563</v>
      </c>
      <c r="H1117" s="108">
        <v>1044</v>
      </c>
      <c r="I1117" s="108">
        <v>1090</v>
      </c>
      <c r="J1117" s="108">
        <v>193</v>
      </c>
      <c r="K1117" s="108">
        <v>116</v>
      </c>
      <c r="L1117" s="108">
        <v>5325</v>
      </c>
      <c r="M1117" s="108">
        <v>6509</v>
      </c>
      <c r="N1117" s="108">
        <v>4627</v>
      </c>
      <c r="O1117" s="108">
        <v>43803</v>
      </c>
      <c r="P1117" s="108">
        <v>2713</v>
      </c>
      <c r="Q1117" s="108">
        <v>39518</v>
      </c>
      <c r="R1117" s="16">
        <f t="shared" si="467"/>
        <v>12665</v>
      </c>
    </row>
    <row r="1118" spans="1:18" ht="15.6" x14ac:dyDescent="0.3">
      <c r="A1118" s="107">
        <v>40416</v>
      </c>
      <c r="B1118" s="108">
        <v>3585</v>
      </c>
      <c r="C1118" s="108">
        <v>2903</v>
      </c>
      <c r="D1118" s="108">
        <v>629</v>
      </c>
      <c r="E1118" s="108">
        <v>497</v>
      </c>
      <c r="F1118" s="108">
        <v>2232</v>
      </c>
      <c r="G1118" s="108">
        <v>1365</v>
      </c>
      <c r="H1118" s="108">
        <v>1329</v>
      </c>
      <c r="I1118" s="108">
        <v>998</v>
      </c>
      <c r="J1118" s="108">
        <v>357</v>
      </c>
      <c r="K1118" s="108">
        <v>188</v>
      </c>
      <c r="L1118" s="108">
        <v>8133</v>
      </c>
      <c r="M1118" s="108">
        <v>5951</v>
      </c>
      <c r="N1118" s="108">
        <v>4753</v>
      </c>
      <c r="O1118" s="108">
        <v>47640</v>
      </c>
      <c r="P1118" s="108">
        <v>2004</v>
      </c>
      <c r="Q1118" s="108">
        <v>39285</v>
      </c>
      <c r="R1118" s="16">
        <f t="shared" si="467"/>
        <v>14890</v>
      </c>
    </row>
    <row r="1119" spans="1:18" ht="15.6" x14ac:dyDescent="0.3">
      <c r="A1119" s="107">
        <v>40780</v>
      </c>
      <c r="B1119" s="108">
        <v>1746</v>
      </c>
      <c r="C1119" s="106">
        <v>3040</v>
      </c>
      <c r="D1119" s="108">
        <v>652</v>
      </c>
      <c r="E1119" s="108">
        <v>1066</v>
      </c>
      <c r="F1119" s="108">
        <v>1537</v>
      </c>
      <c r="G1119" s="108">
        <v>1676</v>
      </c>
      <c r="H1119" s="108">
        <v>1008</v>
      </c>
      <c r="I1119" s="108">
        <v>1187</v>
      </c>
      <c r="J1119" s="108">
        <v>141</v>
      </c>
      <c r="K1119" s="108">
        <v>149</v>
      </c>
      <c r="L1119" s="108">
        <v>5084</v>
      </c>
      <c r="M1119" s="108">
        <v>7118</v>
      </c>
      <c r="N1119" s="108">
        <v>3540</v>
      </c>
      <c r="O1119" s="108">
        <v>44569</v>
      </c>
      <c r="P1119" s="108">
        <v>2478</v>
      </c>
      <c r="Q1119" s="108">
        <v>39753</v>
      </c>
      <c r="R1119" s="16">
        <f t="shared" si="467"/>
        <v>11102</v>
      </c>
    </row>
    <row r="1120" spans="1:18" ht="15.6" x14ac:dyDescent="0.3">
      <c r="A1120" s="107">
        <v>40423</v>
      </c>
      <c r="B1120" s="108">
        <v>3899</v>
      </c>
      <c r="C1120" s="108">
        <v>3152</v>
      </c>
      <c r="D1120" s="108">
        <v>599</v>
      </c>
      <c r="E1120" s="108">
        <v>541</v>
      </c>
      <c r="F1120" s="108">
        <v>2230</v>
      </c>
      <c r="G1120" s="108">
        <v>1608</v>
      </c>
      <c r="H1120" s="108">
        <v>1341</v>
      </c>
      <c r="I1120" s="108">
        <v>1121</v>
      </c>
      <c r="J1120" s="108">
        <v>358</v>
      </c>
      <c r="K1120" s="108">
        <v>190</v>
      </c>
      <c r="L1120" s="108">
        <v>8426</v>
      </c>
      <c r="M1120" s="108">
        <v>6611</v>
      </c>
      <c r="N1120" s="108">
        <v>15103</v>
      </c>
      <c r="O1120" s="108">
        <v>286</v>
      </c>
      <c r="P1120" s="108">
        <v>17705</v>
      </c>
      <c r="Q1120" s="108">
        <v>81</v>
      </c>
      <c r="R1120" s="16">
        <f t="shared" si="467"/>
        <v>41234</v>
      </c>
    </row>
    <row r="1121" spans="1:18" ht="15.6" x14ac:dyDescent="0.3">
      <c r="A1121" s="107">
        <v>40787</v>
      </c>
      <c r="B1121" s="108">
        <v>1743</v>
      </c>
      <c r="C1121" s="106">
        <v>3306</v>
      </c>
      <c r="D1121" s="108">
        <v>671</v>
      </c>
      <c r="E1121" s="108">
        <v>1111</v>
      </c>
      <c r="F1121" s="108">
        <v>1454</v>
      </c>
      <c r="G1121" s="108">
        <v>1883</v>
      </c>
      <c r="H1121" s="108">
        <v>1023</v>
      </c>
      <c r="I1121" s="108">
        <v>1255</v>
      </c>
      <c r="J1121" s="108">
        <v>81</v>
      </c>
      <c r="K1121" s="108">
        <v>188</v>
      </c>
      <c r="L1121" s="108">
        <v>4972</v>
      </c>
      <c r="M1121" s="108">
        <v>7743</v>
      </c>
      <c r="N1121" s="108">
        <v>13171</v>
      </c>
      <c r="O1121" s="108">
        <v>136</v>
      </c>
      <c r="P1121" s="108">
        <v>14284</v>
      </c>
      <c r="Q1121" s="108">
        <v>42</v>
      </c>
      <c r="R1121" s="16">
        <f t="shared" si="467"/>
        <v>32427</v>
      </c>
    </row>
    <row r="1122" spans="1:18" ht="15.6" x14ac:dyDescent="0.3">
      <c r="A1122" s="107">
        <v>40430</v>
      </c>
      <c r="B1122" s="108">
        <v>3506</v>
      </c>
      <c r="C1122" s="108">
        <v>3702</v>
      </c>
      <c r="D1122" s="108">
        <v>598</v>
      </c>
      <c r="E1122" s="108">
        <v>560</v>
      </c>
      <c r="F1122" s="108">
        <v>2177</v>
      </c>
      <c r="G1122" s="108">
        <v>1828</v>
      </c>
      <c r="H1122" s="108">
        <v>1385</v>
      </c>
      <c r="I1122" s="108">
        <v>1162</v>
      </c>
      <c r="J1122" s="108">
        <v>373</v>
      </c>
      <c r="K1122" s="108">
        <v>221</v>
      </c>
      <c r="L1122" s="108">
        <v>8039</v>
      </c>
      <c r="M1122" s="108">
        <v>7474</v>
      </c>
      <c r="N1122" s="108">
        <v>14588</v>
      </c>
      <c r="O1122" s="108">
        <v>1385</v>
      </c>
      <c r="P1122" s="108">
        <v>18201</v>
      </c>
      <c r="Q1122" s="108">
        <v>254</v>
      </c>
      <c r="R1122" s="16">
        <f t="shared" ref="R1122:R1127" si="468">P1122+N1122+L1122</f>
        <v>40828</v>
      </c>
    </row>
    <row r="1123" spans="1:18" ht="15.6" x14ac:dyDescent="0.3">
      <c r="A1123" s="107">
        <v>40794</v>
      </c>
      <c r="B1123" s="108">
        <v>1632</v>
      </c>
      <c r="C1123" s="106">
        <v>3533</v>
      </c>
      <c r="D1123" s="108">
        <v>663</v>
      </c>
      <c r="E1123" s="108">
        <v>1166</v>
      </c>
      <c r="F1123" s="108">
        <v>1527</v>
      </c>
      <c r="G1123" s="108">
        <v>1945</v>
      </c>
      <c r="H1123" s="108">
        <v>1009</v>
      </c>
      <c r="I1123" s="108">
        <v>1383</v>
      </c>
      <c r="J1123" s="108">
        <v>83</v>
      </c>
      <c r="K1123" s="108">
        <v>188</v>
      </c>
      <c r="L1123" s="108">
        <v>4914</v>
      </c>
      <c r="M1123" s="108">
        <v>8214</v>
      </c>
      <c r="N1123" s="108">
        <v>13813</v>
      </c>
      <c r="O1123" s="108">
        <v>621</v>
      </c>
      <c r="P1123" s="108">
        <v>14332</v>
      </c>
      <c r="Q1123" s="108">
        <v>346</v>
      </c>
      <c r="R1123" s="16">
        <f t="shared" si="468"/>
        <v>33059</v>
      </c>
    </row>
    <row r="1124" spans="1:18" ht="15.6" x14ac:dyDescent="0.3">
      <c r="A1124" s="107">
        <v>40437</v>
      </c>
      <c r="B1124" s="108">
        <v>3697</v>
      </c>
      <c r="C1124" s="108">
        <v>4144</v>
      </c>
      <c r="D1124" s="108">
        <v>591</v>
      </c>
      <c r="E1124" s="108">
        <v>573</v>
      </c>
      <c r="F1124" s="108">
        <v>2225</v>
      </c>
      <c r="G1124" s="108">
        <v>1998</v>
      </c>
      <c r="H1124" s="108">
        <v>1305</v>
      </c>
      <c r="I1124" s="108">
        <v>1378</v>
      </c>
      <c r="J1124" s="108">
        <v>253</v>
      </c>
      <c r="K1124" s="108">
        <v>300</v>
      </c>
      <c r="L1124" s="108">
        <v>8070</v>
      </c>
      <c r="M1124" s="108">
        <v>8392</v>
      </c>
      <c r="N1124" s="108">
        <v>14158</v>
      </c>
      <c r="O1124" s="108">
        <v>2377</v>
      </c>
      <c r="P1124" s="108">
        <v>18939</v>
      </c>
      <c r="Q1124" s="108">
        <v>600</v>
      </c>
      <c r="R1124" s="16">
        <f t="shared" si="468"/>
        <v>41167</v>
      </c>
    </row>
    <row r="1125" spans="1:18" ht="15.6" x14ac:dyDescent="0.3">
      <c r="A1125" s="107">
        <v>40801</v>
      </c>
      <c r="B1125" s="108">
        <v>1572</v>
      </c>
      <c r="C1125" s="106">
        <v>3895</v>
      </c>
      <c r="D1125" s="108">
        <v>615</v>
      </c>
      <c r="E1125" s="108">
        <v>1256</v>
      </c>
      <c r="F1125" s="108">
        <v>1391</v>
      </c>
      <c r="G1125" s="108">
        <v>2219</v>
      </c>
      <c r="H1125" s="108">
        <v>1069</v>
      </c>
      <c r="I1125" s="108">
        <v>1520</v>
      </c>
      <c r="J1125" s="108">
        <v>61</v>
      </c>
      <c r="K1125" s="108">
        <v>210</v>
      </c>
      <c r="L1125" s="108">
        <v>4707</v>
      </c>
      <c r="M1125" s="108">
        <v>9100</v>
      </c>
      <c r="N1125" s="108">
        <v>13784</v>
      </c>
      <c r="O1125" s="108">
        <v>1248</v>
      </c>
      <c r="P1125" s="108">
        <v>14501</v>
      </c>
      <c r="Q1125" s="108">
        <v>581</v>
      </c>
      <c r="R1125" s="16">
        <f t="shared" si="468"/>
        <v>32992</v>
      </c>
    </row>
    <row r="1126" spans="1:18" ht="15.6" x14ac:dyDescent="0.3">
      <c r="A1126" s="107">
        <v>40444</v>
      </c>
      <c r="B1126" s="108">
        <v>3734</v>
      </c>
      <c r="C1126" s="108">
        <v>4408</v>
      </c>
      <c r="D1126" s="108">
        <v>609</v>
      </c>
      <c r="E1126" s="108">
        <v>589</v>
      </c>
      <c r="F1126" s="108">
        <v>2119</v>
      </c>
      <c r="G1126" s="108">
        <v>2331</v>
      </c>
      <c r="H1126" s="108">
        <v>1216</v>
      </c>
      <c r="I1126" s="108">
        <v>1519</v>
      </c>
      <c r="J1126" s="108">
        <v>238</v>
      </c>
      <c r="K1126" s="108">
        <v>331</v>
      </c>
      <c r="L1126" s="108">
        <v>7916</v>
      </c>
      <c r="M1126" s="108">
        <v>9178</v>
      </c>
      <c r="N1126" s="108">
        <v>14142</v>
      </c>
      <c r="O1126" s="108">
        <v>3319</v>
      </c>
      <c r="P1126" s="108">
        <v>20155</v>
      </c>
      <c r="Q1126" s="108">
        <v>1121</v>
      </c>
      <c r="R1126" s="16">
        <f t="shared" si="468"/>
        <v>42213</v>
      </c>
    </row>
    <row r="1127" spans="1:18" ht="15.6" x14ac:dyDescent="0.3">
      <c r="A1127" s="107">
        <v>40808</v>
      </c>
      <c r="B1127" s="108">
        <v>1503</v>
      </c>
      <c r="C1127" s="106">
        <v>4088</v>
      </c>
      <c r="D1127" s="108">
        <v>674</v>
      </c>
      <c r="E1127" s="108">
        <v>1326</v>
      </c>
      <c r="F1127" s="108">
        <v>1367</v>
      </c>
      <c r="G1127" s="108">
        <v>2392</v>
      </c>
      <c r="H1127" s="108">
        <v>988</v>
      </c>
      <c r="I1127" s="108">
        <v>1595</v>
      </c>
      <c r="J1127" s="108">
        <v>84</v>
      </c>
      <c r="K1127" s="108">
        <v>221</v>
      </c>
      <c r="L1127" s="108">
        <v>4615</v>
      </c>
      <c r="M1127" s="108">
        <v>9622</v>
      </c>
      <c r="N1127" s="108">
        <v>13748</v>
      </c>
      <c r="O1127" s="108">
        <v>2071</v>
      </c>
      <c r="P1127" s="108">
        <v>15213</v>
      </c>
      <c r="Q1127" s="108">
        <v>903</v>
      </c>
      <c r="R1127" s="16">
        <f t="shared" si="468"/>
        <v>33576</v>
      </c>
    </row>
    <row r="1128" spans="1:18" ht="15.6" x14ac:dyDescent="0.3">
      <c r="A1128" s="107">
        <v>40451</v>
      </c>
      <c r="B1128" s="108">
        <v>3600</v>
      </c>
      <c r="C1128" s="108">
        <v>4778</v>
      </c>
      <c r="D1128" s="108">
        <v>560</v>
      </c>
      <c r="E1128" s="108">
        <v>676</v>
      </c>
      <c r="F1128" s="108">
        <v>2245</v>
      </c>
      <c r="G1128" s="108">
        <v>2567</v>
      </c>
      <c r="H1128" s="108">
        <v>1228</v>
      </c>
      <c r="I1128" s="108">
        <v>1657</v>
      </c>
      <c r="J1128" s="108">
        <v>213</v>
      </c>
      <c r="K1128" s="108">
        <v>373</v>
      </c>
      <c r="L1128" s="108">
        <v>7846</v>
      </c>
      <c r="M1128" s="108">
        <v>10051</v>
      </c>
      <c r="N1128" s="108">
        <v>13770</v>
      </c>
      <c r="O1128" s="108">
        <v>4297</v>
      </c>
      <c r="P1128" s="108">
        <v>20449</v>
      </c>
      <c r="Q1128" s="108">
        <v>1776</v>
      </c>
      <c r="R1128" s="16">
        <f t="shared" ref="R1128:R1133" si="469">P1128+N1128+L1128</f>
        <v>42065</v>
      </c>
    </row>
    <row r="1129" spans="1:18" ht="15.6" x14ac:dyDescent="0.3">
      <c r="A1129" s="107">
        <v>40815</v>
      </c>
      <c r="B1129" s="108">
        <v>1417</v>
      </c>
      <c r="C1129" s="106">
        <v>4370</v>
      </c>
      <c r="D1129" s="108">
        <v>746</v>
      </c>
      <c r="E1129" s="108">
        <v>1376</v>
      </c>
      <c r="F1129" s="108">
        <v>1280</v>
      </c>
      <c r="G1129" s="108">
        <v>2507</v>
      </c>
      <c r="H1129" s="108">
        <v>918</v>
      </c>
      <c r="I1129" s="108">
        <v>1749</v>
      </c>
      <c r="J1129" s="108">
        <v>84</v>
      </c>
      <c r="K1129" s="108">
        <v>221</v>
      </c>
      <c r="L1129" s="108">
        <v>4445</v>
      </c>
      <c r="M1129" s="108">
        <v>10223</v>
      </c>
      <c r="N1129" s="108">
        <v>14282</v>
      </c>
      <c r="O1129" s="108">
        <v>2827</v>
      </c>
      <c r="P1129" s="108">
        <v>15589</v>
      </c>
      <c r="Q1129" s="108">
        <v>1229</v>
      </c>
      <c r="R1129" s="16">
        <f t="shared" si="469"/>
        <v>34316</v>
      </c>
    </row>
    <row r="1130" spans="1:18" ht="15.6" x14ac:dyDescent="0.3">
      <c r="A1130" s="107">
        <v>40458</v>
      </c>
      <c r="B1130" s="108">
        <v>3505</v>
      </c>
      <c r="C1130" s="106">
        <v>5048</v>
      </c>
      <c r="D1130" s="106">
        <v>488</v>
      </c>
      <c r="E1130" s="106">
        <v>714</v>
      </c>
      <c r="F1130" s="106">
        <v>2110</v>
      </c>
      <c r="G1130" s="106">
        <v>2798</v>
      </c>
      <c r="H1130" s="106">
        <v>1254</v>
      </c>
      <c r="I1130" s="106">
        <v>1764</v>
      </c>
      <c r="J1130" s="106">
        <v>197</v>
      </c>
      <c r="K1130" s="106">
        <v>395</v>
      </c>
      <c r="L1130" s="106">
        <v>7554</v>
      </c>
      <c r="M1130" s="106">
        <v>10720</v>
      </c>
      <c r="N1130" s="106">
        <v>13868</v>
      </c>
      <c r="O1130" s="106">
        <v>5105</v>
      </c>
      <c r="P1130" s="108">
        <v>20368</v>
      </c>
      <c r="Q1130" s="106">
        <v>2934</v>
      </c>
      <c r="R1130" s="16">
        <f t="shared" si="469"/>
        <v>41790</v>
      </c>
    </row>
    <row r="1131" spans="1:18" ht="15.6" x14ac:dyDescent="0.3">
      <c r="A1131" s="107">
        <v>40822</v>
      </c>
      <c r="B1131" s="108">
        <v>1459</v>
      </c>
      <c r="C1131" s="108">
        <v>4494</v>
      </c>
      <c r="D1131" s="108">
        <v>737</v>
      </c>
      <c r="E1131" s="108">
        <v>1394</v>
      </c>
      <c r="F1131" s="108">
        <v>1282</v>
      </c>
      <c r="G1131" s="108">
        <v>2628</v>
      </c>
      <c r="H1131" s="108">
        <v>1000</v>
      </c>
      <c r="I1131" s="108">
        <v>1842</v>
      </c>
      <c r="J1131" s="108">
        <v>85</v>
      </c>
      <c r="K1131" s="108">
        <v>229</v>
      </c>
      <c r="L1131" s="108">
        <v>4563</v>
      </c>
      <c r="M1131" s="108">
        <v>10588</v>
      </c>
      <c r="N1131" s="108">
        <v>14630</v>
      </c>
      <c r="O1131" s="108">
        <v>3738</v>
      </c>
      <c r="P1131" s="108">
        <v>15658</v>
      </c>
      <c r="Q1131" s="108">
        <v>1832</v>
      </c>
      <c r="R1131" s="16">
        <f t="shared" si="469"/>
        <v>34851</v>
      </c>
    </row>
    <row r="1132" spans="1:18" ht="15.6" x14ac:dyDescent="0.3">
      <c r="A1132" s="107">
        <v>40458</v>
      </c>
      <c r="B1132" s="108">
        <v>3531</v>
      </c>
      <c r="C1132" s="106">
        <v>5354</v>
      </c>
      <c r="D1132" s="106">
        <v>546</v>
      </c>
      <c r="E1132" s="106">
        <v>734</v>
      </c>
      <c r="F1132" s="106">
        <v>2029</v>
      </c>
      <c r="G1132" s="106">
        <v>3004</v>
      </c>
      <c r="H1132" s="106">
        <v>1220</v>
      </c>
      <c r="I1132" s="106">
        <v>1820</v>
      </c>
      <c r="J1132" s="106">
        <v>211</v>
      </c>
      <c r="K1132" s="106">
        <v>401</v>
      </c>
      <c r="L1132" s="106">
        <v>7536</v>
      </c>
      <c r="M1132" s="106">
        <v>11312</v>
      </c>
      <c r="N1132" s="106">
        <v>13247</v>
      </c>
      <c r="O1132" s="106">
        <v>5920</v>
      </c>
      <c r="P1132" s="108">
        <v>20760</v>
      </c>
      <c r="Q1132" s="106">
        <v>4559</v>
      </c>
      <c r="R1132" s="16">
        <f t="shared" si="469"/>
        <v>41543</v>
      </c>
    </row>
    <row r="1133" spans="1:18" ht="15.6" x14ac:dyDescent="0.3">
      <c r="A1133" s="107">
        <v>40829</v>
      </c>
      <c r="B1133" s="108">
        <v>1426</v>
      </c>
      <c r="C1133" s="108">
        <v>4687</v>
      </c>
      <c r="D1133" s="108">
        <v>769</v>
      </c>
      <c r="E1133" s="108">
        <v>1407</v>
      </c>
      <c r="F1133" s="108">
        <v>1302</v>
      </c>
      <c r="G1133" s="108">
        <v>2753</v>
      </c>
      <c r="H1133" s="108">
        <v>1002</v>
      </c>
      <c r="I1133" s="108">
        <v>1890</v>
      </c>
      <c r="J1133" s="108">
        <v>78</v>
      </c>
      <c r="K1133" s="108">
        <v>237</v>
      </c>
      <c r="L1133" s="108">
        <v>4577</v>
      </c>
      <c r="M1133" s="108">
        <v>10974</v>
      </c>
      <c r="N1133" s="108">
        <v>15829</v>
      </c>
      <c r="O1133" s="108">
        <v>4302</v>
      </c>
      <c r="P1133" s="108">
        <v>15084</v>
      </c>
      <c r="Q1133" s="108">
        <v>3000</v>
      </c>
      <c r="R1133" s="16">
        <f t="shared" si="469"/>
        <v>35490</v>
      </c>
    </row>
    <row r="1134" spans="1:18" ht="15.6" x14ac:dyDescent="0.3">
      <c r="A1134" s="107">
        <v>40472</v>
      </c>
      <c r="B1134" s="108">
        <v>3320</v>
      </c>
      <c r="C1134" s="106">
        <v>5631</v>
      </c>
      <c r="D1134" s="106">
        <v>624</v>
      </c>
      <c r="E1134" s="106">
        <v>788</v>
      </c>
      <c r="F1134" s="106">
        <v>2193</v>
      </c>
      <c r="G1134" s="106">
        <v>3155</v>
      </c>
      <c r="H1134" s="106">
        <v>1191</v>
      </c>
      <c r="I1134" s="106">
        <v>1927</v>
      </c>
      <c r="J1134" s="106">
        <v>160</v>
      </c>
      <c r="K1134" s="106">
        <v>465</v>
      </c>
      <c r="L1134" s="106">
        <v>7487</v>
      </c>
      <c r="M1134" s="106">
        <v>11965</v>
      </c>
      <c r="N1134" s="106">
        <v>13217</v>
      </c>
      <c r="O1134" s="106">
        <v>6502</v>
      </c>
      <c r="P1134" s="108">
        <v>20852</v>
      </c>
      <c r="Q1134" s="106">
        <v>6493</v>
      </c>
      <c r="R1134" s="16">
        <f t="shared" ref="R1134:R1140" si="470">P1134+N1134+L1134</f>
        <v>41556</v>
      </c>
    </row>
    <row r="1135" spans="1:18" ht="15.6" x14ac:dyDescent="0.3">
      <c r="A1135" s="107">
        <v>40836</v>
      </c>
      <c r="B1135" s="108">
        <v>1342</v>
      </c>
      <c r="C1135" s="108">
        <v>4831</v>
      </c>
      <c r="D1135" s="108">
        <v>792</v>
      </c>
      <c r="E1135" s="108">
        <v>1483</v>
      </c>
      <c r="F1135" s="108">
        <v>1258</v>
      </c>
      <c r="G1135" s="108">
        <v>2845</v>
      </c>
      <c r="H1135" s="108">
        <v>1041</v>
      </c>
      <c r="I1135" s="108">
        <v>1963</v>
      </c>
      <c r="J1135" s="108">
        <v>78</v>
      </c>
      <c r="K1135" s="108">
        <v>237</v>
      </c>
      <c r="L1135" s="108">
        <v>4511</v>
      </c>
      <c r="M1135" s="108">
        <v>11357</v>
      </c>
      <c r="N1135" s="108">
        <v>15488</v>
      </c>
      <c r="O1135" s="108">
        <v>4979</v>
      </c>
      <c r="P1135" s="108">
        <v>14171</v>
      </c>
      <c r="Q1135" s="108">
        <v>4141</v>
      </c>
      <c r="R1135" s="16">
        <f t="shared" si="470"/>
        <v>34170</v>
      </c>
    </row>
    <row r="1136" spans="1:18" ht="15.6" x14ac:dyDescent="0.3">
      <c r="A1136" s="107">
        <v>40479</v>
      </c>
      <c r="B1136" s="108">
        <v>3365</v>
      </c>
      <c r="C1136" s="106">
        <v>5834</v>
      </c>
      <c r="D1136" s="106">
        <v>553</v>
      </c>
      <c r="E1136" s="106">
        <v>868</v>
      </c>
      <c r="F1136" s="106">
        <v>2326</v>
      </c>
      <c r="G1136" s="106">
        <v>3230</v>
      </c>
      <c r="H1136" s="106">
        <v>1185</v>
      </c>
      <c r="I1136" s="106">
        <v>1993</v>
      </c>
      <c r="J1136" s="106">
        <v>194</v>
      </c>
      <c r="K1136" s="106">
        <v>469</v>
      </c>
      <c r="L1136" s="106">
        <v>7623</v>
      </c>
      <c r="M1136" s="106">
        <v>12394</v>
      </c>
      <c r="N1136" s="106">
        <v>12798</v>
      </c>
      <c r="O1136" s="106">
        <v>7382</v>
      </c>
      <c r="P1136" s="108">
        <v>20473</v>
      </c>
      <c r="Q1136" s="106">
        <v>8459</v>
      </c>
      <c r="R1136" s="16">
        <f t="shared" si="470"/>
        <v>40894</v>
      </c>
    </row>
    <row r="1137" spans="1:18" ht="15.6" x14ac:dyDescent="0.3">
      <c r="A1137" s="107">
        <v>296512</v>
      </c>
      <c r="B1137" s="108">
        <v>1322</v>
      </c>
      <c r="C1137" s="108">
        <v>4989</v>
      </c>
      <c r="D1137" s="108">
        <v>738</v>
      </c>
      <c r="E1137" s="108">
        <v>1554</v>
      </c>
      <c r="F1137" s="108">
        <v>1162</v>
      </c>
      <c r="G1137" s="108">
        <v>3072</v>
      </c>
      <c r="H1137" s="108">
        <v>926</v>
      </c>
      <c r="I1137" s="108">
        <v>2110</v>
      </c>
      <c r="J1137" s="108">
        <v>58</v>
      </c>
      <c r="K1137" s="108">
        <v>257</v>
      </c>
      <c r="L1137" s="108">
        <v>4206</v>
      </c>
      <c r="M1137" s="108">
        <v>11982</v>
      </c>
      <c r="N1137" s="108">
        <v>15364</v>
      </c>
      <c r="O1137" s="108">
        <v>5726</v>
      </c>
      <c r="P1137" s="108">
        <v>13181</v>
      </c>
      <c r="Q1137" s="108">
        <v>5341</v>
      </c>
      <c r="R1137" s="16">
        <f t="shared" si="470"/>
        <v>32751</v>
      </c>
    </row>
    <row r="1138" spans="1:18" ht="15.6" x14ac:dyDescent="0.3">
      <c r="A1138" s="107">
        <v>40486</v>
      </c>
      <c r="B1138" s="108">
        <v>3546</v>
      </c>
      <c r="C1138" s="106">
        <v>6004</v>
      </c>
      <c r="D1138" s="106">
        <v>560</v>
      </c>
      <c r="E1138" s="106">
        <v>870</v>
      </c>
      <c r="F1138" s="106">
        <v>2509</v>
      </c>
      <c r="G1138" s="106">
        <v>3414</v>
      </c>
      <c r="H1138" s="106">
        <v>1169</v>
      </c>
      <c r="I1138" s="106">
        <v>2112</v>
      </c>
      <c r="J1138" s="106">
        <v>156</v>
      </c>
      <c r="K1138" s="106">
        <v>511</v>
      </c>
      <c r="L1138" s="106">
        <v>7939</v>
      </c>
      <c r="M1138" s="106">
        <v>12911</v>
      </c>
      <c r="N1138" s="106">
        <v>12620</v>
      </c>
      <c r="O1138" s="106">
        <v>8133</v>
      </c>
      <c r="P1138" s="108">
        <v>19603</v>
      </c>
      <c r="Q1138" s="106">
        <v>10137</v>
      </c>
      <c r="R1138" s="16">
        <f t="shared" si="470"/>
        <v>40162</v>
      </c>
    </row>
    <row r="1139" spans="1:18" ht="15.6" x14ac:dyDescent="0.3">
      <c r="A1139" s="107">
        <v>40850</v>
      </c>
      <c r="B1139" s="108">
        <v>1333</v>
      </c>
      <c r="C1139" s="108">
        <v>5064</v>
      </c>
      <c r="D1139" s="108">
        <v>690</v>
      </c>
      <c r="E1139" s="108">
        <v>1647</v>
      </c>
      <c r="F1139" s="108">
        <v>1174</v>
      </c>
      <c r="G1139" s="108">
        <v>3156</v>
      </c>
      <c r="H1139" s="108">
        <v>899</v>
      </c>
      <c r="I1139" s="108">
        <v>2198</v>
      </c>
      <c r="J1139" s="108">
        <v>56</v>
      </c>
      <c r="K1139" s="108">
        <v>271</v>
      </c>
      <c r="L1139" s="108">
        <v>4151</v>
      </c>
      <c r="M1139" s="108">
        <v>12335</v>
      </c>
      <c r="N1139" s="108">
        <v>14991</v>
      </c>
      <c r="O1139" s="108">
        <v>6350</v>
      </c>
      <c r="P1139" s="108">
        <v>12561</v>
      </c>
      <c r="Q1139" s="108">
        <v>6565</v>
      </c>
      <c r="R1139" s="16">
        <f t="shared" si="470"/>
        <v>31703</v>
      </c>
    </row>
    <row r="1140" spans="1:18" ht="15.6" x14ac:dyDescent="0.3">
      <c r="A1140" s="107">
        <v>40493</v>
      </c>
      <c r="B1140" s="108">
        <v>3801</v>
      </c>
      <c r="C1140" s="106">
        <v>6236</v>
      </c>
      <c r="D1140" s="106">
        <v>596</v>
      </c>
      <c r="E1140" s="106">
        <v>913</v>
      </c>
      <c r="F1140" s="106">
        <v>2646</v>
      </c>
      <c r="G1140" s="106">
        <v>3546</v>
      </c>
      <c r="H1140" s="106">
        <v>1246</v>
      </c>
      <c r="I1140" s="106">
        <v>2143</v>
      </c>
      <c r="J1140" s="106">
        <v>157</v>
      </c>
      <c r="K1140" s="106">
        <v>512</v>
      </c>
      <c r="L1140" s="106">
        <v>8444</v>
      </c>
      <c r="M1140" s="106">
        <v>13349</v>
      </c>
      <c r="N1140" s="106">
        <v>12375</v>
      </c>
      <c r="O1140" s="106">
        <v>8912</v>
      </c>
      <c r="P1140" s="108">
        <v>18843</v>
      </c>
      <c r="Q1140" s="106">
        <v>11905</v>
      </c>
      <c r="R1140" s="16">
        <f t="shared" si="470"/>
        <v>39662</v>
      </c>
    </row>
    <row r="1141" spans="1:18" ht="15.6" x14ac:dyDescent="0.3">
      <c r="A1141" s="107">
        <v>40857</v>
      </c>
      <c r="B1141" s="108">
        <v>1434</v>
      </c>
      <c r="C1141" s="108">
        <v>5176</v>
      </c>
      <c r="D1141" s="108">
        <v>689</v>
      </c>
      <c r="E1141" s="108">
        <v>1701</v>
      </c>
      <c r="F1141" s="108">
        <v>1103</v>
      </c>
      <c r="G1141" s="108">
        <v>3262</v>
      </c>
      <c r="H1141" s="108">
        <v>877</v>
      </c>
      <c r="I1141" s="108">
        <v>2227</v>
      </c>
      <c r="J1141" s="108">
        <v>64</v>
      </c>
      <c r="K1141" s="108">
        <v>271</v>
      </c>
      <c r="L1141" s="108">
        <v>4167</v>
      </c>
      <c r="M1141" s="108">
        <v>12637</v>
      </c>
      <c r="N1141" s="108">
        <v>14305</v>
      </c>
      <c r="O1141" s="108">
        <v>7245</v>
      </c>
      <c r="P1141" s="108">
        <v>11879</v>
      </c>
      <c r="Q1141" s="108">
        <v>7994</v>
      </c>
      <c r="R1141" s="16">
        <f>P1141+N1141+L1141</f>
        <v>30351</v>
      </c>
    </row>
    <row r="1142" spans="1:18" ht="15.6" x14ac:dyDescent="0.3">
      <c r="A1142" s="107">
        <v>40500</v>
      </c>
      <c r="B1142" s="108">
        <v>3660</v>
      </c>
      <c r="C1142" s="106">
        <v>6562</v>
      </c>
      <c r="D1142" s="106">
        <v>694</v>
      </c>
      <c r="E1142" s="106">
        <v>934</v>
      </c>
      <c r="F1142" s="106">
        <v>2772</v>
      </c>
      <c r="G1142" s="106">
        <v>3654</v>
      </c>
      <c r="H1142" s="106">
        <v>1344</v>
      </c>
      <c r="I1142" s="106">
        <v>2198</v>
      </c>
      <c r="J1142" s="106">
        <v>195</v>
      </c>
      <c r="K1142" s="106">
        <v>526</v>
      </c>
      <c r="L1142" s="106">
        <v>8665</v>
      </c>
      <c r="M1142" s="106">
        <v>13873</v>
      </c>
      <c r="N1142" s="106">
        <v>12416</v>
      </c>
      <c r="O1142" s="106">
        <v>9695</v>
      </c>
      <c r="P1142" s="108">
        <v>17885</v>
      </c>
      <c r="Q1142" s="106">
        <v>13537</v>
      </c>
      <c r="R1142" s="16">
        <f>P1142+N1142+L1142</f>
        <v>38966</v>
      </c>
    </row>
    <row r="1143" spans="1:18" ht="15.6" x14ac:dyDescent="0.3">
      <c r="A1143" s="107">
        <v>40864</v>
      </c>
      <c r="B1143" s="108">
        <v>1461</v>
      </c>
      <c r="C1143" s="108">
        <v>5302</v>
      </c>
      <c r="D1143" s="108">
        <v>722</v>
      </c>
      <c r="E1143" s="108">
        <v>1744</v>
      </c>
      <c r="F1143" s="108">
        <v>1184</v>
      </c>
      <c r="G1143" s="108">
        <v>3339</v>
      </c>
      <c r="H1143" s="108">
        <v>986</v>
      </c>
      <c r="I1143" s="108">
        <v>2343</v>
      </c>
      <c r="J1143" s="108">
        <v>65</v>
      </c>
      <c r="K1143" s="108">
        <v>271</v>
      </c>
      <c r="L1143" s="108">
        <v>4419</v>
      </c>
      <c r="M1143" s="108">
        <v>12999</v>
      </c>
      <c r="N1143" s="108">
        <v>13643</v>
      </c>
      <c r="O1143" s="108">
        <v>8219</v>
      </c>
      <c r="P1143" s="108">
        <v>11809</v>
      </c>
      <c r="Q1143" s="108">
        <v>8985</v>
      </c>
      <c r="R1143" s="16">
        <f>P1143+N1143+L1143</f>
        <v>29871</v>
      </c>
    </row>
    <row r="1144" spans="1:18" ht="15.6" x14ac:dyDescent="0.3">
      <c r="A1144" s="107">
        <v>40507</v>
      </c>
      <c r="B1144" s="108">
        <v>3650</v>
      </c>
      <c r="C1144" s="106">
        <v>6895</v>
      </c>
      <c r="D1144" s="106">
        <v>780</v>
      </c>
      <c r="E1144" s="106">
        <v>952</v>
      </c>
      <c r="F1144" s="106">
        <v>2808</v>
      </c>
      <c r="G1144" s="106">
        <v>3820</v>
      </c>
      <c r="H1144" s="106">
        <v>1329</v>
      </c>
      <c r="I1144" s="106">
        <v>2239</v>
      </c>
      <c r="J1144" s="106">
        <v>174</v>
      </c>
      <c r="K1144" s="106">
        <v>556</v>
      </c>
      <c r="L1144" s="106">
        <v>8740</v>
      </c>
      <c r="M1144" s="106">
        <v>14461</v>
      </c>
      <c r="N1144" s="106">
        <v>12389</v>
      </c>
      <c r="O1144" s="106">
        <v>10479</v>
      </c>
      <c r="P1144" s="108">
        <v>17599</v>
      </c>
      <c r="Q1144" s="106">
        <v>15165</v>
      </c>
      <c r="R1144" s="16">
        <f>P1144+N1144+L1144</f>
        <v>38728</v>
      </c>
    </row>
    <row r="1145" spans="1:18" ht="15.6" x14ac:dyDescent="0.3">
      <c r="A1145" s="107">
        <v>40871</v>
      </c>
      <c r="B1145" s="108">
        <v>1370</v>
      </c>
      <c r="C1145" s="108">
        <v>5462</v>
      </c>
      <c r="D1145" s="108">
        <v>740</v>
      </c>
      <c r="E1145" s="108">
        <v>1798</v>
      </c>
      <c r="F1145" s="108">
        <v>1310</v>
      </c>
      <c r="G1145" s="108">
        <v>3376</v>
      </c>
      <c r="H1145" s="108">
        <v>1143</v>
      </c>
      <c r="I1145" s="108">
        <v>2371</v>
      </c>
      <c r="J1145" s="108">
        <v>55</v>
      </c>
      <c r="K1145" s="108">
        <v>294</v>
      </c>
      <c r="L1145" s="108">
        <v>4620</v>
      </c>
      <c r="M1145" s="108">
        <v>13301</v>
      </c>
      <c r="N1145" s="108">
        <v>13114</v>
      </c>
      <c r="O1145" s="108">
        <v>9029</v>
      </c>
      <c r="P1145" s="108">
        <v>11081</v>
      </c>
      <c r="Q1145" s="108">
        <v>10202</v>
      </c>
      <c r="R1145" s="16">
        <f>P1145+N1145+L1145</f>
        <v>28815</v>
      </c>
    </row>
    <row r="1146" spans="1:18" ht="15.6" x14ac:dyDescent="0.3">
      <c r="A1146" s="107">
        <v>40514</v>
      </c>
      <c r="B1146" s="108">
        <v>3613</v>
      </c>
      <c r="C1146" s="106">
        <v>7150</v>
      </c>
      <c r="D1146" s="106">
        <v>802</v>
      </c>
      <c r="E1146" s="106">
        <v>998</v>
      </c>
      <c r="F1146" s="106">
        <v>2750</v>
      </c>
      <c r="G1146" s="106">
        <v>4057</v>
      </c>
      <c r="H1146" s="106">
        <v>1273</v>
      </c>
      <c r="I1146" s="106">
        <v>2358</v>
      </c>
      <c r="J1146" s="106">
        <v>163</v>
      </c>
      <c r="K1146" s="106">
        <v>568</v>
      </c>
      <c r="L1146" s="106">
        <v>8601</v>
      </c>
      <c r="M1146" s="106">
        <v>15131</v>
      </c>
      <c r="N1146" s="106">
        <v>12365</v>
      </c>
      <c r="O1146" s="106">
        <v>11174</v>
      </c>
      <c r="P1146" s="108">
        <v>16659</v>
      </c>
      <c r="Q1146" s="106">
        <v>16659</v>
      </c>
      <c r="R1146" s="16">
        <f t="shared" ref="R1146:R1153" si="471">P1146+N1146+L1146</f>
        <v>37625</v>
      </c>
    </row>
    <row r="1147" spans="1:18" ht="15.6" x14ac:dyDescent="0.3">
      <c r="A1147" s="107">
        <v>40878</v>
      </c>
      <c r="B1147" s="108">
        <v>1411</v>
      </c>
      <c r="C1147" s="108">
        <v>5563</v>
      </c>
      <c r="D1147" s="108">
        <v>685</v>
      </c>
      <c r="E1147" s="108">
        <v>1888</v>
      </c>
      <c r="F1147" s="108">
        <v>1251</v>
      </c>
      <c r="G1147" s="108">
        <v>3544</v>
      </c>
      <c r="H1147" s="108">
        <v>1205</v>
      </c>
      <c r="I1147" s="108">
        <v>2443</v>
      </c>
      <c r="J1147" s="108">
        <v>64</v>
      </c>
      <c r="K1147" s="108">
        <v>294</v>
      </c>
      <c r="L1147" s="108">
        <v>4616</v>
      </c>
      <c r="M1147" s="108">
        <v>13732</v>
      </c>
      <c r="N1147" s="108">
        <v>12773</v>
      </c>
      <c r="O1147" s="108">
        <v>10066</v>
      </c>
      <c r="P1147" s="108">
        <v>11005</v>
      </c>
      <c r="Q1147" s="108">
        <v>11049</v>
      </c>
      <c r="R1147" s="16">
        <f t="shared" si="471"/>
        <v>28394</v>
      </c>
    </row>
    <row r="1148" spans="1:18" ht="15.6" x14ac:dyDescent="0.3">
      <c r="A1148" s="107">
        <v>40521</v>
      </c>
      <c r="B1148" s="108">
        <v>4012</v>
      </c>
      <c r="C1148" s="106">
        <v>7257</v>
      </c>
      <c r="D1148" s="106">
        <v>810</v>
      </c>
      <c r="E1148" s="106">
        <v>1037</v>
      </c>
      <c r="F1148" s="106">
        <v>2737</v>
      </c>
      <c r="G1148" s="106">
        <v>4273</v>
      </c>
      <c r="H1148" s="106">
        <v>1273</v>
      </c>
      <c r="I1148" s="106">
        <v>2479</v>
      </c>
      <c r="J1148" s="106">
        <v>164</v>
      </c>
      <c r="K1148" s="106">
        <v>590</v>
      </c>
      <c r="L1148" s="106">
        <v>8996</v>
      </c>
      <c r="M1148" s="106">
        <v>15635</v>
      </c>
      <c r="N1148" s="106">
        <v>12365</v>
      </c>
      <c r="O1148" s="106">
        <v>11985</v>
      </c>
      <c r="P1148" s="108">
        <v>15478</v>
      </c>
      <c r="Q1148" s="106">
        <v>18008</v>
      </c>
      <c r="R1148" s="16">
        <f t="shared" si="471"/>
        <v>36839</v>
      </c>
    </row>
    <row r="1149" spans="1:18" ht="15.6" x14ac:dyDescent="0.3">
      <c r="A1149" s="107">
        <v>40885</v>
      </c>
      <c r="B1149" s="108">
        <v>1311</v>
      </c>
      <c r="C1149" s="108">
        <v>5769</v>
      </c>
      <c r="D1149" s="108">
        <v>700</v>
      </c>
      <c r="E1149" s="108">
        <v>1896</v>
      </c>
      <c r="F1149" s="108">
        <v>1116</v>
      </c>
      <c r="G1149" s="108">
        <v>3785</v>
      </c>
      <c r="H1149" s="108">
        <v>1190</v>
      </c>
      <c r="I1149" s="108">
        <v>2528</v>
      </c>
      <c r="J1149" s="108">
        <v>79</v>
      </c>
      <c r="K1149" s="108">
        <v>294</v>
      </c>
      <c r="L1149" s="108">
        <v>4396</v>
      </c>
      <c r="M1149" s="108">
        <v>14271</v>
      </c>
      <c r="N1149" s="108">
        <v>12390</v>
      </c>
      <c r="O1149" s="108">
        <v>10948</v>
      </c>
      <c r="P1149" s="108">
        <v>10465</v>
      </c>
      <c r="Q1149" s="108">
        <v>12057</v>
      </c>
      <c r="R1149" s="16">
        <f t="shared" si="471"/>
        <v>27251</v>
      </c>
    </row>
    <row r="1150" spans="1:18" ht="15.6" x14ac:dyDescent="0.3">
      <c r="A1150" s="169">
        <v>40528</v>
      </c>
      <c r="B1150" s="72">
        <v>4040</v>
      </c>
      <c r="C1150" s="72">
        <v>7541.3</v>
      </c>
      <c r="D1150" s="72">
        <v>832</v>
      </c>
      <c r="E1150" s="72">
        <v>1103.0999999999999</v>
      </c>
      <c r="F1150" s="72">
        <v>2611.9</v>
      </c>
      <c r="G1150" s="72">
        <v>4450.8</v>
      </c>
      <c r="H1150" s="72">
        <v>1287.2</v>
      </c>
      <c r="I1150" s="72">
        <v>2541.1</v>
      </c>
      <c r="J1150" s="72">
        <v>101.9</v>
      </c>
      <c r="K1150" s="72">
        <v>650.9</v>
      </c>
      <c r="L1150" s="72">
        <v>8873</v>
      </c>
      <c r="M1150" s="72">
        <v>16287.3</v>
      </c>
      <c r="N1150" s="72">
        <v>12442.6</v>
      </c>
      <c r="O1150" s="72">
        <v>12816.5</v>
      </c>
      <c r="P1150" s="72">
        <v>14873.4</v>
      </c>
      <c r="Q1150" s="72">
        <v>19375.8</v>
      </c>
      <c r="R1150" s="16">
        <f t="shared" si="471"/>
        <v>36189</v>
      </c>
    </row>
    <row r="1151" spans="1:18" ht="15.6" x14ac:dyDescent="0.3">
      <c r="A1151" s="169">
        <v>40892</v>
      </c>
      <c r="B1151" s="72">
        <v>1339.3</v>
      </c>
      <c r="C1151" s="72">
        <v>5873.8</v>
      </c>
      <c r="D1151" s="72">
        <v>709</v>
      </c>
      <c r="E1151" s="72">
        <v>1919.7</v>
      </c>
      <c r="F1151" s="72">
        <v>1188</v>
      </c>
      <c r="G1151" s="72">
        <v>3838.6</v>
      </c>
      <c r="H1151" s="72">
        <v>1071.2</v>
      </c>
      <c r="I1151" s="72">
        <v>2715.4</v>
      </c>
      <c r="J1151" s="72">
        <v>50.3</v>
      </c>
      <c r="K1151" s="72">
        <v>323.3</v>
      </c>
      <c r="L1151" s="72">
        <v>4357.8</v>
      </c>
      <c r="M1151" s="72">
        <v>14670.8</v>
      </c>
      <c r="N1151" s="72">
        <v>11804.4</v>
      </c>
      <c r="O1151" s="72">
        <v>12248.7</v>
      </c>
      <c r="P1151" s="72">
        <v>10184.299999999999</v>
      </c>
      <c r="Q1151" s="72">
        <v>12991.3</v>
      </c>
      <c r="R1151" s="16">
        <f t="shared" si="471"/>
        <v>26346.499999999996</v>
      </c>
    </row>
    <row r="1152" spans="1:18" ht="15.6" x14ac:dyDescent="0.3">
      <c r="A1152" s="107">
        <v>40535</v>
      </c>
      <c r="B1152" s="108">
        <v>4048</v>
      </c>
      <c r="C1152" s="106">
        <v>7712</v>
      </c>
      <c r="D1152" s="106">
        <v>836</v>
      </c>
      <c r="E1152" s="106">
        <v>1144</v>
      </c>
      <c r="F1152" s="106">
        <v>2521</v>
      </c>
      <c r="G1152" s="106">
        <v>4628</v>
      </c>
      <c r="H1152" s="106">
        <v>1238</v>
      </c>
      <c r="I1152" s="106">
        <v>2674</v>
      </c>
      <c r="J1152" s="106">
        <v>114</v>
      </c>
      <c r="K1152" s="106">
        <v>672</v>
      </c>
      <c r="L1152" s="106">
        <v>8758</v>
      </c>
      <c r="M1152" s="106">
        <v>16829</v>
      </c>
      <c r="N1152" s="106">
        <v>12059</v>
      </c>
      <c r="O1152" s="106">
        <v>13896</v>
      </c>
      <c r="P1152" s="108">
        <v>14623</v>
      </c>
      <c r="Q1152" s="106">
        <v>20289</v>
      </c>
      <c r="R1152" s="16">
        <f t="shared" si="471"/>
        <v>35440</v>
      </c>
    </row>
    <row r="1153" spans="1:18" ht="15.6" x14ac:dyDescent="0.3">
      <c r="A1153" s="107">
        <v>40899</v>
      </c>
      <c r="B1153" s="108">
        <v>1368</v>
      </c>
      <c r="C1153" s="108">
        <v>6070</v>
      </c>
      <c r="D1153" s="108">
        <v>688</v>
      </c>
      <c r="E1153" s="108">
        <v>1958</v>
      </c>
      <c r="F1153" s="108">
        <v>1182</v>
      </c>
      <c r="G1153" s="108">
        <v>3930</v>
      </c>
      <c r="H1153" s="108">
        <v>1082</v>
      </c>
      <c r="I1153" s="108">
        <v>2780</v>
      </c>
      <c r="J1153" s="108">
        <v>55</v>
      </c>
      <c r="K1153" s="108">
        <v>347</v>
      </c>
      <c r="L1153" s="108">
        <v>4375</v>
      </c>
      <c r="M1153" s="108">
        <v>15084</v>
      </c>
      <c r="N1153" s="108">
        <v>11178</v>
      </c>
      <c r="O1153" s="108">
        <v>13195</v>
      </c>
      <c r="P1153" s="108">
        <v>9779</v>
      </c>
      <c r="Q1153" s="108">
        <v>14060</v>
      </c>
      <c r="R1153" s="16">
        <f t="shared" si="471"/>
        <v>25332</v>
      </c>
    </row>
    <row r="1154" spans="1:18" ht="15.6" x14ac:dyDescent="0.3">
      <c r="A1154" s="107">
        <v>40542</v>
      </c>
      <c r="B1154" s="108">
        <v>3971</v>
      </c>
      <c r="C1154" s="106">
        <v>8025</v>
      </c>
      <c r="D1154" s="106">
        <v>814</v>
      </c>
      <c r="E1154" s="106">
        <v>1171</v>
      </c>
      <c r="F1154" s="106">
        <v>2611</v>
      </c>
      <c r="G1154" s="106">
        <v>4696</v>
      </c>
      <c r="H1154" s="106">
        <v>1277</v>
      </c>
      <c r="I1154" s="106">
        <v>2701</v>
      </c>
      <c r="J1154" s="106">
        <v>114</v>
      </c>
      <c r="K1154" s="106">
        <v>672</v>
      </c>
      <c r="L1154" s="106">
        <v>8786</v>
      </c>
      <c r="M1154" s="106">
        <v>17265</v>
      </c>
      <c r="N1154" s="106">
        <v>11814</v>
      </c>
      <c r="O1154" s="106">
        <v>14510</v>
      </c>
      <c r="P1154" s="108">
        <v>14129</v>
      </c>
      <c r="Q1154" s="106">
        <v>21272</v>
      </c>
      <c r="R1154" s="16">
        <f t="shared" ref="R1154:R1162" si="472">P1154+N1154+L1154</f>
        <v>34729</v>
      </c>
    </row>
    <row r="1155" spans="1:18" ht="15.6" x14ac:dyDescent="0.3">
      <c r="A1155" s="107">
        <v>40906</v>
      </c>
      <c r="B1155" s="108">
        <v>1298</v>
      </c>
      <c r="C1155" s="108">
        <v>6211</v>
      </c>
      <c r="D1155" s="108">
        <v>590</v>
      </c>
      <c r="E1155" s="108">
        <v>2028</v>
      </c>
      <c r="F1155" s="108">
        <v>1144</v>
      </c>
      <c r="G1155" s="108">
        <v>3997</v>
      </c>
      <c r="H1155" s="108">
        <v>1001</v>
      </c>
      <c r="I1155" s="108">
        <v>2917</v>
      </c>
      <c r="J1155" s="108">
        <v>55</v>
      </c>
      <c r="K1155" s="108">
        <v>358</v>
      </c>
      <c r="L1155" s="108">
        <v>4088</v>
      </c>
      <c r="M1155" s="108">
        <v>15510</v>
      </c>
      <c r="N1155" s="108">
        <v>10900</v>
      </c>
      <c r="O1155" s="108">
        <v>13771</v>
      </c>
      <c r="P1155" s="108">
        <v>9032</v>
      </c>
      <c r="Q1155" s="108">
        <v>15088</v>
      </c>
      <c r="R1155" s="79">
        <f t="shared" si="472"/>
        <v>24020</v>
      </c>
    </row>
    <row r="1156" spans="1:18" ht="15.6" x14ac:dyDescent="0.3">
      <c r="A1156" s="107">
        <v>40549</v>
      </c>
      <c r="B1156" s="108">
        <v>3675</v>
      </c>
      <c r="C1156" s="106">
        <v>8369</v>
      </c>
      <c r="D1156" s="106">
        <v>810</v>
      </c>
      <c r="E1156" s="106">
        <v>1234</v>
      </c>
      <c r="F1156" s="106">
        <v>2537</v>
      </c>
      <c r="G1156" s="106">
        <v>4815</v>
      </c>
      <c r="H1156" s="106">
        <v>1197</v>
      </c>
      <c r="I1156" s="106">
        <v>2788</v>
      </c>
      <c r="J1156" s="106">
        <v>101</v>
      </c>
      <c r="K1156" s="106">
        <v>672</v>
      </c>
      <c r="L1156" s="106">
        <v>8320</v>
      </c>
      <c r="M1156" s="106">
        <v>17879</v>
      </c>
      <c r="N1156" s="106">
        <v>11738</v>
      </c>
      <c r="O1156" s="106">
        <v>15026</v>
      </c>
      <c r="P1156" s="108">
        <v>13674</v>
      </c>
      <c r="Q1156" s="106">
        <v>22147</v>
      </c>
      <c r="R1156" s="16">
        <f t="shared" si="472"/>
        <v>33732</v>
      </c>
    </row>
    <row r="1157" spans="1:18" ht="15.6" x14ac:dyDescent="0.3">
      <c r="A1157" s="107">
        <v>40913</v>
      </c>
      <c r="B1157" s="108">
        <v>1300</v>
      </c>
      <c r="C1157" s="108">
        <v>6274</v>
      </c>
      <c r="D1157" s="108">
        <v>583</v>
      </c>
      <c r="E1157" s="108">
        <v>2059</v>
      </c>
      <c r="F1157" s="108">
        <v>1187</v>
      </c>
      <c r="G1157" s="108">
        <v>4042</v>
      </c>
      <c r="H1157" s="108">
        <v>1132</v>
      </c>
      <c r="I1157" s="108">
        <v>2965</v>
      </c>
      <c r="J1157" s="108">
        <v>55</v>
      </c>
      <c r="K1157" s="108">
        <v>358</v>
      </c>
      <c r="L1157" s="108">
        <v>4257</v>
      </c>
      <c r="M1157" s="108">
        <v>15698</v>
      </c>
      <c r="N1157" s="108">
        <v>10474</v>
      </c>
      <c r="O1157" s="108">
        <v>14519</v>
      </c>
      <c r="P1157" s="108">
        <v>8679</v>
      </c>
      <c r="Q1157" s="108">
        <v>15874</v>
      </c>
      <c r="R1157" s="79">
        <f t="shared" si="472"/>
        <v>23410</v>
      </c>
    </row>
    <row r="1158" spans="1:18" ht="15.6" x14ac:dyDescent="0.3">
      <c r="A1158" s="107">
        <v>40556</v>
      </c>
      <c r="B1158" s="108">
        <v>3798</v>
      </c>
      <c r="C1158" s="106">
        <v>8711</v>
      </c>
      <c r="D1158" s="106">
        <v>807</v>
      </c>
      <c r="E1158" s="106">
        <v>1286</v>
      </c>
      <c r="F1158" s="106">
        <v>2629</v>
      </c>
      <c r="G1158" s="106">
        <v>5029</v>
      </c>
      <c r="H1158" s="106">
        <v>1321</v>
      </c>
      <c r="I1158" s="106">
        <v>2845</v>
      </c>
      <c r="J1158" s="106">
        <v>121</v>
      </c>
      <c r="K1158" s="106">
        <v>679</v>
      </c>
      <c r="L1158" s="106">
        <v>8676</v>
      </c>
      <c r="M1158" s="106">
        <v>18549</v>
      </c>
      <c r="N1158" s="106">
        <v>12055</v>
      </c>
      <c r="O1158" s="106">
        <v>15613</v>
      </c>
      <c r="P1158" s="108">
        <v>13062</v>
      </c>
      <c r="Q1158" s="106">
        <v>23492</v>
      </c>
      <c r="R1158" s="16">
        <f t="shared" si="472"/>
        <v>33793</v>
      </c>
    </row>
    <row r="1159" spans="1:18" ht="15.6" x14ac:dyDescent="0.3">
      <c r="A1159" s="107">
        <v>40920</v>
      </c>
      <c r="B1159" s="108">
        <v>1341</v>
      </c>
      <c r="C1159" s="108">
        <v>6406</v>
      </c>
      <c r="D1159" s="108">
        <v>597</v>
      </c>
      <c r="E1159" s="108">
        <v>2113</v>
      </c>
      <c r="F1159" s="108">
        <v>1251</v>
      </c>
      <c r="G1159" s="108">
        <v>4105</v>
      </c>
      <c r="H1159" s="108">
        <v>1253</v>
      </c>
      <c r="I1159" s="108">
        <v>3072</v>
      </c>
      <c r="J1159" s="108">
        <v>45</v>
      </c>
      <c r="K1159" s="108">
        <v>360</v>
      </c>
      <c r="L1159" s="108">
        <v>4486</v>
      </c>
      <c r="M1159" s="108">
        <v>16056</v>
      </c>
      <c r="N1159" s="108">
        <v>10480</v>
      </c>
      <c r="O1159" s="108">
        <v>15273</v>
      </c>
      <c r="P1159" s="108">
        <v>8592</v>
      </c>
      <c r="Q1159" s="108">
        <v>16953</v>
      </c>
      <c r="R1159" s="79">
        <f t="shared" si="472"/>
        <v>23558</v>
      </c>
    </row>
    <row r="1160" spans="1:18" ht="15.6" x14ac:dyDescent="0.3">
      <c r="A1160" s="107">
        <v>40563</v>
      </c>
      <c r="B1160" s="108">
        <v>3993</v>
      </c>
      <c r="C1160" s="106">
        <v>9030</v>
      </c>
      <c r="D1160" s="106">
        <v>781</v>
      </c>
      <c r="E1160" s="106">
        <v>1406</v>
      </c>
      <c r="F1160" s="106">
        <v>2682</v>
      </c>
      <c r="G1160" s="106">
        <v>5148</v>
      </c>
      <c r="H1160" s="106">
        <v>1343</v>
      </c>
      <c r="I1160" s="106">
        <v>2934</v>
      </c>
      <c r="J1160" s="106">
        <v>101</v>
      </c>
      <c r="K1160" s="106">
        <v>701</v>
      </c>
      <c r="L1160" s="106">
        <v>8900</v>
      </c>
      <c r="M1160" s="106">
        <v>19219</v>
      </c>
      <c r="N1160" s="106">
        <v>11700</v>
      </c>
      <c r="O1160" s="106">
        <v>16383</v>
      </c>
      <c r="P1160" s="108">
        <v>12565</v>
      </c>
      <c r="Q1160" s="106">
        <v>24769</v>
      </c>
      <c r="R1160" s="79">
        <f t="shared" si="472"/>
        <v>33165</v>
      </c>
    </row>
    <row r="1161" spans="1:18" ht="15.6" x14ac:dyDescent="0.3">
      <c r="A1161" s="107">
        <v>40927</v>
      </c>
      <c r="B1161" s="108">
        <v>1346</v>
      </c>
      <c r="C1161" s="108">
        <v>6545</v>
      </c>
      <c r="D1161" s="108">
        <v>629</v>
      </c>
      <c r="E1161" s="108">
        <v>2176</v>
      </c>
      <c r="F1161" s="108">
        <v>1219</v>
      </c>
      <c r="G1161" s="108">
        <v>4167</v>
      </c>
      <c r="H1161" s="108">
        <v>1443</v>
      </c>
      <c r="I1161" s="108">
        <v>3217</v>
      </c>
      <c r="J1161" s="108">
        <v>30</v>
      </c>
      <c r="K1161" s="108">
        <v>375</v>
      </c>
      <c r="L1161" s="108">
        <v>4667</v>
      </c>
      <c r="M1161" s="108">
        <v>16481</v>
      </c>
      <c r="N1161" s="108">
        <v>10497</v>
      </c>
      <c r="O1161" s="108">
        <v>16214</v>
      </c>
      <c r="P1161" s="108">
        <v>7873</v>
      </c>
      <c r="Q1161" s="108">
        <v>18137</v>
      </c>
      <c r="R1161" s="79">
        <f t="shared" si="472"/>
        <v>23037</v>
      </c>
    </row>
    <row r="1162" spans="1:18" ht="15.6" x14ac:dyDescent="0.3">
      <c r="A1162" s="107">
        <v>40570</v>
      </c>
      <c r="B1162" s="108">
        <v>3915</v>
      </c>
      <c r="C1162" s="106">
        <v>9345</v>
      </c>
      <c r="D1162" s="106">
        <v>844</v>
      </c>
      <c r="E1162" s="106">
        <v>1454</v>
      </c>
      <c r="F1162" s="106">
        <v>2667</v>
      </c>
      <c r="G1162" s="106">
        <v>5273</v>
      </c>
      <c r="H1162" s="106">
        <v>1301</v>
      </c>
      <c r="I1162" s="106">
        <v>3033</v>
      </c>
      <c r="J1162" s="106">
        <v>116</v>
      </c>
      <c r="K1162" s="106">
        <v>706</v>
      </c>
      <c r="L1162" s="106">
        <v>8843</v>
      </c>
      <c r="M1162" s="106">
        <v>19810</v>
      </c>
      <c r="N1162" s="106">
        <v>12005</v>
      </c>
      <c r="O1162" s="106">
        <v>17245</v>
      </c>
      <c r="P1162" s="108">
        <v>12478</v>
      </c>
      <c r="Q1162" s="106">
        <v>25889</v>
      </c>
      <c r="R1162" s="16">
        <f t="shared" si="472"/>
        <v>33326</v>
      </c>
    </row>
    <row r="1163" spans="1:18" ht="15.6" x14ac:dyDescent="0.3">
      <c r="A1163" s="107">
        <v>40934</v>
      </c>
      <c r="B1163" s="108">
        <v>1452</v>
      </c>
      <c r="C1163" s="108">
        <v>6790</v>
      </c>
      <c r="D1163" s="108">
        <v>592</v>
      </c>
      <c r="E1163" s="108">
        <v>2254</v>
      </c>
      <c r="F1163" s="108">
        <v>1199</v>
      </c>
      <c r="G1163" s="108">
        <v>4236</v>
      </c>
      <c r="H1163" s="108">
        <v>1458</v>
      </c>
      <c r="I1163" s="108">
        <v>3280</v>
      </c>
      <c r="J1163" s="108">
        <v>30</v>
      </c>
      <c r="K1163" s="108">
        <v>375</v>
      </c>
      <c r="L1163" s="108">
        <v>4731</v>
      </c>
      <c r="M1163" s="108">
        <v>16935</v>
      </c>
      <c r="N1163" s="108">
        <v>10739</v>
      </c>
      <c r="O1163" s="108">
        <v>16883</v>
      </c>
      <c r="P1163" s="108">
        <v>7012</v>
      </c>
      <c r="Q1163" s="108">
        <v>19307</v>
      </c>
      <c r="R1163" s="79">
        <f t="shared" ref="R1163:R1170" si="473">P1163+N1163+L1163</f>
        <v>22482</v>
      </c>
    </row>
    <row r="1164" spans="1:18" ht="15.6" x14ac:dyDescent="0.3">
      <c r="A1164" s="107">
        <v>40577</v>
      </c>
      <c r="B1164" s="108">
        <v>3620</v>
      </c>
      <c r="C1164" s="106">
        <v>9813</v>
      </c>
      <c r="D1164" s="106">
        <v>789</v>
      </c>
      <c r="E1164" s="106">
        <v>1544</v>
      </c>
      <c r="F1164" s="106">
        <v>2545</v>
      </c>
      <c r="G1164" s="106">
        <v>5472</v>
      </c>
      <c r="H1164" s="106">
        <v>1300</v>
      </c>
      <c r="I1164" s="106">
        <v>3129</v>
      </c>
      <c r="J1164" s="106">
        <v>97</v>
      </c>
      <c r="K1164" s="106">
        <v>735</v>
      </c>
      <c r="L1164" s="106">
        <v>8352</v>
      </c>
      <c r="M1164" s="106">
        <v>20693</v>
      </c>
      <c r="N1164" s="106">
        <v>12443</v>
      </c>
      <c r="O1164" s="106">
        <v>17914</v>
      </c>
      <c r="P1164" s="108">
        <v>11265</v>
      </c>
      <c r="Q1164" s="106">
        <v>27123</v>
      </c>
      <c r="R1164" s="16">
        <f t="shared" si="473"/>
        <v>32060</v>
      </c>
    </row>
    <row r="1165" spans="1:18" ht="15.6" x14ac:dyDescent="0.3">
      <c r="A1165" s="107">
        <v>40941</v>
      </c>
      <c r="B1165" s="108">
        <v>1396</v>
      </c>
      <c r="C1165" s="108">
        <v>6977</v>
      </c>
      <c r="D1165" s="108">
        <v>734</v>
      </c>
      <c r="E1165" s="108">
        <v>2280</v>
      </c>
      <c r="F1165" s="108">
        <v>1120</v>
      </c>
      <c r="G1165" s="108">
        <v>4433</v>
      </c>
      <c r="H1165" s="108">
        <v>1694</v>
      </c>
      <c r="I1165" s="108">
        <v>3331</v>
      </c>
      <c r="J1165" s="108">
        <v>31</v>
      </c>
      <c r="K1165" s="108">
        <v>379</v>
      </c>
      <c r="L1165" s="108">
        <v>4975</v>
      </c>
      <c r="M1165" s="108">
        <v>17399</v>
      </c>
      <c r="N1165" s="108">
        <v>10345</v>
      </c>
      <c r="O1165" s="108">
        <v>17972</v>
      </c>
      <c r="P1165" s="108">
        <v>6592</v>
      </c>
      <c r="Q1165" s="108">
        <v>20330</v>
      </c>
      <c r="R1165" s="79">
        <f t="shared" si="473"/>
        <v>21912</v>
      </c>
    </row>
    <row r="1166" spans="1:18" ht="15.6" x14ac:dyDescent="0.3">
      <c r="A1166" s="107">
        <v>40584</v>
      </c>
      <c r="B1166" s="108">
        <v>3712</v>
      </c>
      <c r="C1166" s="106">
        <v>10151</v>
      </c>
      <c r="D1166" s="106">
        <v>707</v>
      </c>
      <c r="E1166" s="106">
        <v>1602</v>
      </c>
      <c r="F1166" s="106">
        <v>2526</v>
      </c>
      <c r="G1166" s="106">
        <v>5585</v>
      </c>
      <c r="H1166" s="106">
        <v>1312</v>
      </c>
      <c r="I1166" s="106">
        <v>3207</v>
      </c>
      <c r="J1166" s="106">
        <v>107</v>
      </c>
      <c r="K1166" s="106">
        <v>735</v>
      </c>
      <c r="L1166" s="106">
        <v>8365</v>
      </c>
      <c r="M1166" s="106">
        <v>21279</v>
      </c>
      <c r="N1166" s="106">
        <v>12798</v>
      </c>
      <c r="O1166" s="106">
        <v>18590</v>
      </c>
      <c r="P1166" s="108">
        <v>10756</v>
      </c>
      <c r="Q1166" s="106">
        <v>28146</v>
      </c>
      <c r="R1166" s="16">
        <f t="shared" si="473"/>
        <v>31919</v>
      </c>
    </row>
    <row r="1167" spans="1:18" ht="15.6" x14ac:dyDescent="0.3">
      <c r="A1167" s="107">
        <v>40948</v>
      </c>
      <c r="B1167" s="108">
        <v>1323</v>
      </c>
      <c r="C1167" s="108">
        <v>7104</v>
      </c>
      <c r="D1167" s="108">
        <v>749</v>
      </c>
      <c r="E1167" s="108">
        <v>2335</v>
      </c>
      <c r="F1167" s="108">
        <v>1045</v>
      </c>
      <c r="G1167" s="108">
        <v>4564</v>
      </c>
      <c r="H1167" s="108">
        <v>1775</v>
      </c>
      <c r="I1167" s="108">
        <v>3490</v>
      </c>
      <c r="J1167" s="108">
        <v>25</v>
      </c>
      <c r="K1167" s="108">
        <v>386</v>
      </c>
      <c r="L1167" s="108">
        <v>4916</v>
      </c>
      <c r="M1167" s="108">
        <v>17878</v>
      </c>
      <c r="N1167" s="108">
        <v>10664</v>
      </c>
      <c r="O1167" s="108">
        <v>18658</v>
      </c>
      <c r="P1167" s="108">
        <v>6027</v>
      </c>
      <c r="Q1167" s="108">
        <v>21332</v>
      </c>
      <c r="R1167" s="79">
        <f t="shared" si="473"/>
        <v>21607</v>
      </c>
    </row>
    <row r="1168" spans="1:18" ht="15.6" x14ac:dyDescent="0.3">
      <c r="A1168" s="107">
        <v>40591</v>
      </c>
      <c r="B1168" s="108">
        <v>3720</v>
      </c>
      <c r="C1168" s="106">
        <v>10588</v>
      </c>
      <c r="D1168" s="106">
        <v>820</v>
      </c>
      <c r="E1168" s="106">
        <v>1723</v>
      </c>
      <c r="F1168" s="106">
        <v>2618</v>
      </c>
      <c r="G1168" s="106">
        <v>5721</v>
      </c>
      <c r="H1168" s="106">
        <v>1215</v>
      </c>
      <c r="I1168" s="106">
        <v>3373</v>
      </c>
      <c r="J1168" s="106">
        <v>129</v>
      </c>
      <c r="K1168" s="106">
        <v>744</v>
      </c>
      <c r="L1168" s="106">
        <v>8502</v>
      </c>
      <c r="M1168" s="106">
        <v>22150</v>
      </c>
      <c r="N1168" s="106">
        <v>13238</v>
      </c>
      <c r="O1168" s="106">
        <v>19650</v>
      </c>
      <c r="P1168" s="108">
        <v>9719</v>
      </c>
      <c r="Q1168" s="106">
        <v>29318</v>
      </c>
      <c r="R1168" s="16">
        <f t="shared" si="473"/>
        <v>31459</v>
      </c>
    </row>
    <row r="1169" spans="1:18" ht="15.6" x14ac:dyDescent="0.3">
      <c r="A1169" s="107">
        <v>40955</v>
      </c>
      <c r="B1169" s="108">
        <v>1215</v>
      </c>
      <c r="C1169" s="108">
        <v>7310</v>
      </c>
      <c r="D1169" s="108">
        <v>913</v>
      </c>
      <c r="E1169" s="108">
        <v>2390</v>
      </c>
      <c r="F1169" s="108">
        <v>1229</v>
      </c>
      <c r="G1169" s="108">
        <v>4658</v>
      </c>
      <c r="H1169" s="108">
        <v>1708</v>
      </c>
      <c r="I1169" s="108">
        <v>3663</v>
      </c>
      <c r="J1169" s="108">
        <v>22</v>
      </c>
      <c r="K1169" s="108">
        <v>388</v>
      </c>
      <c r="L1169" s="108">
        <v>5087</v>
      </c>
      <c r="M1169" s="108">
        <v>18409</v>
      </c>
      <c r="N1169" s="108">
        <v>10729</v>
      </c>
      <c r="O1169" s="108">
        <v>19435</v>
      </c>
      <c r="P1169" s="108">
        <v>5979</v>
      </c>
      <c r="Q1169" s="108">
        <v>22408</v>
      </c>
      <c r="R1169" s="79">
        <f t="shared" si="473"/>
        <v>21795</v>
      </c>
    </row>
    <row r="1170" spans="1:18" ht="15.6" x14ac:dyDescent="0.3">
      <c r="A1170" s="107">
        <v>40598</v>
      </c>
      <c r="B1170" s="108">
        <v>3830</v>
      </c>
      <c r="C1170" s="106">
        <v>10845</v>
      </c>
      <c r="D1170" s="106">
        <v>910</v>
      </c>
      <c r="E1170" s="106">
        <v>1754</v>
      </c>
      <c r="F1170" s="106">
        <v>2447</v>
      </c>
      <c r="G1170" s="106">
        <v>5935</v>
      </c>
      <c r="H1170" s="106">
        <v>1206</v>
      </c>
      <c r="I1170" s="106">
        <v>3414</v>
      </c>
      <c r="J1170" s="106">
        <v>129</v>
      </c>
      <c r="K1170" s="106">
        <v>744</v>
      </c>
      <c r="L1170" s="106">
        <v>8521</v>
      </c>
      <c r="M1170" s="106">
        <v>22692</v>
      </c>
      <c r="N1170" s="106">
        <v>13519</v>
      </c>
      <c r="O1170" s="106">
        <v>20451</v>
      </c>
      <c r="P1170" s="108">
        <v>8387</v>
      </c>
      <c r="Q1170" s="106">
        <v>31012</v>
      </c>
      <c r="R1170" s="16">
        <f t="shared" si="473"/>
        <v>30427</v>
      </c>
    </row>
    <row r="1171" spans="1:18" ht="15.6" x14ac:dyDescent="0.3">
      <c r="A1171" s="107">
        <v>40962</v>
      </c>
      <c r="B1171" s="108">
        <v>1272</v>
      </c>
      <c r="C1171" s="108">
        <v>7355</v>
      </c>
      <c r="D1171" s="108">
        <v>951</v>
      </c>
      <c r="E1171" s="108">
        <v>2422</v>
      </c>
      <c r="F1171" s="108">
        <v>1238</v>
      </c>
      <c r="G1171" s="108">
        <v>4730</v>
      </c>
      <c r="H1171" s="108">
        <v>1812</v>
      </c>
      <c r="I1171" s="108">
        <v>3720</v>
      </c>
      <c r="J1171" s="108">
        <v>22</v>
      </c>
      <c r="K1171" s="108">
        <v>388</v>
      </c>
      <c r="L1171" s="108">
        <v>5295</v>
      </c>
      <c r="M1171" s="108">
        <v>18614</v>
      </c>
      <c r="N1171" s="108">
        <v>10601</v>
      </c>
      <c r="O1171" s="108">
        <v>20253</v>
      </c>
      <c r="P1171" s="108">
        <v>5548</v>
      </c>
      <c r="Q1171" s="108">
        <v>23388</v>
      </c>
      <c r="R1171" s="79">
        <f t="shared" ref="R1171:R1178" si="474">P1171+N1171+L1171</f>
        <v>21444</v>
      </c>
    </row>
    <row r="1172" spans="1:18" ht="15.6" x14ac:dyDescent="0.3">
      <c r="A1172" s="107">
        <v>40605</v>
      </c>
      <c r="B1172" s="108">
        <v>3780</v>
      </c>
      <c r="C1172" s="106">
        <v>11209</v>
      </c>
      <c r="D1172" s="106">
        <v>903</v>
      </c>
      <c r="E1172" s="106">
        <v>1805</v>
      </c>
      <c r="F1172" s="106">
        <v>2434</v>
      </c>
      <c r="G1172" s="106">
        <v>6036</v>
      </c>
      <c r="H1172" s="108">
        <v>1265</v>
      </c>
      <c r="I1172" s="106">
        <v>3483</v>
      </c>
      <c r="J1172" s="106">
        <v>126</v>
      </c>
      <c r="K1172" s="106">
        <v>748</v>
      </c>
      <c r="L1172" s="106">
        <v>8508</v>
      </c>
      <c r="M1172" s="106">
        <v>23281</v>
      </c>
      <c r="N1172" s="106">
        <v>12791</v>
      </c>
      <c r="O1172" s="106">
        <v>21655</v>
      </c>
      <c r="P1172" s="108">
        <v>8066</v>
      </c>
      <c r="Q1172" s="106">
        <v>31744</v>
      </c>
      <c r="R1172" s="16">
        <f t="shared" si="474"/>
        <v>29365</v>
      </c>
    </row>
    <row r="1173" spans="1:18" ht="15.6" x14ac:dyDescent="0.3">
      <c r="A1173" s="170">
        <v>40969</v>
      </c>
      <c r="B1173" s="108">
        <v>1393</v>
      </c>
      <c r="C1173" s="108">
        <v>7443</v>
      </c>
      <c r="D1173" s="108">
        <v>966</v>
      </c>
      <c r="E1173" s="108">
        <v>2480</v>
      </c>
      <c r="F1173" s="108">
        <v>1303</v>
      </c>
      <c r="G1173" s="108">
        <v>4822</v>
      </c>
      <c r="H1173" s="108">
        <v>1621</v>
      </c>
      <c r="I1173" s="108">
        <v>3914</v>
      </c>
      <c r="J1173" s="108">
        <v>26</v>
      </c>
      <c r="K1173" s="108">
        <v>388</v>
      </c>
      <c r="L1173" s="108">
        <v>5309</v>
      </c>
      <c r="M1173" s="108">
        <v>19047</v>
      </c>
      <c r="N1173" s="108">
        <v>10277</v>
      </c>
      <c r="O1173" s="108">
        <v>21022</v>
      </c>
      <c r="P1173" s="108">
        <v>5488</v>
      </c>
      <c r="Q1173" s="108">
        <v>24388</v>
      </c>
      <c r="R1173" s="79">
        <f t="shared" si="474"/>
        <v>21074</v>
      </c>
    </row>
    <row r="1174" spans="1:18" ht="15.6" x14ac:dyDescent="0.3">
      <c r="A1174" s="107">
        <v>40612</v>
      </c>
      <c r="B1174" s="108">
        <v>3811</v>
      </c>
      <c r="C1174" s="106">
        <v>11679</v>
      </c>
      <c r="D1174" s="106">
        <v>906</v>
      </c>
      <c r="E1174" s="106">
        <v>1819</v>
      </c>
      <c r="F1174" s="106">
        <v>2378</v>
      </c>
      <c r="G1174" s="106">
        <v>6170</v>
      </c>
      <c r="H1174" s="108">
        <v>1248</v>
      </c>
      <c r="I1174" s="106">
        <v>3553</v>
      </c>
      <c r="J1174" s="106">
        <v>139</v>
      </c>
      <c r="K1174" s="106">
        <v>750</v>
      </c>
      <c r="L1174" s="106">
        <v>8481</v>
      </c>
      <c r="M1174" s="106">
        <v>23970</v>
      </c>
      <c r="N1174" s="106">
        <v>12947</v>
      </c>
      <c r="O1174" s="106">
        <v>22536</v>
      </c>
      <c r="P1174" s="108">
        <v>7374</v>
      </c>
      <c r="Q1174" s="106">
        <v>32583</v>
      </c>
      <c r="R1174" s="16">
        <f t="shared" si="474"/>
        <v>28802</v>
      </c>
    </row>
    <row r="1175" spans="1:18" ht="15.6" x14ac:dyDescent="0.3">
      <c r="A1175" s="170">
        <v>40976</v>
      </c>
      <c r="B1175" s="108">
        <v>1283</v>
      </c>
      <c r="C1175" s="108">
        <v>7688</v>
      </c>
      <c r="D1175" s="108">
        <v>834</v>
      </c>
      <c r="E1175" s="108">
        <v>2662</v>
      </c>
      <c r="F1175" s="108">
        <v>1146</v>
      </c>
      <c r="G1175" s="108">
        <v>5050</v>
      </c>
      <c r="H1175" s="108">
        <v>1392</v>
      </c>
      <c r="I1175" s="108">
        <v>4172</v>
      </c>
      <c r="J1175" s="108">
        <v>44</v>
      </c>
      <c r="K1175" s="108">
        <v>388</v>
      </c>
      <c r="L1175" s="108">
        <v>4699</v>
      </c>
      <c r="M1175" s="108">
        <v>19960</v>
      </c>
      <c r="N1175" s="108">
        <v>10078</v>
      </c>
      <c r="O1175" s="108">
        <v>22058</v>
      </c>
      <c r="P1175" s="108">
        <v>5387</v>
      </c>
      <c r="Q1175" s="108">
        <v>25098</v>
      </c>
      <c r="R1175" s="79">
        <f t="shared" si="474"/>
        <v>20164</v>
      </c>
    </row>
    <row r="1176" spans="1:18" ht="15.6" x14ac:dyDescent="0.3">
      <c r="A1176" s="107">
        <v>40619</v>
      </c>
      <c r="B1176" s="108">
        <v>3795</v>
      </c>
      <c r="C1176" s="106">
        <v>12003</v>
      </c>
      <c r="D1176" s="106">
        <v>863</v>
      </c>
      <c r="E1176" s="106">
        <v>1903</v>
      </c>
      <c r="F1176" s="106">
        <v>2359</v>
      </c>
      <c r="G1176" s="106">
        <v>6342</v>
      </c>
      <c r="H1176" s="108">
        <v>1372</v>
      </c>
      <c r="I1176" s="106">
        <v>3577</v>
      </c>
      <c r="J1176" s="106">
        <v>131</v>
      </c>
      <c r="K1176" s="106">
        <v>767</v>
      </c>
      <c r="L1176" s="106">
        <v>8520</v>
      </c>
      <c r="M1176" s="106">
        <v>24592</v>
      </c>
      <c r="N1176" s="106">
        <v>12962</v>
      </c>
      <c r="O1176" s="106">
        <v>23416</v>
      </c>
      <c r="P1176" s="108">
        <v>6823</v>
      </c>
      <c r="Q1176" s="106">
        <v>33399</v>
      </c>
      <c r="R1176" s="16">
        <f t="shared" si="474"/>
        <v>28305</v>
      </c>
    </row>
    <row r="1177" spans="1:18" ht="15.6" x14ac:dyDescent="0.3">
      <c r="A1177" s="170">
        <v>40983</v>
      </c>
      <c r="B1177" s="108">
        <v>1208</v>
      </c>
      <c r="C1177" s="108">
        <v>7935</v>
      </c>
      <c r="D1177" s="108">
        <v>855</v>
      </c>
      <c r="E1177" s="108">
        <v>2754</v>
      </c>
      <c r="F1177" s="108">
        <v>1167</v>
      </c>
      <c r="G1177" s="108">
        <v>5147</v>
      </c>
      <c r="H1177" s="108">
        <v>1405</v>
      </c>
      <c r="I1177" s="108">
        <v>4275</v>
      </c>
      <c r="J1177" s="108">
        <v>55</v>
      </c>
      <c r="K1177" s="108">
        <v>388</v>
      </c>
      <c r="L1177" s="108">
        <v>4689</v>
      </c>
      <c r="M1177" s="108">
        <v>20498</v>
      </c>
      <c r="N1177" s="108">
        <v>10432</v>
      </c>
      <c r="O1177" s="108">
        <v>22566</v>
      </c>
      <c r="P1177" s="108">
        <v>5133</v>
      </c>
      <c r="Q1177" s="108">
        <v>25708</v>
      </c>
      <c r="R1177" s="79">
        <f t="shared" si="474"/>
        <v>20254</v>
      </c>
    </row>
    <row r="1178" spans="1:18" ht="15.6" x14ac:dyDescent="0.3">
      <c r="A1178" s="107">
        <v>40626</v>
      </c>
      <c r="B1178" s="108">
        <v>3558</v>
      </c>
      <c r="C1178" s="106">
        <v>12372</v>
      </c>
      <c r="D1178" s="106">
        <v>833</v>
      </c>
      <c r="E1178" s="106">
        <v>1948</v>
      </c>
      <c r="F1178" s="106">
        <v>2116</v>
      </c>
      <c r="G1178" s="106">
        <v>6667</v>
      </c>
      <c r="H1178" s="108">
        <v>1256</v>
      </c>
      <c r="I1178" s="106">
        <v>3726</v>
      </c>
      <c r="J1178" s="106">
        <v>140</v>
      </c>
      <c r="K1178" s="106">
        <v>768</v>
      </c>
      <c r="L1178" s="106">
        <v>7903</v>
      </c>
      <c r="M1178" s="106">
        <v>25480</v>
      </c>
      <c r="N1178" s="106">
        <v>13857</v>
      </c>
      <c r="O1178" s="106">
        <v>24436</v>
      </c>
      <c r="P1178" s="108">
        <v>6139</v>
      </c>
      <c r="Q1178" s="106">
        <v>34227</v>
      </c>
      <c r="R1178" s="16">
        <f t="shared" si="474"/>
        <v>27899</v>
      </c>
    </row>
    <row r="1179" spans="1:18" ht="15.6" x14ac:dyDescent="0.3">
      <c r="A1179" s="170">
        <v>40990</v>
      </c>
      <c r="B1179" s="108">
        <v>1222</v>
      </c>
      <c r="C1179" s="108">
        <v>8003</v>
      </c>
      <c r="D1179" s="108">
        <v>834</v>
      </c>
      <c r="E1179" s="108">
        <v>2901</v>
      </c>
      <c r="F1179" s="108">
        <v>1028</v>
      </c>
      <c r="G1179" s="108">
        <v>5300</v>
      </c>
      <c r="H1179" s="108">
        <v>1337</v>
      </c>
      <c r="I1179" s="108">
        <v>4348</v>
      </c>
      <c r="J1179" s="108">
        <v>55</v>
      </c>
      <c r="K1179" s="108">
        <v>388</v>
      </c>
      <c r="L1179" s="108">
        <v>4475</v>
      </c>
      <c r="M1179" s="108">
        <v>20939</v>
      </c>
      <c r="N1179" s="108">
        <v>9919</v>
      </c>
      <c r="O1179" s="108">
        <v>23209</v>
      </c>
      <c r="P1179" s="108">
        <v>5044</v>
      </c>
      <c r="Q1179" s="108">
        <v>26269</v>
      </c>
      <c r="R1179" s="79">
        <f>P1179+N1179+L1179</f>
        <v>19438</v>
      </c>
    </row>
    <row r="1180" spans="1:18" ht="15.6" x14ac:dyDescent="0.3">
      <c r="A1180" s="107">
        <v>40633</v>
      </c>
      <c r="B1180" s="108">
        <v>3386</v>
      </c>
      <c r="C1180" s="106">
        <v>12842</v>
      </c>
      <c r="D1180" s="106">
        <v>741</v>
      </c>
      <c r="E1180" s="106">
        <v>2030</v>
      </c>
      <c r="F1180" s="106">
        <v>2088</v>
      </c>
      <c r="G1180" s="106">
        <v>6824</v>
      </c>
      <c r="H1180" s="108">
        <v>1284</v>
      </c>
      <c r="I1180" s="106">
        <v>3739</v>
      </c>
      <c r="J1180" s="106">
        <v>140</v>
      </c>
      <c r="K1180" s="106">
        <v>767</v>
      </c>
      <c r="L1180" s="106">
        <v>7639</v>
      </c>
      <c r="M1180" s="106">
        <v>26202</v>
      </c>
      <c r="N1180" s="106">
        <v>13461</v>
      </c>
      <c r="O1180" s="106">
        <v>25451</v>
      </c>
      <c r="P1180" s="108">
        <v>5567</v>
      </c>
      <c r="Q1180" s="106">
        <v>34876</v>
      </c>
      <c r="R1180" s="16">
        <f>P1180+N1180+L1180</f>
        <v>26667</v>
      </c>
    </row>
    <row r="1181" spans="1:18" ht="15.6" x14ac:dyDescent="0.3">
      <c r="A1181" s="170">
        <v>40997</v>
      </c>
      <c r="B1181" s="108">
        <v>1123</v>
      </c>
      <c r="C1181" s="108">
        <v>8225</v>
      </c>
      <c r="D1181" s="108">
        <v>885</v>
      </c>
      <c r="E1181" s="108">
        <v>2977</v>
      </c>
      <c r="F1181" s="108">
        <v>1057</v>
      </c>
      <c r="G1181" s="108">
        <v>5377</v>
      </c>
      <c r="H1181" s="108">
        <v>1357</v>
      </c>
      <c r="I1181" s="108">
        <v>4372</v>
      </c>
      <c r="J1181" s="108">
        <v>56</v>
      </c>
      <c r="K1181" s="108">
        <v>392</v>
      </c>
      <c r="L1181" s="108">
        <v>4478</v>
      </c>
      <c r="M1181" s="108">
        <v>21344</v>
      </c>
      <c r="N1181" s="108">
        <v>10064</v>
      </c>
      <c r="O1181" s="108">
        <v>24003</v>
      </c>
      <c r="P1181" s="108">
        <v>4595</v>
      </c>
      <c r="Q1181" s="108">
        <v>27125</v>
      </c>
      <c r="R1181" s="79">
        <f>P1181+N1181+L1181</f>
        <v>19137</v>
      </c>
    </row>
    <row r="1182" spans="1:18" ht="15.6" x14ac:dyDescent="0.3">
      <c r="A1182" s="107">
        <v>40640</v>
      </c>
      <c r="B1182" s="108">
        <v>3152</v>
      </c>
      <c r="C1182" s="106">
        <v>13167</v>
      </c>
      <c r="D1182" s="106">
        <v>704</v>
      </c>
      <c r="E1182" s="106">
        <v>2097</v>
      </c>
      <c r="F1182" s="106">
        <v>2103</v>
      </c>
      <c r="G1182" s="106">
        <v>7010</v>
      </c>
      <c r="H1182" s="108">
        <v>1275</v>
      </c>
      <c r="I1182" s="106">
        <v>3844</v>
      </c>
      <c r="J1182" s="106">
        <v>125</v>
      </c>
      <c r="K1182" s="106">
        <v>809</v>
      </c>
      <c r="L1182" s="106">
        <v>7358</v>
      </c>
      <c r="M1182" s="106">
        <v>26927</v>
      </c>
      <c r="N1182" s="106">
        <v>13211</v>
      </c>
      <c r="O1182" s="106">
        <v>26549</v>
      </c>
      <c r="P1182" s="108">
        <v>5142</v>
      </c>
      <c r="Q1182" s="106">
        <v>35431</v>
      </c>
      <c r="R1182" s="16">
        <v>25711</v>
      </c>
    </row>
    <row r="1183" spans="1:18" ht="15.6" x14ac:dyDescent="0.3">
      <c r="A1183" s="170">
        <v>41004</v>
      </c>
      <c r="B1183" s="108">
        <v>1220</v>
      </c>
      <c r="C1183" s="108">
        <v>8369</v>
      </c>
      <c r="D1183" s="108">
        <v>858</v>
      </c>
      <c r="E1183" s="108">
        <v>3093</v>
      </c>
      <c r="F1183" s="108">
        <v>1093</v>
      </c>
      <c r="G1183" s="108">
        <v>5390</v>
      </c>
      <c r="H1183" s="108">
        <v>1263</v>
      </c>
      <c r="I1183" s="108">
        <v>4530</v>
      </c>
      <c r="J1183" s="108">
        <v>56</v>
      </c>
      <c r="K1183" s="108">
        <v>392</v>
      </c>
      <c r="L1183" s="108">
        <v>4490</v>
      </c>
      <c r="M1183" s="108">
        <v>21783</v>
      </c>
      <c r="N1183" s="108">
        <v>10365</v>
      </c>
      <c r="O1183" s="108">
        <v>24660</v>
      </c>
      <c r="P1183" s="108">
        <v>4282</v>
      </c>
      <c r="Q1183" s="108">
        <v>27899</v>
      </c>
      <c r="R1183" s="79">
        <f t="shared" ref="R1183:R1190" si="475">P1183+N1183+L1183</f>
        <v>19137</v>
      </c>
    </row>
    <row r="1184" spans="1:18" ht="15.6" x14ac:dyDescent="0.3">
      <c r="A1184" s="107">
        <v>40647</v>
      </c>
      <c r="B1184" s="108">
        <v>2966</v>
      </c>
      <c r="C1184" s="106">
        <v>13516</v>
      </c>
      <c r="D1184" s="106">
        <v>541</v>
      </c>
      <c r="E1184" s="106">
        <v>2284</v>
      </c>
      <c r="F1184" s="106">
        <v>1822</v>
      </c>
      <c r="G1184" s="106">
        <v>7176</v>
      </c>
      <c r="H1184" s="108">
        <v>1233</v>
      </c>
      <c r="I1184" s="106">
        <v>3933</v>
      </c>
      <c r="J1184" s="106">
        <v>69</v>
      </c>
      <c r="K1184" s="106">
        <v>879</v>
      </c>
      <c r="L1184" s="106">
        <v>6631</v>
      </c>
      <c r="M1184" s="106">
        <v>27789</v>
      </c>
      <c r="N1184" s="106">
        <v>12889</v>
      </c>
      <c r="O1184" s="106">
        <v>27485</v>
      </c>
      <c r="P1184" s="108">
        <v>5048</v>
      </c>
      <c r="Q1184" s="106">
        <v>35874</v>
      </c>
      <c r="R1184" s="16">
        <f t="shared" si="475"/>
        <v>24568</v>
      </c>
    </row>
    <row r="1185" spans="1:18" ht="15.6" x14ac:dyDescent="0.3">
      <c r="A1185" s="170">
        <v>41011</v>
      </c>
      <c r="B1185" s="108">
        <v>1221</v>
      </c>
      <c r="C1185" s="108">
        <v>8470</v>
      </c>
      <c r="D1185" s="108">
        <v>882</v>
      </c>
      <c r="E1185" s="108">
        <v>3210</v>
      </c>
      <c r="F1185" s="108">
        <v>1026</v>
      </c>
      <c r="G1185" s="108">
        <v>5531</v>
      </c>
      <c r="H1185" s="108">
        <v>1074</v>
      </c>
      <c r="I1185" s="108">
        <v>4764</v>
      </c>
      <c r="J1185" s="108">
        <v>22</v>
      </c>
      <c r="K1185" s="108">
        <v>440</v>
      </c>
      <c r="L1185" s="108">
        <v>4224</v>
      </c>
      <c r="M1185" s="108">
        <v>22416</v>
      </c>
      <c r="N1185" s="108">
        <v>9551</v>
      </c>
      <c r="O1185" s="108">
        <v>25775</v>
      </c>
      <c r="P1185" s="108">
        <v>4162</v>
      </c>
      <c r="Q1185" s="108">
        <v>28392</v>
      </c>
      <c r="R1185" s="79">
        <f t="shared" si="475"/>
        <v>17937</v>
      </c>
    </row>
    <row r="1186" spans="1:18" ht="15.6" x14ac:dyDescent="0.3">
      <c r="A1186" s="107">
        <v>40654</v>
      </c>
      <c r="B1186" s="108">
        <v>2852</v>
      </c>
      <c r="C1186" s="106">
        <v>13773</v>
      </c>
      <c r="D1186" s="106">
        <v>529</v>
      </c>
      <c r="E1186" s="106">
        <v>2329</v>
      </c>
      <c r="F1186" s="106">
        <v>1535</v>
      </c>
      <c r="G1186" s="106">
        <v>7497</v>
      </c>
      <c r="H1186" s="108">
        <v>1106</v>
      </c>
      <c r="I1186" s="106">
        <v>4117</v>
      </c>
      <c r="J1186" s="106">
        <v>49</v>
      </c>
      <c r="K1186" s="106">
        <v>900</v>
      </c>
      <c r="L1186" s="106">
        <v>6070</v>
      </c>
      <c r="M1186" s="106">
        <v>28615</v>
      </c>
      <c r="N1186" s="106">
        <v>12330</v>
      </c>
      <c r="O1186" s="106">
        <v>28393</v>
      </c>
      <c r="P1186" s="108">
        <v>4921</v>
      </c>
      <c r="Q1186" s="106">
        <v>36144</v>
      </c>
      <c r="R1186" s="16">
        <f t="shared" si="475"/>
        <v>23321</v>
      </c>
    </row>
    <row r="1187" spans="1:18" ht="15.6" x14ac:dyDescent="0.3">
      <c r="A1187" s="170">
        <v>41018</v>
      </c>
      <c r="B1187" s="108">
        <v>1187</v>
      </c>
      <c r="C1187" s="108">
        <v>8626</v>
      </c>
      <c r="D1187" s="108">
        <v>899</v>
      </c>
      <c r="E1187" s="108">
        <v>3380</v>
      </c>
      <c r="F1187" s="108">
        <v>1044</v>
      </c>
      <c r="G1187" s="108">
        <v>5621</v>
      </c>
      <c r="H1187" s="108">
        <v>834</v>
      </c>
      <c r="I1187" s="108">
        <v>4966</v>
      </c>
      <c r="J1187" s="108">
        <v>29</v>
      </c>
      <c r="K1187" s="108">
        <v>440</v>
      </c>
      <c r="L1187" s="108">
        <v>3993</v>
      </c>
      <c r="M1187" s="108">
        <v>23033</v>
      </c>
      <c r="N1187" s="108">
        <v>9495</v>
      </c>
      <c r="O1187" s="108">
        <v>26475</v>
      </c>
      <c r="P1187" s="108">
        <v>4742</v>
      </c>
      <c r="Q1187" s="108">
        <v>28678</v>
      </c>
      <c r="R1187" s="79">
        <f t="shared" si="475"/>
        <v>18230</v>
      </c>
    </row>
    <row r="1188" spans="1:18" ht="15.6" x14ac:dyDescent="0.3">
      <c r="A1188" s="107">
        <v>40661</v>
      </c>
      <c r="B1188" s="108">
        <v>2567</v>
      </c>
      <c r="C1188" s="106">
        <v>14158</v>
      </c>
      <c r="D1188" s="106">
        <v>461</v>
      </c>
      <c r="E1188" s="106">
        <v>2403</v>
      </c>
      <c r="F1188" s="106">
        <v>1402</v>
      </c>
      <c r="G1188" s="106">
        <v>7768</v>
      </c>
      <c r="H1188" s="108">
        <v>988</v>
      </c>
      <c r="I1188" s="106">
        <v>4246</v>
      </c>
      <c r="J1188" s="106">
        <v>60</v>
      </c>
      <c r="K1188" s="106">
        <v>908</v>
      </c>
      <c r="L1188" s="106">
        <v>5477</v>
      </c>
      <c r="M1188" s="106">
        <v>29482</v>
      </c>
      <c r="N1188" s="106">
        <v>11816</v>
      </c>
      <c r="O1188" s="106">
        <v>29191</v>
      </c>
      <c r="P1188" s="108">
        <v>4742</v>
      </c>
      <c r="Q1188" s="106">
        <v>36344</v>
      </c>
      <c r="R1188" s="16">
        <f t="shared" si="475"/>
        <v>22035</v>
      </c>
    </row>
    <row r="1189" spans="1:18" ht="15.6" x14ac:dyDescent="0.3">
      <c r="A1189" s="170">
        <v>41025</v>
      </c>
      <c r="B1189" s="108">
        <v>1202</v>
      </c>
      <c r="C1189" s="108">
        <v>8808</v>
      </c>
      <c r="D1189" s="108">
        <v>904</v>
      </c>
      <c r="E1189" s="108">
        <v>3447</v>
      </c>
      <c r="F1189" s="108">
        <v>889</v>
      </c>
      <c r="G1189" s="108">
        <v>5802</v>
      </c>
      <c r="H1189" s="108">
        <v>610</v>
      </c>
      <c r="I1189" s="108">
        <v>5151</v>
      </c>
      <c r="J1189" s="108">
        <v>24</v>
      </c>
      <c r="K1189" s="108">
        <v>447</v>
      </c>
      <c r="L1189" s="108">
        <v>3628</v>
      </c>
      <c r="M1189" s="108">
        <v>23655</v>
      </c>
      <c r="N1189" s="108">
        <v>10163</v>
      </c>
      <c r="O1189" s="108">
        <v>27140</v>
      </c>
      <c r="P1189" s="108">
        <v>4904</v>
      </c>
      <c r="Q1189" s="108">
        <v>29114</v>
      </c>
      <c r="R1189" s="79">
        <f t="shared" si="475"/>
        <v>18695</v>
      </c>
    </row>
    <row r="1190" spans="1:18" ht="15.6" x14ac:dyDescent="0.3">
      <c r="A1190" s="107">
        <v>40668</v>
      </c>
      <c r="B1190" s="108">
        <v>2234</v>
      </c>
      <c r="C1190" s="106">
        <v>14653</v>
      </c>
      <c r="D1190" s="106">
        <v>378</v>
      </c>
      <c r="E1190" s="106">
        <v>2555</v>
      </c>
      <c r="F1190" s="106">
        <v>1263</v>
      </c>
      <c r="G1190" s="106">
        <v>7932</v>
      </c>
      <c r="H1190" s="108">
        <v>854</v>
      </c>
      <c r="I1190" s="106">
        <v>4443</v>
      </c>
      <c r="J1190" s="106">
        <v>43</v>
      </c>
      <c r="K1190" s="106">
        <v>925</v>
      </c>
      <c r="L1190" s="106">
        <v>4771</v>
      </c>
      <c r="M1190" s="106">
        <v>30508</v>
      </c>
      <c r="N1190" s="106">
        <v>11389</v>
      </c>
      <c r="O1190" s="106">
        <v>30051</v>
      </c>
      <c r="P1190" s="108">
        <v>4621</v>
      </c>
      <c r="Q1190" s="106">
        <v>36525</v>
      </c>
      <c r="R1190" s="16">
        <f t="shared" si="475"/>
        <v>20781</v>
      </c>
    </row>
    <row r="1191" spans="1:18" ht="15.6" x14ac:dyDescent="0.3">
      <c r="A1191" s="170">
        <v>41032</v>
      </c>
      <c r="B1191" s="108">
        <v>1074</v>
      </c>
      <c r="C1191" s="108">
        <v>9067</v>
      </c>
      <c r="D1191" s="108">
        <v>711</v>
      </c>
      <c r="E1191" s="108">
        <v>3621</v>
      </c>
      <c r="F1191" s="108">
        <v>874</v>
      </c>
      <c r="G1191" s="108">
        <v>5874</v>
      </c>
      <c r="H1191" s="108">
        <v>596</v>
      </c>
      <c r="I1191" s="108">
        <v>5198</v>
      </c>
      <c r="J1191" s="108">
        <v>44</v>
      </c>
      <c r="K1191" s="108">
        <v>447</v>
      </c>
      <c r="L1191" s="108">
        <v>3299</v>
      </c>
      <c r="M1191" s="108">
        <v>24206</v>
      </c>
      <c r="N1191" s="108">
        <v>9691</v>
      </c>
      <c r="O1191" s="108">
        <v>27837</v>
      </c>
      <c r="P1191" s="108">
        <v>5065</v>
      </c>
      <c r="Q1191" s="108">
        <v>29419</v>
      </c>
      <c r="R1191" s="79">
        <f t="shared" ref="R1191:R1197" si="476">P1191+N1191+L1191</f>
        <v>18055</v>
      </c>
    </row>
    <row r="1192" spans="1:18" ht="15.6" x14ac:dyDescent="0.3">
      <c r="A1192" s="107">
        <v>40675</v>
      </c>
      <c r="B1192" s="108">
        <v>1982</v>
      </c>
      <c r="C1192" s="106">
        <v>14979</v>
      </c>
      <c r="D1192" s="106">
        <v>235</v>
      </c>
      <c r="E1192" s="106">
        <v>2692</v>
      </c>
      <c r="F1192" s="106">
        <v>1057</v>
      </c>
      <c r="G1192" s="106">
        <v>8177</v>
      </c>
      <c r="H1192" s="108">
        <v>786</v>
      </c>
      <c r="I1192" s="106">
        <v>4529</v>
      </c>
      <c r="J1192" s="106">
        <v>43</v>
      </c>
      <c r="K1192" s="106">
        <v>925</v>
      </c>
      <c r="L1192" s="106">
        <v>4103</v>
      </c>
      <c r="M1192" s="106">
        <v>31303</v>
      </c>
      <c r="N1192" s="106">
        <v>11271</v>
      </c>
      <c r="O1192" s="106">
        <v>31013</v>
      </c>
      <c r="P1192" s="108">
        <v>4671</v>
      </c>
      <c r="Q1192" s="106">
        <v>36641</v>
      </c>
      <c r="R1192" s="16">
        <f t="shared" si="476"/>
        <v>20045</v>
      </c>
    </row>
    <row r="1193" spans="1:18" ht="15.6" x14ac:dyDescent="0.3">
      <c r="A1193" s="170">
        <v>41039</v>
      </c>
      <c r="B1193" s="108">
        <v>977</v>
      </c>
      <c r="C1193" s="108">
        <v>9271</v>
      </c>
      <c r="D1193" s="108">
        <v>480</v>
      </c>
      <c r="E1193" s="108">
        <v>3900</v>
      </c>
      <c r="F1193" s="108">
        <v>888</v>
      </c>
      <c r="G1193" s="108">
        <v>5933</v>
      </c>
      <c r="H1193" s="108">
        <v>550</v>
      </c>
      <c r="I1193" s="108">
        <v>5329</v>
      </c>
      <c r="J1193" s="108">
        <v>47</v>
      </c>
      <c r="K1193" s="108">
        <v>452</v>
      </c>
      <c r="L1193" s="108">
        <v>2942</v>
      </c>
      <c r="M1193" s="108">
        <v>24885</v>
      </c>
      <c r="N1193" s="108">
        <v>9364</v>
      </c>
      <c r="O1193" s="108">
        <v>28503</v>
      </c>
      <c r="P1193" s="108">
        <v>5111</v>
      </c>
      <c r="Q1193" s="108">
        <v>29989</v>
      </c>
      <c r="R1193" s="79">
        <f t="shared" si="476"/>
        <v>17417</v>
      </c>
    </row>
    <row r="1194" spans="1:18" ht="15.6" x14ac:dyDescent="0.3">
      <c r="A1194" s="107">
        <v>40682</v>
      </c>
      <c r="B1194" s="108">
        <v>1593</v>
      </c>
      <c r="C1194" s="106">
        <v>15301</v>
      </c>
      <c r="D1194" s="106">
        <v>175</v>
      </c>
      <c r="E1194" s="106">
        <v>2747</v>
      </c>
      <c r="F1194" s="106">
        <v>749</v>
      </c>
      <c r="G1194" s="106">
        <v>8378</v>
      </c>
      <c r="H1194" s="108">
        <v>615</v>
      </c>
      <c r="I1194" s="106">
        <v>4665</v>
      </c>
      <c r="J1194" s="106">
        <v>23</v>
      </c>
      <c r="K1194" s="106">
        <v>956</v>
      </c>
      <c r="L1194" s="106">
        <v>3288</v>
      </c>
      <c r="M1194" s="106">
        <v>32045</v>
      </c>
      <c r="N1194" s="106">
        <v>11044</v>
      </c>
      <c r="O1194" s="106">
        <v>31967</v>
      </c>
      <c r="P1194" s="108">
        <v>4422</v>
      </c>
      <c r="Q1194" s="106">
        <v>37053</v>
      </c>
      <c r="R1194" s="16">
        <f t="shared" si="476"/>
        <v>18754</v>
      </c>
    </row>
    <row r="1195" spans="1:18" ht="15.6" x14ac:dyDescent="0.3">
      <c r="A1195" s="170">
        <v>41046</v>
      </c>
      <c r="B1195" s="108">
        <v>774</v>
      </c>
      <c r="C1195" s="108">
        <v>9490</v>
      </c>
      <c r="D1195" s="108">
        <v>449</v>
      </c>
      <c r="E1195" s="108">
        <v>3995</v>
      </c>
      <c r="F1195" s="108">
        <v>888</v>
      </c>
      <c r="G1195" s="108">
        <v>6052</v>
      </c>
      <c r="H1195" s="108">
        <v>430</v>
      </c>
      <c r="I1195" s="108">
        <v>5462</v>
      </c>
      <c r="J1195" s="108">
        <v>45</v>
      </c>
      <c r="K1195" s="108">
        <v>455</v>
      </c>
      <c r="L1195" s="108">
        <v>2446</v>
      </c>
      <c r="M1195" s="108">
        <v>25453</v>
      </c>
      <c r="N1195" s="108">
        <v>8830</v>
      </c>
      <c r="O1195" s="108">
        <v>29193</v>
      </c>
      <c r="P1195" s="108">
        <v>5510</v>
      </c>
      <c r="Q1195" s="108">
        <v>30391</v>
      </c>
      <c r="R1195" s="79">
        <f t="shared" si="476"/>
        <v>16786</v>
      </c>
    </row>
    <row r="1196" spans="1:18" ht="15.6" x14ac:dyDescent="0.3">
      <c r="A1196" s="170">
        <v>40689</v>
      </c>
      <c r="B1196" s="108">
        <v>1024</v>
      </c>
      <c r="C1196" s="106">
        <v>15837</v>
      </c>
      <c r="D1196" s="106">
        <v>109</v>
      </c>
      <c r="E1196" s="106">
        <v>2828</v>
      </c>
      <c r="F1196" s="108">
        <v>623</v>
      </c>
      <c r="G1196" s="108">
        <v>8623</v>
      </c>
      <c r="H1196" s="108">
        <v>551</v>
      </c>
      <c r="I1196" s="108">
        <v>4717</v>
      </c>
      <c r="J1196" s="108">
        <v>11</v>
      </c>
      <c r="K1196" s="108">
        <v>979</v>
      </c>
      <c r="L1196" s="108">
        <v>2320</v>
      </c>
      <c r="M1196" s="108">
        <v>32984</v>
      </c>
      <c r="N1196" s="108">
        <v>10615</v>
      </c>
      <c r="O1196" s="108">
        <v>32867</v>
      </c>
      <c r="P1196" s="108">
        <v>4240</v>
      </c>
      <c r="Q1196" s="108">
        <v>37318</v>
      </c>
      <c r="R1196" s="16">
        <f t="shared" si="476"/>
        <v>17175</v>
      </c>
    </row>
    <row r="1197" spans="1:18" ht="15.6" x14ac:dyDescent="0.3">
      <c r="A1197" s="170">
        <v>41053</v>
      </c>
      <c r="B1197" s="108">
        <v>606</v>
      </c>
      <c r="C1197" s="108">
        <v>9648</v>
      </c>
      <c r="D1197" s="108">
        <v>272</v>
      </c>
      <c r="E1197" s="108">
        <v>4184</v>
      </c>
      <c r="F1197" s="108">
        <v>542</v>
      </c>
      <c r="G1197" s="108">
        <v>6244</v>
      </c>
      <c r="H1197" s="108">
        <v>340</v>
      </c>
      <c r="I1197" s="108">
        <v>5556</v>
      </c>
      <c r="J1197" s="108">
        <v>36</v>
      </c>
      <c r="K1197" s="108">
        <v>463</v>
      </c>
      <c r="L1197" s="108">
        <v>1796</v>
      </c>
      <c r="M1197" s="108">
        <v>26097</v>
      </c>
      <c r="N1197" s="108">
        <v>8204</v>
      </c>
      <c r="O1197" s="108">
        <v>30008</v>
      </c>
      <c r="P1197" s="108">
        <v>5442</v>
      </c>
      <c r="Q1197" s="108">
        <v>30699</v>
      </c>
      <c r="R1197" s="79">
        <f t="shared" si="476"/>
        <v>15442</v>
      </c>
    </row>
    <row r="1198" spans="1:18" ht="15.6" x14ac:dyDescent="0.3">
      <c r="A1198" s="170">
        <v>40696</v>
      </c>
      <c r="B1198" s="108">
        <v>831</v>
      </c>
      <c r="C1198" s="106">
        <v>15974</v>
      </c>
      <c r="D1198" s="106">
        <v>101</v>
      </c>
      <c r="E1198" s="106">
        <v>2866</v>
      </c>
      <c r="F1198" s="108">
        <v>448</v>
      </c>
      <c r="G1198" s="108">
        <v>8814</v>
      </c>
      <c r="H1198" s="108">
        <v>430</v>
      </c>
      <c r="I1198" s="108">
        <v>4804</v>
      </c>
      <c r="J1198" s="108">
        <v>5.7</v>
      </c>
      <c r="K1198" s="108">
        <v>981</v>
      </c>
      <c r="L1198" s="108">
        <v>1816</v>
      </c>
      <c r="M1198" s="108">
        <v>33439</v>
      </c>
      <c r="N1198" s="108">
        <v>9931</v>
      </c>
      <c r="O1198" s="108">
        <v>33871</v>
      </c>
      <c r="P1198" s="108">
        <v>4187</v>
      </c>
      <c r="Q1198" s="108">
        <v>37491</v>
      </c>
      <c r="R1198" s="16">
        <f t="shared" ref="R1198:R1204" si="477">P1198+N1198+L1198</f>
        <v>15934</v>
      </c>
    </row>
    <row r="1199" spans="1:18" ht="15.6" x14ac:dyDescent="0.3">
      <c r="A1199" s="170">
        <v>41060</v>
      </c>
      <c r="B1199" s="108">
        <v>396</v>
      </c>
      <c r="C1199" s="108">
        <v>9904</v>
      </c>
      <c r="D1199" s="108">
        <v>130</v>
      </c>
      <c r="E1199" s="108">
        <v>4319</v>
      </c>
      <c r="F1199" s="108">
        <v>466</v>
      </c>
      <c r="G1199" s="108">
        <v>6312</v>
      </c>
      <c r="H1199" s="108">
        <v>297</v>
      </c>
      <c r="I1199" s="108">
        <v>5601</v>
      </c>
      <c r="J1199" s="108">
        <v>7.6</v>
      </c>
      <c r="K1199" s="108">
        <v>491</v>
      </c>
      <c r="L1199" s="108">
        <v>1296</v>
      </c>
      <c r="M1199" s="108">
        <v>26627</v>
      </c>
      <c r="N1199" s="108">
        <v>7723</v>
      </c>
      <c r="O1199" s="108">
        <v>30741</v>
      </c>
      <c r="P1199" s="108">
        <v>5223</v>
      </c>
      <c r="Q1199" s="108">
        <v>31139</v>
      </c>
      <c r="R1199" s="79">
        <f t="shared" si="477"/>
        <v>14242</v>
      </c>
    </row>
    <row r="1200" spans="1:18" ht="15.6" x14ac:dyDescent="0.3">
      <c r="A1200" s="170">
        <v>40703</v>
      </c>
      <c r="B1200" s="108">
        <v>2155</v>
      </c>
      <c r="C1200" s="106">
        <v>360</v>
      </c>
      <c r="D1200" s="106">
        <v>722</v>
      </c>
      <c r="E1200" s="106">
        <v>74</v>
      </c>
      <c r="F1200" s="108">
        <v>2075</v>
      </c>
      <c r="G1200" s="108">
        <v>158</v>
      </c>
      <c r="H1200" s="108">
        <v>1207</v>
      </c>
      <c r="I1200" s="108">
        <v>178</v>
      </c>
      <c r="J1200" s="108">
        <v>143</v>
      </c>
      <c r="K1200" s="108">
        <v>23</v>
      </c>
      <c r="L1200" s="108">
        <v>6301</v>
      </c>
      <c r="M1200" s="108">
        <v>793</v>
      </c>
      <c r="N1200" s="108">
        <v>9407</v>
      </c>
      <c r="O1200" s="108">
        <v>34692</v>
      </c>
      <c r="P1200" s="108">
        <v>4223</v>
      </c>
      <c r="Q1200" s="108">
        <v>37634</v>
      </c>
      <c r="R1200" s="16">
        <f t="shared" si="477"/>
        <v>19931</v>
      </c>
    </row>
    <row r="1201" spans="1:18" ht="15.6" x14ac:dyDescent="0.3">
      <c r="A1201" s="170">
        <v>41067</v>
      </c>
      <c r="B1201" s="108">
        <v>1630</v>
      </c>
      <c r="C1201" s="108">
        <v>333</v>
      </c>
      <c r="D1201" s="108">
        <v>819</v>
      </c>
      <c r="E1201" s="108">
        <v>80</v>
      </c>
      <c r="F1201" s="108">
        <v>1375</v>
      </c>
      <c r="G1201" s="108">
        <v>149</v>
      </c>
      <c r="H1201" s="108">
        <v>915</v>
      </c>
      <c r="I1201" s="108">
        <v>106</v>
      </c>
      <c r="J1201" s="108">
        <v>143</v>
      </c>
      <c r="K1201" s="108">
        <v>0</v>
      </c>
      <c r="L1201" s="108">
        <v>4881</v>
      </c>
      <c r="M1201" s="108">
        <v>667</v>
      </c>
      <c r="N1201" s="108">
        <v>7382</v>
      </c>
      <c r="O1201" s="108">
        <v>31174</v>
      </c>
      <c r="P1201" s="108">
        <v>5272</v>
      </c>
      <c r="Q1201" s="108">
        <v>31515</v>
      </c>
      <c r="R1201" s="79">
        <f t="shared" si="477"/>
        <v>17535</v>
      </c>
    </row>
    <row r="1202" spans="1:18" ht="15.6" x14ac:dyDescent="0.3">
      <c r="A1202" s="170">
        <v>40710</v>
      </c>
      <c r="B1202" s="106">
        <v>2154</v>
      </c>
      <c r="C1202" s="108">
        <v>648</v>
      </c>
      <c r="D1202" s="108">
        <v>821</v>
      </c>
      <c r="E1202" s="108">
        <v>119</v>
      </c>
      <c r="F1202" s="108">
        <v>2006</v>
      </c>
      <c r="G1202" s="108">
        <v>353</v>
      </c>
      <c r="H1202" s="108">
        <v>1203</v>
      </c>
      <c r="I1202" s="108">
        <v>286</v>
      </c>
      <c r="J1202" s="108">
        <v>118</v>
      </c>
      <c r="K1202" s="108">
        <v>48</v>
      </c>
      <c r="L1202" s="108">
        <v>6301</v>
      </c>
      <c r="M1202" s="108">
        <v>1455</v>
      </c>
      <c r="N1202" s="108">
        <v>8650</v>
      </c>
      <c r="O1202" s="16">
        <v>35859</v>
      </c>
      <c r="P1202" s="108">
        <v>4007</v>
      </c>
      <c r="Q1202" s="108">
        <v>37818</v>
      </c>
      <c r="R1202" s="16">
        <f t="shared" si="477"/>
        <v>18958</v>
      </c>
    </row>
    <row r="1203" spans="1:18" ht="15.6" x14ac:dyDescent="0.3">
      <c r="A1203" s="170">
        <v>41074</v>
      </c>
      <c r="B1203" s="108">
        <v>1723</v>
      </c>
      <c r="C1203" s="108">
        <v>506</v>
      </c>
      <c r="D1203" s="108">
        <v>896</v>
      </c>
      <c r="E1203" s="108">
        <v>240</v>
      </c>
      <c r="F1203" s="108">
        <v>1361</v>
      </c>
      <c r="G1203" s="108">
        <v>326</v>
      </c>
      <c r="H1203" s="108">
        <v>994</v>
      </c>
      <c r="I1203" s="108">
        <v>190</v>
      </c>
      <c r="J1203" s="108">
        <v>154</v>
      </c>
      <c r="K1203" s="108">
        <v>0</v>
      </c>
      <c r="L1203" s="108">
        <v>5128</v>
      </c>
      <c r="M1203" s="108">
        <v>1262</v>
      </c>
      <c r="N1203" s="108">
        <v>6840</v>
      </c>
      <c r="O1203" s="108">
        <v>31887</v>
      </c>
      <c r="P1203" s="108">
        <v>5002</v>
      </c>
      <c r="Q1203" s="108">
        <v>31948</v>
      </c>
      <c r="R1203" s="79">
        <f t="shared" si="477"/>
        <v>16970</v>
      </c>
    </row>
    <row r="1204" spans="1:18" ht="15.6" x14ac:dyDescent="0.3">
      <c r="A1204" s="170">
        <v>40717</v>
      </c>
      <c r="B1204" s="108">
        <v>2180</v>
      </c>
      <c r="C1204" s="106">
        <v>921</v>
      </c>
      <c r="D1204" s="106">
        <v>891</v>
      </c>
      <c r="E1204" s="106">
        <v>187</v>
      </c>
      <c r="F1204" s="108">
        <v>1958</v>
      </c>
      <c r="G1204" s="108">
        <v>440</v>
      </c>
      <c r="H1204" s="108">
        <v>1231</v>
      </c>
      <c r="I1204" s="108">
        <v>339</v>
      </c>
      <c r="J1204" s="108">
        <v>103</v>
      </c>
      <c r="K1204" s="108">
        <v>51</v>
      </c>
      <c r="L1204" s="108">
        <v>6363</v>
      </c>
      <c r="M1204" s="108">
        <v>1937</v>
      </c>
      <c r="N1204" s="108">
        <v>8686</v>
      </c>
      <c r="O1204" s="108">
        <v>36515</v>
      </c>
      <c r="P1204" s="108">
        <v>3517</v>
      </c>
      <c r="Q1204" s="108">
        <v>37973</v>
      </c>
      <c r="R1204" s="16">
        <f t="shared" si="477"/>
        <v>18566</v>
      </c>
    </row>
    <row r="1205" spans="1:18" ht="15.6" x14ac:dyDescent="0.3">
      <c r="A1205" s="170">
        <v>41081</v>
      </c>
      <c r="B1205" s="108">
        <v>1654</v>
      </c>
      <c r="C1205" s="108">
        <v>749</v>
      </c>
      <c r="D1205" s="108">
        <v>823</v>
      </c>
      <c r="E1205" s="108">
        <v>334</v>
      </c>
      <c r="F1205" s="108">
        <v>1321</v>
      </c>
      <c r="G1205" s="108">
        <v>402</v>
      </c>
      <c r="H1205" s="108">
        <v>1030</v>
      </c>
      <c r="I1205" s="108">
        <v>247</v>
      </c>
      <c r="J1205" s="108">
        <v>152</v>
      </c>
      <c r="K1205" s="108">
        <v>3</v>
      </c>
      <c r="L1205" s="108">
        <v>4980</v>
      </c>
      <c r="M1205" s="108">
        <v>1735</v>
      </c>
      <c r="N1205" s="108">
        <v>6368</v>
      </c>
      <c r="O1205" s="108">
        <v>32552</v>
      </c>
      <c r="P1205" s="108">
        <v>5151</v>
      </c>
      <c r="Q1205" s="108">
        <v>32179</v>
      </c>
      <c r="R1205" s="79">
        <f>P1205+N1205+L1205</f>
        <v>16499</v>
      </c>
    </row>
    <row r="1206" spans="1:18" ht="15.6" x14ac:dyDescent="0.3">
      <c r="A1206" s="170">
        <v>40724</v>
      </c>
      <c r="B1206" s="108">
        <v>1908</v>
      </c>
      <c r="C1206" s="106">
        <v>1284</v>
      </c>
      <c r="D1206" s="108">
        <v>1004</v>
      </c>
      <c r="E1206" s="108">
        <v>229</v>
      </c>
      <c r="F1206" s="108">
        <v>1911</v>
      </c>
      <c r="G1206" s="108">
        <v>581</v>
      </c>
      <c r="H1206" s="108">
        <v>1163</v>
      </c>
      <c r="I1206" s="108">
        <v>486</v>
      </c>
      <c r="J1206" s="108">
        <v>74</v>
      </c>
      <c r="K1206" s="108">
        <v>85</v>
      </c>
      <c r="L1206" s="108">
        <v>6060</v>
      </c>
      <c r="M1206" s="108">
        <v>2664</v>
      </c>
      <c r="N1206" s="108">
        <v>8267</v>
      </c>
      <c r="O1206" s="108">
        <v>37555</v>
      </c>
      <c r="P1206" s="108">
        <v>3671</v>
      </c>
      <c r="Q1206" s="108">
        <v>38124</v>
      </c>
      <c r="R1206" s="16">
        <f>P1206+N1206+L1206</f>
        <v>17998</v>
      </c>
    </row>
    <row r="1207" spans="1:18" ht="15.6" x14ac:dyDescent="0.3">
      <c r="A1207" s="170">
        <v>41088</v>
      </c>
      <c r="B1207" s="108">
        <v>1533</v>
      </c>
      <c r="C1207" s="108">
        <v>1112</v>
      </c>
      <c r="D1207" s="108">
        <v>821</v>
      </c>
      <c r="E1207" s="108">
        <v>397</v>
      </c>
      <c r="F1207" s="108">
        <v>1271</v>
      </c>
      <c r="G1207" s="108">
        <v>490</v>
      </c>
      <c r="H1207" s="108">
        <v>1050</v>
      </c>
      <c r="I1207" s="108">
        <v>290</v>
      </c>
      <c r="J1207" s="108">
        <v>127</v>
      </c>
      <c r="K1207" s="108">
        <v>43</v>
      </c>
      <c r="L1207" s="108">
        <v>4802</v>
      </c>
      <c r="M1207" s="108">
        <v>2332</v>
      </c>
      <c r="N1207" s="108">
        <v>5742</v>
      </c>
      <c r="O1207" s="108">
        <v>33197</v>
      </c>
      <c r="P1207" s="108">
        <v>5053</v>
      </c>
      <c r="Q1207" s="108">
        <v>32577</v>
      </c>
      <c r="R1207" s="79">
        <f>P1207+N1207+L1207</f>
        <v>15597</v>
      </c>
    </row>
    <row r="1208" spans="1:18" ht="15.6" x14ac:dyDescent="0.3">
      <c r="A1208" s="170">
        <v>40731</v>
      </c>
      <c r="B1208" s="108">
        <v>1993</v>
      </c>
      <c r="C1208" s="106">
        <v>1462</v>
      </c>
      <c r="D1208" s="108">
        <v>997</v>
      </c>
      <c r="E1208" s="108">
        <v>325</v>
      </c>
      <c r="F1208" s="108">
        <v>1806</v>
      </c>
      <c r="G1208" s="108">
        <v>772</v>
      </c>
      <c r="H1208" s="108">
        <v>1133</v>
      </c>
      <c r="I1208" s="108">
        <v>592</v>
      </c>
      <c r="J1208" s="108">
        <v>74</v>
      </c>
      <c r="K1208" s="108">
        <v>90</v>
      </c>
      <c r="L1208" s="108">
        <v>6003</v>
      </c>
      <c r="M1208" s="108">
        <v>3241</v>
      </c>
      <c r="N1208" s="108">
        <v>7888</v>
      </c>
      <c r="O1208" s="108">
        <v>38416</v>
      </c>
      <c r="P1208" s="108">
        <v>3435</v>
      </c>
      <c r="Q1208" s="108">
        <v>33010</v>
      </c>
      <c r="R1208" s="16">
        <v>17326</v>
      </c>
    </row>
    <row r="1209" spans="1:18" ht="15.6" x14ac:dyDescent="0.3">
      <c r="A1209" s="170">
        <v>41095</v>
      </c>
      <c r="B1209" s="108">
        <v>1417</v>
      </c>
      <c r="C1209" s="108">
        <v>1349</v>
      </c>
      <c r="D1209" s="108">
        <v>806</v>
      </c>
      <c r="E1209" s="108">
        <v>441</v>
      </c>
      <c r="F1209" s="108">
        <v>1287</v>
      </c>
      <c r="G1209" s="108">
        <v>564</v>
      </c>
      <c r="H1209" s="108">
        <v>1066</v>
      </c>
      <c r="I1209" s="108">
        <v>346</v>
      </c>
      <c r="J1209" s="108">
        <v>127</v>
      </c>
      <c r="K1209" s="108">
        <v>43</v>
      </c>
      <c r="L1209" s="108">
        <v>4703</v>
      </c>
      <c r="M1209" s="108">
        <v>2743</v>
      </c>
      <c r="N1209" s="108">
        <v>5309</v>
      </c>
      <c r="O1209" s="108">
        <v>33803</v>
      </c>
      <c r="P1209" s="108">
        <v>4951</v>
      </c>
      <c r="Q1209" s="108">
        <v>32577</v>
      </c>
      <c r="R1209" s="79">
        <f>P1209+N1209+L1209</f>
        <v>14963</v>
      </c>
    </row>
    <row r="1210" spans="1:18" ht="15.6" x14ac:dyDescent="0.3">
      <c r="A1210" s="170">
        <v>40738</v>
      </c>
      <c r="B1210" s="108">
        <v>1803</v>
      </c>
      <c r="C1210" s="106">
        <v>1751</v>
      </c>
      <c r="D1210" s="108">
        <v>1037</v>
      </c>
      <c r="E1210" s="108">
        <v>362</v>
      </c>
      <c r="F1210" s="108">
        <v>1798</v>
      </c>
      <c r="G1210" s="108">
        <v>879</v>
      </c>
      <c r="H1210" s="108">
        <v>1140</v>
      </c>
      <c r="I1210" s="108">
        <v>632</v>
      </c>
      <c r="J1210" s="108">
        <v>86</v>
      </c>
      <c r="K1210" s="108">
        <v>101</v>
      </c>
      <c r="L1210" s="108">
        <v>5863</v>
      </c>
      <c r="M1210" s="108">
        <v>3725</v>
      </c>
      <c r="N1210" s="108">
        <v>7391</v>
      </c>
      <c r="O1210" s="108">
        <v>39342</v>
      </c>
      <c r="P1210" s="108">
        <v>3556</v>
      </c>
      <c r="Q1210" s="108">
        <v>38500</v>
      </c>
      <c r="R1210" s="16">
        <f>P1210+N1210+L1210</f>
        <v>16810</v>
      </c>
    </row>
    <row r="1211" spans="1:18" ht="15.6" x14ac:dyDescent="0.3">
      <c r="A1211" s="170">
        <v>41102</v>
      </c>
      <c r="B1211" s="108">
        <v>1500</v>
      </c>
      <c r="C1211" s="108">
        <v>1522</v>
      </c>
      <c r="D1211" s="108">
        <v>813</v>
      </c>
      <c r="E1211" s="108">
        <v>487</v>
      </c>
      <c r="F1211" s="108">
        <v>1348</v>
      </c>
      <c r="G1211" s="108">
        <v>670</v>
      </c>
      <c r="H1211" s="108">
        <v>1137</v>
      </c>
      <c r="I1211" s="108">
        <v>387</v>
      </c>
      <c r="J1211" s="108">
        <v>123</v>
      </c>
      <c r="K1211" s="108">
        <v>47</v>
      </c>
      <c r="L1211" s="108">
        <v>4922</v>
      </c>
      <c r="M1211" s="108">
        <v>3113</v>
      </c>
      <c r="N1211" s="108">
        <v>4659</v>
      </c>
      <c r="O1211" s="108">
        <v>34485</v>
      </c>
      <c r="P1211" s="108">
        <v>4669</v>
      </c>
      <c r="Q1211" s="108">
        <v>33428</v>
      </c>
      <c r="R1211" s="79">
        <f>P1211+N1211+L1211</f>
        <v>14250</v>
      </c>
    </row>
    <row r="1212" spans="1:18" ht="15.6" x14ac:dyDescent="0.3">
      <c r="A1212" s="170">
        <v>40745</v>
      </c>
      <c r="B1212" s="108">
        <v>1787</v>
      </c>
      <c r="C1212" s="106">
        <v>1946</v>
      </c>
      <c r="D1212" s="108">
        <v>897</v>
      </c>
      <c r="E1212" s="108">
        <v>521</v>
      </c>
      <c r="F1212" s="108">
        <v>1781</v>
      </c>
      <c r="G1212" s="108">
        <v>1039</v>
      </c>
      <c r="H1212" s="108">
        <v>1157</v>
      </c>
      <c r="I1212" s="108">
        <v>672</v>
      </c>
      <c r="J1212" s="108">
        <v>151</v>
      </c>
      <c r="K1212" s="108">
        <v>111</v>
      </c>
      <c r="L1212" s="108">
        <v>5773</v>
      </c>
      <c r="M1212" s="108">
        <v>4289</v>
      </c>
      <c r="N1212" s="108">
        <v>6717</v>
      </c>
      <c r="O1212" s="108">
        <v>40348</v>
      </c>
      <c r="P1212" s="108">
        <v>3371</v>
      </c>
      <c r="Q1212" s="108">
        <v>38695</v>
      </c>
      <c r="R1212" s="16">
        <f>P1212+N1212+L1212</f>
        <v>15861</v>
      </c>
    </row>
    <row r="1213" spans="1:18" ht="15.6" x14ac:dyDescent="0.3">
      <c r="A1213" s="170">
        <v>41109</v>
      </c>
      <c r="B1213" s="108">
        <v>1517</v>
      </c>
      <c r="C1213" s="108">
        <v>1676</v>
      </c>
      <c r="D1213" s="108">
        <v>840</v>
      </c>
      <c r="E1213" s="108">
        <v>544</v>
      </c>
      <c r="F1213" s="108">
        <v>1390</v>
      </c>
      <c r="G1213" s="108">
        <v>729</v>
      </c>
      <c r="H1213" s="108">
        <v>1160</v>
      </c>
      <c r="I1213" s="108">
        <v>408</v>
      </c>
      <c r="J1213" s="108">
        <v>112</v>
      </c>
      <c r="K1213" s="108">
        <v>57</v>
      </c>
      <c r="L1213" s="108">
        <v>5019</v>
      </c>
      <c r="M1213" s="108">
        <v>3383</v>
      </c>
      <c r="N1213" s="108">
        <v>4137</v>
      </c>
      <c r="O1213" s="108">
        <v>34998</v>
      </c>
      <c r="P1213" s="108">
        <v>4386</v>
      </c>
      <c r="Q1213" s="108">
        <v>33904</v>
      </c>
      <c r="R1213" s="79">
        <f>P1213+N1213+L1213</f>
        <v>13542</v>
      </c>
    </row>
    <row r="1214" spans="1:18" ht="15.6" x14ac:dyDescent="0.3">
      <c r="A1214" s="170">
        <v>40752</v>
      </c>
      <c r="B1214" s="108">
        <v>1819</v>
      </c>
      <c r="C1214" s="106">
        <v>2159</v>
      </c>
      <c r="D1214" s="108">
        <v>979</v>
      </c>
      <c r="E1214" s="108">
        <v>548</v>
      </c>
      <c r="F1214" s="108">
        <v>1709</v>
      </c>
      <c r="G1214" s="108">
        <v>1204</v>
      </c>
      <c r="H1214" s="108">
        <v>1140</v>
      </c>
      <c r="I1214" s="108">
        <v>737</v>
      </c>
      <c r="J1214" s="108">
        <v>153</v>
      </c>
      <c r="K1214" s="108">
        <v>113</v>
      </c>
      <c r="L1214" s="108">
        <v>5800</v>
      </c>
      <c r="M1214" s="108">
        <v>4761</v>
      </c>
      <c r="N1214" s="108">
        <v>6236</v>
      </c>
      <c r="O1214" s="108">
        <v>41126</v>
      </c>
      <c r="P1214" s="108">
        <v>2761</v>
      </c>
      <c r="Q1214" s="108">
        <v>38900</v>
      </c>
      <c r="R1214" s="16">
        <v>14797</v>
      </c>
    </row>
    <row r="1215" spans="1:18" ht="15.6" x14ac:dyDescent="0.3">
      <c r="A1215" s="170">
        <v>41116</v>
      </c>
      <c r="B1215" s="108">
        <v>1509</v>
      </c>
      <c r="C1215" s="108">
        <v>1871</v>
      </c>
      <c r="D1215" s="108">
        <v>745</v>
      </c>
      <c r="E1215" s="108">
        <v>631</v>
      </c>
      <c r="F1215" s="108">
        <v>1449</v>
      </c>
      <c r="G1215" s="108">
        <v>819</v>
      </c>
      <c r="H1215" s="108">
        <v>1266</v>
      </c>
      <c r="I1215" s="108">
        <v>447</v>
      </c>
      <c r="J1215" s="108">
        <v>102</v>
      </c>
      <c r="K1215" s="108">
        <v>78</v>
      </c>
      <c r="L1215" s="108">
        <v>5072</v>
      </c>
      <c r="M1215" s="108">
        <v>3846</v>
      </c>
      <c r="N1215" s="108">
        <v>3732</v>
      </c>
      <c r="O1215" s="108">
        <v>35581</v>
      </c>
      <c r="P1215" s="108">
        <v>4135</v>
      </c>
      <c r="Q1215" s="108">
        <v>34349</v>
      </c>
      <c r="R1215" s="79">
        <f>P1215+N1215+L1215</f>
        <v>12939</v>
      </c>
    </row>
    <row r="1216" spans="1:18" ht="15.6" x14ac:dyDescent="0.3">
      <c r="A1216" s="170">
        <v>40759</v>
      </c>
      <c r="B1216" s="108">
        <v>1672</v>
      </c>
      <c r="C1216" s="106">
        <v>2440</v>
      </c>
      <c r="D1216" s="108">
        <v>905</v>
      </c>
      <c r="E1216" s="108">
        <v>707</v>
      </c>
      <c r="F1216" s="108">
        <v>1729</v>
      </c>
      <c r="G1216" s="108">
        <v>1294</v>
      </c>
      <c r="H1216" s="108">
        <v>1062</v>
      </c>
      <c r="I1216" s="108">
        <v>839</v>
      </c>
      <c r="J1216" s="108">
        <v>176</v>
      </c>
      <c r="K1216" s="108">
        <v>113</v>
      </c>
      <c r="L1216" s="108">
        <v>5544</v>
      </c>
      <c r="M1216" s="108">
        <v>5393</v>
      </c>
      <c r="N1216" s="108">
        <v>5728</v>
      </c>
      <c r="O1216" s="108">
        <v>42075</v>
      </c>
      <c r="P1216" s="108">
        <v>2855</v>
      </c>
      <c r="Q1216" s="108">
        <v>39045</v>
      </c>
      <c r="R1216" s="16">
        <v>14127</v>
      </c>
    </row>
    <row r="1217" spans="1:18" ht="15.6" x14ac:dyDescent="0.3">
      <c r="A1217" s="170">
        <v>41123</v>
      </c>
      <c r="B1217" s="108">
        <v>1535</v>
      </c>
      <c r="C1217" s="108">
        <v>2129</v>
      </c>
      <c r="D1217" s="108">
        <v>681</v>
      </c>
      <c r="E1217" s="108">
        <v>762</v>
      </c>
      <c r="F1217" s="108">
        <v>1525</v>
      </c>
      <c r="G1217" s="108">
        <v>909</v>
      </c>
      <c r="H1217" s="108">
        <v>1267</v>
      </c>
      <c r="I1217" s="108">
        <v>566</v>
      </c>
      <c r="J1217" s="108">
        <v>132</v>
      </c>
      <c r="K1217" s="108">
        <v>78</v>
      </c>
      <c r="L1217" s="108">
        <v>5141</v>
      </c>
      <c r="M1217" s="108">
        <v>4443</v>
      </c>
      <c r="N1217" s="108">
        <v>3430</v>
      </c>
      <c r="O1217" s="108">
        <v>36057</v>
      </c>
      <c r="P1217" s="108">
        <v>3880</v>
      </c>
      <c r="Q1217" s="108">
        <v>34709</v>
      </c>
      <c r="R1217" s="79">
        <f>P1217+N1217+L1217</f>
        <v>12451</v>
      </c>
    </row>
    <row r="1218" spans="1:18" ht="15.6" x14ac:dyDescent="0.3">
      <c r="A1218" s="170">
        <v>40766</v>
      </c>
      <c r="B1218" s="108">
        <v>1742</v>
      </c>
      <c r="C1218" s="106">
        <v>2650</v>
      </c>
      <c r="D1218" s="108">
        <v>891</v>
      </c>
      <c r="E1218" s="108">
        <v>770</v>
      </c>
      <c r="F1218" s="108">
        <v>1607</v>
      </c>
      <c r="G1218" s="108">
        <v>1503</v>
      </c>
      <c r="H1218" s="108">
        <v>1021</v>
      </c>
      <c r="I1218" s="108">
        <v>1003</v>
      </c>
      <c r="J1218" s="108">
        <v>186</v>
      </c>
      <c r="K1218" s="108">
        <v>113</v>
      </c>
      <c r="L1218" s="108">
        <v>5447</v>
      </c>
      <c r="M1218" s="108">
        <v>6040</v>
      </c>
      <c r="N1218" s="108">
        <v>5069</v>
      </c>
      <c r="O1218" s="108">
        <v>42977</v>
      </c>
      <c r="P1218" s="108">
        <v>2888</v>
      </c>
      <c r="Q1218" s="108">
        <v>39235</v>
      </c>
      <c r="R1218" s="16">
        <f>P1218+N1218+L1218</f>
        <v>13404</v>
      </c>
    </row>
    <row r="1219" spans="1:18" ht="15.6" x14ac:dyDescent="0.3">
      <c r="A1219" s="170">
        <v>41130</v>
      </c>
      <c r="B1219" s="108">
        <v>1462</v>
      </c>
      <c r="C1219" s="108">
        <v>2319</v>
      </c>
      <c r="D1219" s="108">
        <v>676</v>
      </c>
      <c r="E1219" s="108">
        <v>811</v>
      </c>
      <c r="F1219" s="108">
        <v>1512</v>
      </c>
      <c r="G1219" s="108">
        <v>1049</v>
      </c>
      <c r="H1219" s="108">
        <v>1225</v>
      </c>
      <c r="I1219" s="108">
        <v>709</v>
      </c>
      <c r="J1219" s="108">
        <v>104</v>
      </c>
      <c r="K1219" s="108">
        <v>114</v>
      </c>
      <c r="L1219" s="108">
        <v>4978</v>
      </c>
      <c r="M1219" s="108">
        <v>5002</v>
      </c>
      <c r="N1219" s="108">
        <v>2920</v>
      </c>
      <c r="O1219" s="108">
        <v>36690</v>
      </c>
      <c r="P1219" s="108">
        <v>3597</v>
      </c>
      <c r="Q1219" s="108">
        <v>35179</v>
      </c>
      <c r="R1219" s="79">
        <f>P1219+N1219+L1219</f>
        <v>11495</v>
      </c>
    </row>
    <row r="1220" spans="1:18" ht="15.6" x14ac:dyDescent="0.3">
      <c r="A1220" s="170">
        <v>40773</v>
      </c>
      <c r="B1220" s="108">
        <v>1777</v>
      </c>
      <c r="C1220" s="106">
        <v>2757</v>
      </c>
      <c r="D1220" s="108">
        <v>708</v>
      </c>
      <c r="E1220" s="108">
        <v>983</v>
      </c>
      <c r="F1220" s="108">
        <v>1602</v>
      </c>
      <c r="G1220" s="108">
        <v>1563</v>
      </c>
      <c r="H1220" s="108">
        <v>1044</v>
      </c>
      <c r="I1220" s="108">
        <v>1090</v>
      </c>
      <c r="J1220" s="108">
        <v>193</v>
      </c>
      <c r="K1220" s="108">
        <v>116</v>
      </c>
      <c r="L1220" s="108">
        <v>5325</v>
      </c>
      <c r="M1220" s="108">
        <v>6509</v>
      </c>
      <c r="N1220" s="108">
        <v>4627</v>
      </c>
      <c r="O1220" s="108">
        <v>43803</v>
      </c>
      <c r="P1220" s="108">
        <v>2713</v>
      </c>
      <c r="Q1220" s="108">
        <v>39518</v>
      </c>
      <c r="R1220" s="16">
        <f>P1220+N1220+L1220</f>
        <v>12665</v>
      </c>
    </row>
    <row r="1221" spans="1:18" ht="15.6" x14ac:dyDescent="0.3">
      <c r="A1221" s="170">
        <v>41137</v>
      </c>
      <c r="B1221" s="108">
        <v>1402</v>
      </c>
      <c r="C1221" s="108">
        <v>2579</v>
      </c>
      <c r="D1221" s="108">
        <v>617</v>
      </c>
      <c r="E1221" s="108">
        <v>873</v>
      </c>
      <c r="F1221" s="108">
        <v>1553</v>
      </c>
      <c r="G1221" s="108">
        <v>1179</v>
      </c>
      <c r="H1221" s="108">
        <v>1091</v>
      </c>
      <c r="I1221" s="108">
        <v>909</v>
      </c>
      <c r="J1221" s="108">
        <v>87</v>
      </c>
      <c r="K1221" s="108">
        <v>131</v>
      </c>
      <c r="L1221" s="108">
        <v>4749</v>
      </c>
      <c r="M1221" s="108">
        <v>5671</v>
      </c>
      <c r="N1221" s="108">
        <v>2427</v>
      </c>
      <c r="O1221" s="108">
        <v>37292</v>
      </c>
      <c r="P1221" s="108">
        <v>3043</v>
      </c>
      <c r="Q1221" s="108">
        <v>35777</v>
      </c>
      <c r="R1221" s="79">
        <f>P1221+N1221+L1221</f>
        <v>10219</v>
      </c>
    </row>
    <row r="1222" spans="1:18" ht="15.6" x14ac:dyDescent="0.3">
      <c r="A1222" s="170">
        <v>40780</v>
      </c>
      <c r="B1222" s="108">
        <v>1746</v>
      </c>
      <c r="C1222" s="106">
        <v>3040</v>
      </c>
      <c r="D1222" s="108">
        <v>652</v>
      </c>
      <c r="E1222" s="108">
        <v>1066</v>
      </c>
      <c r="F1222" s="108">
        <v>1537</v>
      </c>
      <c r="G1222" s="108">
        <v>1676</v>
      </c>
      <c r="H1222" s="108">
        <v>1008</v>
      </c>
      <c r="I1222" s="108">
        <v>1187</v>
      </c>
      <c r="J1222" s="108">
        <v>141</v>
      </c>
      <c r="K1222" s="108">
        <v>149</v>
      </c>
      <c r="L1222" s="108">
        <v>5084</v>
      </c>
      <c r="M1222" s="108">
        <v>7118</v>
      </c>
      <c r="N1222" s="108">
        <v>3540</v>
      </c>
      <c r="O1222" s="108">
        <v>44569</v>
      </c>
      <c r="P1222" s="108">
        <v>2478</v>
      </c>
      <c r="Q1222" s="108">
        <v>39753</v>
      </c>
      <c r="R1222" s="16">
        <v>11102</v>
      </c>
    </row>
    <row r="1223" spans="1:18" ht="15.6" x14ac:dyDescent="0.3">
      <c r="A1223" s="170">
        <v>41144</v>
      </c>
      <c r="B1223" s="108">
        <v>1502</v>
      </c>
      <c r="C1223" s="108">
        <v>2729</v>
      </c>
      <c r="D1223" s="108">
        <v>646</v>
      </c>
      <c r="E1223" s="108">
        <v>904</v>
      </c>
      <c r="F1223" s="108">
        <v>1564</v>
      </c>
      <c r="G1223" s="108">
        <v>1294</v>
      </c>
      <c r="H1223" s="108">
        <v>879</v>
      </c>
      <c r="I1223" s="108">
        <v>1172</v>
      </c>
      <c r="J1223" s="108">
        <v>107</v>
      </c>
      <c r="K1223" s="108">
        <v>131</v>
      </c>
      <c r="L1223" s="108">
        <v>4698</v>
      </c>
      <c r="M1223" s="108">
        <v>6230</v>
      </c>
      <c r="N1223" s="108">
        <v>2021</v>
      </c>
      <c r="O1223" s="108">
        <v>37664</v>
      </c>
      <c r="P1223" s="108">
        <v>2497</v>
      </c>
      <c r="Q1223" s="108">
        <v>36312</v>
      </c>
      <c r="R1223" s="79">
        <f>P1223+N1223+L1223</f>
        <v>9216</v>
      </c>
    </row>
    <row r="1224" spans="1:18" ht="15.6" x14ac:dyDescent="0.3">
      <c r="A1224" s="170">
        <v>40787</v>
      </c>
      <c r="B1224" s="108">
        <v>1743</v>
      </c>
      <c r="C1224" s="106">
        <v>3306</v>
      </c>
      <c r="D1224" s="108">
        <v>671</v>
      </c>
      <c r="E1224" s="108">
        <v>1111</v>
      </c>
      <c r="F1224" s="108">
        <v>1454</v>
      </c>
      <c r="G1224" s="108">
        <v>1883</v>
      </c>
      <c r="H1224" s="108">
        <v>1023</v>
      </c>
      <c r="I1224" s="108">
        <v>1255</v>
      </c>
      <c r="J1224" s="108">
        <v>81</v>
      </c>
      <c r="K1224" s="108">
        <v>188</v>
      </c>
      <c r="L1224" s="108">
        <v>4972</v>
      </c>
      <c r="M1224" s="108">
        <v>7743</v>
      </c>
      <c r="N1224" s="108">
        <v>13171</v>
      </c>
      <c r="O1224" s="108">
        <v>136</v>
      </c>
      <c r="P1224" s="108">
        <v>14284</v>
      </c>
      <c r="Q1224" s="108">
        <v>42</v>
      </c>
      <c r="R1224" s="16">
        <v>32427</v>
      </c>
    </row>
    <row r="1225" spans="1:18" ht="15.6" x14ac:dyDescent="0.3">
      <c r="A1225" s="170">
        <v>41151</v>
      </c>
      <c r="B1225" s="108">
        <v>1547</v>
      </c>
      <c r="C1225" s="108">
        <v>2946</v>
      </c>
      <c r="D1225" s="108">
        <v>714</v>
      </c>
      <c r="E1225" s="108">
        <v>969</v>
      </c>
      <c r="F1225" s="108">
        <v>1477</v>
      </c>
      <c r="G1225" s="108">
        <v>1500</v>
      </c>
      <c r="H1225" s="108">
        <v>801</v>
      </c>
      <c r="I1225" s="108">
        <v>1285</v>
      </c>
      <c r="J1225" s="108">
        <v>115</v>
      </c>
      <c r="K1225" s="108">
        <v>131</v>
      </c>
      <c r="L1225" s="108">
        <v>4652</v>
      </c>
      <c r="M1225" s="108">
        <v>6831</v>
      </c>
      <c r="N1225" s="108">
        <v>1681</v>
      </c>
      <c r="O1225" s="108">
        <v>37900</v>
      </c>
      <c r="P1225" s="108">
        <v>2088</v>
      </c>
      <c r="Q1225" s="108">
        <v>36727</v>
      </c>
      <c r="R1225" s="79">
        <f>P1225+N1225+L1225</f>
        <v>8421</v>
      </c>
    </row>
    <row r="1226" spans="1:18" ht="15.6" x14ac:dyDescent="0.3">
      <c r="A1226" s="170">
        <v>40787</v>
      </c>
      <c r="B1226" s="108">
        <v>1743</v>
      </c>
      <c r="C1226" s="106">
        <v>3306</v>
      </c>
      <c r="D1226" s="108">
        <v>671</v>
      </c>
      <c r="E1226" s="108">
        <v>1111</v>
      </c>
      <c r="F1226" s="108">
        <v>1454</v>
      </c>
      <c r="G1226" s="108">
        <v>1883</v>
      </c>
      <c r="H1226" s="108">
        <v>1023</v>
      </c>
      <c r="I1226" s="108">
        <v>1255</v>
      </c>
      <c r="J1226" s="108">
        <v>81</v>
      </c>
      <c r="K1226" s="108">
        <v>188</v>
      </c>
      <c r="L1226" s="108">
        <v>4972</v>
      </c>
      <c r="M1226" s="108">
        <v>7743</v>
      </c>
      <c r="N1226" s="108">
        <v>13171</v>
      </c>
      <c r="O1226" s="108">
        <v>136</v>
      </c>
      <c r="P1226" s="108">
        <v>14284</v>
      </c>
      <c r="Q1226" s="108">
        <v>42</v>
      </c>
      <c r="R1226" s="16">
        <f>P1226+N1226+L1226</f>
        <v>32427</v>
      </c>
    </row>
    <row r="1227" spans="1:18" ht="15.6" x14ac:dyDescent="0.3">
      <c r="A1227" s="170">
        <v>41158</v>
      </c>
      <c r="B1227" s="108">
        <v>1477</v>
      </c>
      <c r="C1227" s="108">
        <v>3083</v>
      </c>
      <c r="D1227" s="108">
        <v>731</v>
      </c>
      <c r="E1227" s="108">
        <v>1041</v>
      </c>
      <c r="F1227" s="108">
        <v>1400</v>
      </c>
      <c r="G1227" s="108">
        <v>1708</v>
      </c>
      <c r="H1227" s="108">
        <v>835</v>
      </c>
      <c r="I1227" s="108">
        <v>1339</v>
      </c>
      <c r="J1227" s="108">
        <v>105</v>
      </c>
      <c r="K1227" s="108">
        <v>142</v>
      </c>
      <c r="L1227" s="108">
        <v>4547</v>
      </c>
      <c r="M1227" s="108">
        <v>7313</v>
      </c>
      <c r="N1227" s="108">
        <v>9783</v>
      </c>
      <c r="O1227" s="108">
        <v>249</v>
      </c>
      <c r="P1227" s="108">
        <v>20385</v>
      </c>
      <c r="Q1227" s="108">
        <v>339</v>
      </c>
      <c r="R1227" s="79">
        <f>P1227+N1227+L1227</f>
        <v>34715</v>
      </c>
    </row>
    <row r="1228" spans="1:18" ht="15.6" x14ac:dyDescent="0.3">
      <c r="A1228" s="170">
        <v>40801</v>
      </c>
      <c r="B1228" s="108">
        <v>1572</v>
      </c>
      <c r="C1228" s="106">
        <v>3895</v>
      </c>
      <c r="D1228" s="108">
        <v>615</v>
      </c>
      <c r="E1228" s="108">
        <v>1256</v>
      </c>
      <c r="F1228" s="108">
        <v>1391</v>
      </c>
      <c r="G1228" s="108">
        <v>2219</v>
      </c>
      <c r="H1228" s="108">
        <v>1069</v>
      </c>
      <c r="I1228" s="108">
        <v>1520</v>
      </c>
      <c r="J1228" s="108">
        <v>61</v>
      </c>
      <c r="K1228" s="108">
        <v>210</v>
      </c>
      <c r="L1228" s="108">
        <v>4707</v>
      </c>
      <c r="M1228" s="108">
        <v>9100</v>
      </c>
      <c r="N1228" s="108">
        <v>13784</v>
      </c>
      <c r="O1228" s="108">
        <v>1248</v>
      </c>
      <c r="P1228" s="108">
        <v>14501</v>
      </c>
      <c r="Q1228" s="108">
        <v>581</v>
      </c>
      <c r="R1228" s="16">
        <v>32992</v>
      </c>
    </row>
    <row r="1229" spans="1:18" ht="15.6" x14ac:dyDescent="0.3">
      <c r="A1229" s="170">
        <v>41165</v>
      </c>
      <c r="B1229" s="108">
        <v>1458</v>
      </c>
      <c r="C1229" s="108">
        <v>3287</v>
      </c>
      <c r="D1229" s="108">
        <v>684</v>
      </c>
      <c r="E1229" s="108">
        <v>1152</v>
      </c>
      <c r="F1229" s="108">
        <v>1202</v>
      </c>
      <c r="G1229" s="108">
        <v>2020</v>
      </c>
      <c r="H1229" s="108">
        <v>824</v>
      </c>
      <c r="I1229" s="108">
        <v>1469</v>
      </c>
      <c r="J1229" s="108">
        <v>92</v>
      </c>
      <c r="K1229" s="108">
        <v>161</v>
      </c>
      <c r="L1229" s="108">
        <v>4260</v>
      </c>
      <c r="M1229" s="108">
        <v>8089</v>
      </c>
      <c r="N1229" s="108">
        <v>9113</v>
      </c>
      <c r="O1229" s="108">
        <v>989</v>
      </c>
      <c r="P1229" s="108">
        <v>20825</v>
      </c>
      <c r="Q1229" s="108">
        <v>612</v>
      </c>
      <c r="R1229" s="79">
        <f>P1229+N1229+L1229</f>
        <v>34198</v>
      </c>
    </row>
    <row r="1230" spans="1:18" ht="15.6" x14ac:dyDescent="0.3">
      <c r="A1230" s="170">
        <v>40808</v>
      </c>
      <c r="B1230" s="108">
        <v>1503</v>
      </c>
      <c r="C1230" s="106">
        <v>4088</v>
      </c>
      <c r="D1230" s="108">
        <v>674</v>
      </c>
      <c r="E1230" s="108">
        <v>1326</v>
      </c>
      <c r="F1230" s="108">
        <v>1367</v>
      </c>
      <c r="G1230" s="108">
        <v>2392</v>
      </c>
      <c r="H1230" s="108">
        <v>988</v>
      </c>
      <c r="I1230" s="108">
        <v>1595</v>
      </c>
      <c r="J1230" s="108">
        <v>84</v>
      </c>
      <c r="K1230" s="108">
        <v>221</v>
      </c>
      <c r="L1230" s="108">
        <v>4615</v>
      </c>
      <c r="M1230" s="108">
        <v>9622</v>
      </c>
      <c r="N1230" s="108">
        <v>13748</v>
      </c>
      <c r="O1230" s="108">
        <v>2071</v>
      </c>
      <c r="P1230" s="108">
        <v>15213</v>
      </c>
      <c r="Q1230" s="108">
        <v>903</v>
      </c>
      <c r="R1230" s="16">
        <f>P1230+N1230+L1230</f>
        <v>33576</v>
      </c>
    </row>
    <row r="1231" spans="1:18" ht="15.6" x14ac:dyDescent="0.3">
      <c r="A1231" s="170">
        <v>41172</v>
      </c>
      <c r="B1231" s="108">
        <v>1359</v>
      </c>
      <c r="C1231" s="108">
        <v>3503</v>
      </c>
      <c r="D1231" s="108">
        <v>712</v>
      </c>
      <c r="E1231" s="108">
        <v>1174</v>
      </c>
      <c r="F1231" s="108">
        <v>1182</v>
      </c>
      <c r="G1231" s="108">
        <v>2162</v>
      </c>
      <c r="H1231" s="108">
        <v>783</v>
      </c>
      <c r="I1231" s="108">
        <v>1597</v>
      </c>
      <c r="J1231" s="108">
        <v>108</v>
      </c>
      <c r="K1231" s="108">
        <v>196</v>
      </c>
      <c r="L1231" s="108">
        <v>4143</v>
      </c>
      <c r="M1231" s="108">
        <v>8631</v>
      </c>
      <c r="N1231" s="108">
        <v>8434</v>
      </c>
      <c r="O1231" s="108">
        <v>1669</v>
      </c>
      <c r="P1231" s="108">
        <v>21296</v>
      </c>
      <c r="Q1231" s="108">
        <v>941</v>
      </c>
      <c r="R1231" s="79">
        <f>P1231+N1231+L1231</f>
        <v>33873</v>
      </c>
    </row>
    <row r="1232" spans="1:18" ht="15.6" x14ac:dyDescent="0.3">
      <c r="A1232" s="170">
        <v>40815</v>
      </c>
      <c r="B1232" s="108">
        <v>1417</v>
      </c>
      <c r="C1232" s="106">
        <v>4370</v>
      </c>
      <c r="D1232" s="108">
        <v>746</v>
      </c>
      <c r="E1232" s="108">
        <v>1376</v>
      </c>
      <c r="F1232" s="108">
        <v>1280</v>
      </c>
      <c r="G1232" s="108">
        <v>2507</v>
      </c>
      <c r="H1232" s="108">
        <v>918</v>
      </c>
      <c r="I1232" s="108">
        <v>1749</v>
      </c>
      <c r="J1232" s="108">
        <v>84</v>
      </c>
      <c r="K1232" s="108">
        <v>221</v>
      </c>
      <c r="L1232" s="108">
        <v>4445</v>
      </c>
      <c r="M1232" s="108">
        <v>10223</v>
      </c>
      <c r="N1232" s="108">
        <v>14282</v>
      </c>
      <c r="O1232" s="108">
        <v>2827</v>
      </c>
      <c r="P1232" s="108">
        <v>15589</v>
      </c>
      <c r="Q1232" s="108">
        <v>1229</v>
      </c>
      <c r="R1232" s="16">
        <f>P1232+N1232+L1232</f>
        <v>34316</v>
      </c>
    </row>
    <row r="1233" spans="1:18" ht="15.6" x14ac:dyDescent="0.3">
      <c r="A1233" s="170">
        <v>41179</v>
      </c>
      <c r="B1233" s="108">
        <v>1326</v>
      </c>
      <c r="C1233" s="108">
        <v>3685</v>
      </c>
      <c r="D1233" s="108">
        <v>639</v>
      </c>
      <c r="E1233" s="108">
        <v>1252</v>
      </c>
      <c r="F1233" s="108">
        <v>1033</v>
      </c>
      <c r="G1233" s="108">
        <v>2360</v>
      </c>
      <c r="H1233" s="108">
        <v>749</v>
      </c>
      <c r="I1233" s="108">
        <v>1730</v>
      </c>
      <c r="J1233" s="108">
        <v>112</v>
      </c>
      <c r="K1233" s="108">
        <v>196</v>
      </c>
      <c r="L1233" s="108">
        <v>3859</v>
      </c>
      <c r="M1233" s="108">
        <v>9222</v>
      </c>
      <c r="N1233" s="108">
        <v>8331</v>
      </c>
      <c r="O1233" s="108">
        <v>2099</v>
      </c>
      <c r="P1233" s="108">
        <v>21415</v>
      </c>
      <c r="Q1233" s="108">
        <v>2053</v>
      </c>
      <c r="R1233" s="79">
        <f>P1233+N1233+L1233</f>
        <v>33605</v>
      </c>
    </row>
    <row r="1234" spans="1:18" ht="15.6" x14ac:dyDescent="0.3">
      <c r="A1234" s="170">
        <v>40822</v>
      </c>
      <c r="B1234" s="108">
        <v>1459</v>
      </c>
      <c r="C1234" s="106">
        <v>4494</v>
      </c>
      <c r="D1234" s="108">
        <v>737</v>
      </c>
      <c r="E1234" s="108">
        <v>1394</v>
      </c>
      <c r="F1234" s="108">
        <v>1282</v>
      </c>
      <c r="G1234" s="108">
        <v>2628</v>
      </c>
      <c r="H1234" s="108">
        <v>1000</v>
      </c>
      <c r="I1234" s="108">
        <v>1842</v>
      </c>
      <c r="J1234" s="108">
        <v>85</v>
      </c>
      <c r="K1234" s="108">
        <v>229</v>
      </c>
      <c r="L1234" s="108">
        <v>4563</v>
      </c>
      <c r="M1234" s="108">
        <v>10588</v>
      </c>
      <c r="N1234" s="108">
        <v>14630</v>
      </c>
      <c r="O1234" s="108">
        <v>3738</v>
      </c>
      <c r="P1234" s="108">
        <v>15658</v>
      </c>
      <c r="Q1234" s="108">
        <v>1832</v>
      </c>
      <c r="R1234" s="16">
        <v>34851</v>
      </c>
    </row>
    <row r="1235" spans="1:18" ht="15.6" x14ac:dyDescent="0.3">
      <c r="A1235" s="170">
        <v>41186</v>
      </c>
      <c r="B1235" s="72">
        <v>1227.9000000000001</v>
      </c>
      <c r="C1235" s="72">
        <v>3908</v>
      </c>
      <c r="D1235" s="72">
        <v>625.1</v>
      </c>
      <c r="E1235" s="72">
        <v>1298.9000000000001</v>
      </c>
      <c r="F1235" s="72">
        <v>1091.0999999999999</v>
      </c>
      <c r="G1235" s="72">
        <v>2422.8000000000002</v>
      </c>
      <c r="H1235" s="72">
        <v>728.8</v>
      </c>
      <c r="I1235" s="72">
        <v>1751.4</v>
      </c>
      <c r="J1235" s="72">
        <v>84</v>
      </c>
      <c r="K1235" s="72">
        <v>222.7</v>
      </c>
      <c r="L1235" s="174">
        <v>3756.9</v>
      </c>
      <c r="M1235" s="174">
        <v>9604</v>
      </c>
      <c r="N1235" s="174">
        <v>7813.9</v>
      </c>
      <c r="O1235" s="174">
        <v>2619.6</v>
      </c>
      <c r="P1235" s="174">
        <v>20736.900000000001</v>
      </c>
      <c r="Q1235" s="174">
        <v>3231.6</v>
      </c>
      <c r="R1235" s="79">
        <f>P1235+N1235+L1235</f>
        <v>32307.700000000004</v>
      </c>
    </row>
    <row r="1236" spans="1:18" ht="15.6" x14ac:dyDescent="0.3">
      <c r="A1236" s="170">
        <v>40829</v>
      </c>
      <c r="B1236" s="108">
        <v>1426</v>
      </c>
      <c r="C1236" s="106">
        <v>4687</v>
      </c>
      <c r="D1236" s="108">
        <v>769</v>
      </c>
      <c r="E1236" s="108">
        <v>1407</v>
      </c>
      <c r="F1236" s="108">
        <v>1302</v>
      </c>
      <c r="G1236" s="108">
        <v>2753</v>
      </c>
      <c r="H1236" s="108">
        <v>1002</v>
      </c>
      <c r="I1236" s="108">
        <v>1890</v>
      </c>
      <c r="J1236" s="108">
        <v>78</v>
      </c>
      <c r="K1236" s="108">
        <v>237</v>
      </c>
      <c r="L1236" s="108">
        <v>4577</v>
      </c>
      <c r="M1236" s="108">
        <v>10974</v>
      </c>
      <c r="N1236" s="108">
        <v>15829</v>
      </c>
      <c r="O1236" s="108">
        <v>4302</v>
      </c>
      <c r="P1236" s="108">
        <v>15084</v>
      </c>
      <c r="Q1236" s="108">
        <v>3000</v>
      </c>
      <c r="R1236" s="16">
        <v>35490</v>
      </c>
    </row>
    <row r="1237" spans="1:18" ht="15.6" x14ac:dyDescent="0.3">
      <c r="A1237" s="170">
        <v>41193</v>
      </c>
      <c r="B1237" s="73">
        <v>1408</v>
      </c>
      <c r="C1237" s="73">
        <v>3924</v>
      </c>
      <c r="D1237" s="73">
        <v>619</v>
      </c>
      <c r="E1237" s="73">
        <v>1345</v>
      </c>
      <c r="F1237" s="73">
        <v>1116</v>
      </c>
      <c r="G1237" s="73">
        <v>2443</v>
      </c>
      <c r="H1237" s="73">
        <v>789</v>
      </c>
      <c r="I1237" s="73">
        <v>1782</v>
      </c>
      <c r="J1237" s="73">
        <v>104</v>
      </c>
      <c r="K1237" s="73">
        <v>241</v>
      </c>
      <c r="L1237" s="175">
        <v>4036</v>
      </c>
      <c r="M1237" s="175">
        <v>9735</v>
      </c>
      <c r="N1237" s="175">
        <v>7563</v>
      </c>
      <c r="O1237" s="175">
        <v>3037</v>
      </c>
      <c r="P1237" s="175">
        <v>19790</v>
      </c>
      <c r="Q1237" s="175">
        <v>4701</v>
      </c>
      <c r="R1237" s="79">
        <f t="shared" ref="R1237:R1243" si="478">P1237+N1237+L1237</f>
        <v>31389</v>
      </c>
    </row>
    <row r="1238" spans="1:18" ht="15.6" x14ac:dyDescent="0.3">
      <c r="A1238" s="170">
        <v>40836</v>
      </c>
      <c r="B1238" s="108">
        <v>1342</v>
      </c>
      <c r="C1238" s="108">
        <v>4831</v>
      </c>
      <c r="D1238" s="108">
        <v>792</v>
      </c>
      <c r="E1238" s="108">
        <v>1483</v>
      </c>
      <c r="F1238" s="108">
        <v>1258</v>
      </c>
      <c r="G1238" s="108">
        <v>2845</v>
      </c>
      <c r="H1238" s="108">
        <v>1041</v>
      </c>
      <c r="I1238" s="108">
        <v>1963</v>
      </c>
      <c r="J1238" s="108">
        <v>78</v>
      </c>
      <c r="K1238" s="108">
        <v>237</v>
      </c>
      <c r="L1238" s="108">
        <v>4511</v>
      </c>
      <c r="M1238" s="108">
        <v>11357</v>
      </c>
      <c r="N1238" s="108">
        <v>15488</v>
      </c>
      <c r="O1238" s="108">
        <v>4979</v>
      </c>
      <c r="P1238" s="108">
        <v>14171</v>
      </c>
      <c r="Q1238" s="108">
        <v>4141</v>
      </c>
      <c r="R1238" s="16">
        <f t="shared" si="478"/>
        <v>34170</v>
      </c>
    </row>
    <row r="1239" spans="1:18" ht="15.6" x14ac:dyDescent="0.3">
      <c r="A1239" s="170">
        <v>41200</v>
      </c>
      <c r="B1239" s="73">
        <v>1482</v>
      </c>
      <c r="C1239" s="73">
        <v>4105</v>
      </c>
      <c r="D1239" s="73">
        <v>628</v>
      </c>
      <c r="E1239" s="73">
        <v>1396</v>
      </c>
      <c r="F1239" s="73">
        <v>1209</v>
      </c>
      <c r="G1239" s="73">
        <v>2539</v>
      </c>
      <c r="H1239" s="73">
        <v>839</v>
      </c>
      <c r="I1239" s="73">
        <v>1834</v>
      </c>
      <c r="J1239" s="73">
        <v>72</v>
      </c>
      <c r="K1239" s="73">
        <v>241</v>
      </c>
      <c r="L1239" s="175">
        <v>4228</v>
      </c>
      <c r="M1239" s="175">
        <v>10115</v>
      </c>
      <c r="N1239" s="175">
        <v>7415</v>
      </c>
      <c r="O1239" s="175">
        <v>3327</v>
      </c>
      <c r="P1239" s="175">
        <v>18671</v>
      </c>
      <c r="Q1239" s="175">
        <v>6343</v>
      </c>
      <c r="R1239" s="79">
        <f t="shared" si="478"/>
        <v>30314</v>
      </c>
    </row>
    <row r="1240" spans="1:18" ht="15.6" x14ac:dyDescent="0.3">
      <c r="A1240" s="170">
        <v>40843</v>
      </c>
      <c r="B1240" s="108">
        <v>1322</v>
      </c>
      <c r="C1240" s="108">
        <v>4989</v>
      </c>
      <c r="D1240" s="108">
        <v>738</v>
      </c>
      <c r="E1240" s="108">
        <v>1555</v>
      </c>
      <c r="F1240" s="108">
        <v>1162</v>
      </c>
      <c r="G1240" s="108">
        <v>3072</v>
      </c>
      <c r="H1240" s="108">
        <v>926</v>
      </c>
      <c r="I1240" s="108">
        <v>2110</v>
      </c>
      <c r="J1240" s="108">
        <v>58</v>
      </c>
      <c r="K1240" s="108">
        <v>257</v>
      </c>
      <c r="L1240" s="108">
        <v>4206</v>
      </c>
      <c r="M1240" s="108">
        <v>11982</v>
      </c>
      <c r="N1240" s="108">
        <v>15364</v>
      </c>
      <c r="O1240" s="108">
        <v>5726</v>
      </c>
      <c r="P1240" s="108">
        <v>13181</v>
      </c>
      <c r="Q1240" s="108">
        <v>5341</v>
      </c>
      <c r="R1240" s="16">
        <f t="shared" si="478"/>
        <v>32751</v>
      </c>
    </row>
    <row r="1241" spans="1:18" ht="15.6" x14ac:dyDescent="0.3">
      <c r="A1241" s="170">
        <v>41207</v>
      </c>
      <c r="B1241" s="73">
        <v>1510</v>
      </c>
      <c r="C1241" s="73">
        <v>4207</v>
      </c>
      <c r="D1241" s="73">
        <v>611</v>
      </c>
      <c r="E1241" s="73">
        <v>1452</v>
      </c>
      <c r="F1241" s="73">
        <v>1252</v>
      </c>
      <c r="G1241" s="73">
        <v>2601</v>
      </c>
      <c r="H1241" s="73">
        <v>829</v>
      </c>
      <c r="I1241" s="73">
        <v>1908</v>
      </c>
      <c r="J1241" s="73">
        <v>95</v>
      </c>
      <c r="K1241" s="73">
        <v>241</v>
      </c>
      <c r="L1241" s="175">
        <v>4296</v>
      </c>
      <c r="M1241" s="175">
        <v>10410</v>
      </c>
      <c r="N1241" s="175">
        <v>7195</v>
      </c>
      <c r="O1241" s="175">
        <v>3716</v>
      </c>
      <c r="P1241" s="175">
        <v>17699</v>
      </c>
      <c r="Q1241" s="175">
        <v>8057</v>
      </c>
      <c r="R1241" s="79">
        <f t="shared" si="478"/>
        <v>29190</v>
      </c>
    </row>
    <row r="1242" spans="1:18" ht="15.6" x14ac:dyDescent="0.3">
      <c r="A1242" s="170">
        <v>40850</v>
      </c>
      <c r="B1242" s="108">
        <v>1333</v>
      </c>
      <c r="C1242" s="108">
        <v>5064</v>
      </c>
      <c r="D1242" s="108">
        <v>690</v>
      </c>
      <c r="E1242" s="108">
        <v>1647</v>
      </c>
      <c r="F1242" s="108">
        <v>1174</v>
      </c>
      <c r="G1242" s="108">
        <v>3156</v>
      </c>
      <c r="H1242" s="108">
        <v>899</v>
      </c>
      <c r="I1242" s="108">
        <v>2198</v>
      </c>
      <c r="J1242" s="108">
        <v>56</v>
      </c>
      <c r="K1242" s="108">
        <v>271</v>
      </c>
      <c r="L1242" s="108">
        <v>4151</v>
      </c>
      <c r="M1242" s="108">
        <v>12335</v>
      </c>
      <c r="N1242" s="108">
        <v>14991</v>
      </c>
      <c r="O1242" s="108">
        <v>6350</v>
      </c>
      <c r="P1242" s="108">
        <v>12561</v>
      </c>
      <c r="Q1242" s="108">
        <v>6565</v>
      </c>
      <c r="R1242" s="16">
        <f t="shared" si="478"/>
        <v>31703</v>
      </c>
    </row>
    <row r="1243" spans="1:18" ht="15.6" x14ac:dyDescent="0.3">
      <c r="A1243" s="170">
        <v>41214</v>
      </c>
      <c r="B1243" s="73">
        <v>1424</v>
      </c>
      <c r="C1243" s="73">
        <v>4361</v>
      </c>
      <c r="D1243" s="73">
        <v>638</v>
      </c>
      <c r="E1243" s="73">
        <v>1480</v>
      </c>
      <c r="F1243" s="73">
        <v>1220</v>
      </c>
      <c r="G1243" s="73">
        <v>2677</v>
      </c>
      <c r="H1243" s="73">
        <v>759</v>
      </c>
      <c r="I1243" s="73">
        <v>2014</v>
      </c>
      <c r="J1243" s="73">
        <v>72</v>
      </c>
      <c r="K1243" s="73">
        <v>269</v>
      </c>
      <c r="L1243" s="175">
        <v>4113</v>
      </c>
      <c r="M1243" s="175">
        <v>10802</v>
      </c>
      <c r="N1243" s="175">
        <v>6957</v>
      </c>
      <c r="O1243" s="175">
        <v>4113</v>
      </c>
      <c r="P1243" s="175">
        <v>16137</v>
      </c>
      <c r="Q1243" s="175">
        <v>9805</v>
      </c>
      <c r="R1243" s="79">
        <f t="shared" si="478"/>
        <v>27207</v>
      </c>
    </row>
    <row r="1244" spans="1:18" ht="15.6" x14ac:dyDescent="0.3">
      <c r="A1244" s="170">
        <v>40857</v>
      </c>
      <c r="B1244" s="108">
        <v>1434</v>
      </c>
      <c r="C1244" s="108">
        <v>5176</v>
      </c>
      <c r="D1244" s="108">
        <v>689</v>
      </c>
      <c r="E1244" s="108">
        <v>1701</v>
      </c>
      <c r="F1244" s="108">
        <v>1103</v>
      </c>
      <c r="G1244" s="108">
        <v>3262</v>
      </c>
      <c r="H1244" s="108">
        <v>877</v>
      </c>
      <c r="I1244" s="108">
        <v>2227</v>
      </c>
      <c r="J1244" s="108">
        <v>64</v>
      </c>
      <c r="K1244" s="108">
        <v>271</v>
      </c>
      <c r="L1244" s="108">
        <v>4167</v>
      </c>
      <c r="M1244" s="108">
        <v>12637</v>
      </c>
      <c r="N1244" s="108">
        <v>14305</v>
      </c>
      <c r="O1244" s="108">
        <v>7240</v>
      </c>
      <c r="P1244" s="108">
        <v>11879</v>
      </c>
      <c r="Q1244" s="108">
        <v>7994</v>
      </c>
      <c r="R1244" s="16">
        <f>P1244+N1244+L1244</f>
        <v>30351</v>
      </c>
    </row>
    <row r="1245" spans="1:18" ht="15.6" x14ac:dyDescent="0.3">
      <c r="A1245" s="170">
        <v>41221</v>
      </c>
      <c r="B1245" s="73">
        <v>1421</v>
      </c>
      <c r="C1245" s="73">
        <v>4489</v>
      </c>
      <c r="D1245" s="73">
        <v>610</v>
      </c>
      <c r="E1245" s="73">
        <v>1526</v>
      </c>
      <c r="F1245" s="73">
        <v>1215</v>
      </c>
      <c r="G1245" s="73">
        <v>2739</v>
      </c>
      <c r="H1245" s="73">
        <v>836</v>
      </c>
      <c r="I1245" s="73">
        <v>2062</v>
      </c>
      <c r="J1245" s="73">
        <v>47</v>
      </c>
      <c r="K1245" s="73">
        <v>284</v>
      </c>
      <c r="L1245" s="175">
        <v>4129</v>
      </c>
      <c r="M1245" s="175">
        <v>11101</v>
      </c>
      <c r="N1245" s="175">
        <v>6829</v>
      </c>
      <c r="O1245" s="175">
        <v>4343</v>
      </c>
      <c r="P1245" s="175">
        <v>14882</v>
      </c>
      <c r="Q1245" s="175">
        <v>11620</v>
      </c>
      <c r="R1245" s="79">
        <f>P1245+N1245+L1245</f>
        <v>25840</v>
      </c>
    </row>
    <row r="1246" spans="1:18" ht="15.6" x14ac:dyDescent="0.3">
      <c r="A1246" s="170">
        <v>40864</v>
      </c>
      <c r="B1246" s="108">
        <v>1461</v>
      </c>
      <c r="C1246" s="108">
        <v>5302</v>
      </c>
      <c r="D1246" s="108">
        <v>721.8</v>
      </c>
      <c r="E1246" s="108">
        <v>1743.7</v>
      </c>
      <c r="F1246" s="108">
        <v>1184.0999999999999</v>
      </c>
      <c r="G1246" s="108">
        <v>3338.7</v>
      </c>
      <c r="H1246" s="108">
        <v>986.1</v>
      </c>
      <c r="I1246" s="108">
        <v>2343.1999999999998</v>
      </c>
      <c r="J1246" s="108">
        <v>65.2</v>
      </c>
      <c r="K1246" s="108">
        <v>271.2</v>
      </c>
      <c r="L1246" s="108">
        <v>4418.6000000000004</v>
      </c>
      <c r="M1246" s="108">
        <v>12999.2</v>
      </c>
      <c r="N1246" s="108">
        <v>13643.3</v>
      </c>
      <c r="O1246" s="108">
        <v>8214.1</v>
      </c>
      <c r="P1246" s="108">
        <v>11808.5</v>
      </c>
      <c r="Q1246" s="108">
        <v>13595.9</v>
      </c>
      <c r="R1246" s="79">
        <f>P1246+N1246+L1246</f>
        <v>29870.400000000001</v>
      </c>
    </row>
    <row r="1247" spans="1:18" ht="15.6" x14ac:dyDescent="0.3">
      <c r="A1247" s="170">
        <v>41228</v>
      </c>
      <c r="B1247" s="73">
        <v>1514.2</v>
      </c>
      <c r="C1247" s="73">
        <v>4595.8999999999996</v>
      </c>
      <c r="D1247" s="73">
        <v>690.6</v>
      </c>
      <c r="E1247" s="73">
        <v>1582.3</v>
      </c>
      <c r="F1247" s="73">
        <v>1286.0999999999999</v>
      </c>
      <c r="G1247" s="73">
        <v>2817.9</v>
      </c>
      <c r="H1247" s="73">
        <v>899.1</v>
      </c>
      <c r="I1247" s="73">
        <v>2148.1999999999998</v>
      </c>
      <c r="J1247" s="73">
        <v>45.1</v>
      </c>
      <c r="K1247" s="73">
        <v>285.8</v>
      </c>
      <c r="L1247" s="175">
        <v>4435.1000000000004</v>
      </c>
      <c r="M1247" s="175">
        <v>11430.1</v>
      </c>
      <c r="N1247" s="175">
        <v>7203.8</v>
      </c>
      <c r="O1247" s="175">
        <v>4737.8999999999996</v>
      </c>
      <c r="P1247" s="175">
        <v>13449</v>
      </c>
      <c r="Q1247" s="175">
        <v>8985.1</v>
      </c>
      <c r="R1247" s="79">
        <f>P1247+N1247+L1247</f>
        <v>25087.9</v>
      </c>
    </row>
    <row r="1248" spans="1:18" ht="15.6" x14ac:dyDescent="0.3">
      <c r="A1248" s="170">
        <v>40871</v>
      </c>
      <c r="B1248" s="108">
        <v>1370</v>
      </c>
      <c r="C1248" s="108">
        <v>5462</v>
      </c>
      <c r="D1248" s="108">
        <v>740</v>
      </c>
      <c r="E1248" s="108">
        <v>1798</v>
      </c>
      <c r="F1248" s="108">
        <v>1310</v>
      </c>
      <c r="G1248" s="108">
        <v>3376</v>
      </c>
      <c r="H1248" s="108">
        <v>1143</v>
      </c>
      <c r="I1248" s="108">
        <v>2371</v>
      </c>
      <c r="J1248" s="108">
        <v>55</v>
      </c>
      <c r="K1248" s="108">
        <v>294</v>
      </c>
      <c r="L1248" s="108">
        <v>4620</v>
      </c>
      <c r="M1248" s="108">
        <v>13301</v>
      </c>
      <c r="N1248" s="108">
        <v>13114</v>
      </c>
      <c r="O1248" s="108">
        <v>9024</v>
      </c>
      <c r="P1248" s="108">
        <v>11081</v>
      </c>
      <c r="Q1248" s="108">
        <v>10202</v>
      </c>
      <c r="R1248" s="16">
        <v>28815</v>
      </c>
    </row>
    <row r="1249" spans="1:18" ht="15.6" x14ac:dyDescent="0.3">
      <c r="A1249" s="170">
        <v>41235</v>
      </c>
      <c r="B1249" s="73">
        <v>1446</v>
      </c>
      <c r="C1249" s="73">
        <v>4694</v>
      </c>
      <c r="D1249" s="73">
        <v>671</v>
      </c>
      <c r="E1249" s="73">
        <v>1605</v>
      </c>
      <c r="F1249" s="73">
        <v>1246</v>
      </c>
      <c r="G1249" s="73">
        <v>2901</v>
      </c>
      <c r="H1249" s="73">
        <v>1077</v>
      </c>
      <c r="I1249" s="73">
        <v>2173</v>
      </c>
      <c r="J1249" s="73">
        <v>45.1</v>
      </c>
      <c r="K1249" s="73">
        <v>285.8</v>
      </c>
      <c r="L1249" s="175">
        <v>4486</v>
      </c>
      <c r="M1249" s="175">
        <v>11659</v>
      </c>
      <c r="N1249" s="175">
        <v>7071</v>
      </c>
      <c r="O1249" s="175">
        <v>5107</v>
      </c>
      <c r="P1249" s="175">
        <v>12414</v>
      </c>
      <c r="Q1249" s="175">
        <v>14946</v>
      </c>
      <c r="R1249" s="79">
        <f>P1249+N1249+L1249</f>
        <v>23971</v>
      </c>
    </row>
    <row r="1250" spans="1:18" ht="15.6" x14ac:dyDescent="0.3">
      <c r="A1250" s="170">
        <v>40878</v>
      </c>
      <c r="B1250" s="108">
        <v>1411</v>
      </c>
      <c r="C1250" s="108">
        <v>5563</v>
      </c>
      <c r="D1250" s="108">
        <v>685</v>
      </c>
      <c r="E1250" s="108">
        <v>1888</v>
      </c>
      <c r="F1250" s="108">
        <v>1251</v>
      </c>
      <c r="G1250" s="108">
        <v>3537</v>
      </c>
      <c r="H1250" s="108">
        <v>1205</v>
      </c>
      <c r="I1250" s="108">
        <v>2443</v>
      </c>
      <c r="J1250" s="108">
        <v>64</v>
      </c>
      <c r="K1250" s="108">
        <v>294</v>
      </c>
      <c r="L1250" s="108">
        <v>4616</v>
      </c>
      <c r="M1250" s="108">
        <v>13724</v>
      </c>
      <c r="N1250" s="108">
        <v>12773</v>
      </c>
      <c r="O1250" s="108">
        <v>10061</v>
      </c>
      <c r="P1250" s="108">
        <v>11005</v>
      </c>
      <c r="Q1250" s="108">
        <v>11049</v>
      </c>
      <c r="R1250" s="16">
        <v>28438</v>
      </c>
    </row>
    <row r="1251" spans="1:18" ht="15.6" x14ac:dyDescent="0.3">
      <c r="A1251" s="170">
        <v>41242</v>
      </c>
      <c r="B1251" s="73">
        <v>1473</v>
      </c>
      <c r="C1251" s="73">
        <v>4821</v>
      </c>
      <c r="D1251" s="73">
        <v>671</v>
      </c>
      <c r="E1251" s="73">
        <v>1664</v>
      </c>
      <c r="F1251" s="73">
        <v>1203</v>
      </c>
      <c r="G1251" s="73">
        <v>2989</v>
      </c>
      <c r="H1251" s="73">
        <v>1051</v>
      </c>
      <c r="I1251" s="73">
        <v>2287</v>
      </c>
      <c r="J1251" s="73">
        <v>54</v>
      </c>
      <c r="K1251" s="73">
        <v>285.8</v>
      </c>
      <c r="L1251" s="175">
        <v>4452</v>
      </c>
      <c r="M1251" s="175">
        <v>12045</v>
      </c>
      <c r="N1251" s="175">
        <v>6830</v>
      </c>
      <c r="O1251" s="175">
        <v>5399</v>
      </c>
      <c r="P1251" s="175">
        <v>12004</v>
      </c>
      <c r="Q1251" s="175">
        <v>16400</v>
      </c>
      <c r="R1251" s="79">
        <f>P1251+N1251+L1251</f>
        <v>23286</v>
      </c>
    </row>
    <row r="1252" spans="1:18" ht="15.6" x14ac:dyDescent="0.3">
      <c r="A1252" s="170">
        <v>40885</v>
      </c>
      <c r="B1252" s="108">
        <v>1311</v>
      </c>
      <c r="C1252" s="108">
        <v>5769</v>
      </c>
      <c r="D1252" s="108">
        <v>700</v>
      </c>
      <c r="E1252" s="108">
        <v>1896</v>
      </c>
      <c r="F1252" s="108">
        <v>1116</v>
      </c>
      <c r="G1252" s="108">
        <v>3776</v>
      </c>
      <c r="H1252" s="108">
        <v>1190</v>
      </c>
      <c r="I1252" s="108">
        <v>2528</v>
      </c>
      <c r="J1252" s="108">
        <v>79</v>
      </c>
      <c r="K1252" s="108">
        <v>294</v>
      </c>
      <c r="L1252" s="108">
        <v>4396</v>
      </c>
      <c r="M1252" s="108">
        <v>14262</v>
      </c>
      <c r="N1252" s="108">
        <v>12390</v>
      </c>
      <c r="O1252" s="108">
        <v>10948</v>
      </c>
      <c r="P1252" s="108">
        <v>10465</v>
      </c>
      <c r="Q1252" s="108">
        <v>12057</v>
      </c>
      <c r="R1252" s="16">
        <v>27251</v>
      </c>
    </row>
    <row r="1253" spans="1:18" ht="15.6" x14ac:dyDescent="0.3">
      <c r="A1253" s="170">
        <v>41249</v>
      </c>
      <c r="B1253" s="73">
        <v>1417</v>
      </c>
      <c r="C1253" s="73">
        <v>4970</v>
      </c>
      <c r="D1253" s="73">
        <v>705</v>
      </c>
      <c r="E1253" s="73">
        <v>1713</v>
      </c>
      <c r="F1253" s="73">
        <v>1252</v>
      </c>
      <c r="G1253" s="73">
        <v>3063</v>
      </c>
      <c r="H1253" s="73">
        <v>1213</v>
      </c>
      <c r="I1253" s="73">
        <v>2323</v>
      </c>
      <c r="J1253" s="73">
        <v>74</v>
      </c>
      <c r="K1253" s="73">
        <v>285.8</v>
      </c>
      <c r="L1253" s="175">
        <v>4661</v>
      </c>
      <c r="M1253" s="175">
        <v>12355</v>
      </c>
      <c r="N1253" s="175">
        <v>6380</v>
      </c>
      <c r="O1253" s="175">
        <v>5658</v>
      </c>
      <c r="P1253" s="175">
        <v>12164</v>
      </c>
      <c r="Q1253" s="175">
        <v>17559</v>
      </c>
      <c r="R1253" s="79">
        <f>P1253+N1253+L1253</f>
        <v>23205</v>
      </c>
    </row>
    <row r="1254" spans="1:18" ht="15.6" x14ac:dyDescent="0.3">
      <c r="A1254" s="170">
        <v>40892</v>
      </c>
      <c r="B1254" s="108">
        <v>1339.3</v>
      </c>
      <c r="C1254" s="108">
        <v>5873.8</v>
      </c>
      <c r="D1254" s="108">
        <v>709</v>
      </c>
      <c r="E1254" s="108">
        <v>1919.7</v>
      </c>
      <c r="F1254" s="108">
        <v>1188</v>
      </c>
      <c r="G1254" s="108">
        <v>3830</v>
      </c>
      <c r="H1254" s="108">
        <v>1071.2</v>
      </c>
      <c r="I1254" s="108">
        <v>2715.4</v>
      </c>
      <c r="J1254" s="108">
        <v>50.3</v>
      </c>
      <c r="K1254" s="108">
        <v>323.3</v>
      </c>
      <c r="L1254" s="108">
        <v>4357.8</v>
      </c>
      <c r="M1254" s="108">
        <v>14662</v>
      </c>
      <c r="N1254" s="108">
        <v>11804.4</v>
      </c>
      <c r="O1254" s="108">
        <v>12248.7</v>
      </c>
      <c r="P1254" s="108">
        <v>10184.299999999999</v>
      </c>
      <c r="Q1254" s="108">
        <v>12991.3</v>
      </c>
      <c r="R1254" s="16">
        <v>26346.499999999996</v>
      </c>
    </row>
    <row r="1255" spans="1:18" ht="15.6" x14ac:dyDescent="0.3">
      <c r="A1255" s="170">
        <v>41256</v>
      </c>
      <c r="B1255" s="73">
        <v>1453</v>
      </c>
      <c r="C1255" s="73">
        <v>5169</v>
      </c>
      <c r="D1255" s="73">
        <v>846</v>
      </c>
      <c r="E1255" s="73">
        <v>1718</v>
      </c>
      <c r="F1255" s="73">
        <v>1287</v>
      </c>
      <c r="G1255" s="73">
        <v>3183</v>
      </c>
      <c r="H1255" s="73">
        <v>1223</v>
      </c>
      <c r="I1255" s="73">
        <v>2408</v>
      </c>
      <c r="J1255" s="73">
        <v>94</v>
      </c>
      <c r="K1255" s="73">
        <v>286</v>
      </c>
      <c r="L1255" s="175">
        <v>4904</v>
      </c>
      <c r="M1255" s="175">
        <v>12763</v>
      </c>
      <c r="N1255" s="175">
        <v>6511</v>
      </c>
      <c r="O1255" s="175">
        <v>6091</v>
      </c>
      <c r="P1255" s="175">
        <v>11435</v>
      </c>
      <c r="Q1255" s="175">
        <v>18908</v>
      </c>
      <c r="R1255" s="79">
        <f>P1255+N1255+L1255</f>
        <v>22850</v>
      </c>
    </row>
    <row r="1256" spans="1:18" ht="15.6" x14ac:dyDescent="0.3">
      <c r="A1256" s="170">
        <v>40899</v>
      </c>
      <c r="B1256" s="108">
        <v>1367.6</v>
      </c>
      <c r="C1256" s="108">
        <v>6069.7</v>
      </c>
      <c r="D1256" s="108">
        <v>688.2</v>
      </c>
      <c r="E1256" s="108">
        <v>1958.1</v>
      </c>
      <c r="F1256" s="108">
        <v>1181.7</v>
      </c>
      <c r="G1256" s="108">
        <v>1958.1</v>
      </c>
      <c r="H1256" s="108">
        <v>1082.4000000000001</v>
      </c>
      <c r="I1256" s="108">
        <v>2780.3</v>
      </c>
      <c r="J1256" s="108">
        <v>55.3</v>
      </c>
      <c r="K1256" s="108">
        <v>346.5</v>
      </c>
      <c r="L1256" s="108">
        <v>4375.3</v>
      </c>
      <c r="M1256" s="108">
        <v>15075.9</v>
      </c>
      <c r="N1256" s="108">
        <v>11176.9</v>
      </c>
      <c r="O1256" s="108">
        <v>13195</v>
      </c>
      <c r="P1256" s="108">
        <v>9778.5</v>
      </c>
      <c r="Q1256" s="108">
        <v>14059.8</v>
      </c>
      <c r="R1256" s="79">
        <f>P1256+N1256+L1256</f>
        <v>25330.7</v>
      </c>
    </row>
    <row r="1257" spans="1:18" ht="15.6" x14ac:dyDescent="0.3">
      <c r="A1257" s="170">
        <v>41263</v>
      </c>
      <c r="B1257" s="73">
        <v>1715.9</v>
      </c>
      <c r="C1257" s="73">
        <v>5332.4</v>
      </c>
      <c r="D1257" s="73">
        <v>1190.4000000000001</v>
      </c>
      <c r="E1257" s="73">
        <v>1752.1</v>
      </c>
      <c r="F1257" s="73">
        <v>1220</v>
      </c>
      <c r="G1257" s="73">
        <v>1752.1</v>
      </c>
      <c r="H1257" s="73">
        <v>1256.5</v>
      </c>
      <c r="I1257" s="73">
        <v>2475.3000000000002</v>
      </c>
      <c r="J1257" s="73">
        <v>106.9</v>
      </c>
      <c r="K1257" s="73">
        <v>317.8</v>
      </c>
      <c r="L1257" s="175">
        <v>5489.8</v>
      </c>
      <c r="M1257" s="175">
        <v>13186.5</v>
      </c>
      <c r="N1257" s="175">
        <v>6329.1</v>
      </c>
      <c r="O1257" s="175">
        <v>6377.9</v>
      </c>
      <c r="P1257" s="175">
        <v>10368.200000000001</v>
      </c>
      <c r="Q1257" s="175">
        <v>20061.900000000001</v>
      </c>
      <c r="R1257" s="79">
        <f>P1257+N1257+L1257</f>
        <v>22187.100000000002</v>
      </c>
    </row>
    <row r="1258" spans="1:18" ht="15.6" x14ac:dyDescent="0.3">
      <c r="A1258" s="170">
        <v>40906</v>
      </c>
      <c r="B1258" s="108">
        <v>1298</v>
      </c>
      <c r="C1258" s="108">
        <v>6211</v>
      </c>
      <c r="D1258" s="108">
        <v>590</v>
      </c>
      <c r="E1258" s="108">
        <v>2028</v>
      </c>
      <c r="F1258" s="108">
        <v>1144</v>
      </c>
      <c r="G1258" s="108">
        <v>3988</v>
      </c>
      <c r="H1258" s="108">
        <v>1001</v>
      </c>
      <c r="I1258" s="108">
        <v>2917</v>
      </c>
      <c r="J1258" s="108">
        <v>55</v>
      </c>
      <c r="K1258" s="108">
        <v>358</v>
      </c>
      <c r="L1258" s="108">
        <v>4088</v>
      </c>
      <c r="M1258" s="108">
        <v>15502</v>
      </c>
      <c r="N1258" s="108">
        <v>10900</v>
      </c>
      <c r="O1258" s="108">
        <v>13771</v>
      </c>
      <c r="P1258" s="108">
        <v>9032</v>
      </c>
      <c r="Q1258" s="108">
        <v>15088</v>
      </c>
      <c r="R1258" s="79">
        <f>P1258+N1258+L1258</f>
        <v>24020</v>
      </c>
    </row>
    <row r="1259" spans="1:18" ht="15.6" x14ac:dyDescent="0.3">
      <c r="A1259" s="170">
        <v>41270</v>
      </c>
      <c r="B1259" s="73">
        <v>1802</v>
      </c>
      <c r="C1259" s="73">
        <v>5399</v>
      </c>
      <c r="D1259" s="73">
        <v>1278</v>
      </c>
      <c r="E1259" s="73">
        <v>1777</v>
      </c>
      <c r="F1259" s="73">
        <v>1285</v>
      </c>
      <c r="G1259" s="73">
        <v>3354</v>
      </c>
      <c r="H1259" s="73">
        <v>1260</v>
      </c>
      <c r="I1259" s="73">
        <v>2498</v>
      </c>
      <c r="J1259" s="73">
        <v>106.9</v>
      </c>
      <c r="K1259" s="73">
        <v>317.8</v>
      </c>
      <c r="L1259" s="175">
        <v>5731</v>
      </c>
      <c r="M1259" s="175">
        <v>13345</v>
      </c>
      <c r="N1259" s="175">
        <v>6173</v>
      </c>
      <c r="O1259" s="175">
        <v>6583</v>
      </c>
      <c r="P1259" s="175">
        <v>9767</v>
      </c>
      <c r="Q1259" s="175">
        <v>21098</v>
      </c>
      <c r="R1259" s="79">
        <f>P1259+N1259+L1259</f>
        <v>21671</v>
      </c>
    </row>
    <row r="1260" spans="1:18" ht="15.6" x14ac:dyDescent="0.3">
      <c r="A1260" s="170">
        <v>40913</v>
      </c>
      <c r="B1260" s="108">
        <v>1300</v>
      </c>
      <c r="C1260" s="108">
        <v>6274</v>
      </c>
      <c r="D1260" s="108">
        <v>583</v>
      </c>
      <c r="E1260" s="108">
        <v>2059</v>
      </c>
      <c r="F1260" s="108">
        <v>1187</v>
      </c>
      <c r="G1260" s="108">
        <v>4042</v>
      </c>
      <c r="H1260" s="108">
        <v>1132</v>
      </c>
      <c r="I1260" s="108">
        <v>2965</v>
      </c>
      <c r="J1260" s="108">
        <v>55</v>
      </c>
      <c r="K1260" s="108">
        <v>358</v>
      </c>
      <c r="L1260" s="108">
        <v>4257</v>
      </c>
      <c r="M1260" s="108">
        <v>15698</v>
      </c>
      <c r="N1260" s="108">
        <v>10474</v>
      </c>
      <c r="O1260" s="108">
        <v>14519</v>
      </c>
      <c r="P1260" s="108">
        <v>8679</v>
      </c>
      <c r="Q1260" s="108">
        <v>15874</v>
      </c>
      <c r="R1260" s="79">
        <v>23410</v>
      </c>
    </row>
    <row r="1261" spans="1:18" ht="15.6" x14ac:dyDescent="0.3">
      <c r="A1261" s="170">
        <v>41277</v>
      </c>
      <c r="B1261" s="73">
        <v>1843</v>
      </c>
      <c r="C1261" s="73">
        <v>5436</v>
      </c>
      <c r="D1261" s="73">
        <v>1330</v>
      </c>
      <c r="E1261" s="73">
        <v>1806</v>
      </c>
      <c r="F1261" s="73">
        <v>1200</v>
      </c>
      <c r="G1261" s="73">
        <v>3463</v>
      </c>
      <c r="H1261" s="73">
        <v>1220</v>
      </c>
      <c r="I1261" s="73">
        <v>2587</v>
      </c>
      <c r="J1261" s="73">
        <v>106.9</v>
      </c>
      <c r="K1261" s="73">
        <v>317.8</v>
      </c>
      <c r="L1261" s="175">
        <v>5701</v>
      </c>
      <c r="M1261" s="175">
        <v>13610</v>
      </c>
      <c r="N1261" s="175">
        <v>6079</v>
      </c>
      <c r="O1261" s="175">
        <v>6690</v>
      </c>
      <c r="P1261" s="175">
        <v>8912</v>
      </c>
      <c r="Q1261" s="175">
        <v>22179</v>
      </c>
      <c r="R1261" s="79">
        <f t="shared" ref="R1261:R1267" si="479">P1261+N1261+L1261</f>
        <v>20692</v>
      </c>
    </row>
    <row r="1262" spans="1:18" ht="15.6" x14ac:dyDescent="0.3">
      <c r="A1262" s="170">
        <v>40920</v>
      </c>
      <c r="B1262" s="108">
        <v>1341</v>
      </c>
      <c r="C1262" s="108">
        <v>6406</v>
      </c>
      <c r="D1262" s="108">
        <v>597</v>
      </c>
      <c r="E1262" s="108">
        <v>2113</v>
      </c>
      <c r="F1262" s="108">
        <v>1251</v>
      </c>
      <c r="G1262" s="108">
        <v>4105</v>
      </c>
      <c r="H1262" s="108">
        <v>1253</v>
      </c>
      <c r="I1262" s="108">
        <v>3072</v>
      </c>
      <c r="J1262" s="108">
        <v>45</v>
      </c>
      <c r="K1262" s="108">
        <v>360</v>
      </c>
      <c r="L1262" s="108">
        <v>4486</v>
      </c>
      <c r="M1262" s="108">
        <v>16056</v>
      </c>
      <c r="N1262" s="108">
        <v>10480</v>
      </c>
      <c r="O1262" s="108">
        <v>15273</v>
      </c>
      <c r="P1262" s="108">
        <v>8592</v>
      </c>
      <c r="Q1262" s="108">
        <v>16953</v>
      </c>
      <c r="R1262" s="79">
        <f t="shared" si="479"/>
        <v>23558</v>
      </c>
    </row>
    <row r="1263" spans="1:18" ht="15.6" x14ac:dyDescent="0.3">
      <c r="A1263" s="170">
        <v>41284</v>
      </c>
      <c r="B1263" s="73">
        <v>1825</v>
      </c>
      <c r="C1263" s="73">
        <v>5528</v>
      </c>
      <c r="D1263" s="73">
        <v>1618</v>
      </c>
      <c r="E1263" s="73">
        <v>1839</v>
      </c>
      <c r="F1263" s="73">
        <v>1167</v>
      </c>
      <c r="G1263" s="73">
        <v>3556</v>
      </c>
      <c r="H1263" s="73">
        <v>1235</v>
      </c>
      <c r="I1263" s="73">
        <v>2653</v>
      </c>
      <c r="J1263" s="73">
        <v>106.9</v>
      </c>
      <c r="K1263" s="73">
        <v>317.8</v>
      </c>
      <c r="L1263" s="175">
        <v>5952</v>
      </c>
      <c r="M1263" s="175">
        <v>13895</v>
      </c>
      <c r="N1263" s="175">
        <v>6225</v>
      </c>
      <c r="O1263" s="175">
        <v>6937</v>
      </c>
      <c r="P1263" s="175">
        <v>9240</v>
      </c>
      <c r="Q1263" s="175">
        <v>23460</v>
      </c>
      <c r="R1263" s="79">
        <f t="shared" si="479"/>
        <v>21417</v>
      </c>
    </row>
    <row r="1264" spans="1:18" ht="15.6" x14ac:dyDescent="0.3">
      <c r="A1264" s="170">
        <v>40927</v>
      </c>
      <c r="B1264" s="108">
        <v>1346</v>
      </c>
      <c r="C1264" s="108">
        <v>6545</v>
      </c>
      <c r="D1264" s="108">
        <v>629</v>
      </c>
      <c r="E1264" s="108">
        <v>2176</v>
      </c>
      <c r="F1264" s="108">
        <v>1219</v>
      </c>
      <c r="G1264" s="108">
        <v>4167</v>
      </c>
      <c r="H1264" s="108">
        <v>1443</v>
      </c>
      <c r="I1264" s="108">
        <v>3217</v>
      </c>
      <c r="J1264" s="108">
        <v>30</v>
      </c>
      <c r="K1264" s="108">
        <v>375</v>
      </c>
      <c r="L1264" s="108">
        <v>4667</v>
      </c>
      <c r="M1264" s="108">
        <v>16481</v>
      </c>
      <c r="N1264" s="108">
        <v>10497</v>
      </c>
      <c r="O1264" s="108">
        <v>16214</v>
      </c>
      <c r="P1264" s="108">
        <v>7873</v>
      </c>
      <c r="Q1264" s="108">
        <v>18137</v>
      </c>
      <c r="R1264" s="79">
        <f t="shared" si="479"/>
        <v>23037</v>
      </c>
    </row>
    <row r="1265" spans="1:18" ht="15.6" x14ac:dyDescent="0.3">
      <c r="A1265" s="170">
        <v>41291</v>
      </c>
      <c r="B1265" s="73">
        <v>1897</v>
      </c>
      <c r="C1265" s="73">
        <v>5709</v>
      </c>
      <c r="D1265" s="73">
        <v>1680</v>
      </c>
      <c r="E1265" s="73">
        <v>1879</v>
      </c>
      <c r="F1265" s="73">
        <v>1202</v>
      </c>
      <c r="G1265" s="73">
        <v>3656</v>
      </c>
      <c r="H1265" s="73">
        <v>1077</v>
      </c>
      <c r="I1265" s="73">
        <v>2885</v>
      </c>
      <c r="J1265" s="73">
        <v>109</v>
      </c>
      <c r="K1265" s="73">
        <v>317.8</v>
      </c>
      <c r="L1265" s="175">
        <v>5965</v>
      </c>
      <c r="M1265" s="175">
        <v>14448</v>
      </c>
      <c r="N1265" s="175">
        <v>5994</v>
      </c>
      <c r="O1265" s="175">
        <v>7306</v>
      </c>
      <c r="P1265" s="175">
        <v>8352</v>
      </c>
      <c r="Q1265" s="175">
        <v>24665</v>
      </c>
      <c r="R1265" s="79">
        <f t="shared" si="479"/>
        <v>20311</v>
      </c>
    </row>
    <row r="1266" spans="1:18" ht="15.6" x14ac:dyDescent="0.3">
      <c r="A1266" s="170">
        <v>40934</v>
      </c>
      <c r="B1266" s="108">
        <v>1452</v>
      </c>
      <c r="C1266" s="108">
        <v>6790</v>
      </c>
      <c r="D1266" s="108">
        <v>592</v>
      </c>
      <c r="E1266" s="108">
        <v>2254</v>
      </c>
      <c r="F1266" s="108">
        <v>1199</v>
      </c>
      <c r="G1266" s="108">
        <v>4236</v>
      </c>
      <c r="H1266" s="108">
        <v>1458</v>
      </c>
      <c r="I1266" s="108">
        <v>3280</v>
      </c>
      <c r="J1266" s="108">
        <v>30</v>
      </c>
      <c r="K1266" s="108">
        <v>375</v>
      </c>
      <c r="L1266" s="108">
        <v>4731</v>
      </c>
      <c r="M1266" s="108">
        <v>16935</v>
      </c>
      <c r="N1266" s="108">
        <v>10739</v>
      </c>
      <c r="O1266" s="108">
        <v>16883</v>
      </c>
      <c r="P1266" s="108">
        <v>7012</v>
      </c>
      <c r="Q1266" s="108">
        <v>19243</v>
      </c>
      <c r="R1266" s="79">
        <f t="shared" si="479"/>
        <v>22482</v>
      </c>
    </row>
    <row r="1267" spans="1:18" ht="15.6" x14ac:dyDescent="0.3">
      <c r="A1267" s="170">
        <v>41298</v>
      </c>
      <c r="B1267" s="73">
        <v>1747</v>
      </c>
      <c r="C1267" s="73">
        <v>5960</v>
      </c>
      <c r="D1267" s="73">
        <v>1627</v>
      </c>
      <c r="E1267" s="73">
        <v>1981</v>
      </c>
      <c r="F1267" s="73">
        <v>1135</v>
      </c>
      <c r="G1267" s="73">
        <v>3781</v>
      </c>
      <c r="H1267" s="73">
        <v>1019</v>
      </c>
      <c r="I1267" s="73">
        <v>3020</v>
      </c>
      <c r="J1267" s="73">
        <v>107</v>
      </c>
      <c r="K1267" s="73">
        <v>330</v>
      </c>
      <c r="L1267" s="175">
        <v>5635</v>
      </c>
      <c r="M1267" s="175">
        <v>15072</v>
      </c>
      <c r="N1267" s="175">
        <v>5572</v>
      </c>
      <c r="O1267" s="175">
        <v>7916</v>
      </c>
      <c r="P1267" s="175">
        <v>7603</v>
      </c>
      <c r="Q1267" s="175">
        <v>25800</v>
      </c>
      <c r="R1267" s="79">
        <f t="shared" si="479"/>
        <v>18810</v>
      </c>
    </row>
    <row r="1268" spans="1:18" ht="15.6" x14ac:dyDescent="0.3">
      <c r="A1268" s="170">
        <v>40941</v>
      </c>
      <c r="B1268" s="108">
        <v>1396</v>
      </c>
      <c r="C1268" s="108">
        <v>6977</v>
      </c>
      <c r="D1268" s="108">
        <v>734</v>
      </c>
      <c r="E1268" s="108">
        <v>2280</v>
      </c>
      <c r="F1268" s="108">
        <v>1120</v>
      </c>
      <c r="G1268" s="108">
        <v>4433</v>
      </c>
      <c r="H1268" s="108">
        <v>1694</v>
      </c>
      <c r="I1268" s="108">
        <v>3331</v>
      </c>
      <c r="J1268" s="108">
        <v>31</v>
      </c>
      <c r="K1268" s="108">
        <v>379</v>
      </c>
      <c r="L1268" s="108">
        <v>4975</v>
      </c>
      <c r="M1268" s="108">
        <v>17399</v>
      </c>
      <c r="N1268" s="108">
        <v>10345</v>
      </c>
      <c r="O1268" s="108">
        <v>17972</v>
      </c>
      <c r="P1268" s="108">
        <v>6592</v>
      </c>
      <c r="Q1268" s="108">
        <v>20267</v>
      </c>
      <c r="R1268" s="79">
        <f>P1268+N1268+L1268</f>
        <v>21912</v>
      </c>
    </row>
    <row r="1269" spans="1:18" ht="15.6" x14ac:dyDescent="0.3">
      <c r="A1269" s="170">
        <v>41305</v>
      </c>
      <c r="B1269" s="73">
        <v>1730</v>
      </c>
      <c r="C1269" s="73">
        <v>6052</v>
      </c>
      <c r="D1269" s="73">
        <v>1504</v>
      </c>
      <c r="E1269" s="73">
        <v>2172</v>
      </c>
      <c r="F1269" s="73">
        <v>1134</v>
      </c>
      <c r="G1269" s="73">
        <v>3817</v>
      </c>
      <c r="H1269" s="73">
        <v>994</v>
      </c>
      <c r="I1269" s="73">
        <v>3139</v>
      </c>
      <c r="J1269" s="73">
        <v>107</v>
      </c>
      <c r="K1269" s="73">
        <v>349</v>
      </c>
      <c r="L1269" s="175">
        <v>5468</v>
      </c>
      <c r="M1269" s="175">
        <v>15529</v>
      </c>
      <c r="N1269" s="175">
        <v>5532</v>
      </c>
      <c r="O1269" s="175">
        <v>8124</v>
      </c>
      <c r="P1269" s="175">
        <v>6944</v>
      </c>
      <c r="Q1269" s="175">
        <v>27278</v>
      </c>
      <c r="R1269" s="79">
        <f>P1269+N1269+L1269</f>
        <v>17944</v>
      </c>
    </row>
    <row r="1270" spans="1:18" ht="15.6" x14ac:dyDescent="0.3">
      <c r="A1270" s="170">
        <v>40948</v>
      </c>
      <c r="B1270" s="108">
        <v>1323</v>
      </c>
      <c r="C1270" s="108">
        <v>7104</v>
      </c>
      <c r="D1270" s="108">
        <v>749</v>
      </c>
      <c r="E1270" s="108">
        <v>2335</v>
      </c>
      <c r="F1270" s="108">
        <v>1045</v>
      </c>
      <c r="G1270" s="108">
        <v>4564</v>
      </c>
      <c r="H1270" s="108">
        <v>1775</v>
      </c>
      <c r="I1270" s="108">
        <v>3490</v>
      </c>
      <c r="J1270" s="108">
        <v>25</v>
      </c>
      <c r="K1270" s="108">
        <v>386</v>
      </c>
      <c r="L1270" s="108">
        <v>4916</v>
      </c>
      <c r="M1270" s="108">
        <v>17878</v>
      </c>
      <c r="N1270" s="108">
        <v>10664</v>
      </c>
      <c r="O1270" s="108">
        <v>18658</v>
      </c>
      <c r="P1270" s="108">
        <v>6027</v>
      </c>
      <c r="Q1270" s="108">
        <v>21200</v>
      </c>
      <c r="R1270" s="79">
        <v>21607</v>
      </c>
    </row>
    <row r="1271" spans="1:18" ht="15.6" x14ac:dyDescent="0.3">
      <c r="A1271" s="170">
        <v>41312</v>
      </c>
      <c r="B1271" s="73">
        <v>1826</v>
      </c>
      <c r="C1271" s="73">
        <v>6160</v>
      </c>
      <c r="D1271" s="73">
        <v>1570</v>
      </c>
      <c r="E1271" s="73">
        <v>2334</v>
      </c>
      <c r="F1271" s="73">
        <v>1094</v>
      </c>
      <c r="G1271" s="73">
        <v>3992</v>
      </c>
      <c r="H1271" s="73">
        <v>932</v>
      </c>
      <c r="I1271" s="73">
        <v>3267</v>
      </c>
      <c r="J1271" s="73">
        <v>81</v>
      </c>
      <c r="K1271" s="73">
        <v>352</v>
      </c>
      <c r="L1271" s="175">
        <v>5543</v>
      </c>
      <c r="M1271" s="175">
        <v>16105</v>
      </c>
      <c r="N1271" s="175">
        <v>5365</v>
      </c>
      <c r="O1271" s="175">
        <v>8517</v>
      </c>
      <c r="P1271" s="175">
        <v>5845</v>
      </c>
      <c r="Q1271" s="175">
        <v>28185</v>
      </c>
      <c r="R1271" s="79">
        <f t="shared" ref="R1271:R1277" si="480">P1271+N1271+L1271</f>
        <v>16753</v>
      </c>
    </row>
    <row r="1272" spans="1:18" ht="15.6" x14ac:dyDescent="0.3">
      <c r="A1272" s="170">
        <v>40955</v>
      </c>
      <c r="B1272" s="108">
        <v>1215</v>
      </c>
      <c r="C1272" s="108">
        <v>7310</v>
      </c>
      <c r="D1272" s="108">
        <v>913</v>
      </c>
      <c r="E1272" s="108">
        <v>2390</v>
      </c>
      <c r="F1272" s="108">
        <v>1229</v>
      </c>
      <c r="G1272" s="108">
        <v>4658</v>
      </c>
      <c r="H1272" s="108">
        <v>1708</v>
      </c>
      <c r="I1272" s="108">
        <v>3663</v>
      </c>
      <c r="J1272" s="108">
        <v>22</v>
      </c>
      <c r="K1272" s="108">
        <v>388</v>
      </c>
      <c r="L1272" s="108">
        <v>5087</v>
      </c>
      <c r="M1272" s="108">
        <v>18409</v>
      </c>
      <c r="N1272" s="108">
        <v>10729</v>
      </c>
      <c r="O1272" s="108">
        <v>19435</v>
      </c>
      <c r="P1272" s="108">
        <v>5979</v>
      </c>
      <c r="Q1272" s="108">
        <v>22332</v>
      </c>
      <c r="R1272" s="79">
        <f t="shared" si="480"/>
        <v>21795</v>
      </c>
    </row>
    <row r="1273" spans="1:18" ht="15.6" x14ac:dyDescent="0.3">
      <c r="A1273" s="170">
        <v>41319</v>
      </c>
      <c r="B1273" s="73">
        <v>1810</v>
      </c>
      <c r="C1273" s="73">
        <v>6282</v>
      </c>
      <c r="D1273" s="73">
        <v>1636</v>
      </c>
      <c r="E1273" s="73">
        <v>2550</v>
      </c>
      <c r="F1273" s="73">
        <v>1259</v>
      </c>
      <c r="G1273" s="73">
        <v>4121</v>
      </c>
      <c r="H1273" s="73">
        <v>941</v>
      </c>
      <c r="I1273" s="73">
        <v>3312</v>
      </c>
      <c r="J1273" s="73">
        <v>81</v>
      </c>
      <c r="K1273" s="73">
        <v>356</v>
      </c>
      <c r="L1273" s="175">
        <v>5726</v>
      </c>
      <c r="M1273" s="175">
        <v>16622</v>
      </c>
      <c r="N1273" s="175">
        <v>5470</v>
      </c>
      <c r="O1273" s="175">
        <v>8773</v>
      </c>
      <c r="P1273" s="175">
        <v>4769</v>
      </c>
      <c r="Q1273" s="175">
        <v>29141</v>
      </c>
      <c r="R1273" s="79">
        <f t="shared" si="480"/>
        <v>15965</v>
      </c>
    </row>
    <row r="1274" spans="1:18" ht="15.6" x14ac:dyDescent="0.3">
      <c r="A1274" s="170">
        <v>40955</v>
      </c>
      <c r="B1274" s="108">
        <v>1272</v>
      </c>
      <c r="C1274" s="108">
        <v>7355</v>
      </c>
      <c r="D1274" s="108">
        <v>951</v>
      </c>
      <c r="E1274" s="108">
        <v>2422</v>
      </c>
      <c r="F1274" s="108">
        <v>1238</v>
      </c>
      <c r="G1274" s="108">
        <v>4730</v>
      </c>
      <c r="H1274" s="108">
        <v>1812</v>
      </c>
      <c r="I1274" s="108">
        <v>3720</v>
      </c>
      <c r="J1274" s="108">
        <v>22</v>
      </c>
      <c r="K1274" s="108">
        <v>388</v>
      </c>
      <c r="L1274" s="108">
        <v>5295</v>
      </c>
      <c r="M1274" s="108">
        <v>18614</v>
      </c>
      <c r="N1274" s="108">
        <v>10601</v>
      </c>
      <c r="O1274" s="108">
        <v>20253</v>
      </c>
      <c r="P1274" s="108">
        <v>5548</v>
      </c>
      <c r="Q1274" s="108">
        <v>23312</v>
      </c>
      <c r="R1274" s="79">
        <f t="shared" si="480"/>
        <v>21444</v>
      </c>
    </row>
    <row r="1275" spans="1:18" ht="15.6" x14ac:dyDescent="0.3">
      <c r="A1275" s="170">
        <v>41326</v>
      </c>
      <c r="B1275" s="73">
        <v>1755</v>
      </c>
      <c r="C1275" s="73">
        <v>6517</v>
      </c>
      <c r="D1275" s="73">
        <v>1652</v>
      </c>
      <c r="E1275" s="73">
        <v>2702</v>
      </c>
      <c r="F1275" s="73">
        <v>1223</v>
      </c>
      <c r="G1275" s="73">
        <v>4197</v>
      </c>
      <c r="H1275" s="73">
        <v>804</v>
      </c>
      <c r="I1275" s="73">
        <v>3436</v>
      </c>
      <c r="J1275" s="73">
        <v>81</v>
      </c>
      <c r="K1275" s="73">
        <v>356</v>
      </c>
      <c r="L1275" s="175">
        <v>5514</v>
      </c>
      <c r="M1275" s="175">
        <v>17206</v>
      </c>
      <c r="N1275" s="175">
        <v>5477</v>
      </c>
      <c r="O1275" s="175">
        <v>9070</v>
      </c>
      <c r="P1275" s="175">
        <v>4636</v>
      </c>
      <c r="Q1275" s="175">
        <v>29964</v>
      </c>
      <c r="R1275" s="79">
        <f t="shared" si="480"/>
        <v>15627</v>
      </c>
    </row>
    <row r="1276" spans="1:18" ht="15.6" x14ac:dyDescent="0.3">
      <c r="A1276" s="170">
        <v>40969</v>
      </c>
      <c r="B1276" s="108">
        <v>1393</v>
      </c>
      <c r="C1276" s="108">
        <v>7443</v>
      </c>
      <c r="D1276" s="108">
        <v>966</v>
      </c>
      <c r="E1276" s="108">
        <v>2480</v>
      </c>
      <c r="F1276" s="108">
        <v>1303</v>
      </c>
      <c r="G1276" s="108">
        <v>4822</v>
      </c>
      <c r="H1276" s="108">
        <v>1621</v>
      </c>
      <c r="I1276" s="108">
        <v>3914</v>
      </c>
      <c r="J1276" s="108">
        <v>26</v>
      </c>
      <c r="K1276" s="108">
        <v>388</v>
      </c>
      <c r="L1276" s="108">
        <v>5309</v>
      </c>
      <c r="M1276" s="108">
        <v>19047</v>
      </c>
      <c r="N1276" s="108">
        <v>10277</v>
      </c>
      <c r="O1276" s="108">
        <v>21022</v>
      </c>
      <c r="P1276" s="108">
        <v>5487</v>
      </c>
      <c r="Q1276" s="108">
        <v>24388</v>
      </c>
      <c r="R1276" s="79">
        <f t="shared" si="480"/>
        <v>21073</v>
      </c>
    </row>
    <row r="1277" spans="1:18" ht="15.6" x14ac:dyDescent="0.3">
      <c r="A1277" s="170">
        <v>41333</v>
      </c>
      <c r="B1277" s="73">
        <v>1685</v>
      </c>
      <c r="C1277" s="73">
        <v>6837</v>
      </c>
      <c r="D1277" s="73">
        <v>1681</v>
      </c>
      <c r="E1277" s="73">
        <v>2899</v>
      </c>
      <c r="F1277" s="73">
        <v>1163</v>
      </c>
      <c r="G1277" s="73">
        <v>4297</v>
      </c>
      <c r="H1277" s="73">
        <v>726</v>
      </c>
      <c r="I1277" s="73">
        <v>3577</v>
      </c>
      <c r="J1277" s="73">
        <v>111</v>
      </c>
      <c r="K1277" s="73">
        <v>363</v>
      </c>
      <c r="L1277" s="175">
        <v>5366</v>
      </c>
      <c r="M1277" s="175">
        <v>17973</v>
      </c>
      <c r="N1277" s="175">
        <v>5059</v>
      </c>
      <c r="O1277" s="175">
        <v>9437</v>
      </c>
      <c r="P1277" s="175">
        <v>3933</v>
      </c>
      <c r="Q1277" s="175">
        <v>31059</v>
      </c>
      <c r="R1277" s="79">
        <f t="shared" si="480"/>
        <v>14358</v>
      </c>
    </row>
    <row r="1278" spans="1:18" ht="15.6" x14ac:dyDescent="0.3">
      <c r="A1278" s="170">
        <v>40969</v>
      </c>
      <c r="B1278" s="108">
        <v>1283</v>
      </c>
      <c r="C1278" s="108">
        <v>7688</v>
      </c>
      <c r="D1278" s="108">
        <v>834</v>
      </c>
      <c r="E1278" s="108">
        <v>2662</v>
      </c>
      <c r="F1278" s="108">
        <v>1145</v>
      </c>
      <c r="G1278" s="108">
        <v>5039</v>
      </c>
      <c r="H1278" s="108">
        <v>1392</v>
      </c>
      <c r="I1278" s="108">
        <v>4172</v>
      </c>
      <c r="J1278" s="108">
        <v>44</v>
      </c>
      <c r="K1278" s="108">
        <v>388</v>
      </c>
      <c r="L1278" s="108">
        <v>4699</v>
      </c>
      <c r="M1278" s="108">
        <v>19949</v>
      </c>
      <c r="N1278" s="108">
        <v>10078</v>
      </c>
      <c r="O1278" s="108">
        <v>22058</v>
      </c>
      <c r="P1278" s="108">
        <v>5387</v>
      </c>
      <c r="Q1278" s="108">
        <v>25098</v>
      </c>
      <c r="R1278" s="79">
        <f t="shared" ref="R1278:R1283" si="481">P1278+N1278+L1278</f>
        <v>20164</v>
      </c>
    </row>
    <row r="1279" spans="1:18" ht="15.6" x14ac:dyDescent="0.3">
      <c r="A1279" s="170">
        <v>41340</v>
      </c>
      <c r="B1279" s="73">
        <v>1848</v>
      </c>
      <c r="C1279" s="73">
        <v>7074</v>
      </c>
      <c r="D1279" s="73">
        <v>1511</v>
      </c>
      <c r="E1279" s="73">
        <v>3286</v>
      </c>
      <c r="F1279" s="73">
        <v>1230</v>
      </c>
      <c r="G1279" s="73">
        <v>4364</v>
      </c>
      <c r="H1279" s="73">
        <v>782</v>
      </c>
      <c r="I1279" s="73">
        <v>3672</v>
      </c>
      <c r="J1279" s="73">
        <v>97</v>
      </c>
      <c r="K1279" s="73">
        <v>363</v>
      </c>
      <c r="L1279" s="175">
        <v>5467</v>
      </c>
      <c r="M1279" s="175">
        <v>18760</v>
      </c>
      <c r="N1279" s="175">
        <v>4934</v>
      </c>
      <c r="O1279" s="175">
        <v>9845</v>
      </c>
      <c r="P1279" s="175">
        <v>3826</v>
      </c>
      <c r="Q1279" s="175">
        <v>31672</v>
      </c>
      <c r="R1279" s="79">
        <f t="shared" si="481"/>
        <v>14227</v>
      </c>
    </row>
    <row r="1280" spans="1:18" ht="15.6" x14ac:dyDescent="0.3">
      <c r="A1280" s="170">
        <v>40983</v>
      </c>
      <c r="B1280" s="108">
        <v>1208</v>
      </c>
      <c r="C1280" s="108">
        <v>7935</v>
      </c>
      <c r="D1280" s="108">
        <v>855</v>
      </c>
      <c r="E1280" s="108">
        <v>2754</v>
      </c>
      <c r="F1280" s="108">
        <v>1167</v>
      </c>
      <c r="G1280" s="108">
        <v>5147</v>
      </c>
      <c r="H1280" s="108">
        <v>1405</v>
      </c>
      <c r="I1280" s="108">
        <v>4275</v>
      </c>
      <c r="J1280" s="108">
        <v>55</v>
      </c>
      <c r="K1280" s="108">
        <v>388</v>
      </c>
      <c r="L1280" s="108">
        <v>4689</v>
      </c>
      <c r="M1280" s="108">
        <v>20498</v>
      </c>
      <c r="N1280" s="108">
        <v>10432</v>
      </c>
      <c r="O1280" s="108">
        <v>22566</v>
      </c>
      <c r="P1280" s="108">
        <v>5133</v>
      </c>
      <c r="Q1280" s="108">
        <v>25708</v>
      </c>
      <c r="R1280" s="79">
        <f t="shared" si="481"/>
        <v>20254</v>
      </c>
    </row>
    <row r="1281" spans="1:18" ht="15.6" x14ac:dyDescent="0.3">
      <c r="A1281" s="170">
        <v>41347</v>
      </c>
      <c r="B1281" s="73">
        <v>1815</v>
      </c>
      <c r="C1281" s="73">
        <v>7279</v>
      </c>
      <c r="D1281" s="73">
        <v>1460</v>
      </c>
      <c r="E1281" s="73">
        <v>3539</v>
      </c>
      <c r="F1281" s="73">
        <v>1196</v>
      </c>
      <c r="G1281" s="73">
        <v>4480</v>
      </c>
      <c r="H1281" s="73">
        <v>754</v>
      </c>
      <c r="I1281" s="73">
        <v>3725</v>
      </c>
      <c r="J1281" s="73">
        <v>90</v>
      </c>
      <c r="K1281" s="73">
        <v>375</v>
      </c>
      <c r="L1281" s="175">
        <v>5315</v>
      </c>
      <c r="M1281" s="175">
        <v>19397</v>
      </c>
      <c r="N1281" s="175">
        <v>4607</v>
      </c>
      <c r="O1281" s="175">
        <v>10264</v>
      </c>
      <c r="P1281" s="175">
        <v>3707</v>
      </c>
      <c r="Q1281" s="175">
        <v>31899</v>
      </c>
      <c r="R1281" s="79">
        <f t="shared" si="481"/>
        <v>13629</v>
      </c>
    </row>
    <row r="1282" spans="1:18" ht="15.6" x14ac:dyDescent="0.3">
      <c r="A1282" s="170">
        <v>40990</v>
      </c>
      <c r="B1282" s="108">
        <v>1222</v>
      </c>
      <c r="C1282" s="108">
        <v>8003</v>
      </c>
      <c r="D1282" s="108">
        <v>834</v>
      </c>
      <c r="E1282" s="108">
        <v>2901</v>
      </c>
      <c r="F1282" s="108">
        <v>1028</v>
      </c>
      <c r="G1282" s="108">
        <v>5300</v>
      </c>
      <c r="H1282" s="108">
        <v>1337</v>
      </c>
      <c r="I1282" s="108">
        <v>4348</v>
      </c>
      <c r="J1282" s="108">
        <v>55</v>
      </c>
      <c r="K1282" s="108">
        <v>388</v>
      </c>
      <c r="L1282" s="108">
        <v>4475</v>
      </c>
      <c r="M1282" s="108">
        <v>20939</v>
      </c>
      <c r="N1282" s="108">
        <v>9919</v>
      </c>
      <c r="O1282" s="108">
        <v>23209</v>
      </c>
      <c r="P1282" s="108">
        <v>5044</v>
      </c>
      <c r="Q1282" s="108">
        <v>26269</v>
      </c>
      <c r="R1282" s="79">
        <f t="shared" si="481"/>
        <v>19438</v>
      </c>
    </row>
    <row r="1283" spans="1:18" ht="15.6" x14ac:dyDescent="0.3">
      <c r="A1283" s="170">
        <v>41354</v>
      </c>
      <c r="B1283" s="73">
        <v>2034</v>
      </c>
      <c r="C1283" s="73">
        <v>7399</v>
      </c>
      <c r="D1283" s="73">
        <v>1275</v>
      </c>
      <c r="E1283" s="73">
        <v>3675</v>
      </c>
      <c r="F1283" s="73">
        <v>1276</v>
      </c>
      <c r="G1283" s="73">
        <v>4625</v>
      </c>
      <c r="H1283" s="73">
        <v>676</v>
      </c>
      <c r="I1283" s="73">
        <v>3845</v>
      </c>
      <c r="J1283" s="73">
        <v>113</v>
      </c>
      <c r="K1283" s="73">
        <v>375</v>
      </c>
      <c r="L1283" s="175">
        <v>5373</v>
      </c>
      <c r="M1283" s="175">
        <v>19919</v>
      </c>
      <c r="N1283" s="175">
        <v>4518</v>
      </c>
      <c r="O1283" s="175">
        <v>10648</v>
      </c>
      <c r="P1283" s="175">
        <v>3203</v>
      </c>
      <c r="Q1283" s="175">
        <v>32469</v>
      </c>
      <c r="R1283" s="79">
        <f t="shared" si="481"/>
        <v>13094</v>
      </c>
    </row>
    <row r="1284" spans="1:18" ht="15.6" x14ac:dyDescent="0.3">
      <c r="A1284" s="170">
        <v>40997</v>
      </c>
      <c r="B1284" s="108">
        <v>1123</v>
      </c>
      <c r="C1284" s="108">
        <v>8225</v>
      </c>
      <c r="D1284" s="108">
        <v>885</v>
      </c>
      <c r="E1284" s="108">
        <v>2977</v>
      </c>
      <c r="F1284" s="108">
        <v>1057</v>
      </c>
      <c r="G1284" s="108">
        <v>5377</v>
      </c>
      <c r="H1284" s="108">
        <v>1357</v>
      </c>
      <c r="I1284" s="108">
        <v>4372</v>
      </c>
      <c r="J1284" s="108">
        <v>56</v>
      </c>
      <c r="K1284" s="108">
        <v>392</v>
      </c>
      <c r="L1284" s="108">
        <v>4478</v>
      </c>
      <c r="M1284" s="108">
        <v>21344</v>
      </c>
      <c r="N1284" s="108">
        <v>10064</v>
      </c>
      <c r="O1284" s="108">
        <v>24003</v>
      </c>
      <c r="P1284" s="108">
        <v>4595</v>
      </c>
      <c r="Q1284" s="108">
        <v>27125</v>
      </c>
      <c r="R1284" s="79">
        <f t="shared" ref="R1284:R1289" si="482">P1284+N1284+L1284</f>
        <v>19137</v>
      </c>
    </row>
    <row r="1285" spans="1:18" ht="15.6" x14ac:dyDescent="0.3">
      <c r="A1285" s="170">
        <v>41361</v>
      </c>
      <c r="B1285" s="73">
        <v>1987</v>
      </c>
      <c r="C1285" s="73">
        <v>7566</v>
      </c>
      <c r="D1285" s="73">
        <v>1070</v>
      </c>
      <c r="E1285" s="73">
        <v>3933</v>
      </c>
      <c r="F1285" s="73">
        <v>1218</v>
      </c>
      <c r="G1285" s="73">
        <v>4670</v>
      </c>
      <c r="H1285" s="73">
        <v>653</v>
      </c>
      <c r="I1285" s="73">
        <v>3869</v>
      </c>
      <c r="J1285" s="73">
        <v>78</v>
      </c>
      <c r="K1285" s="73">
        <v>390</v>
      </c>
      <c r="L1285" s="175">
        <v>5006</v>
      </c>
      <c r="M1285" s="175">
        <v>20427</v>
      </c>
      <c r="N1285" s="175">
        <v>4306</v>
      </c>
      <c r="O1285" s="175">
        <v>11214</v>
      </c>
      <c r="P1285" s="175">
        <v>3122</v>
      </c>
      <c r="Q1285" s="175">
        <v>32942</v>
      </c>
      <c r="R1285" s="79">
        <f t="shared" si="482"/>
        <v>12434</v>
      </c>
    </row>
    <row r="1286" spans="1:18" ht="15.6" x14ac:dyDescent="0.3">
      <c r="A1286" s="170">
        <v>41004</v>
      </c>
      <c r="B1286" s="108">
        <v>1220</v>
      </c>
      <c r="C1286" s="108">
        <v>8369</v>
      </c>
      <c r="D1286" s="108">
        <v>858</v>
      </c>
      <c r="E1286" s="108">
        <v>3093</v>
      </c>
      <c r="F1286" s="108">
        <v>1093</v>
      </c>
      <c r="G1286" s="108">
        <v>5390</v>
      </c>
      <c r="H1286" s="108">
        <v>1263</v>
      </c>
      <c r="I1286" s="108">
        <v>4539</v>
      </c>
      <c r="J1286" s="108">
        <v>56</v>
      </c>
      <c r="K1286" s="108">
        <v>392</v>
      </c>
      <c r="L1286" s="108">
        <v>4490</v>
      </c>
      <c r="M1286" s="108">
        <v>21783</v>
      </c>
      <c r="N1286" s="108">
        <v>10365</v>
      </c>
      <c r="O1286" s="108">
        <v>24660</v>
      </c>
      <c r="P1286" s="108">
        <v>4282</v>
      </c>
      <c r="Q1286" s="108">
        <v>27899</v>
      </c>
      <c r="R1286" s="79">
        <f t="shared" si="482"/>
        <v>19137</v>
      </c>
    </row>
    <row r="1287" spans="1:18" ht="15.6" x14ac:dyDescent="0.3">
      <c r="A1287" s="170">
        <v>41368</v>
      </c>
      <c r="B1287" s="73">
        <v>1810</v>
      </c>
      <c r="C1287" s="73">
        <v>7891</v>
      </c>
      <c r="D1287" s="73">
        <v>1021</v>
      </c>
      <c r="E1287" s="73">
        <v>4112</v>
      </c>
      <c r="F1287" s="73">
        <v>1026</v>
      </c>
      <c r="G1287" s="73">
        <v>4825</v>
      </c>
      <c r="H1287" s="73">
        <v>572</v>
      </c>
      <c r="I1287" s="73">
        <v>3971</v>
      </c>
      <c r="J1287" s="73">
        <v>68</v>
      </c>
      <c r="K1287" s="73">
        <v>401</v>
      </c>
      <c r="L1287" s="175">
        <v>4497</v>
      </c>
      <c r="M1287" s="175">
        <v>21200</v>
      </c>
      <c r="N1287" s="175">
        <v>4211</v>
      </c>
      <c r="O1287" s="175">
        <v>11494</v>
      </c>
      <c r="P1287" s="175">
        <v>2796</v>
      </c>
      <c r="Q1287" s="175">
        <v>33533</v>
      </c>
      <c r="R1287" s="79">
        <f t="shared" si="482"/>
        <v>11504</v>
      </c>
    </row>
    <row r="1288" spans="1:18" ht="15.6" x14ac:dyDescent="0.3">
      <c r="A1288" s="170">
        <v>41011</v>
      </c>
      <c r="B1288" s="108">
        <v>1221</v>
      </c>
      <c r="C1288" s="108">
        <v>8470</v>
      </c>
      <c r="D1288" s="108">
        <v>882</v>
      </c>
      <c r="E1288" s="108">
        <v>3210</v>
      </c>
      <c r="F1288" s="108">
        <v>1026</v>
      </c>
      <c r="G1288" s="108">
        <v>5531</v>
      </c>
      <c r="H1288" s="108">
        <v>1074</v>
      </c>
      <c r="I1288" s="108">
        <v>4764</v>
      </c>
      <c r="J1288" s="108">
        <v>22</v>
      </c>
      <c r="K1288" s="108">
        <v>440</v>
      </c>
      <c r="L1288" s="108">
        <v>4224</v>
      </c>
      <c r="M1288" s="108">
        <v>22416</v>
      </c>
      <c r="N1288" s="108">
        <v>9551</v>
      </c>
      <c r="O1288" s="108">
        <v>25775</v>
      </c>
      <c r="P1288" s="108">
        <v>4162</v>
      </c>
      <c r="Q1288" s="108">
        <v>28331</v>
      </c>
      <c r="R1288" s="79">
        <f t="shared" si="482"/>
        <v>17937</v>
      </c>
    </row>
    <row r="1289" spans="1:18" ht="15.6" x14ac:dyDescent="0.3">
      <c r="A1289" s="170">
        <v>41375</v>
      </c>
      <c r="B1289" s="73">
        <v>1856</v>
      </c>
      <c r="C1289" s="73">
        <v>8123</v>
      </c>
      <c r="D1289" s="73">
        <v>978</v>
      </c>
      <c r="E1289" s="73">
        <v>4203</v>
      </c>
      <c r="F1289" s="73">
        <v>910</v>
      </c>
      <c r="G1289" s="73">
        <v>5020</v>
      </c>
      <c r="H1289" s="73">
        <v>475</v>
      </c>
      <c r="I1289" s="73">
        <v>4124</v>
      </c>
      <c r="J1289" s="73">
        <v>125</v>
      </c>
      <c r="K1289" s="73">
        <v>423</v>
      </c>
      <c r="L1289" s="175">
        <v>4345</v>
      </c>
      <c r="M1289" s="175">
        <v>21893</v>
      </c>
      <c r="N1289" s="175">
        <v>4310</v>
      </c>
      <c r="O1289" s="175">
        <v>11796</v>
      </c>
      <c r="P1289" s="175">
        <v>2954</v>
      </c>
      <c r="Q1289" s="175">
        <v>33683</v>
      </c>
      <c r="R1289" s="79">
        <f t="shared" si="482"/>
        <v>11609</v>
      </c>
    </row>
    <row r="1290" spans="1:18" ht="15.6" x14ac:dyDescent="0.3">
      <c r="A1290" s="170">
        <v>41018</v>
      </c>
      <c r="B1290" s="108">
        <v>1187</v>
      </c>
      <c r="C1290" s="108">
        <v>8626</v>
      </c>
      <c r="D1290" s="108">
        <v>899</v>
      </c>
      <c r="E1290" s="108">
        <v>3380</v>
      </c>
      <c r="F1290" s="108">
        <v>1044</v>
      </c>
      <c r="G1290" s="108">
        <v>5621</v>
      </c>
      <c r="H1290" s="108">
        <v>834</v>
      </c>
      <c r="I1290" s="108">
        <v>4966</v>
      </c>
      <c r="J1290" s="108">
        <v>29</v>
      </c>
      <c r="K1290" s="108">
        <v>440</v>
      </c>
      <c r="L1290" s="108">
        <v>3993</v>
      </c>
      <c r="M1290" s="108">
        <v>23033</v>
      </c>
      <c r="N1290" s="108">
        <v>9496</v>
      </c>
      <c r="O1290" s="108">
        <v>26475</v>
      </c>
      <c r="P1290" s="108">
        <v>4742</v>
      </c>
      <c r="Q1290" s="108">
        <v>28678</v>
      </c>
      <c r="R1290" s="79">
        <v>18230</v>
      </c>
    </row>
    <row r="1291" spans="1:18" ht="15.6" x14ac:dyDescent="0.3">
      <c r="A1291" s="170">
        <v>41382</v>
      </c>
      <c r="B1291" s="73">
        <v>1711</v>
      </c>
      <c r="C1291" s="73">
        <v>8340</v>
      </c>
      <c r="D1291" s="73">
        <v>884</v>
      </c>
      <c r="E1291" s="73">
        <v>4331</v>
      </c>
      <c r="F1291" s="73">
        <v>771</v>
      </c>
      <c r="G1291" s="73">
        <v>5155</v>
      </c>
      <c r="H1291" s="73">
        <v>409</v>
      </c>
      <c r="I1291" s="73">
        <v>4162</v>
      </c>
      <c r="J1291" s="73">
        <v>100</v>
      </c>
      <c r="K1291" s="73">
        <v>447</v>
      </c>
      <c r="L1291" s="175">
        <v>3874</v>
      </c>
      <c r="M1291" s="175">
        <v>22435</v>
      </c>
      <c r="N1291" s="175">
        <v>4303</v>
      </c>
      <c r="O1291" s="175">
        <v>12118</v>
      </c>
      <c r="P1291" s="175">
        <v>2556</v>
      </c>
      <c r="Q1291" s="175">
        <v>33874</v>
      </c>
      <c r="R1291" s="79">
        <f>P1291+N1291+L1291</f>
        <v>10733</v>
      </c>
    </row>
    <row r="1292" spans="1:18" ht="15.6" x14ac:dyDescent="0.3">
      <c r="A1292" s="170">
        <v>41025</v>
      </c>
      <c r="B1292" s="108">
        <v>1202</v>
      </c>
      <c r="C1292" s="108">
        <v>8808</v>
      </c>
      <c r="D1292" s="108">
        <v>904</v>
      </c>
      <c r="E1292" s="108">
        <v>3447</v>
      </c>
      <c r="F1292" s="108">
        <v>889</v>
      </c>
      <c r="G1292" s="108">
        <v>5802</v>
      </c>
      <c r="H1292" s="108">
        <v>610</v>
      </c>
      <c r="I1292" s="108">
        <v>5151</v>
      </c>
      <c r="J1292" s="108">
        <v>24</v>
      </c>
      <c r="K1292" s="108">
        <v>447</v>
      </c>
      <c r="L1292" s="108">
        <v>3628</v>
      </c>
      <c r="M1292" s="108">
        <v>23655</v>
      </c>
      <c r="N1292" s="108">
        <v>10163</v>
      </c>
      <c r="O1292" s="108">
        <v>27140</v>
      </c>
      <c r="P1292" s="108">
        <v>4904</v>
      </c>
      <c r="Q1292" s="108">
        <v>29114</v>
      </c>
      <c r="R1292" s="79">
        <v>18695</v>
      </c>
    </row>
    <row r="1293" spans="1:18" ht="15.6" x14ac:dyDescent="0.3">
      <c r="A1293" s="170">
        <v>41389</v>
      </c>
      <c r="B1293" s="73">
        <v>1471</v>
      </c>
      <c r="C1293" s="73">
        <v>8708</v>
      </c>
      <c r="D1293" s="73">
        <v>720</v>
      </c>
      <c r="E1293" s="73">
        <v>4519</v>
      </c>
      <c r="F1293" s="73">
        <v>658</v>
      </c>
      <c r="G1293" s="73">
        <v>5321</v>
      </c>
      <c r="H1293" s="73">
        <v>300</v>
      </c>
      <c r="I1293" s="73">
        <v>4285</v>
      </c>
      <c r="J1293" s="73">
        <v>99</v>
      </c>
      <c r="K1293" s="73">
        <v>447</v>
      </c>
      <c r="L1293" s="175">
        <v>3248</v>
      </c>
      <c r="M1293" s="175">
        <v>23280</v>
      </c>
      <c r="N1293" s="175">
        <v>4228</v>
      </c>
      <c r="O1293" s="175">
        <v>12522</v>
      </c>
      <c r="P1293" s="175">
        <v>2090</v>
      </c>
      <c r="Q1293" s="175">
        <v>34200</v>
      </c>
      <c r="R1293" s="79">
        <f>P1293+N1293+L1293</f>
        <v>9566</v>
      </c>
    </row>
    <row r="1294" spans="1:18" ht="15.6" x14ac:dyDescent="0.3">
      <c r="A1294" s="170">
        <v>41032</v>
      </c>
      <c r="B1294" s="108">
        <v>1074</v>
      </c>
      <c r="C1294" s="108">
        <v>9067</v>
      </c>
      <c r="D1294" s="108">
        <v>711</v>
      </c>
      <c r="E1294" s="108">
        <v>3621</v>
      </c>
      <c r="F1294" s="108">
        <v>874</v>
      </c>
      <c r="G1294" s="108">
        <v>5874</v>
      </c>
      <c r="H1294" s="108">
        <v>596</v>
      </c>
      <c r="I1294" s="108">
        <v>5198</v>
      </c>
      <c r="J1294" s="108">
        <v>44</v>
      </c>
      <c r="K1294" s="108">
        <v>447</v>
      </c>
      <c r="L1294" s="108">
        <v>3299</v>
      </c>
      <c r="M1294" s="108">
        <v>24206</v>
      </c>
      <c r="N1294" s="108">
        <v>9691</v>
      </c>
      <c r="O1294" s="108">
        <v>27837</v>
      </c>
      <c r="P1294" s="108">
        <v>5065</v>
      </c>
      <c r="Q1294" s="108">
        <v>29419</v>
      </c>
      <c r="R1294" s="79">
        <f>P1294+N1294+L1294</f>
        <v>18055</v>
      </c>
    </row>
    <row r="1295" spans="1:18" ht="15.6" x14ac:dyDescent="0.3">
      <c r="A1295" s="170">
        <v>41396</v>
      </c>
      <c r="B1295" s="73">
        <v>1406</v>
      </c>
      <c r="C1295" s="73">
        <v>8864</v>
      </c>
      <c r="D1295" s="73">
        <v>701</v>
      </c>
      <c r="E1295" s="73">
        <v>3631</v>
      </c>
      <c r="F1295" s="73">
        <v>518</v>
      </c>
      <c r="G1295" s="73">
        <v>5495</v>
      </c>
      <c r="H1295" s="73">
        <v>245</v>
      </c>
      <c r="I1295" s="73">
        <v>4361</v>
      </c>
      <c r="J1295" s="73">
        <v>58</v>
      </c>
      <c r="K1295" s="73">
        <v>489</v>
      </c>
      <c r="L1295" s="175">
        <v>2928</v>
      </c>
      <c r="M1295" s="175">
        <v>23840</v>
      </c>
      <c r="N1295" s="175">
        <v>4152</v>
      </c>
      <c r="O1295" s="175">
        <v>12714</v>
      </c>
      <c r="P1295" s="175">
        <v>2111</v>
      </c>
      <c r="Q1295" s="175">
        <v>34371</v>
      </c>
      <c r="R1295" s="79">
        <f>P1295+N1295+L1295</f>
        <v>9191</v>
      </c>
    </row>
    <row r="65530" spans="29:29" x14ac:dyDescent="0.25">
      <c r="AC65530" s="71"/>
    </row>
  </sheetData>
  <mergeCells count="4">
    <mergeCell ref="AW3:AX3"/>
    <mergeCell ref="BA3:BB3"/>
    <mergeCell ref="AY3:AZ3"/>
    <mergeCell ref="BC3:BD3"/>
  </mergeCells>
  <phoneticPr fontId="5" type="noConversion"/>
  <pageMargins left="0.5" right="0.5" top="0.5" bottom="0.5" header="0.5" footer="0.5"/>
  <pageSetup scale="40" orientation="portrait" r:id="rId1"/>
  <headerFooter alignWithMargins="0">
    <oddFooter>&amp;C^, &amp;D&amp;R</oddFooter>
  </headerFooter>
  <rowBreaks count="18" manualBreakCount="18">
    <brk id="46" max="16383" man="1"/>
    <brk id="94" max="16383" man="1"/>
    <brk id="142" max="16383" man="1"/>
    <brk id="190" max="16383" man="1"/>
    <brk id="238" max="16383" man="1"/>
    <brk id="286" max="16383" man="1"/>
    <brk id="334" max="16383" man="1"/>
    <brk id="382" max="16383" man="1"/>
    <brk id="430" max="16383" man="1"/>
    <brk id="478" max="16383" man="1"/>
    <brk id="526" max="16383" man="1"/>
    <brk id="575" max="16383" man="1"/>
    <brk id="576" max="16383" man="1"/>
    <brk id="577" max="16383" man="1"/>
    <brk id="578" max="16383" man="1"/>
    <brk id="579" max="16383" man="1"/>
    <brk id="580" max="16383" man="1"/>
    <brk id="581" max="16383" man="1"/>
  </rowBreaks>
  <colBreaks count="2" manualBreakCount="2">
    <brk id="8" max="1048575" man="1"/>
    <brk id="16" max="1048575" man="1"/>
  </colBreaks>
  <ignoredErrors>
    <ignoredError sqref="AT9:AT31 AT32:AT56 AT57:AT80 AT81:AT104 AT105:AT128 AT129:AT152 AT153:AT176 AT177:AT201 AT213:AT214 AT202:AT212 AT2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92"/>
  <sheetViews>
    <sheetView workbookViewId="0">
      <pane xSplit="1" ySplit="6" topLeftCell="B1274" activePane="bottomRight" state="frozen"/>
      <selection pane="topRight" activeCell="B1" sqref="B1"/>
      <selection pane="bottomLeft" activeCell="A7" sqref="A7"/>
      <selection pane="bottomRight" activeCell="B1292" sqref="B1292:R1292"/>
    </sheetView>
  </sheetViews>
  <sheetFormatPr defaultRowHeight="15" x14ac:dyDescent="0.25"/>
  <cols>
    <col min="1" max="1" width="9.90625" bestFit="1" customWidth="1"/>
    <col min="22" max="22" width="9.1796875" customWidth="1"/>
    <col min="23" max="23" width="9.453125" customWidth="1"/>
  </cols>
  <sheetData>
    <row r="1" spans="1:39" x14ac:dyDescent="0.25">
      <c r="A1" s="141" t="s">
        <v>242</v>
      </c>
      <c r="B1" s="141"/>
    </row>
    <row r="2" spans="1:39" x14ac:dyDescent="0.25">
      <c r="A2" s="62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12"/>
      <c r="T2" s="13"/>
      <c r="U2" s="5"/>
      <c r="V2" s="5"/>
      <c r="W2" s="8"/>
      <c r="AH2" s="82" t="s">
        <v>194</v>
      </c>
      <c r="AI2" s="2"/>
      <c r="AJ2" s="2"/>
      <c r="AK2" s="2"/>
      <c r="AL2" s="2"/>
      <c r="AM2" s="2"/>
    </row>
    <row r="3" spans="1:39" x14ac:dyDescent="0.25">
      <c r="A3" s="62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12" t="s">
        <v>35</v>
      </c>
      <c r="T3" s="13"/>
      <c r="U3" s="5"/>
      <c r="V3" s="5"/>
      <c r="W3" s="8"/>
      <c r="AH3" s="82" t="s">
        <v>195</v>
      </c>
      <c r="AI3" s="2"/>
      <c r="AJ3" s="2"/>
      <c r="AK3" s="2"/>
      <c r="AL3" s="2"/>
      <c r="AM3" s="2"/>
    </row>
    <row r="4" spans="1:39" x14ac:dyDescent="0.25">
      <c r="A4" s="62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 t="s">
        <v>125</v>
      </c>
      <c r="S4" s="12" t="s">
        <v>36</v>
      </c>
      <c r="T4" s="13"/>
      <c r="U4" s="5"/>
      <c r="V4" s="5"/>
      <c r="W4" s="8"/>
      <c r="X4" t="s">
        <v>87</v>
      </c>
      <c r="AH4" s="82" t="s">
        <v>196</v>
      </c>
      <c r="AI4" s="2"/>
      <c r="AJ4" s="2"/>
      <c r="AK4" s="2"/>
      <c r="AL4" s="2"/>
      <c r="AM4" s="2"/>
    </row>
    <row r="5" spans="1:39" x14ac:dyDescent="0.25">
      <c r="A5" s="55"/>
      <c r="B5" s="59" t="s">
        <v>3</v>
      </c>
      <c r="C5" s="59"/>
      <c r="D5" s="59" t="s">
        <v>4</v>
      </c>
      <c r="E5" s="59"/>
      <c r="F5" s="59" t="s">
        <v>5</v>
      </c>
      <c r="G5" s="59"/>
      <c r="H5" s="59" t="s">
        <v>6</v>
      </c>
      <c r="I5" s="59"/>
      <c r="J5" s="59" t="s">
        <v>7</v>
      </c>
      <c r="K5" s="59"/>
      <c r="L5" s="59" t="s">
        <v>240</v>
      </c>
      <c r="M5" s="56"/>
      <c r="N5" s="56" t="s">
        <v>9</v>
      </c>
      <c r="O5" s="56"/>
      <c r="P5" s="56" t="s">
        <v>10</v>
      </c>
      <c r="Q5" s="56"/>
      <c r="R5" s="56" t="s">
        <v>126</v>
      </c>
      <c r="S5" s="12" t="s">
        <v>12</v>
      </c>
      <c r="T5" s="13"/>
      <c r="U5" s="75" t="s">
        <v>37</v>
      </c>
      <c r="V5" s="75" t="s">
        <v>11</v>
      </c>
      <c r="W5" s="74" t="s">
        <v>12</v>
      </c>
      <c r="X5" s="92"/>
      <c r="Y5" s="75" t="s">
        <v>11</v>
      </c>
      <c r="Z5" s="92"/>
      <c r="AA5" s="92"/>
      <c r="AB5" s="75" t="s">
        <v>235</v>
      </c>
      <c r="AH5" s="82" t="s">
        <v>197</v>
      </c>
      <c r="AI5" s="2" t="s">
        <v>198</v>
      </c>
      <c r="AJ5" s="2" t="s">
        <v>198</v>
      </c>
      <c r="AK5" s="2" t="s">
        <v>199</v>
      </c>
      <c r="AL5" s="2" t="s">
        <v>198</v>
      </c>
      <c r="AM5" s="2" t="s">
        <v>198</v>
      </c>
    </row>
    <row r="6" spans="1:39" x14ac:dyDescent="0.25">
      <c r="A6" s="55"/>
      <c r="B6" s="59" t="s">
        <v>11</v>
      </c>
      <c r="C6" s="59" t="s">
        <v>12</v>
      </c>
      <c r="D6" s="59" t="s">
        <v>11</v>
      </c>
      <c r="E6" s="59" t="s">
        <v>12</v>
      </c>
      <c r="F6" s="59" t="s">
        <v>11</v>
      </c>
      <c r="G6" s="59" t="s">
        <v>12</v>
      </c>
      <c r="H6" s="59" t="s">
        <v>11</v>
      </c>
      <c r="I6" s="59" t="s">
        <v>12</v>
      </c>
      <c r="J6" s="59" t="s">
        <v>11</v>
      </c>
      <c r="K6" s="59" t="s">
        <v>12</v>
      </c>
      <c r="L6" s="59" t="s">
        <v>11</v>
      </c>
      <c r="M6" s="59" t="s">
        <v>12</v>
      </c>
      <c r="N6" s="59" t="s">
        <v>11</v>
      </c>
      <c r="O6" s="59" t="s">
        <v>12</v>
      </c>
      <c r="P6" s="59" t="s">
        <v>11</v>
      </c>
      <c r="Q6" s="59" t="s">
        <v>12</v>
      </c>
      <c r="R6" s="59"/>
      <c r="S6" s="12" t="s">
        <v>38</v>
      </c>
      <c r="T6" s="17" t="s">
        <v>80</v>
      </c>
      <c r="U6" s="35" t="s">
        <v>11</v>
      </c>
      <c r="V6" s="35" t="s">
        <v>39</v>
      </c>
      <c r="W6" s="35" t="s">
        <v>39</v>
      </c>
      <c r="X6" s="19" t="s">
        <v>9</v>
      </c>
      <c r="Y6" s="19" t="s">
        <v>150</v>
      </c>
      <c r="Z6" s="19" t="s">
        <v>149</v>
      </c>
      <c r="AA6" s="19" t="s">
        <v>9</v>
      </c>
      <c r="AB6" s="19" t="s">
        <v>150</v>
      </c>
      <c r="AC6" s="19" t="s">
        <v>149</v>
      </c>
      <c r="AH6" s="82" t="s">
        <v>200</v>
      </c>
      <c r="AI6" s="2" t="s">
        <v>201</v>
      </c>
      <c r="AJ6" s="2" t="s">
        <v>202</v>
      </c>
      <c r="AK6" s="2" t="s">
        <v>203</v>
      </c>
      <c r="AL6" s="2" t="s">
        <v>204</v>
      </c>
      <c r="AM6" s="2" t="s">
        <v>205</v>
      </c>
    </row>
    <row r="7" spans="1:39" ht="15.6" x14ac:dyDescent="0.3">
      <c r="A7" s="55">
        <v>36523</v>
      </c>
      <c r="B7" s="63">
        <v>894</v>
      </c>
      <c r="C7" s="63">
        <v>7280</v>
      </c>
      <c r="D7" s="63">
        <v>642</v>
      </c>
      <c r="E7" s="63">
        <v>2514</v>
      </c>
      <c r="F7" s="63">
        <v>801</v>
      </c>
      <c r="G7" s="63">
        <v>3375</v>
      </c>
      <c r="H7" s="63">
        <v>721</v>
      </c>
      <c r="I7" s="63">
        <v>2326</v>
      </c>
      <c r="J7" s="63">
        <v>255</v>
      </c>
      <c r="K7" s="63">
        <v>563</v>
      </c>
      <c r="L7" s="63">
        <v>3312</v>
      </c>
      <c r="M7" s="63">
        <v>16058</v>
      </c>
      <c r="N7" s="63">
        <v>7894</v>
      </c>
      <c r="O7" s="63">
        <v>17010</v>
      </c>
      <c r="P7" s="63">
        <v>4521</v>
      </c>
      <c r="Q7" s="63">
        <v>11070</v>
      </c>
      <c r="R7" s="16">
        <f>L7+N7+P7</f>
        <v>15727</v>
      </c>
      <c r="S7" s="16">
        <f>M7+O7+Q7</f>
        <v>44138</v>
      </c>
      <c r="T7" s="13" t="s">
        <v>81</v>
      </c>
      <c r="U7" s="5">
        <v>15727</v>
      </c>
      <c r="V7" s="5"/>
      <c r="W7" s="8"/>
      <c r="AH7" s="82" t="s">
        <v>206</v>
      </c>
      <c r="AI7" s="2" t="s">
        <v>207</v>
      </c>
      <c r="AJ7" s="2" t="s">
        <v>208</v>
      </c>
      <c r="AK7" s="2" t="s">
        <v>209</v>
      </c>
      <c r="AL7" s="2" t="s">
        <v>210</v>
      </c>
      <c r="AM7" s="2" t="s">
        <v>211</v>
      </c>
    </row>
    <row r="8" spans="1:39" ht="15.6" x14ac:dyDescent="0.3">
      <c r="A8" s="55">
        <v>36888</v>
      </c>
      <c r="B8" s="63">
        <v>998</v>
      </c>
      <c r="C8" s="63">
        <v>5836</v>
      </c>
      <c r="D8" s="63">
        <v>295</v>
      </c>
      <c r="E8" s="63">
        <v>2759</v>
      </c>
      <c r="F8" s="63">
        <v>923</v>
      </c>
      <c r="G8" s="63">
        <v>3301</v>
      </c>
      <c r="H8" s="63">
        <v>666</v>
      </c>
      <c r="I8" s="63">
        <v>3023</v>
      </c>
      <c r="J8" s="63">
        <v>170</v>
      </c>
      <c r="K8" s="63">
        <v>737</v>
      </c>
      <c r="L8" s="63">
        <v>3047</v>
      </c>
      <c r="M8" s="63">
        <v>15656</v>
      </c>
      <c r="N8" s="63">
        <v>6697</v>
      </c>
      <c r="O8" s="63">
        <v>15269</v>
      </c>
      <c r="P8" s="63">
        <v>6104</v>
      </c>
      <c r="Q8" s="63">
        <v>11059</v>
      </c>
      <c r="R8" s="16">
        <f t="shared" ref="R8:R71" si="0">L8+N8+P8</f>
        <v>15848</v>
      </c>
      <c r="S8" s="16">
        <f t="shared" ref="S8:S71" si="1">M8+O8+Q8</f>
        <v>41984</v>
      </c>
      <c r="T8" s="13" t="s">
        <v>81</v>
      </c>
      <c r="U8" s="5">
        <v>15848</v>
      </c>
      <c r="V8" s="5"/>
      <c r="W8" s="8"/>
      <c r="AH8" s="82" t="s">
        <v>212</v>
      </c>
      <c r="AI8" s="2" t="s">
        <v>213</v>
      </c>
      <c r="AJ8" s="2" t="s">
        <v>214</v>
      </c>
      <c r="AK8" s="2" t="s">
        <v>215</v>
      </c>
      <c r="AL8" s="2" t="s">
        <v>216</v>
      </c>
      <c r="AM8" s="2" t="s">
        <v>217</v>
      </c>
    </row>
    <row r="9" spans="1:39" ht="15.6" x14ac:dyDescent="0.3">
      <c r="A9" s="55" t="s">
        <v>16</v>
      </c>
      <c r="B9" s="63">
        <v>854</v>
      </c>
      <c r="C9" s="63">
        <v>7364</v>
      </c>
      <c r="D9" s="63">
        <v>523</v>
      </c>
      <c r="E9" s="63">
        <v>2644</v>
      </c>
      <c r="F9" s="63">
        <v>707</v>
      </c>
      <c r="G9" s="63">
        <v>3493</v>
      </c>
      <c r="H9" s="63">
        <v>638</v>
      </c>
      <c r="I9" s="63">
        <v>2455</v>
      </c>
      <c r="J9" s="63">
        <v>206</v>
      </c>
      <c r="K9" s="63">
        <v>619</v>
      </c>
      <c r="L9" s="63">
        <v>2928</v>
      </c>
      <c r="M9" s="63">
        <v>16575</v>
      </c>
      <c r="N9" s="63">
        <v>7360</v>
      </c>
      <c r="O9" s="63">
        <v>17826</v>
      </c>
      <c r="P9" s="63">
        <v>4436</v>
      </c>
      <c r="Q9" s="63">
        <v>11672</v>
      </c>
      <c r="R9" s="16">
        <f t="shared" si="0"/>
        <v>14724</v>
      </c>
      <c r="S9" s="16">
        <f t="shared" si="1"/>
        <v>46073</v>
      </c>
      <c r="T9" s="13" t="s">
        <v>81</v>
      </c>
      <c r="U9" s="5">
        <v>14724</v>
      </c>
      <c r="V9" s="5"/>
      <c r="W9" s="8"/>
      <c r="AH9" s="82" t="s">
        <v>197</v>
      </c>
      <c r="AI9" s="2" t="s">
        <v>198</v>
      </c>
      <c r="AJ9" s="2" t="s">
        <v>198</v>
      </c>
      <c r="AK9" s="2" t="s">
        <v>199</v>
      </c>
      <c r="AL9" s="2" t="s">
        <v>198</v>
      </c>
      <c r="AM9" s="2" t="s">
        <v>198</v>
      </c>
    </row>
    <row r="10" spans="1:39" ht="15.6" x14ac:dyDescent="0.3">
      <c r="A10" s="55" t="s">
        <v>17</v>
      </c>
      <c r="B10" s="63">
        <v>906</v>
      </c>
      <c r="C10" s="63">
        <v>5946</v>
      </c>
      <c r="D10" s="63">
        <v>179</v>
      </c>
      <c r="E10" s="63">
        <v>2898</v>
      </c>
      <c r="F10" s="63">
        <v>920</v>
      </c>
      <c r="G10" s="63">
        <v>3379</v>
      </c>
      <c r="H10" s="63">
        <v>596</v>
      </c>
      <c r="I10" s="63">
        <v>3132</v>
      </c>
      <c r="J10" s="63">
        <v>173</v>
      </c>
      <c r="K10" s="63">
        <v>748</v>
      </c>
      <c r="L10" s="63">
        <v>2775</v>
      </c>
      <c r="M10" s="63">
        <v>16103</v>
      </c>
      <c r="N10" s="63">
        <v>6253</v>
      </c>
      <c r="O10" s="63">
        <v>15898</v>
      </c>
      <c r="P10" s="63">
        <v>5712</v>
      </c>
      <c r="Q10" s="63">
        <v>11894</v>
      </c>
      <c r="R10" s="16">
        <f t="shared" si="0"/>
        <v>14740</v>
      </c>
      <c r="S10" s="16">
        <f t="shared" si="1"/>
        <v>43895</v>
      </c>
      <c r="T10" s="13" t="s">
        <v>82</v>
      </c>
      <c r="U10" s="5">
        <v>14740</v>
      </c>
      <c r="V10" s="5">
        <f>AVERAGE(U7:U10)</f>
        <v>15259.75</v>
      </c>
      <c r="W10" s="5">
        <f>AVERAGE(S7:S10)</f>
        <v>44022.5</v>
      </c>
      <c r="AH10" s="82" t="s">
        <v>214</v>
      </c>
      <c r="AI10" s="2"/>
      <c r="AJ10" s="2">
        <v>1000</v>
      </c>
      <c r="AK10" s="2"/>
      <c r="AL10" s="2" t="s">
        <v>218</v>
      </c>
      <c r="AM10" s="2">
        <v>10</v>
      </c>
    </row>
    <row r="11" spans="1:39" ht="15.6" x14ac:dyDescent="0.3">
      <c r="A11" s="55">
        <v>36537</v>
      </c>
      <c r="B11" s="63">
        <v>780.4</v>
      </c>
      <c r="C11" s="63">
        <v>7583.5</v>
      </c>
      <c r="D11" s="63">
        <v>430.7</v>
      </c>
      <c r="E11" s="63">
        <v>2745</v>
      </c>
      <c r="F11" s="63">
        <v>687</v>
      </c>
      <c r="G11" s="63">
        <v>3564</v>
      </c>
      <c r="H11" s="63">
        <v>589</v>
      </c>
      <c r="I11" s="63">
        <v>2535</v>
      </c>
      <c r="J11" s="63">
        <v>224</v>
      </c>
      <c r="K11" s="63">
        <v>619</v>
      </c>
      <c r="L11" s="63">
        <v>2711</v>
      </c>
      <c r="M11" s="63">
        <v>17047</v>
      </c>
      <c r="N11" s="63">
        <v>7487</v>
      </c>
      <c r="O11" s="63">
        <v>18837</v>
      </c>
      <c r="P11" s="63">
        <v>4338</v>
      </c>
      <c r="Q11" s="63">
        <v>12360</v>
      </c>
      <c r="R11" s="16">
        <f t="shared" si="0"/>
        <v>14536</v>
      </c>
      <c r="S11" s="16">
        <f t="shared" si="1"/>
        <v>48244</v>
      </c>
      <c r="T11" s="13" t="s">
        <v>82</v>
      </c>
      <c r="U11" s="5">
        <v>14536</v>
      </c>
      <c r="V11" s="5">
        <f>AVERAGE(U8:U11)</f>
        <v>14962</v>
      </c>
      <c r="W11" s="5">
        <f t="shared" ref="W11:W74" si="2">AVERAGE(S8:S11)</f>
        <v>45049</v>
      </c>
      <c r="AH11" s="82" t="s">
        <v>214</v>
      </c>
      <c r="AI11" s="2" t="s">
        <v>219</v>
      </c>
      <c r="AJ11" s="2" t="s">
        <v>220</v>
      </c>
      <c r="AK11" s="2" t="s">
        <v>221</v>
      </c>
      <c r="AL11" s="2" t="s">
        <v>222</v>
      </c>
      <c r="AM11" s="2" t="e">
        <f>-- METR</f>
        <v>#NAME?</v>
      </c>
    </row>
    <row r="12" spans="1:39" ht="15.6" x14ac:dyDescent="0.3">
      <c r="A12" s="85">
        <v>36902</v>
      </c>
      <c r="B12" s="63">
        <v>998</v>
      </c>
      <c r="C12" s="63">
        <v>6063.2</v>
      </c>
      <c r="D12" s="63">
        <v>259</v>
      </c>
      <c r="E12" s="63">
        <v>2933</v>
      </c>
      <c r="F12" s="63">
        <v>894</v>
      </c>
      <c r="G12" s="63">
        <v>3499</v>
      </c>
      <c r="H12" s="63">
        <v>604</v>
      </c>
      <c r="I12" s="63">
        <v>3159</v>
      </c>
      <c r="J12" s="63">
        <v>141</v>
      </c>
      <c r="K12" s="63">
        <v>781</v>
      </c>
      <c r="L12" s="63">
        <v>2896</v>
      </c>
      <c r="M12" s="63">
        <v>16432.5</v>
      </c>
      <c r="N12" s="63">
        <v>5936</v>
      </c>
      <c r="O12" s="63">
        <v>16827</v>
      </c>
      <c r="P12" s="63">
        <v>6140</v>
      </c>
      <c r="Q12" s="63">
        <v>12416</v>
      </c>
      <c r="R12" s="16">
        <f t="shared" si="0"/>
        <v>14972</v>
      </c>
      <c r="S12" s="16">
        <f t="shared" si="1"/>
        <v>45675.5</v>
      </c>
      <c r="T12" s="13" t="s">
        <v>82</v>
      </c>
      <c r="U12" s="5">
        <v>14972</v>
      </c>
      <c r="V12" s="5">
        <f t="shared" ref="V12:V75" si="3">AVERAGE(U9:U12)</f>
        <v>14743</v>
      </c>
      <c r="W12" s="5">
        <f t="shared" si="2"/>
        <v>45971.875</v>
      </c>
      <c r="AH12" s="82" t="s">
        <v>223</v>
      </c>
      <c r="AI12" s="2">
        <v>4228.7</v>
      </c>
      <c r="AJ12" s="2">
        <v>161.9</v>
      </c>
      <c r="AK12" s="2">
        <v>7955.7</v>
      </c>
      <c r="AL12" s="2">
        <v>292.3</v>
      </c>
      <c r="AM12" s="2">
        <v>12184.4</v>
      </c>
    </row>
    <row r="13" spans="1:39" ht="15.6" x14ac:dyDescent="0.3">
      <c r="A13" s="55">
        <v>36544</v>
      </c>
      <c r="B13" s="63">
        <v>808</v>
      </c>
      <c r="C13" s="63">
        <v>7709</v>
      </c>
      <c r="D13" s="63">
        <v>394</v>
      </c>
      <c r="E13" s="63">
        <v>2818</v>
      </c>
      <c r="F13" s="63">
        <v>704</v>
      </c>
      <c r="G13" s="63">
        <v>3617</v>
      </c>
      <c r="H13" s="63">
        <v>535</v>
      </c>
      <c r="I13" s="63">
        <v>2616</v>
      </c>
      <c r="J13" s="63">
        <v>175</v>
      </c>
      <c r="K13" s="63">
        <v>670</v>
      </c>
      <c r="L13" s="63">
        <v>2614</v>
      </c>
      <c r="M13" s="63">
        <v>17430</v>
      </c>
      <c r="N13" s="63">
        <v>7737</v>
      </c>
      <c r="O13" s="63">
        <v>19721</v>
      </c>
      <c r="P13" s="63">
        <v>3887</v>
      </c>
      <c r="Q13" s="63">
        <v>12978</v>
      </c>
      <c r="R13" s="16">
        <f t="shared" si="0"/>
        <v>14238</v>
      </c>
      <c r="S13" s="16">
        <f t="shared" si="1"/>
        <v>50129</v>
      </c>
      <c r="T13" s="13" t="s">
        <v>82</v>
      </c>
      <c r="U13" s="5">
        <v>14238</v>
      </c>
      <c r="V13" s="5">
        <f t="shared" si="3"/>
        <v>14621.5</v>
      </c>
      <c r="W13" s="5">
        <f t="shared" si="2"/>
        <v>46985.875</v>
      </c>
      <c r="AH13" s="82" t="s">
        <v>224</v>
      </c>
      <c r="AI13" s="2">
        <v>4080.7</v>
      </c>
      <c r="AJ13" s="2">
        <v>178.4</v>
      </c>
      <c r="AK13" s="2">
        <v>8134.2</v>
      </c>
      <c r="AL13" s="2">
        <v>298.89999999999998</v>
      </c>
      <c r="AM13" s="2">
        <v>12214.8</v>
      </c>
    </row>
    <row r="14" spans="1:39" ht="15.6" x14ac:dyDescent="0.3">
      <c r="A14" s="85">
        <v>36909</v>
      </c>
      <c r="B14" s="63">
        <v>1032</v>
      </c>
      <c r="C14" s="63">
        <v>6176</v>
      </c>
      <c r="D14" s="63">
        <v>424</v>
      </c>
      <c r="E14" s="63">
        <v>2983</v>
      </c>
      <c r="F14" s="63">
        <v>988</v>
      </c>
      <c r="G14" s="63">
        <v>3525</v>
      </c>
      <c r="H14" s="63">
        <v>1032</v>
      </c>
      <c r="I14" s="63">
        <v>3213</v>
      </c>
      <c r="J14" s="63">
        <v>138</v>
      </c>
      <c r="K14" s="63">
        <v>781</v>
      </c>
      <c r="L14" s="63">
        <v>3614</v>
      </c>
      <c r="M14" s="63">
        <v>16678</v>
      </c>
      <c r="N14" s="63">
        <v>6654</v>
      </c>
      <c r="O14" s="63">
        <v>17667</v>
      </c>
      <c r="P14" s="63">
        <v>3553</v>
      </c>
      <c r="Q14" s="63">
        <v>13114</v>
      </c>
      <c r="R14" s="16">
        <f t="shared" si="0"/>
        <v>13821</v>
      </c>
      <c r="S14" s="16">
        <f t="shared" si="1"/>
        <v>47459</v>
      </c>
      <c r="T14" s="13" t="s">
        <v>83</v>
      </c>
      <c r="U14" s="5">
        <v>13821</v>
      </c>
      <c r="V14" s="5">
        <f t="shared" si="3"/>
        <v>14391.75</v>
      </c>
      <c r="W14" s="5">
        <f t="shared" si="2"/>
        <v>47876.875</v>
      </c>
      <c r="AH14" s="82" t="s">
        <v>225</v>
      </c>
      <c r="AI14" s="2">
        <v>1681.3</v>
      </c>
      <c r="AJ14" s="2">
        <v>160.9</v>
      </c>
      <c r="AK14" s="2">
        <v>3151.8</v>
      </c>
      <c r="AL14" s="2">
        <v>115.8</v>
      </c>
      <c r="AM14" s="2">
        <v>4833.1000000000004</v>
      </c>
    </row>
    <row r="15" spans="1:39" ht="15.6" x14ac:dyDescent="0.3">
      <c r="A15" s="55">
        <v>36551</v>
      </c>
      <c r="B15" s="63">
        <v>870</v>
      </c>
      <c r="C15" s="63">
        <v>7882</v>
      </c>
      <c r="D15" s="63">
        <v>424</v>
      </c>
      <c r="E15" s="63">
        <v>2888</v>
      </c>
      <c r="F15" s="63">
        <v>786</v>
      </c>
      <c r="G15" s="63">
        <v>3697</v>
      </c>
      <c r="H15" s="63">
        <v>442</v>
      </c>
      <c r="I15" s="63">
        <v>2767</v>
      </c>
      <c r="J15" s="63">
        <v>237</v>
      </c>
      <c r="K15" s="63">
        <v>673</v>
      </c>
      <c r="L15" s="63">
        <v>2704</v>
      </c>
      <c r="M15" s="63">
        <v>17907</v>
      </c>
      <c r="N15" s="63">
        <v>7579</v>
      </c>
      <c r="O15" s="63">
        <v>20673</v>
      </c>
      <c r="P15" s="63">
        <v>3593</v>
      </c>
      <c r="Q15" s="63">
        <v>13664</v>
      </c>
      <c r="R15" s="16">
        <f t="shared" si="0"/>
        <v>13876</v>
      </c>
      <c r="S15" s="16">
        <f t="shared" si="1"/>
        <v>52244</v>
      </c>
      <c r="T15" s="13" t="s">
        <v>83</v>
      </c>
      <c r="U15" s="5">
        <v>13876</v>
      </c>
      <c r="V15" s="5">
        <f t="shared" si="3"/>
        <v>14226.75</v>
      </c>
      <c r="W15" s="5">
        <f t="shared" si="2"/>
        <v>48876.875</v>
      </c>
      <c r="AH15" s="82" t="s">
        <v>214</v>
      </c>
      <c r="AI15" s="2"/>
      <c r="AJ15" s="2"/>
      <c r="AK15" s="2"/>
      <c r="AL15" s="2"/>
      <c r="AM15" s="2"/>
    </row>
    <row r="16" spans="1:39" ht="15.6" x14ac:dyDescent="0.3">
      <c r="A16" s="85">
        <v>36916</v>
      </c>
      <c r="B16" s="63">
        <v>1107</v>
      </c>
      <c r="C16" s="63">
        <v>6332</v>
      </c>
      <c r="D16" s="63">
        <v>454</v>
      </c>
      <c r="E16" s="63">
        <v>3030</v>
      </c>
      <c r="F16" s="63">
        <v>973</v>
      </c>
      <c r="G16" s="63">
        <v>3642</v>
      </c>
      <c r="H16" s="63">
        <v>981</v>
      </c>
      <c r="I16" s="63">
        <v>3324</v>
      </c>
      <c r="J16" s="63">
        <v>182</v>
      </c>
      <c r="K16" s="63">
        <v>807</v>
      </c>
      <c r="L16" s="63">
        <v>3654</v>
      </c>
      <c r="M16" s="63">
        <v>17133</v>
      </c>
      <c r="N16" s="63">
        <v>7071</v>
      </c>
      <c r="O16" s="63">
        <v>18382</v>
      </c>
      <c r="P16" s="63">
        <v>6446</v>
      </c>
      <c r="Q16" s="63">
        <v>13996</v>
      </c>
      <c r="R16" s="16">
        <f t="shared" si="0"/>
        <v>17171</v>
      </c>
      <c r="S16" s="16">
        <f t="shared" si="1"/>
        <v>49511</v>
      </c>
      <c r="T16" s="13" t="s">
        <v>83</v>
      </c>
      <c r="U16" s="5">
        <v>17171</v>
      </c>
      <c r="V16" s="5">
        <f t="shared" si="3"/>
        <v>14776.5</v>
      </c>
      <c r="W16" s="5">
        <f t="shared" si="2"/>
        <v>49835.75</v>
      </c>
      <c r="AH16" s="82" t="s">
        <v>226</v>
      </c>
      <c r="AI16" s="2">
        <v>830.2</v>
      </c>
      <c r="AJ16" s="2">
        <v>37.200000000000003</v>
      </c>
      <c r="AK16" s="2">
        <v>4053.3</v>
      </c>
      <c r="AL16" s="2">
        <v>148.9</v>
      </c>
      <c r="AM16" s="2">
        <v>4883.5</v>
      </c>
    </row>
    <row r="17" spans="1:39" ht="15.6" x14ac:dyDescent="0.3">
      <c r="A17" s="55">
        <v>36558</v>
      </c>
      <c r="B17" s="63">
        <v>959</v>
      </c>
      <c r="C17" s="63">
        <v>8037</v>
      </c>
      <c r="D17" s="63">
        <v>482</v>
      </c>
      <c r="E17" s="63">
        <v>2949</v>
      </c>
      <c r="F17" s="63">
        <v>831</v>
      </c>
      <c r="G17" s="63">
        <v>3840</v>
      </c>
      <c r="H17" s="63">
        <v>440</v>
      </c>
      <c r="I17" s="63">
        <v>2882</v>
      </c>
      <c r="J17" s="63">
        <v>188</v>
      </c>
      <c r="K17" s="63">
        <v>692</v>
      </c>
      <c r="L17" s="63">
        <v>2898</v>
      </c>
      <c r="M17" s="63">
        <v>18398</v>
      </c>
      <c r="N17" s="63">
        <v>7771</v>
      </c>
      <c r="O17" s="63">
        <v>21491</v>
      </c>
      <c r="P17" s="63">
        <v>3920</v>
      </c>
      <c r="Q17" s="63">
        <v>14289</v>
      </c>
      <c r="R17" s="16">
        <f t="shared" si="0"/>
        <v>14589</v>
      </c>
      <c r="S17" s="16">
        <f t="shared" si="1"/>
        <v>54178</v>
      </c>
      <c r="T17" s="13" t="s">
        <v>83</v>
      </c>
      <c r="U17" s="5">
        <v>14589</v>
      </c>
      <c r="V17" s="5">
        <f t="shared" si="3"/>
        <v>14864.25</v>
      </c>
      <c r="W17" s="5">
        <f t="shared" si="2"/>
        <v>50848</v>
      </c>
      <c r="AH17" s="82" t="s">
        <v>224</v>
      </c>
      <c r="AI17" s="2">
        <v>818</v>
      </c>
      <c r="AJ17" s="2">
        <v>14.3</v>
      </c>
      <c r="AK17" s="2">
        <v>4067.5</v>
      </c>
      <c r="AL17" s="2">
        <v>149.5</v>
      </c>
      <c r="AM17" s="2">
        <v>4885.5</v>
      </c>
    </row>
    <row r="18" spans="1:39" ht="15.6" x14ac:dyDescent="0.3">
      <c r="A18" s="85">
        <v>36923</v>
      </c>
      <c r="B18" s="63">
        <v>1363</v>
      </c>
      <c r="C18" s="63">
        <v>6428</v>
      </c>
      <c r="D18" s="63">
        <v>543</v>
      </c>
      <c r="E18" s="63">
        <v>3092</v>
      </c>
      <c r="F18" s="63">
        <v>966</v>
      </c>
      <c r="G18" s="63">
        <v>3771</v>
      </c>
      <c r="H18" s="63">
        <v>960</v>
      </c>
      <c r="I18" s="63">
        <v>3390</v>
      </c>
      <c r="J18" s="63">
        <v>128</v>
      </c>
      <c r="K18" s="63">
        <v>839</v>
      </c>
      <c r="L18" s="63">
        <v>3960</v>
      </c>
      <c r="M18" s="63">
        <v>17521</v>
      </c>
      <c r="N18" s="63">
        <v>7569</v>
      </c>
      <c r="O18" s="63">
        <v>18913</v>
      </c>
      <c r="P18" s="63">
        <v>6703</v>
      </c>
      <c r="Q18" s="63">
        <v>14541</v>
      </c>
      <c r="R18" s="16">
        <f t="shared" si="0"/>
        <v>18232</v>
      </c>
      <c r="S18" s="16">
        <f t="shared" si="1"/>
        <v>50975</v>
      </c>
      <c r="T18" s="13" t="s">
        <v>89</v>
      </c>
      <c r="U18" s="5">
        <v>18232</v>
      </c>
      <c r="V18" s="5">
        <f t="shared" si="3"/>
        <v>15967</v>
      </c>
      <c r="W18" s="5">
        <f t="shared" si="2"/>
        <v>51727</v>
      </c>
      <c r="AH18" s="82" t="s">
        <v>225</v>
      </c>
      <c r="AI18" s="2">
        <v>552.6</v>
      </c>
      <c r="AJ18" s="2">
        <v>11.3</v>
      </c>
      <c r="AK18" s="2">
        <v>1987.4</v>
      </c>
      <c r="AL18" s="2">
        <v>73</v>
      </c>
      <c r="AM18" s="2">
        <v>2540</v>
      </c>
    </row>
    <row r="19" spans="1:39" ht="15.6" x14ac:dyDescent="0.3">
      <c r="A19" s="55">
        <v>36565</v>
      </c>
      <c r="B19" s="63">
        <v>1027</v>
      </c>
      <c r="C19" s="63">
        <v>8168</v>
      </c>
      <c r="D19" s="63">
        <v>466</v>
      </c>
      <c r="E19" s="63">
        <v>3094</v>
      </c>
      <c r="F19" s="63">
        <v>800</v>
      </c>
      <c r="G19" s="63">
        <v>3955</v>
      </c>
      <c r="H19" s="63">
        <v>487</v>
      </c>
      <c r="I19" s="63">
        <v>2899.7</v>
      </c>
      <c r="J19" s="63">
        <v>176</v>
      </c>
      <c r="K19" s="63">
        <v>691.5</v>
      </c>
      <c r="L19" s="63">
        <v>2938</v>
      </c>
      <c r="M19" s="63">
        <v>18808</v>
      </c>
      <c r="N19" s="63">
        <v>7408</v>
      </c>
      <c r="O19" s="63">
        <v>22378.799999999999</v>
      </c>
      <c r="P19" s="63">
        <v>3681</v>
      </c>
      <c r="Q19" s="63">
        <v>15192.5</v>
      </c>
      <c r="R19" s="16">
        <f t="shared" si="0"/>
        <v>14027</v>
      </c>
      <c r="S19" s="16">
        <f t="shared" si="1"/>
        <v>56379.3</v>
      </c>
      <c r="T19" s="13" t="s">
        <v>89</v>
      </c>
      <c r="U19" s="5">
        <v>14027</v>
      </c>
      <c r="V19" s="5">
        <f t="shared" si="3"/>
        <v>16004.75</v>
      </c>
      <c r="W19" s="5">
        <f t="shared" si="2"/>
        <v>52760.824999999997</v>
      </c>
      <c r="AH19" s="82" t="s">
        <v>214</v>
      </c>
      <c r="AI19" s="2"/>
      <c r="AJ19" s="2"/>
      <c r="AK19" s="2"/>
      <c r="AL19" s="2"/>
      <c r="AM19" s="2"/>
    </row>
    <row r="20" spans="1:39" ht="15.6" x14ac:dyDescent="0.3">
      <c r="A20" s="55">
        <v>36930</v>
      </c>
      <c r="B20" s="63">
        <v>1291</v>
      </c>
      <c r="C20" s="63">
        <v>6664.7</v>
      </c>
      <c r="D20" s="63">
        <v>509</v>
      </c>
      <c r="E20" s="63">
        <v>3184</v>
      </c>
      <c r="F20" s="63">
        <v>933</v>
      </c>
      <c r="G20" s="63">
        <v>3936</v>
      </c>
      <c r="H20" s="63">
        <v>975</v>
      </c>
      <c r="I20" s="63">
        <v>3507</v>
      </c>
      <c r="J20" s="63">
        <v>124</v>
      </c>
      <c r="K20" s="63">
        <v>842.4</v>
      </c>
      <c r="L20" s="63">
        <v>3833</v>
      </c>
      <c r="M20" s="63">
        <v>18134</v>
      </c>
      <c r="N20" s="63">
        <v>7584.9</v>
      </c>
      <c r="O20" s="63">
        <v>20055</v>
      </c>
      <c r="P20" s="63">
        <v>6480</v>
      </c>
      <c r="Q20" s="63">
        <v>15501.8</v>
      </c>
      <c r="R20" s="16">
        <f t="shared" si="0"/>
        <v>17897.900000000001</v>
      </c>
      <c r="S20" s="16">
        <f t="shared" si="1"/>
        <v>53690.8</v>
      </c>
      <c r="T20" s="13" t="s">
        <v>89</v>
      </c>
      <c r="U20" s="5">
        <v>17897.900000000001</v>
      </c>
      <c r="V20" s="5">
        <f t="shared" si="3"/>
        <v>16186.475</v>
      </c>
      <c r="W20" s="5">
        <f t="shared" si="2"/>
        <v>53805.774999999994</v>
      </c>
      <c r="AH20" s="82" t="s">
        <v>227</v>
      </c>
      <c r="AI20" s="2">
        <v>2352.8000000000002</v>
      </c>
      <c r="AJ20" s="2">
        <v>183.4</v>
      </c>
      <c r="AK20" s="2">
        <v>4653.1000000000004</v>
      </c>
      <c r="AL20" s="2">
        <v>171</v>
      </c>
      <c r="AM20" s="2">
        <v>7005.9</v>
      </c>
    </row>
    <row r="21" spans="1:39" ht="15.6" x14ac:dyDescent="0.3">
      <c r="A21" s="55">
        <v>36572</v>
      </c>
      <c r="B21" s="63">
        <v>984</v>
      </c>
      <c r="C21" s="63">
        <v>8405</v>
      </c>
      <c r="D21" s="63">
        <v>488</v>
      </c>
      <c r="E21" s="63">
        <v>3171</v>
      </c>
      <c r="F21" s="63">
        <v>921</v>
      </c>
      <c r="G21" s="63">
        <v>4057</v>
      </c>
      <c r="H21" s="63">
        <v>489</v>
      </c>
      <c r="I21" s="63">
        <v>2970</v>
      </c>
      <c r="J21" s="63">
        <v>166</v>
      </c>
      <c r="K21" s="63">
        <v>703</v>
      </c>
      <c r="L21" s="63">
        <v>3047</v>
      </c>
      <c r="M21" s="63">
        <v>19306</v>
      </c>
      <c r="N21" s="63">
        <v>7423</v>
      </c>
      <c r="O21" s="63">
        <v>23257.5</v>
      </c>
      <c r="P21" s="63">
        <v>4002</v>
      </c>
      <c r="Q21" s="63">
        <v>15857</v>
      </c>
      <c r="R21" s="16">
        <f t="shared" si="0"/>
        <v>14472</v>
      </c>
      <c r="S21" s="16">
        <f t="shared" si="1"/>
        <v>58420.5</v>
      </c>
      <c r="T21" s="13" t="s">
        <v>89</v>
      </c>
      <c r="U21" s="5">
        <v>14472</v>
      </c>
      <c r="V21" s="5">
        <f t="shared" si="3"/>
        <v>16157.225</v>
      </c>
      <c r="W21" s="5">
        <f t="shared" si="2"/>
        <v>54866.400000000001</v>
      </c>
      <c r="AH21" s="82" t="s">
        <v>224</v>
      </c>
      <c r="AI21" s="2">
        <v>2419.9</v>
      </c>
      <c r="AJ21" s="2">
        <v>102.7</v>
      </c>
      <c r="AK21" s="2">
        <v>4755.8</v>
      </c>
      <c r="AL21" s="2">
        <v>174.7</v>
      </c>
      <c r="AM21" s="2">
        <v>7175.7</v>
      </c>
    </row>
    <row r="22" spans="1:39" ht="15.6" x14ac:dyDescent="0.3">
      <c r="A22" s="55">
        <v>36937</v>
      </c>
      <c r="B22" s="63">
        <v>1260</v>
      </c>
      <c r="C22" s="63">
        <v>6814.9</v>
      </c>
      <c r="D22" s="63">
        <v>482</v>
      </c>
      <c r="E22" s="63">
        <v>3279</v>
      </c>
      <c r="F22" s="63">
        <v>870</v>
      </c>
      <c r="G22" s="63">
        <v>4048</v>
      </c>
      <c r="H22" s="63">
        <v>902</v>
      </c>
      <c r="I22" s="63">
        <v>3595</v>
      </c>
      <c r="J22" s="63">
        <v>163</v>
      </c>
      <c r="K22" s="63">
        <v>842</v>
      </c>
      <c r="L22" s="63">
        <v>3677</v>
      </c>
      <c r="M22" s="63">
        <v>18580</v>
      </c>
      <c r="N22" s="63">
        <v>7576</v>
      </c>
      <c r="O22" s="63">
        <v>20800</v>
      </c>
      <c r="P22" s="63">
        <v>6260</v>
      </c>
      <c r="Q22" s="63">
        <v>16306</v>
      </c>
      <c r="R22" s="16">
        <f t="shared" si="0"/>
        <v>17513</v>
      </c>
      <c r="S22" s="16">
        <f t="shared" si="1"/>
        <v>55686</v>
      </c>
      <c r="T22" s="13" t="s">
        <v>89</v>
      </c>
      <c r="U22" s="5">
        <v>17513</v>
      </c>
      <c r="V22" s="5">
        <f t="shared" si="3"/>
        <v>15977.475</v>
      </c>
      <c r="W22" s="5">
        <f t="shared" si="2"/>
        <v>56044.15</v>
      </c>
      <c r="AH22" s="82" t="s">
        <v>225</v>
      </c>
      <c r="AI22" s="2">
        <v>1280.2</v>
      </c>
      <c r="AJ22" s="2">
        <v>74.2</v>
      </c>
      <c r="AK22" s="2">
        <v>3622</v>
      </c>
      <c r="AL22" s="2">
        <v>133.1</v>
      </c>
      <c r="AM22" s="2">
        <v>4902.2</v>
      </c>
    </row>
    <row r="23" spans="1:39" ht="15.6" x14ac:dyDescent="0.3">
      <c r="A23" s="55">
        <v>36579</v>
      </c>
      <c r="B23" s="63">
        <v>943</v>
      </c>
      <c r="C23" s="63">
        <v>8540</v>
      </c>
      <c r="D23" s="63">
        <v>385</v>
      </c>
      <c r="E23" s="63">
        <v>3286</v>
      </c>
      <c r="F23" s="63">
        <v>910</v>
      </c>
      <c r="G23" s="63">
        <v>4134</v>
      </c>
      <c r="H23" s="63">
        <v>482</v>
      </c>
      <c r="I23" s="63">
        <v>3035</v>
      </c>
      <c r="J23" s="63">
        <v>155</v>
      </c>
      <c r="K23" s="63">
        <v>713</v>
      </c>
      <c r="L23" s="63">
        <v>2875</v>
      </c>
      <c r="M23" s="63">
        <v>19709</v>
      </c>
      <c r="N23" s="63">
        <v>7517</v>
      </c>
      <c r="O23" s="63">
        <v>24291</v>
      </c>
      <c r="P23" s="63">
        <v>3938</v>
      </c>
      <c r="Q23" s="63">
        <v>16479</v>
      </c>
      <c r="R23" s="16">
        <f t="shared" si="0"/>
        <v>14330</v>
      </c>
      <c r="S23" s="16">
        <f t="shared" si="1"/>
        <v>60479</v>
      </c>
      <c r="T23" s="13" t="s">
        <v>90</v>
      </c>
      <c r="U23" s="5">
        <v>14330</v>
      </c>
      <c r="V23" s="5">
        <f t="shared" si="3"/>
        <v>16053.225</v>
      </c>
      <c r="W23" s="5">
        <f t="shared" si="2"/>
        <v>57069.074999999997</v>
      </c>
      <c r="AH23" s="82" t="s">
        <v>214</v>
      </c>
      <c r="AI23" s="2"/>
      <c r="AJ23" s="2"/>
      <c r="AK23" s="2"/>
      <c r="AL23" s="2"/>
      <c r="AM23" s="2"/>
    </row>
    <row r="24" spans="1:39" ht="15.6" x14ac:dyDescent="0.3">
      <c r="A24" s="55">
        <v>36944</v>
      </c>
      <c r="B24" s="63">
        <v>1176</v>
      </c>
      <c r="C24" s="63">
        <v>7056</v>
      </c>
      <c r="D24" s="63">
        <v>404</v>
      </c>
      <c r="E24" s="63">
        <v>3411</v>
      </c>
      <c r="F24" s="63">
        <v>867</v>
      </c>
      <c r="G24" s="63">
        <v>4231</v>
      </c>
      <c r="H24" s="63">
        <v>941</v>
      </c>
      <c r="I24" s="63">
        <v>3737</v>
      </c>
      <c r="J24" s="63">
        <v>174</v>
      </c>
      <c r="K24" s="63">
        <v>867</v>
      </c>
      <c r="L24" s="63">
        <v>3560</v>
      </c>
      <c r="M24" s="63">
        <v>19302</v>
      </c>
      <c r="N24" s="63">
        <v>7303</v>
      </c>
      <c r="O24" s="63">
        <v>21728</v>
      </c>
      <c r="P24" s="63">
        <v>5753</v>
      </c>
      <c r="Q24" s="63">
        <v>17326</v>
      </c>
      <c r="R24" s="16">
        <f t="shared" si="0"/>
        <v>16616</v>
      </c>
      <c r="S24" s="16">
        <f t="shared" si="1"/>
        <v>58356</v>
      </c>
      <c r="T24" s="13" t="s">
        <v>90</v>
      </c>
      <c r="U24" s="5">
        <v>16616</v>
      </c>
      <c r="V24" s="5">
        <f t="shared" si="3"/>
        <v>15732.75</v>
      </c>
      <c r="W24" s="5">
        <f t="shared" si="2"/>
        <v>58235.375</v>
      </c>
      <c r="AH24" s="82" t="s">
        <v>228</v>
      </c>
      <c r="AI24" s="2">
        <v>1361.4</v>
      </c>
      <c r="AJ24" s="2">
        <v>109.4</v>
      </c>
      <c r="AK24" s="2">
        <v>2477.9</v>
      </c>
      <c r="AL24" s="2">
        <v>91</v>
      </c>
      <c r="AM24" s="2">
        <v>3839.3</v>
      </c>
    </row>
    <row r="25" spans="1:39" ht="15.6" x14ac:dyDescent="0.3">
      <c r="A25" s="55">
        <v>36586</v>
      </c>
      <c r="B25" s="63">
        <v>942</v>
      </c>
      <c r="C25" s="63">
        <v>8687</v>
      </c>
      <c r="D25" s="63">
        <v>401</v>
      </c>
      <c r="E25" s="63">
        <v>3371</v>
      </c>
      <c r="F25" s="63">
        <v>1009</v>
      </c>
      <c r="G25" s="63">
        <v>4209</v>
      </c>
      <c r="H25" s="63">
        <v>557</v>
      </c>
      <c r="I25" s="63">
        <v>3076</v>
      </c>
      <c r="J25" s="63">
        <v>247</v>
      </c>
      <c r="K25" s="63">
        <v>741</v>
      </c>
      <c r="L25" s="63">
        <v>3156</v>
      </c>
      <c r="M25" s="63">
        <v>20084</v>
      </c>
      <c r="N25" s="63">
        <v>8148</v>
      </c>
      <c r="O25" s="63">
        <v>25033</v>
      </c>
      <c r="P25" s="63">
        <v>3852</v>
      </c>
      <c r="Q25" s="63">
        <v>17091</v>
      </c>
      <c r="R25" s="16">
        <f t="shared" si="0"/>
        <v>15156</v>
      </c>
      <c r="S25" s="16">
        <f t="shared" si="1"/>
        <v>62208</v>
      </c>
      <c r="T25" s="13" t="s">
        <v>90</v>
      </c>
      <c r="U25" s="5">
        <v>15156</v>
      </c>
      <c r="V25" s="5">
        <f t="shared" si="3"/>
        <v>15903.75</v>
      </c>
      <c r="W25" s="5">
        <f t="shared" si="2"/>
        <v>59182.25</v>
      </c>
      <c r="AH25" s="82" t="s">
        <v>229</v>
      </c>
      <c r="AI25" s="2">
        <v>1372.4</v>
      </c>
      <c r="AJ25" s="2">
        <v>79.8</v>
      </c>
      <c r="AK25" s="2">
        <v>2557.6999999999998</v>
      </c>
      <c r="AL25" s="2">
        <v>94</v>
      </c>
      <c r="AM25" s="2">
        <v>3930.1</v>
      </c>
    </row>
    <row r="26" spans="1:39" ht="15.6" x14ac:dyDescent="0.3">
      <c r="A26" s="55">
        <v>36951</v>
      </c>
      <c r="B26" s="63">
        <v>1204</v>
      </c>
      <c r="C26" s="63">
        <v>7191</v>
      </c>
      <c r="D26" s="63">
        <v>387</v>
      </c>
      <c r="E26" s="63">
        <v>3552</v>
      </c>
      <c r="F26" s="63">
        <v>847</v>
      </c>
      <c r="G26" s="63">
        <v>4318</v>
      </c>
      <c r="H26" s="63">
        <v>910</v>
      </c>
      <c r="I26" s="63">
        <v>3862</v>
      </c>
      <c r="J26" s="63">
        <v>182</v>
      </c>
      <c r="K26" s="63">
        <v>868</v>
      </c>
      <c r="L26" s="63">
        <v>3530</v>
      </c>
      <c r="M26" s="63">
        <v>19792</v>
      </c>
      <c r="N26" s="63">
        <v>7415</v>
      </c>
      <c r="O26" s="63">
        <v>22492</v>
      </c>
      <c r="P26" s="63">
        <v>5129</v>
      </c>
      <c r="Q26" s="63">
        <v>18173</v>
      </c>
      <c r="R26" s="16">
        <f t="shared" si="0"/>
        <v>16074</v>
      </c>
      <c r="S26" s="16">
        <f t="shared" si="1"/>
        <v>60457</v>
      </c>
      <c r="T26" s="13" t="s">
        <v>90</v>
      </c>
      <c r="U26" s="5">
        <v>16074</v>
      </c>
      <c r="V26" s="5">
        <f t="shared" si="3"/>
        <v>15544</v>
      </c>
      <c r="W26" s="5">
        <f t="shared" si="2"/>
        <v>60375</v>
      </c>
      <c r="AH26" s="82" t="s">
        <v>225</v>
      </c>
      <c r="AI26" s="2">
        <v>1032.5999999999999</v>
      </c>
      <c r="AJ26" s="2">
        <v>26</v>
      </c>
      <c r="AK26" s="2">
        <v>2615.6999999999998</v>
      </c>
      <c r="AL26" s="2">
        <v>96.1</v>
      </c>
      <c r="AM26" s="2">
        <v>3648.2</v>
      </c>
    </row>
    <row r="27" spans="1:39" ht="15.6" x14ac:dyDescent="0.3">
      <c r="A27" s="55">
        <v>36593</v>
      </c>
      <c r="B27" s="63">
        <v>1009</v>
      </c>
      <c r="C27" s="63">
        <v>8792</v>
      </c>
      <c r="D27" s="63">
        <v>438</v>
      </c>
      <c r="E27" s="63">
        <v>3371</v>
      </c>
      <c r="F27" s="63">
        <v>1037</v>
      </c>
      <c r="G27" s="63">
        <v>4336</v>
      </c>
      <c r="H27" s="63">
        <v>562</v>
      </c>
      <c r="I27" s="63">
        <v>3121</v>
      </c>
      <c r="J27" s="63">
        <v>290</v>
      </c>
      <c r="K27" s="63">
        <v>749</v>
      </c>
      <c r="L27" s="63">
        <v>3336</v>
      </c>
      <c r="M27" s="63">
        <v>20368</v>
      </c>
      <c r="N27" s="63">
        <v>7952</v>
      </c>
      <c r="O27" s="63">
        <v>25999</v>
      </c>
      <c r="P27" s="63">
        <v>3223</v>
      </c>
      <c r="Q27" s="63">
        <v>18093</v>
      </c>
      <c r="R27" s="16">
        <f t="shared" si="0"/>
        <v>14511</v>
      </c>
      <c r="S27" s="16">
        <f t="shared" si="1"/>
        <v>64460</v>
      </c>
      <c r="T27" s="13" t="s">
        <v>91</v>
      </c>
      <c r="U27" s="5">
        <v>14511</v>
      </c>
      <c r="V27" s="5">
        <f t="shared" si="3"/>
        <v>15589.25</v>
      </c>
      <c r="W27" s="5">
        <f t="shared" si="2"/>
        <v>61370.25</v>
      </c>
      <c r="AH27" s="82" t="s">
        <v>214</v>
      </c>
      <c r="AI27" s="2"/>
      <c r="AJ27" s="2"/>
      <c r="AK27" s="2"/>
      <c r="AL27" s="2"/>
      <c r="AM27" s="2"/>
    </row>
    <row r="28" spans="1:39" ht="15.6" x14ac:dyDescent="0.3">
      <c r="A28" s="55">
        <v>36958</v>
      </c>
      <c r="B28" s="63">
        <v>1075</v>
      </c>
      <c r="C28" s="63">
        <v>7404</v>
      </c>
      <c r="D28" s="63">
        <v>399</v>
      </c>
      <c r="E28" s="63">
        <v>3613</v>
      </c>
      <c r="F28" s="63">
        <v>899</v>
      </c>
      <c r="G28" s="63">
        <v>4420</v>
      </c>
      <c r="H28" s="63">
        <v>798</v>
      </c>
      <c r="I28" s="63">
        <v>4035</v>
      </c>
      <c r="J28" s="63">
        <v>195</v>
      </c>
      <c r="K28" s="63">
        <v>874</v>
      </c>
      <c r="L28" s="63">
        <v>3365</v>
      </c>
      <c r="M28" s="63">
        <v>20346</v>
      </c>
      <c r="N28" s="63">
        <v>7488</v>
      </c>
      <c r="O28" s="63">
        <v>23341</v>
      </c>
      <c r="P28" s="63">
        <v>4733</v>
      </c>
      <c r="Q28" s="63">
        <v>19089</v>
      </c>
      <c r="R28" s="16">
        <f t="shared" si="0"/>
        <v>15586</v>
      </c>
      <c r="S28" s="16">
        <f t="shared" si="1"/>
        <v>62776</v>
      </c>
      <c r="T28" s="13" t="s">
        <v>91</v>
      </c>
      <c r="U28" s="5">
        <v>15586</v>
      </c>
      <c r="V28" s="5">
        <f t="shared" si="3"/>
        <v>15331.75</v>
      </c>
      <c r="W28" s="5">
        <f t="shared" si="2"/>
        <v>62475.25</v>
      </c>
      <c r="AH28" s="82" t="s">
        <v>230</v>
      </c>
      <c r="AI28" s="2">
        <v>173</v>
      </c>
      <c r="AJ28" s="2">
        <v>32</v>
      </c>
      <c r="AK28" s="2">
        <v>766</v>
      </c>
      <c r="AL28" s="2">
        <v>28.1</v>
      </c>
      <c r="AM28" s="2">
        <v>938.9</v>
      </c>
    </row>
    <row r="29" spans="1:39" ht="15.6" x14ac:dyDescent="0.3">
      <c r="A29" s="55">
        <v>36601</v>
      </c>
      <c r="B29" s="63">
        <v>1068</v>
      </c>
      <c r="C29" s="63">
        <v>8875</v>
      </c>
      <c r="D29" s="63">
        <v>321</v>
      </c>
      <c r="E29" s="63">
        <v>3523</v>
      </c>
      <c r="F29" s="63">
        <v>1045</v>
      </c>
      <c r="G29" s="63">
        <v>4389</v>
      </c>
      <c r="H29" s="63">
        <v>600</v>
      </c>
      <c r="I29" s="63">
        <v>3146</v>
      </c>
      <c r="J29" s="63">
        <v>276</v>
      </c>
      <c r="K29" s="63">
        <v>775</v>
      </c>
      <c r="L29" s="63">
        <v>3310</v>
      </c>
      <c r="M29" s="63">
        <v>20709</v>
      </c>
      <c r="N29" s="63">
        <v>7537</v>
      </c>
      <c r="O29" s="63">
        <v>26906</v>
      </c>
      <c r="P29" s="63">
        <v>2941</v>
      </c>
      <c r="Q29" s="63">
        <v>18747</v>
      </c>
      <c r="R29" s="16">
        <f t="shared" si="0"/>
        <v>13788</v>
      </c>
      <c r="S29" s="16">
        <f t="shared" si="1"/>
        <v>66362</v>
      </c>
      <c r="T29" s="13" t="s">
        <v>91</v>
      </c>
      <c r="U29" s="5">
        <v>13788</v>
      </c>
      <c r="V29" s="5">
        <f t="shared" si="3"/>
        <v>14989.75</v>
      </c>
      <c r="W29" s="5">
        <f t="shared" si="2"/>
        <v>63513.75</v>
      </c>
      <c r="AH29" s="82" t="s">
        <v>229</v>
      </c>
      <c r="AI29" s="2">
        <v>173</v>
      </c>
      <c r="AJ29" s="2">
        <v>6.1</v>
      </c>
      <c r="AK29" s="2">
        <v>772.1</v>
      </c>
      <c r="AL29" s="2">
        <v>28.4</v>
      </c>
      <c r="AM29" s="2">
        <v>945</v>
      </c>
    </row>
    <row r="30" spans="1:39" ht="15.6" x14ac:dyDescent="0.3">
      <c r="A30" s="55">
        <v>36965</v>
      </c>
      <c r="B30" s="63">
        <v>1121</v>
      </c>
      <c r="C30" s="63">
        <v>7517</v>
      </c>
      <c r="D30" s="63">
        <v>387</v>
      </c>
      <c r="E30" s="63">
        <v>3648</v>
      </c>
      <c r="F30" s="63">
        <v>1012</v>
      </c>
      <c r="G30" s="63">
        <v>4490</v>
      </c>
      <c r="H30" s="63">
        <v>845</v>
      </c>
      <c r="I30" s="63">
        <v>4073</v>
      </c>
      <c r="J30" s="63">
        <v>261</v>
      </c>
      <c r="K30" s="63">
        <v>878</v>
      </c>
      <c r="L30" s="63">
        <v>3626</v>
      </c>
      <c r="M30" s="63">
        <v>20606</v>
      </c>
      <c r="N30" s="63">
        <v>7315</v>
      </c>
      <c r="O30" s="63">
        <v>24160</v>
      </c>
      <c r="P30" s="63">
        <v>4168</v>
      </c>
      <c r="Q30" s="63">
        <v>19950</v>
      </c>
      <c r="R30" s="16">
        <f t="shared" si="0"/>
        <v>15109</v>
      </c>
      <c r="S30" s="16">
        <f t="shared" si="1"/>
        <v>64716</v>
      </c>
      <c r="T30" s="13" t="s">
        <v>91</v>
      </c>
      <c r="U30" s="5">
        <v>15109</v>
      </c>
      <c r="V30" s="5">
        <f t="shared" si="3"/>
        <v>14748.5</v>
      </c>
      <c r="W30" s="5">
        <f t="shared" si="2"/>
        <v>64578.5</v>
      </c>
      <c r="AH30" s="82" t="s">
        <v>225</v>
      </c>
      <c r="AI30" s="2">
        <v>83.4</v>
      </c>
      <c r="AJ30" s="2">
        <v>19.600000000000001</v>
      </c>
      <c r="AK30" s="2">
        <v>533.9</v>
      </c>
      <c r="AL30" s="2">
        <v>19.600000000000001</v>
      </c>
      <c r="AM30" s="2">
        <v>617.29999999999995</v>
      </c>
    </row>
    <row r="31" spans="1:39" ht="15.6" x14ac:dyDescent="0.3">
      <c r="A31" s="55">
        <v>36608</v>
      </c>
      <c r="B31" s="63">
        <v>1028</v>
      </c>
      <c r="C31" s="63">
        <v>8982</v>
      </c>
      <c r="D31" s="63">
        <v>308</v>
      </c>
      <c r="E31" s="63">
        <v>3586</v>
      </c>
      <c r="F31" s="63">
        <v>1117</v>
      </c>
      <c r="G31" s="63">
        <v>4489</v>
      </c>
      <c r="H31" s="63">
        <v>622</v>
      </c>
      <c r="I31" s="63">
        <v>3192</v>
      </c>
      <c r="J31" s="63">
        <v>254</v>
      </c>
      <c r="K31" s="63">
        <v>797</v>
      </c>
      <c r="L31" s="63">
        <v>3229</v>
      </c>
      <c r="M31" s="63">
        <v>21047</v>
      </c>
      <c r="N31" s="63">
        <v>7316</v>
      </c>
      <c r="O31" s="63">
        <v>27895</v>
      </c>
      <c r="P31" s="63">
        <v>2514</v>
      </c>
      <c r="Q31" s="63">
        <v>19444</v>
      </c>
      <c r="R31" s="16">
        <f t="shared" si="0"/>
        <v>13059</v>
      </c>
      <c r="S31" s="16">
        <f t="shared" si="1"/>
        <v>68386</v>
      </c>
      <c r="T31" s="13" t="s">
        <v>91</v>
      </c>
      <c r="U31" s="5">
        <v>13059</v>
      </c>
      <c r="V31" s="5">
        <f t="shared" si="3"/>
        <v>14385.5</v>
      </c>
      <c r="W31" s="5">
        <f t="shared" si="2"/>
        <v>65560</v>
      </c>
      <c r="AH31" s="82" t="s">
        <v>214</v>
      </c>
      <c r="AI31" s="2"/>
      <c r="AJ31" s="2"/>
      <c r="AK31" s="2"/>
      <c r="AL31" s="2"/>
      <c r="AM31" s="2"/>
    </row>
    <row r="32" spans="1:39" ht="15.6" x14ac:dyDescent="0.3">
      <c r="A32" s="55">
        <v>36972</v>
      </c>
      <c r="B32" s="63">
        <v>1182</v>
      </c>
      <c r="C32" s="63">
        <v>7626</v>
      </c>
      <c r="D32" s="63">
        <v>471</v>
      </c>
      <c r="E32" s="63">
        <v>3670</v>
      </c>
      <c r="F32" s="63">
        <v>1092</v>
      </c>
      <c r="G32" s="63">
        <v>4529</v>
      </c>
      <c r="H32" s="63">
        <v>859</v>
      </c>
      <c r="I32" s="63">
        <v>4136</v>
      </c>
      <c r="J32" s="63">
        <v>275</v>
      </c>
      <c r="K32" s="63">
        <v>905</v>
      </c>
      <c r="L32" s="63">
        <v>3878</v>
      </c>
      <c r="M32" s="63">
        <v>20866</v>
      </c>
      <c r="N32" s="63">
        <v>6439</v>
      </c>
      <c r="O32" s="63">
        <v>25448</v>
      </c>
      <c r="P32" s="63">
        <v>3453</v>
      </c>
      <c r="Q32" s="63">
        <v>20954</v>
      </c>
      <c r="R32" s="16">
        <f t="shared" si="0"/>
        <v>13770</v>
      </c>
      <c r="S32" s="16">
        <f t="shared" si="1"/>
        <v>67268</v>
      </c>
      <c r="T32" s="13" t="s">
        <v>92</v>
      </c>
      <c r="U32" s="5">
        <v>13770</v>
      </c>
      <c r="V32" s="5">
        <f t="shared" si="3"/>
        <v>13931.5</v>
      </c>
      <c r="W32" s="5">
        <f t="shared" si="2"/>
        <v>66683</v>
      </c>
      <c r="AH32" s="82" t="s">
        <v>231</v>
      </c>
      <c r="AI32" s="2">
        <v>8946.1</v>
      </c>
      <c r="AJ32" s="2">
        <v>524</v>
      </c>
      <c r="AK32" s="2">
        <v>19906</v>
      </c>
      <c r="AL32" s="2">
        <v>731.4</v>
      </c>
      <c r="AM32" s="2">
        <v>28852.1</v>
      </c>
    </row>
    <row r="33" spans="1:41" ht="15.6" x14ac:dyDescent="0.3">
      <c r="A33" s="55">
        <v>36615</v>
      </c>
      <c r="B33" s="63">
        <v>1033</v>
      </c>
      <c r="C33" s="63">
        <v>9168</v>
      </c>
      <c r="D33" s="63">
        <v>317</v>
      </c>
      <c r="E33" s="63">
        <v>3631</v>
      </c>
      <c r="F33" s="63">
        <v>1023</v>
      </c>
      <c r="G33" s="63">
        <v>4588</v>
      </c>
      <c r="H33" s="63">
        <v>591</v>
      </c>
      <c r="I33" s="63">
        <v>3282</v>
      </c>
      <c r="J33" s="63">
        <v>256</v>
      </c>
      <c r="K33" s="63">
        <v>797</v>
      </c>
      <c r="L33" s="63">
        <v>3219</v>
      </c>
      <c r="M33" s="63">
        <v>21464</v>
      </c>
      <c r="N33" s="63">
        <v>7249</v>
      </c>
      <c r="O33" s="63">
        <v>28827</v>
      </c>
      <c r="P33" s="63">
        <v>2309</v>
      </c>
      <c r="Q33" s="63">
        <v>19951</v>
      </c>
      <c r="R33" s="16">
        <f t="shared" si="0"/>
        <v>12777</v>
      </c>
      <c r="S33" s="16">
        <f t="shared" si="1"/>
        <v>70242</v>
      </c>
      <c r="T33" s="13" t="s">
        <v>92</v>
      </c>
      <c r="U33" s="5">
        <v>12777</v>
      </c>
      <c r="V33" s="5">
        <f t="shared" si="3"/>
        <v>13678.75</v>
      </c>
      <c r="W33" s="5">
        <f t="shared" si="2"/>
        <v>67653</v>
      </c>
      <c r="AH33" s="82" t="s">
        <v>229</v>
      </c>
      <c r="AI33" s="1">
        <v>8863.7999999999993</v>
      </c>
      <c r="AJ33" s="1">
        <v>381.3</v>
      </c>
      <c r="AK33" s="1">
        <v>20287.2</v>
      </c>
      <c r="AL33" s="1">
        <v>745.4</v>
      </c>
      <c r="AM33" s="1">
        <v>29151.1</v>
      </c>
    </row>
    <row r="34" spans="1:41" ht="15.6" x14ac:dyDescent="0.3">
      <c r="A34" s="55">
        <v>36979</v>
      </c>
      <c r="B34" s="63">
        <v>1184</v>
      </c>
      <c r="C34" s="63">
        <v>7716</v>
      </c>
      <c r="D34" s="63">
        <v>452</v>
      </c>
      <c r="E34" s="63">
        <v>3721</v>
      </c>
      <c r="F34" s="63">
        <v>1000</v>
      </c>
      <c r="G34" s="63">
        <v>4693</v>
      </c>
      <c r="H34" s="63">
        <v>721</v>
      </c>
      <c r="I34" s="63">
        <v>4306</v>
      </c>
      <c r="J34" s="63">
        <v>281</v>
      </c>
      <c r="K34" s="63">
        <v>933</v>
      </c>
      <c r="L34" s="63">
        <v>3638</v>
      </c>
      <c r="M34" s="63">
        <v>21368</v>
      </c>
      <c r="N34" s="63">
        <v>6338</v>
      </c>
      <c r="O34" s="63">
        <v>26668</v>
      </c>
      <c r="P34" s="63">
        <v>2907</v>
      </c>
      <c r="Q34" s="63">
        <v>21648</v>
      </c>
      <c r="R34" s="16">
        <f t="shared" si="0"/>
        <v>12883</v>
      </c>
      <c r="S34" s="16">
        <f t="shared" si="1"/>
        <v>69684</v>
      </c>
      <c r="T34" s="13" t="s">
        <v>92</v>
      </c>
      <c r="U34" s="5">
        <v>12883</v>
      </c>
      <c r="V34" s="5">
        <f t="shared" si="3"/>
        <v>13122.25</v>
      </c>
      <c r="W34" s="5">
        <f t="shared" si="2"/>
        <v>68895</v>
      </c>
      <c r="AH34" s="82" t="s">
        <v>225</v>
      </c>
      <c r="AI34" s="1">
        <v>4630.1000000000004</v>
      </c>
      <c r="AJ34" s="1">
        <v>292</v>
      </c>
      <c r="AK34" s="1">
        <v>11910.7</v>
      </c>
      <c r="AL34" s="1">
        <v>437.6</v>
      </c>
      <c r="AM34" s="1">
        <v>16540.900000000001</v>
      </c>
    </row>
    <row r="35" spans="1:41" ht="15.6" x14ac:dyDescent="0.3">
      <c r="A35" s="55">
        <v>36622</v>
      </c>
      <c r="B35" s="63">
        <v>1088</v>
      </c>
      <c r="C35" s="63">
        <v>9298</v>
      </c>
      <c r="D35" s="63">
        <v>302</v>
      </c>
      <c r="E35" s="63">
        <v>3726</v>
      </c>
      <c r="F35" s="63">
        <v>837</v>
      </c>
      <c r="G35" s="63">
        <v>4794</v>
      </c>
      <c r="H35" s="63">
        <v>596</v>
      </c>
      <c r="I35" s="63">
        <v>3390</v>
      </c>
      <c r="J35" s="63">
        <v>255</v>
      </c>
      <c r="K35" s="63">
        <v>798</v>
      </c>
      <c r="L35" s="63">
        <v>3077</v>
      </c>
      <c r="M35" s="63">
        <v>22007</v>
      </c>
      <c r="N35" s="63">
        <v>7132</v>
      </c>
      <c r="O35" s="63">
        <v>29668</v>
      </c>
      <c r="P35" s="63">
        <v>2021</v>
      </c>
      <c r="Q35" s="63">
        <v>20454</v>
      </c>
      <c r="R35" s="16">
        <f t="shared" si="0"/>
        <v>12230</v>
      </c>
      <c r="S35" s="16">
        <f t="shared" si="1"/>
        <v>72129</v>
      </c>
      <c r="T35" s="13" t="s">
        <v>92</v>
      </c>
      <c r="U35" s="5">
        <v>12230</v>
      </c>
      <c r="V35" s="5">
        <f t="shared" si="3"/>
        <v>12915</v>
      </c>
      <c r="W35" s="5">
        <f t="shared" si="2"/>
        <v>69830.75</v>
      </c>
      <c r="AH35" s="3"/>
      <c r="AI35" s="1"/>
      <c r="AJ35" s="1"/>
      <c r="AK35" s="1"/>
      <c r="AL35" s="1"/>
      <c r="AM35" s="1"/>
    </row>
    <row r="36" spans="1:41" ht="15.6" x14ac:dyDescent="0.3">
      <c r="A36" s="55">
        <v>36986</v>
      </c>
      <c r="B36" s="63">
        <v>1132</v>
      </c>
      <c r="C36" s="63">
        <v>7903</v>
      </c>
      <c r="D36" s="63">
        <v>499</v>
      </c>
      <c r="E36" s="63">
        <v>3793</v>
      </c>
      <c r="F36" s="63">
        <v>910</v>
      </c>
      <c r="G36" s="63">
        <v>4819</v>
      </c>
      <c r="H36" s="63">
        <v>605</v>
      </c>
      <c r="I36" s="63">
        <v>4462</v>
      </c>
      <c r="J36" s="63">
        <v>268</v>
      </c>
      <c r="K36" s="63">
        <v>954</v>
      </c>
      <c r="L36" s="63">
        <v>3415</v>
      </c>
      <c r="M36" s="63">
        <v>21931</v>
      </c>
      <c r="N36" s="63">
        <v>5618</v>
      </c>
      <c r="O36" s="63">
        <v>27841</v>
      </c>
      <c r="P36" s="63">
        <v>2477</v>
      </c>
      <c r="Q36" s="63">
        <v>22284</v>
      </c>
      <c r="R36" s="16">
        <f t="shared" si="0"/>
        <v>11510</v>
      </c>
      <c r="S36" s="16">
        <f t="shared" si="1"/>
        <v>72056</v>
      </c>
      <c r="T36" s="13" t="s">
        <v>123</v>
      </c>
      <c r="U36" s="5">
        <v>11510</v>
      </c>
      <c r="V36" s="5">
        <f t="shared" si="3"/>
        <v>12350</v>
      </c>
      <c r="W36" s="5">
        <f t="shared" si="2"/>
        <v>71027.75</v>
      </c>
      <c r="AH36" s="3"/>
      <c r="AI36" s="1"/>
      <c r="AJ36" s="1"/>
      <c r="AK36" s="1"/>
      <c r="AL36" s="1"/>
      <c r="AM36" s="1"/>
    </row>
    <row r="37" spans="1:41" ht="15.6" x14ac:dyDescent="0.3">
      <c r="A37" s="55">
        <v>36629</v>
      </c>
      <c r="B37" s="63">
        <v>1008</v>
      </c>
      <c r="C37" s="63">
        <v>9460</v>
      </c>
      <c r="D37" s="63">
        <v>328</v>
      </c>
      <c r="E37" s="63">
        <v>3781</v>
      </c>
      <c r="F37" s="63">
        <v>785</v>
      </c>
      <c r="G37" s="63">
        <v>4881</v>
      </c>
      <c r="H37" s="63">
        <v>694</v>
      </c>
      <c r="I37" s="63">
        <v>3435</v>
      </c>
      <c r="J37" s="63">
        <v>246</v>
      </c>
      <c r="K37" s="63">
        <v>825</v>
      </c>
      <c r="L37" s="63">
        <v>3061</v>
      </c>
      <c r="M37" s="63">
        <v>22383</v>
      </c>
      <c r="N37" s="63">
        <v>7258</v>
      </c>
      <c r="O37" s="63">
        <v>30593</v>
      </c>
      <c r="P37" s="63">
        <v>1956</v>
      </c>
      <c r="Q37" s="63">
        <v>20823</v>
      </c>
      <c r="R37" s="16">
        <f t="shared" si="0"/>
        <v>12275</v>
      </c>
      <c r="S37" s="16">
        <f t="shared" si="1"/>
        <v>73799</v>
      </c>
      <c r="T37" s="13" t="s">
        <v>123</v>
      </c>
      <c r="U37" s="5">
        <v>12275</v>
      </c>
      <c r="V37" s="5">
        <f t="shared" si="3"/>
        <v>12224.5</v>
      </c>
      <c r="W37" s="5">
        <f t="shared" si="2"/>
        <v>71917</v>
      </c>
      <c r="AH37" s="3"/>
      <c r="AI37" s="1"/>
      <c r="AJ37" s="1"/>
      <c r="AK37" s="1"/>
      <c r="AL37" s="1"/>
      <c r="AM37" s="1"/>
    </row>
    <row r="38" spans="1:41" ht="15.6" x14ac:dyDescent="0.3">
      <c r="A38" s="55">
        <v>36993</v>
      </c>
      <c r="B38" s="63">
        <v>1098</v>
      </c>
      <c r="C38" s="63">
        <v>8073</v>
      </c>
      <c r="D38" s="63">
        <v>404</v>
      </c>
      <c r="E38" s="63">
        <v>4028</v>
      </c>
      <c r="F38" s="63">
        <v>879</v>
      </c>
      <c r="G38" s="63">
        <v>4927</v>
      </c>
      <c r="H38" s="63">
        <v>569</v>
      </c>
      <c r="I38" s="63">
        <v>4561</v>
      </c>
      <c r="J38" s="63">
        <v>274</v>
      </c>
      <c r="K38" s="63">
        <v>954</v>
      </c>
      <c r="L38" s="63">
        <v>3223</v>
      </c>
      <c r="M38" s="63">
        <v>22543</v>
      </c>
      <c r="N38" s="63">
        <v>5216</v>
      </c>
      <c r="O38" s="63">
        <v>28787</v>
      </c>
      <c r="P38" s="63">
        <v>2090</v>
      </c>
      <c r="Q38" s="63">
        <v>22744</v>
      </c>
      <c r="R38" s="16">
        <f t="shared" si="0"/>
        <v>10529</v>
      </c>
      <c r="S38" s="16">
        <f t="shared" si="1"/>
        <v>74074</v>
      </c>
      <c r="T38" s="13" t="s">
        <v>123</v>
      </c>
      <c r="U38" s="5">
        <v>10529</v>
      </c>
      <c r="V38" s="5">
        <f t="shared" si="3"/>
        <v>11636</v>
      </c>
      <c r="W38" s="5">
        <f t="shared" si="2"/>
        <v>73014.5</v>
      </c>
      <c r="AH38" s="3"/>
      <c r="AI38" s="4"/>
      <c r="AJ38" s="4"/>
      <c r="AK38" s="4"/>
      <c r="AL38" s="4"/>
      <c r="AM38" s="4"/>
    </row>
    <row r="39" spans="1:41" ht="15.6" x14ac:dyDescent="0.3">
      <c r="A39" s="55">
        <v>36636</v>
      </c>
      <c r="B39" s="63">
        <v>867</v>
      </c>
      <c r="C39" s="63">
        <v>9632</v>
      </c>
      <c r="D39" s="63">
        <v>346</v>
      </c>
      <c r="E39" s="63">
        <v>3828</v>
      </c>
      <c r="F39" s="63">
        <v>681</v>
      </c>
      <c r="G39" s="63">
        <v>5072</v>
      </c>
      <c r="H39" s="63">
        <v>665</v>
      </c>
      <c r="I39" s="63">
        <v>3472</v>
      </c>
      <c r="J39" s="63">
        <v>256</v>
      </c>
      <c r="K39" s="63">
        <v>825</v>
      </c>
      <c r="L39" s="63">
        <v>2815</v>
      </c>
      <c r="M39" s="63">
        <v>22829</v>
      </c>
      <c r="N39" s="63">
        <v>7405</v>
      </c>
      <c r="O39" s="63">
        <v>31682</v>
      </c>
      <c r="P39" s="63">
        <v>1909</v>
      </c>
      <c r="Q39" s="63">
        <v>21107</v>
      </c>
      <c r="R39" s="16">
        <f t="shared" si="0"/>
        <v>12129</v>
      </c>
      <c r="S39" s="16">
        <f t="shared" si="1"/>
        <v>75618</v>
      </c>
      <c r="T39" s="13" t="s">
        <v>123</v>
      </c>
      <c r="U39" s="5">
        <v>12129</v>
      </c>
      <c r="V39" s="5">
        <f t="shared" si="3"/>
        <v>11610.75</v>
      </c>
      <c r="W39" s="5">
        <f t="shared" si="2"/>
        <v>73886.75</v>
      </c>
      <c r="AH39" s="3"/>
      <c r="AI39" s="4"/>
      <c r="AJ39" s="4"/>
      <c r="AK39" s="4"/>
      <c r="AL39" s="4"/>
      <c r="AM39" s="4"/>
    </row>
    <row r="40" spans="1:41" ht="15.6" x14ac:dyDescent="0.3">
      <c r="A40" s="55">
        <v>37000</v>
      </c>
      <c r="B40" s="63">
        <v>952</v>
      </c>
      <c r="C40" s="63">
        <v>8297</v>
      </c>
      <c r="D40" s="63">
        <v>407</v>
      </c>
      <c r="E40" s="63">
        <v>4110</v>
      </c>
      <c r="F40" s="63">
        <v>853</v>
      </c>
      <c r="G40" s="63">
        <v>5033</v>
      </c>
      <c r="H40" s="63">
        <v>531</v>
      </c>
      <c r="I40" s="63">
        <v>4635</v>
      </c>
      <c r="J40" s="63">
        <v>205</v>
      </c>
      <c r="K40" s="63">
        <v>1021</v>
      </c>
      <c r="L40" s="63">
        <v>2947</v>
      </c>
      <c r="M40" s="63">
        <v>23096</v>
      </c>
      <c r="N40" s="63">
        <v>4735</v>
      </c>
      <c r="O40" s="63">
        <v>29675</v>
      </c>
      <c r="P40" s="63">
        <v>2060</v>
      </c>
      <c r="Q40" s="63">
        <v>22906</v>
      </c>
      <c r="R40" s="16">
        <f t="shared" si="0"/>
        <v>9742</v>
      </c>
      <c r="S40" s="16">
        <f t="shared" si="1"/>
        <v>75677</v>
      </c>
      <c r="T40" s="13" t="s">
        <v>93</v>
      </c>
      <c r="U40" s="5">
        <v>9742</v>
      </c>
      <c r="V40" s="5">
        <f t="shared" si="3"/>
        <v>11168.75</v>
      </c>
      <c r="W40" s="5">
        <f t="shared" si="2"/>
        <v>74792</v>
      </c>
      <c r="AH40" s="3"/>
      <c r="AI40" s="4"/>
      <c r="AJ40" s="4"/>
      <c r="AK40" s="4"/>
      <c r="AL40" s="4"/>
      <c r="AM40" s="4"/>
    </row>
    <row r="41" spans="1:41" ht="15.6" x14ac:dyDescent="0.3">
      <c r="A41" s="55">
        <v>36643</v>
      </c>
      <c r="B41" s="63">
        <v>741</v>
      </c>
      <c r="C41" s="63">
        <v>9849</v>
      </c>
      <c r="D41" s="63">
        <v>472</v>
      </c>
      <c r="E41" s="63">
        <v>3870</v>
      </c>
      <c r="F41" s="63">
        <v>673</v>
      </c>
      <c r="G41" s="63">
        <v>5147</v>
      </c>
      <c r="H41" s="63">
        <v>639</v>
      </c>
      <c r="I41" s="63">
        <v>3506</v>
      </c>
      <c r="J41" s="63">
        <v>255</v>
      </c>
      <c r="K41" s="63">
        <v>825</v>
      </c>
      <c r="L41" s="63">
        <v>2779</v>
      </c>
      <c r="M41" s="63">
        <v>23198</v>
      </c>
      <c r="N41" s="63">
        <v>6877</v>
      </c>
      <c r="O41" s="63">
        <v>32624</v>
      </c>
      <c r="P41" s="63">
        <v>1979</v>
      </c>
      <c r="Q41" s="63">
        <v>21295</v>
      </c>
      <c r="R41" s="16">
        <f t="shared" si="0"/>
        <v>11635</v>
      </c>
      <c r="S41" s="16">
        <f t="shared" si="1"/>
        <v>77117</v>
      </c>
      <c r="T41" s="13" t="s">
        <v>93</v>
      </c>
      <c r="U41" s="5">
        <v>11635</v>
      </c>
      <c r="V41" s="5">
        <f t="shared" si="3"/>
        <v>11008.75</v>
      </c>
      <c r="W41" s="5">
        <f t="shared" si="2"/>
        <v>75621.5</v>
      </c>
      <c r="AH41" s="3"/>
      <c r="AI41" s="4"/>
      <c r="AJ41" s="4"/>
      <c r="AK41" s="4"/>
      <c r="AL41" s="4"/>
      <c r="AM41" s="4"/>
    </row>
    <row r="42" spans="1:41" ht="15.6" x14ac:dyDescent="0.3">
      <c r="A42" s="55">
        <v>37007</v>
      </c>
      <c r="B42" s="63">
        <v>915</v>
      </c>
      <c r="C42" s="63">
        <v>8510</v>
      </c>
      <c r="D42" s="63">
        <v>397</v>
      </c>
      <c r="E42" s="63">
        <v>4158</v>
      </c>
      <c r="F42" s="63">
        <v>705</v>
      </c>
      <c r="G42" s="63">
        <v>5208</v>
      </c>
      <c r="H42" s="63">
        <v>518</v>
      </c>
      <c r="I42" s="63">
        <v>4671</v>
      </c>
      <c r="J42" s="63">
        <v>154</v>
      </c>
      <c r="K42" s="63">
        <v>1023</v>
      </c>
      <c r="L42" s="63">
        <v>2689</v>
      </c>
      <c r="M42" s="63">
        <v>23570</v>
      </c>
      <c r="N42" s="63">
        <v>5168</v>
      </c>
      <c r="O42" s="63">
        <v>30510</v>
      </c>
      <c r="P42" s="63">
        <v>2115</v>
      </c>
      <c r="Q42" s="63">
        <v>23145</v>
      </c>
      <c r="R42" s="16">
        <f t="shared" si="0"/>
        <v>9972</v>
      </c>
      <c r="S42" s="16">
        <f t="shared" si="1"/>
        <v>77225</v>
      </c>
      <c r="T42" s="13" t="s">
        <v>93</v>
      </c>
      <c r="U42" s="5">
        <v>9972</v>
      </c>
      <c r="V42" s="5">
        <f t="shared" si="3"/>
        <v>10869.5</v>
      </c>
      <c r="W42" s="5">
        <f t="shared" si="2"/>
        <v>76409.25</v>
      </c>
      <c r="AH42" s="3"/>
      <c r="AI42" s="4"/>
      <c r="AJ42" s="4"/>
      <c r="AK42" s="4"/>
      <c r="AL42" s="4"/>
      <c r="AM42" s="4"/>
    </row>
    <row r="43" spans="1:41" ht="15.6" x14ac:dyDescent="0.3">
      <c r="A43" s="55">
        <v>36650</v>
      </c>
      <c r="B43" s="56">
        <v>824</v>
      </c>
      <c r="C43" s="56">
        <v>10005</v>
      </c>
      <c r="D43" s="56">
        <v>422</v>
      </c>
      <c r="E43" s="56">
        <v>3903.7</v>
      </c>
      <c r="F43" s="56">
        <v>579</v>
      </c>
      <c r="G43" s="56">
        <v>5283.3</v>
      </c>
      <c r="H43" s="56">
        <v>588</v>
      </c>
      <c r="I43" s="56">
        <v>3618.3</v>
      </c>
      <c r="J43" s="56">
        <v>204</v>
      </c>
      <c r="K43" s="56">
        <v>878</v>
      </c>
      <c r="L43" s="56">
        <v>2617</v>
      </c>
      <c r="M43" s="56">
        <v>23688</v>
      </c>
      <c r="N43" s="56">
        <v>6817</v>
      </c>
      <c r="O43" s="56">
        <v>33432</v>
      </c>
      <c r="P43" s="56">
        <v>1776</v>
      </c>
      <c r="Q43" s="56">
        <v>21794</v>
      </c>
      <c r="R43" s="16">
        <f t="shared" si="0"/>
        <v>11210</v>
      </c>
      <c r="S43" s="16">
        <f t="shared" si="1"/>
        <v>78914</v>
      </c>
      <c r="T43" s="13" t="s">
        <v>93</v>
      </c>
      <c r="U43" s="5">
        <v>11210</v>
      </c>
      <c r="V43" s="5">
        <f t="shared" si="3"/>
        <v>10639.75</v>
      </c>
      <c r="W43" s="5">
        <f t="shared" si="2"/>
        <v>77233.25</v>
      </c>
      <c r="AH43" s="82" t="s">
        <v>233</v>
      </c>
      <c r="AI43" s="4">
        <v>19082.5</v>
      </c>
      <c r="AJ43" s="4">
        <v>1230.0999999999999</v>
      </c>
      <c r="AK43" s="4">
        <v>18662.099999999999</v>
      </c>
      <c r="AL43" s="4">
        <v>734.7</v>
      </c>
      <c r="AM43" s="4">
        <v>37744.6</v>
      </c>
    </row>
    <row r="44" spans="1:41" ht="15.6" x14ac:dyDescent="0.3">
      <c r="A44" s="55">
        <v>37014</v>
      </c>
      <c r="B44" s="56">
        <v>814</v>
      </c>
      <c r="C44" s="56">
        <v>8685</v>
      </c>
      <c r="D44" s="56">
        <v>308</v>
      </c>
      <c r="E44" s="56">
        <v>4282.3</v>
      </c>
      <c r="F44" s="56">
        <v>584</v>
      </c>
      <c r="G44" s="56">
        <v>5364.6</v>
      </c>
      <c r="H44" s="56">
        <v>426</v>
      </c>
      <c r="I44" s="56">
        <v>4795.7</v>
      </c>
      <c r="J44" s="56">
        <v>148</v>
      </c>
      <c r="K44" s="56">
        <v>1098</v>
      </c>
      <c r="L44" s="56">
        <v>2280</v>
      </c>
      <c r="M44" s="56">
        <v>24226</v>
      </c>
      <c r="N44" s="56">
        <v>5444</v>
      </c>
      <c r="O44" s="56">
        <v>31156</v>
      </c>
      <c r="P44" s="56">
        <v>2110</v>
      </c>
      <c r="Q44" s="56">
        <v>23333</v>
      </c>
      <c r="R44" s="16">
        <f t="shared" si="0"/>
        <v>9834</v>
      </c>
      <c r="S44" s="16">
        <f t="shared" si="1"/>
        <v>78715</v>
      </c>
      <c r="T44" s="13" t="s">
        <v>94</v>
      </c>
      <c r="U44" s="5">
        <v>9834</v>
      </c>
      <c r="V44" s="5">
        <f t="shared" si="3"/>
        <v>10662.75</v>
      </c>
      <c r="W44" s="5">
        <f t="shared" si="2"/>
        <v>77992.75</v>
      </c>
      <c r="AH44" s="82" t="s">
        <v>229</v>
      </c>
      <c r="AI44" s="4">
        <v>19243.400000000001</v>
      </c>
      <c r="AJ44" s="4">
        <v>1262.5999999999999</v>
      </c>
      <c r="AK44" s="4">
        <v>19924.599999999999</v>
      </c>
      <c r="AL44" s="4">
        <v>784.4</v>
      </c>
      <c r="AM44" s="4">
        <v>39168.1</v>
      </c>
      <c r="AN44">
        <v>62230</v>
      </c>
      <c r="AO44" t="s">
        <v>232</v>
      </c>
    </row>
    <row r="45" spans="1:41" ht="15.6" x14ac:dyDescent="0.3">
      <c r="A45" s="55">
        <v>36657</v>
      </c>
      <c r="B45" s="56">
        <v>755</v>
      </c>
      <c r="C45" s="56">
        <v>10102.9</v>
      </c>
      <c r="D45" s="56">
        <v>240</v>
      </c>
      <c r="E45" s="56">
        <v>4060.4</v>
      </c>
      <c r="F45" s="56">
        <v>524</v>
      </c>
      <c r="G45" s="56">
        <v>5353</v>
      </c>
      <c r="H45" s="56">
        <v>539</v>
      </c>
      <c r="I45" s="56">
        <v>3682</v>
      </c>
      <c r="J45" s="56">
        <v>167</v>
      </c>
      <c r="K45" s="56">
        <v>918</v>
      </c>
      <c r="L45" s="56">
        <v>2226</v>
      </c>
      <c r="M45" s="56">
        <v>24117</v>
      </c>
      <c r="N45" s="56">
        <v>6941</v>
      </c>
      <c r="O45" s="56">
        <v>34082</v>
      </c>
      <c r="P45" s="56">
        <v>1728</v>
      </c>
      <c r="Q45" s="56">
        <v>22041</v>
      </c>
      <c r="R45" s="16">
        <f t="shared" si="0"/>
        <v>10895</v>
      </c>
      <c r="S45" s="16">
        <f t="shared" si="1"/>
        <v>80240</v>
      </c>
      <c r="T45" s="13" t="s">
        <v>94</v>
      </c>
      <c r="U45" s="5">
        <v>10895</v>
      </c>
      <c r="V45" s="5">
        <f t="shared" si="3"/>
        <v>10477.75</v>
      </c>
      <c r="W45" s="5">
        <f t="shared" si="2"/>
        <v>78773.5</v>
      </c>
      <c r="AH45" s="82" t="s">
        <v>225</v>
      </c>
      <c r="AI45" s="4">
        <v>11890.1</v>
      </c>
      <c r="AJ45" s="4">
        <v>1118.4000000000001</v>
      </c>
      <c r="AK45" s="4">
        <v>17911</v>
      </c>
      <c r="AL45" s="4">
        <v>705.1</v>
      </c>
      <c r="AM45" s="4">
        <v>29801.1</v>
      </c>
    </row>
    <row r="46" spans="1:41" ht="15.6" x14ac:dyDescent="0.3">
      <c r="A46" s="55">
        <v>37021</v>
      </c>
      <c r="B46" s="56">
        <v>690</v>
      </c>
      <c r="C46" s="56">
        <v>8843.9</v>
      </c>
      <c r="D46" s="56">
        <v>300</v>
      </c>
      <c r="E46" s="56">
        <v>4294.6000000000004</v>
      </c>
      <c r="F46" s="56">
        <v>536</v>
      </c>
      <c r="G46" s="56">
        <v>5455</v>
      </c>
      <c r="H46" s="56">
        <v>415</v>
      </c>
      <c r="I46" s="56">
        <v>4847</v>
      </c>
      <c r="J46" s="56">
        <v>158</v>
      </c>
      <c r="K46" s="56">
        <v>1101</v>
      </c>
      <c r="L46" s="56">
        <v>2099</v>
      </c>
      <c r="M46" s="56">
        <v>24542</v>
      </c>
      <c r="N46" s="56">
        <v>5620</v>
      </c>
      <c r="O46" s="56">
        <v>31848</v>
      </c>
      <c r="P46" s="56">
        <v>2133</v>
      </c>
      <c r="Q46" s="56">
        <v>23616</v>
      </c>
      <c r="R46" s="16">
        <f t="shared" si="0"/>
        <v>9852</v>
      </c>
      <c r="S46" s="16">
        <f t="shared" si="1"/>
        <v>80006</v>
      </c>
      <c r="T46" s="13" t="s">
        <v>94</v>
      </c>
      <c r="U46" s="5">
        <v>9852</v>
      </c>
      <c r="V46" s="5">
        <f t="shared" si="3"/>
        <v>10447.75</v>
      </c>
      <c r="W46" s="5">
        <f t="shared" si="2"/>
        <v>79468.75</v>
      </c>
      <c r="AH46" s="3"/>
      <c r="AI46" s="4"/>
      <c r="AJ46" s="4"/>
      <c r="AK46" s="4"/>
      <c r="AL46" s="4"/>
      <c r="AM46" s="4"/>
    </row>
    <row r="47" spans="1:41" ht="15.6" x14ac:dyDescent="0.3">
      <c r="A47" s="55">
        <v>36664</v>
      </c>
      <c r="B47" s="56">
        <v>703</v>
      </c>
      <c r="C47" s="56">
        <v>10258</v>
      </c>
      <c r="D47" s="56">
        <v>170</v>
      </c>
      <c r="E47" s="56">
        <v>4114</v>
      </c>
      <c r="F47" s="56">
        <v>402</v>
      </c>
      <c r="G47" s="56">
        <v>5423</v>
      </c>
      <c r="H47" s="56">
        <v>356</v>
      </c>
      <c r="I47" s="56">
        <v>3814</v>
      </c>
      <c r="J47" s="56">
        <v>150</v>
      </c>
      <c r="K47" s="56">
        <v>936</v>
      </c>
      <c r="L47" s="56">
        <v>1780</v>
      </c>
      <c r="M47" s="56">
        <v>24544</v>
      </c>
      <c r="N47" s="56">
        <v>6979</v>
      </c>
      <c r="O47" s="56">
        <v>34970</v>
      </c>
      <c r="P47" s="56">
        <v>1900</v>
      </c>
      <c r="Q47" s="56">
        <v>22208</v>
      </c>
      <c r="R47" s="16">
        <f t="shared" si="0"/>
        <v>10659</v>
      </c>
      <c r="S47" s="16">
        <f t="shared" si="1"/>
        <v>81722</v>
      </c>
      <c r="T47" s="13" t="s">
        <v>94</v>
      </c>
      <c r="U47" s="5">
        <v>10659</v>
      </c>
      <c r="V47" s="5">
        <f t="shared" si="3"/>
        <v>10310</v>
      </c>
      <c r="W47" s="5">
        <f t="shared" si="2"/>
        <v>80170.75</v>
      </c>
      <c r="AH47" s="82" t="s">
        <v>234</v>
      </c>
      <c r="AI47" s="4">
        <v>9638</v>
      </c>
      <c r="AJ47" s="4">
        <v>1103</v>
      </c>
      <c r="AK47" s="4">
        <v>10367.6</v>
      </c>
      <c r="AL47" s="4">
        <v>380.9</v>
      </c>
      <c r="AM47" s="4">
        <v>20005.5</v>
      </c>
    </row>
    <row r="48" spans="1:41" ht="15.6" x14ac:dyDescent="0.3">
      <c r="A48" s="55">
        <v>37028</v>
      </c>
      <c r="B48" s="56">
        <v>683</v>
      </c>
      <c r="C48" s="56">
        <v>8942.6</v>
      </c>
      <c r="D48" s="56">
        <v>180</v>
      </c>
      <c r="E48" s="56">
        <v>4389</v>
      </c>
      <c r="F48" s="56">
        <v>514</v>
      </c>
      <c r="G48" s="56">
        <v>5511</v>
      </c>
      <c r="H48" s="56">
        <v>369</v>
      </c>
      <c r="I48" s="56">
        <v>4945</v>
      </c>
      <c r="J48" s="56">
        <v>150</v>
      </c>
      <c r="K48" s="56">
        <v>1118</v>
      </c>
      <c r="L48" s="56">
        <v>1896</v>
      </c>
      <c r="M48" s="56">
        <v>24905</v>
      </c>
      <c r="N48" s="56">
        <v>6187</v>
      </c>
      <c r="O48" s="56">
        <v>32470</v>
      </c>
      <c r="P48" s="56">
        <v>2083</v>
      </c>
      <c r="Q48" s="56">
        <v>23781</v>
      </c>
      <c r="R48" s="16">
        <f t="shared" si="0"/>
        <v>10166</v>
      </c>
      <c r="S48" s="16">
        <f t="shared" si="1"/>
        <v>81156</v>
      </c>
      <c r="T48" s="13" t="s">
        <v>95</v>
      </c>
      <c r="U48" s="5">
        <v>10166</v>
      </c>
      <c r="V48" s="5">
        <f t="shared" si="3"/>
        <v>10393</v>
      </c>
      <c r="W48" s="5">
        <f t="shared" si="2"/>
        <v>80781</v>
      </c>
      <c r="AH48" s="82" t="s">
        <v>229</v>
      </c>
      <c r="AI48" s="4">
        <v>9486.7999999999993</v>
      </c>
      <c r="AJ48" s="4">
        <v>834.3</v>
      </c>
      <c r="AK48" s="4">
        <v>11201.9</v>
      </c>
      <c r="AL48" s="4">
        <v>411.6</v>
      </c>
      <c r="AM48" s="4">
        <v>20688.599999999999</v>
      </c>
      <c r="AN48">
        <v>27080</v>
      </c>
    </row>
    <row r="49" spans="1:39" ht="15.6" x14ac:dyDescent="0.3">
      <c r="A49" s="55">
        <v>36671</v>
      </c>
      <c r="B49" s="56">
        <v>526</v>
      </c>
      <c r="C49" s="56">
        <v>10491</v>
      </c>
      <c r="D49" s="56">
        <v>136</v>
      </c>
      <c r="E49" s="56">
        <v>4160</v>
      </c>
      <c r="F49" s="56">
        <v>275</v>
      </c>
      <c r="G49" s="56">
        <v>5511</v>
      </c>
      <c r="H49" s="56">
        <v>244</v>
      </c>
      <c r="I49" s="56">
        <v>3914</v>
      </c>
      <c r="J49" s="56">
        <v>103</v>
      </c>
      <c r="K49" s="56">
        <v>984</v>
      </c>
      <c r="L49" s="56">
        <v>1285</v>
      </c>
      <c r="M49" s="56">
        <v>25060</v>
      </c>
      <c r="N49" s="56">
        <v>6889</v>
      </c>
      <c r="O49" s="56">
        <v>35816</v>
      </c>
      <c r="P49" s="56">
        <v>1973</v>
      </c>
      <c r="Q49" s="56">
        <v>22428</v>
      </c>
      <c r="R49" s="16">
        <f t="shared" si="0"/>
        <v>10147</v>
      </c>
      <c r="S49" s="16">
        <f t="shared" si="1"/>
        <v>83304</v>
      </c>
      <c r="T49" s="13" t="s">
        <v>95</v>
      </c>
      <c r="U49" s="5">
        <v>10147</v>
      </c>
      <c r="V49" s="5">
        <f t="shared" si="3"/>
        <v>10206</v>
      </c>
      <c r="W49" s="5">
        <f t="shared" si="2"/>
        <v>81547</v>
      </c>
      <c r="AH49" s="82" t="s">
        <v>225</v>
      </c>
      <c r="AI49" s="4">
        <v>7375.7</v>
      </c>
      <c r="AJ49" s="4">
        <v>672.3</v>
      </c>
      <c r="AK49" s="4">
        <v>12196.8</v>
      </c>
      <c r="AL49" s="4">
        <v>448.2</v>
      </c>
      <c r="AM49" s="4">
        <v>19572.599999999999</v>
      </c>
    </row>
    <row r="50" spans="1:39" ht="15.6" x14ac:dyDescent="0.3">
      <c r="A50" s="55">
        <v>37035</v>
      </c>
      <c r="B50" s="56">
        <v>535</v>
      </c>
      <c r="C50" s="56">
        <v>9117</v>
      </c>
      <c r="D50" s="56">
        <v>174</v>
      </c>
      <c r="E50" s="56">
        <v>4422</v>
      </c>
      <c r="F50" s="56">
        <v>455</v>
      </c>
      <c r="G50" s="56">
        <v>5598</v>
      </c>
      <c r="H50" s="56">
        <v>228</v>
      </c>
      <c r="I50" s="56">
        <v>5050</v>
      </c>
      <c r="J50" s="56">
        <v>155</v>
      </c>
      <c r="K50" s="56">
        <v>1118</v>
      </c>
      <c r="L50" s="56">
        <v>1547</v>
      </c>
      <c r="M50" s="56">
        <v>25305</v>
      </c>
      <c r="N50" s="56">
        <v>6164</v>
      </c>
      <c r="O50" s="56">
        <v>33266</v>
      </c>
      <c r="P50" s="56">
        <v>1949</v>
      </c>
      <c r="Q50" s="56">
        <v>24058</v>
      </c>
      <c r="R50" s="16">
        <f t="shared" si="0"/>
        <v>9660</v>
      </c>
      <c r="S50" s="16">
        <f t="shared" si="1"/>
        <v>82629</v>
      </c>
      <c r="T50" s="13" t="s">
        <v>95</v>
      </c>
      <c r="U50" s="5">
        <v>9660</v>
      </c>
      <c r="V50" s="5">
        <f t="shared" si="3"/>
        <v>10158</v>
      </c>
      <c r="W50" s="5">
        <f t="shared" si="2"/>
        <v>82202.75</v>
      </c>
      <c r="AH50" s="3"/>
      <c r="AI50" s="4"/>
      <c r="AJ50" s="4"/>
      <c r="AK50" s="4"/>
      <c r="AL50" s="4"/>
      <c r="AM50" s="4"/>
    </row>
    <row r="51" spans="1:39" ht="15.6" x14ac:dyDescent="0.3">
      <c r="A51" s="55">
        <v>36678</v>
      </c>
      <c r="B51" s="56">
        <v>337</v>
      </c>
      <c r="C51" s="56">
        <v>10629.4</v>
      </c>
      <c r="D51" s="56">
        <v>102</v>
      </c>
      <c r="E51" s="56">
        <v>4195</v>
      </c>
      <c r="F51" s="56">
        <v>201</v>
      </c>
      <c r="G51" s="56">
        <v>5590</v>
      </c>
      <c r="H51" s="56">
        <v>94</v>
      </c>
      <c r="I51" s="56">
        <v>4055</v>
      </c>
      <c r="J51" s="56">
        <v>103</v>
      </c>
      <c r="K51" s="56">
        <v>984</v>
      </c>
      <c r="L51" s="56">
        <v>837</v>
      </c>
      <c r="M51" s="56">
        <v>25453</v>
      </c>
      <c r="N51" s="56">
        <v>7063</v>
      </c>
      <c r="O51" s="56">
        <v>36584</v>
      </c>
      <c r="P51" s="56">
        <v>2020</v>
      </c>
      <c r="Q51" s="56">
        <v>22714</v>
      </c>
      <c r="R51" s="16">
        <f t="shared" si="0"/>
        <v>9920</v>
      </c>
      <c r="S51" s="16">
        <f t="shared" si="1"/>
        <v>84751</v>
      </c>
      <c r="T51" s="13" t="s">
        <v>95</v>
      </c>
      <c r="U51" s="5">
        <v>9920</v>
      </c>
      <c r="V51" s="5">
        <f t="shared" si="3"/>
        <v>9973.25</v>
      </c>
      <c r="W51" s="5">
        <f t="shared" si="2"/>
        <v>82960</v>
      </c>
      <c r="AH51" s="3"/>
      <c r="AI51" s="4"/>
      <c r="AJ51" s="4"/>
      <c r="AK51" s="4"/>
      <c r="AL51" s="4"/>
      <c r="AM51" s="4"/>
    </row>
    <row r="52" spans="1:39" ht="15.6" x14ac:dyDescent="0.3">
      <c r="A52" s="55">
        <v>37042</v>
      </c>
      <c r="B52" s="56">
        <v>354</v>
      </c>
      <c r="C52" s="56">
        <v>9313.5</v>
      </c>
      <c r="D52" s="56">
        <v>140</v>
      </c>
      <c r="E52" s="56">
        <v>4444.5</v>
      </c>
      <c r="F52" s="56">
        <v>391</v>
      </c>
      <c r="G52" s="56">
        <v>5775</v>
      </c>
      <c r="H52" s="56">
        <v>138</v>
      </c>
      <c r="I52" s="56">
        <v>5156</v>
      </c>
      <c r="J52" s="56">
        <v>144</v>
      </c>
      <c r="K52" s="56">
        <v>1130</v>
      </c>
      <c r="L52" s="56">
        <v>1167</v>
      </c>
      <c r="M52" s="56">
        <v>25819</v>
      </c>
      <c r="N52" s="56">
        <v>6653</v>
      </c>
      <c r="O52" s="56">
        <v>33693</v>
      </c>
      <c r="P52" s="56">
        <v>1947</v>
      </c>
      <c r="Q52" s="56">
        <v>24354</v>
      </c>
      <c r="R52" s="16">
        <f t="shared" si="0"/>
        <v>9767</v>
      </c>
      <c r="S52" s="16">
        <f t="shared" si="1"/>
        <v>83866</v>
      </c>
      <c r="T52" s="13" t="s">
        <v>96</v>
      </c>
      <c r="U52" s="5">
        <v>9767</v>
      </c>
      <c r="V52" s="5">
        <f t="shared" si="3"/>
        <v>9873.5</v>
      </c>
      <c r="W52" s="5">
        <f t="shared" si="2"/>
        <v>83637.5</v>
      </c>
      <c r="AH52" s="3"/>
      <c r="AI52" s="4"/>
      <c r="AJ52" s="4"/>
      <c r="AK52" s="4"/>
      <c r="AL52" s="4"/>
      <c r="AM52" s="4"/>
    </row>
    <row r="53" spans="1:39" ht="15.6" x14ac:dyDescent="0.3">
      <c r="A53" s="55">
        <v>36685</v>
      </c>
      <c r="B53" s="56">
        <v>1062</v>
      </c>
      <c r="C53" s="56">
        <v>261.89999999999998</v>
      </c>
      <c r="D53" s="56">
        <v>764</v>
      </c>
      <c r="E53" s="56">
        <v>37</v>
      </c>
      <c r="F53" s="56">
        <v>765</v>
      </c>
      <c r="G53" s="56">
        <v>135</v>
      </c>
      <c r="H53" s="56">
        <v>603</v>
      </c>
      <c r="I53" s="56">
        <v>26</v>
      </c>
      <c r="J53" s="56">
        <v>256</v>
      </c>
      <c r="K53" s="56">
        <v>0</v>
      </c>
      <c r="L53" s="56">
        <v>3449.8</v>
      </c>
      <c r="M53" s="56">
        <v>460</v>
      </c>
      <c r="N53" s="56">
        <v>7125</v>
      </c>
      <c r="O53" s="56">
        <v>37500</v>
      </c>
      <c r="P53" s="56">
        <v>2058</v>
      </c>
      <c r="Q53" s="56">
        <v>23082</v>
      </c>
      <c r="R53" s="16">
        <f t="shared" si="0"/>
        <v>12632.8</v>
      </c>
      <c r="S53" s="16">
        <f t="shared" si="1"/>
        <v>61042</v>
      </c>
      <c r="T53" s="13" t="s">
        <v>96</v>
      </c>
      <c r="U53" s="5">
        <v>12632.8</v>
      </c>
      <c r="V53" s="5">
        <f t="shared" si="3"/>
        <v>10494.95</v>
      </c>
      <c r="W53" s="5">
        <f t="shared" si="2"/>
        <v>78072</v>
      </c>
      <c r="AH53" s="3"/>
      <c r="AI53" s="4"/>
      <c r="AJ53" s="4"/>
      <c r="AK53" s="4"/>
      <c r="AL53" s="4"/>
      <c r="AM53" s="4"/>
    </row>
    <row r="54" spans="1:39" ht="15.6" x14ac:dyDescent="0.3">
      <c r="A54" s="55">
        <v>37049</v>
      </c>
      <c r="B54" s="56">
        <v>945.9</v>
      </c>
      <c r="C54" s="56">
        <v>97.6</v>
      </c>
      <c r="D54" s="56">
        <v>551</v>
      </c>
      <c r="E54" s="56">
        <v>27.5</v>
      </c>
      <c r="F54" s="56">
        <v>830</v>
      </c>
      <c r="G54" s="56">
        <v>73</v>
      </c>
      <c r="H54" s="56">
        <v>436</v>
      </c>
      <c r="I54" s="56">
        <v>61</v>
      </c>
      <c r="J54" s="56">
        <v>176</v>
      </c>
      <c r="K54" s="56">
        <v>31</v>
      </c>
      <c r="L54" s="56">
        <v>2939.5</v>
      </c>
      <c r="M54" s="56">
        <v>291</v>
      </c>
      <c r="N54" s="56">
        <v>7364</v>
      </c>
      <c r="O54" s="56">
        <v>34243</v>
      </c>
      <c r="P54" s="56">
        <v>2148</v>
      </c>
      <c r="Q54" s="56">
        <v>24439</v>
      </c>
      <c r="R54" s="16">
        <f t="shared" si="0"/>
        <v>12451.5</v>
      </c>
      <c r="S54" s="16">
        <f t="shared" si="1"/>
        <v>58973</v>
      </c>
      <c r="T54" s="13" t="s">
        <v>96</v>
      </c>
      <c r="U54" s="5">
        <v>12451.5</v>
      </c>
      <c r="V54" s="5">
        <f t="shared" si="3"/>
        <v>11192.825000000001</v>
      </c>
      <c r="W54" s="5">
        <f t="shared" si="2"/>
        <v>72158</v>
      </c>
      <c r="AH54" s="3"/>
      <c r="AI54" s="4"/>
      <c r="AJ54" s="4"/>
      <c r="AK54" s="4"/>
      <c r="AL54" s="4"/>
      <c r="AM54" s="4"/>
    </row>
    <row r="55" spans="1:39" ht="15.6" x14ac:dyDescent="0.3">
      <c r="A55" s="55">
        <v>36692</v>
      </c>
      <c r="B55" s="56">
        <v>1218</v>
      </c>
      <c r="C55" s="56">
        <v>383</v>
      </c>
      <c r="D55" s="56">
        <v>744</v>
      </c>
      <c r="E55" s="56">
        <v>162</v>
      </c>
      <c r="F55" s="56">
        <v>724</v>
      </c>
      <c r="G55" s="56">
        <v>253</v>
      </c>
      <c r="H55" s="56">
        <v>586</v>
      </c>
      <c r="I55" s="56">
        <v>107</v>
      </c>
      <c r="J55" s="56">
        <v>255</v>
      </c>
      <c r="K55" s="56">
        <v>1</v>
      </c>
      <c r="L55" s="56">
        <v>3526</v>
      </c>
      <c r="M55" s="56">
        <v>906</v>
      </c>
      <c r="N55" s="56">
        <v>7250</v>
      </c>
      <c r="O55" s="56">
        <v>38270</v>
      </c>
      <c r="P55" s="56">
        <v>2142</v>
      </c>
      <c r="Q55" s="56">
        <v>23286</v>
      </c>
      <c r="R55" s="16">
        <f t="shared" si="0"/>
        <v>12918</v>
      </c>
      <c r="S55" s="16">
        <f t="shared" si="1"/>
        <v>62462</v>
      </c>
      <c r="T55" s="13" t="s">
        <v>96</v>
      </c>
      <c r="U55" s="5">
        <v>12918</v>
      </c>
      <c r="V55" s="5">
        <f t="shared" si="3"/>
        <v>11942.325000000001</v>
      </c>
      <c r="W55" s="5">
        <f t="shared" si="2"/>
        <v>66585.75</v>
      </c>
      <c r="AH55" s="3"/>
      <c r="AI55" s="4"/>
      <c r="AJ55" s="4"/>
      <c r="AK55" s="4"/>
      <c r="AL55" s="4"/>
      <c r="AM55" s="4"/>
    </row>
    <row r="56" spans="1:39" ht="15.6" x14ac:dyDescent="0.3">
      <c r="A56" s="55">
        <v>37056</v>
      </c>
      <c r="B56" s="56">
        <v>838</v>
      </c>
      <c r="C56" s="56">
        <v>294</v>
      </c>
      <c r="D56" s="56">
        <v>540</v>
      </c>
      <c r="E56" s="56">
        <v>145</v>
      </c>
      <c r="F56" s="56">
        <v>815</v>
      </c>
      <c r="G56" s="56">
        <v>142</v>
      </c>
      <c r="H56" s="56">
        <v>418</v>
      </c>
      <c r="I56" s="56">
        <v>125</v>
      </c>
      <c r="J56" s="56">
        <v>217</v>
      </c>
      <c r="K56" s="56">
        <v>31</v>
      </c>
      <c r="L56" s="56">
        <v>2844</v>
      </c>
      <c r="M56" s="56">
        <v>738</v>
      </c>
      <c r="N56" s="56">
        <v>7368</v>
      </c>
      <c r="O56" s="56">
        <v>35177</v>
      </c>
      <c r="P56" s="56">
        <v>2020</v>
      </c>
      <c r="Q56" s="56">
        <v>24620</v>
      </c>
      <c r="R56" s="16">
        <f t="shared" si="0"/>
        <v>12232</v>
      </c>
      <c r="S56" s="16">
        <f t="shared" si="1"/>
        <v>60535</v>
      </c>
      <c r="T56" s="13" t="s">
        <v>96</v>
      </c>
      <c r="U56" s="5">
        <v>12232</v>
      </c>
      <c r="V56" s="5">
        <f t="shared" si="3"/>
        <v>12558.575000000001</v>
      </c>
      <c r="W56" s="5">
        <f t="shared" si="2"/>
        <v>60753</v>
      </c>
      <c r="AH56" s="3"/>
      <c r="AI56" s="4"/>
      <c r="AJ56" s="4"/>
      <c r="AK56" s="4"/>
      <c r="AL56" s="4"/>
      <c r="AM56" s="4"/>
    </row>
    <row r="57" spans="1:39" ht="15.6" x14ac:dyDescent="0.3">
      <c r="A57" s="55">
        <v>36699</v>
      </c>
      <c r="B57" s="56">
        <v>1188</v>
      </c>
      <c r="C57" s="56">
        <v>554</v>
      </c>
      <c r="D57" s="56">
        <v>723</v>
      </c>
      <c r="E57" s="56">
        <v>238</v>
      </c>
      <c r="F57" s="56">
        <v>770</v>
      </c>
      <c r="G57" s="56">
        <v>353</v>
      </c>
      <c r="H57" s="56">
        <v>591</v>
      </c>
      <c r="I57" s="56">
        <v>166</v>
      </c>
      <c r="J57" s="56">
        <v>245</v>
      </c>
      <c r="K57" s="56">
        <v>21</v>
      </c>
      <c r="L57" s="56">
        <v>3516</v>
      </c>
      <c r="M57" s="56">
        <v>1332</v>
      </c>
      <c r="N57" s="56">
        <v>7161</v>
      </c>
      <c r="O57" s="56">
        <v>39035</v>
      </c>
      <c r="P57" s="56">
        <v>2079</v>
      </c>
      <c r="Q57" s="56">
        <v>23539</v>
      </c>
      <c r="R57" s="16">
        <f t="shared" si="0"/>
        <v>12756</v>
      </c>
      <c r="S57" s="16">
        <f t="shared" si="1"/>
        <v>63906</v>
      </c>
      <c r="T57" s="13" t="s">
        <v>97</v>
      </c>
      <c r="U57" s="5">
        <v>12756</v>
      </c>
      <c r="V57" s="5">
        <f t="shared" si="3"/>
        <v>12589.375</v>
      </c>
      <c r="W57" s="5">
        <f t="shared" si="2"/>
        <v>61469</v>
      </c>
      <c r="AH57" s="3"/>
      <c r="AI57" s="4"/>
      <c r="AJ57" s="4"/>
      <c r="AK57" s="4"/>
      <c r="AL57" s="4"/>
      <c r="AM57" s="4"/>
    </row>
    <row r="58" spans="1:39" ht="15.6" x14ac:dyDescent="0.3">
      <c r="A58" s="55">
        <v>37063</v>
      </c>
      <c r="B58" s="56">
        <v>948</v>
      </c>
      <c r="C58" s="56">
        <v>476</v>
      </c>
      <c r="D58" s="56">
        <v>593</v>
      </c>
      <c r="E58" s="56">
        <v>203</v>
      </c>
      <c r="F58" s="56">
        <v>747</v>
      </c>
      <c r="G58" s="56">
        <v>274</v>
      </c>
      <c r="H58" s="56">
        <v>471</v>
      </c>
      <c r="I58" s="56">
        <v>144</v>
      </c>
      <c r="J58" s="56">
        <v>219</v>
      </c>
      <c r="K58" s="56">
        <v>50</v>
      </c>
      <c r="L58" s="56">
        <v>2978</v>
      </c>
      <c r="M58" s="56">
        <v>1146</v>
      </c>
      <c r="N58" s="56">
        <v>7448</v>
      </c>
      <c r="O58" s="56">
        <v>36139</v>
      </c>
      <c r="P58" s="56">
        <v>1932</v>
      </c>
      <c r="Q58" s="56">
        <v>24895</v>
      </c>
      <c r="R58" s="16">
        <f t="shared" si="0"/>
        <v>12358</v>
      </c>
      <c r="S58" s="16">
        <f t="shared" si="1"/>
        <v>62180</v>
      </c>
      <c r="T58" s="13" t="s">
        <v>97</v>
      </c>
      <c r="U58" s="5">
        <v>12358</v>
      </c>
      <c r="V58" s="5">
        <f t="shared" si="3"/>
        <v>12566</v>
      </c>
      <c r="W58" s="5">
        <f t="shared" si="2"/>
        <v>62270.75</v>
      </c>
      <c r="AH58" s="3"/>
      <c r="AI58" s="4"/>
      <c r="AJ58" s="4"/>
      <c r="AK58" s="4"/>
      <c r="AL58" s="4"/>
      <c r="AM58" s="4"/>
    </row>
    <row r="59" spans="1:39" ht="15.6" x14ac:dyDescent="0.3">
      <c r="A59" s="55">
        <v>36706</v>
      </c>
      <c r="B59" s="56">
        <v>1069</v>
      </c>
      <c r="C59" s="56">
        <v>756</v>
      </c>
      <c r="D59" s="56">
        <v>617</v>
      </c>
      <c r="E59" s="56">
        <v>361</v>
      </c>
      <c r="F59" s="56">
        <v>766</v>
      </c>
      <c r="G59" s="56">
        <v>428</v>
      </c>
      <c r="H59" s="56">
        <v>410</v>
      </c>
      <c r="I59" s="56">
        <v>354</v>
      </c>
      <c r="J59" s="56">
        <v>242</v>
      </c>
      <c r="K59" s="56">
        <v>25</v>
      </c>
      <c r="L59" s="56">
        <v>3103</v>
      </c>
      <c r="M59" s="56">
        <v>1923</v>
      </c>
      <c r="N59" s="56">
        <v>7227</v>
      </c>
      <c r="O59" s="56">
        <v>39776</v>
      </c>
      <c r="P59" s="56">
        <v>2112</v>
      </c>
      <c r="Q59" s="56">
        <v>23927</v>
      </c>
      <c r="R59" s="16">
        <f t="shared" si="0"/>
        <v>12442</v>
      </c>
      <c r="S59" s="16">
        <f t="shared" si="1"/>
        <v>65626</v>
      </c>
      <c r="T59" s="13" t="s">
        <v>97</v>
      </c>
      <c r="U59" s="5">
        <v>12442</v>
      </c>
      <c r="V59" s="5">
        <f t="shared" si="3"/>
        <v>12447</v>
      </c>
      <c r="W59" s="5">
        <f t="shared" si="2"/>
        <v>63061.75</v>
      </c>
      <c r="AH59" s="3">
        <v>35292</v>
      </c>
      <c r="AI59" s="4"/>
      <c r="AJ59" s="4"/>
      <c r="AK59" s="4"/>
      <c r="AL59" s="4"/>
      <c r="AM59" s="4"/>
    </row>
    <row r="60" spans="1:39" ht="15.6" x14ac:dyDescent="0.3">
      <c r="A60" s="55">
        <v>37070</v>
      </c>
      <c r="B60" s="56">
        <v>1033</v>
      </c>
      <c r="C60" s="56">
        <v>589</v>
      </c>
      <c r="D60" s="56">
        <v>723</v>
      </c>
      <c r="E60" s="56">
        <v>254</v>
      </c>
      <c r="F60" s="56">
        <v>845</v>
      </c>
      <c r="G60" s="56">
        <v>331</v>
      </c>
      <c r="H60" s="56">
        <v>465</v>
      </c>
      <c r="I60" s="56">
        <v>202</v>
      </c>
      <c r="J60" s="56">
        <v>234</v>
      </c>
      <c r="K60" s="56">
        <v>65</v>
      </c>
      <c r="L60" s="56">
        <v>3300</v>
      </c>
      <c r="M60" s="56">
        <v>1440</v>
      </c>
      <c r="N60" s="56">
        <v>7533</v>
      </c>
      <c r="O60" s="56">
        <v>36925</v>
      </c>
      <c r="P60" s="56">
        <v>2050</v>
      </c>
      <c r="Q60" s="56">
        <v>25282</v>
      </c>
      <c r="R60" s="16">
        <f t="shared" si="0"/>
        <v>12883</v>
      </c>
      <c r="S60" s="16">
        <f t="shared" si="1"/>
        <v>63647</v>
      </c>
      <c r="T60" s="13" t="s">
        <v>97</v>
      </c>
      <c r="U60" s="5">
        <v>12883</v>
      </c>
      <c r="V60" s="5">
        <f t="shared" si="3"/>
        <v>12609.75</v>
      </c>
      <c r="W60" s="5">
        <f t="shared" si="2"/>
        <v>63839.75</v>
      </c>
      <c r="AH60" s="3">
        <v>35656</v>
      </c>
      <c r="AI60" s="4"/>
      <c r="AJ60" s="4"/>
      <c r="AK60" s="4"/>
      <c r="AL60" s="4"/>
      <c r="AM60" s="4"/>
    </row>
    <row r="61" spans="1:39" ht="15.6" x14ac:dyDescent="0.3">
      <c r="A61" s="55">
        <v>36713</v>
      </c>
      <c r="B61" s="56">
        <v>1052</v>
      </c>
      <c r="C61" s="56">
        <v>896</v>
      </c>
      <c r="D61" s="56">
        <v>551</v>
      </c>
      <c r="E61" s="56">
        <v>547</v>
      </c>
      <c r="F61" s="56">
        <v>787</v>
      </c>
      <c r="G61" s="56">
        <v>573</v>
      </c>
      <c r="H61" s="56">
        <v>604</v>
      </c>
      <c r="I61" s="56">
        <v>387</v>
      </c>
      <c r="J61" s="56">
        <v>239</v>
      </c>
      <c r="K61" s="56">
        <v>28</v>
      </c>
      <c r="L61" s="56">
        <v>3233</v>
      </c>
      <c r="M61" s="56">
        <v>2431</v>
      </c>
      <c r="N61" s="56">
        <v>6820</v>
      </c>
      <c r="O61" s="56">
        <v>40757</v>
      </c>
      <c r="P61" s="56">
        <v>2197</v>
      </c>
      <c r="Q61" s="56">
        <v>24063</v>
      </c>
      <c r="R61" s="16">
        <f t="shared" si="0"/>
        <v>12250</v>
      </c>
      <c r="S61" s="16">
        <f t="shared" si="1"/>
        <v>67251</v>
      </c>
      <c r="T61" s="13" t="s">
        <v>99</v>
      </c>
      <c r="U61" s="5">
        <v>12250</v>
      </c>
      <c r="V61" s="5">
        <f t="shared" si="3"/>
        <v>12483.25</v>
      </c>
      <c r="W61" s="5">
        <f t="shared" si="2"/>
        <v>64676</v>
      </c>
      <c r="AH61" s="3">
        <v>35299</v>
      </c>
      <c r="AI61" s="4"/>
      <c r="AJ61" s="4"/>
      <c r="AK61" s="4"/>
      <c r="AL61" s="4"/>
      <c r="AM61" s="4"/>
    </row>
    <row r="62" spans="1:39" ht="15.6" x14ac:dyDescent="0.3">
      <c r="A62" s="55">
        <v>37077</v>
      </c>
      <c r="B62" s="56">
        <v>1011</v>
      </c>
      <c r="C62" s="56">
        <v>737</v>
      </c>
      <c r="D62" s="56">
        <v>634</v>
      </c>
      <c r="E62" s="56">
        <v>342</v>
      </c>
      <c r="F62" s="56">
        <v>854</v>
      </c>
      <c r="G62" s="56">
        <v>406</v>
      </c>
      <c r="H62" s="56">
        <v>481</v>
      </c>
      <c r="I62" s="56">
        <v>268</v>
      </c>
      <c r="J62" s="56">
        <v>219</v>
      </c>
      <c r="K62" s="56">
        <v>83</v>
      </c>
      <c r="L62" s="56">
        <v>3198</v>
      </c>
      <c r="M62" s="56">
        <v>1835</v>
      </c>
      <c r="N62" s="56">
        <v>7384</v>
      </c>
      <c r="O62" s="56">
        <v>37918</v>
      </c>
      <c r="P62" s="56">
        <v>2029</v>
      </c>
      <c r="Q62" s="56">
        <v>25429</v>
      </c>
      <c r="R62" s="16">
        <f t="shared" si="0"/>
        <v>12611</v>
      </c>
      <c r="S62" s="16">
        <f t="shared" si="1"/>
        <v>65182</v>
      </c>
      <c r="T62" s="13" t="s">
        <v>99</v>
      </c>
      <c r="U62" s="5">
        <v>12611</v>
      </c>
      <c r="V62" s="5">
        <f t="shared" si="3"/>
        <v>12546.5</v>
      </c>
      <c r="W62" s="5">
        <f t="shared" si="2"/>
        <v>65426.5</v>
      </c>
      <c r="AH62" s="3">
        <v>35663</v>
      </c>
      <c r="AI62" s="4"/>
      <c r="AJ62" s="4"/>
      <c r="AK62" s="4"/>
      <c r="AL62" s="4"/>
      <c r="AM62" s="4"/>
    </row>
    <row r="63" spans="1:39" ht="15.6" x14ac:dyDescent="0.3">
      <c r="A63" s="55">
        <v>36720</v>
      </c>
      <c r="B63" s="56">
        <v>964</v>
      </c>
      <c r="C63" s="56">
        <v>1193</v>
      </c>
      <c r="D63" s="56">
        <v>564</v>
      </c>
      <c r="E63" s="56">
        <v>686</v>
      </c>
      <c r="F63" s="56">
        <v>828</v>
      </c>
      <c r="G63" s="56">
        <v>656</v>
      </c>
      <c r="H63" s="56">
        <v>645</v>
      </c>
      <c r="I63" s="56">
        <v>413</v>
      </c>
      <c r="J63" s="56">
        <v>239</v>
      </c>
      <c r="K63" s="56">
        <v>58</v>
      </c>
      <c r="L63" s="56">
        <v>3239</v>
      </c>
      <c r="M63" s="56">
        <v>3005</v>
      </c>
      <c r="N63" s="56">
        <v>6716</v>
      </c>
      <c r="O63" s="56">
        <v>41668</v>
      </c>
      <c r="P63" s="56">
        <v>1993</v>
      </c>
      <c r="Q63" s="56">
        <v>24479</v>
      </c>
      <c r="R63" s="16">
        <f t="shared" si="0"/>
        <v>11948</v>
      </c>
      <c r="S63" s="16">
        <f t="shared" si="1"/>
        <v>69152</v>
      </c>
      <c r="T63" s="13" t="s">
        <v>99</v>
      </c>
      <c r="U63" s="5">
        <v>11948</v>
      </c>
      <c r="V63" s="5">
        <f t="shared" si="3"/>
        <v>12423</v>
      </c>
      <c r="W63" s="5">
        <f t="shared" si="2"/>
        <v>66308</v>
      </c>
      <c r="AH63" s="3">
        <v>35306</v>
      </c>
      <c r="AI63" s="4"/>
      <c r="AJ63" s="4"/>
      <c r="AK63" s="4"/>
      <c r="AL63" s="4"/>
      <c r="AM63" s="4"/>
    </row>
    <row r="64" spans="1:39" ht="15.6" x14ac:dyDescent="0.3">
      <c r="A64" s="55">
        <v>37084</v>
      </c>
      <c r="B64" s="56">
        <v>1072</v>
      </c>
      <c r="C64" s="56">
        <v>870</v>
      </c>
      <c r="D64" s="56">
        <v>697</v>
      </c>
      <c r="E64" s="56">
        <v>443</v>
      </c>
      <c r="F64" s="56">
        <v>844</v>
      </c>
      <c r="G64" s="56">
        <v>476</v>
      </c>
      <c r="H64" s="56">
        <v>534</v>
      </c>
      <c r="I64" s="56">
        <v>308</v>
      </c>
      <c r="J64" s="56">
        <v>240</v>
      </c>
      <c r="K64" s="56">
        <v>95</v>
      </c>
      <c r="L64" s="56">
        <v>3386</v>
      </c>
      <c r="M64" s="56">
        <v>2193</v>
      </c>
      <c r="N64" s="56">
        <v>7550</v>
      </c>
      <c r="O64" s="56">
        <v>39080</v>
      </c>
      <c r="P64" s="56">
        <v>2092</v>
      </c>
      <c r="Q64" s="56">
        <v>25633</v>
      </c>
      <c r="R64" s="16">
        <f t="shared" si="0"/>
        <v>13028</v>
      </c>
      <c r="S64" s="16">
        <f t="shared" si="1"/>
        <v>66906</v>
      </c>
      <c r="T64" s="13" t="s">
        <v>99</v>
      </c>
      <c r="U64" s="5">
        <v>13028</v>
      </c>
      <c r="V64" s="5">
        <f t="shared" si="3"/>
        <v>12459.25</v>
      </c>
      <c r="W64" s="5">
        <f t="shared" si="2"/>
        <v>67122.75</v>
      </c>
      <c r="AH64" s="3">
        <v>35670</v>
      </c>
      <c r="AI64" s="4"/>
      <c r="AJ64" s="4"/>
      <c r="AK64" s="4"/>
      <c r="AL64" s="4"/>
      <c r="AM64" s="4"/>
    </row>
    <row r="65" spans="1:23" ht="15.6" x14ac:dyDescent="0.3">
      <c r="A65" s="55">
        <v>36727</v>
      </c>
      <c r="B65" s="56">
        <v>1143</v>
      </c>
      <c r="C65" s="56">
        <v>1335</v>
      </c>
      <c r="D65" s="56">
        <v>512</v>
      </c>
      <c r="E65" s="56">
        <v>806</v>
      </c>
      <c r="F65" s="56">
        <v>839</v>
      </c>
      <c r="G65" s="56">
        <v>756</v>
      </c>
      <c r="H65" s="56">
        <v>789</v>
      </c>
      <c r="I65" s="56">
        <v>427</v>
      </c>
      <c r="J65" s="56">
        <v>354</v>
      </c>
      <c r="K65" s="56">
        <v>100</v>
      </c>
      <c r="L65" s="56">
        <v>3637</v>
      </c>
      <c r="M65" s="56">
        <v>3423</v>
      </c>
      <c r="N65" s="56">
        <v>6478</v>
      </c>
      <c r="O65" s="56">
        <v>42560</v>
      </c>
      <c r="P65" s="56">
        <v>1923</v>
      </c>
      <c r="Q65" s="56">
        <v>24800</v>
      </c>
      <c r="R65" s="16">
        <f t="shared" si="0"/>
        <v>12038</v>
      </c>
      <c r="S65" s="16">
        <f t="shared" si="1"/>
        <v>70783</v>
      </c>
      <c r="T65" s="13" t="s">
        <v>99</v>
      </c>
      <c r="U65" s="5">
        <v>12038</v>
      </c>
      <c r="V65" s="5">
        <f t="shared" si="3"/>
        <v>12406.25</v>
      </c>
      <c r="W65" s="5">
        <f t="shared" si="2"/>
        <v>68005.75</v>
      </c>
    </row>
    <row r="66" spans="1:23" ht="15.6" x14ac:dyDescent="0.3">
      <c r="A66" s="55">
        <v>37091</v>
      </c>
      <c r="B66" s="56">
        <v>1253</v>
      </c>
      <c r="C66" s="56">
        <v>1042</v>
      </c>
      <c r="D66" s="56">
        <v>797</v>
      </c>
      <c r="E66" s="56">
        <v>512</v>
      </c>
      <c r="F66" s="56">
        <v>820</v>
      </c>
      <c r="G66" s="56">
        <v>610</v>
      </c>
      <c r="H66" s="56">
        <v>528</v>
      </c>
      <c r="I66" s="56">
        <v>339</v>
      </c>
      <c r="J66" s="56">
        <v>288</v>
      </c>
      <c r="K66" s="56">
        <v>97</v>
      </c>
      <c r="L66" s="56">
        <v>3687</v>
      </c>
      <c r="M66" s="56">
        <v>2599</v>
      </c>
      <c r="N66" s="56">
        <v>7934</v>
      </c>
      <c r="O66" s="56">
        <v>39922</v>
      </c>
      <c r="P66" s="56">
        <v>1907</v>
      </c>
      <c r="Q66" s="56">
        <v>25829</v>
      </c>
      <c r="R66" s="16">
        <f t="shared" si="0"/>
        <v>13528</v>
      </c>
      <c r="S66" s="16">
        <f t="shared" si="1"/>
        <v>68350</v>
      </c>
      <c r="T66" s="13" t="s">
        <v>98</v>
      </c>
      <c r="U66" s="5">
        <v>13528</v>
      </c>
      <c r="V66" s="5">
        <f t="shared" si="3"/>
        <v>12635.5</v>
      </c>
      <c r="W66" s="5">
        <f t="shared" si="2"/>
        <v>68797.75</v>
      </c>
    </row>
    <row r="67" spans="1:23" ht="15.6" x14ac:dyDescent="0.3">
      <c r="A67" s="55">
        <v>36734</v>
      </c>
      <c r="B67" s="56">
        <v>1136</v>
      </c>
      <c r="C67" s="56">
        <v>1500</v>
      </c>
      <c r="D67" s="56">
        <v>543</v>
      </c>
      <c r="E67" s="56">
        <v>848</v>
      </c>
      <c r="F67" s="56">
        <v>804</v>
      </c>
      <c r="G67" s="56">
        <v>883</v>
      </c>
      <c r="H67" s="56">
        <v>761</v>
      </c>
      <c r="I67" s="56">
        <v>491</v>
      </c>
      <c r="J67" s="56">
        <v>318</v>
      </c>
      <c r="K67" s="56">
        <v>146</v>
      </c>
      <c r="L67" s="56">
        <v>3562</v>
      </c>
      <c r="M67" s="56">
        <v>3869</v>
      </c>
      <c r="N67" s="56">
        <v>6116</v>
      </c>
      <c r="O67" s="56">
        <v>43461</v>
      </c>
      <c r="P67" s="56">
        <v>1788</v>
      </c>
      <c r="Q67" s="56">
        <v>25175</v>
      </c>
      <c r="R67" s="16">
        <f t="shared" si="0"/>
        <v>11466</v>
      </c>
      <c r="S67" s="16">
        <f t="shared" si="1"/>
        <v>72505</v>
      </c>
      <c r="T67" s="13" t="s">
        <v>98</v>
      </c>
      <c r="U67" s="5">
        <v>11466</v>
      </c>
      <c r="V67" s="5">
        <f t="shared" si="3"/>
        <v>12515</v>
      </c>
      <c r="W67" s="5">
        <f t="shared" si="2"/>
        <v>69636</v>
      </c>
    </row>
    <row r="68" spans="1:23" ht="15.6" x14ac:dyDescent="0.3">
      <c r="A68" s="55">
        <v>37098</v>
      </c>
      <c r="B68" s="56">
        <v>1307</v>
      </c>
      <c r="C68" s="56">
        <v>1131</v>
      </c>
      <c r="D68" s="56">
        <v>818</v>
      </c>
      <c r="E68" s="56">
        <v>570</v>
      </c>
      <c r="F68" s="56">
        <v>908</v>
      </c>
      <c r="G68" s="56">
        <v>665</v>
      </c>
      <c r="H68" s="56">
        <v>586</v>
      </c>
      <c r="I68" s="56">
        <v>356</v>
      </c>
      <c r="J68" s="56">
        <v>256</v>
      </c>
      <c r="K68" s="56">
        <v>143</v>
      </c>
      <c r="L68" s="56">
        <v>3873</v>
      </c>
      <c r="M68" s="56">
        <v>2865</v>
      </c>
      <c r="N68" s="56">
        <v>7111</v>
      </c>
      <c r="O68" s="56">
        <v>41067</v>
      </c>
      <c r="P68" s="56">
        <v>1899</v>
      </c>
      <c r="Q68" s="56">
        <v>26067</v>
      </c>
      <c r="R68" s="16">
        <f t="shared" si="0"/>
        <v>12883</v>
      </c>
      <c r="S68" s="16">
        <f t="shared" si="1"/>
        <v>69999</v>
      </c>
      <c r="T68" s="13" t="s">
        <v>98</v>
      </c>
      <c r="U68" s="5">
        <v>12883</v>
      </c>
      <c r="V68" s="5">
        <f t="shared" si="3"/>
        <v>12478.75</v>
      </c>
      <c r="W68" s="5">
        <f t="shared" si="2"/>
        <v>70409.25</v>
      </c>
    </row>
    <row r="69" spans="1:23" ht="15.6" x14ac:dyDescent="0.3">
      <c r="A69" s="55">
        <v>36741</v>
      </c>
      <c r="B69" s="56">
        <v>1215</v>
      </c>
      <c r="C69" s="56">
        <v>1691</v>
      </c>
      <c r="D69" s="56">
        <v>651</v>
      </c>
      <c r="E69" s="56">
        <v>934</v>
      </c>
      <c r="F69" s="56">
        <v>901</v>
      </c>
      <c r="G69" s="56">
        <v>957</v>
      </c>
      <c r="H69" s="56">
        <v>1038</v>
      </c>
      <c r="I69" s="56">
        <v>637</v>
      </c>
      <c r="J69" s="56">
        <v>343</v>
      </c>
      <c r="K69" s="56">
        <v>163</v>
      </c>
      <c r="L69" s="56">
        <v>4148</v>
      </c>
      <c r="M69" s="56">
        <v>4382</v>
      </c>
      <c r="N69" s="56">
        <v>5766</v>
      </c>
      <c r="O69" s="56">
        <v>44317</v>
      </c>
      <c r="P69" s="56">
        <v>1635</v>
      </c>
      <c r="Q69" s="56">
        <v>25625</v>
      </c>
      <c r="R69" s="16">
        <f t="shared" si="0"/>
        <v>11549</v>
      </c>
      <c r="S69" s="16">
        <f t="shared" si="1"/>
        <v>74324</v>
      </c>
      <c r="T69" s="13" t="s">
        <v>98</v>
      </c>
      <c r="U69" s="5">
        <v>11549</v>
      </c>
      <c r="V69" s="5">
        <f t="shared" si="3"/>
        <v>12356.5</v>
      </c>
      <c r="W69" s="5">
        <f t="shared" si="2"/>
        <v>71294.5</v>
      </c>
    </row>
    <row r="70" spans="1:23" ht="15.6" x14ac:dyDescent="0.3">
      <c r="A70" s="55">
        <v>37105</v>
      </c>
      <c r="B70" s="56">
        <v>1247</v>
      </c>
      <c r="C70" s="56">
        <v>1319</v>
      </c>
      <c r="D70" s="56">
        <v>868</v>
      </c>
      <c r="E70" s="56">
        <v>730</v>
      </c>
      <c r="F70" s="56">
        <v>881</v>
      </c>
      <c r="G70" s="56">
        <v>811</v>
      </c>
      <c r="H70" s="56">
        <v>499</v>
      </c>
      <c r="I70" s="56">
        <v>449</v>
      </c>
      <c r="J70" s="56">
        <v>289</v>
      </c>
      <c r="K70" s="56">
        <v>186</v>
      </c>
      <c r="L70" s="56">
        <v>3784</v>
      </c>
      <c r="M70" s="56">
        <v>3495</v>
      </c>
      <c r="N70" s="56">
        <v>6466</v>
      </c>
      <c r="O70" s="56">
        <v>42327</v>
      </c>
      <c r="P70" s="56">
        <v>1790</v>
      </c>
      <c r="Q70" s="56">
        <v>26337</v>
      </c>
      <c r="R70" s="16">
        <f t="shared" si="0"/>
        <v>12040</v>
      </c>
      <c r="S70" s="16">
        <f t="shared" si="1"/>
        <v>72159</v>
      </c>
      <c r="T70" s="13" t="s">
        <v>100</v>
      </c>
      <c r="U70" s="5">
        <v>12040</v>
      </c>
      <c r="V70" s="5">
        <f t="shared" si="3"/>
        <v>11984.5</v>
      </c>
      <c r="W70" s="5">
        <f t="shared" si="2"/>
        <v>72246.75</v>
      </c>
    </row>
    <row r="71" spans="1:23" ht="15.6" x14ac:dyDescent="0.3">
      <c r="A71" s="55">
        <v>36748</v>
      </c>
      <c r="B71" s="56">
        <v>1273</v>
      </c>
      <c r="C71" s="56">
        <v>1915</v>
      </c>
      <c r="D71" s="56">
        <v>727</v>
      </c>
      <c r="E71" s="56">
        <v>1029.5</v>
      </c>
      <c r="F71" s="56">
        <v>978</v>
      </c>
      <c r="G71" s="56">
        <v>1029</v>
      </c>
      <c r="H71" s="56">
        <v>963</v>
      </c>
      <c r="I71" s="56">
        <v>778</v>
      </c>
      <c r="J71" s="56">
        <v>308</v>
      </c>
      <c r="K71" s="56">
        <v>201</v>
      </c>
      <c r="L71" s="56">
        <v>4248</v>
      </c>
      <c r="M71" s="56">
        <v>4952</v>
      </c>
      <c r="N71" s="56">
        <v>5388</v>
      </c>
      <c r="O71" s="56">
        <v>44949</v>
      </c>
      <c r="P71" s="56">
        <v>1360</v>
      </c>
      <c r="Q71" s="56">
        <v>25991</v>
      </c>
      <c r="R71" s="16">
        <f t="shared" si="0"/>
        <v>10996</v>
      </c>
      <c r="S71" s="16">
        <f t="shared" si="1"/>
        <v>75892</v>
      </c>
      <c r="T71" s="13" t="s">
        <v>100</v>
      </c>
      <c r="U71" s="5">
        <v>10996</v>
      </c>
      <c r="V71" s="5">
        <f t="shared" si="3"/>
        <v>11867</v>
      </c>
      <c r="W71" s="5">
        <f t="shared" si="2"/>
        <v>73093.5</v>
      </c>
    </row>
    <row r="72" spans="1:23" ht="15.6" x14ac:dyDescent="0.3">
      <c r="A72" s="55">
        <v>37112</v>
      </c>
      <c r="B72" s="56">
        <v>1398</v>
      </c>
      <c r="C72" s="56">
        <v>1375</v>
      </c>
      <c r="D72" s="56">
        <v>1047</v>
      </c>
      <c r="E72" s="56">
        <v>834</v>
      </c>
      <c r="F72" s="56">
        <v>974</v>
      </c>
      <c r="G72" s="56">
        <v>866</v>
      </c>
      <c r="H72" s="56">
        <v>474</v>
      </c>
      <c r="I72" s="56">
        <v>531</v>
      </c>
      <c r="J72" s="56">
        <v>343</v>
      </c>
      <c r="K72" s="56">
        <v>204</v>
      </c>
      <c r="L72" s="56">
        <v>4235</v>
      </c>
      <c r="M72" s="56">
        <v>3809</v>
      </c>
      <c r="N72" s="56">
        <v>5807</v>
      </c>
      <c r="O72" s="56">
        <v>43648</v>
      </c>
      <c r="P72" s="56">
        <v>1521</v>
      </c>
      <c r="Q72" s="56">
        <v>26586</v>
      </c>
      <c r="R72" s="16">
        <f t="shared" ref="R72:R135" si="4">L72+N72+P72</f>
        <v>11563</v>
      </c>
      <c r="S72" s="16">
        <f t="shared" ref="S72:S135" si="5">M72+O72+Q72</f>
        <v>74043</v>
      </c>
      <c r="T72" s="13" t="s">
        <v>100</v>
      </c>
      <c r="U72" s="5">
        <v>11563</v>
      </c>
      <c r="V72" s="5">
        <f t="shared" si="3"/>
        <v>11537</v>
      </c>
      <c r="W72" s="5">
        <f t="shared" si="2"/>
        <v>74104.5</v>
      </c>
    </row>
    <row r="73" spans="1:23" ht="15.6" x14ac:dyDescent="0.3">
      <c r="A73" s="55">
        <v>36755</v>
      </c>
      <c r="B73" s="56">
        <v>1440</v>
      </c>
      <c r="C73" s="56">
        <v>2120</v>
      </c>
      <c r="D73" s="56">
        <v>694</v>
      </c>
      <c r="E73" s="56">
        <v>1099</v>
      </c>
      <c r="F73" s="56">
        <v>992</v>
      </c>
      <c r="G73" s="56">
        <v>1096</v>
      </c>
      <c r="H73" s="56">
        <v>949</v>
      </c>
      <c r="I73" s="56">
        <v>882</v>
      </c>
      <c r="J73" s="56">
        <v>299</v>
      </c>
      <c r="K73" s="56">
        <v>273</v>
      </c>
      <c r="L73" s="56">
        <v>4375</v>
      </c>
      <c r="M73" s="56">
        <v>5469</v>
      </c>
      <c r="N73" s="56">
        <v>4296</v>
      </c>
      <c r="O73" s="56">
        <v>46181</v>
      </c>
      <c r="P73" s="56">
        <v>1050</v>
      </c>
      <c r="Q73" s="56">
        <v>26331</v>
      </c>
      <c r="R73" s="16">
        <f t="shared" si="4"/>
        <v>9721</v>
      </c>
      <c r="S73" s="16">
        <f t="shared" si="5"/>
        <v>77981</v>
      </c>
      <c r="T73" s="13" t="s">
        <v>100</v>
      </c>
      <c r="U73" s="5">
        <v>9721</v>
      </c>
      <c r="V73" s="5">
        <f t="shared" si="3"/>
        <v>11080</v>
      </c>
      <c r="W73" s="5">
        <f t="shared" si="2"/>
        <v>75018.75</v>
      </c>
    </row>
    <row r="74" spans="1:23" ht="15.6" x14ac:dyDescent="0.3">
      <c r="A74" s="55">
        <v>37119</v>
      </c>
      <c r="B74" s="56">
        <v>1288</v>
      </c>
      <c r="C74" s="56">
        <v>1594</v>
      </c>
      <c r="D74" s="56">
        <v>918</v>
      </c>
      <c r="E74" s="56">
        <v>1007</v>
      </c>
      <c r="F74" s="56">
        <v>1050</v>
      </c>
      <c r="G74" s="56">
        <v>959</v>
      </c>
      <c r="H74" s="56">
        <v>432</v>
      </c>
      <c r="I74" s="56">
        <v>626</v>
      </c>
      <c r="J74" s="56">
        <v>338</v>
      </c>
      <c r="K74" s="56">
        <v>255</v>
      </c>
      <c r="L74" s="56">
        <v>4026</v>
      </c>
      <c r="M74" s="56">
        <v>4441</v>
      </c>
      <c r="N74" s="56">
        <v>4748</v>
      </c>
      <c r="O74" s="56">
        <v>44956</v>
      </c>
      <c r="P74" s="56">
        <v>1206</v>
      </c>
      <c r="Q74" s="56">
        <v>26905</v>
      </c>
      <c r="R74" s="16">
        <f t="shared" si="4"/>
        <v>9980</v>
      </c>
      <c r="S74" s="16">
        <f t="shared" si="5"/>
        <v>76302</v>
      </c>
      <c r="T74" s="13" t="s">
        <v>124</v>
      </c>
      <c r="U74" s="5">
        <v>9980</v>
      </c>
      <c r="V74" s="5">
        <f t="shared" si="3"/>
        <v>10565</v>
      </c>
      <c r="W74" s="5">
        <f t="shared" si="2"/>
        <v>76054.5</v>
      </c>
    </row>
    <row r="75" spans="1:23" ht="15.6" x14ac:dyDescent="0.3">
      <c r="A75" s="55">
        <v>36762</v>
      </c>
      <c r="B75" s="56">
        <v>1301</v>
      </c>
      <c r="C75" s="56">
        <v>2350</v>
      </c>
      <c r="D75" s="56">
        <v>623</v>
      </c>
      <c r="E75" s="56">
        <v>1191</v>
      </c>
      <c r="F75" s="56">
        <v>981</v>
      </c>
      <c r="G75" s="56">
        <v>1240</v>
      </c>
      <c r="H75" s="56">
        <v>947</v>
      </c>
      <c r="I75" s="56">
        <v>957</v>
      </c>
      <c r="J75" s="56">
        <v>272</v>
      </c>
      <c r="K75" s="56">
        <v>311</v>
      </c>
      <c r="L75" s="56">
        <v>4123</v>
      </c>
      <c r="M75" s="56">
        <v>6048</v>
      </c>
      <c r="N75" s="56">
        <v>3372</v>
      </c>
      <c r="O75" s="56">
        <v>47318</v>
      </c>
      <c r="P75" s="56">
        <v>1002</v>
      </c>
      <c r="Q75" s="56">
        <v>26565</v>
      </c>
      <c r="R75" s="16">
        <f t="shared" si="4"/>
        <v>8497</v>
      </c>
      <c r="S75" s="16">
        <f t="shared" si="5"/>
        <v>79931</v>
      </c>
      <c r="T75" s="13" t="s">
        <v>124</v>
      </c>
      <c r="U75" s="5">
        <v>8497</v>
      </c>
      <c r="V75" s="5">
        <f t="shared" si="3"/>
        <v>9940.25</v>
      </c>
      <c r="W75" s="5">
        <f t="shared" ref="W75:W138" si="6">AVERAGE(S72:S75)</f>
        <v>77064.25</v>
      </c>
    </row>
    <row r="76" spans="1:23" ht="15.6" x14ac:dyDescent="0.3">
      <c r="A76" s="55">
        <v>37126</v>
      </c>
      <c r="B76" s="56">
        <v>1296</v>
      </c>
      <c r="C76" s="56">
        <v>1733</v>
      </c>
      <c r="D76" s="56">
        <v>985</v>
      </c>
      <c r="E76" s="56">
        <v>1031</v>
      </c>
      <c r="F76" s="56">
        <v>1071</v>
      </c>
      <c r="G76" s="56">
        <v>1069</v>
      </c>
      <c r="H76" s="56">
        <v>401</v>
      </c>
      <c r="I76" s="56">
        <v>725</v>
      </c>
      <c r="J76" s="56">
        <v>350</v>
      </c>
      <c r="K76" s="56">
        <v>279</v>
      </c>
      <c r="L76" s="56">
        <v>4103</v>
      </c>
      <c r="M76" s="56">
        <v>4837</v>
      </c>
      <c r="N76" s="56">
        <v>3731</v>
      </c>
      <c r="O76" s="56">
        <v>46135</v>
      </c>
      <c r="P76" s="56">
        <v>988</v>
      </c>
      <c r="Q76" s="56">
        <v>27200</v>
      </c>
      <c r="R76" s="16">
        <f t="shared" si="4"/>
        <v>8822</v>
      </c>
      <c r="S76" s="16">
        <f t="shared" si="5"/>
        <v>78172</v>
      </c>
      <c r="T76" s="13" t="s">
        <v>124</v>
      </c>
      <c r="U76" s="5">
        <v>8822</v>
      </c>
      <c r="V76" s="5">
        <f t="shared" ref="V76:V139" si="7">AVERAGE(U73:U76)</f>
        <v>9255</v>
      </c>
      <c r="W76" s="5">
        <f t="shared" si="6"/>
        <v>78096.5</v>
      </c>
    </row>
    <row r="77" spans="1:23" ht="15.6" x14ac:dyDescent="0.3">
      <c r="A77" s="55">
        <v>36769</v>
      </c>
      <c r="B77" s="56">
        <v>1346</v>
      </c>
      <c r="C77" s="56">
        <v>2640</v>
      </c>
      <c r="D77" s="56">
        <v>599</v>
      </c>
      <c r="E77" s="56">
        <v>1356</v>
      </c>
      <c r="F77" s="56">
        <v>927</v>
      </c>
      <c r="G77" s="56">
        <v>1427</v>
      </c>
      <c r="H77" s="56">
        <v>905</v>
      </c>
      <c r="I77" s="56">
        <v>1071</v>
      </c>
      <c r="J77" s="56">
        <v>283</v>
      </c>
      <c r="K77" s="56">
        <v>315</v>
      </c>
      <c r="L77" s="56">
        <v>4059</v>
      </c>
      <c r="M77" s="56">
        <v>6809</v>
      </c>
      <c r="N77" s="56">
        <v>2006</v>
      </c>
      <c r="O77" s="56">
        <v>48760</v>
      </c>
      <c r="P77" s="56">
        <v>613</v>
      </c>
      <c r="Q77" s="56">
        <v>26972</v>
      </c>
      <c r="R77" s="16">
        <f t="shared" si="4"/>
        <v>6678</v>
      </c>
      <c r="S77" s="16">
        <f t="shared" si="5"/>
        <v>82541</v>
      </c>
      <c r="T77" s="13" t="s">
        <v>124</v>
      </c>
      <c r="U77" s="5">
        <v>6678</v>
      </c>
      <c r="V77" s="5">
        <f t="shared" si="7"/>
        <v>8494.25</v>
      </c>
      <c r="W77" s="5">
        <f t="shared" si="6"/>
        <v>79236.5</v>
      </c>
    </row>
    <row r="78" spans="1:23" ht="15.6" x14ac:dyDescent="0.3">
      <c r="A78" s="55">
        <v>37133</v>
      </c>
      <c r="B78" s="56">
        <v>1287</v>
      </c>
      <c r="C78" s="56">
        <v>1956</v>
      </c>
      <c r="D78" s="56">
        <v>919</v>
      </c>
      <c r="E78" s="56">
        <v>1309</v>
      </c>
      <c r="F78" s="56">
        <v>1039</v>
      </c>
      <c r="G78" s="56">
        <v>1221</v>
      </c>
      <c r="H78" s="56">
        <v>374</v>
      </c>
      <c r="I78" s="56">
        <v>824</v>
      </c>
      <c r="J78" s="56">
        <v>325</v>
      </c>
      <c r="K78" s="56">
        <v>325</v>
      </c>
      <c r="L78" s="56">
        <v>3943</v>
      </c>
      <c r="M78" s="56">
        <v>5636</v>
      </c>
      <c r="N78" s="56">
        <v>2806</v>
      </c>
      <c r="O78" s="56">
        <v>47219</v>
      </c>
      <c r="P78" s="56">
        <v>711</v>
      </c>
      <c r="Q78" s="56">
        <v>27454</v>
      </c>
      <c r="R78" s="16">
        <f t="shared" si="4"/>
        <v>7460</v>
      </c>
      <c r="S78" s="16">
        <f t="shared" si="5"/>
        <v>80309</v>
      </c>
      <c r="T78" s="13" t="s">
        <v>101</v>
      </c>
      <c r="U78" s="5">
        <v>7460</v>
      </c>
      <c r="V78" s="5">
        <f t="shared" si="7"/>
        <v>7864.25</v>
      </c>
      <c r="W78" s="5">
        <f t="shared" si="6"/>
        <v>80238.25</v>
      </c>
    </row>
    <row r="79" spans="1:23" ht="15.6" x14ac:dyDescent="0.3">
      <c r="A79" s="55">
        <v>36776</v>
      </c>
      <c r="B79" s="56">
        <v>1185</v>
      </c>
      <c r="C79" s="56">
        <v>2922</v>
      </c>
      <c r="D79" s="56">
        <v>597</v>
      </c>
      <c r="E79" s="56">
        <v>1455</v>
      </c>
      <c r="F79" s="56">
        <v>915</v>
      </c>
      <c r="G79" s="56">
        <v>1532</v>
      </c>
      <c r="H79" s="56">
        <v>874</v>
      </c>
      <c r="I79" s="56">
        <v>1129</v>
      </c>
      <c r="J79" s="56">
        <v>267</v>
      </c>
      <c r="K79" s="56">
        <v>341</v>
      </c>
      <c r="L79" s="56">
        <v>3837</v>
      </c>
      <c r="M79" s="56">
        <v>7380</v>
      </c>
      <c r="N79" s="56">
        <v>7856</v>
      </c>
      <c r="O79" s="56">
        <v>825</v>
      </c>
      <c r="P79" s="56">
        <v>4785</v>
      </c>
      <c r="Q79" s="56">
        <v>409</v>
      </c>
      <c r="R79" s="16">
        <f t="shared" si="4"/>
        <v>16478</v>
      </c>
      <c r="S79" s="16">
        <f t="shared" si="5"/>
        <v>8614</v>
      </c>
      <c r="T79" s="13" t="s">
        <v>101</v>
      </c>
      <c r="U79" s="5">
        <v>16478</v>
      </c>
      <c r="V79" s="5">
        <f t="shared" si="7"/>
        <v>9859.5</v>
      </c>
      <c r="W79" s="5">
        <f t="shared" si="6"/>
        <v>62409</v>
      </c>
    </row>
    <row r="80" spans="1:23" ht="15.6" x14ac:dyDescent="0.3">
      <c r="A80" s="55">
        <v>37140</v>
      </c>
      <c r="B80" s="56">
        <v>1198</v>
      </c>
      <c r="C80" s="56">
        <v>2174</v>
      </c>
      <c r="D80" s="56">
        <v>880</v>
      </c>
      <c r="E80" s="56">
        <v>1389</v>
      </c>
      <c r="F80" s="56">
        <v>886</v>
      </c>
      <c r="G80" s="56">
        <v>1424</v>
      </c>
      <c r="H80" s="56">
        <v>378</v>
      </c>
      <c r="I80" s="56">
        <v>867</v>
      </c>
      <c r="J80" s="56">
        <v>357</v>
      </c>
      <c r="K80" s="56">
        <v>347</v>
      </c>
      <c r="L80" s="56">
        <v>3698</v>
      </c>
      <c r="M80" s="56">
        <v>6200</v>
      </c>
      <c r="N80" s="56">
        <v>7090</v>
      </c>
      <c r="O80" s="56">
        <v>567</v>
      </c>
      <c r="P80" s="56">
        <v>5611</v>
      </c>
      <c r="Q80" s="56">
        <v>67</v>
      </c>
      <c r="R80" s="16">
        <f t="shared" si="4"/>
        <v>16399</v>
      </c>
      <c r="S80" s="16">
        <f t="shared" si="5"/>
        <v>6834</v>
      </c>
      <c r="T80" s="13" t="s">
        <v>101</v>
      </c>
      <c r="U80" s="5">
        <v>16399</v>
      </c>
      <c r="V80" s="5">
        <f t="shared" si="7"/>
        <v>11753.75</v>
      </c>
      <c r="W80" s="5">
        <f t="shared" si="6"/>
        <v>44574.5</v>
      </c>
    </row>
    <row r="81" spans="1:23" ht="15.6" x14ac:dyDescent="0.3">
      <c r="A81" s="55">
        <v>36783</v>
      </c>
      <c r="B81" s="56">
        <v>1167</v>
      </c>
      <c r="C81" s="56">
        <v>3070</v>
      </c>
      <c r="D81" s="56">
        <v>656</v>
      </c>
      <c r="E81" s="56">
        <v>1537</v>
      </c>
      <c r="F81" s="56">
        <v>854</v>
      </c>
      <c r="G81" s="56">
        <v>1674</v>
      </c>
      <c r="H81" s="56">
        <v>815</v>
      </c>
      <c r="I81" s="56">
        <v>1303</v>
      </c>
      <c r="J81" s="56">
        <v>255</v>
      </c>
      <c r="K81" s="56">
        <v>377</v>
      </c>
      <c r="L81" s="56">
        <v>3746</v>
      </c>
      <c r="M81" s="56">
        <v>7962</v>
      </c>
      <c r="N81" s="56">
        <v>7509</v>
      </c>
      <c r="O81" s="56">
        <v>1848</v>
      </c>
      <c r="P81" s="56">
        <v>4968</v>
      </c>
      <c r="Q81" s="56">
        <v>749</v>
      </c>
      <c r="R81" s="16">
        <f t="shared" si="4"/>
        <v>16223</v>
      </c>
      <c r="S81" s="16">
        <f t="shared" si="5"/>
        <v>10559</v>
      </c>
      <c r="T81" s="13" t="s">
        <v>101</v>
      </c>
      <c r="U81" s="5">
        <v>16223</v>
      </c>
      <c r="V81" s="5">
        <f t="shared" si="7"/>
        <v>14140</v>
      </c>
      <c r="W81" s="5">
        <f t="shared" si="6"/>
        <v>26579</v>
      </c>
    </row>
    <row r="82" spans="1:23" ht="15.6" x14ac:dyDescent="0.3">
      <c r="A82" s="55">
        <v>37147</v>
      </c>
      <c r="B82" s="56">
        <v>1191</v>
      </c>
      <c r="C82" s="56">
        <v>2267</v>
      </c>
      <c r="D82" s="56">
        <v>880</v>
      </c>
      <c r="E82" s="56">
        <v>1499.6</v>
      </c>
      <c r="F82" s="56">
        <v>953</v>
      </c>
      <c r="G82" s="56">
        <v>1492</v>
      </c>
      <c r="H82" s="56">
        <v>433</v>
      </c>
      <c r="I82" s="56">
        <v>885</v>
      </c>
      <c r="J82" s="56">
        <v>326</v>
      </c>
      <c r="K82" s="56">
        <v>381</v>
      </c>
      <c r="L82" s="56">
        <v>3783</v>
      </c>
      <c r="M82" s="56">
        <v>6525</v>
      </c>
      <c r="N82" s="56">
        <v>6692</v>
      </c>
      <c r="O82" s="56">
        <v>1660</v>
      </c>
      <c r="P82" s="56">
        <v>6006</v>
      </c>
      <c r="Q82" s="56">
        <v>241</v>
      </c>
      <c r="R82" s="16">
        <f t="shared" si="4"/>
        <v>16481</v>
      </c>
      <c r="S82" s="16">
        <f t="shared" si="5"/>
        <v>8426</v>
      </c>
      <c r="T82" s="13" t="s">
        <v>101</v>
      </c>
      <c r="U82" s="5">
        <v>16481</v>
      </c>
      <c r="V82" s="5">
        <f t="shared" si="7"/>
        <v>16395.25</v>
      </c>
      <c r="W82" s="5">
        <f t="shared" si="6"/>
        <v>8608.25</v>
      </c>
    </row>
    <row r="83" spans="1:23" ht="15.6" x14ac:dyDescent="0.3">
      <c r="A83" s="55">
        <v>36790</v>
      </c>
      <c r="B83" s="56">
        <v>1059</v>
      </c>
      <c r="C83" s="56">
        <v>3310</v>
      </c>
      <c r="D83" s="56">
        <v>618</v>
      </c>
      <c r="E83" s="56">
        <v>1676</v>
      </c>
      <c r="F83" s="56">
        <v>840</v>
      </c>
      <c r="G83" s="56">
        <v>1848</v>
      </c>
      <c r="H83" s="56">
        <v>710</v>
      </c>
      <c r="I83" s="56">
        <v>1462</v>
      </c>
      <c r="J83" s="56">
        <v>263</v>
      </c>
      <c r="K83" s="56">
        <v>406</v>
      </c>
      <c r="L83" s="56">
        <v>3489</v>
      </c>
      <c r="M83" s="56">
        <v>8703</v>
      </c>
      <c r="N83" s="56">
        <v>7767</v>
      </c>
      <c r="O83" s="56">
        <v>2959</v>
      </c>
      <c r="P83" s="56">
        <v>5726</v>
      </c>
      <c r="Q83" s="56">
        <v>1011</v>
      </c>
      <c r="R83" s="16">
        <f t="shared" si="4"/>
        <v>16982</v>
      </c>
      <c r="S83" s="16">
        <f t="shared" si="5"/>
        <v>12673</v>
      </c>
      <c r="T83" s="13" t="s">
        <v>102</v>
      </c>
      <c r="U83" s="5">
        <v>16982</v>
      </c>
      <c r="V83" s="5">
        <f t="shared" si="7"/>
        <v>16521.25</v>
      </c>
      <c r="W83" s="5">
        <f t="shared" si="6"/>
        <v>9623</v>
      </c>
    </row>
    <row r="84" spans="1:23" ht="15.6" x14ac:dyDescent="0.3">
      <c r="A84" s="55">
        <v>37154</v>
      </c>
      <c r="B84" s="56">
        <v>1275</v>
      </c>
      <c r="C84" s="56">
        <v>2397</v>
      </c>
      <c r="D84" s="56">
        <v>906</v>
      </c>
      <c r="E84" s="56">
        <v>1612</v>
      </c>
      <c r="F84" s="56">
        <v>881</v>
      </c>
      <c r="G84" s="56">
        <v>1603</v>
      </c>
      <c r="H84" s="56">
        <v>533</v>
      </c>
      <c r="I84" s="56">
        <v>911</v>
      </c>
      <c r="J84" s="56">
        <v>316</v>
      </c>
      <c r="K84" s="56">
        <v>391</v>
      </c>
      <c r="L84" s="56">
        <v>3911</v>
      </c>
      <c r="M84" s="56">
        <v>6914</v>
      </c>
      <c r="N84" s="56">
        <v>6553</v>
      </c>
      <c r="O84" s="56">
        <v>2969</v>
      </c>
      <c r="P84" s="56">
        <v>6158</v>
      </c>
      <c r="Q84" s="56">
        <v>505</v>
      </c>
      <c r="R84" s="16">
        <f t="shared" si="4"/>
        <v>16622</v>
      </c>
      <c r="S84" s="16">
        <f t="shared" si="5"/>
        <v>10388</v>
      </c>
      <c r="T84" s="13" t="s">
        <v>102</v>
      </c>
      <c r="U84" s="5">
        <v>16622</v>
      </c>
      <c r="V84" s="5">
        <f t="shared" si="7"/>
        <v>16577</v>
      </c>
      <c r="W84" s="5">
        <f t="shared" si="6"/>
        <v>10511.5</v>
      </c>
    </row>
    <row r="85" spans="1:23" ht="15.6" x14ac:dyDescent="0.3">
      <c r="A85" s="55">
        <v>36797</v>
      </c>
      <c r="B85" s="56">
        <v>1164</v>
      </c>
      <c r="C85" s="56">
        <v>3511</v>
      </c>
      <c r="D85" s="56">
        <v>516</v>
      </c>
      <c r="E85" s="56">
        <v>1867</v>
      </c>
      <c r="F85" s="56">
        <v>817</v>
      </c>
      <c r="G85" s="56">
        <v>1911</v>
      </c>
      <c r="H85" s="56">
        <v>647</v>
      </c>
      <c r="I85" s="56">
        <v>1566</v>
      </c>
      <c r="J85" s="56">
        <v>238</v>
      </c>
      <c r="K85" s="56">
        <v>433</v>
      </c>
      <c r="L85" s="56">
        <v>3382</v>
      </c>
      <c r="M85" s="56">
        <v>9288</v>
      </c>
      <c r="N85" s="56">
        <v>6994</v>
      </c>
      <c r="O85" s="56">
        <v>4400</v>
      </c>
      <c r="P85" s="56">
        <v>5836</v>
      </c>
      <c r="Q85" s="56">
        <v>1411</v>
      </c>
      <c r="R85" s="16">
        <f t="shared" si="4"/>
        <v>16212</v>
      </c>
      <c r="S85" s="16">
        <f t="shared" si="5"/>
        <v>15099</v>
      </c>
      <c r="T85" s="13" t="s">
        <v>102</v>
      </c>
      <c r="U85" s="5">
        <v>16212</v>
      </c>
      <c r="V85" s="5">
        <f t="shared" si="7"/>
        <v>16574.25</v>
      </c>
      <c r="W85" s="5">
        <f t="shared" si="6"/>
        <v>11646.5</v>
      </c>
    </row>
    <row r="86" spans="1:23" ht="15.6" x14ac:dyDescent="0.3">
      <c r="A86" s="55">
        <v>37161</v>
      </c>
      <c r="B86" s="56">
        <v>1150</v>
      </c>
      <c r="C86" s="56">
        <v>2604</v>
      </c>
      <c r="D86" s="56">
        <v>1091</v>
      </c>
      <c r="E86" s="56">
        <v>1761</v>
      </c>
      <c r="F86" s="56">
        <v>862</v>
      </c>
      <c r="G86" s="56">
        <v>1751</v>
      </c>
      <c r="H86" s="56">
        <v>499</v>
      </c>
      <c r="I86" s="56">
        <v>1018</v>
      </c>
      <c r="J86" s="56">
        <v>314</v>
      </c>
      <c r="K86" s="56">
        <v>440</v>
      </c>
      <c r="L86" s="56">
        <v>3916</v>
      </c>
      <c r="M86" s="56">
        <v>7574</v>
      </c>
      <c r="N86" s="56">
        <v>7018</v>
      </c>
      <c r="O86" s="56">
        <v>3780</v>
      </c>
      <c r="P86" s="56">
        <v>6896</v>
      </c>
      <c r="Q86" s="56">
        <v>732</v>
      </c>
      <c r="R86" s="16">
        <f t="shared" si="4"/>
        <v>17830</v>
      </c>
      <c r="S86" s="16">
        <f t="shared" si="5"/>
        <v>12086</v>
      </c>
      <c r="T86" s="13" t="s">
        <v>102</v>
      </c>
      <c r="U86" s="5">
        <v>17830</v>
      </c>
      <c r="V86" s="5">
        <f t="shared" si="7"/>
        <v>16911.5</v>
      </c>
      <c r="W86" s="5">
        <f t="shared" si="6"/>
        <v>12561.5</v>
      </c>
    </row>
    <row r="87" spans="1:23" ht="15.6" x14ac:dyDescent="0.3">
      <c r="A87" s="55">
        <v>36804</v>
      </c>
      <c r="B87" s="56">
        <v>1180</v>
      </c>
      <c r="C87" s="56">
        <v>3721</v>
      </c>
      <c r="D87" s="56">
        <v>508</v>
      </c>
      <c r="E87" s="56">
        <v>1919</v>
      </c>
      <c r="F87" s="56">
        <v>757</v>
      </c>
      <c r="G87" s="56">
        <v>2004</v>
      </c>
      <c r="H87" s="56">
        <v>593</v>
      </c>
      <c r="I87" s="56">
        <v>1753</v>
      </c>
      <c r="J87" s="56">
        <v>173</v>
      </c>
      <c r="K87" s="56">
        <v>479</v>
      </c>
      <c r="L87" s="56">
        <v>3212</v>
      </c>
      <c r="M87" s="56">
        <v>9876</v>
      </c>
      <c r="N87" s="56">
        <v>6640</v>
      </c>
      <c r="O87" s="56">
        <v>5723</v>
      </c>
      <c r="P87" s="56">
        <v>5912</v>
      </c>
      <c r="Q87" s="56">
        <v>1987</v>
      </c>
      <c r="R87" s="16">
        <f t="shared" si="4"/>
        <v>15764</v>
      </c>
      <c r="S87" s="16">
        <f t="shared" si="5"/>
        <v>17586</v>
      </c>
      <c r="T87" s="13" t="s">
        <v>103</v>
      </c>
      <c r="U87" s="5">
        <v>15764</v>
      </c>
      <c r="V87" s="5">
        <f t="shared" si="7"/>
        <v>16607</v>
      </c>
      <c r="W87" s="5">
        <f t="shared" si="6"/>
        <v>13789.75</v>
      </c>
    </row>
    <row r="88" spans="1:23" ht="15.6" x14ac:dyDescent="0.3">
      <c r="A88" s="55">
        <v>37168</v>
      </c>
      <c r="B88" s="56">
        <v>1108</v>
      </c>
      <c r="C88" s="56">
        <v>2792</v>
      </c>
      <c r="D88" s="56">
        <v>1214</v>
      </c>
      <c r="E88" s="56">
        <v>1883</v>
      </c>
      <c r="F88" s="56">
        <v>884</v>
      </c>
      <c r="G88" s="56">
        <v>1868</v>
      </c>
      <c r="H88" s="56">
        <v>552</v>
      </c>
      <c r="I88" s="56">
        <v>1067</v>
      </c>
      <c r="J88" s="56">
        <v>231</v>
      </c>
      <c r="K88" s="56">
        <v>517</v>
      </c>
      <c r="L88" s="56">
        <v>3989</v>
      </c>
      <c r="M88" s="56">
        <v>8127</v>
      </c>
      <c r="N88" s="56">
        <v>6862</v>
      </c>
      <c r="O88" s="56">
        <v>4552</v>
      </c>
      <c r="P88" s="56">
        <v>7854</v>
      </c>
      <c r="Q88" s="56">
        <v>863</v>
      </c>
      <c r="R88" s="16">
        <f t="shared" si="4"/>
        <v>18705</v>
      </c>
      <c r="S88" s="16">
        <f t="shared" si="5"/>
        <v>13542</v>
      </c>
      <c r="T88" s="13" t="s">
        <v>103</v>
      </c>
      <c r="U88" s="5">
        <v>18705</v>
      </c>
      <c r="V88" s="5">
        <f t="shared" si="7"/>
        <v>17127.75</v>
      </c>
      <c r="W88" s="5">
        <f t="shared" si="6"/>
        <v>14578.25</v>
      </c>
    </row>
    <row r="89" spans="1:23" ht="15.6" x14ac:dyDescent="0.3">
      <c r="A89" s="55">
        <v>36811</v>
      </c>
      <c r="B89" s="56">
        <v>1125</v>
      </c>
      <c r="C89" s="56">
        <v>3921</v>
      </c>
      <c r="D89" s="56">
        <v>373</v>
      </c>
      <c r="E89" s="56">
        <v>2060</v>
      </c>
      <c r="F89" s="56">
        <v>741</v>
      </c>
      <c r="G89" s="56">
        <v>2094</v>
      </c>
      <c r="H89" s="56">
        <v>688</v>
      </c>
      <c r="I89" s="56">
        <v>1824</v>
      </c>
      <c r="J89" s="56">
        <v>193</v>
      </c>
      <c r="K89" s="56">
        <v>486</v>
      </c>
      <c r="L89" s="56">
        <v>3120</v>
      </c>
      <c r="M89" s="56">
        <v>10385</v>
      </c>
      <c r="N89" s="56">
        <v>6812</v>
      </c>
      <c r="O89" s="56">
        <v>6597</v>
      </c>
      <c r="P89" s="56">
        <v>6190</v>
      </c>
      <c r="Q89" s="56">
        <v>2734</v>
      </c>
      <c r="R89" s="16">
        <f t="shared" si="4"/>
        <v>16122</v>
      </c>
      <c r="S89" s="16">
        <f t="shared" si="5"/>
        <v>19716</v>
      </c>
      <c r="T89" s="13" t="s">
        <v>103</v>
      </c>
      <c r="U89" s="5">
        <v>16122</v>
      </c>
      <c r="V89" s="5">
        <f t="shared" si="7"/>
        <v>17105.25</v>
      </c>
      <c r="W89" s="5">
        <f t="shared" si="6"/>
        <v>15732.5</v>
      </c>
    </row>
    <row r="90" spans="1:23" ht="15.6" x14ac:dyDescent="0.3">
      <c r="A90" s="55">
        <v>37175</v>
      </c>
      <c r="B90" s="56">
        <v>1175</v>
      </c>
      <c r="C90" s="56">
        <v>2889</v>
      </c>
      <c r="D90" s="56">
        <v>1087</v>
      </c>
      <c r="E90" s="56">
        <v>2079</v>
      </c>
      <c r="F90" s="56">
        <v>868</v>
      </c>
      <c r="G90" s="56">
        <v>1987</v>
      </c>
      <c r="H90" s="56">
        <v>550</v>
      </c>
      <c r="I90" s="56">
        <v>1158</v>
      </c>
      <c r="J90" s="56">
        <v>227</v>
      </c>
      <c r="K90" s="56">
        <v>522</v>
      </c>
      <c r="L90" s="56">
        <v>3906</v>
      </c>
      <c r="M90" s="56">
        <v>8635</v>
      </c>
      <c r="N90" s="56">
        <v>6944</v>
      </c>
      <c r="O90" s="56">
        <v>5306</v>
      </c>
      <c r="P90" s="56">
        <v>8511</v>
      </c>
      <c r="Q90" s="56">
        <v>1526</v>
      </c>
      <c r="R90" s="16">
        <f t="shared" si="4"/>
        <v>19361</v>
      </c>
      <c r="S90" s="16">
        <f t="shared" si="5"/>
        <v>15467</v>
      </c>
      <c r="T90" s="13" t="s">
        <v>103</v>
      </c>
      <c r="U90" s="5">
        <v>19361</v>
      </c>
      <c r="V90" s="5">
        <f t="shared" si="7"/>
        <v>17488</v>
      </c>
      <c r="W90" s="5">
        <f t="shared" si="6"/>
        <v>16577.75</v>
      </c>
    </row>
    <row r="91" spans="1:23" ht="15.6" x14ac:dyDescent="0.3">
      <c r="A91" s="55">
        <v>36818</v>
      </c>
      <c r="B91" s="56">
        <v>1175</v>
      </c>
      <c r="C91" s="56">
        <v>4033</v>
      </c>
      <c r="D91" s="56">
        <v>339</v>
      </c>
      <c r="E91" s="56">
        <v>2159</v>
      </c>
      <c r="F91" s="56">
        <v>801</v>
      </c>
      <c r="G91" s="56">
        <v>2152</v>
      </c>
      <c r="H91" s="56">
        <v>746</v>
      </c>
      <c r="I91" s="56">
        <v>1926</v>
      </c>
      <c r="J91" s="56">
        <v>193</v>
      </c>
      <c r="K91" s="56">
        <v>486</v>
      </c>
      <c r="L91" s="56">
        <v>3253</v>
      </c>
      <c r="M91" s="56">
        <v>10756</v>
      </c>
      <c r="N91" s="56">
        <v>6923</v>
      </c>
      <c r="O91" s="56">
        <v>7404</v>
      </c>
      <c r="P91" s="56">
        <v>6224</v>
      </c>
      <c r="Q91" s="56">
        <v>3563</v>
      </c>
      <c r="R91" s="16">
        <f t="shared" si="4"/>
        <v>16400</v>
      </c>
      <c r="S91" s="16">
        <f t="shared" si="5"/>
        <v>21723</v>
      </c>
      <c r="T91" s="13" t="s">
        <v>104</v>
      </c>
      <c r="U91" s="5">
        <v>16400</v>
      </c>
      <c r="V91" s="5">
        <f t="shared" si="7"/>
        <v>17647</v>
      </c>
      <c r="W91" s="5">
        <f t="shared" si="6"/>
        <v>17612</v>
      </c>
    </row>
    <row r="92" spans="1:23" ht="15.6" x14ac:dyDescent="0.3">
      <c r="A92" s="55">
        <v>37182</v>
      </c>
      <c r="B92" s="56">
        <v>1228</v>
      </c>
      <c r="C92" s="56">
        <v>3162</v>
      </c>
      <c r="D92" s="56">
        <v>1075</v>
      </c>
      <c r="E92" s="56">
        <v>2150</v>
      </c>
      <c r="F92" s="56">
        <v>961</v>
      </c>
      <c r="G92" s="56">
        <v>2102</v>
      </c>
      <c r="H92" s="56">
        <v>616</v>
      </c>
      <c r="I92" s="56">
        <v>1176</v>
      </c>
      <c r="J92" s="56">
        <v>249</v>
      </c>
      <c r="K92" s="56">
        <v>526</v>
      </c>
      <c r="L92" s="56">
        <v>4128</v>
      </c>
      <c r="M92" s="56">
        <v>9116</v>
      </c>
      <c r="N92" s="56">
        <v>7074</v>
      </c>
      <c r="O92" s="56">
        <v>6056</v>
      </c>
      <c r="P92" s="56">
        <v>8760</v>
      </c>
      <c r="Q92" s="56">
        <v>2342</v>
      </c>
      <c r="R92" s="16">
        <f t="shared" si="4"/>
        <v>19962</v>
      </c>
      <c r="S92" s="16">
        <f t="shared" si="5"/>
        <v>17514</v>
      </c>
      <c r="T92" s="13" t="s">
        <v>104</v>
      </c>
      <c r="U92" s="5">
        <v>19962</v>
      </c>
      <c r="V92" s="5">
        <f t="shared" si="7"/>
        <v>17961.25</v>
      </c>
      <c r="W92" s="5">
        <f t="shared" si="6"/>
        <v>18605</v>
      </c>
    </row>
    <row r="93" spans="1:23" ht="15.6" x14ac:dyDescent="0.3">
      <c r="A93" s="55">
        <v>36825</v>
      </c>
      <c r="B93" s="56">
        <v>1131</v>
      </c>
      <c r="C93" s="56">
        <v>4176</v>
      </c>
      <c r="D93" s="56">
        <v>345</v>
      </c>
      <c r="E93" s="56">
        <v>2219</v>
      </c>
      <c r="F93" s="56">
        <v>979</v>
      </c>
      <c r="G93" s="56">
        <v>2205</v>
      </c>
      <c r="H93" s="56">
        <v>717</v>
      </c>
      <c r="I93" s="56">
        <v>2048</v>
      </c>
      <c r="J93" s="56">
        <v>343</v>
      </c>
      <c r="K93" s="56">
        <v>486</v>
      </c>
      <c r="L93" s="56">
        <v>3513</v>
      </c>
      <c r="M93" s="56">
        <v>11134</v>
      </c>
      <c r="N93" s="56">
        <v>7087</v>
      </c>
      <c r="O93" s="56">
        <v>8052</v>
      </c>
      <c r="P93" s="56">
        <v>6233</v>
      </c>
      <c r="Q93" s="56">
        <v>4534</v>
      </c>
      <c r="R93" s="16">
        <f t="shared" si="4"/>
        <v>16833</v>
      </c>
      <c r="S93" s="16">
        <f t="shared" si="5"/>
        <v>23720</v>
      </c>
      <c r="T93" s="13" t="s">
        <v>104</v>
      </c>
      <c r="U93" s="5">
        <v>16833</v>
      </c>
      <c r="V93" s="5">
        <f t="shared" si="7"/>
        <v>18139</v>
      </c>
      <c r="W93" s="5">
        <f t="shared" si="6"/>
        <v>19606</v>
      </c>
    </row>
    <row r="94" spans="1:23" ht="15.6" x14ac:dyDescent="0.3">
      <c r="A94" s="55">
        <v>37189</v>
      </c>
      <c r="B94" s="56">
        <v>1386</v>
      </c>
      <c r="C94" s="56">
        <v>3353</v>
      </c>
      <c r="D94" s="56">
        <v>1023</v>
      </c>
      <c r="E94" s="56">
        <v>2313</v>
      </c>
      <c r="F94" s="56">
        <v>1060</v>
      </c>
      <c r="G94" s="56">
        <v>2142</v>
      </c>
      <c r="H94" s="56">
        <v>565</v>
      </c>
      <c r="I94" s="56">
        <v>1332</v>
      </c>
      <c r="J94" s="56">
        <v>214</v>
      </c>
      <c r="K94" s="56">
        <v>569</v>
      </c>
      <c r="L94" s="56">
        <v>4248</v>
      </c>
      <c r="M94" s="56">
        <v>9708</v>
      </c>
      <c r="N94" s="56">
        <v>6788</v>
      </c>
      <c r="O94" s="56">
        <v>6909</v>
      </c>
      <c r="P94" s="56">
        <v>9491</v>
      </c>
      <c r="Q94" s="56">
        <v>3495</v>
      </c>
      <c r="R94" s="16">
        <f t="shared" si="4"/>
        <v>20527</v>
      </c>
      <c r="S94" s="16">
        <f t="shared" si="5"/>
        <v>20112</v>
      </c>
      <c r="T94" s="13" t="s">
        <v>104</v>
      </c>
      <c r="U94" s="5">
        <v>20527</v>
      </c>
      <c r="V94" s="5">
        <f t="shared" si="7"/>
        <v>18430.5</v>
      </c>
      <c r="W94" s="5">
        <f t="shared" si="6"/>
        <v>20767.25</v>
      </c>
    </row>
    <row r="95" spans="1:23" ht="15.6" x14ac:dyDescent="0.3">
      <c r="A95" s="55">
        <v>36832</v>
      </c>
      <c r="B95" s="56">
        <v>1223</v>
      </c>
      <c r="C95" s="56">
        <v>4398</v>
      </c>
      <c r="D95" s="56">
        <v>340</v>
      </c>
      <c r="E95" s="56">
        <v>2246</v>
      </c>
      <c r="F95" s="56">
        <v>915</v>
      </c>
      <c r="G95" s="56">
        <v>2363</v>
      </c>
      <c r="H95" s="56">
        <v>636</v>
      </c>
      <c r="I95" s="56">
        <v>2169</v>
      </c>
      <c r="J95" s="56">
        <v>343</v>
      </c>
      <c r="K95" s="56">
        <v>505</v>
      </c>
      <c r="L95" s="56">
        <v>3457</v>
      </c>
      <c r="M95" s="56">
        <v>11681</v>
      </c>
      <c r="N95" s="56">
        <v>6671</v>
      </c>
      <c r="O95" s="56">
        <v>9083</v>
      </c>
      <c r="P95" s="56">
        <v>5894</v>
      </c>
      <c r="Q95" s="56">
        <v>5488</v>
      </c>
      <c r="R95" s="16">
        <f t="shared" si="4"/>
        <v>16022</v>
      </c>
      <c r="S95" s="16">
        <f t="shared" si="5"/>
        <v>26252</v>
      </c>
      <c r="T95" s="13" t="s">
        <v>104</v>
      </c>
      <c r="U95" s="5">
        <v>16022</v>
      </c>
      <c r="V95" s="5">
        <f t="shared" si="7"/>
        <v>18336</v>
      </c>
      <c r="W95" s="5">
        <f t="shared" si="6"/>
        <v>21899.5</v>
      </c>
    </row>
    <row r="96" spans="1:23" ht="15.6" x14ac:dyDescent="0.3">
      <c r="A96" s="55">
        <v>37196</v>
      </c>
      <c r="B96" s="56">
        <v>1382</v>
      </c>
      <c r="C96" s="56">
        <v>3460</v>
      </c>
      <c r="D96" s="56">
        <v>1018</v>
      </c>
      <c r="E96" s="56">
        <v>2389</v>
      </c>
      <c r="F96" s="56">
        <v>1017</v>
      </c>
      <c r="G96" s="56">
        <v>2307</v>
      </c>
      <c r="H96" s="56">
        <v>573</v>
      </c>
      <c r="I96" s="56">
        <v>1371</v>
      </c>
      <c r="J96" s="56">
        <v>240</v>
      </c>
      <c r="K96" s="56">
        <v>573</v>
      </c>
      <c r="L96" s="56">
        <v>4229</v>
      </c>
      <c r="M96" s="56">
        <v>10100</v>
      </c>
      <c r="N96" s="56">
        <v>7028</v>
      </c>
      <c r="O96" s="56">
        <v>7566</v>
      </c>
      <c r="P96" s="56">
        <v>8606</v>
      </c>
      <c r="Q96" s="56">
        <v>4906</v>
      </c>
      <c r="R96" s="16">
        <f t="shared" si="4"/>
        <v>19863</v>
      </c>
      <c r="S96" s="16">
        <f t="shared" si="5"/>
        <v>22572</v>
      </c>
      <c r="T96" s="13" t="s">
        <v>105</v>
      </c>
      <c r="U96" s="5">
        <v>19863</v>
      </c>
      <c r="V96" s="5">
        <f t="shared" si="7"/>
        <v>18311.25</v>
      </c>
      <c r="W96" s="5">
        <f t="shared" si="6"/>
        <v>23164</v>
      </c>
    </row>
    <row r="97" spans="1:23" ht="15.6" x14ac:dyDescent="0.3">
      <c r="A97" s="55">
        <v>36839</v>
      </c>
      <c r="B97" s="56">
        <v>1225</v>
      </c>
      <c r="C97" s="56">
        <v>4568</v>
      </c>
      <c r="D97" s="56">
        <v>370</v>
      </c>
      <c r="E97" s="56">
        <v>2330</v>
      </c>
      <c r="F97" s="56">
        <v>966</v>
      </c>
      <c r="G97" s="56">
        <v>2436</v>
      </c>
      <c r="H97" s="56">
        <v>874</v>
      </c>
      <c r="I97" s="56">
        <v>2227</v>
      </c>
      <c r="J97" s="56">
        <v>339</v>
      </c>
      <c r="K97" s="56">
        <v>546</v>
      </c>
      <c r="L97" s="56">
        <v>3772</v>
      </c>
      <c r="M97" s="56">
        <v>12108</v>
      </c>
      <c r="N97" s="56">
        <v>6622</v>
      </c>
      <c r="O97" s="56">
        <v>9650</v>
      </c>
      <c r="P97" s="56">
        <v>5727</v>
      </c>
      <c r="Q97" s="56">
        <v>6243</v>
      </c>
      <c r="R97" s="16">
        <f t="shared" si="4"/>
        <v>16121</v>
      </c>
      <c r="S97" s="16">
        <f t="shared" si="5"/>
        <v>28001</v>
      </c>
      <c r="T97" s="13" t="s">
        <v>105</v>
      </c>
      <c r="U97" s="5">
        <v>16121</v>
      </c>
      <c r="V97" s="5">
        <f t="shared" si="7"/>
        <v>18133.25</v>
      </c>
      <c r="W97" s="5">
        <f t="shared" si="6"/>
        <v>24234.25</v>
      </c>
    </row>
    <row r="98" spans="1:23" ht="15.6" x14ac:dyDescent="0.3">
      <c r="A98" s="55">
        <v>37203</v>
      </c>
      <c r="B98" s="56">
        <v>1254</v>
      </c>
      <c r="C98" s="56">
        <v>3657</v>
      </c>
      <c r="D98" s="56">
        <v>937</v>
      </c>
      <c r="E98" s="56">
        <v>2497</v>
      </c>
      <c r="F98" s="56">
        <v>1019</v>
      </c>
      <c r="G98" s="56">
        <v>2437</v>
      </c>
      <c r="H98" s="56">
        <v>567</v>
      </c>
      <c r="I98" s="56">
        <v>1475</v>
      </c>
      <c r="J98" s="56">
        <v>265</v>
      </c>
      <c r="K98" s="56">
        <v>589</v>
      </c>
      <c r="L98" s="56">
        <v>4042</v>
      </c>
      <c r="M98" s="56">
        <v>10654</v>
      </c>
      <c r="N98" s="56">
        <v>6838</v>
      </c>
      <c r="O98" s="56">
        <v>8569</v>
      </c>
      <c r="P98" s="56">
        <v>8386</v>
      </c>
      <c r="Q98" s="56">
        <v>5868</v>
      </c>
      <c r="R98" s="16">
        <f t="shared" si="4"/>
        <v>19266</v>
      </c>
      <c r="S98" s="16">
        <f t="shared" si="5"/>
        <v>25091</v>
      </c>
      <c r="T98" s="13" t="s">
        <v>105</v>
      </c>
      <c r="U98" s="5">
        <v>19266</v>
      </c>
      <c r="V98" s="5">
        <f t="shared" si="7"/>
        <v>17818</v>
      </c>
      <c r="W98" s="5">
        <f t="shared" si="6"/>
        <v>25479</v>
      </c>
    </row>
    <row r="99" spans="1:23" ht="15.6" x14ac:dyDescent="0.3">
      <c r="A99" s="55">
        <v>36846</v>
      </c>
      <c r="B99" s="56">
        <v>1191</v>
      </c>
      <c r="C99" s="56">
        <v>4723</v>
      </c>
      <c r="D99" s="56">
        <v>426</v>
      </c>
      <c r="E99" s="56">
        <v>2358</v>
      </c>
      <c r="F99" s="56">
        <v>977</v>
      </c>
      <c r="G99" s="56">
        <v>2522</v>
      </c>
      <c r="H99" s="56">
        <v>757</v>
      </c>
      <c r="I99" s="56">
        <v>2423</v>
      </c>
      <c r="J99" s="56">
        <v>335</v>
      </c>
      <c r="K99" s="56">
        <v>550</v>
      </c>
      <c r="L99" s="56">
        <v>3680</v>
      </c>
      <c r="M99" s="56">
        <v>12576</v>
      </c>
      <c r="N99" s="56">
        <v>6366</v>
      </c>
      <c r="O99" s="56">
        <v>10563</v>
      </c>
      <c r="P99" s="56">
        <v>5198</v>
      </c>
      <c r="Q99" s="56">
        <v>7064</v>
      </c>
      <c r="R99" s="16">
        <f t="shared" si="4"/>
        <v>15244</v>
      </c>
      <c r="S99" s="16">
        <f t="shared" si="5"/>
        <v>30203</v>
      </c>
      <c r="T99" s="13" t="s">
        <v>105</v>
      </c>
      <c r="U99" s="5">
        <v>15244</v>
      </c>
      <c r="V99" s="5">
        <f t="shared" si="7"/>
        <v>17623.5</v>
      </c>
      <c r="W99" s="5">
        <f t="shared" si="6"/>
        <v>26466.75</v>
      </c>
    </row>
    <row r="100" spans="1:23" ht="15.6" x14ac:dyDescent="0.3">
      <c r="A100" s="55">
        <v>37210</v>
      </c>
      <c r="B100" s="56">
        <v>1377</v>
      </c>
      <c r="C100" s="56">
        <v>3727</v>
      </c>
      <c r="D100" s="56">
        <v>766</v>
      </c>
      <c r="E100" s="56">
        <v>2767</v>
      </c>
      <c r="F100" s="56">
        <v>1096</v>
      </c>
      <c r="G100" s="56">
        <v>2490</v>
      </c>
      <c r="H100" s="56">
        <v>563</v>
      </c>
      <c r="I100" s="56">
        <v>1546</v>
      </c>
      <c r="J100" s="56">
        <v>236</v>
      </c>
      <c r="K100" s="56">
        <v>612</v>
      </c>
      <c r="L100" s="56">
        <v>4037</v>
      </c>
      <c r="M100" s="56">
        <v>11141</v>
      </c>
      <c r="N100" s="56">
        <v>6824</v>
      </c>
      <c r="O100" s="56">
        <v>9264</v>
      </c>
      <c r="P100" s="56">
        <v>8904</v>
      </c>
      <c r="Q100" s="56">
        <v>6744</v>
      </c>
      <c r="R100" s="16">
        <f t="shared" si="4"/>
        <v>19765</v>
      </c>
      <c r="S100" s="16">
        <f t="shared" si="5"/>
        <v>27149</v>
      </c>
      <c r="T100" s="13" t="s">
        <v>106</v>
      </c>
      <c r="U100" s="5">
        <v>19765</v>
      </c>
      <c r="V100" s="5">
        <f t="shared" si="7"/>
        <v>17599</v>
      </c>
      <c r="W100" s="5">
        <f t="shared" si="6"/>
        <v>27611</v>
      </c>
    </row>
    <row r="101" spans="1:23" ht="15.6" x14ac:dyDescent="0.3">
      <c r="A101" s="55">
        <v>36853</v>
      </c>
      <c r="B101" s="56">
        <v>1097</v>
      </c>
      <c r="C101" s="56">
        <v>4947</v>
      </c>
      <c r="D101" s="56">
        <v>373</v>
      </c>
      <c r="E101" s="56">
        <v>2444</v>
      </c>
      <c r="F101" s="56">
        <v>974</v>
      </c>
      <c r="G101" s="56">
        <v>2665</v>
      </c>
      <c r="H101" s="56">
        <v>782</v>
      </c>
      <c r="I101" s="56">
        <v>2437</v>
      </c>
      <c r="J101" s="56">
        <v>301</v>
      </c>
      <c r="K101" s="56">
        <v>597</v>
      </c>
      <c r="L101" s="56">
        <v>3526</v>
      </c>
      <c r="M101" s="56">
        <v>13091</v>
      </c>
      <c r="N101" s="56">
        <v>6224</v>
      </c>
      <c r="O101" s="56">
        <v>11144</v>
      </c>
      <c r="P101" s="56">
        <v>5233</v>
      </c>
      <c r="Q101" s="56">
        <v>7746</v>
      </c>
      <c r="R101" s="16">
        <f t="shared" si="4"/>
        <v>14983</v>
      </c>
      <c r="S101" s="16">
        <f t="shared" si="5"/>
        <v>31981</v>
      </c>
      <c r="T101" s="13" t="s">
        <v>106</v>
      </c>
      <c r="U101" s="5">
        <v>14983</v>
      </c>
      <c r="V101" s="5">
        <f t="shared" si="7"/>
        <v>17314.5</v>
      </c>
      <c r="W101" s="5">
        <f t="shared" si="6"/>
        <v>28606</v>
      </c>
    </row>
    <row r="102" spans="1:23" ht="15.6" x14ac:dyDescent="0.3">
      <c r="A102" s="55">
        <v>37217</v>
      </c>
      <c r="B102" s="56">
        <v>1334</v>
      </c>
      <c r="C102" s="56">
        <v>3983</v>
      </c>
      <c r="D102" s="56">
        <v>695</v>
      </c>
      <c r="E102" s="56">
        <v>2905</v>
      </c>
      <c r="F102" s="56">
        <v>1068</v>
      </c>
      <c r="G102" s="56">
        <v>2563</v>
      </c>
      <c r="H102" s="56">
        <v>542</v>
      </c>
      <c r="I102" s="56">
        <v>1608</v>
      </c>
      <c r="J102" s="56">
        <v>231</v>
      </c>
      <c r="K102" s="56">
        <v>621</v>
      </c>
      <c r="L102" s="56">
        <v>3870</v>
      </c>
      <c r="M102" s="56">
        <v>11680</v>
      </c>
      <c r="N102" s="56">
        <v>6603</v>
      </c>
      <c r="O102" s="56">
        <v>10131</v>
      </c>
      <c r="P102" s="56">
        <v>8608</v>
      </c>
      <c r="Q102" s="56">
        <v>8041</v>
      </c>
      <c r="R102" s="16">
        <f t="shared" si="4"/>
        <v>19081</v>
      </c>
      <c r="S102" s="16">
        <f t="shared" si="5"/>
        <v>29852</v>
      </c>
      <c r="T102" s="13" t="s">
        <v>106</v>
      </c>
      <c r="U102" s="5">
        <v>19081</v>
      </c>
      <c r="V102" s="5">
        <f t="shared" si="7"/>
        <v>17268.25</v>
      </c>
      <c r="W102" s="5">
        <f t="shared" si="6"/>
        <v>29796.25</v>
      </c>
    </row>
    <row r="103" spans="1:23" ht="15.6" x14ac:dyDescent="0.3">
      <c r="A103" s="55">
        <v>36860</v>
      </c>
      <c r="B103" s="56">
        <v>1084</v>
      </c>
      <c r="C103" s="56">
        <v>5124</v>
      </c>
      <c r="D103" s="56">
        <v>445</v>
      </c>
      <c r="E103" s="56">
        <v>2491</v>
      </c>
      <c r="F103" s="56">
        <v>914</v>
      </c>
      <c r="G103" s="56">
        <v>2817</v>
      </c>
      <c r="H103" s="56">
        <v>761</v>
      </c>
      <c r="I103" s="56">
        <v>2525</v>
      </c>
      <c r="J103" s="56">
        <v>254</v>
      </c>
      <c r="K103" s="56">
        <v>616</v>
      </c>
      <c r="L103" s="56">
        <v>3458</v>
      </c>
      <c r="M103" s="56">
        <v>13572</v>
      </c>
      <c r="N103" s="56">
        <v>6146</v>
      </c>
      <c r="O103" s="56">
        <v>12159</v>
      </c>
      <c r="P103" s="56">
        <v>5836</v>
      </c>
      <c r="Q103" s="56">
        <v>8542</v>
      </c>
      <c r="R103" s="16">
        <f t="shared" si="4"/>
        <v>15440</v>
      </c>
      <c r="S103" s="16">
        <f t="shared" si="5"/>
        <v>34273</v>
      </c>
      <c r="T103" s="13" t="s">
        <v>106</v>
      </c>
      <c r="U103" s="5">
        <v>15440</v>
      </c>
      <c r="V103" s="5">
        <f t="shared" si="7"/>
        <v>17317.25</v>
      </c>
      <c r="W103" s="5">
        <f t="shared" si="6"/>
        <v>30813.75</v>
      </c>
    </row>
    <row r="104" spans="1:23" ht="15.6" x14ac:dyDescent="0.3">
      <c r="A104" s="55">
        <v>37224</v>
      </c>
      <c r="B104" s="56">
        <v>1241</v>
      </c>
      <c r="C104" s="56">
        <v>4231</v>
      </c>
      <c r="D104" s="56">
        <v>679</v>
      </c>
      <c r="E104" s="56">
        <v>3004</v>
      </c>
      <c r="F104" s="56">
        <v>1068</v>
      </c>
      <c r="G104" s="56">
        <v>2751</v>
      </c>
      <c r="H104" s="56">
        <v>549</v>
      </c>
      <c r="I104" s="56">
        <v>1708</v>
      </c>
      <c r="J104" s="56">
        <v>275</v>
      </c>
      <c r="K104" s="56">
        <v>623</v>
      </c>
      <c r="L104" s="56">
        <v>3812</v>
      </c>
      <c r="M104" s="56">
        <v>12316</v>
      </c>
      <c r="N104" s="56">
        <v>7635</v>
      </c>
      <c r="O104" s="56">
        <v>10618</v>
      </c>
      <c r="P104" s="56">
        <v>8499</v>
      </c>
      <c r="Q104" s="56">
        <v>9004</v>
      </c>
      <c r="R104" s="16">
        <f t="shared" si="4"/>
        <v>19946</v>
      </c>
      <c r="S104" s="16">
        <f t="shared" si="5"/>
        <v>31938</v>
      </c>
      <c r="T104" s="13" t="s">
        <v>106</v>
      </c>
      <c r="U104" s="5">
        <v>19946</v>
      </c>
      <c r="V104" s="5">
        <f t="shared" si="7"/>
        <v>17362.5</v>
      </c>
      <c r="W104" s="5">
        <f t="shared" si="6"/>
        <v>32011</v>
      </c>
    </row>
    <row r="105" spans="1:23" ht="15.6" x14ac:dyDescent="0.3">
      <c r="A105" s="55">
        <v>36867</v>
      </c>
      <c r="B105" s="56">
        <v>1075</v>
      </c>
      <c r="C105" s="56">
        <v>5367</v>
      </c>
      <c r="D105" s="56">
        <v>390</v>
      </c>
      <c r="E105" s="56">
        <v>2573</v>
      </c>
      <c r="F105" s="56">
        <v>842</v>
      </c>
      <c r="G105" s="56">
        <v>3001</v>
      </c>
      <c r="H105" s="56">
        <v>682</v>
      </c>
      <c r="I105" s="56">
        <v>2702</v>
      </c>
      <c r="J105" s="56">
        <v>242</v>
      </c>
      <c r="K105" s="56">
        <v>634</v>
      </c>
      <c r="L105" s="56">
        <v>3230</v>
      </c>
      <c r="M105" s="56">
        <v>14276</v>
      </c>
      <c r="N105" s="56">
        <v>6664</v>
      </c>
      <c r="O105" s="56">
        <v>12954</v>
      </c>
      <c r="P105" s="56">
        <v>5886</v>
      </c>
      <c r="Q105" s="56">
        <v>9439</v>
      </c>
      <c r="R105" s="16">
        <f t="shared" si="4"/>
        <v>15780</v>
      </c>
      <c r="S105" s="16">
        <f t="shared" si="5"/>
        <v>36669</v>
      </c>
      <c r="T105" s="13" t="s">
        <v>107</v>
      </c>
      <c r="U105" s="5">
        <v>15780</v>
      </c>
      <c r="V105" s="5">
        <f t="shared" si="7"/>
        <v>17561.75</v>
      </c>
      <c r="W105" s="5">
        <f t="shared" si="6"/>
        <v>33183</v>
      </c>
    </row>
    <row r="106" spans="1:23" ht="15.6" x14ac:dyDescent="0.3">
      <c r="A106" s="55">
        <v>37231</v>
      </c>
      <c r="B106" s="56">
        <v>1251</v>
      </c>
      <c r="C106" s="56">
        <v>4412</v>
      </c>
      <c r="D106" s="56">
        <v>563</v>
      </c>
      <c r="E106" s="56">
        <v>3175</v>
      </c>
      <c r="F106" s="56">
        <v>1050</v>
      </c>
      <c r="G106" s="56">
        <v>2938</v>
      </c>
      <c r="H106" s="56">
        <v>533</v>
      </c>
      <c r="I106" s="56">
        <v>1767</v>
      </c>
      <c r="J106" s="56">
        <v>216</v>
      </c>
      <c r="K106" s="56">
        <v>689</v>
      </c>
      <c r="L106" s="56">
        <v>3614</v>
      </c>
      <c r="M106" s="56">
        <v>12981</v>
      </c>
      <c r="N106" s="56">
        <v>7541</v>
      </c>
      <c r="O106" s="56">
        <v>11595</v>
      </c>
      <c r="P106" s="56">
        <v>8468</v>
      </c>
      <c r="Q106" s="56">
        <v>9842</v>
      </c>
      <c r="R106" s="16">
        <f t="shared" si="4"/>
        <v>19623</v>
      </c>
      <c r="S106" s="16">
        <f t="shared" si="5"/>
        <v>34418</v>
      </c>
      <c r="T106" s="13" t="s">
        <v>107</v>
      </c>
      <c r="U106" s="5">
        <v>19623</v>
      </c>
      <c r="V106" s="5">
        <f t="shared" si="7"/>
        <v>17697.25</v>
      </c>
      <c r="W106" s="5">
        <f t="shared" si="6"/>
        <v>34324.5</v>
      </c>
    </row>
    <row r="107" spans="1:23" ht="15.6" x14ac:dyDescent="0.3">
      <c r="A107" s="55">
        <v>36874</v>
      </c>
      <c r="B107" s="56">
        <v>1093</v>
      </c>
      <c r="C107" s="56">
        <v>5482</v>
      </c>
      <c r="D107" s="56">
        <v>409</v>
      </c>
      <c r="E107" s="56">
        <v>2625</v>
      </c>
      <c r="F107" s="56">
        <v>853</v>
      </c>
      <c r="G107" s="56">
        <v>3104</v>
      </c>
      <c r="H107" s="56">
        <v>772</v>
      </c>
      <c r="I107" s="56">
        <v>2794</v>
      </c>
      <c r="J107" s="56">
        <v>217</v>
      </c>
      <c r="K107" s="56">
        <v>658</v>
      </c>
      <c r="L107" s="56">
        <v>3343</v>
      </c>
      <c r="M107" s="56">
        <v>14663</v>
      </c>
      <c r="N107" s="56">
        <v>6726</v>
      </c>
      <c r="O107" s="56">
        <v>13853</v>
      </c>
      <c r="P107" s="56">
        <v>6097</v>
      </c>
      <c r="Q107" s="56">
        <v>9774</v>
      </c>
      <c r="R107" s="16">
        <f t="shared" si="4"/>
        <v>16166</v>
      </c>
      <c r="S107" s="16">
        <f t="shared" si="5"/>
        <v>38290</v>
      </c>
      <c r="T107" s="13" t="s">
        <v>107</v>
      </c>
      <c r="U107" s="5">
        <v>16166</v>
      </c>
      <c r="V107" s="5">
        <f t="shared" si="7"/>
        <v>17878.75</v>
      </c>
      <c r="W107" s="5">
        <f t="shared" si="6"/>
        <v>35328.75</v>
      </c>
    </row>
    <row r="108" spans="1:23" ht="15.6" x14ac:dyDescent="0.3">
      <c r="A108" s="55">
        <v>37238</v>
      </c>
      <c r="B108" s="56">
        <v>1231</v>
      </c>
      <c r="C108" s="56">
        <v>4667</v>
      </c>
      <c r="D108" s="56">
        <v>536</v>
      </c>
      <c r="E108" s="56">
        <v>3266</v>
      </c>
      <c r="F108" s="56">
        <v>1009</v>
      </c>
      <c r="G108" s="56">
        <v>3054</v>
      </c>
      <c r="H108" s="56">
        <v>590</v>
      </c>
      <c r="I108" s="56">
        <v>1800</v>
      </c>
      <c r="J108" s="56">
        <v>179</v>
      </c>
      <c r="K108" s="56">
        <v>730</v>
      </c>
      <c r="L108" s="56">
        <v>3546</v>
      </c>
      <c r="M108" s="56">
        <v>13517</v>
      </c>
      <c r="N108" s="56">
        <v>7399</v>
      </c>
      <c r="O108" s="56">
        <v>12339</v>
      </c>
      <c r="P108" s="56">
        <v>8793</v>
      </c>
      <c r="Q108" s="56">
        <v>10512</v>
      </c>
      <c r="R108" s="16">
        <f t="shared" si="4"/>
        <v>19738</v>
      </c>
      <c r="S108" s="16">
        <f t="shared" si="5"/>
        <v>36368</v>
      </c>
      <c r="T108" s="13" t="s">
        <v>107</v>
      </c>
      <c r="U108" s="5">
        <v>19738</v>
      </c>
      <c r="V108" s="5">
        <f t="shared" si="7"/>
        <v>17826.75</v>
      </c>
      <c r="W108" s="5">
        <f t="shared" si="6"/>
        <v>36436.25</v>
      </c>
    </row>
    <row r="109" spans="1:23" ht="15.6" x14ac:dyDescent="0.3">
      <c r="A109" s="55">
        <v>36881</v>
      </c>
      <c r="B109" s="56">
        <v>1057</v>
      </c>
      <c r="C109" s="56">
        <v>5648</v>
      </c>
      <c r="D109" s="56">
        <v>384</v>
      </c>
      <c r="E109" s="56">
        <v>2653</v>
      </c>
      <c r="F109" s="56">
        <v>869</v>
      </c>
      <c r="G109" s="56">
        <v>3251</v>
      </c>
      <c r="H109" s="56">
        <v>742</v>
      </c>
      <c r="I109" s="56">
        <v>2868</v>
      </c>
      <c r="J109" s="56">
        <v>209</v>
      </c>
      <c r="K109" s="56">
        <v>706</v>
      </c>
      <c r="L109" s="56">
        <v>3260</v>
      </c>
      <c r="M109" s="56">
        <v>15126</v>
      </c>
      <c r="N109" s="56">
        <v>6547</v>
      </c>
      <c r="O109" s="56">
        <v>14820</v>
      </c>
      <c r="P109" s="56">
        <v>6610</v>
      </c>
      <c r="Q109" s="56">
        <v>10331</v>
      </c>
      <c r="R109" s="16">
        <f t="shared" si="4"/>
        <v>16417</v>
      </c>
      <c r="S109" s="16">
        <f t="shared" si="5"/>
        <v>40277</v>
      </c>
      <c r="T109" s="13" t="s">
        <v>108</v>
      </c>
      <c r="U109" s="5">
        <v>16417</v>
      </c>
      <c r="V109" s="5">
        <f t="shared" si="7"/>
        <v>17986</v>
      </c>
      <c r="W109" s="5">
        <f t="shared" si="6"/>
        <v>37338.25</v>
      </c>
    </row>
    <row r="110" spans="1:23" ht="15.6" x14ac:dyDescent="0.3">
      <c r="A110" s="55">
        <v>37245</v>
      </c>
      <c r="B110" s="56">
        <v>1254</v>
      </c>
      <c r="C110" s="56">
        <v>4826</v>
      </c>
      <c r="D110" s="56">
        <v>556</v>
      </c>
      <c r="E110" s="56">
        <v>3368</v>
      </c>
      <c r="F110" s="56">
        <v>965</v>
      </c>
      <c r="G110" s="56">
        <v>3163</v>
      </c>
      <c r="H110" s="56">
        <v>604</v>
      </c>
      <c r="I110" s="56">
        <v>1861</v>
      </c>
      <c r="J110" s="56">
        <v>118</v>
      </c>
      <c r="K110" s="56">
        <v>800</v>
      </c>
      <c r="L110" s="56">
        <v>3497</v>
      </c>
      <c r="M110" s="56">
        <v>14017</v>
      </c>
      <c r="N110" s="56">
        <v>7596</v>
      </c>
      <c r="O110" s="56">
        <v>13051</v>
      </c>
      <c r="P110" s="56">
        <v>8135</v>
      </c>
      <c r="Q110" s="56">
        <v>11744</v>
      </c>
      <c r="R110" s="16">
        <f t="shared" si="4"/>
        <v>19228</v>
      </c>
      <c r="S110" s="16">
        <f t="shared" si="5"/>
        <v>38812</v>
      </c>
      <c r="T110" s="13" t="s">
        <v>108</v>
      </c>
      <c r="U110" s="5">
        <v>19228</v>
      </c>
      <c r="V110" s="5">
        <f t="shared" si="7"/>
        <v>17887.25</v>
      </c>
      <c r="W110" s="5">
        <f t="shared" si="6"/>
        <v>38436.75</v>
      </c>
    </row>
    <row r="111" spans="1:23" ht="15.6" x14ac:dyDescent="0.3">
      <c r="A111" s="55">
        <v>36888</v>
      </c>
      <c r="B111" s="56">
        <v>998</v>
      </c>
      <c r="C111" s="56">
        <v>5836</v>
      </c>
      <c r="D111" s="56">
        <v>295</v>
      </c>
      <c r="E111" s="56">
        <v>2759</v>
      </c>
      <c r="F111" s="56">
        <v>918</v>
      </c>
      <c r="G111" s="56">
        <v>3301</v>
      </c>
      <c r="H111" s="56">
        <v>666</v>
      </c>
      <c r="I111" s="56">
        <v>3023</v>
      </c>
      <c r="J111" s="56">
        <v>170</v>
      </c>
      <c r="K111" s="56">
        <v>737</v>
      </c>
      <c r="L111" s="56">
        <v>3047</v>
      </c>
      <c r="M111" s="56">
        <v>15656</v>
      </c>
      <c r="N111" s="56">
        <v>6697</v>
      </c>
      <c r="O111" s="56">
        <v>15269</v>
      </c>
      <c r="P111" s="56">
        <v>6104</v>
      </c>
      <c r="Q111" s="56">
        <v>11059</v>
      </c>
      <c r="R111" s="16">
        <f t="shared" si="4"/>
        <v>15848</v>
      </c>
      <c r="S111" s="16">
        <f t="shared" si="5"/>
        <v>41984</v>
      </c>
      <c r="T111" s="13" t="s">
        <v>108</v>
      </c>
      <c r="U111" s="5">
        <v>15848</v>
      </c>
      <c r="V111" s="5">
        <f t="shared" si="7"/>
        <v>17807.75</v>
      </c>
      <c r="W111" s="5">
        <f t="shared" si="6"/>
        <v>39360.25</v>
      </c>
    </row>
    <row r="112" spans="1:23" ht="15.6" x14ac:dyDescent="0.3">
      <c r="A112" s="55">
        <v>37252</v>
      </c>
      <c r="B112" s="56">
        <v>1220</v>
      </c>
      <c r="C112" s="56">
        <v>4900</v>
      </c>
      <c r="D112" s="56">
        <v>623</v>
      </c>
      <c r="E112" s="56">
        <v>3403</v>
      </c>
      <c r="F112" s="56">
        <v>948</v>
      </c>
      <c r="G112" s="56">
        <v>3239</v>
      </c>
      <c r="H112" s="56">
        <v>563</v>
      </c>
      <c r="I112" s="56">
        <v>1902</v>
      </c>
      <c r="J112" s="56">
        <v>118</v>
      </c>
      <c r="K112" s="56">
        <v>800</v>
      </c>
      <c r="L112" s="56">
        <v>3472</v>
      </c>
      <c r="M112" s="56">
        <v>14243</v>
      </c>
      <c r="N112" s="56">
        <v>7347</v>
      </c>
      <c r="O112" s="56">
        <v>13825</v>
      </c>
      <c r="P112" s="56">
        <v>7820</v>
      </c>
      <c r="Q112" s="56">
        <v>12333</v>
      </c>
      <c r="R112" s="16">
        <f t="shared" si="4"/>
        <v>18639</v>
      </c>
      <c r="S112" s="16">
        <f t="shared" si="5"/>
        <v>40401</v>
      </c>
      <c r="T112" s="13" t="s">
        <v>108</v>
      </c>
      <c r="U112" s="5">
        <v>18639</v>
      </c>
      <c r="V112" s="5">
        <f t="shared" si="7"/>
        <v>17533</v>
      </c>
      <c r="W112" s="5">
        <f t="shared" si="6"/>
        <v>40368.5</v>
      </c>
    </row>
    <row r="113" spans="1:23" ht="15.6" x14ac:dyDescent="0.3">
      <c r="A113" s="55">
        <v>36895</v>
      </c>
      <c r="B113" s="56">
        <v>906</v>
      </c>
      <c r="C113" s="56">
        <v>5946</v>
      </c>
      <c r="D113" s="56">
        <v>179</v>
      </c>
      <c r="E113" s="56">
        <v>2898</v>
      </c>
      <c r="F113" s="56">
        <v>920</v>
      </c>
      <c r="G113" s="56">
        <v>3379</v>
      </c>
      <c r="H113" s="56">
        <v>596</v>
      </c>
      <c r="I113" s="56">
        <v>3132</v>
      </c>
      <c r="J113" s="56">
        <v>173</v>
      </c>
      <c r="K113" s="56">
        <v>748</v>
      </c>
      <c r="L113" s="56">
        <v>2775</v>
      </c>
      <c r="M113" s="56">
        <v>16103</v>
      </c>
      <c r="N113" s="56">
        <v>6253</v>
      </c>
      <c r="O113" s="56">
        <v>15896</v>
      </c>
      <c r="P113" s="56">
        <v>5712</v>
      </c>
      <c r="Q113" s="56">
        <v>11894</v>
      </c>
      <c r="R113" s="16">
        <f t="shared" si="4"/>
        <v>14740</v>
      </c>
      <c r="S113" s="16">
        <f t="shared" si="5"/>
        <v>43893</v>
      </c>
      <c r="T113" s="13" t="s">
        <v>109</v>
      </c>
      <c r="U113" s="5">
        <v>14740</v>
      </c>
      <c r="V113" s="5">
        <f t="shared" si="7"/>
        <v>17113.75</v>
      </c>
      <c r="W113" s="5">
        <f t="shared" si="6"/>
        <v>41272.5</v>
      </c>
    </row>
    <row r="114" spans="1:23" ht="15.6" x14ac:dyDescent="0.3">
      <c r="A114" s="55">
        <v>37259</v>
      </c>
      <c r="B114" s="56">
        <v>1124</v>
      </c>
      <c r="C114" s="56">
        <v>5046</v>
      </c>
      <c r="D114" s="56">
        <v>633</v>
      </c>
      <c r="E114" s="56">
        <v>3534</v>
      </c>
      <c r="F114" s="56">
        <v>936</v>
      </c>
      <c r="G114" s="56">
        <v>3316</v>
      </c>
      <c r="H114" s="56">
        <v>617</v>
      </c>
      <c r="I114" s="56">
        <v>1934</v>
      </c>
      <c r="J114" s="56">
        <v>124</v>
      </c>
      <c r="K114" s="56">
        <v>800</v>
      </c>
      <c r="L114" s="56">
        <v>3433</v>
      </c>
      <c r="M114" s="56">
        <v>14630</v>
      </c>
      <c r="N114" s="56">
        <v>6830</v>
      </c>
      <c r="O114" s="56">
        <v>14456</v>
      </c>
      <c r="P114" s="56">
        <v>7739</v>
      </c>
      <c r="Q114" s="56">
        <v>12997</v>
      </c>
      <c r="R114" s="16">
        <f t="shared" si="4"/>
        <v>18002</v>
      </c>
      <c r="S114" s="16">
        <f t="shared" si="5"/>
        <v>42083</v>
      </c>
      <c r="T114" s="13" t="s">
        <v>109</v>
      </c>
      <c r="U114" s="5">
        <v>18002</v>
      </c>
      <c r="V114" s="5">
        <f t="shared" si="7"/>
        <v>16807.25</v>
      </c>
      <c r="W114" s="5">
        <f t="shared" si="6"/>
        <v>42090.25</v>
      </c>
    </row>
    <row r="115" spans="1:23" ht="15.6" x14ac:dyDescent="0.3">
      <c r="A115" s="55">
        <v>36902</v>
      </c>
      <c r="B115" s="56">
        <v>998</v>
      </c>
      <c r="C115" s="56">
        <v>6063</v>
      </c>
      <c r="D115" s="56">
        <v>259</v>
      </c>
      <c r="E115" s="56">
        <v>2933</v>
      </c>
      <c r="F115" s="56">
        <v>894</v>
      </c>
      <c r="G115" s="56">
        <v>3499</v>
      </c>
      <c r="H115" s="56">
        <v>604</v>
      </c>
      <c r="I115" s="56">
        <v>3159</v>
      </c>
      <c r="J115" s="56">
        <v>141</v>
      </c>
      <c r="K115" s="56">
        <v>778</v>
      </c>
      <c r="L115" s="56">
        <v>2896</v>
      </c>
      <c r="M115" s="56">
        <v>16433</v>
      </c>
      <c r="N115" s="56">
        <v>5936</v>
      </c>
      <c r="O115" s="56">
        <v>16826</v>
      </c>
      <c r="P115" s="56">
        <v>6140</v>
      </c>
      <c r="Q115" s="56">
        <v>12416</v>
      </c>
      <c r="R115" s="16">
        <f t="shared" si="4"/>
        <v>14972</v>
      </c>
      <c r="S115" s="16">
        <f t="shared" si="5"/>
        <v>45675</v>
      </c>
      <c r="T115" s="13" t="s">
        <v>109</v>
      </c>
      <c r="U115" s="5">
        <v>14972</v>
      </c>
      <c r="V115" s="5">
        <f t="shared" si="7"/>
        <v>16588.25</v>
      </c>
      <c r="W115" s="5">
        <f t="shared" si="6"/>
        <v>43013</v>
      </c>
    </row>
    <row r="116" spans="1:23" ht="15.6" x14ac:dyDescent="0.3">
      <c r="A116" s="55">
        <v>37266</v>
      </c>
      <c r="B116" s="56">
        <v>1003</v>
      </c>
      <c r="C116" s="56">
        <v>5279</v>
      </c>
      <c r="D116" s="56">
        <v>693</v>
      </c>
      <c r="E116" s="56">
        <v>3568</v>
      </c>
      <c r="F116" s="56">
        <v>943</v>
      </c>
      <c r="G116" s="56">
        <v>3404</v>
      </c>
      <c r="H116" s="56">
        <v>592</v>
      </c>
      <c r="I116" s="56">
        <v>1996</v>
      </c>
      <c r="J116" s="56">
        <v>124</v>
      </c>
      <c r="K116" s="56">
        <v>800</v>
      </c>
      <c r="L116" s="56">
        <v>3354</v>
      </c>
      <c r="M116" s="56">
        <v>15047</v>
      </c>
      <c r="N116" s="56">
        <v>7110</v>
      </c>
      <c r="O116" s="56">
        <v>15085</v>
      </c>
      <c r="P116" s="56">
        <v>7816</v>
      </c>
      <c r="Q116" s="56">
        <v>14078</v>
      </c>
      <c r="R116" s="16">
        <f t="shared" si="4"/>
        <v>18280</v>
      </c>
      <c r="S116" s="16">
        <f t="shared" si="5"/>
        <v>44210</v>
      </c>
      <c r="T116" s="13" t="s">
        <v>109</v>
      </c>
      <c r="U116" s="5">
        <v>18280</v>
      </c>
      <c r="V116" s="5">
        <f t="shared" si="7"/>
        <v>16498.5</v>
      </c>
      <c r="W116" s="5">
        <f t="shared" si="6"/>
        <v>43965.25</v>
      </c>
    </row>
    <row r="117" spans="1:23" ht="15.6" x14ac:dyDescent="0.3">
      <c r="A117" s="55">
        <v>36909</v>
      </c>
      <c r="B117" s="56">
        <v>1032</v>
      </c>
      <c r="C117" s="56">
        <v>6176</v>
      </c>
      <c r="D117" s="56">
        <v>424</v>
      </c>
      <c r="E117" s="56">
        <v>2983</v>
      </c>
      <c r="F117" s="56">
        <v>988</v>
      </c>
      <c r="G117" s="56">
        <v>3525</v>
      </c>
      <c r="H117" s="56">
        <v>1032</v>
      </c>
      <c r="I117" s="56">
        <v>3213</v>
      </c>
      <c r="J117" s="56">
        <v>138</v>
      </c>
      <c r="K117" s="56">
        <v>781</v>
      </c>
      <c r="L117" s="56">
        <v>3614</v>
      </c>
      <c r="M117" s="56">
        <v>16678</v>
      </c>
      <c r="N117" s="56">
        <v>6654</v>
      </c>
      <c r="O117" s="56">
        <v>17667</v>
      </c>
      <c r="P117" s="56">
        <v>6553</v>
      </c>
      <c r="Q117" s="56">
        <v>13114</v>
      </c>
      <c r="R117" s="16">
        <f t="shared" si="4"/>
        <v>16821</v>
      </c>
      <c r="S117" s="16">
        <f t="shared" si="5"/>
        <v>47459</v>
      </c>
      <c r="T117" s="13" t="s">
        <v>109</v>
      </c>
      <c r="U117" s="5">
        <v>16821</v>
      </c>
      <c r="V117" s="5">
        <f t="shared" si="7"/>
        <v>17018.75</v>
      </c>
      <c r="W117" s="5">
        <f t="shared" si="6"/>
        <v>44856.75</v>
      </c>
    </row>
    <row r="118" spans="1:23" ht="15.6" x14ac:dyDescent="0.3">
      <c r="A118" s="55">
        <v>37273</v>
      </c>
      <c r="B118" s="56">
        <v>1192</v>
      </c>
      <c r="C118" s="56">
        <v>5454</v>
      </c>
      <c r="D118" s="56">
        <v>702</v>
      </c>
      <c r="E118" s="56">
        <v>3639</v>
      </c>
      <c r="F118" s="56">
        <v>934</v>
      </c>
      <c r="G118" s="56">
        <v>3554</v>
      </c>
      <c r="H118" s="56">
        <v>595</v>
      </c>
      <c r="I118" s="56">
        <v>2057</v>
      </c>
      <c r="J118" s="56">
        <v>132</v>
      </c>
      <c r="K118" s="56">
        <v>810</v>
      </c>
      <c r="L118" s="56">
        <v>3555</v>
      </c>
      <c r="M118" s="56">
        <v>15514</v>
      </c>
      <c r="N118" s="56">
        <v>7432</v>
      </c>
      <c r="O118" s="56">
        <v>16075</v>
      </c>
      <c r="P118" s="56">
        <v>7522</v>
      </c>
      <c r="Q118" s="56">
        <v>15099</v>
      </c>
      <c r="R118" s="16">
        <f t="shared" si="4"/>
        <v>18509</v>
      </c>
      <c r="S118" s="16">
        <f t="shared" si="5"/>
        <v>46688</v>
      </c>
      <c r="T118" s="13" t="s">
        <v>110</v>
      </c>
      <c r="U118" s="5">
        <v>18509</v>
      </c>
      <c r="V118" s="5">
        <f t="shared" si="7"/>
        <v>17145.5</v>
      </c>
      <c r="W118" s="5">
        <f t="shared" si="6"/>
        <v>46008</v>
      </c>
    </row>
    <row r="119" spans="1:23" ht="15.6" x14ac:dyDescent="0.3">
      <c r="A119" s="55">
        <v>36916</v>
      </c>
      <c r="B119" s="56">
        <v>1107</v>
      </c>
      <c r="C119" s="56">
        <v>6332</v>
      </c>
      <c r="D119" s="56">
        <v>454</v>
      </c>
      <c r="E119" s="56">
        <v>3030</v>
      </c>
      <c r="F119" s="56">
        <v>973</v>
      </c>
      <c r="G119" s="56">
        <v>3642</v>
      </c>
      <c r="H119" s="56">
        <v>981</v>
      </c>
      <c r="I119" s="56">
        <v>3324</v>
      </c>
      <c r="J119" s="56">
        <v>140</v>
      </c>
      <c r="K119" s="56">
        <v>807</v>
      </c>
      <c r="L119" s="56">
        <v>3654</v>
      </c>
      <c r="M119" s="56">
        <v>17133</v>
      </c>
      <c r="N119" s="56">
        <v>7071</v>
      </c>
      <c r="O119" s="56">
        <v>18382</v>
      </c>
      <c r="P119" s="56">
        <v>6446</v>
      </c>
      <c r="Q119" s="56">
        <v>13996</v>
      </c>
      <c r="R119" s="16">
        <f t="shared" si="4"/>
        <v>17171</v>
      </c>
      <c r="S119" s="16">
        <f t="shared" si="5"/>
        <v>49511</v>
      </c>
      <c r="T119" s="13" t="s">
        <v>110</v>
      </c>
      <c r="U119" s="5">
        <v>17171</v>
      </c>
      <c r="V119" s="5">
        <f t="shared" si="7"/>
        <v>17695.25</v>
      </c>
      <c r="W119" s="5">
        <f t="shared" si="6"/>
        <v>46967</v>
      </c>
    </row>
    <row r="120" spans="1:23" ht="15.6" x14ac:dyDescent="0.3">
      <c r="A120" s="55">
        <v>37280</v>
      </c>
      <c r="B120" s="56">
        <v>1357</v>
      </c>
      <c r="C120" s="56">
        <v>5543</v>
      </c>
      <c r="D120" s="56">
        <v>675</v>
      </c>
      <c r="E120" s="56">
        <v>3731</v>
      </c>
      <c r="F120" s="56">
        <v>963</v>
      </c>
      <c r="G120" s="56">
        <v>3636</v>
      </c>
      <c r="H120" s="56">
        <v>505</v>
      </c>
      <c r="I120" s="56">
        <v>2212</v>
      </c>
      <c r="J120" s="56">
        <v>181</v>
      </c>
      <c r="K120" s="56">
        <v>812</v>
      </c>
      <c r="L120" s="56">
        <v>3681</v>
      </c>
      <c r="M120" s="56">
        <v>15932</v>
      </c>
      <c r="N120" s="56">
        <v>7415</v>
      </c>
      <c r="O120" s="56">
        <v>16841</v>
      </c>
      <c r="P120" s="56">
        <v>7306</v>
      </c>
      <c r="Q120" s="56">
        <v>16026</v>
      </c>
      <c r="R120" s="16">
        <f t="shared" si="4"/>
        <v>18402</v>
      </c>
      <c r="S120" s="16">
        <f t="shared" si="5"/>
        <v>48799</v>
      </c>
      <c r="T120" s="13" t="s">
        <v>110</v>
      </c>
      <c r="U120" s="5">
        <v>18402</v>
      </c>
      <c r="V120" s="5">
        <f t="shared" si="7"/>
        <v>17725.75</v>
      </c>
      <c r="W120" s="5">
        <f t="shared" si="6"/>
        <v>48114.25</v>
      </c>
    </row>
    <row r="121" spans="1:23" ht="15.6" x14ac:dyDescent="0.3">
      <c r="A121" s="55">
        <v>36923</v>
      </c>
      <c r="B121" s="56">
        <v>1363</v>
      </c>
      <c r="C121" s="56">
        <v>6428</v>
      </c>
      <c r="D121" s="56">
        <v>543</v>
      </c>
      <c r="E121" s="56">
        <v>3092</v>
      </c>
      <c r="F121" s="56">
        <v>966</v>
      </c>
      <c r="G121" s="56">
        <v>3771</v>
      </c>
      <c r="H121" s="56">
        <v>960</v>
      </c>
      <c r="I121" s="56">
        <v>3390</v>
      </c>
      <c r="J121" s="56">
        <v>128</v>
      </c>
      <c r="K121" s="56">
        <v>839</v>
      </c>
      <c r="L121" s="56">
        <v>3960</v>
      </c>
      <c r="M121" s="56">
        <v>17521</v>
      </c>
      <c r="N121" s="56">
        <v>7569</v>
      </c>
      <c r="O121" s="56">
        <v>18913</v>
      </c>
      <c r="P121" s="56">
        <v>6703</v>
      </c>
      <c r="Q121" s="56">
        <v>14541</v>
      </c>
      <c r="R121" s="16">
        <f t="shared" si="4"/>
        <v>18232</v>
      </c>
      <c r="S121" s="16">
        <f t="shared" si="5"/>
        <v>50975</v>
      </c>
      <c r="T121" s="13" t="s">
        <v>110</v>
      </c>
      <c r="U121" s="5">
        <v>18232</v>
      </c>
      <c r="V121" s="5">
        <f t="shared" si="7"/>
        <v>18078.5</v>
      </c>
      <c r="W121" s="5">
        <f t="shared" si="6"/>
        <v>48993.25</v>
      </c>
    </row>
    <row r="122" spans="1:23" ht="15.6" x14ac:dyDescent="0.3">
      <c r="A122" s="55">
        <v>37287</v>
      </c>
      <c r="B122" s="56">
        <v>1324</v>
      </c>
      <c r="C122" s="56">
        <v>5764</v>
      </c>
      <c r="D122" s="56">
        <v>826</v>
      </c>
      <c r="E122" s="56">
        <v>3794</v>
      </c>
      <c r="F122" s="56">
        <v>878</v>
      </c>
      <c r="G122" s="56">
        <v>3827</v>
      </c>
      <c r="H122" s="56">
        <v>525</v>
      </c>
      <c r="I122" s="56">
        <v>2222</v>
      </c>
      <c r="J122" s="56">
        <v>205</v>
      </c>
      <c r="K122" s="56">
        <v>812</v>
      </c>
      <c r="L122" s="56">
        <v>3759</v>
      </c>
      <c r="M122" s="56">
        <v>16418</v>
      </c>
      <c r="N122" s="56">
        <v>7944</v>
      </c>
      <c r="O122" s="56">
        <v>17695</v>
      </c>
      <c r="P122" s="56">
        <v>6514</v>
      </c>
      <c r="Q122" s="56">
        <v>17182</v>
      </c>
      <c r="R122" s="16">
        <f t="shared" si="4"/>
        <v>18217</v>
      </c>
      <c r="S122" s="16">
        <f t="shared" si="5"/>
        <v>51295</v>
      </c>
      <c r="T122" s="13" t="s">
        <v>111</v>
      </c>
      <c r="U122" s="5">
        <v>18217</v>
      </c>
      <c r="V122" s="5">
        <f t="shared" si="7"/>
        <v>18005.5</v>
      </c>
      <c r="W122" s="5">
        <f t="shared" si="6"/>
        <v>50145</v>
      </c>
    </row>
    <row r="123" spans="1:23" ht="15.6" x14ac:dyDescent="0.3">
      <c r="A123" s="55">
        <v>36930</v>
      </c>
      <c r="B123" s="56">
        <v>1291</v>
      </c>
      <c r="C123" s="56">
        <v>6665</v>
      </c>
      <c r="D123" s="56">
        <v>509</v>
      </c>
      <c r="E123" s="56">
        <v>3185</v>
      </c>
      <c r="F123" s="56">
        <v>933</v>
      </c>
      <c r="G123" s="56">
        <v>3936</v>
      </c>
      <c r="H123" s="56">
        <v>975</v>
      </c>
      <c r="I123" s="56">
        <v>3507</v>
      </c>
      <c r="J123" s="56">
        <v>124</v>
      </c>
      <c r="K123" s="56">
        <v>842</v>
      </c>
      <c r="L123" s="56">
        <v>3833</v>
      </c>
      <c r="M123" s="56">
        <v>18134</v>
      </c>
      <c r="N123" s="56">
        <v>7585</v>
      </c>
      <c r="O123" s="56">
        <v>20052</v>
      </c>
      <c r="P123" s="56">
        <v>6480</v>
      </c>
      <c r="Q123" s="56">
        <v>15502</v>
      </c>
      <c r="R123" s="16">
        <f t="shared" si="4"/>
        <v>17898</v>
      </c>
      <c r="S123" s="16">
        <f t="shared" si="5"/>
        <v>53688</v>
      </c>
      <c r="T123" s="13" t="s">
        <v>111</v>
      </c>
      <c r="U123" s="5">
        <v>17898</v>
      </c>
      <c r="V123" s="5">
        <f t="shared" si="7"/>
        <v>18187.25</v>
      </c>
      <c r="W123" s="5">
        <f t="shared" si="6"/>
        <v>51189.25</v>
      </c>
    </row>
    <row r="124" spans="1:23" ht="15.6" x14ac:dyDescent="0.3">
      <c r="A124" s="55">
        <v>37294</v>
      </c>
      <c r="B124" s="56">
        <v>1284</v>
      </c>
      <c r="C124" s="56">
        <v>5907</v>
      </c>
      <c r="D124" s="56">
        <v>794</v>
      </c>
      <c r="E124" s="56">
        <v>3900</v>
      </c>
      <c r="F124" s="56">
        <v>917</v>
      </c>
      <c r="G124" s="56">
        <v>3917</v>
      </c>
      <c r="H124" s="56">
        <v>583</v>
      </c>
      <c r="I124" s="56">
        <v>2289</v>
      </c>
      <c r="J124" s="56">
        <v>186</v>
      </c>
      <c r="K124" s="56">
        <v>838</v>
      </c>
      <c r="L124" s="56">
        <v>3764</v>
      </c>
      <c r="M124" s="56">
        <v>16852</v>
      </c>
      <c r="N124" s="56">
        <v>8339</v>
      </c>
      <c r="O124" s="56">
        <v>18286</v>
      </c>
      <c r="P124" s="56">
        <v>5909</v>
      </c>
      <c r="Q124" s="56">
        <v>17845</v>
      </c>
      <c r="R124" s="16">
        <f t="shared" si="4"/>
        <v>18012</v>
      </c>
      <c r="S124" s="16">
        <f t="shared" si="5"/>
        <v>52983</v>
      </c>
      <c r="T124" s="13" t="s">
        <v>111</v>
      </c>
      <c r="U124" s="5">
        <v>18012</v>
      </c>
      <c r="V124" s="5">
        <f t="shared" si="7"/>
        <v>18089.75</v>
      </c>
      <c r="W124" s="5">
        <f t="shared" si="6"/>
        <v>52235.25</v>
      </c>
    </row>
    <row r="125" spans="1:23" ht="15.6" x14ac:dyDescent="0.3">
      <c r="A125" s="55">
        <v>36937</v>
      </c>
      <c r="B125" s="56">
        <v>1260</v>
      </c>
      <c r="C125" s="56">
        <v>6815</v>
      </c>
      <c r="D125" s="56">
        <v>482</v>
      </c>
      <c r="E125" s="56">
        <v>3285</v>
      </c>
      <c r="F125" s="56">
        <v>870</v>
      </c>
      <c r="G125" s="56">
        <v>4048</v>
      </c>
      <c r="H125" s="56">
        <v>902</v>
      </c>
      <c r="I125" s="56">
        <v>3595</v>
      </c>
      <c r="J125" s="56">
        <v>163</v>
      </c>
      <c r="K125" s="56">
        <v>842</v>
      </c>
      <c r="L125" s="56">
        <v>3677</v>
      </c>
      <c r="M125" s="56">
        <v>18585</v>
      </c>
      <c r="N125" s="56">
        <v>7576</v>
      </c>
      <c r="O125" s="56">
        <v>20817</v>
      </c>
      <c r="P125" s="56">
        <v>6260</v>
      </c>
      <c r="Q125" s="56">
        <v>16291</v>
      </c>
      <c r="R125" s="16">
        <f t="shared" si="4"/>
        <v>17513</v>
      </c>
      <c r="S125" s="16">
        <f t="shared" si="5"/>
        <v>55693</v>
      </c>
      <c r="T125" s="13" t="s">
        <v>111</v>
      </c>
      <c r="U125" s="5">
        <v>17513</v>
      </c>
      <c r="V125" s="5">
        <f t="shared" si="7"/>
        <v>17910</v>
      </c>
      <c r="W125" s="5">
        <f t="shared" si="6"/>
        <v>53414.75</v>
      </c>
    </row>
    <row r="126" spans="1:23" ht="15.6" x14ac:dyDescent="0.3">
      <c r="A126" s="55">
        <v>37301</v>
      </c>
      <c r="B126" s="56">
        <v>1310</v>
      </c>
      <c r="C126" s="56">
        <v>6053</v>
      </c>
      <c r="D126" s="56">
        <v>753</v>
      </c>
      <c r="E126" s="56">
        <v>3982</v>
      </c>
      <c r="F126" s="56">
        <v>890</v>
      </c>
      <c r="G126" s="56">
        <v>3998</v>
      </c>
      <c r="H126" s="56">
        <v>545</v>
      </c>
      <c r="I126" s="56">
        <v>2357</v>
      </c>
      <c r="J126" s="56">
        <v>169</v>
      </c>
      <c r="K126" s="56">
        <v>887</v>
      </c>
      <c r="L126" s="56">
        <v>3668</v>
      </c>
      <c r="M126" s="56">
        <v>17277</v>
      </c>
      <c r="N126" s="56">
        <v>8530</v>
      </c>
      <c r="O126" s="56">
        <v>19260</v>
      </c>
      <c r="P126" s="56">
        <v>5058</v>
      </c>
      <c r="Q126" s="56">
        <v>19090</v>
      </c>
      <c r="R126" s="16">
        <f t="shared" si="4"/>
        <v>17256</v>
      </c>
      <c r="S126" s="16">
        <f t="shared" si="5"/>
        <v>55627</v>
      </c>
      <c r="T126" s="13" t="s">
        <v>112</v>
      </c>
      <c r="U126" s="5">
        <v>17256</v>
      </c>
      <c r="V126" s="5">
        <f t="shared" si="7"/>
        <v>17669.75</v>
      </c>
      <c r="W126" s="5">
        <f t="shared" si="6"/>
        <v>54497.75</v>
      </c>
    </row>
    <row r="127" spans="1:23" ht="15.6" x14ac:dyDescent="0.3">
      <c r="A127" s="55">
        <v>36944</v>
      </c>
      <c r="B127" s="56">
        <v>1176</v>
      </c>
      <c r="C127" s="56">
        <v>7056</v>
      </c>
      <c r="D127" s="56">
        <v>404</v>
      </c>
      <c r="E127" s="56">
        <v>3417</v>
      </c>
      <c r="F127" s="56">
        <v>866</v>
      </c>
      <c r="G127" s="56">
        <v>4229</v>
      </c>
      <c r="H127" s="56">
        <v>941</v>
      </c>
      <c r="I127" s="56">
        <v>3737</v>
      </c>
      <c r="J127" s="56">
        <v>174</v>
      </c>
      <c r="K127" s="56">
        <v>867</v>
      </c>
      <c r="L127" s="56">
        <v>3560</v>
      </c>
      <c r="M127" s="56">
        <v>19305</v>
      </c>
      <c r="N127" s="56">
        <v>7303</v>
      </c>
      <c r="O127" s="56">
        <v>21745</v>
      </c>
      <c r="P127" s="56">
        <v>5753</v>
      </c>
      <c r="Q127" s="56">
        <v>17305</v>
      </c>
      <c r="R127" s="16">
        <f t="shared" si="4"/>
        <v>16616</v>
      </c>
      <c r="S127" s="16">
        <f t="shared" si="5"/>
        <v>58355</v>
      </c>
      <c r="T127" s="13" t="s">
        <v>112</v>
      </c>
      <c r="U127" s="5">
        <v>16616</v>
      </c>
      <c r="V127" s="5">
        <f t="shared" si="7"/>
        <v>17349.25</v>
      </c>
      <c r="W127" s="5">
        <f t="shared" si="6"/>
        <v>55664.5</v>
      </c>
    </row>
    <row r="128" spans="1:23" ht="15.6" x14ac:dyDescent="0.3">
      <c r="A128" s="55">
        <v>37308</v>
      </c>
      <c r="B128" s="56">
        <v>1204</v>
      </c>
      <c r="C128" s="56">
        <v>6266</v>
      </c>
      <c r="D128" s="56">
        <v>733</v>
      </c>
      <c r="E128" s="56">
        <v>4070</v>
      </c>
      <c r="F128" s="56">
        <v>839</v>
      </c>
      <c r="G128" s="56">
        <v>4062</v>
      </c>
      <c r="H128" s="56">
        <v>485</v>
      </c>
      <c r="I128" s="56">
        <v>2417</v>
      </c>
      <c r="J128" s="56">
        <v>139</v>
      </c>
      <c r="K128" s="56">
        <v>951</v>
      </c>
      <c r="L128" s="56">
        <v>3400</v>
      </c>
      <c r="M128" s="56">
        <v>17767</v>
      </c>
      <c r="N128" s="56">
        <v>8410</v>
      </c>
      <c r="O128" s="56">
        <v>20187</v>
      </c>
      <c r="P128" s="56">
        <v>4625</v>
      </c>
      <c r="Q128" s="56">
        <v>20235</v>
      </c>
      <c r="R128" s="16">
        <f t="shared" si="4"/>
        <v>16435</v>
      </c>
      <c r="S128" s="16">
        <f t="shared" si="5"/>
        <v>58189</v>
      </c>
      <c r="T128" s="13" t="s">
        <v>112</v>
      </c>
      <c r="U128" s="5">
        <v>16435</v>
      </c>
      <c r="V128" s="5">
        <f t="shared" si="7"/>
        <v>16955</v>
      </c>
      <c r="W128" s="5">
        <f t="shared" si="6"/>
        <v>56966</v>
      </c>
    </row>
    <row r="129" spans="1:23" ht="15.6" x14ac:dyDescent="0.3">
      <c r="A129" s="55">
        <v>36951</v>
      </c>
      <c r="B129" s="56">
        <v>1204</v>
      </c>
      <c r="C129" s="56">
        <v>7191</v>
      </c>
      <c r="D129" s="56">
        <v>387</v>
      </c>
      <c r="E129" s="56">
        <v>3558</v>
      </c>
      <c r="F129" s="56">
        <v>847</v>
      </c>
      <c r="G129" s="56">
        <v>4313</v>
      </c>
      <c r="H129" s="56">
        <v>910</v>
      </c>
      <c r="I129" s="56">
        <v>3862</v>
      </c>
      <c r="J129" s="56">
        <v>182</v>
      </c>
      <c r="K129" s="56">
        <v>868</v>
      </c>
      <c r="L129" s="56">
        <v>3530</v>
      </c>
      <c r="M129" s="56">
        <v>19792</v>
      </c>
      <c r="N129" s="56">
        <v>7415</v>
      </c>
      <c r="O129" s="56">
        <v>22492</v>
      </c>
      <c r="P129" s="56">
        <v>5129</v>
      </c>
      <c r="Q129" s="56">
        <v>18173</v>
      </c>
      <c r="R129" s="16">
        <f t="shared" si="4"/>
        <v>16074</v>
      </c>
      <c r="S129" s="16">
        <f t="shared" si="5"/>
        <v>60457</v>
      </c>
      <c r="T129" s="13" t="s">
        <v>112</v>
      </c>
      <c r="U129" s="5">
        <v>16074</v>
      </c>
      <c r="V129" s="5">
        <f t="shared" si="7"/>
        <v>16595.25</v>
      </c>
      <c r="W129" s="5">
        <f t="shared" si="6"/>
        <v>58157</v>
      </c>
    </row>
    <row r="130" spans="1:23" ht="15.6" x14ac:dyDescent="0.3">
      <c r="A130" s="55">
        <v>37315</v>
      </c>
      <c r="B130" s="56">
        <v>1283</v>
      </c>
      <c r="C130" s="56">
        <v>6418</v>
      </c>
      <c r="D130" s="56">
        <v>661</v>
      </c>
      <c r="E130" s="56">
        <v>4159</v>
      </c>
      <c r="F130" s="56">
        <v>826</v>
      </c>
      <c r="G130" s="56">
        <v>4179</v>
      </c>
      <c r="H130" s="56">
        <v>447</v>
      </c>
      <c r="I130" s="56">
        <v>2477</v>
      </c>
      <c r="J130" s="56">
        <v>173</v>
      </c>
      <c r="K130" s="56">
        <v>960</v>
      </c>
      <c r="L130" s="56">
        <v>3391</v>
      </c>
      <c r="M130" s="56">
        <v>18194</v>
      </c>
      <c r="N130" s="56">
        <v>7285</v>
      </c>
      <c r="O130" s="56">
        <v>21710</v>
      </c>
      <c r="P130" s="56">
        <v>4108</v>
      </c>
      <c r="Q130" s="56">
        <v>20619</v>
      </c>
      <c r="R130" s="16">
        <f t="shared" si="4"/>
        <v>14784</v>
      </c>
      <c r="S130" s="16">
        <f t="shared" si="5"/>
        <v>60523</v>
      </c>
      <c r="T130" s="13" t="s">
        <v>113</v>
      </c>
      <c r="U130" s="5">
        <v>14784</v>
      </c>
      <c r="V130" s="5">
        <f t="shared" si="7"/>
        <v>15977.25</v>
      </c>
      <c r="W130" s="5">
        <f t="shared" si="6"/>
        <v>59381</v>
      </c>
    </row>
    <row r="131" spans="1:23" ht="15.6" x14ac:dyDescent="0.3">
      <c r="A131" s="55">
        <v>36958</v>
      </c>
      <c r="B131" s="56">
        <v>1075</v>
      </c>
      <c r="C131" s="56">
        <v>7404</v>
      </c>
      <c r="D131" s="56">
        <v>399</v>
      </c>
      <c r="E131" s="56">
        <v>3619</v>
      </c>
      <c r="F131" s="56">
        <v>899</v>
      </c>
      <c r="G131" s="56">
        <v>4414</v>
      </c>
      <c r="H131" s="56">
        <v>798</v>
      </c>
      <c r="I131" s="56">
        <v>4035</v>
      </c>
      <c r="J131" s="56">
        <v>195</v>
      </c>
      <c r="K131" s="56">
        <v>874</v>
      </c>
      <c r="L131" s="56">
        <v>3365</v>
      </c>
      <c r="M131" s="56">
        <v>20346</v>
      </c>
      <c r="N131" s="56">
        <v>7488</v>
      </c>
      <c r="O131" s="56">
        <v>23341</v>
      </c>
      <c r="P131" s="56">
        <v>4733</v>
      </c>
      <c r="Q131" s="56">
        <v>19089</v>
      </c>
      <c r="R131" s="16">
        <f t="shared" si="4"/>
        <v>15586</v>
      </c>
      <c r="S131" s="16">
        <f t="shared" si="5"/>
        <v>62776</v>
      </c>
      <c r="T131" s="13" t="s">
        <v>113</v>
      </c>
      <c r="U131" s="5">
        <v>15586</v>
      </c>
      <c r="V131" s="5">
        <f t="shared" si="7"/>
        <v>15719.75</v>
      </c>
      <c r="W131" s="5">
        <f t="shared" si="6"/>
        <v>60486.25</v>
      </c>
    </row>
    <row r="132" spans="1:23" ht="15.6" x14ac:dyDescent="0.3">
      <c r="A132" s="55">
        <v>37322</v>
      </c>
      <c r="B132" s="56">
        <v>1266</v>
      </c>
      <c r="C132" s="56">
        <v>6538</v>
      </c>
      <c r="D132" s="56">
        <v>710</v>
      </c>
      <c r="E132" s="56">
        <v>4285</v>
      </c>
      <c r="F132" s="56">
        <v>744</v>
      </c>
      <c r="G132" s="56">
        <v>4280</v>
      </c>
      <c r="H132" s="56">
        <v>382</v>
      </c>
      <c r="I132" s="56">
        <v>2569</v>
      </c>
      <c r="J132" s="56">
        <v>129</v>
      </c>
      <c r="K132" s="56">
        <v>994</v>
      </c>
      <c r="L132" s="56">
        <v>3231</v>
      </c>
      <c r="M132" s="56">
        <v>18666</v>
      </c>
      <c r="N132" s="56">
        <v>7338</v>
      </c>
      <c r="O132" s="56">
        <v>22701</v>
      </c>
      <c r="P132" s="56">
        <v>3610</v>
      </c>
      <c r="Q132" s="56">
        <v>21247</v>
      </c>
      <c r="R132" s="16">
        <f t="shared" si="4"/>
        <v>14179</v>
      </c>
      <c r="S132" s="16">
        <f t="shared" si="5"/>
        <v>62614</v>
      </c>
      <c r="T132" s="13" t="s">
        <v>113</v>
      </c>
      <c r="U132" s="5">
        <v>14179</v>
      </c>
      <c r="V132" s="5">
        <f t="shared" si="7"/>
        <v>15155.75</v>
      </c>
      <c r="W132" s="5">
        <f t="shared" si="6"/>
        <v>61592.5</v>
      </c>
    </row>
    <row r="133" spans="1:23" ht="15.6" x14ac:dyDescent="0.3">
      <c r="A133" s="55">
        <v>36965</v>
      </c>
      <c r="B133" s="56">
        <v>1121</v>
      </c>
      <c r="C133" s="56">
        <v>7517</v>
      </c>
      <c r="D133" s="56">
        <v>387</v>
      </c>
      <c r="E133" s="56">
        <v>3654</v>
      </c>
      <c r="F133" s="56">
        <v>1012</v>
      </c>
      <c r="G133" s="56">
        <v>4485</v>
      </c>
      <c r="H133" s="56">
        <v>845</v>
      </c>
      <c r="I133" s="56">
        <v>4073</v>
      </c>
      <c r="J133" s="56">
        <v>261</v>
      </c>
      <c r="K133" s="56">
        <v>878</v>
      </c>
      <c r="L133" s="56">
        <v>3626</v>
      </c>
      <c r="M133" s="56">
        <v>20606</v>
      </c>
      <c r="N133" s="56">
        <v>7315</v>
      </c>
      <c r="O133" s="56">
        <v>24160</v>
      </c>
      <c r="P133" s="56">
        <v>4168</v>
      </c>
      <c r="Q133" s="56">
        <v>19950</v>
      </c>
      <c r="R133" s="16">
        <f t="shared" si="4"/>
        <v>15109</v>
      </c>
      <c r="S133" s="16">
        <f t="shared" si="5"/>
        <v>64716</v>
      </c>
      <c r="T133" s="13" t="s">
        <v>113</v>
      </c>
      <c r="U133" s="5">
        <v>15109</v>
      </c>
      <c r="V133" s="5">
        <f t="shared" si="7"/>
        <v>14914.5</v>
      </c>
      <c r="W133" s="5">
        <f t="shared" si="6"/>
        <v>62657.25</v>
      </c>
    </row>
    <row r="134" spans="1:23" ht="15.6" x14ac:dyDescent="0.3">
      <c r="A134" s="55">
        <v>37329</v>
      </c>
      <c r="B134" s="56">
        <v>1388</v>
      </c>
      <c r="C134" s="56">
        <v>6718</v>
      </c>
      <c r="D134" s="56">
        <v>648</v>
      </c>
      <c r="E134" s="56">
        <v>4398</v>
      </c>
      <c r="F134" s="56">
        <v>807</v>
      </c>
      <c r="G134" s="56">
        <v>4368</v>
      </c>
      <c r="H134" s="56">
        <v>412</v>
      </c>
      <c r="I134" s="56">
        <v>2605</v>
      </c>
      <c r="J134" s="56">
        <v>129</v>
      </c>
      <c r="K134" s="56">
        <v>1001</v>
      </c>
      <c r="L134" s="56">
        <v>3383</v>
      </c>
      <c r="M134" s="56">
        <v>19090</v>
      </c>
      <c r="N134" s="56">
        <v>7283</v>
      </c>
      <c r="O134" s="56">
        <v>23849</v>
      </c>
      <c r="P134" s="56">
        <v>2955</v>
      </c>
      <c r="Q134" s="56">
        <v>22119</v>
      </c>
      <c r="R134" s="16">
        <f t="shared" si="4"/>
        <v>13621</v>
      </c>
      <c r="S134" s="16">
        <f t="shared" si="5"/>
        <v>65058</v>
      </c>
      <c r="T134" s="13" t="s">
        <v>113</v>
      </c>
      <c r="U134" s="5">
        <v>13621</v>
      </c>
      <c r="V134" s="5">
        <f t="shared" si="7"/>
        <v>14623.75</v>
      </c>
      <c r="W134" s="5">
        <f t="shared" si="6"/>
        <v>63791</v>
      </c>
    </row>
    <row r="135" spans="1:23" ht="15.6" x14ac:dyDescent="0.3">
      <c r="A135" s="55">
        <v>36972</v>
      </c>
      <c r="B135" s="56">
        <v>1182</v>
      </c>
      <c r="C135" s="56">
        <v>7626</v>
      </c>
      <c r="D135" s="56">
        <v>471</v>
      </c>
      <c r="E135" s="56">
        <v>3676</v>
      </c>
      <c r="F135" s="56">
        <v>1092</v>
      </c>
      <c r="G135" s="56">
        <v>4523</v>
      </c>
      <c r="H135" s="56">
        <v>859</v>
      </c>
      <c r="I135" s="56">
        <v>4136</v>
      </c>
      <c r="J135" s="56">
        <v>275</v>
      </c>
      <c r="K135" s="56">
        <v>905</v>
      </c>
      <c r="L135" s="56">
        <v>3878</v>
      </c>
      <c r="M135" s="56">
        <v>20866</v>
      </c>
      <c r="N135" s="56">
        <v>6439</v>
      </c>
      <c r="O135" s="56">
        <v>25448</v>
      </c>
      <c r="P135" s="56">
        <v>3453</v>
      </c>
      <c r="Q135" s="56">
        <v>20900</v>
      </c>
      <c r="R135" s="16">
        <f t="shared" si="4"/>
        <v>13770</v>
      </c>
      <c r="S135" s="16">
        <f t="shared" si="5"/>
        <v>67214</v>
      </c>
      <c r="T135" s="13" t="s">
        <v>114</v>
      </c>
      <c r="U135" s="5">
        <v>13770</v>
      </c>
      <c r="V135" s="5">
        <f t="shared" si="7"/>
        <v>14169.75</v>
      </c>
      <c r="W135" s="5">
        <f t="shared" si="6"/>
        <v>64900.5</v>
      </c>
    </row>
    <row r="136" spans="1:23" ht="15.6" x14ac:dyDescent="0.3">
      <c r="A136" s="55">
        <v>37336</v>
      </c>
      <c r="B136" s="56">
        <v>1290</v>
      </c>
      <c r="C136" s="56">
        <v>6985</v>
      </c>
      <c r="D136" s="56">
        <v>878</v>
      </c>
      <c r="E136" s="56">
        <v>4533</v>
      </c>
      <c r="F136" s="56">
        <v>712</v>
      </c>
      <c r="G136" s="56">
        <v>4499</v>
      </c>
      <c r="H136" s="56">
        <v>449</v>
      </c>
      <c r="I136" s="56">
        <v>2616</v>
      </c>
      <c r="J136" s="56">
        <v>122</v>
      </c>
      <c r="K136" s="56">
        <v>1006</v>
      </c>
      <c r="L136" s="56">
        <v>3450</v>
      </c>
      <c r="M136" s="56">
        <v>19639</v>
      </c>
      <c r="N136" s="56">
        <v>7090</v>
      </c>
      <c r="O136" s="56">
        <v>24831</v>
      </c>
      <c r="P136" s="56">
        <v>2736</v>
      </c>
      <c r="Q136" s="56">
        <v>22585</v>
      </c>
      <c r="R136" s="16">
        <f t="shared" ref="R136:R199" si="8">L136+N136+P136</f>
        <v>13276</v>
      </c>
      <c r="S136" s="16">
        <f t="shared" ref="S136:S199" si="9">M136+O136+Q136</f>
        <v>67055</v>
      </c>
      <c r="T136" s="13" t="s">
        <v>114</v>
      </c>
      <c r="U136" s="5">
        <v>13276</v>
      </c>
      <c r="V136" s="5">
        <f t="shared" si="7"/>
        <v>13944</v>
      </c>
      <c r="W136" s="5">
        <f t="shared" si="6"/>
        <v>66010.75</v>
      </c>
    </row>
    <row r="137" spans="1:23" ht="15.6" x14ac:dyDescent="0.3">
      <c r="A137" s="55">
        <v>36979</v>
      </c>
      <c r="B137" s="56">
        <v>1184</v>
      </c>
      <c r="C137" s="56">
        <v>7715</v>
      </c>
      <c r="D137" s="56">
        <v>452</v>
      </c>
      <c r="E137" s="56">
        <v>3730</v>
      </c>
      <c r="F137" s="56">
        <v>1000</v>
      </c>
      <c r="G137" s="56">
        <v>4693</v>
      </c>
      <c r="H137" s="56">
        <v>721</v>
      </c>
      <c r="I137" s="56">
        <v>4306</v>
      </c>
      <c r="J137" s="56">
        <v>281</v>
      </c>
      <c r="K137" s="56">
        <v>933</v>
      </c>
      <c r="L137" s="56">
        <v>3638</v>
      </c>
      <c r="M137" s="56">
        <v>21376</v>
      </c>
      <c r="N137" s="56">
        <v>6338</v>
      </c>
      <c r="O137" s="56">
        <v>26635</v>
      </c>
      <c r="P137" s="56">
        <v>2907</v>
      </c>
      <c r="Q137" s="56">
        <v>21620</v>
      </c>
      <c r="R137" s="16">
        <f t="shared" si="8"/>
        <v>12883</v>
      </c>
      <c r="S137" s="16">
        <f t="shared" si="9"/>
        <v>69631</v>
      </c>
      <c r="T137" s="13" t="s">
        <v>114</v>
      </c>
      <c r="U137" s="5">
        <v>12883</v>
      </c>
      <c r="V137" s="5">
        <f t="shared" si="7"/>
        <v>13387.5</v>
      </c>
      <c r="W137" s="5">
        <f t="shared" si="6"/>
        <v>67239.5</v>
      </c>
    </row>
    <row r="138" spans="1:23" ht="15.6" x14ac:dyDescent="0.3">
      <c r="A138" s="55">
        <v>37343</v>
      </c>
      <c r="B138" s="56">
        <v>1213</v>
      </c>
      <c r="C138" s="56">
        <v>7140</v>
      </c>
      <c r="D138" s="56">
        <v>829</v>
      </c>
      <c r="E138" s="56">
        <v>4593</v>
      </c>
      <c r="F138" s="56">
        <v>712</v>
      </c>
      <c r="G138" s="56">
        <v>4589</v>
      </c>
      <c r="H138" s="56">
        <v>454</v>
      </c>
      <c r="I138" s="56">
        <v>2658</v>
      </c>
      <c r="J138" s="56">
        <v>122</v>
      </c>
      <c r="K138" s="56">
        <v>1006</v>
      </c>
      <c r="L138" s="56">
        <v>3329</v>
      </c>
      <c r="M138" s="56">
        <v>19986</v>
      </c>
      <c r="N138" s="56">
        <v>6788</v>
      </c>
      <c r="O138" s="56">
        <v>26090</v>
      </c>
      <c r="P138" s="56">
        <v>2405</v>
      </c>
      <c r="Q138" s="56">
        <v>22996</v>
      </c>
      <c r="R138" s="16">
        <f t="shared" si="8"/>
        <v>12522</v>
      </c>
      <c r="S138" s="16">
        <f t="shared" si="9"/>
        <v>69072</v>
      </c>
      <c r="T138" s="13" t="s">
        <v>114</v>
      </c>
      <c r="U138" s="5">
        <v>12522</v>
      </c>
      <c r="V138" s="5">
        <f t="shared" si="7"/>
        <v>13112.75</v>
      </c>
      <c r="W138" s="5">
        <f t="shared" si="6"/>
        <v>68243</v>
      </c>
    </row>
    <row r="139" spans="1:23" ht="15.6" x14ac:dyDescent="0.3">
      <c r="A139" s="55">
        <v>36986</v>
      </c>
      <c r="B139" s="56">
        <v>1132</v>
      </c>
      <c r="C139" s="56">
        <v>7903</v>
      </c>
      <c r="D139" s="56">
        <v>499</v>
      </c>
      <c r="E139" s="56">
        <v>3802</v>
      </c>
      <c r="F139" s="56">
        <v>910</v>
      </c>
      <c r="G139" s="56">
        <v>4819</v>
      </c>
      <c r="H139" s="56">
        <v>605</v>
      </c>
      <c r="I139" s="56">
        <v>4462</v>
      </c>
      <c r="J139" s="56">
        <v>268</v>
      </c>
      <c r="K139" s="56">
        <v>954</v>
      </c>
      <c r="L139" s="56">
        <v>3415</v>
      </c>
      <c r="M139" s="56">
        <v>21940</v>
      </c>
      <c r="N139" s="56">
        <v>5618</v>
      </c>
      <c r="O139" s="56">
        <v>27834</v>
      </c>
      <c r="P139" s="56">
        <v>2477</v>
      </c>
      <c r="Q139" s="56">
        <v>22284</v>
      </c>
      <c r="R139" s="16">
        <f t="shared" si="8"/>
        <v>11510</v>
      </c>
      <c r="S139" s="16">
        <f t="shared" si="9"/>
        <v>72058</v>
      </c>
      <c r="T139" s="13" t="s">
        <v>115</v>
      </c>
      <c r="U139" s="5">
        <v>11510</v>
      </c>
      <c r="V139" s="5">
        <f t="shared" si="7"/>
        <v>12547.75</v>
      </c>
      <c r="W139" s="5">
        <f t="shared" ref="W139:W202" si="10">AVERAGE(S136:S139)</f>
        <v>69454</v>
      </c>
    </row>
    <row r="140" spans="1:23" ht="15.6" x14ac:dyDescent="0.3">
      <c r="A140" s="55">
        <v>37350</v>
      </c>
      <c r="B140" s="56">
        <v>1118</v>
      </c>
      <c r="C140" s="56">
        <v>7302</v>
      </c>
      <c r="D140" s="56">
        <v>734</v>
      </c>
      <c r="E140" s="56">
        <v>4708</v>
      </c>
      <c r="F140" s="56">
        <v>659</v>
      </c>
      <c r="G140" s="56">
        <v>4706</v>
      </c>
      <c r="H140" s="56">
        <v>424</v>
      </c>
      <c r="I140" s="56">
        <v>2720</v>
      </c>
      <c r="J140" s="56">
        <v>104</v>
      </c>
      <c r="K140" s="56">
        <v>1025</v>
      </c>
      <c r="L140" s="56">
        <v>3038</v>
      </c>
      <c r="M140" s="56">
        <v>20460</v>
      </c>
      <c r="N140" s="56">
        <v>6301</v>
      </c>
      <c r="O140" s="56">
        <v>27022</v>
      </c>
      <c r="P140" s="56">
        <v>2538</v>
      </c>
      <c r="Q140" s="56">
        <v>23267</v>
      </c>
      <c r="R140" s="16">
        <f t="shared" si="8"/>
        <v>11877</v>
      </c>
      <c r="S140" s="16">
        <f t="shared" si="9"/>
        <v>70749</v>
      </c>
      <c r="T140" s="13" t="s">
        <v>115</v>
      </c>
      <c r="U140" s="5">
        <v>11877</v>
      </c>
      <c r="V140" s="5">
        <f t="shared" ref="V140:V179" si="11">AVERAGE(U137:U140)</f>
        <v>12198</v>
      </c>
      <c r="W140" s="5">
        <f t="shared" si="10"/>
        <v>70377.5</v>
      </c>
    </row>
    <row r="141" spans="1:23" ht="15.6" x14ac:dyDescent="0.3">
      <c r="A141" s="55">
        <v>36993</v>
      </c>
      <c r="B141" s="56">
        <v>1098</v>
      </c>
      <c r="C141" s="56">
        <v>8073</v>
      </c>
      <c r="D141" s="56">
        <v>404</v>
      </c>
      <c r="E141" s="56">
        <v>4038</v>
      </c>
      <c r="F141" s="56">
        <v>879</v>
      </c>
      <c r="G141" s="56">
        <v>4927</v>
      </c>
      <c r="H141" s="56">
        <v>569</v>
      </c>
      <c r="I141" s="56">
        <v>4561</v>
      </c>
      <c r="J141" s="56">
        <v>274</v>
      </c>
      <c r="K141" s="56">
        <v>954</v>
      </c>
      <c r="L141" s="56">
        <v>3223</v>
      </c>
      <c r="M141" s="56">
        <v>22552</v>
      </c>
      <c r="N141" s="56">
        <v>5216</v>
      </c>
      <c r="O141" s="56">
        <v>28781</v>
      </c>
      <c r="P141" s="56">
        <v>2090</v>
      </c>
      <c r="Q141" s="56">
        <v>22744</v>
      </c>
      <c r="R141" s="16">
        <f t="shared" si="8"/>
        <v>10529</v>
      </c>
      <c r="S141" s="16">
        <f t="shared" si="9"/>
        <v>74077</v>
      </c>
      <c r="T141" s="13" t="s">
        <v>115</v>
      </c>
      <c r="U141" s="5">
        <v>10529</v>
      </c>
      <c r="V141" s="5">
        <f t="shared" si="11"/>
        <v>11609.5</v>
      </c>
      <c r="W141" s="5">
        <f t="shared" si="10"/>
        <v>71489</v>
      </c>
    </row>
    <row r="142" spans="1:23" ht="15.6" x14ac:dyDescent="0.3">
      <c r="A142" s="55">
        <v>37357</v>
      </c>
      <c r="B142" s="56">
        <v>1021</v>
      </c>
      <c r="C142" s="56">
        <v>7484</v>
      </c>
      <c r="D142" s="56">
        <v>727</v>
      </c>
      <c r="E142" s="56">
        <v>4749</v>
      </c>
      <c r="F142" s="56">
        <v>697</v>
      </c>
      <c r="G142" s="56">
        <v>4771</v>
      </c>
      <c r="H142" s="56">
        <v>438</v>
      </c>
      <c r="I142" s="56">
        <v>2744</v>
      </c>
      <c r="J142" s="56">
        <v>101</v>
      </c>
      <c r="K142" s="56">
        <v>1029</v>
      </c>
      <c r="L142" s="56">
        <v>2985</v>
      </c>
      <c r="M142" s="56">
        <v>20777</v>
      </c>
      <c r="N142" s="56">
        <v>6315</v>
      </c>
      <c r="O142" s="56">
        <v>27897</v>
      </c>
      <c r="P142" s="56">
        <v>2563</v>
      </c>
      <c r="Q142" s="56">
        <v>23550</v>
      </c>
      <c r="R142" s="16">
        <f t="shared" si="8"/>
        <v>11863</v>
      </c>
      <c r="S142" s="16">
        <f t="shared" si="9"/>
        <v>72224</v>
      </c>
      <c r="T142" s="13" t="s">
        <v>115</v>
      </c>
      <c r="U142" s="5">
        <v>11863</v>
      </c>
      <c r="V142" s="5">
        <f t="shared" si="11"/>
        <v>11444.75</v>
      </c>
      <c r="W142" s="5">
        <f t="shared" si="10"/>
        <v>72277</v>
      </c>
    </row>
    <row r="143" spans="1:23" ht="15.6" x14ac:dyDescent="0.3">
      <c r="A143" s="55">
        <v>37000</v>
      </c>
      <c r="B143" s="56">
        <v>952</v>
      </c>
      <c r="C143" s="56">
        <v>8297</v>
      </c>
      <c r="D143" s="56">
        <v>407</v>
      </c>
      <c r="E143" s="56">
        <v>4120</v>
      </c>
      <c r="F143" s="56">
        <v>853</v>
      </c>
      <c r="G143" s="56">
        <v>5033</v>
      </c>
      <c r="H143" s="56">
        <v>531</v>
      </c>
      <c r="I143" s="56">
        <v>4635</v>
      </c>
      <c r="J143" s="56">
        <v>205</v>
      </c>
      <c r="K143" s="56">
        <v>1021</v>
      </c>
      <c r="L143" s="56">
        <v>2947</v>
      </c>
      <c r="M143" s="56">
        <v>23106</v>
      </c>
      <c r="N143" s="56">
        <v>4735</v>
      </c>
      <c r="O143" s="56">
        <v>29648</v>
      </c>
      <c r="P143" s="56">
        <v>2060</v>
      </c>
      <c r="Q143" s="56">
        <v>22904</v>
      </c>
      <c r="R143" s="16">
        <f t="shared" si="8"/>
        <v>9742</v>
      </c>
      <c r="S143" s="16">
        <f t="shared" si="9"/>
        <v>75658</v>
      </c>
      <c r="T143" s="13" t="s">
        <v>116</v>
      </c>
      <c r="U143" s="5">
        <v>9742</v>
      </c>
      <c r="V143" s="5">
        <f t="shared" si="11"/>
        <v>11002.75</v>
      </c>
      <c r="W143" s="5">
        <f t="shared" si="10"/>
        <v>73177</v>
      </c>
    </row>
    <row r="144" spans="1:23" ht="15.6" x14ac:dyDescent="0.3">
      <c r="A144" s="55">
        <v>37364</v>
      </c>
      <c r="B144" s="56">
        <v>1005</v>
      </c>
      <c r="C144" s="56">
        <v>7629</v>
      </c>
      <c r="D144" s="56">
        <v>697</v>
      </c>
      <c r="E144" s="56">
        <v>4805</v>
      </c>
      <c r="F144" s="56">
        <v>639</v>
      </c>
      <c r="G144" s="56">
        <v>4904</v>
      </c>
      <c r="H144" s="56">
        <v>409</v>
      </c>
      <c r="I144" s="56">
        <v>2800</v>
      </c>
      <c r="J144" s="56">
        <v>65</v>
      </c>
      <c r="K144" s="56">
        <v>1051</v>
      </c>
      <c r="L144" s="56">
        <v>2816</v>
      </c>
      <c r="M144" s="56">
        <v>21189</v>
      </c>
      <c r="N144" s="56">
        <v>6281</v>
      </c>
      <c r="O144" s="56">
        <v>28841</v>
      </c>
      <c r="P144" s="56">
        <v>2613</v>
      </c>
      <c r="Q144" s="56">
        <v>23724</v>
      </c>
      <c r="R144" s="16">
        <f t="shared" si="8"/>
        <v>11710</v>
      </c>
      <c r="S144" s="16">
        <f t="shared" si="9"/>
        <v>73754</v>
      </c>
      <c r="T144" s="13" t="s">
        <v>116</v>
      </c>
      <c r="U144" s="5">
        <v>11710</v>
      </c>
      <c r="V144" s="5">
        <f t="shared" si="11"/>
        <v>10961</v>
      </c>
      <c r="W144" s="5">
        <f t="shared" si="10"/>
        <v>73928.25</v>
      </c>
    </row>
    <row r="145" spans="1:23" ht="15.6" x14ac:dyDescent="0.3">
      <c r="A145" s="55">
        <v>37007</v>
      </c>
      <c r="B145" s="56">
        <v>915</v>
      </c>
      <c r="C145" s="56">
        <v>8510</v>
      </c>
      <c r="D145" s="56">
        <v>397</v>
      </c>
      <c r="E145" s="56">
        <v>4138</v>
      </c>
      <c r="F145" s="56">
        <v>705</v>
      </c>
      <c r="G145" s="56">
        <v>5208</v>
      </c>
      <c r="H145" s="56">
        <v>518</v>
      </c>
      <c r="I145" s="56">
        <v>4671</v>
      </c>
      <c r="J145" s="56">
        <v>154</v>
      </c>
      <c r="K145" s="56">
        <v>1023</v>
      </c>
      <c r="L145" s="56">
        <v>2689</v>
      </c>
      <c r="M145" s="56">
        <v>23550</v>
      </c>
      <c r="N145" s="56">
        <v>5168</v>
      </c>
      <c r="O145" s="56">
        <v>30482</v>
      </c>
      <c r="P145" s="56">
        <v>2115</v>
      </c>
      <c r="Q145" s="56">
        <v>23143</v>
      </c>
      <c r="R145" s="16">
        <f t="shared" si="8"/>
        <v>9972</v>
      </c>
      <c r="S145" s="16">
        <f t="shared" si="9"/>
        <v>77175</v>
      </c>
      <c r="T145" s="13" t="s">
        <v>116</v>
      </c>
      <c r="U145" s="5">
        <v>9972</v>
      </c>
      <c r="V145" s="5">
        <f t="shared" si="11"/>
        <v>10821.75</v>
      </c>
      <c r="W145" s="5">
        <f t="shared" si="10"/>
        <v>74702.75</v>
      </c>
    </row>
    <row r="146" spans="1:23" ht="15.6" x14ac:dyDescent="0.3">
      <c r="A146" s="55">
        <v>37371</v>
      </c>
      <c r="B146" s="56">
        <v>875</v>
      </c>
      <c r="C146" s="56">
        <v>7811</v>
      </c>
      <c r="D146" s="56">
        <v>593</v>
      </c>
      <c r="E146" s="56">
        <v>4974</v>
      </c>
      <c r="F146" s="56">
        <v>557</v>
      </c>
      <c r="G146" s="56">
        <v>5037</v>
      </c>
      <c r="H146" s="56">
        <v>438</v>
      </c>
      <c r="I146" s="56">
        <v>2863</v>
      </c>
      <c r="J146" s="56">
        <v>38</v>
      </c>
      <c r="K146" s="56">
        <v>1077</v>
      </c>
      <c r="L146" s="56">
        <v>2500</v>
      </c>
      <c r="M146" s="56">
        <v>21763</v>
      </c>
      <c r="N146" s="56">
        <v>6522</v>
      </c>
      <c r="O146" s="56">
        <v>29726</v>
      </c>
      <c r="P146" s="56">
        <v>2698</v>
      </c>
      <c r="Q146" s="56">
        <v>23995</v>
      </c>
      <c r="R146" s="16">
        <f t="shared" si="8"/>
        <v>11720</v>
      </c>
      <c r="S146" s="16">
        <f t="shared" si="9"/>
        <v>75484</v>
      </c>
      <c r="T146" s="13" t="s">
        <v>116</v>
      </c>
      <c r="U146" s="5">
        <v>11720</v>
      </c>
      <c r="V146" s="5">
        <f t="shared" si="11"/>
        <v>10786</v>
      </c>
      <c r="W146" s="5">
        <f t="shared" si="10"/>
        <v>75517.75</v>
      </c>
    </row>
    <row r="147" spans="1:23" ht="15.6" x14ac:dyDescent="0.3">
      <c r="A147" s="55">
        <v>37014</v>
      </c>
      <c r="B147" s="56">
        <v>814</v>
      </c>
      <c r="C147" s="56">
        <v>8685</v>
      </c>
      <c r="D147" s="56">
        <v>308</v>
      </c>
      <c r="E147" s="56">
        <v>4257</v>
      </c>
      <c r="F147" s="56">
        <v>584</v>
      </c>
      <c r="G147" s="56">
        <v>5355</v>
      </c>
      <c r="H147" s="56">
        <v>426</v>
      </c>
      <c r="I147" s="56">
        <v>4796</v>
      </c>
      <c r="J147" s="56">
        <v>148</v>
      </c>
      <c r="K147" s="56">
        <v>1098</v>
      </c>
      <c r="L147" s="56">
        <v>2280</v>
      </c>
      <c r="M147" s="56">
        <v>24191</v>
      </c>
      <c r="N147" s="56">
        <v>5444</v>
      </c>
      <c r="O147" s="56">
        <v>31129</v>
      </c>
      <c r="P147" s="56">
        <v>2110</v>
      </c>
      <c r="Q147" s="56">
        <v>23300</v>
      </c>
      <c r="R147" s="16">
        <f t="shared" si="8"/>
        <v>9834</v>
      </c>
      <c r="S147" s="16">
        <f t="shared" si="9"/>
        <v>78620</v>
      </c>
      <c r="T147" s="13" t="s">
        <v>117</v>
      </c>
      <c r="U147" s="5">
        <v>9834</v>
      </c>
      <c r="V147" s="5">
        <f t="shared" si="11"/>
        <v>10809</v>
      </c>
      <c r="W147" s="5">
        <f t="shared" si="10"/>
        <v>76258.25</v>
      </c>
    </row>
    <row r="148" spans="1:23" ht="15.6" x14ac:dyDescent="0.3">
      <c r="A148" s="55">
        <v>37378</v>
      </c>
      <c r="B148" s="56">
        <v>704</v>
      </c>
      <c r="C148" s="56">
        <v>8073</v>
      </c>
      <c r="D148" s="56">
        <v>501</v>
      </c>
      <c r="E148" s="56">
        <v>5077</v>
      </c>
      <c r="F148" s="56">
        <v>476</v>
      </c>
      <c r="G148" s="56">
        <v>5142</v>
      </c>
      <c r="H148" s="56">
        <v>368</v>
      </c>
      <c r="I148" s="56">
        <v>2946</v>
      </c>
      <c r="J148" s="56">
        <v>38</v>
      </c>
      <c r="K148" s="56">
        <v>1080</v>
      </c>
      <c r="L148" s="56">
        <v>2088</v>
      </c>
      <c r="M148" s="56">
        <v>22318</v>
      </c>
      <c r="N148" s="56">
        <v>6405</v>
      </c>
      <c r="O148" s="56">
        <v>30601</v>
      </c>
      <c r="P148" s="56">
        <v>2711</v>
      </c>
      <c r="Q148" s="56">
        <v>24250</v>
      </c>
      <c r="R148" s="16">
        <f t="shared" si="8"/>
        <v>11204</v>
      </c>
      <c r="S148" s="16">
        <f t="shared" si="9"/>
        <v>77169</v>
      </c>
      <c r="T148" s="13" t="s">
        <v>117</v>
      </c>
      <c r="U148" s="5">
        <v>11204</v>
      </c>
      <c r="V148" s="5">
        <f t="shared" si="11"/>
        <v>10682.5</v>
      </c>
      <c r="W148" s="5">
        <f t="shared" si="10"/>
        <v>77112</v>
      </c>
    </row>
    <row r="149" spans="1:23" ht="15.6" x14ac:dyDescent="0.3">
      <c r="A149" s="55">
        <v>37021</v>
      </c>
      <c r="B149" s="56">
        <v>690</v>
      </c>
      <c r="C149" s="56">
        <v>8844</v>
      </c>
      <c r="D149" s="56">
        <v>300</v>
      </c>
      <c r="E149" s="56">
        <v>4295</v>
      </c>
      <c r="F149" s="56">
        <v>536</v>
      </c>
      <c r="G149" s="56">
        <v>5455</v>
      </c>
      <c r="H149" s="56">
        <v>415</v>
      </c>
      <c r="I149" s="56">
        <v>4847</v>
      </c>
      <c r="J149" s="56">
        <v>158</v>
      </c>
      <c r="K149" s="56">
        <v>1101</v>
      </c>
      <c r="L149" s="56">
        <v>2099</v>
      </c>
      <c r="M149" s="56">
        <v>24542</v>
      </c>
      <c r="N149" s="56">
        <v>5620</v>
      </c>
      <c r="O149" s="56">
        <v>31897</v>
      </c>
      <c r="P149" s="56">
        <v>2133</v>
      </c>
      <c r="Q149" s="56">
        <v>23616</v>
      </c>
      <c r="R149" s="16">
        <f t="shared" si="8"/>
        <v>9852</v>
      </c>
      <c r="S149" s="16">
        <f t="shared" si="9"/>
        <v>80055</v>
      </c>
      <c r="T149" s="13" t="s">
        <v>117</v>
      </c>
      <c r="U149" s="5">
        <v>9852</v>
      </c>
      <c r="V149" s="5">
        <f t="shared" si="11"/>
        <v>10652.5</v>
      </c>
      <c r="W149" s="5">
        <f t="shared" si="10"/>
        <v>77832</v>
      </c>
    </row>
    <row r="150" spans="1:23" ht="15.6" x14ac:dyDescent="0.3">
      <c r="A150" s="55">
        <v>37385</v>
      </c>
      <c r="B150" s="56">
        <v>591</v>
      </c>
      <c r="C150" s="56">
        <v>8286</v>
      </c>
      <c r="D150" s="56">
        <v>320</v>
      </c>
      <c r="E150" s="56">
        <v>5268</v>
      </c>
      <c r="F150" s="56">
        <v>392</v>
      </c>
      <c r="G150" s="56">
        <v>5304</v>
      </c>
      <c r="H150" s="56">
        <v>332</v>
      </c>
      <c r="I150" s="56">
        <v>2990</v>
      </c>
      <c r="J150" s="56">
        <v>19</v>
      </c>
      <c r="K150" s="56">
        <v>1105</v>
      </c>
      <c r="L150" s="56">
        <v>1653</v>
      </c>
      <c r="M150" s="56">
        <v>22952</v>
      </c>
      <c r="N150" s="56">
        <v>6836</v>
      </c>
      <c r="O150" s="56">
        <v>31637</v>
      </c>
      <c r="P150" s="56">
        <v>2195</v>
      </c>
      <c r="Q150" s="56">
        <v>24804</v>
      </c>
      <c r="R150" s="16">
        <f t="shared" si="8"/>
        <v>10684</v>
      </c>
      <c r="S150" s="16">
        <f t="shared" si="9"/>
        <v>79393</v>
      </c>
      <c r="T150" s="13" t="s">
        <v>117</v>
      </c>
      <c r="U150" s="5">
        <v>10684</v>
      </c>
      <c r="V150" s="5">
        <f t="shared" si="11"/>
        <v>10393.5</v>
      </c>
      <c r="W150" s="5">
        <f t="shared" si="10"/>
        <v>78809.25</v>
      </c>
    </row>
    <row r="151" spans="1:23" ht="15.6" x14ac:dyDescent="0.3">
      <c r="A151" s="55">
        <v>37028</v>
      </c>
      <c r="B151" s="56">
        <v>683</v>
      </c>
      <c r="C151" s="56">
        <v>8943</v>
      </c>
      <c r="D151" s="56">
        <v>180</v>
      </c>
      <c r="E151" s="56">
        <v>4389</v>
      </c>
      <c r="F151" s="56">
        <v>514</v>
      </c>
      <c r="G151" s="56">
        <v>5508</v>
      </c>
      <c r="H151" s="56">
        <v>369</v>
      </c>
      <c r="I151" s="56">
        <v>4945</v>
      </c>
      <c r="J151" s="56">
        <v>150</v>
      </c>
      <c r="K151" s="56">
        <v>1118</v>
      </c>
      <c r="L151" s="56">
        <v>1896</v>
      </c>
      <c r="M151" s="56">
        <v>24902</v>
      </c>
      <c r="N151" s="56">
        <v>6187</v>
      </c>
      <c r="O151" s="56">
        <v>32519</v>
      </c>
      <c r="P151" s="56">
        <v>2083</v>
      </c>
      <c r="Q151" s="56">
        <v>23781</v>
      </c>
      <c r="R151" s="16">
        <f t="shared" si="8"/>
        <v>10166</v>
      </c>
      <c r="S151" s="16">
        <f t="shared" si="9"/>
        <v>81202</v>
      </c>
      <c r="T151" s="13" t="s">
        <v>118</v>
      </c>
      <c r="U151" s="5">
        <v>10166</v>
      </c>
      <c r="V151" s="5">
        <f t="shared" si="11"/>
        <v>10476.5</v>
      </c>
      <c r="W151" s="5">
        <f t="shared" si="10"/>
        <v>79454.75</v>
      </c>
    </row>
    <row r="152" spans="1:23" ht="15.6" x14ac:dyDescent="0.3">
      <c r="A152" s="55">
        <v>37392</v>
      </c>
      <c r="B152" s="56">
        <v>571</v>
      </c>
      <c r="C152" s="56">
        <v>8403</v>
      </c>
      <c r="D152" s="56">
        <v>278</v>
      </c>
      <c r="E152" s="56">
        <v>5389</v>
      </c>
      <c r="F152" s="56">
        <v>397</v>
      </c>
      <c r="G152" s="56">
        <v>5351</v>
      </c>
      <c r="H152" s="56">
        <v>317</v>
      </c>
      <c r="I152" s="56">
        <v>3044</v>
      </c>
      <c r="J152" s="56">
        <v>21</v>
      </c>
      <c r="K152" s="56">
        <v>1108</v>
      </c>
      <c r="L152" s="56">
        <v>1583</v>
      </c>
      <c r="M152" s="56">
        <v>23294</v>
      </c>
      <c r="N152" s="56">
        <v>6814</v>
      </c>
      <c r="O152" s="56">
        <v>32621</v>
      </c>
      <c r="P152" s="56">
        <v>2429</v>
      </c>
      <c r="Q152" s="56">
        <v>25202</v>
      </c>
      <c r="R152" s="16">
        <f t="shared" si="8"/>
        <v>10826</v>
      </c>
      <c r="S152" s="16">
        <f t="shared" si="9"/>
        <v>81117</v>
      </c>
      <c r="T152" s="13" t="s">
        <v>118</v>
      </c>
      <c r="U152" s="5">
        <v>10826</v>
      </c>
      <c r="V152" s="5">
        <f t="shared" si="11"/>
        <v>10382</v>
      </c>
      <c r="W152" s="5">
        <f t="shared" si="10"/>
        <v>80441.75</v>
      </c>
    </row>
    <row r="153" spans="1:23" ht="15.6" x14ac:dyDescent="0.3">
      <c r="A153" s="55">
        <v>37035</v>
      </c>
      <c r="B153" s="56">
        <v>535</v>
      </c>
      <c r="C153" s="56">
        <v>9117</v>
      </c>
      <c r="D153" s="56">
        <v>174</v>
      </c>
      <c r="E153" s="56">
        <v>4422</v>
      </c>
      <c r="F153" s="56">
        <v>455</v>
      </c>
      <c r="G153" s="56">
        <v>5595</v>
      </c>
      <c r="H153" s="56">
        <v>228</v>
      </c>
      <c r="I153" s="56">
        <v>5050</v>
      </c>
      <c r="J153" s="56">
        <v>155</v>
      </c>
      <c r="K153" s="56">
        <v>1118</v>
      </c>
      <c r="L153" s="56">
        <v>1547</v>
      </c>
      <c r="M153" s="56">
        <v>25302</v>
      </c>
      <c r="N153" s="56">
        <v>6164</v>
      </c>
      <c r="O153" s="56">
        <v>33260</v>
      </c>
      <c r="P153" s="56">
        <v>1949</v>
      </c>
      <c r="Q153" s="56">
        <v>24058</v>
      </c>
      <c r="R153" s="16">
        <f t="shared" si="8"/>
        <v>9660</v>
      </c>
      <c r="S153" s="16">
        <f t="shared" si="9"/>
        <v>82620</v>
      </c>
      <c r="T153" s="13" t="s">
        <v>118</v>
      </c>
      <c r="U153" s="5">
        <v>9660</v>
      </c>
      <c r="V153" s="5">
        <f t="shared" si="11"/>
        <v>10334</v>
      </c>
      <c r="W153" s="5">
        <f t="shared" si="10"/>
        <v>81083</v>
      </c>
    </row>
    <row r="154" spans="1:23" ht="15.6" x14ac:dyDescent="0.3">
      <c r="A154" s="55">
        <v>37399</v>
      </c>
      <c r="B154" s="56">
        <v>440</v>
      </c>
      <c r="C154" s="56">
        <v>8550</v>
      </c>
      <c r="D154" s="56">
        <v>203</v>
      </c>
      <c r="E154" s="56">
        <v>5434</v>
      </c>
      <c r="F154" s="56">
        <v>312</v>
      </c>
      <c r="G154" s="56">
        <v>5469</v>
      </c>
      <c r="H154" s="56">
        <v>335</v>
      </c>
      <c r="I154" s="56">
        <v>3094</v>
      </c>
      <c r="J154" s="56">
        <v>21</v>
      </c>
      <c r="K154" s="56">
        <v>1113</v>
      </c>
      <c r="L154" s="56">
        <v>1309</v>
      </c>
      <c r="M154" s="56">
        <v>23659</v>
      </c>
      <c r="N154" s="56">
        <v>6582</v>
      </c>
      <c r="O154" s="56">
        <v>34028</v>
      </c>
      <c r="P154" s="56">
        <v>2522</v>
      </c>
      <c r="Q154" s="56">
        <v>25454</v>
      </c>
      <c r="R154" s="16">
        <f t="shared" si="8"/>
        <v>10413</v>
      </c>
      <c r="S154" s="16">
        <f t="shared" si="9"/>
        <v>83141</v>
      </c>
      <c r="T154" s="13" t="s">
        <v>118</v>
      </c>
      <c r="U154" s="5">
        <v>10413</v>
      </c>
      <c r="V154" s="5">
        <f t="shared" si="11"/>
        <v>10266.25</v>
      </c>
      <c r="W154" s="5">
        <f t="shared" si="10"/>
        <v>82020</v>
      </c>
    </row>
    <row r="155" spans="1:23" ht="15.6" x14ac:dyDescent="0.3">
      <c r="A155" s="55">
        <v>37042</v>
      </c>
      <c r="B155" s="56">
        <v>354</v>
      </c>
      <c r="C155" s="56">
        <v>9314</v>
      </c>
      <c r="D155" s="56">
        <v>140</v>
      </c>
      <c r="E155" s="56">
        <v>4445</v>
      </c>
      <c r="F155" s="56">
        <v>364</v>
      </c>
      <c r="G155" s="56">
        <v>5775</v>
      </c>
      <c r="H155" s="56">
        <v>138</v>
      </c>
      <c r="I155" s="56">
        <v>5156</v>
      </c>
      <c r="J155" s="56">
        <v>144</v>
      </c>
      <c r="K155" s="56">
        <v>1130</v>
      </c>
      <c r="L155" s="56">
        <v>1140</v>
      </c>
      <c r="M155" s="56">
        <v>25819</v>
      </c>
      <c r="N155" s="56">
        <v>6653</v>
      </c>
      <c r="O155" s="56">
        <v>33688</v>
      </c>
      <c r="P155" s="56">
        <v>1947</v>
      </c>
      <c r="Q155" s="56">
        <v>24354</v>
      </c>
      <c r="R155" s="16">
        <f t="shared" si="8"/>
        <v>9740</v>
      </c>
      <c r="S155" s="16">
        <f t="shared" si="9"/>
        <v>83861</v>
      </c>
      <c r="T155" s="13" t="s">
        <v>118</v>
      </c>
      <c r="U155" s="5">
        <v>9740</v>
      </c>
      <c r="V155" s="5">
        <f t="shared" si="11"/>
        <v>10159.75</v>
      </c>
      <c r="W155" s="5">
        <f t="shared" si="10"/>
        <v>82684.75</v>
      </c>
    </row>
    <row r="156" spans="1:23" ht="15.6" x14ac:dyDescent="0.3">
      <c r="A156" s="55">
        <v>37406</v>
      </c>
      <c r="B156" s="56">
        <v>356</v>
      </c>
      <c r="C156" s="56">
        <v>8704</v>
      </c>
      <c r="D156" s="56">
        <v>148</v>
      </c>
      <c r="E156" s="56">
        <v>5485</v>
      </c>
      <c r="F156" s="56">
        <v>267</v>
      </c>
      <c r="G156" s="56">
        <v>5554</v>
      </c>
      <c r="H156" s="56">
        <v>292</v>
      </c>
      <c r="I156" s="56">
        <v>3127</v>
      </c>
      <c r="J156" s="56">
        <v>3</v>
      </c>
      <c r="K156" s="56">
        <v>1133</v>
      </c>
      <c r="L156" s="56">
        <v>1066</v>
      </c>
      <c r="M156" s="56">
        <v>24003</v>
      </c>
      <c r="N156" s="56">
        <v>6219</v>
      </c>
      <c r="O156" s="56">
        <v>34825</v>
      </c>
      <c r="P156" s="56">
        <v>2606</v>
      </c>
      <c r="Q156" s="56">
        <v>25633</v>
      </c>
      <c r="R156" s="16">
        <f t="shared" si="8"/>
        <v>9891</v>
      </c>
      <c r="S156" s="16">
        <f t="shared" si="9"/>
        <v>84461</v>
      </c>
      <c r="T156" s="13" t="s">
        <v>119</v>
      </c>
      <c r="U156" s="5">
        <v>9891</v>
      </c>
      <c r="V156" s="5">
        <f t="shared" si="11"/>
        <v>9926</v>
      </c>
      <c r="W156" s="5">
        <f t="shared" si="10"/>
        <v>83520.75</v>
      </c>
    </row>
    <row r="157" spans="1:23" ht="15.6" x14ac:dyDescent="0.3">
      <c r="A157" s="55">
        <v>37049</v>
      </c>
      <c r="B157" s="56">
        <v>946</v>
      </c>
      <c r="C157" s="56">
        <v>98</v>
      </c>
      <c r="D157" s="56">
        <v>551</v>
      </c>
      <c r="E157" s="56">
        <v>28</v>
      </c>
      <c r="F157" s="56">
        <v>830</v>
      </c>
      <c r="G157" s="56">
        <v>72</v>
      </c>
      <c r="H157" s="56">
        <v>436</v>
      </c>
      <c r="I157" s="56">
        <v>61</v>
      </c>
      <c r="J157" s="56">
        <v>176</v>
      </c>
      <c r="K157" s="56">
        <v>31</v>
      </c>
      <c r="L157" s="56">
        <v>2940</v>
      </c>
      <c r="M157" s="56">
        <v>289</v>
      </c>
      <c r="N157" s="56">
        <v>7364</v>
      </c>
      <c r="O157" s="56">
        <v>34243</v>
      </c>
      <c r="P157" s="56">
        <v>2148</v>
      </c>
      <c r="Q157" s="56">
        <v>24437</v>
      </c>
      <c r="R157" s="16">
        <f t="shared" si="8"/>
        <v>12452</v>
      </c>
      <c r="S157" s="16">
        <f t="shared" si="9"/>
        <v>58969</v>
      </c>
      <c r="T157" s="13" t="s">
        <v>119</v>
      </c>
      <c r="U157" s="5">
        <v>12452</v>
      </c>
      <c r="V157" s="5">
        <f t="shared" si="11"/>
        <v>10624</v>
      </c>
      <c r="W157" s="5">
        <f t="shared" si="10"/>
        <v>77608</v>
      </c>
    </row>
    <row r="158" spans="1:23" ht="15.6" x14ac:dyDescent="0.3">
      <c r="A158" s="55">
        <v>37413</v>
      </c>
      <c r="B158" s="56">
        <v>1108</v>
      </c>
      <c r="C158" s="56">
        <v>181</v>
      </c>
      <c r="D158" s="56">
        <v>458</v>
      </c>
      <c r="E158" s="56">
        <v>35</v>
      </c>
      <c r="F158" s="56">
        <v>818</v>
      </c>
      <c r="G158" s="56">
        <v>44</v>
      </c>
      <c r="H158" s="56">
        <v>603</v>
      </c>
      <c r="I158" s="56">
        <v>37</v>
      </c>
      <c r="J158" s="56">
        <v>78</v>
      </c>
      <c r="K158" s="56">
        <v>2</v>
      </c>
      <c r="L158" s="56">
        <v>3066</v>
      </c>
      <c r="M158" s="56">
        <v>300</v>
      </c>
      <c r="N158" s="56">
        <v>6469</v>
      </c>
      <c r="O158" s="56">
        <v>35819</v>
      </c>
      <c r="P158" s="56">
        <v>2548</v>
      </c>
      <c r="Q158" s="56">
        <v>26167</v>
      </c>
      <c r="R158" s="16">
        <f t="shared" si="8"/>
        <v>12083</v>
      </c>
      <c r="S158" s="16">
        <f t="shared" si="9"/>
        <v>62286</v>
      </c>
      <c r="T158" s="13" t="s">
        <v>119</v>
      </c>
      <c r="U158" s="5">
        <v>12083</v>
      </c>
      <c r="V158" s="5">
        <f t="shared" si="11"/>
        <v>11041.5</v>
      </c>
      <c r="W158" s="5">
        <f t="shared" si="10"/>
        <v>72394.25</v>
      </c>
    </row>
    <row r="159" spans="1:23" ht="15.6" x14ac:dyDescent="0.3">
      <c r="A159" s="55">
        <v>37056</v>
      </c>
      <c r="B159" s="56">
        <v>854</v>
      </c>
      <c r="C159" s="56">
        <v>294</v>
      </c>
      <c r="D159" s="56">
        <v>540</v>
      </c>
      <c r="E159" s="56">
        <v>145</v>
      </c>
      <c r="F159" s="56">
        <v>815</v>
      </c>
      <c r="G159" s="56">
        <v>142</v>
      </c>
      <c r="H159" s="56">
        <v>418</v>
      </c>
      <c r="I159" s="56">
        <v>125</v>
      </c>
      <c r="J159" s="56">
        <v>217</v>
      </c>
      <c r="K159" s="56">
        <v>31</v>
      </c>
      <c r="L159" s="56">
        <v>2844</v>
      </c>
      <c r="M159" s="56">
        <v>738</v>
      </c>
      <c r="N159" s="56">
        <v>7368</v>
      </c>
      <c r="O159" s="56">
        <v>35177</v>
      </c>
      <c r="P159" s="56">
        <v>2020</v>
      </c>
      <c r="Q159" s="56">
        <v>24620</v>
      </c>
      <c r="R159" s="16">
        <f t="shared" si="8"/>
        <v>12232</v>
      </c>
      <c r="S159" s="16">
        <f t="shared" si="9"/>
        <v>60535</v>
      </c>
      <c r="T159" s="13" t="s">
        <v>119</v>
      </c>
      <c r="U159" s="5">
        <v>12232</v>
      </c>
      <c r="V159" s="5">
        <f t="shared" si="11"/>
        <v>11664.5</v>
      </c>
      <c r="W159" s="5">
        <f t="shared" si="10"/>
        <v>66562.75</v>
      </c>
    </row>
    <row r="160" spans="1:23" ht="15.6" x14ac:dyDescent="0.3">
      <c r="A160" s="55">
        <v>37420</v>
      </c>
      <c r="B160" s="56">
        <v>1201</v>
      </c>
      <c r="C160" s="56">
        <v>239</v>
      </c>
      <c r="D160" s="56">
        <v>313</v>
      </c>
      <c r="E160" s="56">
        <v>73</v>
      </c>
      <c r="F160" s="56">
        <v>828</v>
      </c>
      <c r="G160" s="56">
        <v>150</v>
      </c>
      <c r="H160" s="56">
        <v>475</v>
      </c>
      <c r="I160" s="56">
        <v>212</v>
      </c>
      <c r="J160" s="56">
        <v>80</v>
      </c>
      <c r="K160" s="56">
        <v>3</v>
      </c>
      <c r="L160" s="56">
        <v>2897</v>
      </c>
      <c r="M160" s="56">
        <v>677</v>
      </c>
      <c r="N160" s="56">
        <v>6414</v>
      </c>
      <c r="O160" s="56">
        <v>36917</v>
      </c>
      <c r="P160" s="56">
        <v>2652</v>
      </c>
      <c r="Q160" s="56">
        <v>26301</v>
      </c>
      <c r="R160" s="16">
        <f t="shared" si="8"/>
        <v>11963</v>
      </c>
      <c r="S160" s="16">
        <f t="shared" si="9"/>
        <v>63895</v>
      </c>
      <c r="T160" s="13" t="s">
        <v>120</v>
      </c>
      <c r="U160" s="5">
        <v>11963</v>
      </c>
      <c r="V160" s="5">
        <f t="shared" si="11"/>
        <v>12182.5</v>
      </c>
      <c r="W160" s="5">
        <f t="shared" si="10"/>
        <v>61421.25</v>
      </c>
    </row>
    <row r="161" spans="1:30" ht="15.6" x14ac:dyDescent="0.3">
      <c r="A161" s="55">
        <v>37063</v>
      </c>
      <c r="B161" s="56">
        <v>948</v>
      </c>
      <c r="C161" s="56">
        <v>476</v>
      </c>
      <c r="D161" s="56">
        <v>593</v>
      </c>
      <c r="E161" s="56">
        <v>203</v>
      </c>
      <c r="F161" s="56">
        <v>747</v>
      </c>
      <c r="G161" s="56">
        <v>273</v>
      </c>
      <c r="H161" s="56">
        <v>471</v>
      </c>
      <c r="I161" s="56">
        <v>144</v>
      </c>
      <c r="J161" s="56">
        <v>219</v>
      </c>
      <c r="K161" s="56">
        <v>50</v>
      </c>
      <c r="L161" s="56">
        <v>2978</v>
      </c>
      <c r="M161" s="56">
        <v>1146</v>
      </c>
      <c r="N161" s="56">
        <v>7448</v>
      </c>
      <c r="O161" s="56">
        <v>36138</v>
      </c>
      <c r="P161" s="56">
        <v>1932</v>
      </c>
      <c r="Q161" s="56">
        <v>24886</v>
      </c>
      <c r="R161" s="16">
        <f t="shared" si="8"/>
        <v>12358</v>
      </c>
      <c r="S161" s="16">
        <f t="shared" si="9"/>
        <v>62170</v>
      </c>
      <c r="T161" s="13" t="s">
        <v>120</v>
      </c>
      <c r="U161" s="5">
        <v>12358</v>
      </c>
      <c r="V161" s="5">
        <f t="shared" si="11"/>
        <v>12159</v>
      </c>
      <c r="W161" s="5">
        <f t="shared" si="10"/>
        <v>62221.5</v>
      </c>
    </row>
    <row r="162" spans="1:30" ht="15.6" x14ac:dyDescent="0.3">
      <c r="A162" s="55">
        <v>37427</v>
      </c>
      <c r="B162" s="56">
        <v>1116</v>
      </c>
      <c r="C162" s="56">
        <v>401</v>
      </c>
      <c r="D162" s="56">
        <v>373</v>
      </c>
      <c r="E162" s="56">
        <v>158</v>
      </c>
      <c r="F162" s="56">
        <v>869</v>
      </c>
      <c r="G162" s="56">
        <v>210</v>
      </c>
      <c r="H162" s="56">
        <v>498</v>
      </c>
      <c r="I162" s="56">
        <v>233</v>
      </c>
      <c r="J162" s="56">
        <v>138</v>
      </c>
      <c r="K162" s="56">
        <v>26</v>
      </c>
      <c r="L162" s="56">
        <v>2993</v>
      </c>
      <c r="M162" s="56">
        <v>1027</v>
      </c>
      <c r="N162" s="56">
        <v>7152</v>
      </c>
      <c r="O162" s="56">
        <v>37922</v>
      </c>
      <c r="P162" s="56">
        <v>3505</v>
      </c>
      <c r="Q162" s="56">
        <v>26614</v>
      </c>
      <c r="R162" s="16">
        <f t="shared" si="8"/>
        <v>13650</v>
      </c>
      <c r="S162" s="16">
        <f t="shared" si="9"/>
        <v>65563</v>
      </c>
      <c r="T162" s="13" t="s">
        <v>120</v>
      </c>
      <c r="U162" s="5">
        <v>13650</v>
      </c>
      <c r="V162" s="5">
        <f t="shared" si="11"/>
        <v>12550.75</v>
      </c>
      <c r="W162" s="5">
        <f t="shared" si="10"/>
        <v>63040.75</v>
      </c>
    </row>
    <row r="163" spans="1:30" ht="15.6" x14ac:dyDescent="0.3">
      <c r="A163" s="55">
        <v>37070</v>
      </c>
      <c r="B163" s="56">
        <v>1032</v>
      </c>
      <c r="C163" s="56">
        <v>589</v>
      </c>
      <c r="D163" s="56">
        <v>723</v>
      </c>
      <c r="E163" s="56">
        <v>254</v>
      </c>
      <c r="F163" s="56">
        <v>845</v>
      </c>
      <c r="G163" s="56">
        <v>330</v>
      </c>
      <c r="H163" s="56">
        <v>465</v>
      </c>
      <c r="I163" s="56">
        <v>202</v>
      </c>
      <c r="J163" s="56">
        <v>234</v>
      </c>
      <c r="K163" s="56">
        <v>65</v>
      </c>
      <c r="L163" s="56">
        <v>3300</v>
      </c>
      <c r="M163" s="56">
        <v>1440</v>
      </c>
      <c r="N163" s="56">
        <v>7533</v>
      </c>
      <c r="O163" s="56">
        <v>36924</v>
      </c>
      <c r="P163" s="56">
        <v>2050</v>
      </c>
      <c r="Q163" s="56">
        <v>25216</v>
      </c>
      <c r="R163" s="16">
        <f t="shared" si="8"/>
        <v>12883</v>
      </c>
      <c r="S163" s="16">
        <f t="shared" si="9"/>
        <v>63580</v>
      </c>
      <c r="T163" s="13" t="s">
        <v>120</v>
      </c>
      <c r="U163" s="5">
        <v>12883</v>
      </c>
      <c r="V163" s="5">
        <f t="shared" si="11"/>
        <v>12713.5</v>
      </c>
      <c r="W163" s="5">
        <f t="shared" si="10"/>
        <v>63802</v>
      </c>
    </row>
    <row r="164" spans="1:30" ht="15.6" x14ac:dyDescent="0.3">
      <c r="A164" s="55">
        <v>37434</v>
      </c>
      <c r="B164" s="56">
        <v>1137</v>
      </c>
      <c r="C164" s="56">
        <v>551</v>
      </c>
      <c r="D164" s="56">
        <v>396</v>
      </c>
      <c r="E164" s="56">
        <v>243</v>
      </c>
      <c r="F164" s="56">
        <v>1043</v>
      </c>
      <c r="G164" s="56">
        <v>245</v>
      </c>
      <c r="H164" s="56">
        <v>515</v>
      </c>
      <c r="I164" s="56">
        <v>258</v>
      </c>
      <c r="J164" s="56">
        <v>182</v>
      </c>
      <c r="K164" s="56">
        <v>32</v>
      </c>
      <c r="L164" s="56">
        <v>3272</v>
      </c>
      <c r="M164" s="56">
        <v>1329</v>
      </c>
      <c r="N164" s="56">
        <v>6623</v>
      </c>
      <c r="O164" s="56">
        <v>38644</v>
      </c>
      <c r="P164" s="56">
        <v>2574</v>
      </c>
      <c r="Q164" s="56">
        <v>26916</v>
      </c>
      <c r="R164" s="16">
        <f t="shared" si="8"/>
        <v>12469</v>
      </c>
      <c r="S164" s="16">
        <f t="shared" si="9"/>
        <v>66889</v>
      </c>
      <c r="T164" s="13" t="s">
        <v>121</v>
      </c>
      <c r="U164" s="5">
        <v>12469</v>
      </c>
      <c r="V164" s="5">
        <f t="shared" si="11"/>
        <v>12840</v>
      </c>
      <c r="W164" s="5">
        <f t="shared" si="10"/>
        <v>64550.5</v>
      </c>
      <c r="AD164" s="13" t="s">
        <v>173</v>
      </c>
    </row>
    <row r="165" spans="1:30" ht="15.6" x14ac:dyDescent="0.3">
      <c r="A165" s="55">
        <v>37077</v>
      </c>
      <c r="B165" s="56">
        <v>1011</v>
      </c>
      <c r="C165" s="56">
        <v>737</v>
      </c>
      <c r="D165" s="56">
        <v>634</v>
      </c>
      <c r="E165" s="56">
        <v>342</v>
      </c>
      <c r="F165" s="56">
        <v>854</v>
      </c>
      <c r="G165" s="56">
        <v>400</v>
      </c>
      <c r="H165" s="56">
        <v>481</v>
      </c>
      <c r="I165" s="56">
        <v>268</v>
      </c>
      <c r="J165" s="56">
        <v>219</v>
      </c>
      <c r="K165" s="56">
        <v>88</v>
      </c>
      <c r="L165" s="56">
        <v>3198</v>
      </c>
      <c r="M165" s="56">
        <v>1834</v>
      </c>
      <c r="N165" s="56">
        <v>7384</v>
      </c>
      <c r="O165" s="56">
        <v>37918</v>
      </c>
      <c r="P165" s="56">
        <v>2029</v>
      </c>
      <c r="Q165" s="56">
        <v>25363</v>
      </c>
      <c r="R165" s="16">
        <f t="shared" si="8"/>
        <v>12611</v>
      </c>
      <c r="S165" s="16">
        <f t="shared" si="9"/>
        <v>65115</v>
      </c>
      <c r="T165" s="13" t="s">
        <v>121</v>
      </c>
      <c r="U165" s="5">
        <v>12611</v>
      </c>
      <c r="V165" s="5">
        <f t="shared" si="11"/>
        <v>12903.25</v>
      </c>
      <c r="W165" s="5">
        <f t="shared" si="10"/>
        <v>65286.75</v>
      </c>
      <c r="AD165" s="13" t="s">
        <v>173</v>
      </c>
    </row>
    <row r="166" spans="1:30" ht="15.6" x14ac:dyDescent="0.3">
      <c r="A166" s="55">
        <v>37441</v>
      </c>
      <c r="B166" s="56">
        <v>994</v>
      </c>
      <c r="C166" s="56">
        <v>713</v>
      </c>
      <c r="D166" s="56">
        <v>396</v>
      </c>
      <c r="E166" s="56">
        <v>321</v>
      </c>
      <c r="F166" s="56">
        <v>886</v>
      </c>
      <c r="G166" s="56">
        <v>375</v>
      </c>
      <c r="H166" s="56">
        <v>559</v>
      </c>
      <c r="I166" s="56">
        <v>280</v>
      </c>
      <c r="J166" s="56">
        <v>127</v>
      </c>
      <c r="K166" s="56">
        <v>98</v>
      </c>
      <c r="L166" s="56">
        <v>2962</v>
      </c>
      <c r="M166" s="56">
        <v>1786</v>
      </c>
      <c r="N166" s="56">
        <v>5933</v>
      </c>
      <c r="O166" s="56">
        <v>39667</v>
      </c>
      <c r="P166" s="56">
        <v>2372</v>
      </c>
      <c r="Q166" s="56">
        <v>27205</v>
      </c>
      <c r="R166" s="16">
        <f t="shared" si="8"/>
        <v>11267</v>
      </c>
      <c r="S166" s="16">
        <f t="shared" si="9"/>
        <v>68658</v>
      </c>
      <c r="T166" s="13" t="s">
        <v>121</v>
      </c>
      <c r="U166" s="5">
        <v>11267</v>
      </c>
      <c r="V166" s="5">
        <f t="shared" si="11"/>
        <v>12307.5</v>
      </c>
      <c r="W166" s="5">
        <f t="shared" si="10"/>
        <v>66060.5</v>
      </c>
      <c r="AD166" s="13" t="s">
        <v>173</v>
      </c>
    </row>
    <row r="167" spans="1:30" ht="15.6" x14ac:dyDescent="0.3">
      <c r="A167" s="55">
        <v>37084</v>
      </c>
      <c r="B167" s="56">
        <v>1072</v>
      </c>
      <c r="C167" s="56">
        <v>870</v>
      </c>
      <c r="D167" s="56">
        <v>697</v>
      </c>
      <c r="E167" s="56">
        <v>443</v>
      </c>
      <c r="F167" s="56">
        <v>844</v>
      </c>
      <c r="G167" s="56">
        <v>476</v>
      </c>
      <c r="H167" s="56">
        <v>534</v>
      </c>
      <c r="I167" s="56">
        <v>308</v>
      </c>
      <c r="J167" s="56">
        <v>240</v>
      </c>
      <c r="K167" s="56">
        <v>95</v>
      </c>
      <c r="L167" s="56">
        <v>3386</v>
      </c>
      <c r="M167" s="56">
        <v>2192</v>
      </c>
      <c r="N167" s="56">
        <v>7550</v>
      </c>
      <c r="O167" s="56">
        <v>39087</v>
      </c>
      <c r="P167" s="56">
        <v>2092</v>
      </c>
      <c r="Q167" s="56">
        <v>25633</v>
      </c>
      <c r="R167" s="16">
        <f t="shared" si="8"/>
        <v>13028</v>
      </c>
      <c r="S167" s="16">
        <f t="shared" si="9"/>
        <v>66912</v>
      </c>
      <c r="T167" s="13" t="s">
        <v>121</v>
      </c>
      <c r="U167" s="5">
        <v>13028</v>
      </c>
      <c r="V167" s="5">
        <f t="shared" si="11"/>
        <v>12343.75</v>
      </c>
      <c r="W167" s="5">
        <f t="shared" si="10"/>
        <v>66893.5</v>
      </c>
      <c r="AD167" s="13" t="s">
        <v>173</v>
      </c>
    </row>
    <row r="168" spans="1:30" ht="15.6" x14ac:dyDescent="0.3">
      <c r="A168" s="55">
        <v>37448</v>
      </c>
      <c r="B168" s="56">
        <v>1040</v>
      </c>
      <c r="C168" s="56">
        <v>1017</v>
      </c>
      <c r="D168" s="56">
        <v>406</v>
      </c>
      <c r="E168" s="56">
        <v>369</v>
      </c>
      <c r="F168" s="56">
        <v>1063</v>
      </c>
      <c r="G168" s="56">
        <v>480</v>
      </c>
      <c r="H168" s="56">
        <v>611</v>
      </c>
      <c r="I168" s="56">
        <v>376</v>
      </c>
      <c r="J168" s="56">
        <v>131</v>
      </c>
      <c r="K168" s="56">
        <v>106</v>
      </c>
      <c r="L168" s="56">
        <v>3251</v>
      </c>
      <c r="M168" s="56">
        <v>2347</v>
      </c>
      <c r="N168" s="56">
        <v>5717</v>
      </c>
      <c r="O168" s="56">
        <v>40601</v>
      </c>
      <c r="P168" s="56">
        <v>3348</v>
      </c>
      <c r="Q168" s="56">
        <v>27585</v>
      </c>
      <c r="R168" s="16">
        <f t="shared" si="8"/>
        <v>12316</v>
      </c>
      <c r="S168" s="16">
        <f t="shared" si="9"/>
        <v>70533</v>
      </c>
      <c r="T168" s="13" t="s">
        <v>121</v>
      </c>
      <c r="U168" s="5">
        <v>12316</v>
      </c>
      <c r="V168" s="5">
        <f t="shared" si="11"/>
        <v>12305.5</v>
      </c>
      <c r="W168" s="5">
        <f t="shared" si="10"/>
        <v>67804.5</v>
      </c>
      <c r="AD168" s="13" t="s">
        <v>173</v>
      </c>
    </row>
    <row r="169" spans="1:30" ht="15.6" x14ac:dyDescent="0.3">
      <c r="A169" s="55">
        <v>37091</v>
      </c>
      <c r="B169" s="56">
        <v>1253</v>
      </c>
      <c r="C169" s="56">
        <v>1042</v>
      </c>
      <c r="D169" s="56">
        <v>797</v>
      </c>
      <c r="E169" s="56">
        <v>512</v>
      </c>
      <c r="F169" s="56">
        <v>820</v>
      </c>
      <c r="G169" s="56">
        <v>609</v>
      </c>
      <c r="H169" s="56">
        <v>528</v>
      </c>
      <c r="I169" s="56">
        <v>339</v>
      </c>
      <c r="J169" s="56">
        <v>288</v>
      </c>
      <c r="K169" s="56">
        <v>98</v>
      </c>
      <c r="L169" s="56">
        <v>3687</v>
      </c>
      <c r="M169" s="56">
        <v>2598</v>
      </c>
      <c r="N169" s="56">
        <v>7934</v>
      </c>
      <c r="O169" s="56">
        <v>39922</v>
      </c>
      <c r="P169" s="56">
        <v>1907</v>
      </c>
      <c r="Q169" s="56">
        <v>25829</v>
      </c>
      <c r="R169" s="16">
        <f t="shared" si="8"/>
        <v>13528</v>
      </c>
      <c r="S169" s="16">
        <f t="shared" si="9"/>
        <v>68349</v>
      </c>
      <c r="T169" s="13" t="s">
        <v>88</v>
      </c>
      <c r="U169" s="5">
        <v>13528</v>
      </c>
      <c r="V169" s="5">
        <f t="shared" si="11"/>
        <v>12534.75</v>
      </c>
      <c r="W169" s="5">
        <f t="shared" si="10"/>
        <v>68613</v>
      </c>
      <c r="AD169" s="13" t="s">
        <v>174</v>
      </c>
    </row>
    <row r="170" spans="1:30" ht="15.6" x14ac:dyDescent="0.3">
      <c r="A170" s="55">
        <v>37455</v>
      </c>
      <c r="B170" s="56">
        <v>1136</v>
      </c>
      <c r="C170" s="56">
        <v>1195</v>
      </c>
      <c r="D170" s="56">
        <v>449</v>
      </c>
      <c r="E170" s="56">
        <v>421</v>
      </c>
      <c r="F170" s="56">
        <v>984</v>
      </c>
      <c r="G170" s="56">
        <v>653</v>
      </c>
      <c r="H170" s="56">
        <v>671</v>
      </c>
      <c r="I170" s="56">
        <v>395</v>
      </c>
      <c r="J170" s="56">
        <v>116</v>
      </c>
      <c r="K170" s="56">
        <v>138</v>
      </c>
      <c r="L170" s="56">
        <v>3356</v>
      </c>
      <c r="M170" s="56">
        <v>2802</v>
      </c>
      <c r="N170" s="56">
        <v>5402</v>
      </c>
      <c r="O170" s="56">
        <v>41687</v>
      </c>
      <c r="P170" s="56">
        <v>1979</v>
      </c>
      <c r="Q170" s="56">
        <v>27938</v>
      </c>
      <c r="R170" s="16">
        <f t="shared" si="8"/>
        <v>10737</v>
      </c>
      <c r="S170" s="16">
        <f t="shared" si="9"/>
        <v>72427</v>
      </c>
      <c r="T170" s="13" t="s">
        <v>88</v>
      </c>
      <c r="U170" s="5">
        <v>10737</v>
      </c>
      <c r="V170" s="5">
        <f t="shared" si="11"/>
        <v>12402.25</v>
      </c>
      <c r="W170" s="5">
        <f t="shared" si="10"/>
        <v>69555.25</v>
      </c>
      <c r="AD170" s="13" t="s">
        <v>174</v>
      </c>
    </row>
    <row r="171" spans="1:30" ht="15.6" x14ac:dyDescent="0.3">
      <c r="A171" s="55">
        <v>37098</v>
      </c>
      <c r="B171" s="56">
        <v>1307</v>
      </c>
      <c r="C171" s="56">
        <v>1131</v>
      </c>
      <c r="D171" s="56">
        <v>818</v>
      </c>
      <c r="E171" s="56">
        <v>570</v>
      </c>
      <c r="F171" s="56">
        <v>908</v>
      </c>
      <c r="G171" s="56">
        <v>665</v>
      </c>
      <c r="H171" s="56">
        <v>586</v>
      </c>
      <c r="I171" s="56">
        <v>356</v>
      </c>
      <c r="J171" s="56">
        <v>256</v>
      </c>
      <c r="K171" s="56">
        <v>143</v>
      </c>
      <c r="L171" s="56">
        <v>3874</v>
      </c>
      <c r="M171" s="56">
        <v>2864</v>
      </c>
      <c r="N171" s="56">
        <v>7111</v>
      </c>
      <c r="O171" s="56">
        <v>41067</v>
      </c>
      <c r="P171" s="56">
        <v>1899</v>
      </c>
      <c r="Q171" s="56">
        <v>26067</v>
      </c>
      <c r="R171" s="16">
        <f t="shared" si="8"/>
        <v>12884</v>
      </c>
      <c r="S171" s="16">
        <f t="shared" si="9"/>
        <v>69998</v>
      </c>
      <c r="T171" s="13" t="s">
        <v>88</v>
      </c>
      <c r="U171" s="5">
        <v>12884</v>
      </c>
      <c r="V171" s="5">
        <f t="shared" si="11"/>
        <v>12366.25</v>
      </c>
      <c r="W171" s="5">
        <f t="shared" si="10"/>
        <v>70326.75</v>
      </c>
      <c r="X171" s="73"/>
      <c r="AD171" s="13" t="s">
        <v>174</v>
      </c>
    </row>
    <row r="172" spans="1:30" ht="15.6" x14ac:dyDescent="0.3">
      <c r="A172" s="55">
        <v>37462</v>
      </c>
      <c r="B172" s="56">
        <v>1080</v>
      </c>
      <c r="C172" s="56">
        <v>1396</v>
      </c>
      <c r="D172" s="56">
        <v>446</v>
      </c>
      <c r="E172" s="56">
        <v>468</v>
      </c>
      <c r="F172" s="56">
        <v>1030</v>
      </c>
      <c r="G172" s="56">
        <v>738</v>
      </c>
      <c r="H172" s="56">
        <v>611</v>
      </c>
      <c r="I172" s="56">
        <v>421</v>
      </c>
      <c r="J172" s="56">
        <v>82</v>
      </c>
      <c r="K172" s="56">
        <v>174</v>
      </c>
      <c r="L172" s="56">
        <v>3249</v>
      </c>
      <c r="M172" s="56">
        <v>3197</v>
      </c>
      <c r="N172" s="56">
        <v>5026</v>
      </c>
      <c r="O172" s="56">
        <v>42752</v>
      </c>
      <c r="P172" s="56">
        <v>1764</v>
      </c>
      <c r="Q172" s="56">
        <v>28267</v>
      </c>
      <c r="R172" s="16">
        <f t="shared" si="8"/>
        <v>10039</v>
      </c>
      <c r="S172" s="16">
        <f t="shared" si="9"/>
        <v>74216</v>
      </c>
      <c r="T172" s="13" t="s">
        <v>88</v>
      </c>
      <c r="U172" s="5">
        <v>10039</v>
      </c>
      <c r="V172" s="5">
        <f t="shared" si="11"/>
        <v>11797</v>
      </c>
      <c r="W172" s="5">
        <f t="shared" si="10"/>
        <v>71247.5</v>
      </c>
      <c r="AD172" s="13" t="s">
        <v>174</v>
      </c>
    </row>
    <row r="173" spans="1:30" ht="15.6" x14ac:dyDescent="0.3">
      <c r="A173" s="55">
        <v>37105</v>
      </c>
      <c r="B173" s="56">
        <v>1247</v>
      </c>
      <c r="C173" s="56">
        <v>1319</v>
      </c>
      <c r="D173" s="56">
        <v>868</v>
      </c>
      <c r="E173" s="56">
        <v>730</v>
      </c>
      <c r="F173" s="56">
        <v>881</v>
      </c>
      <c r="G173" s="56">
        <v>806</v>
      </c>
      <c r="H173" s="56">
        <v>499</v>
      </c>
      <c r="I173" s="56">
        <v>449</v>
      </c>
      <c r="J173" s="56">
        <v>289</v>
      </c>
      <c r="K173" s="56">
        <v>186</v>
      </c>
      <c r="L173" s="56">
        <v>3784</v>
      </c>
      <c r="M173" s="56">
        <v>3490</v>
      </c>
      <c r="N173" s="56">
        <v>6466</v>
      </c>
      <c r="O173" s="56">
        <v>42327</v>
      </c>
      <c r="P173" s="56">
        <v>1790</v>
      </c>
      <c r="Q173" s="56">
        <v>26337</v>
      </c>
      <c r="R173" s="16">
        <f t="shared" si="8"/>
        <v>12040</v>
      </c>
      <c r="S173" s="16">
        <f t="shared" si="9"/>
        <v>72154</v>
      </c>
      <c r="T173" s="13" t="s">
        <v>122</v>
      </c>
      <c r="U173" s="5">
        <v>12040</v>
      </c>
      <c r="V173" s="5">
        <f t="shared" si="11"/>
        <v>11425</v>
      </c>
      <c r="W173" s="5">
        <f t="shared" si="10"/>
        <v>72198.75</v>
      </c>
      <c r="X173" s="73"/>
      <c r="AD173" s="13" t="s">
        <v>175</v>
      </c>
    </row>
    <row r="174" spans="1:30" ht="15.6" x14ac:dyDescent="0.3">
      <c r="A174" s="55">
        <v>37469</v>
      </c>
      <c r="B174" s="56">
        <v>1145</v>
      </c>
      <c r="C174" s="56">
        <v>1572</v>
      </c>
      <c r="D174" s="56">
        <v>394</v>
      </c>
      <c r="E174" s="56">
        <v>527</v>
      </c>
      <c r="F174" s="56">
        <v>1175</v>
      </c>
      <c r="G174" s="56">
        <v>836</v>
      </c>
      <c r="H174" s="56">
        <v>685</v>
      </c>
      <c r="I174" s="56">
        <v>485</v>
      </c>
      <c r="J174" s="56">
        <v>127</v>
      </c>
      <c r="K174" s="56">
        <v>176</v>
      </c>
      <c r="L174" s="56">
        <v>3524</v>
      </c>
      <c r="M174" s="56">
        <v>3596</v>
      </c>
      <c r="N174" s="56">
        <v>4596</v>
      </c>
      <c r="O174" s="56">
        <v>43489</v>
      </c>
      <c r="P174" s="56">
        <v>3420</v>
      </c>
      <c r="Q174" s="56">
        <v>28700</v>
      </c>
      <c r="R174" s="16">
        <f t="shared" si="8"/>
        <v>11540</v>
      </c>
      <c r="S174" s="16">
        <f t="shared" si="9"/>
        <v>75785</v>
      </c>
      <c r="T174" s="13" t="s">
        <v>122</v>
      </c>
      <c r="U174" s="5">
        <v>11540</v>
      </c>
      <c r="V174" s="5">
        <f t="shared" si="11"/>
        <v>11625.75</v>
      </c>
      <c r="W174" s="5">
        <f t="shared" si="10"/>
        <v>73038.25</v>
      </c>
      <c r="AD174" s="13" t="s">
        <v>175</v>
      </c>
    </row>
    <row r="175" spans="1:30" ht="15.6" x14ac:dyDescent="0.3">
      <c r="A175" s="55">
        <v>37112</v>
      </c>
      <c r="B175" s="56">
        <v>1398</v>
      </c>
      <c r="C175" s="56">
        <v>1375</v>
      </c>
      <c r="D175" s="56">
        <v>1047</v>
      </c>
      <c r="E175" s="56">
        <v>834</v>
      </c>
      <c r="F175" s="56">
        <v>974</v>
      </c>
      <c r="G175" s="56">
        <v>860</v>
      </c>
      <c r="H175" s="56">
        <v>474</v>
      </c>
      <c r="I175" s="56">
        <v>531</v>
      </c>
      <c r="J175" s="56">
        <v>343</v>
      </c>
      <c r="K175" s="56">
        <v>204</v>
      </c>
      <c r="L175" s="56">
        <v>4235</v>
      </c>
      <c r="M175" s="56">
        <v>3803</v>
      </c>
      <c r="N175" s="56">
        <v>5807</v>
      </c>
      <c r="O175" s="56">
        <v>43636</v>
      </c>
      <c r="P175" s="56">
        <v>1521</v>
      </c>
      <c r="Q175" s="56">
        <v>26586</v>
      </c>
      <c r="R175" s="16">
        <f t="shared" si="8"/>
        <v>11563</v>
      </c>
      <c r="S175" s="16">
        <f t="shared" si="9"/>
        <v>74025</v>
      </c>
      <c r="T175" s="13" t="s">
        <v>122</v>
      </c>
      <c r="U175" s="5">
        <v>11563</v>
      </c>
      <c r="V175" s="5">
        <f t="shared" si="11"/>
        <v>11295.5</v>
      </c>
      <c r="W175" s="5">
        <f t="shared" si="10"/>
        <v>74045</v>
      </c>
      <c r="X175" s="73"/>
      <c r="AD175" s="13" t="s">
        <v>175</v>
      </c>
    </row>
    <row r="176" spans="1:30" ht="15.6" x14ac:dyDescent="0.3">
      <c r="A176" s="55">
        <v>37476</v>
      </c>
      <c r="B176" s="56">
        <v>1168</v>
      </c>
      <c r="C176" s="56">
        <v>1757</v>
      </c>
      <c r="D176" s="56">
        <v>369</v>
      </c>
      <c r="E176" s="56">
        <v>617</v>
      </c>
      <c r="F176" s="56">
        <v>1316</v>
      </c>
      <c r="G176" s="56">
        <v>929</v>
      </c>
      <c r="H176" s="56">
        <v>709</v>
      </c>
      <c r="I176" s="56">
        <v>579</v>
      </c>
      <c r="J176" s="56">
        <v>113</v>
      </c>
      <c r="K176" s="56">
        <v>198</v>
      </c>
      <c r="L176" s="56">
        <v>3676</v>
      </c>
      <c r="M176" s="56">
        <v>4079</v>
      </c>
      <c r="N176" s="56">
        <v>4271</v>
      </c>
      <c r="O176" s="56">
        <v>44621</v>
      </c>
      <c r="P176" s="56">
        <v>3574</v>
      </c>
      <c r="Q176" s="56">
        <v>29028</v>
      </c>
      <c r="R176" s="16">
        <f t="shared" si="8"/>
        <v>11521</v>
      </c>
      <c r="S176" s="16">
        <f t="shared" si="9"/>
        <v>77728</v>
      </c>
      <c r="T176" s="13" t="s">
        <v>122</v>
      </c>
      <c r="U176" s="5">
        <v>11521</v>
      </c>
      <c r="V176" s="5">
        <f t="shared" si="11"/>
        <v>11666</v>
      </c>
      <c r="W176" s="5">
        <f t="shared" si="10"/>
        <v>74923</v>
      </c>
      <c r="AD176" s="13" t="s">
        <v>175</v>
      </c>
    </row>
    <row r="177" spans="1:30" ht="15.6" x14ac:dyDescent="0.3">
      <c r="A177" s="55">
        <v>37119</v>
      </c>
      <c r="B177" s="56">
        <v>1288</v>
      </c>
      <c r="C177" s="56">
        <v>1594</v>
      </c>
      <c r="D177" s="56">
        <v>918</v>
      </c>
      <c r="E177" s="56">
        <v>1009</v>
      </c>
      <c r="F177" s="56">
        <v>1050</v>
      </c>
      <c r="G177" s="56">
        <v>950</v>
      </c>
      <c r="H177" s="56">
        <v>432</v>
      </c>
      <c r="I177" s="56">
        <v>626</v>
      </c>
      <c r="J177" s="56">
        <v>338</v>
      </c>
      <c r="K177" s="56">
        <v>255</v>
      </c>
      <c r="L177" s="56">
        <v>4026</v>
      </c>
      <c r="M177" s="56">
        <v>4434</v>
      </c>
      <c r="N177" s="56">
        <v>4748</v>
      </c>
      <c r="O177" s="56">
        <v>44948</v>
      </c>
      <c r="P177" s="56">
        <v>1206</v>
      </c>
      <c r="Q177" s="56">
        <v>26906</v>
      </c>
      <c r="R177" s="16">
        <f t="shared" si="8"/>
        <v>9980</v>
      </c>
      <c r="S177" s="16">
        <f t="shared" si="9"/>
        <v>76288</v>
      </c>
      <c r="T177" s="13" t="s">
        <v>127</v>
      </c>
      <c r="U177" s="5">
        <v>9980</v>
      </c>
      <c r="V177" s="5">
        <f t="shared" si="11"/>
        <v>11151</v>
      </c>
      <c r="W177" s="5">
        <f t="shared" si="10"/>
        <v>75956.5</v>
      </c>
      <c r="X177" s="73"/>
      <c r="AD177" s="13" t="s">
        <v>176</v>
      </c>
    </row>
    <row r="178" spans="1:30" ht="15.6" x14ac:dyDescent="0.3">
      <c r="A178" s="55">
        <v>37483</v>
      </c>
      <c r="B178" s="56">
        <v>1033</v>
      </c>
      <c r="C178" s="56">
        <v>1940</v>
      </c>
      <c r="D178" s="56">
        <v>358</v>
      </c>
      <c r="E178" s="56">
        <v>682</v>
      </c>
      <c r="F178" s="56">
        <v>1168</v>
      </c>
      <c r="G178" s="56">
        <v>1126</v>
      </c>
      <c r="H178" s="56">
        <v>629</v>
      </c>
      <c r="I178" s="56">
        <v>691</v>
      </c>
      <c r="J178" s="56">
        <v>111</v>
      </c>
      <c r="K178" s="56">
        <v>200</v>
      </c>
      <c r="L178" s="56">
        <v>3298</v>
      </c>
      <c r="M178" s="56">
        <v>4639</v>
      </c>
      <c r="N178" s="56">
        <v>3592</v>
      </c>
      <c r="O178" s="56">
        <v>45716</v>
      </c>
      <c r="P178" s="56">
        <v>1088</v>
      </c>
      <c r="Q178" s="56">
        <v>29286</v>
      </c>
      <c r="R178" s="16">
        <f t="shared" si="8"/>
        <v>7978</v>
      </c>
      <c r="S178" s="16">
        <f t="shared" si="9"/>
        <v>79641</v>
      </c>
      <c r="T178" s="13" t="s">
        <v>127</v>
      </c>
      <c r="U178" s="5">
        <v>7978</v>
      </c>
      <c r="V178" s="5">
        <f t="shared" si="11"/>
        <v>10260.5</v>
      </c>
      <c r="W178" s="5">
        <f t="shared" si="10"/>
        <v>76920.5</v>
      </c>
      <c r="AD178" s="13" t="s">
        <v>176</v>
      </c>
    </row>
    <row r="179" spans="1:30" ht="15.6" x14ac:dyDescent="0.3">
      <c r="A179" s="55">
        <v>37126</v>
      </c>
      <c r="B179" s="56">
        <v>1296</v>
      </c>
      <c r="C179" s="56">
        <v>1733</v>
      </c>
      <c r="D179" s="56">
        <v>985</v>
      </c>
      <c r="E179" s="56">
        <v>1033</v>
      </c>
      <c r="F179" s="56">
        <v>1071</v>
      </c>
      <c r="G179" s="56">
        <v>1061</v>
      </c>
      <c r="H179" s="56">
        <v>401</v>
      </c>
      <c r="I179" s="56">
        <v>725</v>
      </c>
      <c r="J179" s="56">
        <v>350</v>
      </c>
      <c r="K179" s="56">
        <v>284</v>
      </c>
      <c r="L179" s="56">
        <v>4103</v>
      </c>
      <c r="M179" s="56">
        <v>4835</v>
      </c>
      <c r="N179" s="56">
        <v>3731</v>
      </c>
      <c r="O179" s="56">
        <v>46025</v>
      </c>
      <c r="P179" s="56">
        <v>988</v>
      </c>
      <c r="Q179" s="56">
        <v>27200</v>
      </c>
      <c r="R179" s="16">
        <f t="shared" si="8"/>
        <v>8822</v>
      </c>
      <c r="S179" s="16">
        <f t="shared" si="9"/>
        <v>78060</v>
      </c>
      <c r="T179" s="13" t="s">
        <v>127</v>
      </c>
      <c r="U179" s="5">
        <v>8822</v>
      </c>
      <c r="V179" s="5">
        <f t="shared" si="11"/>
        <v>9575.25</v>
      </c>
      <c r="W179" s="5">
        <f t="shared" si="10"/>
        <v>77929.25</v>
      </c>
      <c r="X179" s="73"/>
      <c r="AD179" s="13" t="s">
        <v>176</v>
      </c>
    </row>
    <row r="180" spans="1:30" ht="15.6" x14ac:dyDescent="0.3">
      <c r="A180" s="55">
        <v>37490</v>
      </c>
      <c r="B180" s="56">
        <v>1110</v>
      </c>
      <c r="C180" s="56">
        <v>2148</v>
      </c>
      <c r="D180" s="56">
        <v>338</v>
      </c>
      <c r="E180" s="56">
        <v>768</v>
      </c>
      <c r="F180" s="56">
        <v>1081</v>
      </c>
      <c r="G180" s="56">
        <v>1380</v>
      </c>
      <c r="H180" s="56">
        <v>625</v>
      </c>
      <c r="I180" s="56">
        <v>792</v>
      </c>
      <c r="J180" s="56">
        <v>90</v>
      </c>
      <c r="K180" s="56">
        <v>224</v>
      </c>
      <c r="L180" s="56">
        <v>3244</v>
      </c>
      <c r="M180" s="56">
        <v>5312</v>
      </c>
      <c r="N180" s="56">
        <v>2848</v>
      </c>
      <c r="O180" s="56">
        <v>46634</v>
      </c>
      <c r="P180" s="56">
        <v>690</v>
      </c>
      <c r="Q180" s="56">
        <v>29571</v>
      </c>
      <c r="R180" s="16">
        <f t="shared" si="8"/>
        <v>6782</v>
      </c>
      <c r="S180" s="16">
        <f t="shared" si="9"/>
        <v>81517</v>
      </c>
      <c r="T180" s="13" t="s">
        <v>127</v>
      </c>
      <c r="U180" s="5">
        <v>6782</v>
      </c>
      <c r="V180" s="5">
        <f>AVERAGE(U177:U180)</f>
        <v>8390.5</v>
      </c>
      <c r="W180" s="5">
        <f t="shared" si="10"/>
        <v>78876.5</v>
      </c>
      <c r="AD180" s="13" t="s">
        <v>176</v>
      </c>
    </row>
    <row r="181" spans="1:30" ht="15.6" x14ac:dyDescent="0.3">
      <c r="A181" s="55">
        <v>37133</v>
      </c>
      <c r="B181" s="56">
        <v>1287</v>
      </c>
      <c r="C181" s="56">
        <v>1956</v>
      </c>
      <c r="D181" s="56">
        <v>919</v>
      </c>
      <c r="E181" s="56">
        <v>1309</v>
      </c>
      <c r="F181" s="56">
        <v>1039</v>
      </c>
      <c r="G181" s="56">
        <v>1218</v>
      </c>
      <c r="H181" s="56">
        <v>374</v>
      </c>
      <c r="I181" s="56">
        <v>824</v>
      </c>
      <c r="J181" s="56">
        <v>325</v>
      </c>
      <c r="K181" s="56">
        <v>325</v>
      </c>
      <c r="L181" s="56">
        <v>3943</v>
      </c>
      <c r="M181" s="56">
        <v>5633</v>
      </c>
      <c r="N181" s="56">
        <v>2806</v>
      </c>
      <c r="O181" s="56">
        <v>47219</v>
      </c>
      <c r="P181" s="56">
        <v>711</v>
      </c>
      <c r="Q181" s="56">
        <v>27454</v>
      </c>
      <c r="R181" s="16">
        <f t="shared" si="8"/>
        <v>7460</v>
      </c>
      <c r="S181" s="16">
        <f t="shared" si="9"/>
        <v>80306</v>
      </c>
      <c r="T181" s="13" t="s">
        <v>127</v>
      </c>
      <c r="U181" s="5">
        <v>7460</v>
      </c>
      <c r="V181" s="5">
        <f>AVERAGE(U178:U181)</f>
        <v>7760.5</v>
      </c>
      <c r="W181" s="5">
        <f t="shared" si="10"/>
        <v>79881</v>
      </c>
      <c r="X181" s="73"/>
      <c r="AD181" s="13" t="s">
        <v>176</v>
      </c>
    </row>
    <row r="182" spans="1:30" ht="15.6" x14ac:dyDescent="0.3">
      <c r="A182" s="55">
        <v>37497</v>
      </c>
      <c r="B182" s="56">
        <v>1246</v>
      </c>
      <c r="C182" s="56">
        <v>2322</v>
      </c>
      <c r="D182" s="56">
        <v>327</v>
      </c>
      <c r="E182" s="56">
        <v>870</v>
      </c>
      <c r="F182" s="56">
        <v>1236</v>
      </c>
      <c r="G182" s="56">
        <v>1534</v>
      </c>
      <c r="H182" s="56">
        <v>597</v>
      </c>
      <c r="I182" s="56">
        <v>895</v>
      </c>
      <c r="J182" s="56">
        <v>90</v>
      </c>
      <c r="K182" s="56">
        <v>258</v>
      </c>
      <c r="L182" s="56">
        <v>3495</v>
      </c>
      <c r="M182" s="56">
        <v>5878</v>
      </c>
      <c r="N182" s="56">
        <v>2082</v>
      </c>
      <c r="O182" s="56">
        <v>47460</v>
      </c>
      <c r="P182" s="56">
        <v>494</v>
      </c>
      <c r="Q182" s="56">
        <v>29838</v>
      </c>
      <c r="R182" s="16">
        <f t="shared" si="8"/>
        <v>6071</v>
      </c>
      <c r="S182" s="16">
        <f t="shared" si="9"/>
        <v>83176</v>
      </c>
      <c r="T182" s="18" t="s">
        <v>128</v>
      </c>
      <c r="U182" s="5">
        <v>6071</v>
      </c>
      <c r="V182" s="5">
        <f t="shared" ref="V182:V265" si="12">AVERAGE(U179:U182)</f>
        <v>7283.75</v>
      </c>
      <c r="W182" s="5">
        <f t="shared" si="10"/>
        <v>80764.75</v>
      </c>
      <c r="AD182" s="18" t="s">
        <v>184</v>
      </c>
    </row>
    <row r="183" spans="1:30" ht="15.6" x14ac:dyDescent="0.3">
      <c r="A183" s="55">
        <v>37140</v>
      </c>
      <c r="B183" s="56">
        <v>1198</v>
      </c>
      <c r="C183" s="56">
        <v>2174</v>
      </c>
      <c r="D183" s="56">
        <v>880</v>
      </c>
      <c r="E183" s="56">
        <v>1389</v>
      </c>
      <c r="F183" s="56">
        <v>886</v>
      </c>
      <c r="G183" s="56">
        <v>1422</v>
      </c>
      <c r="H183" s="56">
        <v>378</v>
      </c>
      <c r="I183" s="56">
        <v>867</v>
      </c>
      <c r="J183" s="56">
        <v>357</v>
      </c>
      <c r="K183" s="56">
        <v>347</v>
      </c>
      <c r="L183" s="56">
        <v>3698</v>
      </c>
      <c r="M183" s="56">
        <v>6198</v>
      </c>
      <c r="N183" s="56">
        <v>7090</v>
      </c>
      <c r="O183" s="56">
        <v>567</v>
      </c>
      <c r="P183" s="56">
        <v>5611</v>
      </c>
      <c r="Q183" s="56">
        <v>67</v>
      </c>
      <c r="R183" s="16">
        <f t="shared" si="8"/>
        <v>16399</v>
      </c>
      <c r="S183" s="16">
        <f t="shared" si="9"/>
        <v>6832</v>
      </c>
      <c r="T183" s="18" t="s">
        <v>128</v>
      </c>
      <c r="U183" s="5">
        <v>16399</v>
      </c>
      <c r="V183" s="5">
        <f t="shared" si="12"/>
        <v>9178</v>
      </c>
      <c r="W183" s="5">
        <f t="shared" si="10"/>
        <v>62957.75</v>
      </c>
      <c r="X183" s="73"/>
      <c r="AD183" s="18" t="s">
        <v>184</v>
      </c>
    </row>
    <row r="184" spans="1:30" ht="15.6" x14ac:dyDescent="0.3">
      <c r="A184" s="55">
        <v>37504</v>
      </c>
      <c r="B184" s="56">
        <v>1250</v>
      </c>
      <c r="C184" s="56">
        <v>2546</v>
      </c>
      <c r="D184" s="56">
        <v>328</v>
      </c>
      <c r="E184" s="56">
        <v>910</v>
      </c>
      <c r="F184" s="56">
        <v>1187</v>
      </c>
      <c r="G184" s="56">
        <v>1769</v>
      </c>
      <c r="H184" s="56">
        <v>560</v>
      </c>
      <c r="I184" s="56">
        <v>979</v>
      </c>
      <c r="J184" s="56">
        <v>90</v>
      </c>
      <c r="K184" s="56">
        <v>258</v>
      </c>
      <c r="L184" s="56">
        <v>3415</v>
      </c>
      <c r="M184" s="56">
        <v>6460</v>
      </c>
      <c r="N184" s="56">
        <v>6206</v>
      </c>
      <c r="O184" s="56">
        <v>439</v>
      </c>
      <c r="P184" s="56">
        <v>5802</v>
      </c>
      <c r="Q184" s="56">
        <v>109</v>
      </c>
      <c r="R184" s="16">
        <f t="shared" si="8"/>
        <v>15423</v>
      </c>
      <c r="S184" s="16">
        <f t="shared" si="9"/>
        <v>7008</v>
      </c>
      <c r="T184" s="18" t="s">
        <v>128</v>
      </c>
      <c r="U184" s="5">
        <v>15423</v>
      </c>
      <c r="V184" s="5">
        <f t="shared" si="12"/>
        <v>11338.25</v>
      </c>
      <c r="W184" s="5">
        <f t="shared" si="10"/>
        <v>44330.5</v>
      </c>
      <c r="AD184" s="18" t="s">
        <v>184</v>
      </c>
    </row>
    <row r="185" spans="1:30" ht="15.6" x14ac:dyDescent="0.3">
      <c r="A185" s="55">
        <v>37147</v>
      </c>
      <c r="B185" s="56">
        <v>1191</v>
      </c>
      <c r="C185" s="56">
        <v>2267</v>
      </c>
      <c r="D185" s="56">
        <v>880</v>
      </c>
      <c r="E185" s="56">
        <v>1502</v>
      </c>
      <c r="F185" s="56">
        <v>953</v>
      </c>
      <c r="G185" s="56">
        <v>1490</v>
      </c>
      <c r="H185" s="56">
        <v>433</v>
      </c>
      <c r="I185" s="56">
        <v>885</v>
      </c>
      <c r="J185" s="56">
        <v>326</v>
      </c>
      <c r="K185" s="56">
        <v>381</v>
      </c>
      <c r="L185" s="56">
        <v>3783</v>
      </c>
      <c r="M185" s="56">
        <v>6525</v>
      </c>
      <c r="N185" s="56">
        <v>6692</v>
      </c>
      <c r="O185" s="56">
        <v>1660</v>
      </c>
      <c r="P185" s="56">
        <v>6006</v>
      </c>
      <c r="Q185" s="56">
        <v>241</v>
      </c>
      <c r="R185" s="16">
        <f t="shared" si="8"/>
        <v>16481</v>
      </c>
      <c r="S185" s="16">
        <f t="shared" si="9"/>
        <v>8426</v>
      </c>
      <c r="T185" s="18" t="s">
        <v>128</v>
      </c>
      <c r="U185" s="5">
        <v>16481</v>
      </c>
      <c r="V185" s="5">
        <f t="shared" si="12"/>
        <v>13593.5</v>
      </c>
      <c r="W185" s="5">
        <f t="shared" si="10"/>
        <v>26360.5</v>
      </c>
      <c r="X185" s="73">
        <f>N364</f>
        <v>9450</v>
      </c>
      <c r="AD185" s="18" t="s">
        <v>184</v>
      </c>
    </row>
    <row r="186" spans="1:30" ht="15.6" x14ac:dyDescent="0.3">
      <c r="A186" s="55">
        <v>37511</v>
      </c>
      <c r="B186" s="56">
        <v>1387</v>
      </c>
      <c r="C186" s="56">
        <v>2729</v>
      </c>
      <c r="D186" s="56">
        <v>380</v>
      </c>
      <c r="E186" s="56">
        <v>949</v>
      </c>
      <c r="F186" s="56">
        <v>1374</v>
      </c>
      <c r="G186" s="56">
        <v>1849</v>
      </c>
      <c r="H186" s="56">
        <v>628</v>
      </c>
      <c r="I186" s="56">
        <v>1043</v>
      </c>
      <c r="J186" s="56">
        <v>102</v>
      </c>
      <c r="K186" s="56">
        <v>260</v>
      </c>
      <c r="L186" s="56">
        <v>3872</v>
      </c>
      <c r="M186" s="56">
        <v>6831</v>
      </c>
      <c r="N186" s="56">
        <v>6418</v>
      </c>
      <c r="O186" s="56">
        <v>1276</v>
      </c>
      <c r="P186" s="56">
        <v>6204</v>
      </c>
      <c r="Q186" s="56">
        <v>335</v>
      </c>
      <c r="R186" s="16">
        <f t="shared" si="8"/>
        <v>16494</v>
      </c>
      <c r="S186" s="16">
        <f t="shared" si="9"/>
        <v>8442</v>
      </c>
      <c r="T186" s="18" t="s">
        <v>129</v>
      </c>
      <c r="U186" s="5">
        <v>16494</v>
      </c>
      <c r="V186" s="5">
        <f t="shared" si="12"/>
        <v>16199.25</v>
      </c>
      <c r="W186" s="5">
        <f t="shared" si="10"/>
        <v>7677</v>
      </c>
      <c r="X186" s="73">
        <f>N366</f>
        <v>8520</v>
      </c>
      <c r="AD186" s="18" t="s">
        <v>177</v>
      </c>
    </row>
    <row r="187" spans="1:30" ht="15.6" x14ac:dyDescent="0.3">
      <c r="A187" s="55">
        <v>37154</v>
      </c>
      <c r="B187" s="56">
        <v>1275</v>
      </c>
      <c r="C187" s="56">
        <v>2397</v>
      </c>
      <c r="D187" s="56">
        <v>906</v>
      </c>
      <c r="E187" s="56">
        <v>1612</v>
      </c>
      <c r="F187" s="56">
        <v>881</v>
      </c>
      <c r="G187" s="56">
        <v>1604</v>
      </c>
      <c r="H187" s="56">
        <v>533</v>
      </c>
      <c r="I187" s="56">
        <v>911</v>
      </c>
      <c r="J187" s="56">
        <v>316</v>
      </c>
      <c r="K187" s="56">
        <v>391</v>
      </c>
      <c r="L187" s="56">
        <v>3911</v>
      </c>
      <c r="M187" s="56">
        <v>6915</v>
      </c>
      <c r="N187" s="56">
        <v>6553</v>
      </c>
      <c r="O187" s="56">
        <v>2992</v>
      </c>
      <c r="P187" s="56">
        <v>6158</v>
      </c>
      <c r="Q187" s="56">
        <v>505</v>
      </c>
      <c r="R187" s="16">
        <f t="shared" si="8"/>
        <v>16622</v>
      </c>
      <c r="S187" s="16">
        <f t="shared" si="9"/>
        <v>10412</v>
      </c>
      <c r="T187" s="18" t="s">
        <v>129</v>
      </c>
      <c r="U187" s="5">
        <v>16622</v>
      </c>
      <c r="V187" s="5">
        <f t="shared" si="12"/>
        <v>16255</v>
      </c>
      <c r="W187" s="5">
        <f t="shared" si="10"/>
        <v>8572</v>
      </c>
      <c r="X187" s="73">
        <f>N368</f>
        <v>8094</v>
      </c>
      <c r="AD187" s="18" t="s">
        <v>177</v>
      </c>
    </row>
    <row r="188" spans="1:30" ht="15.6" x14ac:dyDescent="0.3">
      <c r="A188" s="55">
        <v>37518</v>
      </c>
      <c r="B188" s="56">
        <v>1591</v>
      </c>
      <c r="C188" s="56">
        <v>2920</v>
      </c>
      <c r="D188" s="56">
        <v>372</v>
      </c>
      <c r="E188" s="56">
        <v>1008</v>
      </c>
      <c r="F188" s="56">
        <v>1542</v>
      </c>
      <c r="G188" s="56">
        <v>2007</v>
      </c>
      <c r="H188" s="56">
        <v>673</v>
      </c>
      <c r="I188" s="56">
        <v>1137</v>
      </c>
      <c r="J188" s="56">
        <v>102</v>
      </c>
      <c r="K188" s="56">
        <v>260</v>
      </c>
      <c r="L188" s="56">
        <v>4280</v>
      </c>
      <c r="M188" s="56">
        <v>7332</v>
      </c>
      <c r="N188" s="56">
        <v>6352</v>
      </c>
      <c r="O188" s="56">
        <v>2080</v>
      </c>
      <c r="P188" s="56">
        <v>6801</v>
      </c>
      <c r="Q188" s="56">
        <v>444</v>
      </c>
      <c r="R188" s="16">
        <f t="shared" si="8"/>
        <v>17433</v>
      </c>
      <c r="S188" s="16">
        <f t="shared" si="9"/>
        <v>9856</v>
      </c>
      <c r="T188" s="18" t="s">
        <v>129</v>
      </c>
      <c r="U188" s="5">
        <v>17433</v>
      </c>
      <c r="V188" s="5">
        <f t="shared" si="12"/>
        <v>16757.5</v>
      </c>
      <c r="W188" s="5">
        <f t="shared" si="10"/>
        <v>9284</v>
      </c>
      <c r="X188" s="73">
        <f>N370</f>
        <v>7524</v>
      </c>
      <c r="AD188" s="18" t="s">
        <v>177</v>
      </c>
    </row>
    <row r="189" spans="1:30" ht="15.6" x14ac:dyDescent="0.3">
      <c r="A189" s="55">
        <v>37161</v>
      </c>
      <c r="B189" s="56">
        <v>1150</v>
      </c>
      <c r="C189" s="56">
        <v>2604</v>
      </c>
      <c r="D189" s="56">
        <v>1091</v>
      </c>
      <c r="E189" s="56">
        <v>1761</v>
      </c>
      <c r="F189" s="56">
        <v>862</v>
      </c>
      <c r="G189" s="56">
        <v>1752</v>
      </c>
      <c r="H189" s="56">
        <v>499</v>
      </c>
      <c r="I189" s="56">
        <v>1018</v>
      </c>
      <c r="J189" s="56">
        <v>314</v>
      </c>
      <c r="K189" s="56">
        <v>440</v>
      </c>
      <c r="L189" s="56">
        <v>3916</v>
      </c>
      <c r="M189" s="56">
        <v>7575</v>
      </c>
      <c r="N189" s="56">
        <v>7018</v>
      </c>
      <c r="O189" s="56">
        <v>3780</v>
      </c>
      <c r="P189" s="56">
        <v>6896</v>
      </c>
      <c r="Q189" s="56">
        <v>731</v>
      </c>
      <c r="R189" s="16">
        <f t="shared" si="8"/>
        <v>17830</v>
      </c>
      <c r="S189" s="16">
        <f t="shared" si="9"/>
        <v>12086</v>
      </c>
      <c r="T189" s="18" t="s">
        <v>129</v>
      </c>
      <c r="U189" s="5">
        <v>17830</v>
      </c>
      <c r="V189" s="5">
        <f t="shared" si="12"/>
        <v>17094.75</v>
      </c>
      <c r="W189" s="5">
        <f t="shared" si="10"/>
        <v>10199</v>
      </c>
      <c r="X189" s="73">
        <f>N372</f>
        <v>7533</v>
      </c>
      <c r="AD189" s="18" t="s">
        <v>177</v>
      </c>
    </row>
    <row r="190" spans="1:30" ht="15.6" x14ac:dyDescent="0.3">
      <c r="A190" s="55">
        <v>37525</v>
      </c>
      <c r="B190" s="56">
        <v>1629</v>
      </c>
      <c r="C190" s="56">
        <v>2989</v>
      </c>
      <c r="D190" s="56">
        <v>403</v>
      </c>
      <c r="E190" s="56">
        <v>1008</v>
      </c>
      <c r="F190" s="56">
        <v>1581</v>
      </c>
      <c r="G190" s="56">
        <v>2085</v>
      </c>
      <c r="H190" s="56">
        <v>734</v>
      </c>
      <c r="I190" s="56">
        <v>1187</v>
      </c>
      <c r="J190" s="56">
        <v>177</v>
      </c>
      <c r="K190" s="56">
        <v>280</v>
      </c>
      <c r="L190" s="56">
        <v>4524</v>
      </c>
      <c r="M190" s="56">
        <v>7548</v>
      </c>
      <c r="N190" s="56">
        <v>6852</v>
      </c>
      <c r="O190" s="56">
        <v>2536</v>
      </c>
      <c r="P190" s="56">
        <v>6854</v>
      </c>
      <c r="Q190" s="56">
        <v>659</v>
      </c>
      <c r="R190" s="16">
        <f t="shared" si="8"/>
        <v>18230</v>
      </c>
      <c r="S190" s="16">
        <f t="shared" si="9"/>
        <v>10743</v>
      </c>
      <c r="T190" s="18" t="s">
        <v>130</v>
      </c>
      <c r="U190" s="5">
        <v>18230</v>
      </c>
      <c r="V190" s="5">
        <f t="shared" si="12"/>
        <v>17528.75</v>
      </c>
      <c r="W190" s="5">
        <f t="shared" si="10"/>
        <v>10774.25</v>
      </c>
      <c r="X190" s="73">
        <f>N374</f>
        <v>7158</v>
      </c>
      <c r="AD190" s="18" t="s">
        <v>178</v>
      </c>
    </row>
    <row r="191" spans="1:30" ht="15.6" x14ac:dyDescent="0.3">
      <c r="A191" s="55">
        <v>37168</v>
      </c>
      <c r="B191" s="56">
        <v>1108</v>
      </c>
      <c r="C191" s="56">
        <v>2792</v>
      </c>
      <c r="D191" s="56">
        <v>1214</v>
      </c>
      <c r="E191" s="56">
        <v>1883</v>
      </c>
      <c r="F191" s="56">
        <v>884</v>
      </c>
      <c r="G191" s="56">
        <v>1869</v>
      </c>
      <c r="H191" s="56">
        <v>552</v>
      </c>
      <c r="I191" s="56">
        <v>1067</v>
      </c>
      <c r="J191" s="56">
        <v>231</v>
      </c>
      <c r="K191" s="56">
        <v>517</v>
      </c>
      <c r="L191" s="56">
        <v>3989</v>
      </c>
      <c r="M191" s="56">
        <v>8128</v>
      </c>
      <c r="N191" s="56">
        <v>6862</v>
      </c>
      <c r="O191" s="56">
        <v>4556</v>
      </c>
      <c r="P191" s="56">
        <v>7854</v>
      </c>
      <c r="Q191" s="56">
        <v>863</v>
      </c>
      <c r="R191" s="16">
        <f t="shared" si="8"/>
        <v>18705</v>
      </c>
      <c r="S191" s="16">
        <f t="shared" si="9"/>
        <v>13547</v>
      </c>
      <c r="T191" s="18" t="s">
        <v>130</v>
      </c>
      <c r="U191" s="5">
        <v>18705</v>
      </c>
      <c r="V191" s="5">
        <f t="shared" si="12"/>
        <v>18049.5</v>
      </c>
      <c r="W191" s="5">
        <f t="shared" si="10"/>
        <v>11558</v>
      </c>
      <c r="X191" s="73">
        <f>N376</f>
        <v>6791</v>
      </c>
      <c r="AD191" s="18" t="s">
        <v>178</v>
      </c>
    </row>
    <row r="192" spans="1:30" ht="15.6" x14ac:dyDescent="0.3">
      <c r="A192" s="55">
        <v>37532</v>
      </c>
      <c r="B192" s="56">
        <v>1658</v>
      </c>
      <c r="C192" s="56">
        <v>3105</v>
      </c>
      <c r="D192" s="56">
        <v>436</v>
      </c>
      <c r="E192" s="56">
        <v>1043</v>
      </c>
      <c r="F192" s="56">
        <v>1626</v>
      </c>
      <c r="G192" s="56">
        <v>2210</v>
      </c>
      <c r="H192" s="56">
        <v>849</v>
      </c>
      <c r="I192" s="56">
        <v>1187</v>
      </c>
      <c r="J192" s="56">
        <v>160</v>
      </c>
      <c r="K192" s="56">
        <v>334</v>
      </c>
      <c r="L192" s="56">
        <v>4729</v>
      </c>
      <c r="M192" s="56">
        <v>7877</v>
      </c>
      <c r="N192" s="56">
        <v>7024</v>
      </c>
      <c r="O192" s="56">
        <v>3034</v>
      </c>
      <c r="P192" s="56">
        <v>7134</v>
      </c>
      <c r="Q192" s="56">
        <v>895</v>
      </c>
      <c r="R192" s="16">
        <f t="shared" si="8"/>
        <v>18887</v>
      </c>
      <c r="S192" s="16">
        <f t="shared" si="9"/>
        <v>11806</v>
      </c>
      <c r="T192" s="18" t="s">
        <v>130</v>
      </c>
      <c r="U192" s="5">
        <v>18887</v>
      </c>
      <c r="V192" s="5">
        <f t="shared" si="12"/>
        <v>18413</v>
      </c>
      <c r="W192" s="5">
        <f t="shared" si="10"/>
        <v>12045.5</v>
      </c>
      <c r="X192" s="73">
        <f>N378</f>
        <v>6203</v>
      </c>
      <c r="AD192" s="18" t="s">
        <v>178</v>
      </c>
    </row>
    <row r="193" spans="1:30" ht="15.6" x14ac:dyDescent="0.3">
      <c r="A193" s="55">
        <v>37175</v>
      </c>
      <c r="B193" s="56">
        <v>1174</v>
      </c>
      <c r="C193" s="56">
        <v>2889</v>
      </c>
      <c r="D193" s="56">
        <v>1087</v>
      </c>
      <c r="E193" s="56">
        <v>2079</v>
      </c>
      <c r="F193" s="56">
        <v>868</v>
      </c>
      <c r="G193" s="56">
        <v>1988</v>
      </c>
      <c r="H193" s="56">
        <v>550</v>
      </c>
      <c r="I193" s="56">
        <v>1158</v>
      </c>
      <c r="J193" s="56">
        <v>227</v>
      </c>
      <c r="K193" s="56">
        <v>522</v>
      </c>
      <c r="L193" s="56">
        <v>3906</v>
      </c>
      <c r="M193" s="56">
        <v>8636</v>
      </c>
      <c r="N193" s="56">
        <v>6944</v>
      </c>
      <c r="O193" s="56">
        <v>5287</v>
      </c>
      <c r="P193" s="56">
        <v>8511</v>
      </c>
      <c r="Q193" s="56">
        <v>1526</v>
      </c>
      <c r="R193" s="16">
        <f t="shared" si="8"/>
        <v>19361</v>
      </c>
      <c r="S193" s="16">
        <f t="shared" si="9"/>
        <v>15449</v>
      </c>
      <c r="T193" s="18" t="s">
        <v>130</v>
      </c>
      <c r="U193" s="5">
        <v>19361</v>
      </c>
      <c r="V193" s="5">
        <f t="shared" si="12"/>
        <v>18795.75</v>
      </c>
      <c r="W193" s="5">
        <f t="shared" si="10"/>
        <v>12886.25</v>
      </c>
      <c r="X193" s="73">
        <f>N380</f>
        <v>5775</v>
      </c>
      <c r="AD193" s="18" t="s">
        <v>178</v>
      </c>
    </row>
    <row r="194" spans="1:30" ht="15.6" x14ac:dyDescent="0.3">
      <c r="A194" s="55">
        <v>37539</v>
      </c>
      <c r="B194" s="56">
        <v>1683</v>
      </c>
      <c r="C194" s="56">
        <v>3197</v>
      </c>
      <c r="D194" s="56">
        <v>480</v>
      </c>
      <c r="E194" s="56">
        <v>1070</v>
      </c>
      <c r="F194" s="56">
        <v>1675</v>
      </c>
      <c r="G194" s="56">
        <v>2366</v>
      </c>
      <c r="H194" s="56">
        <v>819</v>
      </c>
      <c r="I194" s="56">
        <v>1187</v>
      </c>
      <c r="J194" s="56">
        <v>107</v>
      </c>
      <c r="K194" s="56">
        <v>338</v>
      </c>
      <c r="L194" s="56">
        <v>4764</v>
      </c>
      <c r="M194" s="56">
        <v>8158</v>
      </c>
      <c r="N194" s="56">
        <v>6890</v>
      </c>
      <c r="O194" s="56">
        <v>3819</v>
      </c>
      <c r="P194" s="56">
        <v>7362</v>
      </c>
      <c r="Q194" s="56">
        <v>1227</v>
      </c>
      <c r="R194" s="16">
        <f t="shared" si="8"/>
        <v>19016</v>
      </c>
      <c r="S194" s="16">
        <f t="shared" si="9"/>
        <v>13204</v>
      </c>
      <c r="T194" s="18" t="s">
        <v>130</v>
      </c>
      <c r="U194" s="5">
        <v>19016</v>
      </c>
      <c r="V194" s="5">
        <f t="shared" si="12"/>
        <v>18992.25</v>
      </c>
      <c r="W194" s="5">
        <f t="shared" si="10"/>
        <v>13501.5</v>
      </c>
      <c r="X194" s="73">
        <f>N382</f>
        <v>5170</v>
      </c>
      <c r="AD194" s="18" t="s">
        <v>178</v>
      </c>
    </row>
    <row r="195" spans="1:30" ht="15.6" x14ac:dyDescent="0.3">
      <c r="A195" s="55">
        <v>37182</v>
      </c>
      <c r="B195" s="56">
        <v>1228</v>
      </c>
      <c r="C195" s="56">
        <v>3162</v>
      </c>
      <c r="D195" s="56">
        <v>1075</v>
      </c>
      <c r="E195" s="56">
        <v>2150</v>
      </c>
      <c r="F195" s="56">
        <v>961</v>
      </c>
      <c r="G195" s="56">
        <v>2076</v>
      </c>
      <c r="H195" s="56">
        <v>616</v>
      </c>
      <c r="I195" s="56">
        <v>1176</v>
      </c>
      <c r="J195" s="56">
        <v>249</v>
      </c>
      <c r="K195" s="56">
        <v>525</v>
      </c>
      <c r="L195" s="56">
        <v>4128</v>
      </c>
      <c r="M195" s="56">
        <v>9090</v>
      </c>
      <c r="N195" s="56">
        <v>7074</v>
      </c>
      <c r="O195" s="56">
        <v>6059</v>
      </c>
      <c r="P195" s="56">
        <v>8760</v>
      </c>
      <c r="Q195" s="56">
        <v>2342</v>
      </c>
      <c r="R195" s="16">
        <f t="shared" si="8"/>
        <v>19962</v>
      </c>
      <c r="S195" s="16">
        <f t="shared" si="9"/>
        <v>17491</v>
      </c>
      <c r="T195" s="18" t="s">
        <v>131</v>
      </c>
      <c r="U195" s="5">
        <v>19962</v>
      </c>
      <c r="V195" s="5">
        <f t="shared" si="12"/>
        <v>19306.5</v>
      </c>
      <c r="W195" s="5">
        <f t="shared" si="10"/>
        <v>14487.5</v>
      </c>
      <c r="X195" s="73">
        <f>N384</f>
        <v>4678</v>
      </c>
      <c r="AD195" s="18" t="s">
        <v>179</v>
      </c>
    </row>
    <row r="196" spans="1:30" ht="15.6" x14ac:dyDescent="0.3">
      <c r="A196" s="55">
        <v>37546</v>
      </c>
      <c r="B196" s="56">
        <v>1608</v>
      </c>
      <c r="C196" s="56">
        <v>3370</v>
      </c>
      <c r="D196" s="56">
        <v>670</v>
      </c>
      <c r="E196" s="56">
        <v>1145</v>
      </c>
      <c r="F196" s="56">
        <v>1641</v>
      </c>
      <c r="G196" s="56">
        <v>2649</v>
      </c>
      <c r="H196" s="56">
        <v>917</v>
      </c>
      <c r="I196" s="56">
        <v>1240</v>
      </c>
      <c r="J196" s="56">
        <v>103</v>
      </c>
      <c r="K196" s="56">
        <v>323</v>
      </c>
      <c r="L196" s="56">
        <v>4939</v>
      </c>
      <c r="M196" s="56">
        <v>8787</v>
      </c>
      <c r="N196" s="56">
        <v>6584</v>
      </c>
      <c r="O196" s="56">
        <v>4642</v>
      </c>
      <c r="P196" s="56">
        <v>7783</v>
      </c>
      <c r="Q196" s="56">
        <v>2015</v>
      </c>
      <c r="R196" s="16">
        <f t="shared" si="8"/>
        <v>19306</v>
      </c>
      <c r="S196" s="16">
        <f t="shared" si="9"/>
        <v>15444</v>
      </c>
      <c r="T196" s="18" t="s">
        <v>131</v>
      </c>
      <c r="U196" s="5">
        <v>19306</v>
      </c>
      <c r="V196" s="5">
        <f t="shared" si="12"/>
        <v>19411.25</v>
      </c>
      <c r="W196" s="5">
        <f t="shared" si="10"/>
        <v>15397</v>
      </c>
      <c r="X196" s="73">
        <f>N386</f>
        <v>3862</v>
      </c>
      <c r="AD196" s="18" t="s">
        <v>179</v>
      </c>
    </row>
    <row r="197" spans="1:30" ht="15.6" x14ac:dyDescent="0.3">
      <c r="A197" s="55">
        <v>37189</v>
      </c>
      <c r="B197" s="56">
        <v>1386</v>
      </c>
      <c r="C197" s="56">
        <v>3350</v>
      </c>
      <c r="D197" s="56">
        <v>1023</v>
      </c>
      <c r="E197" s="56">
        <v>2313</v>
      </c>
      <c r="F197" s="56">
        <v>1060</v>
      </c>
      <c r="G197" s="56">
        <v>2143</v>
      </c>
      <c r="H197" s="56">
        <v>565</v>
      </c>
      <c r="I197" s="56">
        <v>1332</v>
      </c>
      <c r="J197" s="56">
        <v>214</v>
      </c>
      <c r="K197" s="56">
        <v>569</v>
      </c>
      <c r="L197" s="56">
        <v>4248</v>
      </c>
      <c r="M197" s="56">
        <v>9707</v>
      </c>
      <c r="N197" s="56">
        <v>6788</v>
      </c>
      <c r="O197" s="56">
        <v>6909</v>
      </c>
      <c r="P197" s="56">
        <v>8491</v>
      </c>
      <c r="Q197" s="56">
        <v>3495</v>
      </c>
      <c r="R197" s="16">
        <f t="shared" si="8"/>
        <v>19527</v>
      </c>
      <c r="S197" s="16">
        <f t="shared" si="9"/>
        <v>20111</v>
      </c>
      <c r="T197" s="18" t="s">
        <v>131</v>
      </c>
      <c r="U197" s="5">
        <v>19527</v>
      </c>
      <c r="V197" s="5">
        <f t="shared" si="12"/>
        <v>19452.75</v>
      </c>
      <c r="W197" s="5">
        <f t="shared" si="10"/>
        <v>16562.5</v>
      </c>
      <c r="X197" s="73">
        <f>N388</f>
        <v>3019</v>
      </c>
      <c r="AD197" s="18" t="s">
        <v>179</v>
      </c>
    </row>
    <row r="198" spans="1:30" ht="15.6" x14ac:dyDescent="0.3">
      <c r="A198" s="55">
        <v>37553</v>
      </c>
      <c r="B198" s="56">
        <v>1540</v>
      </c>
      <c r="C198" s="56">
        <v>3471</v>
      </c>
      <c r="D198" s="56">
        <v>691</v>
      </c>
      <c r="E198" s="56">
        <v>1173</v>
      </c>
      <c r="F198" s="56">
        <v>1582</v>
      </c>
      <c r="G198" s="56">
        <v>2858</v>
      </c>
      <c r="H198" s="56">
        <v>778</v>
      </c>
      <c r="I198" s="56">
        <v>1474</v>
      </c>
      <c r="J198" s="56">
        <v>169</v>
      </c>
      <c r="K198" s="56">
        <v>386</v>
      </c>
      <c r="L198" s="56">
        <v>4758</v>
      </c>
      <c r="M198" s="56">
        <v>9361</v>
      </c>
      <c r="N198" s="56">
        <v>6973</v>
      </c>
      <c r="O198" s="56">
        <v>5275</v>
      </c>
      <c r="P198" s="56">
        <v>8357</v>
      </c>
      <c r="Q198" s="56">
        <v>3088</v>
      </c>
      <c r="R198" s="16">
        <f t="shared" si="8"/>
        <v>20088</v>
      </c>
      <c r="S198" s="16">
        <f t="shared" si="9"/>
        <v>17724</v>
      </c>
      <c r="T198" s="18" t="s">
        <v>131</v>
      </c>
      <c r="U198" s="5">
        <v>20088</v>
      </c>
      <c r="V198" s="5">
        <f t="shared" si="12"/>
        <v>19720.75</v>
      </c>
      <c r="W198" s="5">
        <f t="shared" si="10"/>
        <v>17692.5</v>
      </c>
      <c r="X198" s="73">
        <f>N390</f>
        <v>2177</v>
      </c>
      <c r="AD198" s="18" t="s">
        <v>179</v>
      </c>
    </row>
    <row r="199" spans="1:30" ht="15.6" x14ac:dyDescent="0.3">
      <c r="A199" s="55">
        <v>37196</v>
      </c>
      <c r="B199" s="56">
        <v>1382</v>
      </c>
      <c r="C199" s="56">
        <v>3460</v>
      </c>
      <c r="D199" s="56">
        <v>1018</v>
      </c>
      <c r="E199" s="56">
        <v>2375</v>
      </c>
      <c r="F199" s="56">
        <v>1017</v>
      </c>
      <c r="G199" s="56">
        <v>2308</v>
      </c>
      <c r="H199" s="56">
        <v>573</v>
      </c>
      <c r="I199" s="56">
        <v>1371</v>
      </c>
      <c r="J199" s="56">
        <v>240</v>
      </c>
      <c r="K199" s="56">
        <v>573</v>
      </c>
      <c r="L199" s="56">
        <v>4229</v>
      </c>
      <c r="M199" s="56">
        <v>10087</v>
      </c>
      <c r="N199" s="56">
        <v>7028</v>
      </c>
      <c r="O199" s="56">
        <v>7569</v>
      </c>
      <c r="P199" s="56">
        <v>8606</v>
      </c>
      <c r="Q199" s="56">
        <v>4884</v>
      </c>
      <c r="R199" s="16">
        <f t="shared" si="8"/>
        <v>19863</v>
      </c>
      <c r="S199" s="16">
        <f t="shared" si="9"/>
        <v>22540</v>
      </c>
      <c r="T199" s="18" t="s">
        <v>132</v>
      </c>
      <c r="U199" s="5">
        <v>19863</v>
      </c>
      <c r="V199" s="5">
        <f t="shared" si="12"/>
        <v>19696</v>
      </c>
      <c r="W199" s="5">
        <f t="shared" si="10"/>
        <v>18954.75</v>
      </c>
      <c r="X199" s="73">
        <f>N392</f>
        <v>6936</v>
      </c>
      <c r="AD199" s="18" t="s">
        <v>180</v>
      </c>
    </row>
    <row r="200" spans="1:30" ht="15.6" x14ac:dyDescent="0.3">
      <c r="A200" s="55">
        <v>37560</v>
      </c>
      <c r="B200" s="56">
        <v>1418</v>
      </c>
      <c r="C200" s="56">
        <v>3625</v>
      </c>
      <c r="D200" s="56">
        <v>685</v>
      </c>
      <c r="E200" s="56">
        <v>1193</v>
      </c>
      <c r="F200" s="56">
        <v>1630</v>
      </c>
      <c r="G200" s="56">
        <v>2960</v>
      </c>
      <c r="H200" s="56">
        <v>790</v>
      </c>
      <c r="I200" s="56">
        <v>1542</v>
      </c>
      <c r="J200" s="56">
        <v>177</v>
      </c>
      <c r="K200" s="56">
        <v>386</v>
      </c>
      <c r="L200" s="56">
        <v>4700</v>
      </c>
      <c r="M200" s="56">
        <v>9705</v>
      </c>
      <c r="N200" s="56">
        <v>7629</v>
      </c>
      <c r="O200" s="56">
        <v>5705</v>
      </c>
      <c r="P200" s="56">
        <v>7843</v>
      </c>
      <c r="Q200" s="56">
        <v>4365</v>
      </c>
      <c r="R200" s="16">
        <f t="shared" ref="R200:R263" si="13">L200+N200+P200</f>
        <v>20172</v>
      </c>
      <c r="S200" s="16">
        <f t="shared" ref="S200:S263" si="14">M200+O200+Q200</f>
        <v>19775</v>
      </c>
      <c r="T200" s="18" t="s">
        <v>132</v>
      </c>
      <c r="U200" s="5">
        <v>20172</v>
      </c>
      <c r="V200" s="5">
        <f t="shared" si="12"/>
        <v>19912.5</v>
      </c>
      <c r="W200" s="5">
        <f t="shared" si="10"/>
        <v>20037.5</v>
      </c>
      <c r="X200" s="73">
        <f>N394</f>
        <v>7431</v>
      </c>
      <c r="AD200" s="18" t="s">
        <v>180</v>
      </c>
    </row>
    <row r="201" spans="1:30" ht="15.6" x14ac:dyDescent="0.3">
      <c r="A201" s="55">
        <v>37203</v>
      </c>
      <c r="B201" s="56">
        <v>1254</v>
      </c>
      <c r="C201" s="56">
        <v>3655</v>
      </c>
      <c r="D201" s="56">
        <v>937</v>
      </c>
      <c r="E201" s="56">
        <v>2497</v>
      </c>
      <c r="F201" s="56">
        <v>1019</v>
      </c>
      <c r="G201" s="56">
        <v>2438</v>
      </c>
      <c r="H201" s="56">
        <v>567</v>
      </c>
      <c r="I201" s="56">
        <v>1475</v>
      </c>
      <c r="J201" s="56">
        <v>265</v>
      </c>
      <c r="K201" s="56">
        <v>589</v>
      </c>
      <c r="L201" s="56">
        <v>4042</v>
      </c>
      <c r="M201" s="56">
        <v>10653</v>
      </c>
      <c r="N201" s="56">
        <v>6838</v>
      </c>
      <c r="O201" s="56">
        <v>8566</v>
      </c>
      <c r="P201" s="56">
        <v>8386</v>
      </c>
      <c r="Q201" s="56">
        <v>5846</v>
      </c>
      <c r="R201" s="16">
        <f t="shared" si="13"/>
        <v>19266</v>
      </c>
      <c r="S201" s="16">
        <f t="shared" si="14"/>
        <v>25065</v>
      </c>
      <c r="T201" s="18" t="s">
        <v>132</v>
      </c>
      <c r="U201" s="5">
        <v>19266</v>
      </c>
      <c r="V201" s="5">
        <f t="shared" si="12"/>
        <v>19847.25</v>
      </c>
      <c r="W201" s="5">
        <f t="shared" si="10"/>
        <v>21276</v>
      </c>
      <c r="X201" s="73">
        <f>N396</f>
        <v>7896</v>
      </c>
      <c r="AD201" s="18" t="s">
        <v>180</v>
      </c>
    </row>
    <row r="202" spans="1:30" ht="15.6" x14ac:dyDescent="0.3">
      <c r="A202" s="55">
        <v>37567</v>
      </c>
      <c r="B202" s="56">
        <v>1384</v>
      </c>
      <c r="C202" s="56">
        <v>3740</v>
      </c>
      <c r="D202" s="56">
        <v>723</v>
      </c>
      <c r="E202" s="56">
        <v>1224</v>
      </c>
      <c r="F202" s="56">
        <v>1625</v>
      </c>
      <c r="G202" s="56">
        <v>3090</v>
      </c>
      <c r="H202" s="56">
        <v>741</v>
      </c>
      <c r="I202" s="56">
        <v>1612</v>
      </c>
      <c r="J202" s="56">
        <v>183</v>
      </c>
      <c r="K202" s="56">
        <v>404</v>
      </c>
      <c r="L202" s="56">
        <v>4655</v>
      </c>
      <c r="M202" s="56">
        <v>10069</v>
      </c>
      <c r="N202" s="56">
        <v>7986</v>
      </c>
      <c r="O202" s="56">
        <v>6497</v>
      </c>
      <c r="P202" s="56">
        <v>7403</v>
      </c>
      <c r="Q202" s="56">
        <v>5601</v>
      </c>
      <c r="R202" s="16">
        <f t="shared" si="13"/>
        <v>20044</v>
      </c>
      <c r="S202" s="16">
        <f t="shared" si="14"/>
        <v>22167</v>
      </c>
      <c r="T202" s="18" t="s">
        <v>132</v>
      </c>
      <c r="U202" s="5">
        <v>20044</v>
      </c>
      <c r="V202" s="5">
        <f t="shared" si="12"/>
        <v>19836.25</v>
      </c>
      <c r="W202" s="5">
        <f t="shared" si="10"/>
        <v>22386.75</v>
      </c>
      <c r="X202" s="73">
        <f>N398</f>
        <v>7798</v>
      </c>
      <c r="AD202" s="18" t="s">
        <v>180</v>
      </c>
    </row>
    <row r="203" spans="1:30" ht="15.6" x14ac:dyDescent="0.3">
      <c r="A203" s="55">
        <v>37210</v>
      </c>
      <c r="B203" s="56">
        <v>1377</v>
      </c>
      <c r="C203" s="56">
        <v>3725</v>
      </c>
      <c r="D203" s="56">
        <v>766</v>
      </c>
      <c r="E203" s="56">
        <v>2767</v>
      </c>
      <c r="F203" s="56">
        <v>1095</v>
      </c>
      <c r="G203" s="56">
        <v>2490</v>
      </c>
      <c r="H203" s="56">
        <v>563</v>
      </c>
      <c r="I203" s="56">
        <v>1546</v>
      </c>
      <c r="J203" s="56">
        <v>236</v>
      </c>
      <c r="K203" s="56">
        <v>612</v>
      </c>
      <c r="L203" s="56">
        <v>4037</v>
      </c>
      <c r="M203" s="56">
        <v>11139</v>
      </c>
      <c r="N203" s="56">
        <v>6824</v>
      </c>
      <c r="O203" s="56">
        <v>9261</v>
      </c>
      <c r="P203" s="56">
        <v>8904</v>
      </c>
      <c r="Q203" s="56">
        <v>6732</v>
      </c>
      <c r="R203" s="16">
        <f t="shared" si="13"/>
        <v>19765</v>
      </c>
      <c r="S203" s="16">
        <f t="shared" si="14"/>
        <v>27132</v>
      </c>
      <c r="T203" s="18" t="s">
        <v>132</v>
      </c>
      <c r="U203" s="5">
        <v>19765</v>
      </c>
      <c r="V203" s="5">
        <f t="shared" si="12"/>
        <v>19811.75</v>
      </c>
      <c r="W203" s="5">
        <f t="shared" ref="W203:W266" si="15">AVERAGE(S200:S203)</f>
        <v>23534.75</v>
      </c>
      <c r="X203" s="73">
        <f>N400</f>
        <v>7397</v>
      </c>
      <c r="AD203" s="18" t="s">
        <v>180</v>
      </c>
    </row>
    <row r="204" spans="1:30" ht="15.6" x14ac:dyDescent="0.3">
      <c r="A204" s="55">
        <v>37574</v>
      </c>
      <c r="B204" s="56">
        <v>1427</v>
      </c>
      <c r="C204" s="56">
        <v>3887</v>
      </c>
      <c r="D204" s="56">
        <v>789</v>
      </c>
      <c r="E204" s="56">
        <v>1282</v>
      </c>
      <c r="F204" s="56">
        <v>1555</v>
      </c>
      <c r="G204" s="56">
        <v>3293</v>
      </c>
      <c r="H204" s="56">
        <v>876</v>
      </c>
      <c r="I204" s="56">
        <v>1647</v>
      </c>
      <c r="J204" s="56">
        <v>165</v>
      </c>
      <c r="K204" s="56">
        <v>426</v>
      </c>
      <c r="L204" s="56">
        <v>4812</v>
      </c>
      <c r="M204" s="56">
        <v>10535</v>
      </c>
      <c r="N204" s="56">
        <v>8119</v>
      </c>
      <c r="O204" s="56">
        <v>7302</v>
      </c>
      <c r="P204" s="56">
        <v>7513</v>
      </c>
      <c r="Q204" s="56">
        <v>6660</v>
      </c>
      <c r="R204" s="16">
        <f t="shared" si="13"/>
        <v>20444</v>
      </c>
      <c r="S204" s="16">
        <f t="shared" si="14"/>
        <v>24497</v>
      </c>
      <c r="T204" s="18" t="s">
        <v>133</v>
      </c>
      <c r="U204" s="5">
        <v>20444</v>
      </c>
      <c r="V204" s="5">
        <f t="shared" si="12"/>
        <v>19879.75</v>
      </c>
      <c r="W204" s="5">
        <f t="shared" si="15"/>
        <v>24715.25</v>
      </c>
      <c r="X204" s="73">
        <f>N402</f>
        <v>7934</v>
      </c>
      <c r="AD204" s="18" t="s">
        <v>181</v>
      </c>
    </row>
    <row r="205" spans="1:30" ht="15.6" x14ac:dyDescent="0.3">
      <c r="A205" s="55">
        <v>37217</v>
      </c>
      <c r="B205" s="56">
        <v>1334</v>
      </c>
      <c r="C205" s="56">
        <v>3983</v>
      </c>
      <c r="D205" s="56">
        <v>695</v>
      </c>
      <c r="E205" s="56">
        <v>2905</v>
      </c>
      <c r="F205" s="56">
        <v>1068</v>
      </c>
      <c r="G205" s="56">
        <v>2563</v>
      </c>
      <c r="H205" s="56">
        <v>542</v>
      </c>
      <c r="I205" s="56">
        <v>1608</v>
      </c>
      <c r="J205" s="56">
        <v>231</v>
      </c>
      <c r="K205" s="56">
        <v>621</v>
      </c>
      <c r="L205" s="56">
        <v>3870</v>
      </c>
      <c r="M205" s="56">
        <v>11680</v>
      </c>
      <c r="N205" s="56">
        <v>6603</v>
      </c>
      <c r="O205" s="56">
        <v>10131</v>
      </c>
      <c r="P205" s="56">
        <v>8608</v>
      </c>
      <c r="Q205" s="56">
        <v>8029</v>
      </c>
      <c r="R205" s="16">
        <f t="shared" si="13"/>
        <v>19081</v>
      </c>
      <c r="S205" s="16">
        <f t="shared" si="14"/>
        <v>29840</v>
      </c>
      <c r="T205" s="18" t="s">
        <v>133</v>
      </c>
      <c r="U205" s="5">
        <v>19081</v>
      </c>
      <c r="V205" s="5">
        <f t="shared" si="12"/>
        <v>19833.5</v>
      </c>
      <c r="W205" s="5">
        <f t="shared" si="15"/>
        <v>25909</v>
      </c>
      <c r="X205" s="73">
        <f>N404</f>
        <v>8638</v>
      </c>
      <c r="AD205" s="18" t="s">
        <v>181</v>
      </c>
    </row>
    <row r="206" spans="1:30" ht="15.6" x14ac:dyDescent="0.3">
      <c r="A206" s="55">
        <v>37581</v>
      </c>
      <c r="B206" s="56">
        <v>1276</v>
      </c>
      <c r="C206" s="56">
        <v>4074</v>
      </c>
      <c r="D206" s="56">
        <v>787</v>
      </c>
      <c r="E206" s="56">
        <v>1317</v>
      </c>
      <c r="F206" s="56">
        <v>1557</v>
      </c>
      <c r="G206" s="56">
        <v>3476</v>
      </c>
      <c r="H206" s="56">
        <v>852</v>
      </c>
      <c r="I206" s="56">
        <v>1733</v>
      </c>
      <c r="J206" s="56">
        <v>162</v>
      </c>
      <c r="K206" s="56">
        <v>442</v>
      </c>
      <c r="L206" s="56">
        <v>4633</v>
      </c>
      <c r="M206" s="56">
        <v>11042</v>
      </c>
      <c r="N206" s="56">
        <v>8308</v>
      </c>
      <c r="O206" s="56">
        <v>8275</v>
      </c>
      <c r="P206" s="56">
        <v>7603</v>
      </c>
      <c r="Q206" s="56">
        <v>7569</v>
      </c>
      <c r="R206" s="16">
        <f t="shared" si="13"/>
        <v>20544</v>
      </c>
      <c r="S206" s="16">
        <f t="shared" si="14"/>
        <v>26886</v>
      </c>
      <c r="T206" s="18" t="s">
        <v>133</v>
      </c>
      <c r="U206" s="5">
        <v>20544</v>
      </c>
      <c r="V206" s="5">
        <f t="shared" si="12"/>
        <v>19958.5</v>
      </c>
      <c r="W206" s="5">
        <f t="shared" si="15"/>
        <v>27088.75</v>
      </c>
      <c r="X206" s="73">
        <f>N406</f>
        <v>8532</v>
      </c>
      <c r="AD206" s="18" t="s">
        <v>181</v>
      </c>
    </row>
    <row r="207" spans="1:30" ht="15.6" x14ac:dyDescent="0.3">
      <c r="A207" s="55">
        <v>37224</v>
      </c>
      <c r="B207" s="56">
        <v>1241</v>
      </c>
      <c r="C207" s="56">
        <v>4231</v>
      </c>
      <c r="D207" s="56">
        <v>679</v>
      </c>
      <c r="E207" s="56">
        <v>3004</v>
      </c>
      <c r="F207" s="56">
        <v>1068</v>
      </c>
      <c r="G207" s="56">
        <v>2751</v>
      </c>
      <c r="H207" s="56">
        <v>549</v>
      </c>
      <c r="I207" s="56">
        <v>1708</v>
      </c>
      <c r="J207" s="56">
        <v>275</v>
      </c>
      <c r="K207" s="56">
        <v>623</v>
      </c>
      <c r="L207" s="56">
        <v>3812</v>
      </c>
      <c r="M207" s="56">
        <v>12316</v>
      </c>
      <c r="N207" s="56">
        <v>7635</v>
      </c>
      <c r="O207" s="56">
        <v>10618</v>
      </c>
      <c r="P207" s="56">
        <v>8499</v>
      </c>
      <c r="Q207" s="56">
        <v>8992</v>
      </c>
      <c r="R207" s="16">
        <f t="shared" si="13"/>
        <v>19946</v>
      </c>
      <c r="S207" s="16">
        <f t="shared" si="14"/>
        <v>31926</v>
      </c>
      <c r="T207" s="18" t="s">
        <v>133</v>
      </c>
      <c r="U207" s="5">
        <v>19946</v>
      </c>
      <c r="V207" s="5">
        <f t="shared" si="12"/>
        <v>20003.75</v>
      </c>
      <c r="W207" s="5">
        <f t="shared" si="15"/>
        <v>28287.25</v>
      </c>
      <c r="X207" s="73">
        <f>N408</f>
        <v>9340</v>
      </c>
      <c r="AD207" s="18" t="s">
        <v>181</v>
      </c>
    </row>
    <row r="208" spans="1:30" ht="15.6" x14ac:dyDescent="0.3">
      <c r="A208" s="55">
        <v>37588</v>
      </c>
      <c r="B208" s="56">
        <v>1205</v>
      </c>
      <c r="C208" s="56">
        <v>4277</v>
      </c>
      <c r="D208" s="56">
        <v>755</v>
      </c>
      <c r="E208" s="56">
        <v>1362</v>
      </c>
      <c r="F208" s="56">
        <v>1443</v>
      </c>
      <c r="G208" s="56">
        <v>3602</v>
      </c>
      <c r="H208" s="56">
        <v>795</v>
      </c>
      <c r="I208" s="56">
        <v>1802</v>
      </c>
      <c r="J208" s="56">
        <v>158</v>
      </c>
      <c r="K208" s="56">
        <v>446</v>
      </c>
      <c r="L208" s="56">
        <v>4355</v>
      </c>
      <c r="M208" s="56">
        <v>11488</v>
      </c>
      <c r="N208" s="56">
        <v>7922</v>
      </c>
      <c r="O208" s="56">
        <v>9334</v>
      </c>
      <c r="P208" s="56">
        <v>7483</v>
      </c>
      <c r="Q208" s="56">
        <v>8380</v>
      </c>
      <c r="R208" s="16">
        <f t="shared" si="13"/>
        <v>19760</v>
      </c>
      <c r="S208" s="16">
        <f t="shared" si="14"/>
        <v>29202</v>
      </c>
      <c r="T208" s="18" t="s">
        <v>134</v>
      </c>
      <c r="U208" s="5">
        <v>19760</v>
      </c>
      <c r="V208" s="5">
        <f t="shared" si="12"/>
        <v>19832.75</v>
      </c>
      <c r="W208" s="5">
        <f t="shared" si="15"/>
        <v>29463.5</v>
      </c>
      <c r="X208" s="73">
        <f>N410</f>
        <v>9053</v>
      </c>
      <c r="AD208" s="18" t="s">
        <v>182</v>
      </c>
    </row>
    <row r="209" spans="1:30" ht="15.6" x14ac:dyDescent="0.3">
      <c r="A209" s="55">
        <v>37231</v>
      </c>
      <c r="B209" s="56">
        <v>1251</v>
      </c>
      <c r="C209" s="56">
        <v>4412</v>
      </c>
      <c r="D209" s="56">
        <v>563</v>
      </c>
      <c r="E209" s="56">
        <v>3175</v>
      </c>
      <c r="F209" s="56">
        <v>1050</v>
      </c>
      <c r="G209" s="56">
        <v>2938</v>
      </c>
      <c r="H209" s="56">
        <v>533</v>
      </c>
      <c r="I209" s="56">
        <v>1767</v>
      </c>
      <c r="J209" s="56">
        <v>216</v>
      </c>
      <c r="K209" s="56">
        <v>689</v>
      </c>
      <c r="L209" s="56">
        <v>3614</v>
      </c>
      <c r="M209" s="56">
        <v>12981</v>
      </c>
      <c r="N209" s="56">
        <v>7541</v>
      </c>
      <c r="O209" s="56">
        <v>11595</v>
      </c>
      <c r="P209" s="56">
        <v>8468</v>
      </c>
      <c r="Q209" s="56">
        <v>9828</v>
      </c>
      <c r="R209" s="16">
        <f t="shared" si="13"/>
        <v>19623</v>
      </c>
      <c r="S209" s="16">
        <f t="shared" si="14"/>
        <v>34404</v>
      </c>
      <c r="T209" s="18" t="s">
        <v>134</v>
      </c>
      <c r="U209" s="5">
        <v>19623</v>
      </c>
      <c r="V209" s="5">
        <f t="shared" si="12"/>
        <v>19968.25</v>
      </c>
      <c r="W209" s="5">
        <f t="shared" si="15"/>
        <v>30604.5</v>
      </c>
      <c r="X209" s="73">
        <f>N412</f>
        <v>8741</v>
      </c>
      <c r="AD209" s="18" t="s">
        <v>182</v>
      </c>
    </row>
    <row r="210" spans="1:30" ht="15.6" x14ac:dyDescent="0.3">
      <c r="A210" s="55">
        <v>37595</v>
      </c>
      <c r="B210" s="56">
        <v>1154</v>
      </c>
      <c r="C210" s="56">
        <v>4362</v>
      </c>
      <c r="D210" s="56">
        <v>726</v>
      </c>
      <c r="E210" s="56">
        <v>1412</v>
      </c>
      <c r="F210" s="56">
        <v>1389</v>
      </c>
      <c r="G210" s="56">
        <v>3735</v>
      </c>
      <c r="H210" s="56">
        <v>722</v>
      </c>
      <c r="I210" s="56">
        <v>1874</v>
      </c>
      <c r="J210" s="56">
        <v>153</v>
      </c>
      <c r="K210" s="56">
        <v>466</v>
      </c>
      <c r="L210" s="56">
        <v>4144</v>
      </c>
      <c r="M210" s="56">
        <v>11849</v>
      </c>
      <c r="N210" s="56">
        <v>7415</v>
      </c>
      <c r="O210" s="56">
        <v>10448</v>
      </c>
      <c r="P210" s="56">
        <v>7939</v>
      </c>
      <c r="Q210" s="56">
        <v>9247</v>
      </c>
      <c r="R210" s="16">
        <f t="shared" si="13"/>
        <v>19498</v>
      </c>
      <c r="S210" s="16">
        <f t="shared" si="14"/>
        <v>31544</v>
      </c>
      <c r="T210" s="18" t="s">
        <v>134</v>
      </c>
      <c r="U210" s="5">
        <v>19498</v>
      </c>
      <c r="V210" s="5">
        <f t="shared" si="12"/>
        <v>19706.75</v>
      </c>
      <c r="W210" s="5">
        <f t="shared" si="15"/>
        <v>31769</v>
      </c>
      <c r="X210" s="73">
        <f>N414</f>
        <v>9141</v>
      </c>
      <c r="AD210" s="18" t="s">
        <v>182</v>
      </c>
    </row>
    <row r="211" spans="1:30" ht="15.6" x14ac:dyDescent="0.3">
      <c r="A211" s="55">
        <v>37238</v>
      </c>
      <c r="B211" s="56">
        <v>1231</v>
      </c>
      <c r="C211" s="56">
        <v>4667</v>
      </c>
      <c r="D211" s="56">
        <v>536</v>
      </c>
      <c r="E211" s="56">
        <v>3266</v>
      </c>
      <c r="F211" s="56">
        <v>1009</v>
      </c>
      <c r="G211" s="56">
        <v>3054</v>
      </c>
      <c r="H211" s="56">
        <v>590</v>
      </c>
      <c r="I211" s="56">
        <v>1800</v>
      </c>
      <c r="J211" s="56">
        <v>179</v>
      </c>
      <c r="K211" s="56">
        <v>730</v>
      </c>
      <c r="L211" s="56">
        <v>3546</v>
      </c>
      <c r="M211" s="56">
        <v>13517</v>
      </c>
      <c r="N211" s="56">
        <v>7399</v>
      </c>
      <c r="O211" s="56">
        <v>12339</v>
      </c>
      <c r="P211" s="56">
        <v>8794</v>
      </c>
      <c r="Q211" s="56">
        <v>10494</v>
      </c>
      <c r="R211" s="16">
        <f t="shared" si="13"/>
        <v>19739</v>
      </c>
      <c r="S211" s="16">
        <f t="shared" si="14"/>
        <v>36350</v>
      </c>
      <c r="T211" s="18" t="s">
        <v>134</v>
      </c>
      <c r="U211" s="5">
        <v>19739</v>
      </c>
      <c r="V211" s="5">
        <f t="shared" si="12"/>
        <v>19655</v>
      </c>
      <c r="W211" s="5">
        <f t="shared" si="15"/>
        <v>32875</v>
      </c>
      <c r="X211" s="73">
        <f>N416</f>
        <v>8917</v>
      </c>
      <c r="AD211" s="18" t="s">
        <v>182</v>
      </c>
    </row>
    <row r="212" spans="1:30" ht="15.6" x14ac:dyDescent="0.3">
      <c r="A212" s="55">
        <v>37602</v>
      </c>
      <c r="B212" s="56">
        <v>1155</v>
      </c>
      <c r="C212" s="56">
        <v>4446</v>
      </c>
      <c r="D212" s="56">
        <v>765</v>
      </c>
      <c r="E212" s="56">
        <v>1436</v>
      </c>
      <c r="F212" s="56">
        <v>1266</v>
      </c>
      <c r="G212" s="56">
        <v>3901</v>
      </c>
      <c r="H212" s="56">
        <v>697</v>
      </c>
      <c r="I212" s="56">
        <v>1980</v>
      </c>
      <c r="J212" s="56">
        <v>137</v>
      </c>
      <c r="K212" s="56">
        <v>501</v>
      </c>
      <c r="L212" s="56">
        <v>4009</v>
      </c>
      <c r="M212" s="56">
        <v>12263</v>
      </c>
      <c r="N212" s="56">
        <v>7081</v>
      </c>
      <c r="O212" s="56">
        <v>11444</v>
      </c>
      <c r="P212" s="56">
        <v>8242</v>
      </c>
      <c r="Q212" s="56">
        <v>9990</v>
      </c>
      <c r="R212" s="16">
        <f t="shared" si="13"/>
        <v>19332</v>
      </c>
      <c r="S212" s="16">
        <f t="shared" si="14"/>
        <v>33697</v>
      </c>
      <c r="T212" s="18" t="s">
        <v>135</v>
      </c>
      <c r="U212" s="5">
        <v>19332</v>
      </c>
      <c r="V212" s="5">
        <f t="shared" si="12"/>
        <v>19548</v>
      </c>
      <c r="W212" s="5">
        <f t="shared" si="15"/>
        <v>33998.75</v>
      </c>
      <c r="X212" s="73">
        <f>N418</f>
        <v>8624</v>
      </c>
      <c r="AD212" s="18" t="s">
        <v>183</v>
      </c>
    </row>
    <row r="213" spans="1:30" ht="15.6" x14ac:dyDescent="0.3">
      <c r="A213" s="55">
        <v>37245</v>
      </c>
      <c r="B213" s="56">
        <v>1254</v>
      </c>
      <c r="C213" s="56">
        <v>4821</v>
      </c>
      <c r="D213" s="56">
        <v>556</v>
      </c>
      <c r="E213" s="56">
        <v>3368</v>
      </c>
      <c r="F213" s="56">
        <v>965</v>
      </c>
      <c r="G213" s="56">
        <v>3163</v>
      </c>
      <c r="H213" s="56">
        <v>604</v>
      </c>
      <c r="I213" s="56">
        <v>1861</v>
      </c>
      <c r="J213" s="56">
        <v>118</v>
      </c>
      <c r="K213" s="56">
        <v>800</v>
      </c>
      <c r="L213" s="56">
        <v>3497</v>
      </c>
      <c r="M213" s="56">
        <v>14012</v>
      </c>
      <c r="N213" s="56">
        <v>7596</v>
      </c>
      <c r="O213" s="56">
        <v>13033</v>
      </c>
      <c r="P213" s="56">
        <v>8135</v>
      </c>
      <c r="Q213" s="56">
        <v>11722</v>
      </c>
      <c r="R213" s="16">
        <f t="shared" si="13"/>
        <v>19228</v>
      </c>
      <c r="S213" s="16">
        <f t="shared" si="14"/>
        <v>38767</v>
      </c>
      <c r="T213" s="18" t="s">
        <v>135</v>
      </c>
      <c r="U213" s="5">
        <v>19228</v>
      </c>
      <c r="V213" s="5">
        <f t="shared" si="12"/>
        <v>19449.25</v>
      </c>
      <c r="W213" s="5">
        <f t="shared" si="15"/>
        <v>35089.5</v>
      </c>
      <c r="X213" s="73">
        <f>N420</f>
        <v>8113</v>
      </c>
      <c r="AD213" s="18" t="s">
        <v>183</v>
      </c>
    </row>
    <row r="214" spans="1:30" ht="15.6" x14ac:dyDescent="0.3">
      <c r="A214" s="55">
        <v>37609</v>
      </c>
      <c r="B214" s="56">
        <v>1172</v>
      </c>
      <c r="C214" s="56">
        <v>4506</v>
      </c>
      <c r="D214" s="56">
        <v>800</v>
      </c>
      <c r="E214" s="56">
        <v>1452</v>
      </c>
      <c r="F214" s="56">
        <v>1357</v>
      </c>
      <c r="G214" s="56">
        <v>3987</v>
      </c>
      <c r="H214" s="56">
        <v>679</v>
      </c>
      <c r="I214" s="56">
        <v>2029</v>
      </c>
      <c r="J214" s="56">
        <v>135</v>
      </c>
      <c r="K214" s="56">
        <v>506</v>
      </c>
      <c r="L214" s="56">
        <v>4143</v>
      </c>
      <c r="M214" s="56">
        <v>12480</v>
      </c>
      <c r="N214" s="56">
        <v>6635</v>
      </c>
      <c r="O214" s="56">
        <v>12568</v>
      </c>
      <c r="P214" s="56">
        <v>8749</v>
      </c>
      <c r="Q214" s="56">
        <v>10608</v>
      </c>
      <c r="R214" s="16">
        <f t="shared" si="13"/>
        <v>19527</v>
      </c>
      <c r="S214" s="16">
        <f t="shared" si="14"/>
        <v>35656</v>
      </c>
      <c r="T214" s="18" t="s">
        <v>135</v>
      </c>
      <c r="U214" s="5">
        <v>19527</v>
      </c>
      <c r="V214" s="5">
        <f t="shared" si="12"/>
        <v>19456.5</v>
      </c>
      <c r="W214" s="5">
        <f t="shared" si="15"/>
        <v>36117.5</v>
      </c>
      <c r="X214" s="73">
        <f>N422</f>
        <v>7770</v>
      </c>
      <c r="AD214" s="18" t="s">
        <v>183</v>
      </c>
    </row>
    <row r="215" spans="1:30" ht="15.6" x14ac:dyDescent="0.3">
      <c r="A215" s="55">
        <v>37252</v>
      </c>
      <c r="B215" s="56">
        <v>1220</v>
      </c>
      <c r="C215" s="56">
        <v>4895</v>
      </c>
      <c r="D215" s="56">
        <v>623</v>
      </c>
      <c r="E215" s="56">
        <v>3403</v>
      </c>
      <c r="F215" s="56">
        <v>948</v>
      </c>
      <c r="G215" s="56">
        <v>3239</v>
      </c>
      <c r="H215" s="56">
        <v>563</v>
      </c>
      <c r="I215" s="56">
        <v>1902</v>
      </c>
      <c r="J215" s="56">
        <v>118</v>
      </c>
      <c r="K215" s="56">
        <v>800</v>
      </c>
      <c r="L215" s="56">
        <v>3472</v>
      </c>
      <c r="M215" s="56">
        <v>14238</v>
      </c>
      <c r="N215" s="56">
        <v>7347</v>
      </c>
      <c r="O215" s="56">
        <v>13825</v>
      </c>
      <c r="P215" s="56">
        <v>7821</v>
      </c>
      <c r="Q215" s="56">
        <v>12383</v>
      </c>
      <c r="R215" s="16">
        <f t="shared" si="13"/>
        <v>18640</v>
      </c>
      <c r="S215" s="16">
        <f t="shared" si="14"/>
        <v>40446</v>
      </c>
      <c r="T215" s="18" t="s">
        <v>135</v>
      </c>
      <c r="U215" s="5">
        <v>18640</v>
      </c>
      <c r="V215" s="5">
        <f t="shared" si="12"/>
        <v>19181.75</v>
      </c>
      <c r="W215" s="5">
        <f t="shared" si="15"/>
        <v>37141.5</v>
      </c>
      <c r="X215" s="73">
        <f>N424</f>
        <v>7496</v>
      </c>
      <c r="AD215" s="18" t="s">
        <v>183</v>
      </c>
    </row>
    <row r="216" spans="1:30" ht="15.6" x14ac:dyDescent="0.3">
      <c r="A216" s="55">
        <v>37616</v>
      </c>
      <c r="B216" s="56">
        <v>1083</v>
      </c>
      <c r="C216" s="56">
        <v>4581</v>
      </c>
      <c r="D216" s="56">
        <v>730</v>
      </c>
      <c r="E216" s="56">
        <v>1546</v>
      </c>
      <c r="F216" s="56">
        <v>1230</v>
      </c>
      <c r="G216" s="56">
        <v>4104</v>
      </c>
      <c r="H216" s="56">
        <v>618</v>
      </c>
      <c r="I216" s="56">
        <v>2068</v>
      </c>
      <c r="J216" s="56">
        <v>123</v>
      </c>
      <c r="K216" s="56">
        <v>518</v>
      </c>
      <c r="L216" s="56">
        <v>3783</v>
      </c>
      <c r="M216" s="56">
        <v>12818</v>
      </c>
      <c r="N216" s="56">
        <v>6561</v>
      </c>
      <c r="O216" s="56">
        <v>13037</v>
      </c>
      <c r="P216" s="56">
        <v>8262</v>
      </c>
      <c r="Q216" s="56">
        <v>11347</v>
      </c>
      <c r="R216" s="16">
        <f t="shared" si="13"/>
        <v>18606</v>
      </c>
      <c r="S216" s="16">
        <f t="shared" si="14"/>
        <v>37202</v>
      </c>
      <c r="T216" s="18" t="s">
        <v>135</v>
      </c>
      <c r="U216" s="5">
        <v>18606</v>
      </c>
      <c r="V216" s="5">
        <f t="shared" si="12"/>
        <v>19000.25</v>
      </c>
      <c r="W216" s="5">
        <f t="shared" si="15"/>
        <v>38017.75</v>
      </c>
      <c r="X216" s="73">
        <f>N426</f>
        <v>6975</v>
      </c>
      <c r="AD216" s="18" t="s">
        <v>183</v>
      </c>
    </row>
    <row r="217" spans="1:30" ht="15.6" x14ac:dyDescent="0.3">
      <c r="A217" s="55">
        <v>37259</v>
      </c>
      <c r="B217" s="56">
        <v>1124</v>
      </c>
      <c r="C217" s="56">
        <v>5046</v>
      </c>
      <c r="D217" s="56">
        <v>633</v>
      </c>
      <c r="E217" s="56">
        <v>3534</v>
      </c>
      <c r="F217" s="56">
        <v>936</v>
      </c>
      <c r="G217" s="56">
        <v>3316</v>
      </c>
      <c r="H217" s="56">
        <v>617</v>
      </c>
      <c r="I217" s="56">
        <v>1934</v>
      </c>
      <c r="J217" s="56">
        <v>124</v>
      </c>
      <c r="K217" s="56">
        <v>800</v>
      </c>
      <c r="L217" s="56">
        <v>3433</v>
      </c>
      <c r="M217" s="56">
        <v>14629</v>
      </c>
      <c r="N217" s="56">
        <v>6830</v>
      </c>
      <c r="O217" s="56">
        <v>14456</v>
      </c>
      <c r="P217" s="56">
        <v>7739</v>
      </c>
      <c r="Q217" s="56">
        <v>12986</v>
      </c>
      <c r="R217" s="16">
        <f t="shared" si="13"/>
        <v>18002</v>
      </c>
      <c r="S217" s="16">
        <f t="shared" si="14"/>
        <v>42071</v>
      </c>
      <c r="T217" s="18" t="s">
        <v>136</v>
      </c>
      <c r="U217" s="5">
        <v>18002</v>
      </c>
      <c r="V217" s="5">
        <f t="shared" si="12"/>
        <v>18693.75</v>
      </c>
      <c r="W217" s="5">
        <f t="shared" si="15"/>
        <v>38843.75</v>
      </c>
      <c r="X217" s="73">
        <f>N428</f>
        <v>6999</v>
      </c>
      <c r="Y217" s="72">
        <f>P428</f>
        <v>5692</v>
      </c>
      <c r="Z217" s="73">
        <f>L428</f>
        <v>3792</v>
      </c>
      <c r="AA217" s="73"/>
      <c r="AB217" s="73"/>
      <c r="AD217" s="18">
        <v>38358</v>
      </c>
    </row>
    <row r="218" spans="1:30" ht="15.6" x14ac:dyDescent="0.3">
      <c r="A218" s="55">
        <v>37623</v>
      </c>
      <c r="B218" s="56">
        <v>1017</v>
      </c>
      <c r="C218" s="56">
        <v>4682</v>
      </c>
      <c r="D218" s="56">
        <v>580</v>
      </c>
      <c r="E218" s="56">
        <v>1707</v>
      </c>
      <c r="F218" s="56">
        <v>1161</v>
      </c>
      <c r="G218" s="56">
        <v>4244</v>
      </c>
      <c r="H218" s="56">
        <v>535</v>
      </c>
      <c r="I218" s="56">
        <v>2181</v>
      </c>
      <c r="J218" s="56">
        <v>123</v>
      </c>
      <c r="K218" s="56">
        <v>518</v>
      </c>
      <c r="L218" s="56">
        <v>3415</v>
      </c>
      <c r="M218" s="56">
        <v>13332</v>
      </c>
      <c r="N218" s="56">
        <v>5860</v>
      </c>
      <c r="O218" s="56">
        <v>13997</v>
      </c>
      <c r="P218" s="56">
        <v>7980</v>
      </c>
      <c r="Q218" s="56">
        <v>12015</v>
      </c>
      <c r="R218" s="16">
        <f t="shared" si="13"/>
        <v>17255</v>
      </c>
      <c r="S218" s="16">
        <f t="shared" si="14"/>
        <v>39344</v>
      </c>
      <c r="T218" s="18" t="s">
        <v>136</v>
      </c>
      <c r="U218" s="5">
        <v>17255</v>
      </c>
      <c r="V218" s="5">
        <f t="shared" si="12"/>
        <v>18125.75</v>
      </c>
      <c r="W218" s="5">
        <f t="shared" si="15"/>
        <v>39765.75</v>
      </c>
      <c r="X218" s="73">
        <f>N430</f>
        <v>7157</v>
      </c>
      <c r="Y218" s="72">
        <f>P430</f>
        <v>5732</v>
      </c>
      <c r="Z218" s="73">
        <f>L430</f>
        <v>3874</v>
      </c>
      <c r="AA218" s="73"/>
      <c r="AB218" s="73"/>
      <c r="AD218" s="18">
        <v>38365</v>
      </c>
    </row>
    <row r="219" spans="1:30" ht="15.6" x14ac:dyDescent="0.3">
      <c r="A219" s="55">
        <v>37266</v>
      </c>
      <c r="B219" s="56">
        <v>1003</v>
      </c>
      <c r="C219" s="56">
        <v>5279</v>
      </c>
      <c r="D219" s="56">
        <v>693</v>
      </c>
      <c r="E219" s="56">
        <v>3568</v>
      </c>
      <c r="F219" s="56">
        <v>943</v>
      </c>
      <c r="G219" s="56">
        <v>3404</v>
      </c>
      <c r="H219" s="56">
        <v>592</v>
      </c>
      <c r="I219" s="56">
        <v>1996</v>
      </c>
      <c r="J219" s="56">
        <v>124</v>
      </c>
      <c r="K219" s="56">
        <v>800</v>
      </c>
      <c r="L219" s="56">
        <v>3354</v>
      </c>
      <c r="M219" s="56">
        <v>15046</v>
      </c>
      <c r="N219" s="56">
        <v>7110</v>
      </c>
      <c r="O219" s="56">
        <v>15092</v>
      </c>
      <c r="P219" s="56">
        <v>7816</v>
      </c>
      <c r="Q219" s="56">
        <v>14039</v>
      </c>
      <c r="R219" s="16">
        <f t="shared" si="13"/>
        <v>18280</v>
      </c>
      <c r="S219" s="16">
        <f t="shared" si="14"/>
        <v>44177</v>
      </c>
      <c r="T219" s="18" t="s">
        <v>136</v>
      </c>
      <c r="U219" s="5">
        <v>18280</v>
      </c>
      <c r="V219" s="5">
        <f t="shared" si="12"/>
        <v>18035.75</v>
      </c>
      <c r="W219" s="5">
        <f t="shared" si="15"/>
        <v>40698.5</v>
      </c>
      <c r="X219" s="73">
        <f>N432</f>
        <v>6840</v>
      </c>
      <c r="Y219" s="73">
        <f>P432</f>
        <v>5116</v>
      </c>
      <c r="Z219" s="73">
        <f>L432</f>
        <v>3664</v>
      </c>
      <c r="AA219" s="73"/>
      <c r="AB219" s="73"/>
      <c r="AD219" s="18">
        <v>38372</v>
      </c>
    </row>
    <row r="220" spans="1:30" ht="15.6" x14ac:dyDescent="0.3">
      <c r="A220" s="55">
        <v>37630</v>
      </c>
      <c r="B220" s="56">
        <v>951</v>
      </c>
      <c r="C220" s="56">
        <v>4785</v>
      </c>
      <c r="D220" s="56">
        <v>527</v>
      </c>
      <c r="E220" s="56">
        <v>1893</v>
      </c>
      <c r="F220" s="56">
        <v>1103</v>
      </c>
      <c r="G220" s="56">
        <v>4400</v>
      </c>
      <c r="H220" s="56">
        <v>526</v>
      </c>
      <c r="I220" s="56">
        <v>2309</v>
      </c>
      <c r="J220" s="56">
        <v>113</v>
      </c>
      <c r="K220" s="56">
        <v>525</v>
      </c>
      <c r="L220" s="56">
        <v>3220</v>
      </c>
      <c r="M220" s="56">
        <v>13911</v>
      </c>
      <c r="N220" s="56">
        <v>5635</v>
      </c>
      <c r="O220" s="56">
        <v>14848</v>
      </c>
      <c r="P220" s="56">
        <v>8278</v>
      </c>
      <c r="Q220" s="56">
        <v>13082</v>
      </c>
      <c r="R220" s="16">
        <f t="shared" si="13"/>
        <v>17133</v>
      </c>
      <c r="S220" s="16">
        <f t="shared" si="14"/>
        <v>41841</v>
      </c>
      <c r="T220" s="18" t="s">
        <v>136</v>
      </c>
      <c r="U220" s="5">
        <v>17133</v>
      </c>
      <c r="V220" s="5">
        <f t="shared" si="12"/>
        <v>17667.5</v>
      </c>
      <c r="W220" s="5">
        <f t="shared" si="15"/>
        <v>41858.25</v>
      </c>
      <c r="X220" s="73">
        <f>N434</f>
        <v>6257</v>
      </c>
      <c r="Y220" s="73">
        <f>P434</f>
        <v>4951</v>
      </c>
      <c r="Z220" s="73">
        <f>L434</f>
        <v>3886</v>
      </c>
      <c r="AA220" s="73"/>
      <c r="AB220" s="73"/>
      <c r="AD220" s="18">
        <v>38379</v>
      </c>
    </row>
    <row r="221" spans="1:30" ht="15.6" x14ac:dyDescent="0.3">
      <c r="A221" s="55">
        <v>37273</v>
      </c>
      <c r="B221" s="56">
        <v>1192</v>
      </c>
      <c r="C221" s="56">
        <v>5454</v>
      </c>
      <c r="D221" s="56">
        <v>702</v>
      </c>
      <c r="E221" s="56">
        <v>3639</v>
      </c>
      <c r="F221" s="56">
        <v>934</v>
      </c>
      <c r="G221" s="56">
        <v>3554</v>
      </c>
      <c r="H221" s="56">
        <v>595</v>
      </c>
      <c r="I221" s="56">
        <v>2057</v>
      </c>
      <c r="J221" s="56">
        <v>132</v>
      </c>
      <c r="K221" s="56">
        <v>810</v>
      </c>
      <c r="L221" s="56">
        <v>3555</v>
      </c>
      <c r="M221" s="56">
        <v>15514</v>
      </c>
      <c r="N221" s="56">
        <v>7432</v>
      </c>
      <c r="O221" s="56">
        <v>16017</v>
      </c>
      <c r="P221" s="56">
        <v>7522</v>
      </c>
      <c r="Q221" s="56">
        <v>15087</v>
      </c>
      <c r="R221" s="16">
        <f t="shared" si="13"/>
        <v>18509</v>
      </c>
      <c r="S221" s="16">
        <f t="shared" si="14"/>
        <v>46618</v>
      </c>
      <c r="T221" s="18" t="s">
        <v>137</v>
      </c>
      <c r="U221" s="5">
        <v>18509</v>
      </c>
      <c r="V221" s="5">
        <f t="shared" si="12"/>
        <v>17794.25</v>
      </c>
      <c r="W221" s="5">
        <f t="shared" si="15"/>
        <v>42995</v>
      </c>
      <c r="X221" s="73">
        <f>N436</f>
        <v>6744</v>
      </c>
      <c r="Y221" s="73">
        <f>P436</f>
        <v>4807</v>
      </c>
      <c r="Z221" s="73">
        <f>L436</f>
        <v>4007</v>
      </c>
      <c r="AA221" s="73"/>
      <c r="AB221" s="73"/>
      <c r="AD221" s="18">
        <v>38386</v>
      </c>
    </row>
    <row r="222" spans="1:30" ht="15.6" x14ac:dyDescent="0.3">
      <c r="A222" s="55">
        <v>37637</v>
      </c>
      <c r="B222" s="56">
        <v>1014</v>
      </c>
      <c r="C222" s="56">
        <v>4887</v>
      </c>
      <c r="D222" s="56">
        <v>497</v>
      </c>
      <c r="E222" s="56">
        <v>2004</v>
      </c>
      <c r="F222" s="56">
        <v>1147</v>
      </c>
      <c r="G222" s="56">
        <v>4478</v>
      </c>
      <c r="H222" s="56">
        <v>533</v>
      </c>
      <c r="I222" s="56">
        <v>2341</v>
      </c>
      <c r="J222" s="56">
        <v>116</v>
      </c>
      <c r="K222" s="56">
        <v>533</v>
      </c>
      <c r="L222" s="56">
        <v>3307</v>
      </c>
      <c r="M222" s="56">
        <v>14242</v>
      </c>
      <c r="N222" s="56">
        <v>5596</v>
      </c>
      <c r="O222" s="56">
        <v>15559</v>
      </c>
      <c r="P222" s="56">
        <v>7921</v>
      </c>
      <c r="Q222" s="56">
        <v>14011</v>
      </c>
      <c r="R222" s="16">
        <f t="shared" si="13"/>
        <v>16824</v>
      </c>
      <c r="S222" s="16">
        <f t="shared" si="14"/>
        <v>43812</v>
      </c>
      <c r="T222" s="18" t="s">
        <v>137</v>
      </c>
      <c r="U222" s="5">
        <v>16824</v>
      </c>
      <c r="V222" s="5">
        <f t="shared" si="12"/>
        <v>17686.5</v>
      </c>
      <c r="W222" s="5">
        <f t="shared" si="15"/>
        <v>44112</v>
      </c>
      <c r="X222" s="73">
        <f>N438</f>
        <v>6769</v>
      </c>
      <c r="Y222" s="73">
        <f>P438</f>
        <v>4387</v>
      </c>
      <c r="Z222" s="73">
        <f>L438</f>
        <v>4138</v>
      </c>
      <c r="AA222" s="73"/>
      <c r="AB222" s="73"/>
      <c r="AD222" s="18">
        <v>38393</v>
      </c>
    </row>
    <row r="223" spans="1:30" ht="15.6" x14ac:dyDescent="0.3">
      <c r="A223" s="55">
        <v>37280</v>
      </c>
      <c r="B223" s="56">
        <v>1357</v>
      </c>
      <c r="C223" s="56">
        <v>5543</v>
      </c>
      <c r="D223" s="56">
        <v>675</v>
      </c>
      <c r="E223" s="56">
        <v>3731</v>
      </c>
      <c r="F223" s="56">
        <v>963</v>
      </c>
      <c r="G223" s="56">
        <v>3635</v>
      </c>
      <c r="H223" s="56">
        <v>505</v>
      </c>
      <c r="I223" s="56">
        <v>2211</v>
      </c>
      <c r="J223" s="56">
        <v>181</v>
      </c>
      <c r="K223" s="56">
        <v>812</v>
      </c>
      <c r="L223" s="56">
        <v>3681</v>
      </c>
      <c r="M223" s="56">
        <v>15931</v>
      </c>
      <c r="N223" s="56">
        <v>7414</v>
      </c>
      <c r="O223" s="56">
        <v>16777</v>
      </c>
      <c r="P223" s="56">
        <v>7306</v>
      </c>
      <c r="Q223" s="56">
        <v>16026</v>
      </c>
      <c r="R223" s="16">
        <f t="shared" si="13"/>
        <v>18401</v>
      </c>
      <c r="S223" s="16">
        <f t="shared" si="14"/>
        <v>48734</v>
      </c>
      <c r="T223" s="18" t="s">
        <v>137</v>
      </c>
      <c r="U223" s="5">
        <v>18401</v>
      </c>
      <c r="V223" s="5">
        <f t="shared" si="12"/>
        <v>17716.75</v>
      </c>
      <c r="W223" s="5">
        <f t="shared" si="15"/>
        <v>45251.25</v>
      </c>
      <c r="X223" s="73">
        <f>N440</f>
        <v>6996</v>
      </c>
      <c r="Y223" s="73">
        <f>P440</f>
        <v>3824</v>
      </c>
      <c r="Z223" s="73">
        <f>L440</f>
        <v>4132</v>
      </c>
      <c r="AA223" s="73"/>
      <c r="AB223" s="73"/>
      <c r="AD223" s="18">
        <v>38400</v>
      </c>
    </row>
    <row r="224" spans="1:30" ht="15.6" x14ac:dyDescent="0.3">
      <c r="A224" s="55">
        <v>37644</v>
      </c>
      <c r="B224" s="56">
        <v>1066</v>
      </c>
      <c r="C224" s="56">
        <v>4937</v>
      </c>
      <c r="D224" s="56">
        <v>502</v>
      </c>
      <c r="E224" s="56">
        <v>2031</v>
      </c>
      <c r="F224" s="56">
        <v>1234</v>
      </c>
      <c r="G224" s="56">
        <v>4503</v>
      </c>
      <c r="H224" s="56">
        <v>587</v>
      </c>
      <c r="I224" s="56">
        <v>2346</v>
      </c>
      <c r="J224" s="56">
        <v>107</v>
      </c>
      <c r="K224" s="56">
        <v>555</v>
      </c>
      <c r="L224" s="56">
        <v>3496</v>
      </c>
      <c r="M224" s="56">
        <v>14370</v>
      </c>
      <c r="N224" s="56">
        <v>5219</v>
      </c>
      <c r="O224" s="56">
        <v>16266</v>
      </c>
      <c r="P224" s="56">
        <v>7524</v>
      </c>
      <c r="Q224" s="56">
        <v>15097</v>
      </c>
      <c r="R224" s="16">
        <f t="shared" si="13"/>
        <v>16239</v>
      </c>
      <c r="S224" s="16">
        <f t="shared" si="14"/>
        <v>45733</v>
      </c>
      <c r="T224" s="18" t="s">
        <v>137</v>
      </c>
      <c r="U224" s="5">
        <v>16239</v>
      </c>
      <c r="V224" s="5">
        <f t="shared" si="12"/>
        <v>17493.25</v>
      </c>
      <c r="W224" s="5">
        <f t="shared" si="15"/>
        <v>46224.25</v>
      </c>
      <c r="X224" s="73">
        <f>N442</f>
        <v>6950</v>
      </c>
      <c r="Y224" s="73">
        <f>P442</f>
        <v>3691</v>
      </c>
      <c r="Z224" s="73">
        <f>L442</f>
        <v>3935</v>
      </c>
      <c r="AA224" s="73"/>
      <c r="AB224" s="73"/>
      <c r="AD224" s="18">
        <v>38407</v>
      </c>
    </row>
    <row r="225" spans="1:30" ht="15.6" x14ac:dyDescent="0.3">
      <c r="A225" s="55">
        <v>37287</v>
      </c>
      <c r="B225" s="56">
        <v>1324</v>
      </c>
      <c r="C225" s="56">
        <v>5762</v>
      </c>
      <c r="D225" s="56">
        <v>826</v>
      </c>
      <c r="E225" s="56">
        <v>3794</v>
      </c>
      <c r="F225" s="56">
        <v>878</v>
      </c>
      <c r="G225" s="56">
        <v>3815</v>
      </c>
      <c r="H225" s="56">
        <v>525</v>
      </c>
      <c r="I225" s="56">
        <v>2223</v>
      </c>
      <c r="J225" s="56">
        <v>206</v>
      </c>
      <c r="K225" s="56">
        <v>812</v>
      </c>
      <c r="L225" s="56">
        <v>3759</v>
      </c>
      <c r="M225" s="56">
        <v>16405</v>
      </c>
      <c r="N225" s="56">
        <v>7944</v>
      </c>
      <c r="O225" s="56">
        <v>17637</v>
      </c>
      <c r="P225" s="56">
        <v>6514</v>
      </c>
      <c r="Q225" s="56">
        <v>17122</v>
      </c>
      <c r="R225" s="16">
        <f t="shared" si="13"/>
        <v>18217</v>
      </c>
      <c r="S225" s="16">
        <f t="shared" si="14"/>
        <v>51164</v>
      </c>
      <c r="T225" s="18" t="s">
        <v>138</v>
      </c>
      <c r="U225" s="5">
        <v>18217</v>
      </c>
      <c r="V225" s="5">
        <f t="shared" si="12"/>
        <v>17420.25</v>
      </c>
      <c r="W225" s="5">
        <f t="shared" si="15"/>
        <v>47360.75</v>
      </c>
      <c r="X225" s="73">
        <f>N444</f>
        <v>6746</v>
      </c>
      <c r="Y225" s="73">
        <f>P444</f>
        <v>3662</v>
      </c>
      <c r="Z225" s="73">
        <f>L444</f>
        <v>3851</v>
      </c>
      <c r="AA225" s="73"/>
      <c r="AB225" s="73"/>
      <c r="AD225" s="18">
        <v>38414</v>
      </c>
    </row>
    <row r="226" spans="1:30" ht="15.6" x14ac:dyDescent="0.3">
      <c r="A226" s="55">
        <v>37651</v>
      </c>
      <c r="B226" s="56">
        <v>1133</v>
      </c>
      <c r="C226" s="56">
        <v>4998</v>
      </c>
      <c r="D226" s="56">
        <v>425</v>
      </c>
      <c r="E226" s="56">
        <v>2137</v>
      </c>
      <c r="F226" s="56">
        <v>1226</v>
      </c>
      <c r="G226" s="56">
        <v>4603</v>
      </c>
      <c r="H226" s="56">
        <v>636</v>
      </c>
      <c r="I226" s="56">
        <v>2378</v>
      </c>
      <c r="J226" s="56">
        <v>111</v>
      </c>
      <c r="K226" s="56">
        <v>555</v>
      </c>
      <c r="L226" s="56">
        <v>3530</v>
      </c>
      <c r="M226" s="56">
        <v>14670</v>
      </c>
      <c r="N226" s="56">
        <v>5267</v>
      </c>
      <c r="O226" s="56">
        <v>16938</v>
      </c>
      <c r="P226" s="56">
        <v>6568</v>
      </c>
      <c r="Q226" s="56">
        <v>16602</v>
      </c>
      <c r="R226" s="16">
        <f t="shared" si="13"/>
        <v>15365</v>
      </c>
      <c r="S226" s="16">
        <f t="shared" si="14"/>
        <v>48210</v>
      </c>
      <c r="T226" s="18" t="s">
        <v>138</v>
      </c>
      <c r="U226" s="5">
        <v>15365</v>
      </c>
      <c r="V226" s="5">
        <f t="shared" si="12"/>
        <v>17055.5</v>
      </c>
      <c r="W226" s="5">
        <f t="shared" si="15"/>
        <v>48460.25</v>
      </c>
      <c r="X226" s="73">
        <f>N446</f>
        <v>7002</v>
      </c>
      <c r="Y226" s="73">
        <f>P446</f>
        <v>3241</v>
      </c>
      <c r="Z226" s="73">
        <f>L446</f>
        <v>4068</v>
      </c>
      <c r="AA226" s="73"/>
      <c r="AB226" s="73"/>
      <c r="AD226" s="18">
        <v>38421</v>
      </c>
    </row>
    <row r="227" spans="1:30" ht="15.6" x14ac:dyDescent="0.3">
      <c r="A227" s="55">
        <v>37294</v>
      </c>
      <c r="B227" s="56">
        <v>1284</v>
      </c>
      <c r="C227" s="56">
        <v>5904</v>
      </c>
      <c r="D227" s="56">
        <v>794</v>
      </c>
      <c r="E227" s="56">
        <v>3900</v>
      </c>
      <c r="F227" s="56">
        <v>917</v>
      </c>
      <c r="G227" s="56">
        <v>3905</v>
      </c>
      <c r="H227" s="56">
        <v>583</v>
      </c>
      <c r="I227" s="56">
        <v>2290</v>
      </c>
      <c r="J227" s="56">
        <v>186</v>
      </c>
      <c r="K227" s="56">
        <v>838</v>
      </c>
      <c r="L227" s="56">
        <v>3764</v>
      </c>
      <c r="M227" s="56">
        <v>16838</v>
      </c>
      <c r="N227" s="56">
        <v>8339</v>
      </c>
      <c r="O227" s="56">
        <v>18297</v>
      </c>
      <c r="P227" s="56">
        <v>5909</v>
      </c>
      <c r="Q227" s="56">
        <v>17845</v>
      </c>
      <c r="R227" s="16">
        <f t="shared" si="13"/>
        <v>18012</v>
      </c>
      <c r="S227" s="16">
        <f t="shared" si="14"/>
        <v>52980</v>
      </c>
      <c r="T227" s="18" t="s">
        <v>138</v>
      </c>
      <c r="U227" s="5">
        <v>18012</v>
      </c>
      <c r="V227" s="5">
        <f t="shared" si="12"/>
        <v>16958.25</v>
      </c>
      <c r="W227" s="5">
        <f t="shared" si="15"/>
        <v>49521.75</v>
      </c>
      <c r="X227" s="73">
        <f>N448</f>
        <v>7291</v>
      </c>
      <c r="Y227" s="73">
        <f>P448</f>
        <v>3046</v>
      </c>
      <c r="Z227" s="73">
        <f>L448</f>
        <v>3769</v>
      </c>
      <c r="AA227" s="73"/>
      <c r="AB227" s="73"/>
      <c r="AD227" s="18">
        <v>38428</v>
      </c>
    </row>
    <row r="228" spans="1:30" ht="15.6" x14ac:dyDescent="0.3">
      <c r="A228" s="55">
        <v>37658</v>
      </c>
      <c r="B228" s="56">
        <v>1131</v>
      </c>
      <c r="C228" s="56">
        <v>5177</v>
      </c>
      <c r="D228" s="56">
        <v>493</v>
      </c>
      <c r="E228" s="56">
        <v>2150</v>
      </c>
      <c r="F228" s="56">
        <v>1123</v>
      </c>
      <c r="G228" s="56">
        <v>4742</v>
      </c>
      <c r="H228" s="56">
        <v>597</v>
      </c>
      <c r="I228" s="56">
        <v>2491</v>
      </c>
      <c r="J228" s="56">
        <v>96</v>
      </c>
      <c r="K228" s="56">
        <v>557</v>
      </c>
      <c r="L228" s="56">
        <v>3438</v>
      </c>
      <c r="M228" s="56">
        <v>15116</v>
      </c>
      <c r="N228" s="56">
        <v>5029</v>
      </c>
      <c r="O228" s="56">
        <v>17851</v>
      </c>
      <c r="P228" s="56">
        <v>6166</v>
      </c>
      <c r="Q228" s="56">
        <v>17518</v>
      </c>
      <c r="R228" s="16">
        <f t="shared" si="13"/>
        <v>14633</v>
      </c>
      <c r="S228" s="16">
        <f t="shared" si="14"/>
        <v>50485</v>
      </c>
      <c r="T228" s="18" t="s">
        <v>138</v>
      </c>
      <c r="U228" s="5">
        <v>14633</v>
      </c>
      <c r="V228" s="5">
        <f t="shared" si="12"/>
        <v>16556.75</v>
      </c>
      <c r="W228" s="5">
        <f t="shared" si="15"/>
        <v>50709.75</v>
      </c>
      <c r="X228" s="73">
        <f>N450</f>
        <v>7636</v>
      </c>
      <c r="Y228" s="73">
        <f>P450</f>
        <v>2790</v>
      </c>
      <c r="Z228" s="73">
        <f>L450</f>
        <v>3611</v>
      </c>
      <c r="AA228" s="73"/>
      <c r="AB228" s="73"/>
      <c r="AD228" s="18">
        <v>38435</v>
      </c>
    </row>
    <row r="229" spans="1:30" ht="15.6" x14ac:dyDescent="0.3">
      <c r="A229" s="55">
        <v>37301</v>
      </c>
      <c r="B229" s="56">
        <v>1310</v>
      </c>
      <c r="C229" s="56">
        <v>6042</v>
      </c>
      <c r="D229" s="56">
        <v>753</v>
      </c>
      <c r="E229" s="56">
        <v>3982</v>
      </c>
      <c r="F229" s="56">
        <v>890</v>
      </c>
      <c r="G229" s="56">
        <v>3998</v>
      </c>
      <c r="H229" s="56">
        <v>545</v>
      </c>
      <c r="I229" s="56">
        <v>2357</v>
      </c>
      <c r="J229" s="56">
        <v>169</v>
      </c>
      <c r="K229" s="56">
        <v>887</v>
      </c>
      <c r="L229" s="56">
        <v>3668</v>
      </c>
      <c r="M229" s="56">
        <v>17265</v>
      </c>
      <c r="N229" s="56">
        <v>8530</v>
      </c>
      <c r="O229" s="56">
        <v>19260</v>
      </c>
      <c r="P229" s="56">
        <v>5058</v>
      </c>
      <c r="Q229" s="56">
        <v>19090</v>
      </c>
      <c r="R229" s="16">
        <f t="shared" si="13"/>
        <v>17256</v>
      </c>
      <c r="S229" s="16">
        <f t="shared" si="14"/>
        <v>55615</v>
      </c>
      <c r="T229" s="18" t="s">
        <v>138</v>
      </c>
      <c r="U229" s="5">
        <v>17256</v>
      </c>
      <c r="V229" s="5">
        <f t="shared" si="12"/>
        <v>16316.5</v>
      </c>
      <c r="W229" s="5">
        <f t="shared" si="15"/>
        <v>51822.5</v>
      </c>
      <c r="X229" s="73">
        <f>N452</f>
        <v>7395</v>
      </c>
      <c r="Y229" s="73">
        <f>P452</f>
        <v>2640</v>
      </c>
      <c r="Z229" s="73">
        <f>L452</f>
        <v>3519</v>
      </c>
      <c r="AA229" s="73"/>
      <c r="AB229" s="73"/>
      <c r="AD229" s="18">
        <v>38442</v>
      </c>
    </row>
    <row r="230" spans="1:30" ht="15.6" x14ac:dyDescent="0.3">
      <c r="A230" s="55">
        <v>37665</v>
      </c>
      <c r="B230" s="56">
        <v>1134</v>
      </c>
      <c r="C230" s="56">
        <v>5294</v>
      </c>
      <c r="D230" s="56">
        <v>445</v>
      </c>
      <c r="E230" s="56">
        <v>2194</v>
      </c>
      <c r="F230" s="56">
        <v>1157</v>
      </c>
      <c r="G230" s="56">
        <v>4807</v>
      </c>
      <c r="H230" s="56">
        <v>616</v>
      </c>
      <c r="I230" s="56">
        <v>2545</v>
      </c>
      <c r="J230" s="56">
        <v>128</v>
      </c>
      <c r="K230" s="56">
        <v>557</v>
      </c>
      <c r="L230" s="56">
        <v>3481</v>
      </c>
      <c r="M230" s="56">
        <v>15398</v>
      </c>
      <c r="N230" s="56">
        <v>4827</v>
      </c>
      <c r="O230" s="56">
        <v>18462</v>
      </c>
      <c r="P230" s="56">
        <v>5068</v>
      </c>
      <c r="Q230" s="56">
        <v>18938</v>
      </c>
      <c r="R230" s="16">
        <f t="shared" si="13"/>
        <v>13376</v>
      </c>
      <c r="S230" s="16">
        <f t="shared" si="14"/>
        <v>52798</v>
      </c>
      <c r="T230" s="18" t="s">
        <v>139</v>
      </c>
      <c r="U230" s="5">
        <v>13376</v>
      </c>
      <c r="V230" s="5">
        <f t="shared" si="12"/>
        <v>15819.25</v>
      </c>
      <c r="W230" s="5">
        <f t="shared" si="15"/>
        <v>52969.5</v>
      </c>
      <c r="X230" s="73">
        <f>N454</f>
        <v>7576</v>
      </c>
      <c r="Y230" s="73">
        <f>P454</f>
        <v>2460</v>
      </c>
      <c r="Z230" s="73">
        <f>L454</f>
        <v>3440</v>
      </c>
      <c r="AA230" s="73"/>
      <c r="AB230" s="73"/>
      <c r="AD230" s="18">
        <v>38449</v>
      </c>
    </row>
    <row r="231" spans="1:30" ht="15.6" x14ac:dyDescent="0.3">
      <c r="A231" s="55">
        <v>37308</v>
      </c>
      <c r="B231" s="56">
        <v>1204</v>
      </c>
      <c r="C231" s="56">
        <v>6264</v>
      </c>
      <c r="D231" s="56">
        <v>733</v>
      </c>
      <c r="E231" s="56">
        <v>4070</v>
      </c>
      <c r="F231" s="56">
        <v>839</v>
      </c>
      <c r="G231" s="56">
        <v>4062</v>
      </c>
      <c r="H231" s="56">
        <v>485</v>
      </c>
      <c r="I231" s="56">
        <v>2417</v>
      </c>
      <c r="J231" s="56">
        <v>139</v>
      </c>
      <c r="K231" s="56">
        <v>952</v>
      </c>
      <c r="L231" s="56">
        <v>3400</v>
      </c>
      <c r="M231" s="56">
        <v>17765</v>
      </c>
      <c r="N231" s="56">
        <v>8410</v>
      </c>
      <c r="O231" s="56">
        <v>20187</v>
      </c>
      <c r="P231" s="56">
        <v>4265</v>
      </c>
      <c r="Q231" s="56">
        <v>20235</v>
      </c>
      <c r="R231" s="16">
        <f t="shared" si="13"/>
        <v>16075</v>
      </c>
      <c r="S231" s="16">
        <f t="shared" si="14"/>
        <v>58187</v>
      </c>
      <c r="T231" s="18" t="s">
        <v>139</v>
      </c>
      <c r="U231" s="5">
        <v>16075</v>
      </c>
      <c r="V231" s="5">
        <f t="shared" si="12"/>
        <v>15335</v>
      </c>
      <c r="W231" s="5">
        <f t="shared" si="15"/>
        <v>54271.25</v>
      </c>
      <c r="X231" s="73">
        <f>N456</f>
        <v>7394</v>
      </c>
      <c r="Y231" s="73">
        <f>P456</f>
        <v>2166</v>
      </c>
      <c r="Z231" s="73">
        <f>L456</f>
        <v>3438</v>
      </c>
      <c r="AA231" s="73"/>
      <c r="AB231" s="73"/>
      <c r="AD231" s="18">
        <v>38456</v>
      </c>
    </row>
    <row r="232" spans="1:30" ht="15.6" x14ac:dyDescent="0.3">
      <c r="A232" s="55">
        <v>37672</v>
      </c>
      <c r="B232" s="56">
        <v>1086</v>
      </c>
      <c r="C232" s="56">
        <v>5359</v>
      </c>
      <c r="D232" s="56">
        <v>421</v>
      </c>
      <c r="E232" s="56">
        <v>2243</v>
      </c>
      <c r="F232" s="56">
        <v>1208</v>
      </c>
      <c r="G232" s="56">
        <v>4841</v>
      </c>
      <c r="H232" s="56">
        <v>604</v>
      </c>
      <c r="I232" s="56">
        <v>2576</v>
      </c>
      <c r="J232" s="56">
        <v>150</v>
      </c>
      <c r="K232" s="56">
        <v>557</v>
      </c>
      <c r="L232" s="56">
        <v>3468</v>
      </c>
      <c r="M232" s="56">
        <v>15576</v>
      </c>
      <c r="N232" s="56">
        <v>4775</v>
      </c>
      <c r="O232" s="56">
        <v>19208</v>
      </c>
      <c r="P232" s="56">
        <v>4445</v>
      </c>
      <c r="Q232" s="56">
        <v>19863</v>
      </c>
      <c r="R232" s="16">
        <f t="shared" si="13"/>
        <v>12688</v>
      </c>
      <c r="S232" s="16">
        <f t="shared" si="14"/>
        <v>54647</v>
      </c>
      <c r="T232" s="18" t="s">
        <v>139</v>
      </c>
      <c r="U232" s="5">
        <v>12688</v>
      </c>
      <c r="V232" s="5">
        <f t="shared" si="12"/>
        <v>14848.75</v>
      </c>
      <c r="W232" s="5">
        <f t="shared" si="15"/>
        <v>55311.75</v>
      </c>
      <c r="X232" s="73">
        <f>N458</f>
        <v>6885</v>
      </c>
      <c r="Y232" s="73">
        <f>P458</f>
        <v>1953</v>
      </c>
      <c r="Z232" s="73">
        <f>L458</f>
        <v>3427</v>
      </c>
      <c r="AA232" s="73"/>
      <c r="AB232" s="73"/>
      <c r="AD232" s="18">
        <v>38463</v>
      </c>
    </row>
    <row r="233" spans="1:30" ht="15.6" x14ac:dyDescent="0.3">
      <c r="A233" s="55">
        <v>37315</v>
      </c>
      <c r="B233" s="56">
        <v>1283</v>
      </c>
      <c r="C233" s="56">
        <v>6416</v>
      </c>
      <c r="D233" s="56">
        <v>661</v>
      </c>
      <c r="E233" s="56">
        <v>4159</v>
      </c>
      <c r="F233" s="56">
        <v>826</v>
      </c>
      <c r="G233" s="56">
        <v>4179</v>
      </c>
      <c r="H233" s="56">
        <v>448</v>
      </c>
      <c r="I233" s="56">
        <v>2477</v>
      </c>
      <c r="J233" s="56">
        <v>173</v>
      </c>
      <c r="K233" s="56">
        <v>961</v>
      </c>
      <c r="L233" s="56">
        <v>3390</v>
      </c>
      <c r="M233" s="56">
        <v>18192</v>
      </c>
      <c r="N233" s="56">
        <v>7285</v>
      </c>
      <c r="O233" s="56">
        <v>2170</v>
      </c>
      <c r="P233" s="56">
        <v>4108</v>
      </c>
      <c r="Q233" s="56">
        <v>21070</v>
      </c>
      <c r="R233" s="16">
        <f t="shared" si="13"/>
        <v>14783</v>
      </c>
      <c r="S233" s="16">
        <f t="shared" si="14"/>
        <v>41432</v>
      </c>
      <c r="T233" s="18" t="s">
        <v>139</v>
      </c>
      <c r="U233" s="5">
        <v>14783</v>
      </c>
      <c r="V233" s="5">
        <f t="shared" si="12"/>
        <v>14230.5</v>
      </c>
      <c r="W233" s="5">
        <f t="shared" si="15"/>
        <v>51766</v>
      </c>
      <c r="X233" s="73">
        <f>N460</f>
        <v>6566</v>
      </c>
      <c r="Y233" s="73">
        <f>P460</f>
        <v>1738</v>
      </c>
      <c r="Z233" s="73">
        <f>L460</f>
        <v>3106</v>
      </c>
      <c r="AA233" s="73"/>
      <c r="AB233" s="73"/>
      <c r="AD233" s="18">
        <v>38470</v>
      </c>
    </row>
    <row r="234" spans="1:30" ht="15.6" x14ac:dyDescent="0.3">
      <c r="A234" s="55">
        <v>37679</v>
      </c>
      <c r="B234" s="56">
        <v>1003</v>
      </c>
      <c r="C234" s="56">
        <v>5486</v>
      </c>
      <c r="D234" s="56">
        <v>408</v>
      </c>
      <c r="E234" s="56">
        <v>2261</v>
      </c>
      <c r="F234" s="56">
        <v>1186</v>
      </c>
      <c r="G234" s="56">
        <v>4915</v>
      </c>
      <c r="H234" s="56">
        <v>525</v>
      </c>
      <c r="I234" s="56">
        <v>2693</v>
      </c>
      <c r="J234" s="56">
        <v>150</v>
      </c>
      <c r="K234" s="56">
        <v>558</v>
      </c>
      <c r="L234" s="56">
        <v>3272</v>
      </c>
      <c r="M234" s="56">
        <v>15912</v>
      </c>
      <c r="N234" s="56">
        <v>5465</v>
      </c>
      <c r="O234" s="56">
        <v>19904</v>
      </c>
      <c r="P234" s="56">
        <v>4021</v>
      </c>
      <c r="Q234" s="56">
        <v>20625</v>
      </c>
      <c r="R234" s="16">
        <f t="shared" si="13"/>
        <v>12758</v>
      </c>
      <c r="S234" s="16">
        <f t="shared" si="14"/>
        <v>56441</v>
      </c>
      <c r="T234" s="18" t="s">
        <v>140</v>
      </c>
      <c r="U234" s="5">
        <v>12758</v>
      </c>
      <c r="V234" s="5">
        <f t="shared" si="12"/>
        <v>14076</v>
      </c>
      <c r="W234" s="5">
        <f t="shared" si="15"/>
        <v>52676.75</v>
      </c>
      <c r="X234" s="73">
        <f>N462</f>
        <v>7098</v>
      </c>
      <c r="Y234" s="73">
        <f>P462</f>
        <v>1682</v>
      </c>
      <c r="Z234" s="73">
        <f>L462</f>
        <v>2874</v>
      </c>
      <c r="AA234" s="73"/>
      <c r="AB234" s="73"/>
      <c r="AD234" s="18">
        <v>38477</v>
      </c>
    </row>
    <row r="235" spans="1:30" ht="15.6" x14ac:dyDescent="0.3">
      <c r="A235" s="55">
        <v>37322</v>
      </c>
      <c r="B235" s="56">
        <v>1266</v>
      </c>
      <c r="C235" s="56">
        <v>6538</v>
      </c>
      <c r="D235" s="56">
        <v>710</v>
      </c>
      <c r="E235" s="56">
        <v>4285</v>
      </c>
      <c r="F235" s="56">
        <v>744</v>
      </c>
      <c r="G235" s="56">
        <v>4280</v>
      </c>
      <c r="H235" s="56">
        <v>382</v>
      </c>
      <c r="I235" s="56">
        <v>2569</v>
      </c>
      <c r="J235" s="56">
        <v>129</v>
      </c>
      <c r="K235" s="56">
        <v>994</v>
      </c>
      <c r="L235" s="56">
        <v>3231</v>
      </c>
      <c r="M235" s="56">
        <v>18666</v>
      </c>
      <c r="N235" s="56">
        <v>7338</v>
      </c>
      <c r="O235" s="56">
        <v>22704</v>
      </c>
      <c r="P235" s="56">
        <v>3610</v>
      </c>
      <c r="Q235" s="56">
        <v>21245</v>
      </c>
      <c r="R235" s="16">
        <f t="shared" si="13"/>
        <v>14179</v>
      </c>
      <c r="S235" s="16">
        <f t="shared" si="14"/>
        <v>62615</v>
      </c>
      <c r="T235" s="18" t="s">
        <v>140</v>
      </c>
      <c r="U235" s="5">
        <v>14179</v>
      </c>
      <c r="V235" s="5">
        <f t="shared" si="12"/>
        <v>13602</v>
      </c>
      <c r="W235" s="5">
        <f t="shared" si="15"/>
        <v>53783.75</v>
      </c>
      <c r="X235" s="73">
        <f>N464</f>
        <v>7136</v>
      </c>
      <c r="Y235" s="73">
        <f>P464</f>
        <v>1714</v>
      </c>
      <c r="Z235" s="73">
        <f>L464</f>
        <v>2188</v>
      </c>
      <c r="AA235" s="73"/>
      <c r="AB235" s="73"/>
      <c r="AD235" s="18">
        <v>38484</v>
      </c>
    </row>
    <row r="236" spans="1:30" ht="15.6" x14ac:dyDescent="0.3">
      <c r="A236" s="55" t="s">
        <v>18</v>
      </c>
      <c r="B236" s="56">
        <v>964</v>
      </c>
      <c r="C236" s="56">
        <v>5597</v>
      </c>
      <c r="D236" s="56">
        <v>371</v>
      </c>
      <c r="E236" s="56">
        <v>2315</v>
      </c>
      <c r="F236" s="56">
        <v>1115</v>
      </c>
      <c r="G236" s="56">
        <v>5084</v>
      </c>
      <c r="H236" s="56">
        <v>553</v>
      </c>
      <c r="I236" s="56">
        <v>2756</v>
      </c>
      <c r="J236" s="56">
        <v>144</v>
      </c>
      <c r="K236" s="56">
        <v>567</v>
      </c>
      <c r="L236" s="56">
        <v>3146</v>
      </c>
      <c r="M236" s="56">
        <v>16319</v>
      </c>
      <c r="N236" s="56">
        <v>5631</v>
      </c>
      <c r="O236" s="56">
        <v>20444</v>
      </c>
      <c r="P236" s="56">
        <v>3590</v>
      </c>
      <c r="Q236" s="56">
        <v>21694</v>
      </c>
      <c r="R236" s="16">
        <f t="shared" si="13"/>
        <v>12367</v>
      </c>
      <c r="S236" s="16">
        <f t="shared" si="14"/>
        <v>58457</v>
      </c>
      <c r="T236" s="18" t="s">
        <v>140</v>
      </c>
      <c r="U236" s="5">
        <v>12367</v>
      </c>
      <c r="V236" s="5">
        <f t="shared" si="12"/>
        <v>13521.75</v>
      </c>
      <c r="W236" s="5">
        <f t="shared" si="15"/>
        <v>54736.25</v>
      </c>
      <c r="X236" s="73">
        <f>N466</f>
        <v>6734</v>
      </c>
      <c r="Y236" s="73">
        <f>P466</f>
        <v>1652</v>
      </c>
      <c r="Z236" s="73">
        <f>L466</f>
        <v>1865</v>
      </c>
      <c r="AA236" s="73"/>
      <c r="AB236" s="73"/>
      <c r="AD236" s="18">
        <v>38491</v>
      </c>
    </row>
    <row r="237" spans="1:30" ht="15.6" x14ac:dyDescent="0.3">
      <c r="A237" s="55">
        <v>37329</v>
      </c>
      <c r="B237" s="56">
        <v>1388</v>
      </c>
      <c r="C237" s="56">
        <v>6718</v>
      </c>
      <c r="D237" s="56">
        <v>648</v>
      </c>
      <c r="E237" s="56">
        <v>4398</v>
      </c>
      <c r="F237" s="56">
        <v>807</v>
      </c>
      <c r="G237" s="56">
        <v>4368</v>
      </c>
      <c r="H237" s="56">
        <v>412</v>
      </c>
      <c r="I237" s="56">
        <v>2605</v>
      </c>
      <c r="J237" s="56">
        <v>129</v>
      </c>
      <c r="K237" s="56">
        <v>1001</v>
      </c>
      <c r="L237" s="56">
        <v>3383</v>
      </c>
      <c r="M237" s="56">
        <v>19090</v>
      </c>
      <c r="N237" s="56">
        <v>7283</v>
      </c>
      <c r="O237" s="56">
        <v>23849</v>
      </c>
      <c r="P237" s="56">
        <v>2955</v>
      </c>
      <c r="Q237" s="56">
        <v>22119</v>
      </c>
      <c r="R237" s="16">
        <f t="shared" si="13"/>
        <v>13621</v>
      </c>
      <c r="S237" s="16">
        <f t="shared" si="14"/>
        <v>65058</v>
      </c>
      <c r="T237" s="18" t="s">
        <v>140</v>
      </c>
      <c r="U237" s="5">
        <v>13621</v>
      </c>
      <c r="V237" s="5">
        <f t="shared" si="12"/>
        <v>13231.25</v>
      </c>
      <c r="W237" s="5">
        <f t="shared" si="15"/>
        <v>60642.75</v>
      </c>
      <c r="X237" s="73">
        <f>N468</f>
        <v>6668</v>
      </c>
      <c r="Y237" s="73">
        <f>P468</f>
        <v>1562</v>
      </c>
      <c r="Z237" s="73">
        <f>L468</f>
        <v>1351</v>
      </c>
      <c r="AA237" s="73"/>
      <c r="AB237" s="73"/>
      <c r="AD237" s="18">
        <v>38498</v>
      </c>
    </row>
    <row r="238" spans="1:30" ht="15.6" x14ac:dyDescent="0.3">
      <c r="A238" s="55" t="s">
        <v>19</v>
      </c>
      <c r="B238" s="56">
        <v>1074</v>
      </c>
      <c r="C238" s="56">
        <v>5660</v>
      </c>
      <c r="D238" s="56">
        <v>360</v>
      </c>
      <c r="E238" s="56">
        <v>2353</v>
      </c>
      <c r="F238" s="56">
        <v>1163</v>
      </c>
      <c r="G238" s="56">
        <v>5198</v>
      </c>
      <c r="H238" s="56">
        <v>500</v>
      </c>
      <c r="I238" s="56">
        <v>2850</v>
      </c>
      <c r="J238" s="56">
        <v>128</v>
      </c>
      <c r="K238" s="56">
        <v>598</v>
      </c>
      <c r="L238" s="56">
        <v>3224</v>
      </c>
      <c r="M238" s="56">
        <v>16659</v>
      </c>
      <c r="N238" s="56">
        <v>6013</v>
      </c>
      <c r="O238" s="56">
        <v>21231</v>
      </c>
      <c r="P238" s="56">
        <v>3371</v>
      </c>
      <c r="Q238" s="56">
        <v>22246</v>
      </c>
      <c r="R238" s="16">
        <f t="shared" si="13"/>
        <v>12608</v>
      </c>
      <c r="S238" s="16">
        <f t="shared" si="14"/>
        <v>60136</v>
      </c>
      <c r="T238" s="18" t="s">
        <v>141</v>
      </c>
      <c r="U238" s="5">
        <v>12608</v>
      </c>
      <c r="V238" s="5">
        <f t="shared" si="12"/>
        <v>13193.75</v>
      </c>
      <c r="W238" s="5">
        <f t="shared" si="15"/>
        <v>61566.5</v>
      </c>
      <c r="X238" s="86">
        <f>N470</f>
        <v>6386</v>
      </c>
      <c r="Y238" s="90">
        <f>P470</f>
        <v>1522</v>
      </c>
      <c r="Z238" s="89">
        <f>L470</f>
        <v>3649</v>
      </c>
      <c r="AA238" s="86">
        <f>O470</f>
        <v>34419</v>
      </c>
      <c r="AB238" s="90">
        <f>Q470</f>
        <v>27801</v>
      </c>
      <c r="AC238" s="89">
        <f>M470</f>
        <v>105</v>
      </c>
      <c r="AD238" s="18">
        <v>38505</v>
      </c>
    </row>
    <row r="239" spans="1:30" ht="15.6" x14ac:dyDescent="0.3">
      <c r="A239" s="55" t="s">
        <v>85</v>
      </c>
      <c r="B239" s="56">
        <v>1290</v>
      </c>
      <c r="C239" s="56">
        <v>6985</v>
      </c>
      <c r="D239" s="56">
        <v>878</v>
      </c>
      <c r="E239" s="56">
        <v>4532</v>
      </c>
      <c r="F239" s="56">
        <v>712</v>
      </c>
      <c r="G239" s="56">
        <v>4499</v>
      </c>
      <c r="H239" s="56">
        <v>449</v>
      </c>
      <c r="I239" s="56">
        <v>2616</v>
      </c>
      <c r="J239" s="56">
        <v>122</v>
      </c>
      <c r="K239" s="56">
        <v>1006</v>
      </c>
      <c r="L239" s="56">
        <v>3450</v>
      </c>
      <c r="M239" s="56">
        <v>19638</v>
      </c>
      <c r="N239" s="56">
        <v>7090</v>
      </c>
      <c r="O239" s="56">
        <v>24831</v>
      </c>
      <c r="P239" s="56">
        <v>2736</v>
      </c>
      <c r="Q239" s="56">
        <v>22585</v>
      </c>
      <c r="R239" s="16">
        <f t="shared" si="13"/>
        <v>13276</v>
      </c>
      <c r="S239" s="16">
        <f t="shared" si="14"/>
        <v>67054</v>
      </c>
      <c r="T239" s="18" t="s">
        <v>141</v>
      </c>
      <c r="U239" s="5">
        <v>13276</v>
      </c>
      <c r="V239" s="5">
        <f t="shared" si="12"/>
        <v>12968</v>
      </c>
      <c r="W239" s="5">
        <f t="shared" si="15"/>
        <v>62676.25</v>
      </c>
      <c r="X239" s="86">
        <f>N472</f>
        <v>6208</v>
      </c>
      <c r="Y239" s="90">
        <f>P472</f>
        <v>1481</v>
      </c>
      <c r="Z239" s="89">
        <f>L472</f>
        <v>3590</v>
      </c>
      <c r="AA239" s="86">
        <f>O472</f>
        <v>35288</v>
      </c>
      <c r="AB239" s="90">
        <f>Q472</f>
        <v>28025</v>
      </c>
      <c r="AC239" s="89">
        <f>M472</f>
        <v>499</v>
      </c>
      <c r="AD239" s="18">
        <v>38512</v>
      </c>
    </row>
    <row r="240" spans="1:30" ht="15.6" x14ac:dyDescent="0.3">
      <c r="A240" s="55" t="s">
        <v>86</v>
      </c>
      <c r="B240" s="56">
        <v>1085</v>
      </c>
      <c r="C240" s="56">
        <v>5765</v>
      </c>
      <c r="D240" s="56">
        <v>369</v>
      </c>
      <c r="E240" s="56">
        <v>2387</v>
      </c>
      <c r="F240" s="56">
        <v>1186</v>
      </c>
      <c r="G240" s="56">
        <v>5280</v>
      </c>
      <c r="H240" s="56">
        <v>557</v>
      </c>
      <c r="I240" s="56">
        <v>2921</v>
      </c>
      <c r="J240" s="56">
        <v>107</v>
      </c>
      <c r="K240" s="56">
        <v>598</v>
      </c>
      <c r="L240" s="56">
        <v>3304</v>
      </c>
      <c r="M240" s="56">
        <v>16952</v>
      </c>
      <c r="N240" s="56">
        <v>6066</v>
      </c>
      <c r="O240" s="56">
        <v>21880</v>
      </c>
      <c r="P240" s="56">
        <v>3024</v>
      </c>
      <c r="Q240" s="56">
        <v>22921</v>
      </c>
      <c r="R240" s="16">
        <f t="shared" si="13"/>
        <v>12394</v>
      </c>
      <c r="S240" s="16">
        <f t="shared" si="14"/>
        <v>61753</v>
      </c>
      <c r="T240" s="18" t="s">
        <v>141</v>
      </c>
      <c r="U240" s="5">
        <v>12394</v>
      </c>
      <c r="V240" s="5">
        <f t="shared" si="12"/>
        <v>12974.75</v>
      </c>
      <c r="W240" s="5">
        <f t="shared" si="15"/>
        <v>63500.25</v>
      </c>
      <c r="X240" s="86">
        <f>N474</f>
        <v>5650</v>
      </c>
      <c r="Y240" s="90">
        <f>P474</f>
        <v>1344</v>
      </c>
      <c r="Z240" s="89">
        <f>L474</f>
        <v>3775</v>
      </c>
      <c r="AA240" s="86">
        <f>O474</f>
        <v>36297</v>
      </c>
      <c r="AB240" s="90">
        <f>Q474</f>
        <v>28310</v>
      </c>
      <c r="AC240" s="89">
        <f>M474</f>
        <v>821</v>
      </c>
      <c r="AD240" s="18">
        <v>38519</v>
      </c>
    </row>
    <row r="241" spans="1:30" ht="15.6" x14ac:dyDescent="0.3">
      <c r="A241" s="55">
        <v>37343</v>
      </c>
      <c r="B241" s="56">
        <v>1213</v>
      </c>
      <c r="C241" s="56">
        <v>5140</v>
      </c>
      <c r="D241" s="56">
        <v>829</v>
      </c>
      <c r="E241" s="56">
        <v>4592</v>
      </c>
      <c r="F241" s="56">
        <v>711</v>
      </c>
      <c r="G241" s="56">
        <v>4583</v>
      </c>
      <c r="H241" s="56">
        <v>454</v>
      </c>
      <c r="I241" s="56">
        <v>2658</v>
      </c>
      <c r="J241" s="56">
        <v>122</v>
      </c>
      <c r="K241" s="56">
        <v>1006</v>
      </c>
      <c r="L241" s="56">
        <v>3329</v>
      </c>
      <c r="M241" s="56">
        <v>19979</v>
      </c>
      <c r="N241" s="56">
        <v>6788</v>
      </c>
      <c r="O241" s="56">
        <v>26090</v>
      </c>
      <c r="P241" s="56">
        <v>2405</v>
      </c>
      <c r="Q241" s="56">
        <v>22990</v>
      </c>
      <c r="R241" s="16">
        <f t="shared" si="13"/>
        <v>12522</v>
      </c>
      <c r="S241" s="16">
        <f t="shared" si="14"/>
        <v>69059</v>
      </c>
      <c r="T241" s="18" t="s">
        <v>141</v>
      </c>
      <c r="U241" s="5">
        <v>12522</v>
      </c>
      <c r="V241" s="5">
        <f t="shared" si="12"/>
        <v>12700</v>
      </c>
      <c r="W241" s="5">
        <f t="shared" si="15"/>
        <v>64500.5</v>
      </c>
      <c r="X241" s="86">
        <f>N476</f>
        <v>5809</v>
      </c>
      <c r="Y241" s="90">
        <f>P476</f>
        <v>1339</v>
      </c>
      <c r="Z241" s="89">
        <f>L476</f>
        <v>3946</v>
      </c>
      <c r="AA241" s="86">
        <f>O476</f>
        <v>37355</v>
      </c>
      <c r="AB241" s="90">
        <f>Q476</f>
        <v>28485</v>
      </c>
      <c r="AC241" s="89">
        <f>M476</f>
        <v>1238</v>
      </c>
      <c r="AD241" s="18">
        <v>38526</v>
      </c>
    </row>
    <row r="242" spans="1:30" ht="15.6" x14ac:dyDescent="0.3">
      <c r="A242" s="55" t="s">
        <v>20</v>
      </c>
      <c r="B242" s="56">
        <v>1056</v>
      </c>
      <c r="C242" s="56">
        <v>5887</v>
      </c>
      <c r="D242" s="56">
        <v>217</v>
      </c>
      <c r="E242" s="56">
        <v>2546</v>
      </c>
      <c r="F242" s="56">
        <v>1033</v>
      </c>
      <c r="G242" s="56">
        <v>5458</v>
      </c>
      <c r="H242" s="56">
        <v>521</v>
      </c>
      <c r="I242" s="56">
        <v>2989</v>
      </c>
      <c r="J242" s="56">
        <v>71</v>
      </c>
      <c r="K242" s="56">
        <v>634</v>
      </c>
      <c r="L242" s="56">
        <v>2896</v>
      </c>
      <c r="M242" s="56">
        <v>17515</v>
      </c>
      <c r="N242" s="56">
        <v>5571</v>
      </c>
      <c r="O242" s="56">
        <v>22733</v>
      </c>
      <c r="P242" s="56">
        <v>2841</v>
      </c>
      <c r="Q242" s="56">
        <v>23311</v>
      </c>
      <c r="R242" s="16">
        <f t="shared" si="13"/>
        <v>11308</v>
      </c>
      <c r="S242" s="16">
        <f t="shared" si="14"/>
        <v>63559</v>
      </c>
      <c r="T242" s="18" t="s">
        <v>141</v>
      </c>
      <c r="U242" s="5">
        <v>11308</v>
      </c>
      <c r="V242" s="5">
        <f t="shared" si="12"/>
        <v>12375</v>
      </c>
      <c r="W242" s="5">
        <f t="shared" si="15"/>
        <v>65356.25</v>
      </c>
      <c r="X242" s="86">
        <f>N478</f>
        <v>5977</v>
      </c>
      <c r="Y242" s="90">
        <f>P478</f>
        <v>1334</v>
      </c>
      <c r="Z242" s="89">
        <f>L478</f>
        <v>4119</v>
      </c>
      <c r="AA242" s="86">
        <f>O478</f>
        <v>38129</v>
      </c>
      <c r="AB242" s="90">
        <f>Q478</f>
        <v>28652</v>
      </c>
      <c r="AC242" s="89">
        <f>M478</f>
        <v>1694</v>
      </c>
      <c r="AD242" s="18">
        <v>38533</v>
      </c>
    </row>
    <row r="243" spans="1:30" ht="15.6" x14ac:dyDescent="0.3">
      <c r="A243" s="55">
        <v>37350</v>
      </c>
      <c r="B243" s="56">
        <v>1118</v>
      </c>
      <c r="C243" s="56">
        <v>7301</v>
      </c>
      <c r="D243" s="56">
        <v>734</v>
      </c>
      <c r="E243" s="56">
        <v>4706</v>
      </c>
      <c r="F243" s="56">
        <v>659</v>
      </c>
      <c r="G243" s="56">
        <v>4700</v>
      </c>
      <c r="H243" s="56">
        <v>424</v>
      </c>
      <c r="I243" s="56">
        <v>2720</v>
      </c>
      <c r="J243" s="56">
        <v>104</v>
      </c>
      <c r="K243" s="56">
        <v>1025</v>
      </c>
      <c r="L243" s="56">
        <v>3038</v>
      </c>
      <c r="M243" s="56">
        <v>20452</v>
      </c>
      <c r="N243" s="56">
        <v>6302</v>
      </c>
      <c r="O243" s="56">
        <v>27020</v>
      </c>
      <c r="P243" s="56">
        <v>2538</v>
      </c>
      <c r="Q243" s="56">
        <v>23261</v>
      </c>
      <c r="R243" s="16">
        <f t="shared" si="13"/>
        <v>11878</v>
      </c>
      <c r="S243" s="16">
        <f t="shared" si="14"/>
        <v>70733</v>
      </c>
      <c r="T243" s="18" t="s">
        <v>142</v>
      </c>
      <c r="U243" s="5">
        <v>11878</v>
      </c>
      <c r="V243" s="5">
        <f t="shared" si="12"/>
        <v>12025.5</v>
      </c>
      <c r="W243" s="5">
        <f t="shared" si="15"/>
        <v>66276</v>
      </c>
      <c r="X243" s="86">
        <f>N480</f>
        <v>5725</v>
      </c>
      <c r="Y243" s="90">
        <f>P480</f>
        <v>1297</v>
      </c>
      <c r="Z243" s="89">
        <f>L480</f>
        <v>4126</v>
      </c>
      <c r="AA243" s="86">
        <f>O480</f>
        <v>38705</v>
      </c>
      <c r="AB243" s="90">
        <f>Q480</f>
        <v>28808</v>
      </c>
      <c r="AC243" s="89">
        <f>M480</f>
        <v>1996</v>
      </c>
      <c r="AD243" s="18">
        <v>38540</v>
      </c>
    </row>
    <row r="244" spans="1:30" ht="15.6" x14ac:dyDescent="0.3">
      <c r="A244" s="55" t="s">
        <v>21</v>
      </c>
      <c r="B244" s="56">
        <v>1033</v>
      </c>
      <c r="C244" s="56">
        <v>5970</v>
      </c>
      <c r="D244" s="56">
        <v>223</v>
      </c>
      <c r="E244" s="56">
        <v>2576</v>
      </c>
      <c r="F244" s="56">
        <v>992</v>
      </c>
      <c r="G244" s="56">
        <v>5543</v>
      </c>
      <c r="H244" s="56">
        <v>445</v>
      </c>
      <c r="I244" s="56">
        <v>3080</v>
      </c>
      <c r="J244" s="56">
        <v>81</v>
      </c>
      <c r="K244" s="56">
        <v>643</v>
      </c>
      <c r="L244" s="56">
        <v>2774</v>
      </c>
      <c r="M244" s="56">
        <v>17803</v>
      </c>
      <c r="N244" s="56">
        <v>5458</v>
      </c>
      <c r="O244" s="56">
        <v>23706</v>
      </c>
      <c r="P244" s="56">
        <v>2934</v>
      </c>
      <c r="Q244" s="56">
        <v>23848</v>
      </c>
      <c r="R244" s="16">
        <f t="shared" si="13"/>
        <v>11166</v>
      </c>
      <c r="S244" s="16">
        <f t="shared" si="14"/>
        <v>65357</v>
      </c>
      <c r="T244" s="18" t="s">
        <v>142</v>
      </c>
      <c r="U244" s="5">
        <v>11166</v>
      </c>
      <c r="V244" s="5">
        <f t="shared" si="12"/>
        <v>11718.5</v>
      </c>
      <c r="W244" s="5">
        <f t="shared" si="15"/>
        <v>67177</v>
      </c>
      <c r="X244" s="86">
        <f>N482</f>
        <v>5508</v>
      </c>
      <c r="Y244" s="90">
        <f>P482</f>
        <v>1267</v>
      </c>
      <c r="Z244" s="89">
        <f>L482</f>
        <v>4286</v>
      </c>
      <c r="AA244" s="86">
        <f>O482</f>
        <v>39516</v>
      </c>
      <c r="AB244" s="90">
        <f>Q482</f>
        <v>28903</v>
      </c>
      <c r="AC244" s="89">
        <f>M482</f>
        <v>2425</v>
      </c>
      <c r="AD244" s="18">
        <v>38547</v>
      </c>
    </row>
    <row r="245" spans="1:30" ht="15.6" x14ac:dyDescent="0.3">
      <c r="A245" s="55">
        <v>37357</v>
      </c>
      <c r="B245" s="56">
        <v>1022</v>
      </c>
      <c r="C245" s="56">
        <v>7484</v>
      </c>
      <c r="D245" s="56">
        <v>727</v>
      </c>
      <c r="E245" s="56">
        <v>4749</v>
      </c>
      <c r="F245" s="56">
        <v>697</v>
      </c>
      <c r="G245" s="56">
        <v>4765</v>
      </c>
      <c r="H245" s="56">
        <v>438</v>
      </c>
      <c r="I245" s="56">
        <v>2743</v>
      </c>
      <c r="J245" s="56">
        <v>101</v>
      </c>
      <c r="K245" s="56">
        <v>1029</v>
      </c>
      <c r="L245" s="56">
        <v>2985</v>
      </c>
      <c r="M245" s="56">
        <v>20771</v>
      </c>
      <c r="N245" s="56">
        <v>6315</v>
      </c>
      <c r="O245" s="56">
        <v>27893</v>
      </c>
      <c r="P245" s="56">
        <v>2563</v>
      </c>
      <c r="Q245" s="56">
        <v>23550</v>
      </c>
      <c r="R245" s="16">
        <f t="shared" si="13"/>
        <v>11863</v>
      </c>
      <c r="S245" s="16">
        <f t="shared" si="14"/>
        <v>72214</v>
      </c>
      <c r="T245" s="18" t="s">
        <v>142</v>
      </c>
      <c r="U245" s="5">
        <v>11863</v>
      </c>
      <c r="V245" s="5">
        <f t="shared" si="12"/>
        <v>11553.75</v>
      </c>
      <c r="W245" s="5">
        <f t="shared" si="15"/>
        <v>67965.75</v>
      </c>
      <c r="X245" s="86">
        <f>N484</f>
        <v>5160</v>
      </c>
      <c r="Y245" s="90">
        <f>P484</f>
        <v>1008</v>
      </c>
      <c r="Z245" s="89">
        <f>L484</f>
        <v>4331</v>
      </c>
      <c r="AA245" s="86">
        <f>O484</f>
        <v>40503</v>
      </c>
      <c r="AB245" s="90">
        <f>Q484</f>
        <v>29092</v>
      </c>
      <c r="AC245" s="89">
        <f>M484</f>
        <v>2903</v>
      </c>
      <c r="AD245" s="18">
        <v>38554</v>
      </c>
    </row>
    <row r="246" spans="1:30" ht="15.6" x14ac:dyDescent="0.3">
      <c r="A246" s="55" t="s">
        <v>22</v>
      </c>
      <c r="B246" s="56">
        <v>998</v>
      </c>
      <c r="C246" s="56">
        <v>6088</v>
      </c>
      <c r="D246" s="56">
        <v>218</v>
      </c>
      <c r="E246" s="56">
        <v>2616</v>
      </c>
      <c r="F246" s="56">
        <v>1049</v>
      </c>
      <c r="G246" s="56">
        <v>5673</v>
      </c>
      <c r="H246" s="56">
        <v>444</v>
      </c>
      <c r="I246" s="56">
        <v>3123</v>
      </c>
      <c r="J246" s="56">
        <v>91</v>
      </c>
      <c r="K246" s="56">
        <v>634</v>
      </c>
      <c r="L246" s="56">
        <v>2802</v>
      </c>
      <c r="M246" s="56">
        <v>18133</v>
      </c>
      <c r="N246" s="56">
        <v>5380</v>
      </c>
      <c r="O246" s="56">
        <v>24469</v>
      </c>
      <c r="P246" s="56">
        <v>2858</v>
      </c>
      <c r="Q246" s="56">
        <v>24163</v>
      </c>
      <c r="R246" s="16">
        <f t="shared" si="13"/>
        <v>11040</v>
      </c>
      <c r="S246" s="16">
        <f t="shared" si="14"/>
        <v>66765</v>
      </c>
      <c r="T246" s="18" t="s">
        <v>142</v>
      </c>
      <c r="U246" s="5">
        <v>11040</v>
      </c>
      <c r="V246" s="5">
        <f t="shared" si="12"/>
        <v>11486.75</v>
      </c>
      <c r="W246" s="5">
        <f t="shared" si="15"/>
        <v>68767.25</v>
      </c>
      <c r="X246" s="86">
        <f>N486</f>
        <v>4498</v>
      </c>
      <c r="Y246" s="90">
        <f>P486</f>
        <v>999</v>
      </c>
      <c r="Z246" s="89">
        <f>L486</f>
        <v>4569</v>
      </c>
      <c r="AA246" s="86">
        <f>O486</f>
        <v>41410</v>
      </c>
      <c r="AB246" s="90">
        <f>Q486</f>
        <v>29217</v>
      </c>
      <c r="AC246" s="89">
        <f>M486</f>
        <v>3527</v>
      </c>
      <c r="AD246" s="18">
        <v>38561</v>
      </c>
    </row>
    <row r="247" spans="1:30" ht="15.6" x14ac:dyDescent="0.3">
      <c r="A247" s="55">
        <v>37364</v>
      </c>
      <c r="B247" s="56">
        <v>1005</v>
      </c>
      <c r="C247" s="56">
        <v>7629</v>
      </c>
      <c r="D247" s="56">
        <v>697</v>
      </c>
      <c r="E247" s="56">
        <v>4805</v>
      </c>
      <c r="F247" s="56">
        <v>639</v>
      </c>
      <c r="G247" s="56">
        <v>4898</v>
      </c>
      <c r="H247" s="56">
        <v>409</v>
      </c>
      <c r="I247" s="56">
        <v>2800</v>
      </c>
      <c r="J247" s="56">
        <v>65</v>
      </c>
      <c r="K247" s="56">
        <v>1051</v>
      </c>
      <c r="L247" s="56">
        <v>2816</v>
      </c>
      <c r="M247" s="56">
        <v>21183</v>
      </c>
      <c r="N247" s="56">
        <v>6281</v>
      </c>
      <c r="O247" s="56">
        <v>28841</v>
      </c>
      <c r="P247" s="56">
        <v>2613</v>
      </c>
      <c r="Q247" s="56">
        <v>23717</v>
      </c>
      <c r="R247" s="16">
        <f t="shared" si="13"/>
        <v>11710</v>
      </c>
      <c r="S247" s="16">
        <f t="shared" si="14"/>
        <v>73741</v>
      </c>
      <c r="T247" s="13" t="s">
        <v>143</v>
      </c>
      <c r="U247" s="5">
        <v>11710</v>
      </c>
      <c r="V247" s="5">
        <f t="shared" si="12"/>
        <v>11444.75</v>
      </c>
      <c r="W247" s="5">
        <f t="shared" si="15"/>
        <v>69519.25</v>
      </c>
      <c r="X247" s="86">
        <f>N488</f>
        <v>4609</v>
      </c>
      <c r="Y247" s="90">
        <f>P488</f>
        <v>958</v>
      </c>
      <c r="Z247" s="89">
        <f>L488</f>
        <v>4450</v>
      </c>
      <c r="AA247" s="86">
        <f>O488</f>
        <v>42374</v>
      </c>
      <c r="AB247" s="90">
        <f>Q488</f>
        <v>29351</v>
      </c>
      <c r="AC247" s="89">
        <f>M488</f>
        <v>4267</v>
      </c>
      <c r="AD247" s="18">
        <v>38568</v>
      </c>
    </row>
    <row r="248" spans="1:30" ht="15.6" x14ac:dyDescent="0.3">
      <c r="A248" s="55" t="s">
        <v>23</v>
      </c>
      <c r="B248" s="56">
        <v>916</v>
      </c>
      <c r="C248" s="56">
        <v>6231</v>
      </c>
      <c r="D248" s="56">
        <v>224</v>
      </c>
      <c r="E248" s="56">
        <v>2648</v>
      </c>
      <c r="F248" s="56">
        <v>1083</v>
      </c>
      <c r="G248" s="56">
        <v>5703</v>
      </c>
      <c r="H248" s="56">
        <v>487</v>
      </c>
      <c r="I248" s="56">
        <v>3132</v>
      </c>
      <c r="J248" s="56">
        <v>105</v>
      </c>
      <c r="K248" s="56">
        <v>640</v>
      </c>
      <c r="L248" s="56">
        <v>2814</v>
      </c>
      <c r="M248" s="56">
        <v>18354</v>
      </c>
      <c r="N248" s="56">
        <v>5152</v>
      </c>
      <c r="O248" s="56">
        <v>25283</v>
      </c>
      <c r="P248" s="56">
        <v>2679</v>
      </c>
      <c r="Q248" s="56">
        <v>24515</v>
      </c>
      <c r="R248" s="16">
        <f t="shared" si="13"/>
        <v>10645</v>
      </c>
      <c r="S248" s="16">
        <f t="shared" si="14"/>
        <v>68152</v>
      </c>
      <c r="T248" s="13" t="s">
        <v>143</v>
      </c>
      <c r="U248" s="5">
        <v>10645</v>
      </c>
      <c r="V248" s="5">
        <f t="shared" si="12"/>
        <v>11314.5</v>
      </c>
      <c r="W248" s="5">
        <f t="shared" si="15"/>
        <v>70218</v>
      </c>
      <c r="X248" s="86">
        <f>N490</f>
        <v>4330</v>
      </c>
      <c r="Y248" s="90">
        <f>P490</f>
        <v>901</v>
      </c>
      <c r="Z248" s="89">
        <f>L490</f>
        <v>4350</v>
      </c>
      <c r="AA248" s="86">
        <f>O490</f>
        <v>43118</v>
      </c>
      <c r="AB248" s="90">
        <f>Q490</f>
        <v>29559</v>
      </c>
      <c r="AC248" s="89">
        <f>M490</f>
        <v>4835</v>
      </c>
      <c r="AD248" s="18">
        <v>38575</v>
      </c>
    </row>
    <row r="249" spans="1:30" ht="15.6" x14ac:dyDescent="0.3">
      <c r="A249" s="55">
        <v>37371</v>
      </c>
      <c r="B249" s="56">
        <v>875</v>
      </c>
      <c r="C249" s="56">
        <v>7811</v>
      </c>
      <c r="D249" s="56">
        <v>593</v>
      </c>
      <c r="E249" s="56">
        <v>4971</v>
      </c>
      <c r="F249" s="56">
        <v>556</v>
      </c>
      <c r="G249" s="56">
        <v>5025</v>
      </c>
      <c r="H249" s="56">
        <v>438</v>
      </c>
      <c r="I249" s="56">
        <v>2863</v>
      </c>
      <c r="J249" s="56">
        <v>38</v>
      </c>
      <c r="K249" s="56">
        <v>1077</v>
      </c>
      <c r="L249" s="56">
        <v>2500</v>
      </c>
      <c r="M249" s="56">
        <v>21747</v>
      </c>
      <c r="N249" s="56">
        <v>6522</v>
      </c>
      <c r="O249" s="56">
        <v>29745</v>
      </c>
      <c r="P249" s="56">
        <v>2698</v>
      </c>
      <c r="Q249" s="56">
        <v>23989</v>
      </c>
      <c r="R249" s="16">
        <f t="shared" si="13"/>
        <v>11720</v>
      </c>
      <c r="S249" s="16">
        <f t="shared" si="14"/>
        <v>75481</v>
      </c>
      <c r="T249" s="13" t="s">
        <v>143</v>
      </c>
      <c r="U249" s="5">
        <v>11720</v>
      </c>
      <c r="V249" s="5">
        <f t="shared" si="12"/>
        <v>11278.75</v>
      </c>
      <c r="W249" s="5">
        <f t="shared" si="15"/>
        <v>71034.75</v>
      </c>
      <c r="X249" s="86">
        <f>N492</f>
        <v>3799</v>
      </c>
      <c r="Y249" s="90">
        <f>P492</f>
        <v>853</v>
      </c>
      <c r="Z249" s="89">
        <f>L492</f>
        <v>4815</v>
      </c>
      <c r="AA249" s="86">
        <f>O492</f>
        <v>43967</v>
      </c>
      <c r="AB249" s="90">
        <f>Q492</f>
        <v>29686</v>
      </c>
      <c r="AC249" s="89">
        <f>M492</f>
        <v>5224</v>
      </c>
      <c r="AD249" s="18">
        <v>38582</v>
      </c>
    </row>
    <row r="250" spans="1:30" ht="15.6" x14ac:dyDescent="0.3">
      <c r="A250" s="55" t="s">
        <v>24</v>
      </c>
      <c r="B250" s="56">
        <v>893</v>
      </c>
      <c r="C250" s="56">
        <v>6291</v>
      </c>
      <c r="D250" s="56">
        <v>179</v>
      </c>
      <c r="E250" s="56">
        <v>2698</v>
      </c>
      <c r="F250" s="56">
        <v>1077</v>
      </c>
      <c r="G250" s="56">
        <v>5857</v>
      </c>
      <c r="H250" s="56">
        <v>471</v>
      </c>
      <c r="I250" s="56">
        <v>3193</v>
      </c>
      <c r="J250" s="56">
        <v>55</v>
      </c>
      <c r="K250" s="56">
        <v>687</v>
      </c>
      <c r="L250" s="56">
        <v>2675</v>
      </c>
      <c r="M250" s="56">
        <v>18725</v>
      </c>
      <c r="N250" s="56">
        <v>5379</v>
      </c>
      <c r="O250" s="56">
        <v>25967</v>
      </c>
      <c r="P250" s="56">
        <v>2497</v>
      </c>
      <c r="Q250" s="56">
        <v>24918</v>
      </c>
      <c r="R250" s="16">
        <f t="shared" si="13"/>
        <v>10551</v>
      </c>
      <c r="S250" s="16">
        <f t="shared" si="14"/>
        <v>69610</v>
      </c>
      <c r="T250" s="13" t="s">
        <v>143</v>
      </c>
      <c r="U250" s="5">
        <v>10551</v>
      </c>
      <c r="V250" s="5">
        <f t="shared" si="12"/>
        <v>11156.5</v>
      </c>
      <c r="W250" s="5">
        <f t="shared" si="15"/>
        <v>71746</v>
      </c>
      <c r="X250" s="86">
        <f>N494</f>
        <v>2780</v>
      </c>
      <c r="Y250" s="90">
        <f>P494</f>
        <v>699</v>
      </c>
      <c r="Z250" s="89">
        <f>L494</f>
        <v>4645</v>
      </c>
      <c r="AA250" s="86">
        <f>O494</f>
        <v>44953</v>
      </c>
      <c r="AB250" s="90">
        <f>Q494</f>
        <v>29878</v>
      </c>
      <c r="AC250" s="89">
        <f>P494</f>
        <v>699</v>
      </c>
      <c r="AD250" s="18">
        <v>38589</v>
      </c>
    </row>
    <row r="251" spans="1:30" ht="15.6" x14ac:dyDescent="0.3">
      <c r="A251" s="55">
        <v>37378</v>
      </c>
      <c r="B251" s="56">
        <v>704</v>
      </c>
      <c r="C251" s="56">
        <v>8073</v>
      </c>
      <c r="D251" s="56">
        <v>501</v>
      </c>
      <c r="E251" s="56">
        <v>5074</v>
      </c>
      <c r="F251" s="56">
        <v>476</v>
      </c>
      <c r="G251" s="56">
        <v>5130</v>
      </c>
      <c r="H251" s="56">
        <v>368</v>
      </c>
      <c r="I251" s="56">
        <v>2946</v>
      </c>
      <c r="J251" s="56">
        <v>38</v>
      </c>
      <c r="K251" s="56">
        <v>1080</v>
      </c>
      <c r="L251" s="56">
        <v>2088</v>
      </c>
      <c r="M251" s="56">
        <v>22303</v>
      </c>
      <c r="N251" s="56">
        <v>6405</v>
      </c>
      <c r="O251" s="56">
        <v>30601</v>
      </c>
      <c r="P251" s="56">
        <v>2711</v>
      </c>
      <c r="Q251" s="56">
        <v>24236</v>
      </c>
      <c r="R251" s="16">
        <f t="shared" si="13"/>
        <v>11204</v>
      </c>
      <c r="S251" s="16">
        <f t="shared" si="14"/>
        <v>77140</v>
      </c>
      <c r="T251" s="13" t="s">
        <v>144</v>
      </c>
      <c r="U251" s="5">
        <v>11204</v>
      </c>
      <c r="V251" s="5">
        <f t="shared" si="12"/>
        <v>11030</v>
      </c>
      <c r="W251" s="5">
        <f t="shared" si="15"/>
        <v>72595.75</v>
      </c>
      <c r="X251" s="86">
        <f>N496</f>
        <v>7864</v>
      </c>
      <c r="Y251" s="90">
        <f>P496</f>
        <v>439</v>
      </c>
      <c r="Z251" s="89">
        <f>L496</f>
        <v>5067</v>
      </c>
      <c r="AA251" s="86">
        <f>O496</f>
        <v>10</v>
      </c>
      <c r="AB251" s="90">
        <f>Q496</f>
        <v>5636</v>
      </c>
      <c r="AC251" s="89">
        <f>M496</f>
        <v>6223</v>
      </c>
      <c r="AD251" s="18">
        <v>38596</v>
      </c>
    </row>
    <row r="252" spans="1:30" ht="15.6" x14ac:dyDescent="0.3">
      <c r="A252" s="55" t="s">
        <v>25</v>
      </c>
      <c r="B252" s="56">
        <v>824</v>
      </c>
      <c r="C252" s="56">
        <v>6493</v>
      </c>
      <c r="D252" s="56">
        <v>174</v>
      </c>
      <c r="E252" s="56">
        <v>2717</v>
      </c>
      <c r="F252" s="56">
        <v>945</v>
      </c>
      <c r="G252" s="56">
        <v>6016</v>
      </c>
      <c r="H252" s="56">
        <v>373</v>
      </c>
      <c r="I252" s="56">
        <v>3300</v>
      </c>
      <c r="J252" s="56">
        <v>60</v>
      </c>
      <c r="K252" s="56">
        <v>694</v>
      </c>
      <c r="L252" s="56">
        <v>2375</v>
      </c>
      <c r="M252" s="56">
        <v>19219</v>
      </c>
      <c r="N252" s="56">
        <v>5431</v>
      </c>
      <c r="O252" s="56">
        <v>26483</v>
      </c>
      <c r="P252" s="56">
        <v>2169</v>
      </c>
      <c r="Q252" s="56">
        <v>25282</v>
      </c>
      <c r="R252" s="16">
        <f t="shared" si="13"/>
        <v>9975</v>
      </c>
      <c r="S252" s="16">
        <f t="shared" si="14"/>
        <v>70984</v>
      </c>
      <c r="T252" s="13" t="s">
        <v>144</v>
      </c>
      <c r="U252" s="5">
        <v>9975</v>
      </c>
      <c r="V252" s="5">
        <f t="shared" si="12"/>
        <v>10862.5</v>
      </c>
      <c r="W252" s="5">
        <f t="shared" si="15"/>
        <v>73303.75</v>
      </c>
      <c r="X252" s="86">
        <f>N498</f>
        <v>7896</v>
      </c>
      <c r="Y252" s="90">
        <f>P498</f>
        <v>4422</v>
      </c>
      <c r="Z252" s="89">
        <f>L498</f>
        <v>5263</v>
      </c>
      <c r="AA252" s="86">
        <f>O498</f>
        <v>436</v>
      </c>
      <c r="AB252" s="90">
        <f>Q498</f>
        <v>155</v>
      </c>
      <c r="AC252" s="89">
        <f>M498</f>
        <v>6612</v>
      </c>
      <c r="AD252" s="18">
        <v>38603</v>
      </c>
    </row>
    <row r="253" spans="1:30" ht="15.6" x14ac:dyDescent="0.3">
      <c r="A253" s="55">
        <v>37385</v>
      </c>
      <c r="B253" s="56">
        <v>591</v>
      </c>
      <c r="C253" s="56">
        <v>8277</v>
      </c>
      <c r="D253" s="56">
        <v>320</v>
      </c>
      <c r="E253" s="56">
        <v>5265</v>
      </c>
      <c r="F253" s="56">
        <v>392</v>
      </c>
      <c r="G253" s="56">
        <v>5291</v>
      </c>
      <c r="H253" s="56">
        <v>332</v>
      </c>
      <c r="I253" s="56">
        <v>2991</v>
      </c>
      <c r="J253" s="56">
        <v>19</v>
      </c>
      <c r="K253" s="56">
        <v>1105</v>
      </c>
      <c r="L253" s="56">
        <v>1653</v>
      </c>
      <c r="M253" s="56">
        <v>22929</v>
      </c>
      <c r="N253" s="56">
        <v>6836</v>
      </c>
      <c r="O253" s="56">
        <v>31637</v>
      </c>
      <c r="P253" s="56">
        <v>2495</v>
      </c>
      <c r="Q253" s="56">
        <v>24804</v>
      </c>
      <c r="R253" s="16">
        <f t="shared" si="13"/>
        <v>10984</v>
      </c>
      <c r="S253" s="16">
        <f t="shared" si="14"/>
        <v>79370</v>
      </c>
      <c r="T253" s="13" t="s">
        <v>144</v>
      </c>
      <c r="U253" s="5">
        <v>10984</v>
      </c>
      <c r="V253" s="5">
        <f t="shared" si="12"/>
        <v>10678.5</v>
      </c>
      <c r="W253" s="5">
        <f t="shared" si="15"/>
        <v>74276</v>
      </c>
      <c r="X253" s="86">
        <f>N500</f>
        <v>7818</v>
      </c>
      <c r="Y253" s="90">
        <f>P500</f>
        <v>5017</v>
      </c>
      <c r="Z253" s="89">
        <f>L500</f>
        <v>5252</v>
      </c>
      <c r="AA253" s="86">
        <f>O500</f>
        <v>1351</v>
      </c>
      <c r="AB253" s="90">
        <f>Q500</f>
        <v>312</v>
      </c>
      <c r="AC253" s="89">
        <f>M500</f>
        <v>7429</v>
      </c>
      <c r="AD253" s="18">
        <v>38610</v>
      </c>
    </row>
    <row r="254" spans="1:30" ht="15.6" x14ac:dyDescent="0.3">
      <c r="A254" s="55" t="s">
        <v>26</v>
      </c>
      <c r="B254" s="56">
        <v>752</v>
      </c>
      <c r="C254" s="56">
        <v>6629</v>
      </c>
      <c r="D254" s="56">
        <v>130</v>
      </c>
      <c r="E254" s="56">
        <v>2761</v>
      </c>
      <c r="F254" s="56">
        <v>845</v>
      </c>
      <c r="G254" s="56">
        <v>6213</v>
      </c>
      <c r="H254" s="56">
        <v>437</v>
      </c>
      <c r="I254" s="56">
        <v>3342</v>
      </c>
      <c r="J254" s="56">
        <v>42</v>
      </c>
      <c r="K254" s="56">
        <v>714</v>
      </c>
      <c r="L254" s="56">
        <v>2174</v>
      </c>
      <c r="M254" s="56">
        <v>19659</v>
      </c>
      <c r="N254" s="56">
        <v>5879</v>
      </c>
      <c r="O254" s="56">
        <v>27099</v>
      </c>
      <c r="P254" s="56">
        <v>2003</v>
      </c>
      <c r="Q254" s="56">
        <v>25591</v>
      </c>
      <c r="R254" s="16">
        <f t="shared" si="13"/>
        <v>10056</v>
      </c>
      <c r="S254" s="16">
        <f t="shared" si="14"/>
        <v>72349</v>
      </c>
      <c r="T254" s="13" t="s">
        <v>144</v>
      </c>
      <c r="U254" s="5">
        <v>10056</v>
      </c>
      <c r="V254" s="5">
        <f t="shared" si="12"/>
        <v>10554.75</v>
      </c>
      <c r="W254" s="5">
        <f t="shared" si="15"/>
        <v>74960.75</v>
      </c>
      <c r="X254" s="86">
        <f>N502</f>
        <v>7564</v>
      </c>
      <c r="Y254" s="90">
        <f>P502</f>
        <v>5473</v>
      </c>
      <c r="Z254" s="89">
        <f>L502</f>
        <v>5237</v>
      </c>
      <c r="AA254" s="86">
        <f>O502</f>
        <v>2307</v>
      </c>
      <c r="AB254" s="90">
        <f>Q502</f>
        <v>531</v>
      </c>
      <c r="AC254" s="89">
        <f>M502</f>
        <v>8025</v>
      </c>
      <c r="AD254" s="18">
        <v>38617</v>
      </c>
    </row>
    <row r="255" spans="1:30" ht="15.6" x14ac:dyDescent="0.3">
      <c r="A255" s="55">
        <v>37392</v>
      </c>
      <c r="B255" s="56">
        <v>571</v>
      </c>
      <c r="C255" s="56">
        <v>8401</v>
      </c>
      <c r="D255" s="56">
        <v>278</v>
      </c>
      <c r="E255" s="56">
        <v>5386</v>
      </c>
      <c r="F255" s="56">
        <v>397</v>
      </c>
      <c r="G255" s="56">
        <v>5338</v>
      </c>
      <c r="H255" s="56">
        <v>317</v>
      </c>
      <c r="I255" s="56">
        <v>3045</v>
      </c>
      <c r="J255" s="56">
        <v>21</v>
      </c>
      <c r="K255" s="56">
        <v>1108</v>
      </c>
      <c r="L255" s="56">
        <v>1583</v>
      </c>
      <c r="M255" s="56">
        <v>23279</v>
      </c>
      <c r="N255" s="56">
        <v>6814</v>
      </c>
      <c r="O255" s="56">
        <v>32618</v>
      </c>
      <c r="P255" s="56">
        <v>2429</v>
      </c>
      <c r="Q255" s="56">
        <v>25202</v>
      </c>
      <c r="R255" s="16">
        <f t="shared" si="13"/>
        <v>10826</v>
      </c>
      <c r="S255" s="16">
        <f t="shared" si="14"/>
        <v>81099</v>
      </c>
      <c r="T255" s="13" t="s">
        <v>144</v>
      </c>
      <c r="U255" s="5">
        <v>10826</v>
      </c>
      <c r="V255" s="5">
        <f t="shared" si="12"/>
        <v>10460.25</v>
      </c>
      <c r="W255" s="5">
        <f t="shared" si="15"/>
        <v>75950.5</v>
      </c>
      <c r="X255" s="86">
        <f>N504</f>
        <v>7735</v>
      </c>
      <c r="Y255" s="90">
        <f>P504</f>
        <v>5809</v>
      </c>
      <c r="Z255" s="89">
        <f>L504</f>
        <v>5128</v>
      </c>
      <c r="AA255" s="86">
        <f>O504</f>
        <v>3089</v>
      </c>
      <c r="AB255" s="90">
        <f>Q504</f>
        <v>737</v>
      </c>
      <c r="AC255" s="89">
        <f>M504</f>
        <v>8609</v>
      </c>
      <c r="AD255" s="18">
        <v>38624</v>
      </c>
    </row>
    <row r="256" spans="1:30" ht="15.6" x14ac:dyDescent="0.3">
      <c r="A256" s="55" t="s">
        <v>27</v>
      </c>
      <c r="B256" s="56">
        <v>619</v>
      </c>
      <c r="C256" s="56">
        <v>6742</v>
      </c>
      <c r="D256" s="56">
        <v>108</v>
      </c>
      <c r="E256" s="56">
        <v>2801</v>
      </c>
      <c r="F256" s="56">
        <v>775</v>
      </c>
      <c r="G256" s="56">
        <v>6347</v>
      </c>
      <c r="H256" s="56">
        <v>390</v>
      </c>
      <c r="I256" s="56">
        <v>3404</v>
      </c>
      <c r="J256" s="56">
        <v>38</v>
      </c>
      <c r="K256" s="56">
        <v>720</v>
      </c>
      <c r="L256" s="56">
        <v>1929</v>
      </c>
      <c r="M256" s="56">
        <v>20013</v>
      </c>
      <c r="N256" s="56">
        <v>5804</v>
      </c>
      <c r="O256" s="56">
        <v>27930</v>
      </c>
      <c r="P256" s="56">
        <v>1997</v>
      </c>
      <c r="Q256" s="56">
        <v>25701</v>
      </c>
      <c r="R256" s="16">
        <f t="shared" si="13"/>
        <v>9730</v>
      </c>
      <c r="S256" s="16">
        <f t="shared" si="14"/>
        <v>73644</v>
      </c>
      <c r="T256" s="13" t="s">
        <v>145</v>
      </c>
      <c r="U256" s="5">
        <v>9730</v>
      </c>
      <c r="V256" s="5">
        <f t="shared" si="12"/>
        <v>10399</v>
      </c>
      <c r="W256" s="5">
        <f t="shared" si="15"/>
        <v>76615.5</v>
      </c>
      <c r="X256" s="86">
        <f>N506</f>
        <v>7645</v>
      </c>
      <c r="Y256" s="90">
        <f>P506</f>
        <v>6096</v>
      </c>
      <c r="Z256" s="89">
        <f>L506</f>
        <v>4809</v>
      </c>
      <c r="AA256" s="86">
        <f>O506</f>
        <v>4112</v>
      </c>
      <c r="AB256" s="90">
        <f>Q506</f>
        <v>1134</v>
      </c>
      <c r="AC256" s="89">
        <f>M506</f>
        <v>9286</v>
      </c>
      <c r="AD256" s="18">
        <v>38631</v>
      </c>
    </row>
    <row r="257" spans="1:30" ht="15.6" x14ac:dyDescent="0.3">
      <c r="A257" s="55">
        <v>37399</v>
      </c>
      <c r="B257" s="56">
        <v>440</v>
      </c>
      <c r="C257" s="56">
        <v>8550</v>
      </c>
      <c r="D257" s="56">
        <v>203</v>
      </c>
      <c r="E257" s="56">
        <v>5430</v>
      </c>
      <c r="F257" s="56">
        <v>312</v>
      </c>
      <c r="G257" s="56">
        <v>5469</v>
      </c>
      <c r="H257" s="56">
        <v>335</v>
      </c>
      <c r="I257" s="56">
        <v>3094</v>
      </c>
      <c r="J257" s="56">
        <v>21</v>
      </c>
      <c r="K257" s="56">
        <v>1113</v>
      </c>
      <c r="L257" s="56">
        <v>1309</v>
      </c>
      <c r="M257" s="56">
        <v>23656</v>
      </c>
      <c r="N257" s="56">
        <v>6582</v>
      </c>
      <c r="O257" s="56">
        <v>33979</v>
      </c>
      <c r="P257" s="56">
        <v>2522</v>
      </c>
      <c r="Q257" s="56">
        <v>25454</v>
      </c>
      <c r="R257" s="16">
        <f t="shared" si="13"/>
        <v>10413</v>
      </c>
      <c r="S257" s="16">
        <f t="shared" si="14"/>
        <v>83089</v>
      </c>
      <c r="T257" s="13" t="s">
        <v>145</v>
      </c>
      <c r="U257" s="5">
        <v>10413</v>
      </c>
      <c r="V257" s="5">
        <f t="shared" si="12"/>
        <v>10256.25</v>
      </c>
      <c r="W257" s="5">
        <f t="shared" si="15"/>
        <v>77545.25</v>
      </c>
      <c r="X257" s="86">
        <f>N508</f>
        <v>7380</v>
      </c>
      <c r="Y257" s="90">
        <f>P508</f>
        <v>5987</v>
      </c>
      <c r="Z257" s="89">
        <f>L508</f>
        <v>4651</v>
      </c>
      <c r="AA257" s="86">
        <f>O508</f>
        <v>5343</v>
      </c>
      <c r="AB257" s="90">
        <f>Q508</f>
        <v>2132</v>
      </c>
      <c r="AC257" s="89">
        <f>M508</f>
        <v>9837</v>
      </c>
      <c r="AD257" s="18">
        <v>38638</v>
      </c>
    </row>
    <row r="258" spans="1:30" ht="15.6" x14ac:dyDescent="0.3">
      <c r="A258" s="55" t="s">
        <v>28</v>
      </c>
      <c r="B258" s="56">
        <v>585</v>
      </c>
      <c r="C258" s="56">
        <v>6772</v>
      </c>
      <c r="D258" s="56">
        <v>99</v>
      </c>
      <c r="E258" s="56">
        <v>2847</v>
      </c>
      <c r="F258" s="56">
        <v>620</v>
      </c>
      <c r="G258" s="56">
        <v>6473</v>
      </c>
      <c r="H258" s="56">
        <v>306</v>
      </c>
      <c r="I258" s="56">
        <v>3497</v>
      </c>
      <c r="J258" s="56">
        <v>38</v>
      </c>
      <c r="K258" s="56">
        <v>720</v>
      </c>
      <c r="L258" s="56">
        <v>1656</v>
      </c>
      <c r="M258" s="56">
        <v>20309</v>
      </c>
      <c r="N258" s="56">
        <v>5640</v>
      </c>
      <c r="O258" s="56">
        <v>28723</v>
      </c>
      <c r="P258" s="56">
        <v>1903</v>
      </c>
      <c r="Q258" s="56">
        <v>26055</v>
      </c>
      <c r="R258" s="16">
        <f t="shared" si="13"/>
        <v>9199</v>
      </c>
      <c r="S258" s="16">
        <f t="shared" si="14"/>
        <v>75087</v>
      </c>
      <c r="T258" s="13" t="s">
        <v>145</v>
      </c>
      <c r="U258" s="5">
        <v>9199</v>
      </c>
      <c r="V258" s="5">
        <f t="shared" si="12"/>
        <v>10042</v>
      </c>
      <c r="W258" s="5">
        <f t="shared" si="15"/>
        <v>78229.75</v>
      </c>
      <c r="X258" s="86">
        <f>N510</f>
        <v>7150</v>
      </c>
      <c r="Y258" s="90">
        <f>P510</f>
        <v>5923</v>
      </c>
      <c r="Z258" s="89">
        <f>L510</f>
        <v>4332</v>
      </c>
      <c r="AA258" s="86">
        <f>O510</f>
        <v>6292</v>
      </c>
      <c r="AB258" s="90">
        <f>Q510</f>
        <v>3038</v>
      </c>
      <c r="AC258" s="73">
        <f>M510</f>
        <v>10536</v>
      </c>
      <c r="AD258" s="18">
        <v>38645</v>
      </c>
    </row>
    <row r="259" spans="1:30" ht="15.6" x14ac:dyDescent="0.3">
      <c r="A259" s="55">
        <v>37406</v>
      </c>
      <c r="B259" s="56">
        <v>356</v>
      </c>
      <c r="C259" s="56">
        <v>8704</v>
      </c>
      <c r="D259" s="56">
        <v>148</v>
      </c>
      <c r="E259" s="56">
        <v>5485</v>
      </c>
      <c r="F259" s="56">
        <v>267</v>
      </c>
      <c r="G259" s="56">
        <v>5554</v>
      </c>
      <c r="H259" s="56">
        <v>292</v>
      </c>
      <c r="I259" s="56">
        <v>3127</v>
      </c>
      <c r="J259" s="56">
        <v>3</v>
      </c>
      <c r="K259" s="56">
        <v>1133</v>
      </c>
      <c r="L259" s="56">
        <v>1066</v>
      </c>
      <c r="M259" s="56">
        <v>24003</v>
      </c>
      <c r="N259" s="56">
        <v>6219</v>
      </c>
      <c r="O259" s="56">
        <v>34761</v>
      </c>
      <c r="P259" s="56">
        <v>2606</v>
      </c>
      <c r="Q259" s="56">
        <v>25633</v>
      </c>
      <c r="R259" s="16">
        <f t="shared" si="13"/>
        <v>9891</v>
      </c>
      <c r="S259" s="16">
        <f t="shared" si="14"/>
        <v>84397</v>
      </c>
      <c r="T259" s="13" t="s">
        <v>145</v>
      </c>
      <c r="U259" s="5">
        <v>9891</v>
      </c>
      <c r="V259" s="5">
        <f t="shared" si="12"/>
        <v>9808.25</v>
      </c>
      <c r="W259" s="5">
        <f t="shared" si="15"/>
        <v>79054.25</v>
      </c>
      <c r="X259" s="86">
        <f>N512</f>
        <v>7354</v>
      </c>
      <c r="Y259" s="90">
        <f>P512</f>
        <v>5673</v>
      </c>
      <c r="Z259" s="89">
        <f>L512</f>
        <v>4219</v>
      </c>
      <c r="AA259" s="86">
        <f>O512</f>
        <v>7306</v>
      </c>
      <c r="AB259" s="90">
        <f>Q512</f>
        <v>4050</v>
      </c>
      <c r="AC259" s="73">
        <f>M512</f>
        <v>11083</v>
      </c>
      <c r="AD259" s="18">
        <v>38652</v>
      </c>
    </row>
    <row r="260" spans="1:30" ht="15.6" x14ac:dyDescent="0.3">
      <c r="A260" s="55" t="s">
        <v>29</v>
      </c>
      <c r="B260" s="56">
        <v>475</v>
      </c>
      <c r="C260" s="56">
        <v>6896</v>
      </c>
      <c r="D260" s="56">
        <v>59</v>
      </c>
      <c r="E260" s="56">
        <v>2899</v>
      </c>
      <c r="F260" s="56">
        <v>456</v>
      </c>
      <c r="G260" s="56">
        <v>6645</v>
      </c>
      <c r="H260" s="56">
        <v>297</v>
      </c>
      <c r="I260" s="56">
        <v>3517</v>
      </c>
      <c r="J260" s="56">
        <v>38</v>
      </c>
      <c r="K260" s="56">
        <v>720</v>
      </c>
      <c r="L260" s="56">
        <v>1323</v>
      </c>
      <c r="M260" s="56">
        <v>20677</v>
      </c>
      <c r="N260" s="56">
        <v>5289</v>
      </c>
      <c r="O260" s="56">
        <v>29608</v>
      </c>
      <c r="P260" s="56">
        <v>1887</v>
      </c>
      <c r="Q260" s="56">
        <v>26183</v>
      </c>
      <c r="R260" s="16">
        <f t="shared" si="13"/>
        <v>8499</v>
      </c>
      <c r="S260" s="16">
        <f t="shared" si="14"/>
        <v>76468</v>
      </c>
      <c r="T260" s="13" t="s">
        <v>146</v>
      </c>
      <c r="U260" s="5">
        <v>8499</v>
      </c>
      <c r="V260" s="5">
        <f t="shared" si="12"/>
        <v>9500.5</v>
      </c>
      <c r="W260" s="5">
        <f t="shared" si="15"/>
        <v>79760.25</v>
      </c>
      <c r="X260" s="86">
        <f>N514</f>
        <v>7315</v>
      </c>
      <c r="Y260" s="90">
        <f>P514</f>
        <v>5242</v>
      </c>
      <c r="Z260" s="89">
        <f>L514</f>
        <v>5169</v>
      </c>
      <c r="AA260" s="86">
        <f>O514</f>
        <v>8226</v>
      </c>
      <c r="AB260" s="90">
        <f>Q514</f>
        <v>5060</v>
      </c>
      <c r="AC260" s="73">
        <f>M514</f>
        <v>11530</v>
      </c>
      <c r="AD260" s="18">
        <v>38659</v>
      </c>
    </row>
    <row r="261" spans="1:30" ht="15.6" x14ac:dyDescent="0.3">
      <c r="A261" s="55">
        <v>37413</v>
      </c>
      <c r="B261" s="56">
        <v>1108</v>
      </c>
      <c r="C261" s="56">
        <v>181</v>
      </c>
      <c r="D261" s="56">
        <v>458</v>
      </c>
      <c r="E261" s="56">
        <v>35</v>
      </c>
      <c r="F261" s="56">
        <v>819</v>
      </c>
      <c r="G261" s="56">
        <v>44</v>
      </c>
      <c r="H261" s="56">
        <v>603</v>
      </c>
      <c r="I261" s="56">
        <v>37</v>
      </c>
      <c r="J261" s="56">
        <v>78</v>
      </c>
      <c r="K261" s="56">
        <v>2</v>
      </c>
      <c r="L261" s="56">
        <v>3066</v>
      </c>
      <c r="M261" s="56">
        <v>300</v>
      </c>
      <c r="N261" s="56">
        <v>6465</v>
      </c>
      <c r="O261" s="56">
        <v>35817</v>
      </c>
      <c r="P261" s="56">
        <v>2548</v>
      </c>
      <c r="Q261" s="56">
        <v>26167</v>
      </c>
      <c r="R261" s="16">
        <f t="shared" si="13"/>
        <v>12079</v>
      </c>
      <c r="S261" s="16">
        <f t="shared" si="14"/>
        <v>62284</v>
      </c>
      <c r="T261" s="13" t="s">
        <v>146</v>
      </c>
      <c r="U261" s="5">
        <v>12079</v>
      </c>
      <c r="V261" s="5">
        <f t="shared" si="12"/>
        <v>9917</v>
      </c>
      <c r="W261" s="5">
        <f t="shared" si="15"/>
        <v>74559</v>
      </c>
      <c r="X261" s="86">
        <f>N516</f>
        <v>7748</v>
      </c>
      <c r="Y261" s="90">
        <f>P516</f>
        <v>5147</v>
      </c>
      <c r="Z261" s="89">
        <f>L516</f>
        <v>5356</v>
      </c>
      <c r="AA261" s="86">
        <f>O516</f>
        <v>9284</v>
      </c>
      <c r="AB261" s="90">
        <f>Q516</f>
        <v>5800</v>
      </c>
      <c r="AC261" s="73">
        <f>M516</f>
        <v>11892</v>
      </c>
      <c r="AD261" s="18">
        <v>38666</v>
      </c>
    </row>
    <row r="262" spans="1:30" ht="15.6" x14ac:dyDescent="0.3">
      <c r="A262" s="55" t="s">
        <v>30</v>
      </c>
      <c r="B262" s="56">
        <v>1369</v>
      </c>
      <c r="C262" s="56">
        <v>121</v>
      </c>
      <c r="D262" s="56">
        <v>325</v>
      </c>
      <c r="E262" s="56">
        <v>13</v>
      </c>
      <c r="F262" s="56">
        <v>1003</v>
      </c>
      <c r="G262" s="56">
        <v>90</v>
      </c>
      <c r="H262" s="56">
        <v>536</v>
      </c>
      <c r="I262" s="56">
        <v>53</v>
      </c>
      <c r="J262" s="56">
        <v>175</v>
      </c>
      <c r="K262" s="56">
        <v>0</v>
      </c>
      <c r="L262" s="56">
        <v>3408</v>
      </c>
      <c r="M262" s="56">
        <v>276</v>
      </c>
      <c r="N262" s="56">
        <v>5302</v>
      </c>
      <c r="O262" s="56">
        <v>30325</v>
      </c>
      <c r="P262" s="56">
        <v>1861</v>
      </c>
      <c r="Q262" s="56">
        <v>26378</v>
      </c>
      <c r="R262" s="16">
        <f t="shared" si="13"/>
        <v>10571</v>
      </c>
      <c r="S262" s="16">
        <f t="shared" si="14"/>
        <v>56979</v>
      </c>
      <c r="T262" s="13" t="s">
        <v>146</v>
      </c>
      <c r="U262" s="5">
        <v>10571</v>
      </c>
      <c r="V262" s="5">
        <f t="shared" si="12"/>
        <v>10260</v>
      </c>
      <c r="W262" s="5">
        <f t="shared" si="15"/>
        <v>70032</v>
      </c>
      <c r="X262" s="86">
        <f>N518</f>
        <v>7814</v>
      </c>
      <c r="Y262" s="90">
        <f>P518</f>
        <v>4384</v>
      </c>
      <c r="Z262" s="89">
        <f>L518</f>
        <v>5337</v>
      </c>
      <c r="AA262" s="86">
        <f>O518</f>
        <v>10251</v>
      </c>
      <c r="AB262" s="90">
        <f>Q518</f>
        <v>6736</v>
      </c>
      <c r="AC262" s="73">
        <f>M518</f>
        <v>12365</v>
      </c>
      <c r="AD262" s="18">
        <v>38673</v>
      </c>
    </row>
    <row r="263" spans="1:30" ht="15.6" x14ac:dyDescent="0.3">
      <c r="A263" s="55">
        <v>37420</v>
      </c>
      <c r="B263" s="56">
        <v>1201</v>
      </c>
      <c r="C263" s="56">
        <v>239</v>
      </c>
      <c r="D263" s="56">
        <v>313</v>
      </c>
      <c r="E263" s="56">
        <v>79</v>
      </c>
      <c r="F263" s="56">
        <v>828</v>
      </c>
      <c r="G263" s="56">
        <v>145</v>
      </c>
      <c r="H263" s="56">
        <v>475</v>
      </c>
      <c r="I263" s="56">
        <v>212</v>
      </c>
      <c r="J263" s="56">
        <v>80</v>
      </c>
      <c r="K263" s="56">
        <v>3</v>
      </c>
      <c r="L263" s="56">
        <v>2897</v>
      </c>
      <c r="M263" s="56">
        <v>677</v>
      </c>
      <c r="N263" s="56">
        <v>6414</v>
      </c>
      <c r="O263" s="56">
        <v>36917</v>
      </c>
      <c r="P263" s="56">
        <v>2652</v>
      </c>
      <c r="Q263" s="56">
        <v>26301</v>
      </c>
      <c r="R263" s="16">
        <f t="shared" si="13"/>
        <v>11963</v>
      </c>
      <c r="S263" s="16">
        <f t="shared" si="14"/>
        <v>63895</v>
      </c>
      <c r="T263" s="13" t="s">
        <v>146</v>
      </c>
      <c r="U263" s="5">
        <v>11963</v>
      </c>
      <c r="V263" s="5">
        <f t="shared" si="12"/>
        <v>10778</v>
      </c>
      <c r="W263" s="5">
        <f t="shared" si="15"/>
        <v>64906.5</v>
      </c>
      <c r="X263" s="86">
        <f>N520</f>
        <v>7759</v>
      </c>
      <c r="Y263" s="90">
        <f>P520</f>
        <v>3926</v>
      </c>
      <c r="Z263" s="89">
        <f>L520</f>
        <v>5041</v>
      </c>
      <c r="AA263" s="86">
        <f>O520</f>
        <v>10917</v>
      </c>
      <c r="AB263" s="90">
        <f>Q520</f>
        <v>7565</v>
      </c>
      <c r="AC263" s="73">
        <f>M520</f>
        <v>12890</v>
      </c>
      <c r="AD263" s="18">
        <v>38680</v>
      </c>
    </row>
    <row r="264" spans="1:30" ht="15.6" x14ac:dyDescent="0.3">
      <c r="A264" s="55" t="s">
        <v>31</v>
      </c>
      <c r="B264" s="56">
        <v>1467</v>
      </c>
      <c r="C264" s="56">
        <v>304</v>
      </c>
      <c r="D264" s="56">
        <v>385</v>
      </c>
      <c r="E264" s="56">
        <v>29</v>
      </c>
      <c r="F264" s="56">
        <v>1046</v>
      </c>
      <c r="G264" s="56">
        <v>197</v>
      </c>
      <c r="H264" s="56">
        <v>556</v>
      </c>
      <c r="I264" s="56">
        <v>118</v>
      </c>
      <c r="J264" s="56">
        <v>158</v>
      </c>
      <c r="K264" s="56">
        <v>16</v>
      </c>
      <c r="L264" s="56">
        <v>3612</v>
      </c>
      <c r="M264" s="56">
        <v>664</v>
      </c>
      <c r="N264" s="56">
        <v>5178</v>
      </c>
      <c r="O264" s="56">
        <v>31191</v>
      </c>
      <c r="P264" s="56">
        <v>1860</v>
      </c>
      <c r="Q264" s="56">
        <v>26547</v>
      </c>
      <c r="R264" s="16">
        <f t="shared" ref="R264:R327" si="16">L264+N264+P264</f>
        <v>10650</v>
      </c>
      <c r="S264" s="16">
        <f t="shared" ref="S264:S327" si="17">M264+O264+Q264</f>
        <v>58402</v>
      </c>
      <c r="T264" s="13" t="s">
        <v>147</v>
      </c>
      <c r="U264" s="5">
        <v>10650</v>
      </c>
      <c r="V264" s="5">
        <f t="shared" si="12"/>
        <v>11315.75</v>
      </c>
      <c r="W264" s="5">
        <f t="shared" si="15"/>
        <v>60390</v>
      </c>
      <c r="X264" s="86">
        <f>N522</f>
        <v>7432</v>
      </c>
      <c r="Y264" s="90">
        <f>P522</f>
        <v>4079</v>
      </c>
      <c r="Z264" s="89">
        <f>L522</f>
        <v>5001</v>
      </c>
      <c r="AA264" s="86">
        <f>O522</f>
        <v>11939</v>
      </c>
      <c r="AB264" s="90">
        <f>Q522</f>
        <v>8324</v>
      </c>
      <c r="AC264" s="73">
        <f>M522</f>
        <v>13381</v>
      </c>
      <c r="AD264" s="18">
        <v>38687</v>
      </c>
    </row>
    <row r="265" spans="1:30" ht="15.6" x14ac:dyDescent="0.3">
      <c r="A265" s="55">
        <v>37427</v>
      </c>
      <c r="B265" s="56">
        <v>1116</v>
      </c>
      <c r="C265" s="56">
        <v>401</v>
      </c>
      <c r="D265" s="56">
        <v>373</v>
      </c>
      <c r="E265" s="56">
        <v>163</v>
      </c>
      <c r="F265" s="56">
        <v>869</v>
      </c>
      <c r="G265" s="56">
        <v>204</v>
      </c>
      <c r="H265" s="56">
        <v>498</v>
      </c>
      <c r="I265" s="56">
        <v>233</v>
      </c>
      <c r="J265" s="56">
        <v>138</v>
      </c>
      <c r="K265" s="56">
        <v>26</v>
      </c>
      <c r="L265" s="56">
        <v>2993</v>
      </c>
      <c r="M265" s="56">
        <v>1027</v>
      </c>
      <c r="N265" s="56">
        <v>6335</v>
      </c>
      <c r="O265" s="56">
        <v>37922</v>
      </c>
      <c r="P265" s="56">
        <v>2614</v>
      </c>
      <c r="Q265" s="56">
        <v>26614</v>
      </c>
      <c r="R265" s="16">
        <f t="shared" si="16"/>
        <v>11942</v>
      </c>
      <c r="S265" s="16">
        <f t="shared" si="17"/>
        <v>65563</v>
      </c>
      <c r="T265" s="13" t="s">
        <v>147</v>
      </c>
      <c r="U265" s="5">
        <v>11942</v>
      </c>
      <c r="V265" s="5">
        <f t="shared" si="12"/>
        <v>11281.5</v>
      </c>
      <c r="W265" s="5">
        <f t="shared" si="15"/>
        <v>61209.75</v>
      </c>
      <c r="X265" s="86">
        <f>N524</f>
        <v>7334</v>
      </c>
      <c r="Y265" s="90">
        <f>P524</f>
        <v>3944</v>
      </c>
      <c r="Z265" s="89">
        <f>L524</f>
        <v>5018</v>
      </c>
      <c r="AA265" s="86">
        <f>O524</f>
        <v>12957</v>
      </c>
      <c r="AB265" s="90">
        <f>Q524</f>
        <v>8963</v>
      </c>
      <c r="AC265" s="73">
        <f>M524</f>
        <v>14059</v>
      </c>
      <c r="AD265" s="18">
        <v>38694</v>
      </c>
    </row>
    <row r="266" spans="1:30" ht="15.6" x14ac:dyDescent="0.3">
      <c r="A266" s="55" t="s">
        <v>32</v>
      </c>
      <c r="B266" s="56">
        <v>1530</v>
      </c>
      <c r="C266" s="56">
        <v>481</v>
      </c>
      <c r="D266" s="56">
        <v>386</v>
      </c>
      <c r="E266" s="56">
        <v>45</v>
      </c>
      <c r="F266" s="56">
        <v>1223</v>
      </c>
      <c r="G266" s="56">
        <v>221</v>
      </c>
      <c r="H266" s="56">
        <v>569</v>
      </c>
      <c r="I266" s="56">
        <v>163</v>
      </c>
      <c r="J266" s="56">
        <v>142</v>
      </c>
      <c r="K266" s="56">
        <v>34</v>
      </c>
      <c r="L266" s="56">
        <v>3851</v>
      </c>
      <c r="M266" s="56">
        <v>943</v>
      </c>
      <c r="N266" s="56">
        <v>5264</v>
      </c>
      <c r="O266" s="56">
        <v>31918</v>
      </c>
      <c r="P266" s="56">
        <v>1959</v>
      </c>
      <c r="Q266" s="56">
        <v>26680</v>
      </c>
      <c r="R266" s="16">
        <f t="shared" si="16"/>
        <v>11074</v>
      </c>
      <c r="S266" s="16">
        <f t="shared" si="17"/>
        <v>59541</v>
      </c>
      <c r="T266" s="13" t="s">
        <v>147</v>
      </c>
      <c r="U266" s="5">
        <v>11074</v>
      </c>
      <c r="V266" s="5">
        <f t="shared" ref="V266:V285" si="18">AVERAGE(U263:U266)</f>
        <v>11407.25</v>
      </c>
      <c r="W266" s="5">
        <f t="shared" si="15"/>
        <v>61850.25</v>
      </c>
      <c r="X266" s="86">
        <f>N526</f>
        <v>7037</v>
      </c>
      <c r="Y266" s="90">
        <f>P526</f>
        <v>4004</v>
      </c>
      <c r="Z266" s="89">
        <f>L526</f>
        <v>5116</v>
      </c>
      <c r="AA266" s="86">
        <f>O526</f>
        <v>14138</v>
      </c>
      <c r="AB266" s="90">
        <f>Q526</f>
        <v>9642</v>
      </c>
      <c r="AC266" s="73">
        <f>M526</f>
        <v>14484</v>
      </c>
      <c r="AD266" s="18">
        <v>38701</v>
      </c>
    </row>
    <row r="267" spans="1:30" ht="15.6" x14ac:dyDescent="0.3">
      <c r="A267" s="55" t="s">
        <v>33</v>
      </c>
      <c r="B267" s="56">
        <v>1137</v>
      </c>
      <c r="C267" s="56">
        <v>551</v>
      </c>
      <c r="D267" s="56">
        <v>396</v>
      </c>
      <c r="E267" s="56">
        <v>226</v>
      </c>
      <c r="F267" s="56">
        <v>1043</v>
      </c>
      <c r="G267" s="56">
        <v>240</v>
      </c>
      <c r="H267" s="56">
        <v>515</v>
      </c>
      <c r="I267" s="56">
        <v>258</v>
      </c>
      <c r="J267" s="56">
        <v>182</v>
      </c>
      <c r="K267" s="56">
        <v>32</v>
      </c>
      <c r="L267" s="56">
        <v>3272</v>
      </c>
      <c r="M267" s="56">
        <v>1307</v>
      </c>
      <c r="N267" s="56">
        <v>6623</v>
      </c>
      <c r="O267" s="56">
        <v>38618</v>
      </c>
      <c r="P267" s="56">
        <v>2574</v>
      </c>
      <c r="Q267" s="56">
        <v>26916</v>
      </c>
      <c r="R267" s="16">
        <f t="shared" si="16"/>
        <v>12469</v>
      </c>
      <c r="S267" s="16">
        <f t="shared" si="17"/>
        <v>66841</v>
      </c>
      <c r="T267" s="13" t="s">
        <v>147</v>
      </c>
      <c r="U267" s="5">
        <v>12469</v>
      </c>
      <c r="V267" s="5">
        <f t="shared" si="18"/>
        <v>11533.75</v>
      </c>
      <c r="W267" s="5">
        <f t="shared" ref="W267:W285" si="19">AVERAGE(S264:S267)</f>
        <v>62586.75</v>
      </c>
      <c r="X267" s="86">
        <f>N528</f>
        <v>6619</v>
      </c>
      <c r="Y267" s="90">
        <f>P528</f>
        <v>4286</v>
      </c>
      <c r="Z267" s="89">
        <f>L528</f>
        <v>4834</v>
      </c>
      <c r="AA267" s="86">
        <f>O528</f>
        <v>14916</v>
      </c>
      <c r="AB267" s="90">
        <f>Q528</f>
        <v>10250</v>
      </c>
      <c r="AC267" s="73">
        <f>M528</f>
        <v>15122</v>
      </c>
      <c r="AD267" s="18">
        <v>38708</v>
      </c>
    </row>
    <row r="268" spans="1:30" ht="15.6" x14ac:dyDescent="0.3">
      <c r="A268" s="55" t="s">
        <v>34</v>
      </c>
      <c r="B268" s="56">
        <v>1793</v>
      </c>
      <c r="C268" s="56">
        <v>610</v>
      </c>
      <c r="D268" s="56">
        <v>403</v>
      </c>
      <c r="E268" s="56">
        <v>98</v>
      </c>
      <c r="F268" s="56">
        <v>1317</v>
      </c>
      <c r="G268" s="56">
        <v>271</v>
      </c>
      <c r="H268" s="56">
        <v>552</v>
      </c>
      <c r="I268" s="56">
        <v>196</v>
      </c>
      <c r="J268" s="56">
        <v>135</v>
      </c>
      <c r="K268" s="56">
        <v>81</v>
      </c>
      <c r="L268" s="56">
        <v>4199</v>
      </c>
      <c r="M268" s="56">
        <v>1255</v>
      </c>
      <c r="N268" s="56">
        <v>5117</v>
      </c>
      <c r="O268" s="56">
        <v>32836</v>
      </c>
      <c r="P268" s="56">
        <v>1917</v>
      </c>
      <c r="Q268" s="56">
        <v>26917</v>
      </c>
      <c r="R268" s="16">
        <f t="shared" si="16"/>
        <v>11233</v>
      </c>
      <c r="S268" s="16">
        <f t="shared" si="17"/>
        <v>61008</v>
      </c>
      <c r="T268" s="13" t="s">
        <v>147</v>
      </c>
      <c r="U268" s="5">
        <v>11233</v>
      </c>
      <c r="V268" s="5">
        <f t="shared" si="18"/>
        <v>11679.5</v>
      </c>
      <c r="W268" s="5">
        <f t="shared" si="19"/>
        <v>63238.25</v>
      </c>
      <c r="X268" s="86">
        <f>N530</f>
        <v>5991</v>
      </c>
      <c r="Y268" s="90">
        <f>P530</f>
        <v>4375</v>
      </c>
      <c r="Z268" s="89">
        <f>L530</f>
        <v>4727</v>
      </c>
      <c r="AA268" s="86">
        <f>O530</f>
        <v>16073</v>
      </c>
      <c r="AB268" s="90">
        <f>Q530</f>
        <v>10623</v>
      </c>
      <c r="AC268" s="73">
        <f>M530</f>
        <v>15453</v>
      </c>
      <c r="AD268" s="18">
        <v>38715</v>
      </c>
    </row>
    <row r="269" spans="1:30" ht="15.6" x14ac:dyDescent="0.3">
      <c r="A269" s="55" t="s">
        <v>13</v>
      </c>
      <c r="B269" s="56">
        <v>994</v>
      </c>
      <c r="C269" s="56">
        <v>713</v>
      </c>
      <c r="D269" s="56">
        <v>396</v>
      </c>
      <c r="E269" s="56">
        <v>327</v>
      </c>
      <c r="F269" s="56">
        <v>886</v>
      </c>
      <c r="G269" s="56">
        <v>369</v>
      </c>
      <c r="H269" s="56">
        <v>559</v>
      </c>
      <c r="I269" s="56">
        <v>280</v>
      </c>
      <c r="J269" s="56">
        <v>127</v>
      </c>
      <c r="K269" s="56">
        <v>98</v>
      </c>
      <c r="L269" s="56">
        <v>2962</v>
      </c>
      <c r="M269" s="56">
        <v>1786</v>
      </c>
      <c r="N269" s="56">
        <v>5933</v>
      </c>
      <c r="O269" s="56">
        <v>39667</v>
      </c>
      <c r="P269" s="56">
        <v>2372</v>
      </c>
      <c r="Q269" s="56">
        <v>27205</v>
      </c>
      <c r="R269" s="16">
        <f t="shared" si="16"/>
        <v>11267</v>
      </c>
      <c r="S269" s="16">
        <f t="shared" si="17"/>
        <v>68658</v>
      </c>
      <c r="T269" s="76" t="s">
        <v>153</v>
      </c>
      <c r="U269" s="5">
        <v>11267</v>
      </c>
      <c r="V269" s="5">
        <f t="shared" si="18"/>
        <v>11510.75</v>
      </c>
      <c r="W269" s="5">
        <f t="shared" si="19"/>
        <v>64012</v>
      </c>
      <c r="X269" s="86">
        <f>N532</f>
        <v>5905</v>
      </c>
      <c r="Y269" s="90">
        <f>P532</f>
        <v>4149</v>
      </c>
      <c r="Z269" s="89">
        <f>L532</f>
        <v>4494</v>
      </c>
      <c r="AA269" s="86">
        <f>O532</f>
        <v>16731</v>
      </c>
      <c r="AB269" s="90">
        <f>Q532</f>
        <v>11297</v>
      </c>
      <c r="AC269" s="73">
        <f>M532</f>
        <v>16029</v>
      </c>
      <c r="AD269" s="18">
        <v>38722</v>
      </c>
    </row>
    <row r="270" spans="1:30" ht="15.6" x14ac:dyDescent="0.3">
      <c r="A270" s="55" t="s">
        <v>14</v>
      </c>
      <c r="B270" s="56">
        <v>1760</v>
      </c>
      <c r="C270" s="56">
        <v>805</v>
      </c>
      <c r="D270" s="56">
        <v>551</v>
      </c>
      <c r="E270" s="56">
        <v>127</v>
      </c>
      <c r="F270" s="56">
        <v>1257</v>
      </c>
      <c r="G270" s="56">
        <v>416</v>
      </c>
      <c r="H270" s="56">
        <v>604</v>
      </c>
      <c r="I270" s="56">
        <v>270</v>
      </c>
      <c r="J270" s="56">
        <v>145</v>
      </c>
      <c r="K270" s="56">
        <v>81</v>
      </c>
      <c r="L270" s="56">
        <v>4316</v>
      </c>
      <c r="M270" s="56">
        <v>1699</v>
      </c>
      <c r="N270" s="56">
        <v>5075</v>
      </c>
      <c r="O270" s="56">
        <v>33596</v>
      </c>
      <c r="P270" s="56">
        <v>1793</v>
      </c>
      <c r="Q270" s="56">
        <v>27272</v>
      </c>
      <c r="R270" s="16">
        <f t="shared" si="16"/>
        <v>11184</v>
      </c>
      <c r="S270" s="16">
        <f t="shared" si="17"/>
        <v>62567</v>
      </c>
      <c r="T270" s="13" t="s">
        <v>153</v>
      </c>
      <c r="U270" s="5">
        <v>11184</v>
      </c>
      <c r="V270" s="5">
        <f t="shared" si="18"/>
        <v>11538.25</v>
      </c>
      <c r="W270" s="5">
        <f t="shared" si="19"/>
        <v>64768.5</v>
      </c>
      <c r="X270" s="86">
        <f>N534</f>
        <v>6184</v>
      </c>
      <c r="Y270" s="90">
        <f>P534</f>
        <v>4870</v>
      </c>
      <c r="Z270" s="89">
        <f>L534</f>
        <v>4525</v>
      </c>
      <c r="AA270" s="86">
        <f>O534</f>
        <v>17657</v>
      </c>
      <c r="AB270" s="90">
        <f>Q534</f>
        <v>11848</v>
      </c>
      <c r="AC270" s="73">
        <f>M534</f>
        <v>16350</v>
      </c>
      <c r="AD270" s="18">
        <v>38729</v>
      </c>
    </row>
    <row r="271" spans="1:30" ht="15.6" x14ac:dyDescent="0.3">
      <c r="A271" s="55" t="s">
        <v>40</v>
      </c>
      <c r="B271" s="56">
        <v>1040</v>
      </c>
      <c r="C271" s="56">
        <v>1017</v>
      </c>
      <c r="D271" s="56">
        <v>406</v>
      </c>
      <c r="E271" s="56">
        <v>374</v>
      </c>
      <c r="F271" s="56">
        <v>1063</v>
      </c>
      <c r="G271" s="56">
        <v>475</v>
      </c>
      <c r="H271" s="56">
        <v>611</v>
      </c>
      <c r="I271" s="56">
        <v>376</v>
      </c>
      <c r="J271" s="56">
        <v>131</v>
      </c>
      <c r="K271" s="56">
        <v>108</v>
      </c>
      <c r="L271" s="56">
        <v>3251</v>
      </c>
      <c r="M271" s="56">
        <v>2347</v>
      </c>
      <c r="N271" s="56">
        <v>5717</v>
      </c>
      <c r="O271" s="56">
        <v>40599</v>
      </c>
      <c r="P271" s="56">
        <v>2200</v>
      </c>
      <c r="Q271" s="56">
        <v>27585</v>
      </c>
      <c r="R271" s="16">
        <f t="shared" si="16"/>
        <v>11168</v>
      </c>
      <c r="S271" s="16">
        <f t="shared" si="17"/>
        <v>70531</v>
      </c>
      <c r="T271" s="13" t="s">
        <v>153</v>
      </c>
      <c r="U271" s="5">
        <v>11168</v>
      </c>
      <c r="V271" s="5">
        <f t="shared" si="18"/>
        <v>11213</v>
      </c>
      <c r="W271" s="5">
        <f t="shared" si="19"/>
        <v>65691</v>
      </c>
      <c r="X271" s="86">
        <f>N536</f>
        <v>7416</v>
      </c>
      <c r="Y271" s="90">
        <f>P536</f>
        <v>4524</v>
      </c>
      <c r="Z271" s="89">
        <f>L536</f>
        <v>4410</v>
      </c>
      <c r="AA271" s="86">
        <f>O536</f>
        <v>18583</v>
      </c>
      <c r="AB271" s="90">
        <f>Q536</f>
        <v>12716</v>
      </c>
      <c r="AC271" s="73">
        <f>M536</f>
        <v>16840</v>
      </c>
      <c r="AD271" s="18">
        <v>38736</v>
      </c>
    </row>
    <row r="272" spans="1:30" ht="15.6" x14ac:dyDescent="0.3">
      <c r="A272" s="55" t="s">
        <v>41</v>
      </c>
      <c r="B272" s="56">
        <v>2071</v>
      </c>
      <c r="C272" s="56">
        <v>939</v>
      </c>
      <c r="D272" s="56">
        <v>595</v>
      </c>
      <c r="E272" s="56">
        <v>177</v>
      </c>
      <c r="F272" s="56">
        <v>1255</v>
      </c>
      <c r="G272" s="56">
        <v>480</v>
      </c>
      <c r="H272" s="56">
        <v>572</v>
      </c>
      <c r="I272" s="56">
        <v>345</v>
      </c>
      <c r="J272" s="56">
        <v>132</v>
      </c>
      <c r="K272" s="56">
        <v>131</v>
      </c>
      <c r="L272" s="56">
        <v>4625</v>
      </c>
      <c r="M272" s="56">
        <v>2049</v>
      </c>
      <c r="N272" s="56">
        <v>4839</v>
      </c>
      <c r="O272" s="56">
        <v>34307</v>
      </c>
      <c r="P272" s="56">
        <v>5430</v>
      </c>
      <c r="Q272" s="56">
        <v>27479</v>
      </c>
      <c r="R272" s="16">
        <f t="shared" si="16"/>
        <v>14894</v>
      </c>
      <c r="S272" s="16">
        <f t="shared" si="17"/>
        <v>63835</v>
      </c>
      <c r="T272" s="13" t="s">
        <v>153</v>
      </c>
      <c r="U272" s="5">
        <v>14894</v>
      </c>
      <c r="V272" s="5">
        <f t="shared" si="18"/>
        <v>12128.25</v>
      </c>
      <c r="W272" s="5">
        <f t="shared" si="19"/>
        <v>66397.75</v>
      </c>
      <c r="X272" s="86">
        <f>N538</f>
        <v>7858</v>
      </c>
      <c r="Y272" s="90">
        <f>P538</f>
        <v>4403</v>
      </c>
      <c r="Z272" s="89">
        <f>L538</f>
        <v>4185</v>
      </c>
      <c r="AA272" s="86">
        <f>O538</f>
        <v>19502</v>
      </c>
      <c r="AB272" s="90">
        <f>Q538</f>
        <v>13284</v>
      </c>
      <c r="AC272" s="73">
        <f>M538</f>
        <v>17422</v>
      </c>
      <c r="AD272" s="18">
        <v>38743</v>
      </c>
    </row>
    <row r="273" spans="1:30" ht="15.6" x14ac:dyDescent="0.3">
      <c r="A273" s="55" t="s">
        <v>42</v>
      </c>
      <c r="B273" s="56">
        <v>1136</v>
      </c>
      <c r="C273" s="56">
        <v>1195</v>
      </c>
      <c r="D273" s="56">
        <v>449</v>
      </c>
      <c r="E273" s="56">
        <v>421</v>
      </c>
      <c r="F273" s="56">
        <v>984</v>
      </c>
      <c r="G273" s="56">
        <v>653</v>
      </c>
      <c r="H273" s="56">
        <v>671</v>
      </c>
      <c r="I273" s="56">
        <v>395</v>
      </c>
      <c r="J273" s="56">
        <v>116</v>
      </c>
      <c r="K273" s="56">
        <v>138</v>
      </c>
      <c r="L273" s="56">
        <v>3356</v>
      </c>
      <c r="M273" s="56">
        <v>2802</v>
      </c>
      <c r="N273" s="56">
        <v>5402</v>
      </c>
      <c r="O273" s="56">
        <v>41667</v>
      </c>
      <c r="P273" s="56">
        <v>1979</v>
      </c>
      <c r="Q273" s="56">
        <v>27914</v>
      </c>
      <c r="R273" s="16">
        <f t="shared" si="16"/>
        <v>10737</v>
      </c>
      <c r="S273" s="16">
        <f t="shared" si="17"/>
        <v>72383</v>
      </c>
      <c r="T273" s="13" t="s">
        <v>154</v>
      </c>
      <c r="U273" s="5">
        <v>10737</v>
      </c>
      <c r="V273" s="5">
        <f t="shared" si="18"/>
        <v>11995.75</v>
      </c>
      <c r="W273" s="5">
        <f t="shared" si="19"/>
        <v>67329</v>
      </c>
      <c r="X273" s="86">
        <f>N540</f>
        <v>8455</v>
      </c>
      <c r="Y273" s="90">
        <f>P540</f>
        <v>4247</v>
      </c>
      <c r="Z273" s="89">
        <f>L540</f>
        <v>3898</v>
      </c>
      <c r="AA273" s="86">
        <f>O540</f>
        <v>20263</v>
      </c>
      <c r="AB273" s="90">
        <f>Q540</f>
        <v>13957</v>
      </c>
      <c r="AC273" s="73">
        <f>M540</f>
        <v>18055</v>
      </c>
      <c r="AD273" s="18">
        <v>38750</v>
      </c>
    </row>
    <row r="274" spans="1:30" ht="15.6" x14ac:dyDescent="0.3">
      <c r="A274" s="55" t="s">
        <v>43</v>
      </c>
      <c r="B274" s="56">
        <v>2019</v>
      </c>
      <c r="C274" s="56">
        <v>1164</v>
      </c>
      <c r="D274" s="56">
        <v>486</v>
      </c>
      <c r="E274" s="56">
        <v>317</v>
      </c>
      <c r="F274" s="56">
        <v>1221</v>
      </c>
      <c r="G274" s="56">
        <v>633</v>
      </c>
      <c r="H274" s="56">
        <v>574</v>
      </c>
      <c r="I274" s="56">
        <v>379</v>
      </c>
      <c r="J274" s="56">
        <v>147</v>
      </c>
      <c r="K274" s="56">
        <v>111</v>
      </c>
      <c r="L274" s="56">
        <v>4446</v>
      </c>
      <c r="M274" s="56">
        <v>2604</v>
      </c>
      <c r="N274" s="56">
        <v>4532</v>
      </c>
      <c r="O274" s="56">
        <v>35086</v>
      </c>
      <c r="P274" s="56">
        <v>1705</v>
      </c>
      <c r="Q274" s="56">
        <v>27771</v>
      </c>
      <c r="R274" s="16">
        <f t="shared" si="16"/>
        <v>10683</v>
      </c>
      <c r="S274" s="16">
        <f t="shared" si="17"/>
        <v>65461</v>
      </c>
      <c r="T274" s="13" t="s">
        <v>154</v>
      </c>
      <c r="U274" s="5">
        <v>10683</v>
      </c>
      <c r="V274" s="5">
        <f t="shared" si="18"/>
        <v>11870.5</v>
      </c>
      <c r="W274" s="5">
        <f t="shared" si="19"/>
        <v>68052.5</v>
      </c>
      <c r="X274" s="86">
        <f>N542</f>
        <v>8829</v>
      </c>
      <c r="Y274" s="90">
        <f>P542</f>
        <v>3788</v>
      </c>
      <c r="Z274" s="89">
        <f>L542</f>
        <v>3999</v>
      </c>
      <c r="AA274" s="86">
        <f>O542</f>
        <v>21340</v>
      </c>
      <c r="AB274" s="90">
        <f>Q542</f>
        <v>14946</v>
      </c>
      <c r="AC274" s="73">
        <f>M542</f>
        <v>18547</v>
      </c>
      <c r="AD274" s="18">
        <v>38757</v>
      </c>
    </row>
    <row r="275" spans="1:30" ht="15.6" x14ac:dyDescent="0.3">
      <c r="A275" s="55" t="s">
        <v>44</v>
      </c>
      <c r="B275" s="56">
        <v>1080</v>
      </c>
      <c r="C275" s="56">
        <v>1396</v>
      </c>
      <c r="D275" s="56">
        <v>446</v>
      </c>
      <c r="E275" s="56">
        <v>468</v>
      </c>
      <c r="F275" s="56">
        <v>1030</v>
      </c>
      <c r="G275" s="56">
        <v>738</v>
      </c>
      <c r="H275" s="56">
        <v>611</v>
      </c>
      <c r="I275" s="56">
        <v>421</v>
      </c>
      <c r="J275" s="56">
        <v>82</v>
      </c>
      <c r="K275" s="56">
        <v>174</v>
      </c>
      <c r="L275" s="56">
        <v>3249</v>
      </c>
      <c r="M275" s="56">
        <v>3197</v>
      </c>
      <c r="N275" s="56">
        <v>5026</v>
      </c>
      <c r="O275" s="56">
        <v>42732</v>
      </c>
      <c r="P275" s="56">
        <v>1764</v>
      </c>
      <c r="Q275" s="56">
        <v>28243</v>
      </c>
      <c r="R275" s="16">
        <f t="shared" si="16"/>
        <v>10039</v>
      </c>
      <c r="S275" s="16">
        <f t="shared" si="17"/>
        <v>74172</v>
      </c>
      <c r="T275" s="13" t="s">
        <v>154</v>
      </c>
      <c r="U275" s="5">
        <v>10039</v>
      </c>
      <c r="V275" s="5">
        <f t="shared" si="18"/>
        <v>11588.25</v>
      </c>
      <c r="W275" s="5">
        <f t="shared" si="19"/>
        <v>68962.75</v>
      </c>
      <c r="X275" s="86">
        <f>N544</f>
        <v>9281</v>
      </c>
      <c r="Y275" s="90">
        <f>P544</f>
        <v>3544</v>
      </c>
      <c r="Z275" s="89">
        <f>L544</f>
        <v>4059</v>
      </c>
      <c r="AA275" s="86">
        <f>O544</f>
        <v>22380</v>
      </c>
      <c r="AB275" s="90">
        <f>Q544</f>
        <v>15690</v>
      </c>
      <c r="AC275" s="73">
        <f>M544</f>
        <v>18997</v>
      </c>
      <c r="AD275" s="18">
        <v>38764</v>
      </c>
    </row>
    <row r="276" spans="1:30" ht="15.6" x14ac:dyDescent="0.3">
      <c r="A276" s="55" t="s">
        <v>45</v>
      </c>
      <c r="B276" s="56">
        <v>1945</v>
      </c>
      <c r="C276" s="56">
        <v>1440</v>
      </c>
      <c r="D276" s="56">
        <v>482</v>
      </c>
      <c r="E276" s="56">
        <v>433</v>
      </c>
      <c r="F276" s="56">
        <v>1269</v>
      </c>
      <c r="G276" s="56">
        <v>750</v>
      </c>
      <c r="H276" s="56">
        <v>507</v>
      </c>
      <c r="I276" s="56">
        <v>423</v>
      </c>
      <c r="J276" s="56">
        <v>166</v>
      </c>
      <c r="K276" s="56">
        <v>122</v>
      </c>
      <c r="L276" s="56">
        <v>4368</v>
      </c>
      <c r="M276" s="56">
        <v>3168</v>
      </c>
      <c r="N276" s="56">
        <v>4238</v>
      </c>
      <c r="O276" s="56">
        <v>35928</v>
      </c>
      <c r="P276" s="56">
        <v>1706</v>
      </c>
      <c r="Q276" s="56">
        <v>27890</v>
      </c>
      <c r="R276" s="16">
        <f t="shared" si="16"/>
        <v>10312</v>
      </c>
      <c r="S276" s="16">
        <f t="shared" si="17"/>
        <v>66986</v>
      </c>
      <c r="T276" s="13" t="s">
        <v>154</v>
      </c>
      <c r="U276" s="5">
        <v>10312</v>
      </c>
      <c r="V276" s="5">
        <f t="shared" si="18"/>
        <v>10442.75</v>
      </c>
      <c r="W276" s="5">
        <f t="shared" si="19"/>
        <v>69750.5</v>
      </c>
      <c r="X276" s="86">
        <f>N546</f>
        <v>8935</v>
      </c>
      <c r="Y276" s="90">
        <f>P546</f>
        <v>3406</v>
      </c>
      <c r="Z276" s="89">
        <f>L546</f>
        <v>3804</v>
      </c>
      <c r="AA276" s="86">
        <f>O546</f>
        <v>23339</v>
      </c>
      <c r="AB276" s="90">
        <f>Q546</f>
        <v>16196</v>
      </c>
      <c r="AC276" s="73">
        <f>M546</f>
        <v>19412</v>
      </c>
      <c r="AD276" s="18">
        <v>38771</v>
      </c>
    </row>
    <row r="277" spans="1:30" ht="15.6" x14ac:dyDescent="0.3">
      <c r="A277" s="55" t="s">
        <v>46</v>
      </c>
      <c r="B277" s="56">
        <v>1145</v>
      </c>
      <c r="C277" s="56">
        <v>1572</v>
      </c>
      <c r="D277" s="56">
        <v>394</v>
      </c>
      <c r="E277" s="56">
        <v>527</v>
      </c>
      <c r="F277" s="56">
        <v>1175</v>
      </c>
      <c r="G277" s="56">
        <v>836</v>
      </c>
      <c r="H277" s="56">
        <v>685</v>
      </c>
      <c r="I277" s="56">
        <v>485</v>
      </c>
      <c r="J277" s="56">
        <v>127</v>
      </c>
      <c r="K277" s="56">
        <v>176</v>
      </c>
      <c r="L277" s="56">
        <v>3524</v>
      </c>
      <c r="M277" s="56">
        <v>3596</v>
      </c>
      <c r="N277" s="56">
        <v>4596</v>
      </c>
      <c r="O277" s="56">
        <v>43489</v>
      </c>
      <c r="P277" s="56">
        <v>1405</v>
      </c>
      <c r="Q277" s="56">
        <v>28677</v>
      </c>
      <c r="R277" s="16">
        <f t="shared" si="16"/>
        <v>9525</v>
      </c>
      <c r="S277" s="16">
        <f t="shared" si="17"/>
        <v>75762</v>
      </c>
      <c r="T277" s="13" t="s">
        <v>155</v>
      </c>
      <c r="U277" s="5">
        <v>9525</v>
      </c>
      <c r="V277" s="5">
        <f t="shared" si="18"/>
        <v>10139.75</v>
      </c>
      <c r="W277" s="5">
        <f t="shared" si="19"/>
        <v>70595.25</v>
      </c>
      <c r="X277" s="86">
        <f>N548</f>
        <v>9246</v>
      </c>
      <c r="Y277" s="90">
        <f>P548</f>
        <v>3134</v>
      </c>
      <c r="Z277" s="89">
        <f>L548</f>
        <v>3710</v>
      </c>
      <c r="AA277" s="86">
        <f>O548</f>
        <v>24441</v>
      </c>
      <c r="AB277" s="90">
        <f>Q548</f>
        <v>16973</v>
      </c>
      <c r="AC277" s="73">
        <f>M548</f>
        <v>19834</v>
      </c>
      <c r="AD277" s="18">
        <v>38778</v>
      </c>
    </row>
    <row r="278" spans="1:30" ht="15.6" x14ac:dyDescent="0.3">
      <c r="A278" s="55" t="s">
        <v>47</v>
      </c>
      <c r="B278" s="56">
        <v>1930</v>
      </c>
      <c r="C278" s="56">
        <v>1701</v>
      </c>
      <c r="D278" s="56">
        <v>404</v>
      </c>
      <c r="E278" s="56">
        <v>577</v>
      </c>
      <c r="F278" s="56">
        <v>1292</v>
      </c>
      <c r="G278" s="56">
        <v>840</v>
      </c>
      <c r="H278" s="56">
        <v>504</v>
      </c>
      <c r="I278" s="56">
        <v>564</v>
      </c>
      <c r="J278" s="56">
        <v>149</v>
      </c>
      <c r="K278" s="56">
        <v>146</v>
      </c>
      <c r="L278" s="56">
        <v>4279</v>
      </c>
      <c r="M278" s="56">
        <v>3827</v>
      </c>
      <c r="N278" s="56">
        <v>3851</v>
      </c>
      <c r="O278" s="56">
        <v>36739</v>
      </c>
      <c r="P278" s="56">
        <v>1569</v>
      </c>
      <c r="Q278" s="56">
        <v>28161</v>
      </c>
      <c r="R278" s="16">
        <f t="shared" si="16"/>
        <v>9699</v>
      </c>
      <c r="S278" s="16">
        <f t="shared" si="17"/>
        <v>68727</v>
      </c>
      <c r="T278" s="13" t="s">
        <v>155</v>
      </c>
      <c r="U278" s="5">
        <v>9699</v>
      </c>
      <c r="V278" s="5">
        <f t="shared" si="18"/>
        <v>9893.75</v>
      </c>
      <c r="W278" s="5">
        <f t="shared" si="19"/>
        <v>71411.75</v>
      </c>
      <c r="X278" s="86">
        <f>N550</f>
        <v>9443</v>
      </c>
      <c r="Y278" s="90">
        <f>P550</f>
        <v>2675</v>
      </c>
      <c r="Z278" s="89">
        <f>L550</f>
        <v>3474</v>
      </c>
      <c r="AA278" s="86">
        <f>O550</f>
        <v>25213</v>
      </c>
      <c r="AB278" s="90">
        <f>Q550</f>
        <v>17813</v>
      </c>
      <c r="AC278" s="73">
        <f>M550</f>
        <v>20408</v>
      </c>
      <c r="AD278" s="18">
        <v>38785</v>
      </c>
    </row>
    <row r="279" spans="1:30" ht="15.6" x14ac:dyDescent="0.3">
      <c r="A279" s="55" t="s">
        <v>48</v>
      </c>
      <c r="B279" s="56">
        <v>1168</v>
      </c>
      <c r="C279" s="56">
        <v>1757</v>
      </c>
      <c r="D279" s="56">
        <v>369</v>
      </c>
      <c r="E279" s="56">
        <v>617</v>
      </c>
      <c r="F279" s="56">
        <v>1316</v>
      </c>
      <c r="G279" s="56">
        <v>1006</v>
      </c>
      <c r="H279" s="56">
        <v>709</v>
      </c>
      <c r="I279" s="56">
        <v>579</v>
      </c>
      <c r="J279" s="56">
        <v>113</v>
      </c>
      <c r="K279" s="56">
        <v>198</v>
      </c>
      <c r="L279" s="56">
        <v>3676</v>
      </c>
      <c r="M279" s="56">
        <v>4079</v>
      </c>
      <c r="N279" s="56">
        <v>4271</v>
      </c>
      <c r="O279" s="56">
        <v>44621</v>
      </c>
      <c r="P279" s="56">
        <v>1112</v>
      </c>
      <c r="Q279" s="56">
        <v>28973</v>
      </c>
      <c r="R279" s="16">
        <f t="shared" si="16"/>
        <v>9059</v>
      </c>
      <c r="S279" s="16">
        <f t="shared" si="17"/>
        <v>77673</v>
      </c>
      <c r="T279" s="17" t="s">
        <v>155</v>
      </c>
      <c r="U279" s="5">
        <v>9059</v>
      </c>
      <c r="V279" s="5">
        <f t="shared" si="18"/>
        <v>9648.75</v>
      </c>
      <c r="W279" s="5">
        <f t="shared" si="19"/>
        <v>72287</v>
      </c>
      <c r="X279" s="86">
        <f>N552</f>
        <v>9141</v>
      </c>
      <c r="Y279" s="90">
        <f>P552</f>
        <v>2368</v>
      </c>
      <c r="Z279" s="89">
        <f>L552</f>
        <v>3512</v>
      </c>
      <c r="AA279" s="86">
        <f>O552</f>
        <v>26426</v>
      </c>
      <c r="AB279" s="90">
        <f>Q552</f>
        <v>18533</v>
      </c>
      <c r="AC279" s="73">
        <f>M552</f>
        <v>20802</v>
      </c>
      <c r="AD279" s="18">
        <v>38792</v>
      </c>
    </row>
    <row r="280" spans="1:30" ht="15.6" x14ac:dyDescent="0.3">
      <c r="A280" s="55" t="s">
        <v>49</v>
      </c>
      <c r="B280" s="56">
        <v>1997</v>
      </c>
      <c r="C280" s="56">
        <v>1949</v>
      </c>
      <c r="D280" s="56">
        <v>401</v>
      </c>
      <c r="E280" s="56">
        <v>698</v>
      </c>
      <c r="F280" s="56">
        <v>1219</v>
      </c>
      <c r="G280" s="56">
        <v>928</v>
      </c>
      <c r="H280" s="56">
        <v>578</v>
      </c>
      <c r="I280" s="56">
        <v>620</v>
      </c>
      <c r="J280" s="56">
        <v>210</v>
      </c>
      <c r="K280" s="56">
        <v>149</v>
      </c>
      <c r="L280" s="56">
        <v>4405</v>
      </c>
      <c r="M280" s="56">
        <v>4422</v>
      </c>
      <c r="N280" s="56">
        <v>3684</v>
      </c>
      <c r="O280" s="56">
        <v>37234</v>
      </c>
      <c r="P280" s="56">
        <v>1293</v>
      </c>
      <c r="Q280" s="56">
        <v>28293</v>
      </c>
      <c r="R280" s="16">
        <f t="shared" si="16"/>
        <v>9382</v>
      </c>
      <c r="S280" s="16">
        <f t="shared" si="17"/>
        <v>69949</v>
      </c>
      <c r="T280" s="13" t="s">
        <v>155</v>
      </c>
      <c r="U280" s="5">
        <v>9382</v>
      </c>
      <c r="V280" s="5">
        <f t="shared" si="18"/>
        <v>9416.25</v>
      </c>
      <c r="W280" s="5">
        <f t="shared" si="19"/>
        <v>73027.75</v>
      </c>
      <c r="X280" s="86">
        <f>N554</f>
        <v>9285</v>
      </c>
      <c r="Y280" s="90">
        <f>P554</f>
        <v>1898</v>
      </c>
      <c r="Z280" s="89">
        <f>L554</f>
        <v>3571</v>
      </c>
      <c r="AA280" s="86">
        <f>O554</f>
        <v>27321</v>
      </c>
      <c r="AB280" s="90">
        <f>Q554</f>
        <v>19044</v>
      </c>
      <c r="AC280" s="73">
        <f>M554</f>
        <v>21251</v>
      </c>
      <c r="AD280" s="18">
        <v>38799</v>
      </c>
    </row>
    <row r="281" spans="1:30" ht="15.6" x14ac:dyDescent="0.3">
      <c r="A281" s="55" t="s">
        <v>50</v>
      </c>
      <c r="B281" s="56">
        <v>1033</v>
      </c>
      <c r="C281" s="56">
        <v>1937</v>
      </c>
      <c r="D281" s="56">
        <v>358</v>
      </c>
      <c r="E281" s="56">
        <v>682</v>
      </c>
      <c r="F281" s="56">
        <v>1168</v>
      </c>
      <c r="G281" s="56">
        <v>1126</v>
      </c>
      <c r="H281" s="56">
        <v>629</v>
      </c>
      <c r="I281" s="56">
        <v>692</v>
      </c>
      <c r="J281" s="56">
        <v>111</v>
      </c>
      <c r="K281" s="56">
        <v>200</v>
      </c>
      <c r="L281" s="56">
        <v>3298</v>
      </c>
      <c r="M281" s="56">
        <v>4637</v>
      </c>
      <c r="N281" s="56">
        <v>3592</v>
      </c>
      <c r="O281" s="56">
        <v>45706</v>
      </c>
      <c r="P281" s="56">
        <v>7740</v>
      </c>
      <c r="Q281" s="56">
        <v>29231</v>
      </c>
      <c r="R281" s="16">
        <f t="shared" si="16"/>
        <v>14630</v>
      </c>
      <c r="S281" s="16">
        <f t="shared" si="17"/>
        <v>79574</v>
      </c>
      <c r="T281" s="13" t="s">
        <v>155</v>
      </c>
      <c r="U281" s="5">
        <v>14630</v>
      </c>
      <c r="V281" s="5">
        <f t="shared" si="18"/>
        <v>10692.5</v>
      </c>
      <c r="W281" s="5">
        <f t="shared" si="19"/>
        <v>73980.75</v>
      </c>
      <c r="X281" s="86">
        <f>N556</f>
        <v>8755</v>
      </c>
      <c r="Y281" s="90">
        <f>P556</f>
        <v>1786</v>
      </c>
      <c r="Z281" s="89">
        <f>L556</f>
        <v>3528</v>
      </c>
      <c r="AA281" s="86">
        <f>O556</f>
        <v>28511</v>
      </c>
      <c r="AB281" s="90">
        <f>Q556</f>
        <v>19511</v>
      </c>
      <c r="AC281" s="73">
        <f>M556</f>
        <v>21566</v>
      </c>
      <c r="AD281" s="18">
        <v>38806</v>
      </c>
    </row>
    <row r="282" spans="1:30" ht="15.6" x14ac:dyDescent="0.3">
      <c r="A282" s="55" t="s">
        <v>51</v>
      </c>
      <c r="B282" s="56">
        <v>2046</v>
      </c>
      <c r="C282" s="56">
        <v>2234</v>
      </c>
      <c r="D282" s="56">
        <v>529</v>
      </c>
      <c r="E282" s="56">
        <v>764</v>
      </c>
      <c r="F282" s="56">
        <v>1242</v>
      </c>
      <c r="G282" s="56">
        <v>1124</v>
      </c>
      <c r="H282" s="56">
        <v>557</v>
      </c>
      <c r="I282" s="56">
        <v>703</v>
      </c>
      <c r="J282" s="56">
        <v>172</v>
      </c>
      <c r="K282" s="56">
        <v>193</v>
      </c>
      <c r="L282" s="56">
        <v>4546</v>
      </c>
      <c r="M282" s="56">
        <v>5019</v>
      </c>
      <c r="N282" s="56">
        <v>3180</v>
      </c>
      <c r="O282" s="56">
        <v>38006</v>
      </c>
      <c r="P282" s="56">
        <v>1088</v>
      </c>
      <c r="Q282" s="56">
        <v>28479</v>
      </c>
      <c r="R282" s="16">
        <f t="shared" si="16"/>
        <v>8814</v>
      </c>
      <c r="S282" s="16">
        <f t="shared" si="17"/>
        <v>71504</v>
      </c>
      <c r="T282" s="13" t="s">
        <v>156</v>
      </c>
      <c r="U282" s="5">
        <v>8814</v>
      </c>
      <c r="V282" s="5">
        <f t="shared" si="18"/>
        <v>10471.25</v>
      </c>
      <c r="W282" s="5">
        <f t="shared" si="19"/>
        <v>74675</v>
      </c>
      <c r="X282" s="86">
        <f>N558</f>
        <v>8687</v>
      </c>
      <c r="Y282" s="90">
        <f>P558</f>
        <v>1942</v>
      </c>
      <c r="Z282" s="89">
        <f>L558</f>
        <v>3438</v>
      </c>
      <c r="AA282" s="86">
        <f>O558</f>
        <v>29393</v>
      </c>
      <c r="AB282" s="90">
        <f>Q558</f>
        <v>19698</v>
      </c>
      <c r="AC282" s="73">
        <f>M558</f>
        <v>21914</v>
      </c>
      <c r="AD282" s="18">
        <v>38813</v>
      </c>
    </row>
    <row r="283" spans="1:30" ht="15.6" x14ac:dyDescent="0.3">
      <c r="A283" s="55" t="s">
        <v>52</v>
      </c>
      <c r="B283" s="56">
        <v>1110</v>
      </c>
      <c r="C283" s="56">
        <v>2146</v>
      </c>
      <c r="D283" s="56">
        <v>338</v>
      </c>
      <c r="E283" s="56">
        <v>768</v>
      </c>
      <c r="F283" s="56">
        <v>1081</v>
      </c>
      <c r="G283" s="56">
        <v>1380</v>
      </c>
      <c r="H283" s="56">
        <v>625</v>
      </c>
      <c r="I283" s="56">
        <v>793</v>
      </c>
      <c r="J283" s="56">
        <v>90</v>
      </c>
      <c r="K283" s="56">
        <v>224</v>
      </c>
      <c r="L283" s="56">
        <v>3244</v>
      </c>
      <c r="M283" s="56">
        <v>5311</v>
      </c>
      <c r="N283" s="56">
        <v>2848</v>
      </c>
      <c r="O283" s="56">
        <v>46634</v>
      </c>
      <c r="P283" s="56">
        <v>690</v>
      </c>
      <c r="Q283" s="56">
        <v>29571</v>
      </c>
      <c r="R283" s="16">
        <f t="shared" si="16"/>
        <v>6782</v>
      </c>
      <c r="S283" s="16">
        <f t="shared" si="17"/>
        <v>81516</v>
      </c>
      <c r="T283" s="13" t="s">
        <v>156</v>
      </c>
      <c r="U283" s="5">
        <v>6782</v>
      </c>
      <c r="V283" s="5">
        <f t="shared" si="18"/>
        <v>9902</v>
      </c>
      <c r="W283" s="5">
        <f t="shared" si="19"/>
        <v>75635.75</v>
      </c>
      <c r="X283" s="86">
        <f>N560</f>
        <v>8888</v>
      </c>
      <c r="Y283" s="90">
        <f>P560</f>
        <v>1848</v>
      </c>
      <c r="Z283" s="89">
        <f>L560</f>
        <v>3430</v>
      </c>
      <c r="AA283" s="86">
        <f>O560</f>
        <v>30295</v>
      </c>
      <c r="AB283" s="90">
        <f>Q560</f>
        <v>19987</v>
      </c>
      <c r="AC283" s="73">
        <f>M560</f>
        <v>22133</v>
      </c>
      <c r="AD283" s="18">
        <v>38820</v>
      </c>
    </row>
    <row r="284" spans="1:30" ht="15.6" x14ac:dyDescent="0.3">
      <c r="A284" s="55" t="s">
        <v>53</v>
      </c>
      <c r="B284" s="56">
        <v>2273</v>
      </c>
      <c r="C284" s="56">
        <v>2649</v>
      </c>
      <c r="D284" s="56">
        <v>653</v>
      </c>
      <c r="E284" s="56">
        <v>794</v>
      </c>
      <c r="F284" s="56">
        <v>1330</v>
      </c>
      <c r="G284" s="56">
        <v>1346</v>
      </c>
      <c r="H284" s="56">
        <v>647</v>
      </c>
      <c r="I284" s="56">
        <v>759</v>
      </c>
      <c r="J284" s="56">
        <v>209</v>
      </c>
      <c r="K284" s="56">
        <v>193</v>
      </c>
      <c r="L284" s="56">
        <v>5111</v>
      </c>
      <c r="M284" s="56">
        <v>5740</v>
      </c>
      <c r="N284" s="56">
        <v>2653</v>
      </c>
      <c r="O284" s="56">
        <v>38728</v>
      </c>
      <c r="P284" s="56">
        <v>940</v>
      </c>
      <c r="Q284" s="56">
        <v>28739</v>
      </c>
      <c r="R284" s="16">
        <f t="shared" si="16"/>
        <v>8704</v>
      </c>
      <c r="S284" s="16">
        <f t="shared" si="17"/>
        <v>73207</v>
      </c>
      <c r="T284" s="13" t="s">
        <v>156</v>
      </c>
      <c r="U284" s="5">
        <v>8704</v>
      </c>
      <c r="V284" s="5">
        <f t="shared" si="18"/>
        <v>9732.5</v>
      </c>
      <c r="W284" s="5">
        <f t="shared" si="19"/>
        <v>76450.25</v>
      </c>
      <c r="X284" s="86">
        <f>N562</f>
        <v>8475</v>
      </c>
      <c r="Y284" s="90">
        <f>P562</f>
        <v>1687</v>
      </c>
      <c r="Z284" s="89">
        <f>L562</f>
        <v>3076</v>
      </c>
      <c r="AA284" s="86">
        <f>O562</f>
        <v>31477</v>
      </c>
      <c r="AB284" s="90">
        <f>Q562</f>
        <v>20260</v>
      </c>
      <c r="AC284" s="73">
        <f>M562</f>
        <v>22649</v>
      </c>
      <c r="AD284" s="18">
        <v>38827</v>
      </c>
    </row>
    <row r="285" spans="1:30" ht="15.6" x14ac:dyDescent="0.3">
      <c r="A285" s="55" t="s">
        <v>54</v>
      </c>
      <c r="B285" s="56">
        <v>1246</v>
      </c>
      <c r="C285" s="56">
        <v>2320</v>
      </c>
      <c r="D285" s="56">
        <v>327</v>
      </c>
      <c r="E285" s="56">
        <v>867</v>
      </c>
      <c r="F285" s="56">
        <v>1236</v>
      </c>
      <c r="G285" s="56">
        <v>1534</v>
      </c>
      <c r="H285" s="56">
        <v>597</v>
      </c>
      <c r="I285" s="56">
        <v>895</v>
      </c>
      <c r="J285" s="56">
        <v>90</v>
      </c>
      <c r="K285" s="56">
        <v>258</v>
      </c>
      <c r="L285" s="56">
        <v>3495</v>
      </c>
      <c r="M285" s="56">
        <v>5873</v>
      </c>
      <c r="N285" s="56">
        <v>2082</v>
      </c>
      <c r="O285" s="56">
        <v>47460</v>
      </c>
      <c r="P285" s="56">
        <v>494</v>
      </c>
      <c r="Q285" s="56">
        <v>29838</v>
      </c>
      <c r="R285" s="16">
        <f t="shared" si="16"/>
        <v>6071</v>
      </c>
      <c r="S285" s="16">
        <f t="shared" si="17"/>
        <v>83171</v>
      </c>
      <c r="T285" s="13" t="s">
        <v>156</v>
      </c>
      <c r="U285" s="5">
        <v>6071</v>
      </c>
      <c r="V285" s="5">
        <f t="shared" si="18"/>
        <v>7592.75</v>
      </c>
      <c r="W285" s="5">
        <f t="shared" si="19"/>
        <v>77349.5</v>
      </c>
      <c r="X285" s="86">
        <f>N564</f>
        <v>8703</v>
      </c>
      <c r="Y285" s="90">
        <f>P564</f>
        <v>1509</v>
      </c>
      <c r="Z285" s="89">
        <f>L564</f>
        <v>2859</v>
      </c>
      <c r="AA285" s="86">
        <f>O564</f>
        <v>32532</v>
      </c>
      <c r="AB285" s="90">
        <f>Q564</f>
        <v>20620</v>
      </c>
      <c r="AC285" s="73">
        <f>M564</f>
        <v>23233</v>
      </c>
      <c r="AD285" s="18">
        <v>38834</v>
      </c>
    </row>
    <row r="286" spans="1:30" ht="15.6" x14ac:dyDescent="0.3">
      <c r="A286" s="55" t="s">
        <v>55</v>
      </c>
      <c r="B286" s="56">
        <v>2375</v>
      </c>
      <c r="C286" s="56">
        <v>2836</v>
      </c>
      <c r="D286" s="56">
        <v>565</v>
      </c>
      <c r="E286" s="56">
        <v>952</v>
      </c>
      <c r="F286" s="56">
        <v>1324</v>
      </c>
      <c r="G286" s="56">
        <v>1492</v>
      </c>
      <c r="H286" s="56">
        <v>655</v>
      </c>
      <c r="I286" s="56">
        <v>844</v>
      </c>
      <c r="J286" s="56">
        <v>166</v>
      </c>
      <c r="K286" s="56">
        <v>232</v>
      </c>
      <c r="L286" s="56">
        <v>5085</v>
      </c>
      <c r="M286" s="56">
        <v>6355</v>
      </c>
      <c r="N286" s="56">
        <v>1900</v>
      </c>
      <c r="O286" s="56">
        <v>39646</v>
      </c>
      <c r="P286" s="56">
        <v>599</v>
      </c>
      <c r="Q286" s="56">
        <v>28908</v>
      </c>
      <c r="R286" s="16">
        <f t="shared" si="16"/>
        <v>7584</v>
      </c>
      <c r="S286" s="16">
        <f t="shared" si="17"/>
        <v>74909</v>
      </c>
      <c r="T286" s="13" t="s">
        <v>158</v>
      </c>
      <c r="U286" s="5">
        <v>7584</v>
      </c>
      <c r="V286" s="5">
        <f>AVERAGE(U283:U286)</f>
        <v>7285.25</v>
      </c>
      <c r="W286" s="84">
        <f t="shared" ref="W286:W317" si="20">AVERAGE(S283:S286)</f>
        <v>78200.75</v>
      </c>
      <c r="X286" s="86">
        <f>N566</f>
        <v>8703</v>
      </c>
      <c r="Y286" s="90">
        <f>P566</f>
        <v>1634</v>
      </c>
      <c r="Z286" s="89">
        <f>L566</f>
        <v>2579</v>
      </c>
      <c r="AA286" s="86">
        <f>O566</f>
        <v>33638</v>
      </c>
      <c r="AB286" s="93">
        <f>Q566</f>
        <v>20884</v>
      </c>
      <c r="AC286" s="73">
        <f>M566</f>
        <v>23547</v>
      </c>
      <c r="AD286" s="18">
        <v>38841</v>
      </c>
    </row>
    <row r="287" spans="1:30" ht="15.6" x14ac:dyDescent="0.3">
      <c r="A287" s="55" t="s">
        <v>56</v>
      </c>
      <c r="B287" s="56">
        <v>1250</v>
      </c>
      <c r="C287" s="56">
        <v>2544</v>
      </c>
      <c r="D287" s="56">
        <v>328</v>
      </c>
      <c r="E287" s="56">
        <v>910</v>
      </c>
      <c r="F287" s="56">
        <v>1187</v>
      </c>
      <c r="G287" s="56">
        <v>1769</v>
      </c>
      <c r="H287" s="56">
        <v>560</v>
      </c>
      <c r="I287" s="56">
        <v>979</v>
      </c>
      <c r="J287" s="56">
        <v>90</v>
      </c>
      <c r="K287" s="56">
        <v>258</v>
      </c>
      <c r="L287" s="56">
        <v>3415</v>
      </c>
      <c r="M287" s="56">
        <v>6459</v>
      </c>
      <c r="N287" s="56">
        <v>6206</v>
      </c>
      <c r="O287" s="56">
        <v>439</v>
      </c>
      <c r="P287" s="56">
        <v>5802</v>
      </c>
      <c r="Q287" s="56">
        <v>109</v>
      </c>
      <c r="R287" s="16">
        <f t="shared" si="16"/>
        <v>15423</v>
      </c>
      <c r="S287" s="16">
        <f t="shared" si="17"/>
        <v>7007</v>
      </c>
      <c r="T287" s="13" t="s">
        <v>158</v>
      </c>
      <c r="U287" s="5">
        <v>15423</v>
      </c>
      <c r="V287" s="5">
        <f t="shared" ref="V287:V350" si="21">AVERAGE(U284:U287)</f>
        <v>9445.5</v>
      </c>
      <c r="W287" s="84">
        <f t="shared" si="20"/>
        <v>59573.5</v>
      </c>
      <c r="X287" s="86">
        <f>N568</f>
        <v>9157</v>
      </c>
      <c r="Y287" s="90">
        <f>P568</f>
        <v>1764</v>
      </c>
      <c r="Z287" s="89">
        <f>L568</f>
        <v>2274</v>
      </c>
      <c r="AA287" s="86">
        <f>O568</f>
        <v>34723</v>
      </c>
      <c r="AB287" s="90">
        <f>Q568</f>
        <v>21086</v>
      </c>
      <c r="AC287" s="73">
        <f>M568</f>
        <v>23951</v>
      </c>
      <c r="AD287" s="18">
        <v>38848</v>
      </c>
    </row>
    <row r="288" spans="1:30" ht="15.6" x14ac:dyDescent="0.3">
      <c r="A288" s="55" t="s">
        <v>57</v>
      </c>
      <c r="B288" s="56">
        <v>2262</v>
      </c>
      <c r="C288" s="56">
        <v>3161</v>
      </c>
      <c r="D288" s="56">
        <v>568</v>
      </c>
      <c r="E288" s="56">
        <v>1028</v>
      </c>
      <c r="F288" s="56">
        <v>1355</v>
      </c>
      <c r="G288" s="56">
        <v>1606</v>
      </c>
      <c r="H288" s="56">
        <v>747</v>
      </c>
      <c r="I288" s="56">
        <v>945</v>
      </c>
      <c r="J288" s="56">
        <v>178</v>
      </c>
      <c r="K288" s="56">
        <v>250</v>
      </c>
      <c r="L288" s="56">
        <v>5108</v>
      </c>
      <c r="M288" s="56">
        <v>6990</v>
      </c>
      <c r="N288" s="56">
        <v>7626</v>
      </c>
      <c r="O288" s="56">
        <v>461</v>
      </c>
      <c r="P288" s="56">
        <v>8064</v>
      </c>
      <c r="Q288" s="56">
        <v>40</v>
      </c>
      <c r="R288" s="16">
        <f t="shared" si="16"/>
        <v>20798</v>
      </c>
      <c r="S288" s="16">
        <f t="shared" si="17"/>
        <v>7491</v>
      </c>
      <c r="T288" s="13" t="s">
        <v>158</v>
      </c>
      <c r="U288" s="5">
        <v>20798</v>
      </c>
      <c r="V288" s="5">
        <f t="shared" si="21"/>
        <v>12469</v>
      </c>
      <c r="W288" s="84">
        <f t="shared" si="20"/>
        <v>43144.5</v>
      </c>
      <c r="X288" s="86">
        <f>N570</f>
        <v>8816</v>
      </c>
      <c r="Y288" s="90">
        <f>P570</f>
        <v>1818</v>
      </c>
      <c r="Z288" s="89">
        <f>L570</f>
        <v>1821</v>
      </c>
      <c r="AA288" s="86">
        <f>O570</f>
        <v>36201</v>
      </c>
      <c r="AB288" s="90">
        <f>Q570</f>
        <v>21266</v>
      </c>
      <c r="AC288" s="73">
        <f>M570</f>
        <v>24408</v>
      </c>
      <c r="AD288" s="18">
        <v>38855</v>
      </c>
    </row>
    <row r="289" spans="1:30" ht="15.6" x14ac:dyDescent="0.3">
      <c r="A289" s="55" t="s">
        <v>58</v>
      </c>
      <c r="B289" s="56">
        <v>1387</v>
      </c>
      <c r="C289" s="56">
        <v>2709</v>
      </c>
      <c r="D289" s="56">
        <v>380</v>
      </c>
      <c r="E289" s="56">
        <v>949</v>
      </c>
      <c r="F289" s="56">
        <v>1374</v>
      </c>
      <c r="G289" s="56">
        <v>1849</v>
      </c>
      <c r="H289" s="56">
        <v>652</v>
      </c>
      <c r="I289" s="56">
        <v>1043</v>
      </c>
      <c r="J289" s="56">
        <v>102</v>
      </c>
      <c r="K289" s="56">
        <v>260</v>
      </c>
      <c r="L289" s="56">
        <v>3872</v>
      </c>
      <c r="M289" s="56">
        <v>6810</v>
      </c>
      <c r="N289" s="56">
        <v>6418</v>
      </c>
      <c r="O289" s="56">
        <v>1270</v>
      </c>
      <c r="P289" s="56">
        <v>6204</v>
      </c>
      <c r="Q289" s="56">
        <v>335</v>
      </c>
      <c r="R289" s="16">
        <f t="shared" si="16"/>
        <v>16494</v>
      </c>
      <c r="S289" s="16">
        <f t="shared" si="17"/>
        <v>8415</v>
      </c>
      <c r="T289" s="13" t="s">
        <v>158</v>
      </c>
      <c r="U289" s="5">
        <v>16494</v>
      </c>
      <c r="V289" s="5">
        <f t="shared" si="21"/>
        <v>15074.75</v>
      </c>
      <c r="W289" s="84">
        <f t="shared" si="20"/>
        <v>24455.5</v>
      </c>
      <c r="X289" s="86">
        <f>N572</f>
        <v>8717</v>
      </c>
      <c r="Y289" s="90">
        <f>P572</f>
        <v>1809</v>
      </c>
      <c r="Z289" s="89">
        <f>L572</f>
        <v>1341</v>
      </c>
      <c r="AA289" s="86">
        <f>O572</f>
        <v>37455</v>
      </c>
      <c r="AB289" s="90">
        <f>Q572</f>
        <v>21622</v>
      </c>
      <c r="AC289" s="73">
        <f>M572</f>
        <v>24828</v>
      </c>
      <c r="AD289" s="18">
        <v>38862</v>
      </c>
    </row>
    <row r="290" spans="1:30" ht="15.6" x14ac:dyDescent="0.3">
      <c r="A290" s="55" t="s">
        <v>59</v>
      </c>
      <c r="B290" s="56">
        <v>2191</v>
      </c>
      <c r="C290" s="56">
        <v>3404</v>
      </c>
      <c r="D290" s="56">
        <v>631</v>
      </c>
      <c r="E290" s="56">
        <v>1095</v>
      </c>
      <c r="F290" s="56">
        <v>1268</v>
      </c>
      <c r="G290" s="56">
        <v>1871</v>
      </c>
      <c r="H290" s="56">
        <v>864</v>
      </c>
      <c r="I290" s="56">
        <v>1013</v>
      </c>
      <c r="J290" s="56">
        <v>187</v>
      </c>
      <c r="K290" s="56">
        <v>277</v>
      </c>
      <c r="L290" s="56">
        <v>5141</v>
      </c>
      <c r="M290" s="56">
        <v>7661</v>
      </c>
      <c r="N290" s="56">
        <v>7683</v>
      </c>
      <c r="O290" s="56">
        <v>1319</v>
      </c>
      <c r="P290" s="56">
        <v>8468</v>
      </c>
      <c r="Q290" s="56">
        <v>225</v>
      </c>
      <c r="R290" s="16">
        <f t="shared" si="16"/>
        <v>21292</v>
      </c>
      <c r="S290" s="16">
        <f t="shared" si="17"/>
        <v>9205</v>
      </c>
      <c r="T290" s="13" t="s">
        <v>160</v>
      </c>
      <c r="U290" s="5">
        <v>21292</v>
      </c>
      <c r="V290" s="5">
        <f t="shared" si="21"/>
        <v>18501.75</v>
      </c>
      <c r="W290" s="84">
        <f t="shared" si="20"/>
        <v>8029.5</v>
      </c>
      <c r="X290" s="86">
        <f>N574</f>
        <v>8420</v>
      </c>
      <c r="Y290" s="90">
        <f>P574</f>
        <v>1733</v>
      </c>
      <c r="Z290" s="89">
        <f>L574</f>
        <v>3651</v>
      </c>
      <c r="AA290" s="86">
        <f>O574</f>
        <v>38619</v>
      </c>
      <c r="AB290" s="90">
        <f>Q574</f>
        <v>21878</v>
      </c>
      <c r="AC290" s="73">
        <f>M574</f>
        <v>36</v>
      </c>
      <c r="AD290" s="94">
        <v>38869</v>
      </c>
    </row>
    <row r="291" spans="1:30" ht="15.6" x14ac:dyDescent="0.3">
      <c r="A291" s="55" t="s">
        <v>60</v>
      </c>
      <c r="B291" s="56">
        <v>1591</v>
      </c>
      <c r="C291" s="56">
        <v>2899</v>
      </c>
      <c r="D291" s="56">
        <v>372</v>
      </c>
      <c r="E291" s="56">
        <v>1000</v>
      </c>
      <c r="F291" s="56">
        <v>1542</v>
      </c>
      <c r="G291" s="56">
        <v>2007</v>
      </c>
      <c r="H291" s="56">
        <v>673</v>
      </c>
      <c r="I291" s="56">
        <v>1137</v>
      </c>
      <c r="J291" s="56">
        <v>102</v>
      </c>
      <c r="K291" s="56">
        <v>260</v>
      </c>
      <c r="L291" s="56">
        <v>4280</v>
      </c>
      <c r="M291" s="56">
        <v>7304</v>
      </c>
      <c r="N291" s="56">
        <v>6352</v>
      </c>
      <c r="O291" s="56">
        <v>2074</v>
      </c>
      <c r="P291" s="56">
        <v>6801</v>
      </c>
      <c r="Q291" s="56">
        <v>444</v>
      </c>
      <c r="R291" s="16">
        <f t="shared" si="16"/>
        <v>17433</v>
      </c>
      <c r="S291" s="16">
        <f t="shared" si="17"/>
        <v>9822</v>
      </c>
      <c r="T291" s="13" t="s">
        <v>160</v>
      </c>
      <c r="U291" s="5">
        <v>17433</v>
      </c>
      <c r="V291" s="5">
        <f t="shared" si="21"/>
        <v>19004.25</v>
      </c>
      <c r="W291" s="84">
        <f t="shared" si="20"/>
        <v>8733.25</v>
      </c>
      <c r="X291" s="86">
        <f>N576</f>
        <v>8746</v>
      </c>
      <c r="Y291" s="90">
        <f>P576</f>
        <v>1901</v>
      </c>
      <c r="Z291" s="89">
        <f>L576</f>
        <v>3724</v>
      </c>
      <c r="AA291" s="86">
        <f>O576</f>
        <v>39758</v>
      </c>
      <c r="AB291" s="90">
        <f>Q576</f>
        <v>22094</v>
      </c>
      <c r="AC291" s="73">
        <f>M576</f>
        <v>424</v>
      </c>
      <c r="AD291" s="94">
        <v>38876</v>
      </c>
    </row>
    <row r="292" spans="1:30" ht="15.6" x14ac:dyDescent="0.3">
      <c r="A292" s="55" t="s">
        <v>61</v>
      </c>
      <c r="B292" s="56">
        <v>2201</v>
      </c>
      <c r="C292" s="56">
        <v>3714</v>
      </c>
      <c r="D292" s="56">
        <v>539</v>
      </c>
      <c r="E292" s="56">
        <v>1331</v>
      </c>
      <c r="F292" s="56">
        <v>1177</v>
      </c>
      <c r="G292" s="56">
        <v>2068</v>
      </c>
      <c r="H292" s="56">
        <v>893</v>
      </c>
      <c r="I292" s="56">
        <v>1176</v>
      </c>
      <c r="J292" s="56">
        <v>173</v>
      </c>
      <c r="K292" s="56">
        <v>298</v>
      </c>
      <c r="L292" s="56">
        <v>4983</v>
      </c>
      <c r="M292" s="56">
        <v>8588</v>
      </c>
      <c r="N292" s="56">
        <v>8252</v>
      </c>
      <c r="O292" s="56">
        <v>2127</v>
      </c>
      <c r="P292" s="56">
        <v>9078</v>
      </c>
      <c r="Q292" s="56">
        <v>368</v>
      </c>
      <c r="R292" s="16">
        <f t="shared" si="16"/>
        <v>22313</v>
      </c>
      <c r="S292" s="16">
        <f t="shared" si="17"/>
        <v>11083</v>
      </c>
      <c r="T292" s="13" t="s">
        <v>160</v>
      </c>
      <c r="U292" s="5">
        <v>22313</v>
      </c>
      <c r="V292" s="5">
        <f t="shared" si="21"/>
        <v>19383</v>
      </c>
      <c r="W292" s="84">
        <f t="shared" si="20"/>
        <v>9631.25</v>
      </c>
      <c r="X292" s="86">
        <f>N578</f>
        <v>9037</v>
      </c>
      <c r="Y292" s="90">
        <f>P578</f>
        <v>1893</v>
      </c>
      <c r="Z292" s="89">
        <f>L578</f>
        <v>3600</v>
      </c>
      <c r="AA292" s="86">
        <f>O578</f>
        <v>41042</v>
      </c>
      <c r="AB292" s="90">
        <f>Q578</f>
        <v>22302</v>
      </c>
      <c r="AC292" s="73">
        <f>M578</f>
        <v>864</v>
      </c>
      <c r="AD292" s="94">
        <v>38883</v>
      </c>
    </row>
    <row r="293" spans="1:30" ht="15.6" x14ac:dyDescent="0.3">
      <c r="A293" s="55" t="s">
        <v>62</v>
      </c>
      <c r="B293" s="56">
        <v>1629</v>
      </c>
      <c r="C293" s="56">
        <v>2969</v>
      </c>
      <c r="D293" s="56">
        <v>403</v>
      </c>
      <c r="E293" s="56">
        <v>1000</v>
      </c>
      <c r="F293" s="56">
        <v>1581</v>
      </c>
      <c r="G293" s="56">
        <v>2085</v>
      </c>
      <c r="H293" s="56">
        <v>734</v>
      </c>
      <c r="I293" s="56">
        <v>1187</v>
      </c>
      <c r="J293" s="56">
        <v>177</v>
      </c>
      <c r="K293" s="56">
        <v>280</v>
      </c>
      <c r="L293" s="56">
        <v>4524</v>
      </c>
      <c r="M293" s="56">
        <v>7520</v>
      </c>
      <c r="N293" s="56">
        <v>6582</v>
      </c>
      <c r="O293" s="56">
        <v>2530</v>
      </c>
      <c r="P293" s="56">
        <v>6854</v>
      </c>
      <c r="Q293" s="56">
        <v>659</v>
      </c>
      <c r="R293" s="16">
        <f t="shared" si="16"/>
        <v>17960</v>
      </c>
      <c r="S293" s="16">
        <f t="shared" si="17"/>
        <v>10709</v>
      </c>
      <c r="T293" s="13" t="s">
        <v>160</v>
      </c>
      <c r="U293" s="5">
        <v>17960</v>
      </c>
      <c r="V293" s="5">
        <f t="shared" si="21"/>
        <v>19749.5</v>
      </c>
      <c r="W293" s="84">
        <f t="shared" si="20"/>
        <v>10204.75</v>
      </c>
      <c r="X293" s="86">
        <f>N580</f>
        <v>9214</v>
      </c>
      <c r="Y293" s="90">
        <f>P580</f>
        <v>1954</v>
      </c>
      <c r="Z293" s="89">
        <f>L580</f>
        <v>3770</v>
      </c>
      <c r="AA293" s="86">
        <f>O580</f>
        <v>42220</v>
      </c>
      <c r="AB293" s="90">
        <f>Q580</f>
        <v>22618</v>
      </c>
      <c r="AC293" s="73">
        <f>M580</f>
        <v>1237</v>
      </c>
      <c r="AD293" s="94">
        <v>38890</v>
      </c>
    </row>
    <row r="294" spans="1:30" ht="15.6" x14ac:dyDescent="0.3">
      <c r="A294" s="55" t="s">
        <v>63</v>
      </c>
      <c r="B294" s="56">
        <v>2244</v>
      </c>
      <c r="C294" s="56">
        <v>3979</v>
      </c>
      <c r="D294" s="56">
        <v>497</v>
      </c>
      <c r="E294" s="56">
        <v>1375</v>
      </c>
      <c r="F294" s="56">
        <v>1127</v>
      </c>
      <c r="G294" s="56">
        <v>2281</v>
      </c>
      <c r="H294" s="56">
        <v>1020</v>
      </c>
      <c r="I294" s="56">
        <v>1212</v>
      </c>
      <c r="J294" s="56">
        <v>196</v>
      </c>
      <c r="K294" s="56">
        <v>402</v>
      </c>
      <c r="L294" s="56">
        <v>5085</v>
      </c>
      <c r="M294" s="56">
        <v>9249</v>
      </c>
      <c r="N294" s="56">
        <v>8274</v>
      </c>
      <c r="O294" s="56">
        <v>3021</v>
      </c>
      <c r="P294" s="56">
        <v>9579</v>
      </c>
      <c r="Q294" s="56">
        <v>568</v>
      </c>
      <c r="R294" s="16">
        <f t="shared" si="16"/>
        <v>22938</v>
      </c>
      <c r="S294" s="16">
        <f t="shared" si="17"/>
        <v>12838</v>
      </c>
      <c r="T294" s="13" t="s">
        <v>160</v>
      </c>
      <c r="U294" s="5">
        <v>22938</v>
      </c>
      <c r="V294" s="5">
        <f t="shared" si="21"/>
        <v>20161</v>
      </c>
      <c r="W294" s="84">
        <f t="shared" si="20"/>
        <v>11113</v>
      </c>
      <c r="X294" s="86">
        <f>N582</f>
        <v>9000</v>
      </c>
      <c r="Y294" s="90">
        <f>P582</f>
        <v>1943</v>
      </c>
      <c r="Z294" s="89">
        <f>L582</f>
        <v>3686</v>
      </c>
      <c r="AA294" s="86">
        <f>O582</f>
        <v>43249</v>
      </c>
      <c r="AB294" s="90">
        <f>Q582</f>
        <v>22835</v>
      </c>
      <c r="AC294" s="73">
        <f>M582</f>
        <v>1619</v>
      </c>
      <c r="AD294" s="94">
        <v>38897</v>
      </c>
    </row>
    <row r="295" spans="1:30" ht="15.6" x14ac:dyDescent="0.3">
      <c r="A295" s="55" t="s">
        <v>64</v>
      </c>
      <c r="B295" s="56">
        <v>1658</v>
      </c>
      <c r="C295" s="56">
        <v>3084</v>
      </c>
      <c r="D295" s="56">
        <v>436</v>
      </c>
      <c r="E295" s="56">
        <v>1035</v>
      </c>
      <c r="F295" s="56">
        <v>1626</v>
      </c>
      <c r="G295" s="56">
        <v>2228</v>
      </c>
      <c r="H295" s="56">
        <v>849</v>
      </c>
      <c r="I295" s="56">
        <v>1187</v>
      </c>
      <c r="J295" s="56">
        <v>160</v>
      </c>
      <c r="K295" s="56">
        <v>334</v>
      </c>
      <c r="L295" s="56">
        <v>4729</v>
      </c>
      <c r="M295" s="56">
        <v>7867</v>
      </c>
      <c r="N295" s="56">
        <v>7024</v>
      </c>
      <c r="O295" s="56">
        <v>3051</v>
      </c>
      <c r="P295" s="56">
        <v>7134</v>
      </c>
      <c r="Q295" s="56">
        <v>895</v>
      </c>
      <c r="R295" s="16">
        <f t="shared" si="16"/>
        <v>18887</v>
      </c>
      <c r="S295" s="16">
        <f t="shared" si="17"/>
        <v>11813</v>
      </c>
      <c r="T295" s="13" t="s">
        <v>161</v>
      </c>
      <c r="U295" s="5">
        <v>18887</v>
      </c>
      <c r="V295" s="5">
        <f t="shared" si="21"/>
        <v>20524.5</v>
      </c>
      <c r="W295" s="84">
        <f t="shared" si="20"/>
        <v>11610.75</v>
      </c>
      <c r="X295" s="86">
        <f>N584</f>
        <v>8656</v>
      </c>
      <c r="Y295" s="90">
        <f>P584</f>
        <v>2119</v>
      </c>
      <c r="Z295" s="89">
        <f>L584</f>
        <v>3592</v>
      </c>
      <c r="AA295" s="86">
        <f>O584</f>
        <v>44157</v>
      </c>
      <c r="AB295" s="90">
        <f>Q584</f>
        <v>22976</v>
      </c>
      <c r="AC295" s="73">
        <f>M584</f>
        <v>1914</v>
      </c>
      <c r="AD295" s="94">
        <v>38904</v>
      </c>
    </row>
    <row r="296" spans="1:30" ht="15.6" x14ac:dyDescent="0.3">
      <c r="A296" s="55" t="s">
        <v>65</v>
      </c>
      <c r="B296" s="56">
        <v>2197</v>
      </c>
      <c r="C296" s="56">
        <v>4287</v>
      </c>
      <c r="D296" s="56">
        <v>428</v>
      </c>
      <c r="E296" s="56">
        <v>1441</v>
      </c>
      <c r="F296" s="56">
        <v>1044</v>
      </c>
      <c r="G296" s="56">
        <v>2441</v>
      </c>
      <c r="H296" s="56">
        <v>875</v>
      </c>
      <c r="I296" s="56">
        <v>1341</v>
      </c>
      <c r="J296" s="56">
        <v>204</v>
      </c>
      <c r="K296" s="56">
        <v>426</v>
      </c>
      <c r="L296" s="56">
        <v>4748</v>
      </c>
      <c r="M296" s="56">
        <v>9935</v>
      </c>
      <c r="N296" s="56">
        <v>8451</v>
      </c>
      <c r="O296" s="56">
        <v>3800</v>
      </c>
      <c r="P296" s="56">
        <v>9814</v>
      </c>
      <c r="Q296" s="56">
        <v>806</v>
      </c>
      <c r="R296" s="16">
        <f t="shared" si="16"/>
        <v>23013</v>
      </c>
      <c r="S296" s="16">
        <f t="shared" si="17"/>
        <v>14541</v>
      </c>
      <c r="T296" s="13" t="s">
        <v>161</v>
      </c>
      <c r="U296" s="5">
        <v>23013</v>
      </c>
      <c r="V296" s="5">
        <f t="shared" si="21"/>
        <v>20699.5</v>
      </c>
      <c r="W296" s="84">
        <f t="shared" si="20"/>
        <v>12475.25</v>
      </c>
      <c r="X296" s="86">
        <f>N586</f>
        <v>7794</v>
      </c>
      <c r="Y296" s="90">
        <f>P586</f>
        <v>2000</v>
      </c>
      <c r="Z296" s="89">
        <f>L586</f>
        <v>3461</v>
      </c>
      <c r="AA296" s="86">
        <f>O586</f>
        <v>45358</v>
      </c>
      <c r="AB296" s="90">
        <f>Q586</f>
        <v>23330</v>
      </c>
      <c r="AC296" s="73">
        <f>M586</f>
        <v>2375</v>
      </c>
      <c r="AD296" s="94">
        <v>38911</v>
      </c>
    </row>
    <row r="297" spans="1:30" ht="15.6" x14ac:dyDescent="0.3">
      <c r="A297" s="55" t="s">
        <v>66</v>
      </c>
      <c r="B297" s="56">
        <v>1683</v>
      </c>
      <c r="C297" s="56">
        <v>4462</v>
      </c>
      <c r="D297" s="56">
        <v>480</v>
      </c>
      <c r="E297" s="56">
        <v>1062</v>
      </c>
      <c r="F297" s="56">
        <v>1675</v>
      </c>
      <c r="G297" s="56">
        <v>2384</v>
      </c>
      <c r="H297" s="56">
        <v>819</v>
      </c>
      <c r="I297" s="56">
        <v>1187</v>
      </c>
      <c r="J297" s="56">
        <v>107</v>
      </c>
      <c r="K297" s="56">
        <v>338</v>
      </c>
      <c r="L297" s="56">
        <v>4764</v>
      </c>
      <c r="M297" s="56">
        <v>8147</v>
      </c>
      <c r="N297" s="56">
        <v>6890</v>
      </c>
      <c r="O297" s="56">
        <v>3836</v>
      </c>
      <c r="P297" s="56">
        <v>7362</v>
      </c>
      <c r="Q297" s="56">
        <v>1227</v>
      </c>
      <c r="R297" s="16">
        <f t="shared" si="16"/>
        <v>19016</v>
      </c>
      <c r="S297" s="16">
        <f t="shared" si="17"/>
        <v>13210</v>
      </c>
      <c r="T297" s="13" t="s">
        <v>161</v>
      </c>
      <c r="U297" s="5">
        <v>19016</v>
      </c>
      <c r="V297" s="5">
        <f t="shared" si="21"/>
        <v>20963.5</v>
      </c>
      <c r="W297" s="84">
        <f t="shared" si="20"/>
        <v>13100.5</v>
      </c>
      <c r="X297" s="86">
        <f>N588</f>
        <v>7387</v>
      </c>
      <c r="Y297" s="90">
        <f>P588</f>
        <v>1901</v>
      </c>
      <c r="Z297" s="89">
        <f>L588</f>
        <v>3399</v>
      </c>
      <c r="AA297" s="86">
        <f>O588</f>
        <v>46741</v>
      </c>
      <c r="AB297" s="90">
        <f>Q588</f>
        <v>23628</v>
      </c>
      <c r="AC297" s="73">
        <f>M588</f>
        <v>2902</v>
      </c>
      <c r="AD297" s="94">
        <v>38918</v>
      </c>
    </row>
    <row r="298" spans="1:30" ht="15.6" x14ac:dyDescent="0.3">
      <c r="A298" s="55" t="s">
        <v>67</v>
      </c>
      <c r="B298" s="56">
        <v>2161</v>
      </c>
      <c r="C298" s="56">
        <v>3176</v>
      </c>
      <c r="D298" s="56">
        <v>322</v>
      </c>
      <c r="E298" s="56">
        <v>1606</v>
      </c>
      <c r="F298" s="56">
        <v>1066</v>
      </c>
      <c r="G298" s="56">
        <v>2568</v>
      </c>
      <c r="H298" s="56">
        <v>816</v>
      </c>
      <c r="I298" s="56">
        <v>1452</v>
      </c>
      <c r="J298" s="56">
        <v>192</v>
      </c>
      <c r="K298" s="56">
        <v>463</v>
      </c>
      <c r="L298" s="56">
        <v>4556</v>
      </c>
      <c r="M298" s="56">
        <v>10550</v>
      </c>
      <c r="N298" s="56">
        <v>9229</v>
      </c>
      <c r="O298" s="56">
        <v>4699</v>
      </c>
      <c r="P298" s="56">
        <v>10393</v>
      </c>
      <c r="Q298" s="56">
        <v>1436</v>
      </c>
      <c r="R298" s="16">
        <f t="shared" si="16"/>
        <v>24178</v>
      </c>
      <c r="S298" s="16">
        <f t="shared" si="17"/>
        <v>16685</v>
      </c>
      <c r="T298" s="13" t="s">
        <v>161</v>
      </c>
      <c r="U298" s="5">
        <v>24178</v>
      </c>
      <c r="V298" s="5">
        <f t="shared" si="21"/>
        <v>21273.5</v>
      </c>
      <c r="W298" s="84">
        <f t="shared" si="20"/>
        <v>14062.25</v>
      </c>
      <c r="X298" s="86">
        <f>N590</f>
        <v>7114</v>
      </c>
      <c r="Y298" s="90">
        <f>P590</f>
        <v>1842</v>
      </c>
      <c r="Z298" s="89">
        <f>L590</f>
        <v>3612</v>
      </c>
      <c r="AA298" s="86">
        <f>O590</f>
        <v>47915</v>
      </c>
      <c r="AB298" s="90">
        <f>Q590</f>
        <v>23856</v>
      </c>
      <c r="AC298" s="73">
        <f>M590</f>
        <v>3272</v>
      </c>
      <c r="AD298" s="94">
        <v>38925</v>
      </c>
    </row>
    <row r="299" spans="1:30" ht="15.6" x14ac:dyDescent="0.3">
      <c r="A299" s="55" t="s">
        <v>68</v>
      </c>
      <c r="B299" s="56">
        <v>1608</v>
      </c>
      <c r="C299" s="56">
        <v>3348</v>
      </c>
      <c r="D299" s="56">
        <v>670</v>
      </c>
      <c r="E299" s="56">
        <v>1138</v>
      </c>
      <c r="F299" s="56">
        <v>1641</v>
      </c>
      <c r="G299" s="56">
        <v>2667</v>
      </c>
      <c r="H299" s="56">
        <v>917</v>
      </c>
      <c r="I299" s="56">
        <v>1221</v>
      </c>
      <c r="J299" s="56">
        <v>103</v>
      </c>
      <c r="K299" s="56">
        <v>383</v>
      </c>
      <c r="L299" s="56">
        <v>4939</v>
      </c>
      <c r="M299" s="56">
        <v>8756</v>
      </c>
      <c r="N299" s="56">
        <v>6584</v>
      </c>
      <c r="O299" s="56">
        <v>4660</v>
      </c>
      <c r="P299" s="56">
        <v>7783</v>
      </c>
      <c r="Q299" s="56">
        <v>2015</v>
      </c>
      <c r="R299" s="16">
        <f t="shared" si="16"/>
        <v>19306</v>
      </c>
      <c r="S299" s="16">
        <f t="shared" si="17"/>
        <v>15431</v>
      </c>
      <c r="T299" s="13" t="s">
        <v>163</v>
      </c>
      <c r="U299" s="5">
        <v>19306</v>
      </c>
      <c r="V299" s="5">
        <f t="shared" si="21"/>
        <v>21378.25</v>
      </c>
      <c r="W299" s="84">
        <f t="shared" si="20"/>
        <v>14966.75</v>
      </c>
      <c r="X299" s="86">
        <f>N592</f>
        <v>6961</v>
      </c>
      <c r="Y299" s="90">
        <f>P592</f>
        <v>1662</v>
      </c>
      <c r="Z299" s="89">
        <f>L592</f>
        <v>3451</v>
      </c>
      <c r="AA299" s="86">
        <f>O592</f>
        <v>49226</v>
      </c>
      <c r="AB299" s="90">
        <f>Q592</f>
        <v>24310</v>
      </c>
      <c r="AC299" s="73">
        <f>M592</f>
        <v>3829</v>
      </c>
      <c r="AD299" s="94">
        <v>38932</v>
      </c>
    </row>
    <row r="300" spans="1:30" ht="15.6" x14ac:dyDescent="0.3">
      <c r="A300" s="55" t="s">
        <v>69</v>
      </c>
      <c r="B300" s="56">
        <v>2131</v>
      </c>
      <c r="C300" s="56">
        <v>4673</v>
      </c>
      <c r="D300" s="56">
        <v>458</v>
      </c>
      <c r="E300" s="56">
        <v>1628</v>
      </c>
      <c r="F300" s="56">
        <v>1047</v>
      </c>
      <c r="G300" s="56">
        <v>2764</v>
      </c>
      <c r="H300" s="56">
        <v>831</v>
      </c>
      <c r="I300" s="56">
        <v>1508</v>
      </c>
      <c r="J300" s="56">
        <v>143</v>
      </c>
      <c r="K300" s="56">
        <v>514</v>
      </c>
      <c r="L300" s="56">
        <v>4610</v>
      </c>
      <c r="M300" s="56">
        <v>11088</v>
      </c>
      <c r="N300" s="56">
        <v>9062</v>
      </c>
      <c r="O300" s="56">
        <v>5581</v>
      </c>
      <c r="P300" s="56">
        <v>10561</v>
      </c>
      <c r="Q300" s="56">
        <v>2220</v>
      </c>
      <c r="R300" s="16">
        <f t="shared" si="16"/>
        <v>24233</v>
      </c>
      <c r="S300" s="16">
        <f t="shared" si="17"/>
        <v>18889</v>
      </c>
      <c r="T300" s="13" t="s">
        <v>163</v>
      </c>
      <c r="U300" s="5">
        <v>24233</v>
      </c>
      <c r="V300" s="5">
        <f t="shared" si="21"/>
        <v>21683.25</v>
      </c>
      <c r="W300" s="84">
        <f t="shared" si="20"/>
        <v>16053.75</v>
      </c>
      <c r="X300" s="86">
        <f>N594</f>
        <v>6306</v>
      </c>
      <c r="Y300" s="90">
        <f>P594</f>
        <v>1733</v>
      </c>
      <c r="Z300" s="89">
        <f>L594</f>
        <v>3451</v>
      </c>
      <c r="AA300" s="86">
        <f>O594</f>
        <v>50457</v>
      </c>
      <c r="AB300" s="90">
        <f>Q594</f>
        <v>24497</v>
      </c>
      <c r="AC300" s="73">
        <f>M594</f>
        <v>4216</v>
      </c>
      <c r="AD300" s="94">
        <v>38939</v>
      </c>
    </row>
    <row r="301" spans="1:30" ht="15.6" x14ac:dyDescent="0.3">
      <c r="A301" s="55" t="s">
        <v>70</v>
      </c>
      <c r="B301" s="56">
        <v>1540</v>
      </c>
      <c r="C301" s="56">
        <v>3471</v>
      </c>
      <c r="D301" s="56">
        <v>691</v>
      </c>
      <c r="E301" s="56">
        <v>1166</v>
      </c>
      <c r="F301" s="56">
        <v>1582</v>
      </c>
      <c r="G301" s="56">
        <v>2876</v>
      </c>
      <c r="H301" s="56">
        <v>778</v>
      </c>
      <c r="I301" s="56">
        <v>1494</v>
      </c>
      <c r="J301" s="56">
        <v>169</v>
      </c>
      <c r="K301" s="56">
        <v>383</v>
      </c>
      <c r="L301" s="56">
        <v>4758</v>
      </c>
      <c r="M301" s="56">
        <v>9389</v>
      </c>
      <c r="N301" s="56">
        <v>6973</v>
      </c>
      <c r="O301" s="56">
        <v>5299</v>
      </c>
      <c r="P301" s="56">
        <v>8357</v>
      </c>
      <c r="Q301" s="56">
        <v>3072</v>
      </c>
      <c r="R301" s="16">
        <f t="shared" si="16"/>
        <v>20088</v>
      </c>
      <c r="S301" s="16">
        <f t="shared" si="17"/>
        <v>17760</v>
      </c>
      <c r="T301" s="13" t="s">
        <v>163</v>
      </c>
      <c r="U301" s="5">
        <v>20088</v>
      </c>
      <c r="V301" s="5">
        <f t="shared" si="21"/>
        <v>21951.25</v>
      </c>
      <c r="W301" s="84">
        <f t="shared" si="20"/>
        <v>17191.25</v>
      </c>
      <c r="X301" s="86">
        <f>N596</f>
        <v>5305</v>
      </c>
      <c r="Y301" s="90">
        <f>P596</f>
        <v>1451</v>
      </c>
      <c r="Z301" s="89">
        <f>L596</f>
        <v>3454</v>
      </c>
      <c r="AA301" s="86">
        <f>O596</f>
        <v>51632</v>
      </c>
      <c r="AB301" s="90">
        <f>Q596</f>
        <v>24826</v>
      </c>
      <c r="AC301" s="73">
        <f>M596</f>
        <v>4607</v>
      </c>
      <c r="AD301" s="94">
        <v>38946</v>
      </c>
    </row>
    <row r="302" spans="1:30" ht="15.6" x14ac:dyDescent="0.3">
      <c r="A302" s="55" t="s">
        <v>71</v>
      </c>
      <c r="B302" s="56">
        <v>2048</v>
      </c>
      <c r="C302" s="56">
        <v>4793</v>
      </c>
      <c r="D302" s="56">
        <v>353</v>
      </c>
      <c r="E302" s="56">
        <v>1715</v>
      </c>
      <c r="F302" s="56">
        <v>970</v>
      </c>
      <c r="G302" s="56">
        <v>2849</v>
      </c>
      <c r="H302" s="56">
        <v>571</v>
      </c>
      <c r="I302" s="56">
        <v>1759</v>
      </c>
      <c r="J302" s="56">
        <v>117</v>
      </c>
      <c r="K302" s="56">
        <v>541</v>
      </c>
      <c r="L302" s="56">
        <v>4059</v>
      </c>
      <c r="M302" s="56">
        <v>11656</v>
      </c>
      <c r="N302" s="56">
        <v>9634</v>
      </c>
      <c r="O302" s="56">
        <v>6490</v>
      </c>
      <c r="P302" s="56">
        <v>11047</v>
      </c>
      <c r="Q302" s="56">
        <v>3538</v>
      </c>
      <c r="R302" s="16">
        <f t="shared" si="16"/>
        <v>24740</v>
      </c>
      <c r="S302" s="16">
        <f t="shared" si="17"/>
        <v>21684</v>
      </c>
      <c r="T302" s="13" t="s">
        <v>163</v>
      </c>
      <c r="U302" s="5">
        <v>24740</v>
      </c>
      <c r="V302" s="5">
        <f t="shared" si="21"/>
        <v>22091.75</v>
      </c>
      <c r="W302" s="84">
        <f t="shared" si="20"/>
        <v>18441</v>
      </c>
      <c r="X302" s="86">
        <f>N598</f>
        <v>3470</v>
      </c>
      <c r="Y302" s="90">
        <f>P598</f>
        <v>1103</v>
      </c>
      <c r="Z302" s="89">
        <f>L598</f>
        <v>3464</v>
      </c>
      <c r="AA302" s="86">
        <f>O598</f>
        <v>53120</v>
      </c>
      <c r="AB302" s="90">
        <f>Q598</f>
        <v>25203</v>
      </c>
      <c r="AC302" s="73">
        <f>M598</f>
        <v>5033</v>
      </c>
      <c r="AD302" s="94">
        <v>38953</v>
      </c>
    </row>
    <row r="303" spans="1:30" ht="15.6" x14ac:dyDescent="0.3">
      <c r="A303" s="55" t="s">
        <v>72</v>
      </c>
      <c r="B303" s="56">
        <v>1418</v>
      </c>
      <c r="C303" s="56">
        <v>3625</v>
      </c>
      <c r="D303" s="56">
        <v>685</v>
      </c>
      <c r="E303" s="56">
        <v>1185</v>
      </c>
      <c r="F303" s="56">
        <v>1630</v>
      </c>
      <c r="G303" s="56">
        <v>2978</v>
      </c>
      <c r="H303" s="56">
        <v>790</v>
      </c>
      <c r="I303" s="56">
        <v>1562</v>
      </c>
      <c r="J303" s="56">
        <v>177</v>
      </c>
      <c r="K303" s="56">
        <v>386</v>
      </c>
      <c r="L303" s="56">
        <v>4700</v>
      </c>
      <c r="M303" s="56">
        <v>9735</v>
      </c>
      <c r="N303" s="56">
        <v>7629</v>
      </c>
      <c r="O303" s="56">
        <v>5729</v>
      </c>
      <c r="P303" s="56">
        <v>7843</v>
      </c>
      <c r="Q303" s="56">
        <v>4377</v>
      </c>
      <c r="R303" s="16">
        <f t="shared" si="16"/>
        <v>20172</v>
      </c>
      <c r="S303" s="16">
        <f t="shared" si="17"/>
        <v>19841</v>
      </c>
      <c r="T303" s="13" t="s">
        <v>163</v>
      </c>
      <c r="U303" s="5">
        <v>20172</v>
      </c>
      <c r="V303" s="5">
        <f t="shared" si="21"/>
        <v>22308.25</v>
      </c>
      <c r="W303" s="84">
        <f t="shared" si="20"/>
        <v>19543.5</v>
      </c>
      <c r="X303" s="86">
        <f>N600</f>
        <v>2454</v>
      </c>
      <c r="Y303" s="90">
        <f>P600</f>
        <v>814</v>
      </c>
      <c r="Z303" s="89">
        <f>L600</f>
        <v>3222</v>
      </c>
      <c r="AA303" s="86">
        <f>O600</f>
        <v>54354</v>
      </c>
      <c r="AB303" s="90">
        <f>Q600</f>
        <v>25510</v>
      </c>
      <c r="AC303" s="73">
        <f>M600</f>
        <v>5658</v>
      </c>
      <c r="AD303" s="94">
        <v>38960</v>
      </c>
    </row>
    <row r="304" spans="1:30" ht="15.6" x14ac:dyDescent="0.3">
      <c r="A304" s="55" t="s">
        <v>73</v>
      </c>
      <c r="B304" s="56">
        <v>2220</v>
      </c>
      <c r="C304" s="56">
        <v>5037</v>
      </c>
      <c r="D304" s="56">
        <v>550</v>
      </c>
      <c r="E304" s="56">
        <v>1771</v>
      </c>
      <c r="F304" s="56">
        <v>998</v>
      </c>
      <c r="G304" s="56">
        <v>2996</v>
      </c>
      <c r="H304" s="56">
        <v>576</v>
      </c>
      <c r="I304" s="56">
        <v>1827</v>
      </c>
      <c r="J304" s="56">
        <v>147</v>
      </c>
      <c r="K304" s="56">
        <v>541</v>
      </c>
      <c r="L304" s="56">
        <v>4490</v>
      </c>
      <c r="M304" s="56">
        <v>12172</v>
      </c>
      <c r="N304" s="56">
        <v>10207</v>
      </c>
      <c r="O304" s="56">
        <v>7364</v>
      </c>
      <c r="P304" s="56">
        <v>11392</v>
      </c>
      <c r="Q304" s="56">
        <v>4862</v>
      </c>
      <c r="R304" s="16">
        <f t="shared" si="16"/>
        <v>26089</v>
      </c>
      <c r="S304" s="16">
        <f t="shared" si="17"/>
        <v>24398</v>
      </c>
      <c r="T304" s="13" t="s">
        <v>162</v>
      </c>
      <c r="U304" s="5">
        <v>26089</v>
      </c>
      <c r="V304" s="5">
        <f t="shared" si="21"/>
        <v>22772.25</v>
      </c>
      <c r="W304" s="84">
        <f t="shared" si="20"/>
        <v>20920.75</v>
      </c>
      <c r="X304" s="89">
        <f>N602</f>
        <v>11501</v>
      </c>
      <c r="Y304" s="90">
        <f>P602</f>
        <v>7004</v>
      </c>
      <c r="Z304" s="89">
        <f>L602</f>
        <v>3343</v>
      </c>
      <c r="AA304" s="86">
        <f>O602</f>
        <v>1103</v>
      </c>
      <c r="AB304" s="90">
        <f>Q602</f>
        <v>212</v>
      </c>
      <c r="AC304" s="73">
        <f>M602</f>
        <v>5874</v>
      </c>
      <c r="AD304" s="94">
        <v>38967</v>
      </c>
    </row>
    <row r="305" spans="1:30" ht="15.6" x14ac:dyDescent="0.3">
      <c r="A305" s="55" t="s">
        <v>74</v>
      </c>
      <c r="B305" s="56">
        <v>1384</v>
      </c>
      <c r="C305" s="56">
        <v>3740</v>
      </c>
      <c r="D305" s="56">
        <v>723</v>
      </c>
      <c r="E305" s="56">
        <v>1216</v>
      </c>
      <c r="F305" s="56">
        <v>1625</v>
      </c>
      <c r="G305" s="56">
        <v>3087</v>
      </c>
      <c r="H305" s="56">
        <v>741</v>
      </c>
      <c r="I305" s="56">
        <v>1632</v>
      </c>
      <c r="J305" s="56">
        <v>183</v>
      </c>
      <c r="K305" s="56">
        <v>404</v>
      </c>
      <c r="L305" s="56">
        <v>4655</v>
      </c>
      <c r="M305" s="56">
        <v>10079</v>
      </c>
      <c r="N305" s="56">
        <v>7986</v>
      </c>
      <c r="O305" s="56">
        <v>6521</v>
      </c>
      <c r="P305" s="56">
        <v>7403</v>
      </c>
      <c r="Q305" s="56">
        <v>5613</v>
      </c>
      <c r="R305" s="16">
        <f t="shared" si="16"/>
        <v>20044</v>
      </c>
      <c r="S305" s="16">
        <f t="shared" si="17"/>
        <v>22213</v>
      </c>
      <c r="T305" s="13" t="s">
        <v>162</v>
      </c>
      <c r="U305" s="5">
        <v>20044</v>
      </c>
      <c r="V305" s="5">
        <f t="shared" si="21"/>
        <v>22761.25</v>
      </c>
      <c r="W305" s="84">
        <f t="shared" si="20"/>
        <v>22034</v>
      </c>
      <c r="X305" s="89">
        <f>N604</f>
        <v>11138</v>
      </c>
      <c r="Y305" s="90">
        <f>P604</f>
        <v>7409</v>
      </c>
      <c r="Z305" s="89">
        <f>L604</f>
        <v>3334</v>
      </c>
      <c r="AA305" s="86">
        <f>O604</f>
        <v>2496</v>
      </c>
      <c r="AB305" s="90">
        <f>Q604</f>
        <v>569</v>
      </c>
      <c r="AC305" s="73">
        <f>M604</f>
        <v>6403</v>
      </c>
      <c r="AD305" s="94">
        <v>38974</v>
      </c>
    </row>
    <row r="306" spans="1:30" ht="15.6" x14ac:dyDescent="0.3">
      <c r="A306" s="55" t="s">
        <v>75</v>
      </c>
      <c r="B306" s="56">
        <v>2346</v>
      </c>
      <c r="C306" s="56">
        <v>5297</v>
      </c>
      <c r="D306" s="56">
        <v>473</v>
      </c>
      <c r="E306" s="56">
        <v>1866</v>
      </c>
      <c r="F306" s="56">
        <v>919</v>
      </c>
      <c r="G306" s="56">
        <v>3094</v>
      </c>
      <c r="H306" s="56">
        <v>609</v>
      </c>
      <c r="I306" s="56">
        <v>1873</v>
      </c>
      <c r="J306" s="56">
        <v>122</v>
      </c>
      <c r="K306" s="56">
        <v>602</v>
      </c>
      <c r="L306" s="56">
        <v>4468</v>
      </c>
      <c r="M306" s="56">
        <v>12731</v>
      </c>
      <c r="N306" s="56">
        <v>10239</v>
      </c>
      <c r="O306" s="56">
        <v>8062</v>
      </c>
      <c r="P306" s="56">
        <v>10711</v>
      </c>
      <c r="Q306" s="56">
        <v>6460</v>
      </c>
      <c r="R306" s="16">
        <f t="shared" si="16"/>
        <v>25418</v>
      </c>
      <c r="S306" s="16">
        <f t="shared" si="17"/>
        <v>27253</v>
      </c>
      <c r="T306" s="13" t="s">
        <v>162</v>
      </c>
      <c r="U306" s="5">
        <v>25418</v>
      </c>
      <c r="V306" s="5">
        <f t="shared" si="21"/>
        <v>22930.75</v>
      </c>
      <c r="W306" s="84">
        <f t="shared" si="20"/>
        <v>23426.25</v>
      </c>
      <c r="X306" s="89">
        <f>N606</f>
        <v>10732</v>
      </c>
      <c r="Y306" s="90">
        <f>P606</f>
        <v>7971</v>
      </c>
      <c r="Z306" s="89">
        <f>L606</f>
        <v>3424</v>
      </c>
      <c r="AA306" s="86">
        <f>O606</f>
        <v>3715</v>
      </c>
      <c r="AB306" s="90">
        <f>Q606</f>
        <v>864</v>
      </c>
      <c r="AC306" s="73">
        <f>M606</f>
        <v>6721</v>
      </c>
      <c r="AD306" s="94">
        <v>38981</v>
      </c>
    </row>
    <row r="307" spans="1:30" ht="15.6" x14ac:dyDescent="0.3">
      <c r="A307" s="55" t="s">
        <v>76</v>
      </c>
      <c r="B307" s="56">
        <v>1427</v>
      </c>
      <c r="C307" s="56">
        <v>3887</v>
      </c>
      <c r="D307" s="56">
        <v>789</v>
      </c>
      <c r="E307" s="56">
        <v>1275</v>
      </c>
      <c r="F307" s="56">
        <v>1555</v>
      </c>
      <c r="G307" s="56">
        <v>3291</v>
      </c>
      <c r="H307" s="56">
        <v>876</v>
      </c>
      <c r="I307" s="56">
        <v>1667</v>
      </c>
      <c r="J307" s="56">
        <v>165</v>
      </c>
      <c r="K307" s="56">
        <v>426</v>
      </c>
      <c r="L307" s="56">
        <v>4812</v>
      </c>
      <c r="M307" s="56">
        <v>10545</v>
      </c>
      <c r="N307" s="56">
        <v>8119</v>
      </c>
      <c r="O307" s="56">
        <v>7322</v>
      </c>
      <c r="P307" s="56">
        <v>7513</v>
      </c>
      <c r="Q307" s="56">
        <v>6673</v>
      </c>
      <c r="R307" s="16">
        <f t="shared" si="16"/>
        <v>20444</v>
      </c>
      <c r="S307" s="16">
        <f t="shared" si="17"/>
        <v>24540</v>
      </c>
      <c r="T307" s="13" t="s">
        <v>162</v>
      </c>
      <c r="U307" s="5">
        <v>20444</v>
      </c>
      <c r="V307" s="5">
        <f t="shared" si="21"/>
        <v>22998.75</v>
      </c>
      <c r="W307" s="84">
        <f t="shared" si="20"/>
        <v>24601</v>
      </c>
      <c r="X307" s="89">
        <f>N608</f>
        <v>10707</v>
      </c>
      <c r="Y307" s="90">
        <f>P608</f>
        <v>8592</v>
      </c>
      <c r="Z307" s="89">
        <f>L608</f>
        <v>3304</v>
      </c>
      <c r="AA307" s="86">
        <f>O608</f>
        <v>4898</v>
      </c>
      <c r="AB307" s="90">
        <f>607</f>
        <v>607</v>
      </c>
      <c r="AC307" s="73">
        <f>M608</f>
        <v>7219</v>
      </c>
      <c r="AD307" s="94">
        <v>38988</v>
      </c>
    </row>
    <row r="308" spans="1:30" ht="15.6" x14ac:dyDescent="0.3">
      <c r="A308" s="55" t="s">
        <v>77</v>
      </c>
      <c r="B308" s="56">
        <v>2652</v>
      </c>
      <c r="C308" s="56">
        <v>5535</v>
      </c>
      <c r="D308" s="56">
        <v>597</v>
      </c>
      <c r="E308" s="56">
        <v>1946</v>
      </c>
      <c r="F308" s="56">
        <v>1005</v>
      </c>
      <c r="G308" s="56">
        <v>3170</v>
      </c>
      <c r="H308" s="56">
        <v>649</v>
      </c>
      <c r="I308" s="56">
        <v>1992</v>
      </c>
      <c r="J308" s="56">
        <v>148</v>
      </c>
      <c r="K308" s="56">
        <v>602</v>
      </c>
      <c r="L308" s="56">
        <v>5050</v>
      </c>
      <c r="M308" s="56">
        <v>13245</v>
      </c>
      <c r="N308" s="56">
        <v>10243</v>
      </c>
      <c r="O308" s="56">
        <v>8975</v>
      </c>
      <c r="P308" s="56">
        <v>10420</v>
      </c>
      <c r="Q308" s="56">
        <v>7465</v>
      </c>
      <c r="R308" s="16">
        <f t="shared" si="16"/>
        <v>25713</v>
      </c>
      <c r="S308" s="16">
        <f t="shared" si="17"/>
        <v>29685</v>
      </c>
      <c r="T308" s="13" t="s">
        <v>164</v>
      </c>
      <c r="U308" s="5">
        <v>25713</v>
      </c>
      <c r="V308" s="5">
        <f t="shared" si="21"/>
        <v>22904.75</v>
      </c>
      <c r="W308" s="84">
        <f t="shared" si="20"/>
        <v>25922.75</v>
      </c>
      <c r="X308" s="89">
        <f>N610</f>
        <v>10893</v>
      </c>
      <c r="Y308" s="90">
        <f>P610</f>
        <v>8954</v>
      </c>
      <c r="Z308" s="89">
        <f>L610</f>
        <v>3545</v>
      </c>
      <c r="AA308" s="86">
        <f>O610</f>
        <v>5998</v>
      </c>
      <c r="AB308" s="90">
        <f>Q610</f>
        <v>2161</v>
      </c>
      <c r="AC308" s="73">
        <f>M610</f>
        <v>7671</v>
      </c>
      <c r="AD308" s="94">
        <v>38995</v>
      </c>
    </row>
    <row r="309" spans="1:30" ht="15.6" x14ac:dyDescent="0.3">
      <c r="A309" s="55" t="s">
        <v>78</v>
      </c>
      <c r="B309" s="56">
        <v>1276</v>
      </c>
      <c r="C309" s="56">
        <v>4074</v>
      </c>
      <c r="D309" s="56">
        <v>787</v>
      </c>
      <c r="E309" s="56">
        <v>1309</v>
      </c>
      <c r="F309" s="56">
        <v>1557</v>
      </c>
      <c r="G309" s="56">
        <v>3494</v>
      </c>
      <c r="H309" s="56">
        <v>852</v>
      </c>
      <c r="I309" s="56">
        <v>1733</v>
      </c>
      <c r="J309" s="56">
        <v>162</v>
      </c>
      <c r="K309" s="56">
        <v>439</v>
      </c>
      <c r="L309" s="56">
        <v>4633</v>
      </c>
      <c r="M309" s="56">
        <v>11049</v>
      </c>
      <c r="N309" s="56">
        <v>8308</v>
      </c>
      <c r="O309" s="56">
        <v>8285</v>
      </c>
      <c r="P309" s="56">
        <v>7603</v>
      </c>
      <c r="Q309" s="56">
        <v>7562</v>
      </c>
      <c r="R309" s="16">
        <f t="shared" si="16"/>
        <v>20544</v>
      </c>
      <c r="S309" s="16">
        <f t="shared" si="17"/>
        <v>26896</v>
      </c>
      <c r="T309" s="13" t="s">
        <v>164</v>
      </c>
      <c r="U309" s="5">
        <v>20544</v>
      </c>
      <c r="V309" s="5">
        <f t="shared" si="21"/>
        <v>23029.75</v>
      </c>
      <c r="W309" s="84">
        <f t="shared" si="20"/>
        <v>27093.5</v>
      </c>
      <c r="X309" s="89">
        <f>N612</f>
        <v>10626</v>
      </c>
      <c r="Y309" s="90">
        <f>P612</f>
        <v>8996</v>
      </c>
      <c r="Z309" s="89">
        <f>L612</f>
        <v>3405</v>
      </c>
      <c r="AA309" s="86">
        <f>O612</f>
        <v>7086</v>
      </c>
      <c r="AB309" s="90">
        <f>Q612</f>
        <v>2988</v>
      </c>
      <c r="AC309" s="73">
        <f>M612</f>
        <v>8255</v>
      </c>
      <c r="AD309" s="94">
        <v>39002</v>
      </c>
    </row>
    <row r="310" spans="1:30" ht="15.6" x14ac:dyDescent="0.3">
      <c r="A310" s="55" t="s">
        <v>79</v>
      </c>
      <c r="B310" s="56">
        <v>2854</v>
      </c>
      <c r="C310" s="56">
        <v>5857</v>
      </c>
      <c r="D310" s="56">
        <v>593</v>
      </c>
      <c r="E310" s="56">
        <v>2034</v>
      </c>
      <c r="F310" s="56">
        <v>937</v>
      </c>
      <c r="G310" s="56">
        <v>3428</v>
      </c>
      <c r="H310" s="56">
        <v>950</v>
      </c>
      <c r="I310" s="56">
        <v>2026</v>
      </c>
      <c r="J310" s="56">
        <v>150</v>
      </c>
      <c r="K310" s="56">
        <v>602</v>
      </c>
      <c r="L310" s="56">
        <v>5483</v>
      </c>
      <c r="M310" s="56">
        <v>13946</v>
      </c>
      <c r="N310" s="56">
        <v>10601</v>
      </c>
      <c r="O310" s="56">
        <v>10219</v>
      </c>
      <c r="P310" s="56">
        <v>10346</v>
      </c>
      <c r="Q310" s="56">
        <v>8393</v>
      </c>
      <c r="R310" s="16">
        <f t="shared" si="16"/>
        <v>26430</v>
      </c>
      <c r="S310" s="16">
        <f t="shared" si="17"/>
        <v>32558</v>
      </c>
      <c r="T310" s="13" t="s">
        <v>164</v>
      </c>
      <c r="U310" s="5">
        <v>26430</v>
      </c>
      <c r="V310" s="5">
        <f t="shared" si="21"/>
        <v>23282.75</v>
      </c>
      <c r="W310" s="84">
        <f t="shared" si="20"/>
        <v>28419.75</v>
      </c>
      <c r="X310" s="89">
        <f>N614</f>
        <v>10872</v>
      </c>
      <c r="Y310" s="90">
        <f>P614</f>
        <v>8439</v>
      </c>
      <c r="Z310" s="89">
        <f>L614</f>
        <v>3438</v>
      </c>
      <c r="AA310" s="86">
        <f>O614</f>
        <v>7886</v>
      </c>
      <c r="AB310" s="90">
        <f>Q614</f>
        <v>4172</v>
      </c>
      <c r="AC310" s="73">
        <f>M614</f>
        <v>8675</v>
      </c>
      <c r="AD310" s="94">
        <v>39009</v>
      </c>
    </row>
    <row r="311" spans="1:30" ht="15.6" x14ac:dyDescent="0.3">
      <c r="A311" s="55">
        <v>37588</v>
      </c>
      <c r="B311" s="56">
        <v>1204.7</v>
      </c>
      <c r="C311" s="56">
        <v>4276.6000000000004</v>
      </c>
      <c r="D311" s="56">
        <v>754.6</v>
      </c>
      <c r="E311" s="56">
        <v>1362.2</v>
      </c>
      <c r="F311" s="56">
        <v>1443</v>
      </c>
      <c r="G311" s="56">
        <v>3620.1</v>
      </c>
      <c r="H311" s="56">
        <v>795.2</v>
      </c>
      <c r="I311" s="56">
        <v>1801.5</v>
      </c>
      <c r="J311" s="56">
        <v>157.5</v>
      </c>
      <c r="K311" s="56">
        <v>448.6</v>
      </c>
      <c r="L311" s="56">
        <v>4355</v>
      </c>
      <c r="M311" s="56">
        <v>11509</v>
      </c>
      <c r="N311" s="56">
        <v>7922.4</v>
      </c>
      <c r="O311" s="56">
        <v>9344.6</v>
      </c>
      <c r="P311" s="56">
        <v>7483.3</v>
      </c>
      <c r="Q311" s="56">
        <v>8375.9</v>
      </c>
      <c r="R311" s="16">
        <f t="shared" si="16"/>
        <v>19760.7</v>
      </c>
      <c r="S311" s="16">
        <f t="shared" si="17"/>
        <v>29229.5</v>
      </c>
      <c r="T311" s="13" t="s">
        <v>164</v>
      </c>
      <c r="U311" s="5">
        <v>19760.7</v>
      </c>
      <c r="V311" s="5">
        <f t="shared" si="21"/>
        <v>23111.924999999999</v>
      </c>
      <c r="W311" s="84">
        <f t="shared" si="20"/>
        <v>29592.125</v>
      </c>
      <c r="X311" s="89">
        <f>N616</f>
        <v>10797</v>
      </c>
      <c r="Y311" s="90">
        <f>P616</f>
        <v>7853</v>
      </c>
      <c r="Z311" s="89">
        <f>L616</f>
        <v>4028</v>
      </c>
      <c r="AA311" s="86">
        <f>O616</f>
        <v>8988</v>
      </c>
      <c r="AB311" s="90">
        <f>Q616</f>
        <v>5395</v>
      </c>
      <c r="AC311" s="73">
        <f>M616</f>
        <v>9024</v>
      </c>
      <c r="AD311" s="94">
        <v>39016</v>
      </c>
    </row>
    <row r="312" spans="1:30" ht="15.6" x14ac:dyDescent="0.3">
      <c r="A312" s="55">
        <v>37952</v>
      </c>
      <c r="B312" s="56">
        <v>2950</v>
      </c>
      <c r="C312" s="56">
        <v>6058.3</v>
      </c>
      <c r="D312" s="56">
        <v>584</v>
      </c>
      <c r="E312" s="56">
        <v>2086.4</v>
      </c>
      <c r="F312" s="56">
        <v>1197.5</v>
      </c>
      <c r="G312" s="56">
        <v>3540.9</v>
      </c>
      <c r="H312" s="56">
        <v>1030.7</v>
      </c>
      <c r="I312" s="56">
        <v>2100.1999999999998</v>
      </c>
      <c r="J312" s="56">
        <v>165.4</v>
      </c>
      <c r="K312" s="56">
        <v>607.1</v>
      </c>
      <c r="L312" s="56">
        <v>5927.8</v>
      </c>
      <c r="M312" s="56">
        <v>14393</v>
      </c>
      <c r="N312" s="56">
        <v>10312.9</v>
      </c>
      <c r="O312" s="56">
        <v>11356.4</v>
      </c>
      <c r="P312" s="56">
        <v>9399.9</v>
      </c>
      <c r="Q312" s="56">
        <v>9594.7000000000007</v>
      </c>
      <c r="R312" s="16">
        <f t="shared" si="16"/>
        <v>25640.6</v>
      </c>
      <c r="S312" s="16">
        <f t="shared" si="17"/>
        <v>35344.100000000006</v>
      </c>
      <c r="T312" s="13" t="s">
        <v>165</v>
      </c>
      <c r="U312" s="5">
        <v>25640.6</v>
      </c>
      <c r="V312" s="5">
        <f t="shared" si="21"/>
        <v>23093.824999999997</v>
      </c>
      <c r="W312" s="84">
        <f t="shared" si="20"/>
        <v>31006.9</v>
      </c>
      <c r="X312" s="89">
        <f>N618</f>
        <v>11552</v>
      </c>
      <c r="Y312" s="90">
        <f>P618</f>
        <v>7497</v>
      </c>
      <c r="Z312" s="89">
        <f>L618</f>
        <v>4344</v>
      </c>
      <c r="AA312" s="86">
        <f>O618</f>
        <v>10162</v>
      </c>
      <c r="AB312" s="90">
        <f>Q618</f>
        <v>6519</v>
      </c>
      <c r="AC312" s="73">
        <f>M618</f>
        <v>9281</v>
      </c>
      <c r="AD312" s="94">
        <v>39023</v>
      </c>
    </row>
    <row r="313" spans="1:30" ht="15.6" x14ac:dyDescent="0.3">
      <c r="A313" s="55">
        <v>37595</v>
      </c>
      <c r="B313" s="56">
        <v>1154</v>
      </c>
      <c r="C313" s="56">
        <v>4361.8999999999996</v>
      </c>
      <c r="D313" s="56">
        <v>726.4</v>
      </c>
      <c r="E313" s="56">
        <v>1412</v>
      </c>
      <c r="F313" s="56">
        <v>1389</v>
      </c>
      <c r="G313" s="56">
        <v>3650.4</v>
      </c>
      <c r="H313" s="56">
        <v>722.2</v>
      </c>
      <c r="I313" s="56">
        <v>1873.7</v>
      </c>
      <c r="J313" s="56">
        <v>152.5</v>
      </c>
      <c r="K313" s="56">
        <v>468.6</v>
      </c>
      <c r="L313" s="56">
        <v>4144.1000000000004</v>
      </c>
      <c r="M313" s="56">
        <v>11851.5</v>
      </c>
      <c r="N313" s="56">
        <v>7414.6</v>
      </c>
      <c r="O313" s="56">
        <v>10398.6</v>
      </c>
      <c r="P313" s="56">
        <v>7939.3</v>
      </c>
      <c r="Q313" s="56">
        <v>9247.4</v>
      </c>
      <c r="R313" s="16">
        <f t="shared" si="16"/>
        <v>19498</v>
      </c>
      <c r="S313" s="16">
        <f t="shared" si="17"/>
        <v>31497.5</v>
      </c>
      <c r="T313" s="13" t="s">
        <v>165</v>
      </c>
      <c r="U313" s="5">
        <v>19498</v>
      </c>
      <c r="V313" s="5">
        <f t="shared" si="21"/>
        <v>22832.324999999997</v>
      </c>
      <c r="W313" s="84">
        <f t="shared" si="20"/>
        <v>32157.275000000001</v>
      </c>
      <c r="X313" s="89">
        <f>N620</f>
        <v>11944</v>
      </c>
      <c r="Y313" s="90">
        <f>P620</f>
        <v>7080</v>
      </c>
      <c r="Z313" s="89">
        <f>L620</f>
        <v>4327</v>
      </c>
      <c r="AA313" s="86">
        <f>O620</f>
        <v>11166</v>
      </c>
      <c r="AB313" s="90">
        <f>Q620</f>
        <v>7632</v>
      </c>
      <c r="AC313" s="73">
        <f>M620</f>
        <v>9621</v>
      </c>
      <c r="AD313" s="94">
        <v>39030</v>
      </c>
    </row>
    <row r="314" spans="1:30" ht="15.6" x14ac:dyDescent="0.3">
      <c r="A314" s="55">
        <v>37959</v>
      </c>
      <c r="B314" s="56">
        <v>2831.4</v>
      </c>
      <c r="C314" s="56">
        <v>6332.2</v>
      </c>
      <c r="D314" s="56">
        <v>604.1</v>
      </c>
      <c r="E314" s="56">
        <v>2126.1999999999998</v>
      </c>
      <c r="F314" s="56">
        <v>1189</v>
      </c>
      <c r="G314" s="56">
        <v>3735.1</v>
      </c>
      <c r="H314" s="56">
        <v>1043.4000000000001</v>
      </c>
      <c r="I314" s="56">
        <v>2180.9</v>
      </c>
      <c r="J314" s="56">
        <v>206.3</v>
      </c>
      <c r="K314" s="56">
        <v>621.4</v>
      </c>
      <c r="L314" s="56">
        <v>5874.1</v>
      </c>
      <c r="M314" s="56">
        <v>14911.1</v>
      </c>
      <c r="N314" s="56">
        <v>10341.5</v>
      </c>
      <c r="O314" s="56">
        <v>12365.7</v>
      </c>
      <c r="P314" s="56">
        <v>8681</v>
      </c>
      <c r="Q314" s="56">
        <v>10666.8</v>
      </c>
      <c r="R314" s="16">
        <f t="shared" si="16"/>
        <v>24896.6</v>
      </c>
      <c r="S314" s="16">
        <f t="shared" si="17"/>
        <v>37943.600000000006</v>
      </c>
      <c r="T314" s="13" t="s">
        <v>165</v>
      </c>
      <c r="U314" s="5">
        <v>24896.6</v>
      </c>
      <c r="V314" s="5">
        <f t="shared" si="21"/>
        <v>22448.974999999999</v>
      </c>
      <c r="W314" s="84">
        <f t="shared" si="20"/>
        <v>33503.675000000003</v>
      </c>
      <c r="X314" s="89">
        <f>N622</f>
        <v>11765</v>
      </c>
      <c r="Y314" s="90">
        <f>P622</f>
        <v>7273</v>
      </c>
      <c r="Z314" s="89">
        <f>L622</f>
        <v>4373</v>
      </c>
      <c r="AA314" s="86">
        <f>O622</f>
        <v>12387</v>
      </c>
      <c r="AB314" s="90">
        <f>Q622</f>
        <v>8242</v>
      </c>
      <c r="AC314" s="73">
        <f>M622</f>
        <v>9936</v>
      </c>
      <c r="AD314" s="94">
        <v>39037</v>
      </c>
    </row>
    <row r="315" spans="1:30" ht="15.6" x14ac:dyDescent="0.3">
      <c r="A315" s="55">
        <v>37602</v>
      </c>
      <c r="B315" s="56">
        <v>1114</v>
      </c>
      <c r="C315" s="56">
        <v>4446</v>
      </c>
      <c r="D315" s="56">
        <v>765</v>
      </c>
      <c r="E315" s="56">
        <v>1436</v>
      </c>
      <c r="F315" s="56">
        <v>1266</v>
      </c>
      <c r="G315" s="56">
        <v>3901</v>
      </c>
      <c r="H315" s="56">
        <v>697</v>
      </c>
      <c r="I315" s="56">
        <v>1980</v>
      </c>
      <c r="J315" s="56">
        <v>137</v>
      </c>
      <c r="K315" s="56">
        <v>503</v>
      </c>
      <c r="L315" s="56">
        <v>4009</v>
      </c>
      <c r="M315" s="56">
        <v>12265</v>
      </c>
      <c r="N315" s="56">
        <v>7081</v>
      </c>
      <c r="O315" s="56">
        <v>11444</v>
      </c>
      <c r="P315" s="56">
        <v>8242</v>
      </c>
      <c r="Q315" s="56">
        <v>9990</v>
      </c>
      <c r="R315" s="16">
        <f t="shared" si="16"/>
        <v>19332</v>
      </c>
      <c r="S315" s="16">
        <f t="shared" si="17"/>
        <v>33699</v>
      </c>
      <c r="T315" s="13" t="s">
        <v>165</v>
      </c>
      <c r="U315" s="5">
        <v>19332</v>
      </c>
      <c r="V315" s="5">
        <f t="shared" si="21"/>
        <v>22341.8</v>
      </c>
      <c r="W315" s="84">
        <f t="shared" si="20"/>
        <v>34621.050000000003</v>
      </c>
      <c r="X315" s="89">
        <f>N624</f>
        <v>11889</v>
      </c>
      <c r="Y315" s="90">
        <f>P624</f>
        <v>7331</v>
      </c>
      <c r="Z315" s="89">
        <f>L624</f>
        <v>4512</v>
      </c>
      <c r="AA315" s="86">
        <f>O624</f>
        <v>13284</v>
      </c>
      <c r="AB315" s="90">
        <f>Q624</f>
        <v>8912</v>
      </c>
      <c r="AC315" s="73">
        <f>M624</f>
        <v>10345</v>
      </c>
      <c r="AD315" s="94">
        <v>39044</v>
      </c>
    </row>
    <row r="316" spans="1:30" ht="15.6" x14ac:dyDescent="0.3">
      <c r="A316" s="55">
        <v>37966</v>
      </c>
      <c r="B316" s="56">
        <v>3183</v>
      </c>
      <c r="C316" s="56">
        <v>6335</v>
      </c>
      <c r="D316" s="56">
        <v>658</v>
      </c>
      <c r="E316" s="56">
        <v>2145</v>
      </c>
      <c r="F316" s="56">
        <v>1336</v>
      </c>
      <c r="G316" s="56">
        <v>3755</v>
      </c>
      <c r="H316" s="56">
        <v>1249</v>
      </c>
      <c r="I316" s="56">
        <v>2180.9</v>
      </c>
      <c r="J316" s="56">
        <v>202</v>
      </c>
      <c r="K316" s="56">
        <v>654</v>
      </c>
      <c r="L316" s="56">
        <v>6628</v>
      </c>
      <c r="M316" s="56">
        <v>15170</v>
      </c>
      <c r="N316" s="56">
        <v>10319</v>
      </c>
      <c r="O316" s="56">
        <v>13312</v>
      </c>
      <c r="P316" s="56">
        <v>7816</v>
      </c>
      <c r="Q316" s="56">
        <v>17737</v>
      </c>
      <c r="R316" s="16">
        <f t="shared" si="16"/>
        <v>24763</v>
      </c>
      <c r="S316" s="16">
        <f t="shared" si="17"/>
        <v>46219</v>
      </c>
      <c r="T316" s="13" t="s">
        <v>165</v>
      </c>
      <c r="U316" s="5">
        <v>24763</v>
      </c>
      <c r="V316" s="5">
        <f t="shared" si="21"/>
        <v>22122.400000000001</v>
      </c>
      <c r="W316" s="84">
        <f t="shared" si="20"/>
        <v>37339.775000000001</v>
      </c>
      <c r="X316" s="89">
        <f>N626</f>
        <v>11329</v>
      </c>
      <c r="Y316" s="90">
        <f>P626</f>
        <v>7068</v>
      </c>
      <c r="Z316" s="89">
        <f>L626</f>
        <v>4417</v>
      </c>
      <c r="AA316" s="86">
        <f>O626</f>
        <v>14656</v>
      </c>
      <c r="AB316" s="90">
        <f>Q626</f>
        <v>9843</v>
      </c>
      <c r="AC316" s="73">
        <f>M626</f>
        <v>10843</v>
      </c>
      <c r="AD316" s="94">
        <v>39051</v>
      </c>
    </row>
    <row r="317" spans="1:30" ht="15.6" x14ac:dyDescent="0.3">
      <c r="A317" s="55">
        <v>37609</v>
      </c>
      <c r="B317" s="56">
        <v>1172</v>
      </c>
      <c r="C317" s="56">
        <v>4506.2</v>
      </c>
      <c r="D317" s="56">
        <v>799.7</v>
      </c>
      <c r="E317" s="56">
        <v>1451.9</v>
      </c>
      <c r="F317" s="56">
        <v>1357</v>
      </c>
      <c r="G317" s="56">
        <v>3987.4</v>
      </c>
      <c r="H317" s="56">
        <v>678.6</v>
      </c>
      <c r="I317" s="56">
        <v>2028.8</v>
      </c>
      <c r="J317" s="56">
        <v>135.4</v>
      </c>
      <c r="K317" s="56">
        <v>508.2</v>
      </c>
      <c r="L317" s="56">
        <v>4142.6000000000004</v>
      </c>
      <c r="M317" s="56">
        <v>12482.5</v>
      </c>
      <c r="N317" s="56">
        <v>6635.2</v>
      </c>
      <c r="O317" s="56">
        <v>12568.4</v>
      </c>
      <c r="P317" s="56">
        <v>8749</v>
      </c>
      <c r="Q317" s="56">
        <v>10607.5</v>
      </c>
      <c r="R317" s="16">
        <f t="shared" si="16"/>
        <v>19526.8</v>
      </c>
      <c r="S317" s="16">
        <f t="shared" si="17"/>
        <v>35658.400000000001</v>
      </c>
      <c r="T317" s="13" t="s">
        <v>166</v>
      </c>
      <c r="U317" s="5">
        <v>19526.8</v>
      </c>
      <c r="V317" s="5">
        <f t="shared" si="21"/>
        <v>22129.600000000002</v>
      </c>
      <c r="W317" s="84">
        <f t="shared" si="20"/>
        <v>38380</v>
      </c>
      <c r="X317" s="89">
        <f>N628</f>
        <v>11493</v>
      </c>
      <c r="Y317" s="90">
        <f>P628</f>
        <v>6898</v>
      </c>
      <c r="Z317" s="89">
        <f>L628</f>
        <v>4475</v>
      </c>
      <c r="AA317" s="86">
        <f>O628</f>
        <v>15893</v>
      </c>
      <c r="AB317" s="90">
        <f>Q628</f>
        <v>10916</v>
      </c>
      <c r="AC317" s="73">
        <f>M628</f>
        <v>11256</v>
      </c>
      <c r="AD317" s="94">
        <v>39058</v>
      </c>
    </row>
    <row r="318" spans="1:30" ht="15.6" x14ac:dyDescent="0.3">
      <c r="A318" s="55">
        <v>37973</v>
      </c>
      <c r="B318" s="56">
        <v>3312.6</v>
      </c>
      <c r="C318" s="56">
        <v>6589.5</v>
      </c>
      <c r="D318" s="56">
        <v>705.9</v>
      </c>
      <c r="E318" s="56">
        <v>2169.5</v>
      </c>
      <c r="F318" s="56">
        <v>1487.1</v>
      </c>
      <c r="G318" s="56">
        <v>3838.8</v>
      </c>
      <c r="H318" s="56">
        <v>1380.4</v>
      </c>
      <c r="I318" s="56">
        <v>2226.3000000000002</v>
      </c>
      <c r="J318" s="56">
        <v>173.3</v>
      </c>
      <c r="K318" s="56">
        <v>674.3</v>
      </c>
      <c r="L318" s="56">
        <v>7059.3</v>
      </c>
      <c r="M318" s="56">
        <v>15498.4</v>
      </c>
      <c r="N318" s="56">
        <v>9846.9</v>
      </c>
      <c r="O318" s="56">
        <v>14737</v>
      </c>
      <c r="P318" s="56">
        <v>8301.1</v>
      </c>
      <c r="Q318" s="56">
        <v>12730.7</v>
      </c>
      <c r="R318" s="16">
        <f t="shared" si="16"/>
        <v>25207.300000000003</v>
      </c>
      <c r="S318" s="16">
        <f t="shared" si="17"/>
        <v>42966.100000000006</v>
      </c>
      <c r="T318" s="13" t="s">
        <v>166</v>
      </c>
      <c r="U318" s="5">
        <v>25207.3</v>
      </c>
      <c r="V318" s="5">
        <f t="shared" si="21"/>
        <v>22207.275000000001</v>
      </c>
      <c r="W318" s="84">
        <f t="shared" ref="W318:W337" si="22">AVERAGE(S315:S318)</f>
        <v>39635.625</v>
      </c>
      <c r="X318" s="89">
        <f>N630</f>
        <v>11855</v>
      </c>
      <c r="Y318" s="90">
        <f>P630</f>
        <v>7011</v>
      </c>
      <c r="Z318" s="89">
        <f>L630</f>
        <v>4568</v>
      </c>
      <c r="AA318" s="86">
        <f>O630</f>
        <v>16796</v>
      </c>
      <c r="AB318" s="90">
        <f>Q630</f>
        <v>11545</v>
      </c>
      <c r="AC318" s="73">
        <f>M630</f>
        <v>11619</v>
      </c>
      <c r="AD318" s="94">
        <v>39065</v>
      </c>
    </row>
    <row r="319" spans="1:30" ht="15.6" x14ac:dyDescent="0.3">
      <c r="A319" s="55">
        <v>37616</v>
      </c>
      <c r="B319" s="56">
        <v>1083</v>
      </c>
      <c r="C319" s="56">
        <v>4581</v>
      </c>
      <c r="D319" s="56">
        <v>730</v>
      </c>
      <c r="E319" s="56">
        <v>1546</v>
      </c>
      <c r="F319" s="56">
        <v>1230</v>
      </c>
      <c r="G319" s="56">
        <v>4104</v>
      </c>
      <c r="H319" s="56">
        <v>618</v>
      </c>
      <c r="I319" s="56">
        <v>2068</v>
      </c>
      <c r="J319" s="56">
        <v>123</v>
      </c>
      <c r="K319" s="56">
        <v>521</v>
      </c>
      <c r="L319" s="56">
        <v>3783</v>
      </c>
      <c r="M319" s="56">
        <v>12820</v>
      </c>
      <c r="N319" s="56">
        <v>6561</v>
      </c>
      <c r="O319" s="56">
        <v>13013</v>
      </c>
      <c r="P319" s="56">
        <v>8262</v>
      </c>
      <c r="Q319" s="56">
        <v>11347</v>
      </c>
      <c r="R319" s="16">
        <f t="shared" si="16"/>
        <v>18606</v>
      </c>
      <c r="S319" s="16">
        <f t="shared" si="17"/>
        <v>37180</v>
      </c>
      <c r="T319" s="13" t="s">
        <v>166</v>
      </c>
      <c r="U319" s="5">
        <v>18606</v>
      </c>
      <c r="V319" s="5">
        <f t="shared" si="21"/>
        <v>22025.775000000001</v>
      </c>
      <c r="W319" s="84">
        <f t="shared" si="22"/>
        <v>40505.875</v>
      </c>
      <c r="X319" s="89">
        <f>N632</f>
        <v>11890</v>
      </c>
      <c r="Y319" s="90">
        <f>P632</f>
        <v>7376</v>
      </c>
      <c r="Z319" s="89">
        <f>L632</f>
        <v>4630</v>
      </c>
      <c r="AA319" s="86">
        <f>O632</f>
        <v>17911</v>
      </c>
      <c r="AB319" s="90">
        <f>Q632</f>
        <v>12218</v>
      </c>
      <c r="AC319" s="73">
        <f>M632</f>
        <v>11911</v>
      </c>
      <c r="AD319" s="94">
        <v>39072</v>
      </c>
    </row>
    <row r="320" spans="1:30" ht="15.6" x14ac:dyDescent="0.3">
      <c r="A320" s="55">
        <v>37980</v>
      </c>
      <c r="B320" s="56">
        <v>3331</v>
      </c>
      <c r="C320" s="56">
        <v>6815</v>
      </c>
      <c r="D320" s="56">
        <v>735</v>
      </c>
      <c r="E320" s="56">
        <v>2185</v>
      </c>
      <c r="F320" s="56">
        <v>1412</v>
      </c>
      <c r="G320" s="56">
        <v>3958</v>
      </c>
      <c r="H320" s="56">
        <v>1315</v>
      </c>
      <c r="I320" s="56">
        <v>2386</v>
      </c>
      <c r="J320" s="56">
        <v>190</v>
      </c>
      <c r="K320" s="56">
        <v>674.3</v>
      </c>
      <c r="L320" s="56">
        <v>6983</v>
      </c>
      <c r="M320" s="56">
        <v>16018</v>
      </c>
      <c r="N320" s="56">
        <v>9763</v>
      </c>
      <c r="O320" s="56">
        <v>15579</v>
      </c>
      <c r="P320" s="56">
        <v>8199</v>
      </c>
      <c r="Q320" s="56">
        <v>13378</v>
      </c>
      <c r="R320" s="16">
        <f t="shared" si="16"/>
        <v>24945</v>
      </c>
      <c r="S320" s="16">
        <f t="shared" si="17"/>
        <v>44975</v>
      </c>
      <c r="T320" s="13" t="s">
        <v>166</v>
      </c>
      <c r="U320" s="5">
        <v>24945</v>
      </c>
      <c r="V320" s="5">
        <f t="shared" si="21"/>
        <v>22071.275000000001</v>
      </c>
      <c r="W320" s="84">
        <f t="shared" si="22"/>
        <v>40194.875</v>
      </c>
      <c r="X320" s="89">
        <f>N634</f>
        <v>11503</v>
      </c>
      <c r="Y320" s="90">
        <f>P634</f>
        <v>6886</v>
      </c>
      <c r="Z320" s="89">
        <f>L634</f>
        <v>4277</v>
      </c>
      <c r="AA320" s="86">
        <f>O634</f>
        <v>18872</v>
      </c>
      <c r="AB320" s="90">
        <f>Q634</f>
        <v>13046</v>
      </c>
      <c r="AC320" s="73">
        <f>M634</f>
        <v>12399</v>
      </c>
      <c r="AD320" s="94">
        <v>39079</v>
      </c>
    </row>
    <row r="321" spans="1:30" ht="15.6" x14ac:dyDescent="0.3">
      <c r="A321" s="55">
        <v>37623</v>
      </c>
      <c r="B321" s="56">
        <v>1017</v>
      </c>
      <c r="C321" s="56">
        <v>7004</v>
      </c>
      <c r="D321" s="56">
        <v>580</v>
      </c>
      <c r="E321" s="56">
        <v>2322</v>
      </c>
      <c r="F321" s="56">
        <v>1161</v>
      </c>
      <c r="G321" s="56">
        <v>4037</v>
      </c>
      <c r="H321" s="56">
        <v>535</v>
      </c>
      <c r="I321" s="56">
        <v>2476</v>
      </c>
      <c r="J321" s="56">
        <v>123</v>
      </c>
      <c r="K321" s="56">
        <v>693</v>
      </c>
      <c r="L321" s="56">
        <v>3415</v>
      </c>
      <c r="M321" s="56">
        <v>16531</v>
      </c>
      <c r="N321" s="56">
        <v>5860</v>
      </c>
      <c r="O321" s="56">
        <v>16608</v>
      </c>
      <c r="P321" s="56">
        <v>7980</v>
      </c>
      <c r="Q321" s="56">
        <v>14021</v>
      </c>
      <c r="R321" s="16">
        <f t="shared" si="16"/>
        <v>17255</v>
      </c>
      <c r="S321" s="16">
        <f t="shared" si="17"/>
        <v>47160</v>
      </c>
      <c r="T321" s="13" t="s">
        <v>167</v>
      </c>
      <c r="U321" s="5">
        <v>17255</v>
      </c>
      <c r="V321" s="5">
        <f t="shared" si="21"/>
        <v>21503.325000000001</v>
      </c>
      <c r="W321" s="84">
        <f t="shared" si="22"/>
        <v>43070.275000000001</v>
      </c>
      <c r="X321" s="89">
        <f>N636</f>
        <v>11827</v>
      </c>
      <c r="Y321" s="90">
        <f>P636</f>
        <v>6918</v>
      </c>
      <c r="Z321" s="89">
        <f>L636</f>
        <v>4028</v>
      </c>
      <c r="AA321" s="86">
        <f>O636</f>
        <v>19724</v>
      </c>
      <c r="AB321" s="90">
        <f>Q636</f>
        <v>13591</v>
      </c>
      <c r="AC321" s="73">
        <f>M636</f>
        <v>12893</v>
      </c>
      <c r="AD321" s="94">
        <v>39086</v>
      </c>
    </row>
    <row r="322" spans="1:30" ht="15.6" x14ac:dyDescent="0.3">
      <c r="A322" s="55">
        <v>37987</v>
      </c>
      <c r="B322" s="56">
        <v>3172</v>
      </c>
      <c r="C322" s="56">
        <v>4682</v>
      </c>
      <c r="D322" s="56">
        <v>611</v>
      </c>
      <c r="E322" s="56">
        <v>1707</v>
      </c>
      <c r="F322" s="56">
        <v>1401</v>
      </c>
      <c r="G322" s="56">
        <v>4244</v>
      </c>
      <c r="H322" s="56">
        <v>1246</v>
      </c>
      <c r="I322" s="56">
        <v>2181</v>
      </c>
      <c r="J322" s="56">
        <v>182</v>
      </c>
      <c r="K322" s="56">
        <v>521</v>
      </c>
      <c r="L322" s="56">
        <v>6613</v>
      </c>
      <c r="M322" s="56">
        <v>13335</v>
      </c>
      <c r="N322" s="56">
        <v>9150</v>
      </c>
      <c r="O322" s="56">
        <v>13998</v>
      </c>
      <c r="P322" s="56">
        <v>7697</v>
      </c>
      <c r="Q322" s="56">
        <v>12010</v>
      </c>
      <c r="R322" s="16">
        <f t="shared" si="16"/>
        <v>23460</v>
      </c>
      <c r="S322" s="16">
        <f t="shared" si="17"/>
        <v>39343</v>
      </c>
      <c r="T322" s="13" t="s">
        <v>167</v>
      </c>
      <c r="U322" s="5">
        <v>23460</v>
      </c>
      <c r="V322" s="5">
        <f t="shared" si="21"/>
        <v>21066.5</v>
      </c>
      <c r="W322" s="84">
        <f t="shared" si="22"/>
        <v>42164.5</v>
      </c>
      <c r="X322" s="89">
        <f>N638</f>
        <v>12246</v>
      </c>
      <c r="Y322" s="90">
        <f>P638</f>
        <v>7139</v>
      </c>
      <c r="Z322" s="89">
        <f>L638</f>
        <v>4468</v>
      </c>
      <c r="AA322" s="86">
        <f>O638</f>
        <v>20731</v>
      </c>
      <c r="AB322" s="90">
        <f>Q638</f>
        <v>14466</v>
      </c>
      <c r="AC322" s="73">
        <f>M638</f>
        <v>13277</v>
      </c>
      <c r="AD322" s="94">
        <v>39093</v>
      </c>
    </row>
    <row r="323" spans="1:30" ht="15.6" x14ac:dyDescent="0.3">
      <c r="A323" s="55">
        <v>37630</v>
      </c>
      <c r="B323" s="56">
        <v>951</v>
      </c>
      <c r="C323" s="56">
        <v>7270</v>
      </c>
      <c r="D323" s="56">
        <v>527</v>
      </c>
      <c r="E323" s="56">
        <v>2367</v>
      </c>
      <c r="F323" s="56">
        <v>1103</v>
      </c>
      <c r="G323" s="56">
        <v>4067</v>
      </c>
      <c r="H323" s="56">
        <v>526</v>
      </c>
      <c r="I323" s="56">
        <v>2679</v>
      </c>
      <c r="J323" s="56">
        <v>113</v>
      </c>
      <c r="K323" s="56">
        <v>693</v>
      </c>
      <c r="L323" s="56">
        <v>3220</v>
      </c>
      <c r="M323" s="56">
        <v>17076</v>
      </c>
      <c r="N323" s="56">
        <v>5635</v>
      </c>
      <c r="O323" s="56">
        <v>17611</v>
      </c>
      <c r="P323" s="56">
        <v>8278</v>
      </c>
      <c r="Q323" s="56">
        <v>14730</v>
      </c>
      <c r="R323" s="16">
        <f t="shared" si="16"/>
        <v>17133</v>
      </c>
      <c r="S323" s="16">
        <f t="shared" si="17"/>
        <v>49417</v>
      </c>
      <c r="T323" s="13" t="s">
        <v>167</v>
      </c>
      <c r="U323" s="5">
        <v>17133</v>
      </c>
      <c r="V323" s="5">
        <f t="shared" si="21"/>
        <v>20698.25</v>
      </c>
      <c r="W323" s="84">
        <f t="shared" si="22"/>
        <v>45223.75</v>
      </c>
      <c r="X323" s="89">
        <f>N640</f>
        <v>12204</v>
      </c>
      <c r="Y323" s="90">
        <f>P640</f>
        <v>7124</v>
      </c>
      <c r="Z323" s="89">
        <f>L640</f>
        <v>4184</v>
      </c>
      <c r="AA323" s="86">
        <f>O640</f>
        <v>21764</v>
      </c>
      <c r="AB323" s="90">
        <f>Q640</f>
        <v>15096</v>
      </c>
      <c r="AC323" s="73">
        <f>M640</f>
        <v>13807</v>
      </c>
      <c r="AD323" s="94">
        <v>39100</v>
      </c>
    </row>
    <row r="324" spans="1:30" ht="15.6" x14ac:dyDescent="0.3">
      <c r="A324" s="55">
        <v>37994</v>
      </c>
      <c r="B324" s="56">
        <v>3127</v>
      </c>
      <c r="C324" s="56">
        <v>4786</v>
      </c>
      <c r="D324" s="56">
        <v>657</v>
      </c>
      <c r="E324" s="56">
        <v>1893</v>
      </c>
      <c r="F324" s="56">
        <v>1379</v>
      </c>
      <c r="G324" s="56">
        <v>4400</v>
      </c>
      <c r="H324" s="56">
        <v>1043</v>
      </c>
      <c r="I324" s="56">
        <v>2309</v>
      </c>
      <c r="J324" s="56">
        <v>190</v>
      </c>
      <c r="K324" s="56">
        <v>528</v>
      </c>
      <c r="L324" s="56">
        <v>6392</v>
      </c>
      <c r="M324" s="56">
        <v>13914</v>
      </c>
      <c r="N324" s="56">
        <v>8986</v>
      </c>
      <c r="O324" s="56">
        <v>14839</v>
      </c>
      <c r="P324" s="56">
        <v>7447</v>
      </c>
      <c r="Q324" s="56">
        <v>13082</v>
      </c>
      <c r="R324" s="16">
        <f t="shared" si="16"/>
        <v>22825</v>
      </c>
      <c r="S324" s="16">
        <f t="shared" si="17"/>
        <v>41835</v>
      </c>
      <c r="T324" s="13" t="s">
        <v>167</v>
      </c>
      <c r="U324" s="5">
        <v>22825</v>
      </c>
      <c r="V324" s="5">
        <f t="shared" si="21"/>
        <v>20168.25</v>
      </c>
      <c r="W324" s="84">
        <f t="shared" si="22"/>
        <v>44438.75</v>
      </c>
      <c r="X324" s="89">
        <f>N642</f>
        <v>11800</v>
      </c>
      <c r="Y324" s="90">
        <f>P642</f>
        <v>6778</v>
      </c>
      <c r="Z324" s="89">
        <f>L642</f>
        <v>4170</v>
      </c>
      <c r="AA324" s="86">
        <f>O642</f>
        <v>22957</v>
      </c>
      <c r="AB324" s="90">
        <f>Q642</f>
        <v>16120</v>
      </c>
      <c r="AC324" s="73">
        <f>M642</f>
        <v>14382</v>
      </c>
      <c r="AD324" s="94">
        <v>39107</v>
      </c>
    </row>
    <row r="325" spans="1:30" ht="15.6" x14ac:dyDescent="0.3">
      <c r="A325" s="55">
        <v>37637</v>
      </c>
      <c r="B325" s="56">
        <v>1014</v>
      </c>
      <c r="C325" s="56">
        <v>4887</v>
      </c>
      <c r="D325" s="56">
        <v>497</v>
      </c>
      <c r="E325" s="56">
        <v>2004</v>
      </c>
      <c r="F325" s="56">
        <v>1147</v>
      </c>
      <c r="G325" s="56">
        <v>4475</v>
      </c>
      <c r="H325" s="56">
        <v>533</v>
      </c>
      <c r="I325" s="56">
        <v>2341</v>
      </c>
      <c r="J325" s="56">
        <v>116</v>
      </c>
      <c r="K325" s="56">
        <v>536</v>
      </c>
      <c r="L325" s="56">
        <v>3307</v>
      </c>
      <c r="M325" s="56">
        <v>14241</v>
      </c>
      <c r="N325" s="56">
        <v>5596</v>
      </c>
      <c r="O325" s="56">
        <v>15525</v>
      </c>
      <c r="P325" s="56">
        <v>7921</v>
      </c>
      <c r="Q325" s="56">
        <v>14011</v>
      </c>
      <c r="R325" s="16">
        <f t="shared" si="16"/>
        <v>16824</v>
      </c>
      <c r="S325" s="16">
        <f t="shared" si="17"/>
        <v>43777</v>
      </c>
      <c r="T325" s="13" t="s">
        <v>168</v>
      </c>
      <c r="U325" s="5">
        <v>16824</v>
      </c>
      <c r="V325" s="5">
        <f t="shared" si="21"/>
        <v>20060.5</v>
      </c>
      <c r="W325" s="84">
        <f t="shared" si="22"/>
        <v>43593</v>
      </c>
      <c r="X325" s="89">
        <f>N644</f>
        <v>11687</v>
      </c>
      <c r="Y325" s="90">
        <f>P644</f>
        <v>6686</v>
      </c>
      <c r="Z325" s="89">
        <f>L644</f>
        <v>4313</v>
      </c>
      <c r="AA325" s="86">
        <f>O644</f>
        <v>23987</v>
      </c>
      <c r="AB325" s="90">
        <f>Q644</f>
        <v>17016</v>
      </c>
      <c r="AC325" s="73">
        <f>M644</f>
        <v>14971</v>
      </c>
      <c r="AD325" s="94">
        <v>39114</v>
      </c>
    </row>
    <row r="326" spans="1:30" ht="15.6" x14ac:dyDescent="0.3">
      <c r="A326" s="55">
        <v>38001</v>
      </c>
      <c r="B326" s="56">
        <v>3136</v>
      </c>
      <c r="C326" s="56">
        <v>7658</v>
      </c>
      <c r="D326" s="56">
        <v>987</v>
      </c>
      <c r="E326" s="56">
        <v>2395</v>
      </c>
      <c r="F326" s="56">
        <v>1414</v>
      </c>
      <c r="G326" s="56">
        <v>4224</v>
      </c>
      <c r="H326" s="56">
        <v>1092</v>
      </c>
      <c r="I326" s="56">
        <v>2741</v>
      </c>
      <c r="J326" s="56">
        <v>189</v>
      </c>
      <c r="K326" s="56">
        <v>713</v>
      </c>
      <c r="L326" s="56">
        <v>6818</v>
      </c>
      <c r="M326" s="56">
        <v>17732</v>
      </c>
      <c r="N326" s="56">
        <v>9113</v>
      </c>
      <c r="O326" s="56">
        <v>18483</v>
      </c>
      <c r="P326" s="56">
        <v>3536</v>
      </c>
      <c r="Q326" s="56">
        <v>15654</v>
      </c>
      <c r="R326" s="16">
        <f t="shared" si="16"/>
        <v>19467</v>
      </c>
      <c r="S326" s="16">
        <f t="shared" si="17"/>
        <v>51869</v>
      </c>
      <c r="T326" s="13" t="s">
        <v>168</v>
      </c>
      <c r="U326" s="5">
        <v>19467</v>
      </c>
      <c r="V326" s="5">
        <f t="shared" si="21"/>
        <v>19062.25</v>
      </c>
      <c r="W326" s="84">
        <f t="shared" si="22"/>
        <v>46724.5</v>
      </c>
      <c r="X326" s="89">
        <f>N646</f>
        <v>12077</v>
      </c>
      <c r="Y326" s="90">
        <f>P646</f>
        <v>5863</v>
      </c>
      <c r="Z326" s="89">
        <f>L646</f>
        <v>4265</v>
      </c>
      <c r="AA326" s="86">
        <f>O646</f>
        <v>24984</v>
      </c>
      <c r="AB326" s="90">
        <f>Q646</f>
        <v>18220</v>
      </c>
      <c r="AC326" s="73">
        <f>M646</f>
        <v>15380</v>
      </c>
      <c r="AD326" s="94">
        <v>39121</v>
      </c>
    </row>
    <row r="327" spans="1:30" ht="15.6" x14ac:dyDescent="0.3">
      <c r="A327" s="55">
        <v>37644</v>
      </c>
      <c r="B327" s="56">
        <v>1066</v>
      </c>
      <c r="C327" s="56">
        <v>4937</v>
      </c>
      <c r="D327" s="56">
        <v>502</v>
      </c>
      <c r="E327" s="56">
        <v>2031</v>
      </c>
      <c r="F327" s="56">
        <v>1234</v>
      </c>
      <c r="G327" s="56">
        <v>4503</v>
      </c>
      <c r="H327" s="56">
        <v>587</v>
      </c>
      <c r="I327" s="56">
        <v>2346</v>
      </c>
      <c r="J327" s="56">
        <v>107</v>
      </c>
      <c r="K327" s="56">
        <v>557</v>
      </c>
      <c r="L327" s="56">
        <v>3496</v>
      </c>
      <c r="M327" s="56">
        <v>14373</v>
      </c>
      <c r="N327" s="56">
        <v>5219</v>
      </c>
      <c r="O327" s="56">
        <v>16241</v>
      </c>
      <c r="P327" s="56">
        <v>7524</v>
      </c>
      <c r="Q327" s="56">
        <v>15097</v>
      </c>
      <c r="R327" s="16">
        <f t="shared" si="16"/>
        <v>16239</v>
      </c>
      <c r="S327" s="16">
        <f t="shared" si="17"/>
        <v>45711</v>
      </c>
      <c r="T327" s="13" t="s">
        <v>168</v>
      </c>
      <c r="U327" s="5">
        <v>16239</v>
      </c>
      <c r="V327" s="5">
        <f t="shared" si="21"/>
        <v>18838.75</v>
      </c>
      <c r="W327" s="84">
        <f t="shared" si="22"/>
        <v>45798</v>
      </c>
      <c r="X327" s="89">
        <f>N648</f>
        <v>11657</v>
      </c>
      <c r="Y327" s="90">
        <f>P648</f>
        <v>5736</v>
      </c>
      <c r="Z327" s="89">
        <f>L648</f>
        <v>4287</v>
      </c>
      <c r="AA327" s="86">
        <f>O648</f>
        <v>26233</v>
      </c>
      <c r="AB327" s="90">
        <f>Q648</f>
        <v>18959</v>
      </c>
      <c r="AC327" s="73">
        <f>M648</f>
        <v>15809</v>
      </c>
      <c r="AD327" s="94">
        <v>39128</v>
      </c>
    </row>
    <row r="328" spans="1:30" ht="15.6" x14ac:dyDescent="0.3">
      <c r="A328" s="55">
        <v>38008</v>
      </c>
      <c r="B328" s="56">
        <v>2872</v>
      </c>
      <c r="C328" s="56">
        <v>8107</v>
      </c>
      <c r="D328" s="56">
        <v>1102</v>
      </c>
      <c r="E328" s="56">
        <v>2446</v>
      </c>
      <c r="F328" s="56">
        <v>1315</v>
      </c>
      <c r="G328" s="56">
        <v>4374</v>
      </c>
      <c r="H328" s="56">
        <v>1115</v>
      </c>
      <c r="I328" s="56">
        <v>2891</v>
      </c>
      <c r="J328" s="56">
        <v>170</v>
      </c>
      <c r="K328" s="56">
        <v>737</v>
      </c>
      <c r="L328" s="56">
        <v>6574</v>
      </c>
      <c r="M328" s="56">
        <v>18556</v>
      </c>
      <c r="N328" s="56">
        <v>8944</v>
      </c>
      <c r="O328" s="56">
        <v>19427</v>
      </c>
      <c r="P328" s="56">
        <v>5548</v>
      </c>
      <c r="Q328" s="56">
        <v>16513</v>
      </c>
      <c r="R328" s="16">
        <f t="shared" ref="R328:R391" si="23">L328+N328+P328</f>
        <v>21066</v>
      </c>
      <c r="S328" s="16">
        <f t="shared" ref="S328:S391" si="24">M328+O328+Q328</f>
        <v>54496</v>
      </c>
      <c r="T328" s="13" t="s">
        <v>168</v>
      </c>
      <c r="U328" s="5">
        <v>21066</v>
      </c>
      <c r="V328" s="5">
        <f t="shared" si="21"/>
        <v>18399</v>
      </c>
      <c r="W328" s="84">
        <f t="shared" si="22"/>
        <v>48963.25</v>
      </c>
      <c r="X328" s="89">
        <f>N650</f>
        <v>11084</v>
      </c>
      <c r="Y328" s="90">
        <f>P650</f>
        <v>5217</v>
      </c>
      <c r="Z328" s="89">
        <f>L650</f>
        <v>3997</v>
      </c>
      <c r="AA328" s="86">
        <f>O650</f>
        <v>27106</v>
      </c>
      <c r="AB328" s="90">
        <f>Q650</f>
        <v>19886</v>
      </c>
      <c r="AC328" s="73">
        <f>M650</f>
        <v>16421</v>
      </c>
      <c r="AD328" s="94">
        <v>39135</v>
      </c>
    </row>
    <row r="329" spans="1:30" ht="15.6" x14ac:dyDescent="0.3">
      <c r="A329" s="55">
        <v>37651</v>
      </c>
      <c r="B329" s="56">
        <v>1133</v>
      </c>
      <c r="C329" s="56">
        <v>4998</v>
      </c>
      <c r="D329" s="56">
        <v>425</v>
      </c>
      <c r="E329" s="56">
        <v>2137</v>
      </c>
      <c r="F329" s="56">
        <v>1226</v>
      </c>
      <c r="G329" s="56">
        <v>4603</v>
      </c>
      <c r="H329" s="56">
        <v>636</v>
      </c>
      <c r="I329" s="56">
        <v>2378</v>
      </c>
      <c r="J329" s="56">
        <v>111</v>
      </c>
      <c r="K329" s="56">
        <v>557</v>
      </c>
      <c r="L329" s="56">
        <v>3530</v>
      </c>
      <c r="M329" s="56">
        <v>14672</v>
      </c>
      <c r="N329" s="56">
        <v>5267</v>
      </c>
      <c r="O329" s="56">
        <v>16938</v>
      </c>
      <c r="P329" s="56">
        <v>6568</v>
      </c>
      <c r="Q329" s="56">
        <v>16602</v>
      </c>
      <c r="R329" s="16">
        <f t="shared" si="23"/>
        <v>15365</v>
      </c>
      <c r="S329" s="16">
        <f t="shared" si="24"/>
        <v>48212</v>
      </c>
      <c r="T329" s="13" t="s">
        <v>169</v>
      </c>
      <c r="U329" s="5">
        <v>15365</v>
      </c>
      <c r="V329" s="5">
        <f t="shared" si="21"/>
        <v>18034.25</v>
      </c>
      <c r="W329" s="84">
        <f t="shared" si="22"/>
        <v>50072</v>
      </c>
      <c r="X329" s="89">
        <f>N652</f>
        <v>10731</v>
      </c>
      <c r="Y329" s="90">
        <f>P652</f>
        <v>4920</v>
      </c>
      <c r="Z329" s="89">
        <f>L652</f>
        <v>3965</v>
      </c>
      <c r="AA329" s="86">
        <f>O652</f>
        <v>28647</v>
      </c>
      <c r="AB329" s="90">
        <f>Q652</f>
        <v>20749</v>
      </c>
      <c r="AC329" s="73">
        <f>M652</f>
        <v>16875</v>
      </c>
      <c r="AD329" s="94">
        <v>39142</v>
      </c>
    </row>
    <row r="330" spans="1:30" ht="15.6" x14ac:dyDescent="0.3">
      <c r="A330" s="55">
        <v>38015</v>
      </c>
      <c r="B330" s="56">
        <v>2812</v>
      </c>
      <c r="C330" s="56">
        <v>8402</v>
      </c>
      <c r="D330" s="56">
        <v>1102</v>
      </c>
      <c r="E330" s="56">
        <v>2480</v>
      </c>
      <c r="F330" s="56">
        <v>1301</v>
      </c>
      <c r="G330" s="56">
        <v>4500</v>
      </c>
      <c r="H330" s="56">
        <v>1166</v>
      </c>
      <c r="I330" s="56">
        <v>3002</v>
      </c>
      <c r="J330" s="56">
        <v>170</v>
      </c>
      <c r="K330" s="56">
        <v>742</v>
      </c>
      <c r="L330" s="56">
        <v>6550</v>
      </c>
      <c r="M330" s="56">
        <v>19126</v>
      </c>
      <c r="N330" s="56">
        <v>9043</v>
      </c>
      <c r="O330" s="56">
        <v>20315</v>
      </c>
      <c r="P330" s="56">
        <v>5115</v>
      </c>
      <c r="Q330" s="56">
        <v>17314</v>
      </c>
      <c r="R330" s="16">
        <f t="shared" si="23"/>
        <v>20708</v>
      </c>
      <c r="S330" s="16">
        <f t="shared" si="24"/>
        <v>56755</v>
      </c>
      <c r="T330" s="13" t="s">
        <v>169</v>
      </c>
      <c r="U330" s="5">
        <v>20708</v>
      </c>
      <c r="V330" s="5">
        <f t="shared" si="21"/>
        <v>18344.5</v>
      </c>
      <c r="W330" s="84">
        <f t="shared" si="22"/>
        <v>51293.5</v>
      </c>
      <c r="X330" s="89">
        <f>N654</f>
        <v>10330</v>
      </c>
      <c r="Y330" s="90">
        <f>P654</f>
        <v>4587</v>
      </c>
      <c r="Z330" s="89">
        <f>L654</f>
        <v>3865</v>
      </c>
      <c r="AA330" s="86">
        <f>O654</f>
        <v>29682</v>
      </c>
      <c r="AB330" s="90">
        <f>Q654</f>
        <v>21533</v>
      </c>
      <c r="AC330" s="73">
        <f>M654</f>
        <v>17418</v>
      </c>
      <c r="AD330" s="94">
        <v>39149</v>
      </c>
    </row>
    <row r="331" spans="1:30" ht="15.6" x14ac:dyDescent="0.3">
      <c r="A331" s="55">
        <v>37658</v>
      </c>
      <c r="B331" s="56">
        <v>1131</v>
      </c>
      <c r="C331" s="56">
        <v>5177</v>
      </c>
      <c r="D331" s="56">
        <v>493</v>
      </c>
      <c r="E331" s="56">
        <v>2150</v>
      </c>
      <c r="F331" s="56">
        <v>1123</v>
      </c>
      <c r="G331" s="56">
        <v>4742</v>
      </c>
      <c r="H331" s="56">
        <v>597</v>
      </c>
      <c r="I331" s="56">
        <v>2491</v>
      </c>
      <c r="J331" s="56">
        <v>95</v>
      </c>
      <c r="K331" s="56">
        <v>559</v>
      </c>
      <c r="L331" s="56">
        <v>3438</v>
      </c>
      <c r="M331" s="56">
        <v>15119</v>
      </c>
      <c r="N331" s="56">
        <v>5029</v>
      </c>
      <c r="O331" s="56">
        <v>17793</v>
      </c>
      <c r="P331" s="56">
        <v>6089</v>
      </c>
      <c r="Q331" s="56">
        <v>17519</v>
      </c>
      <c r="R331" s="16">
        <f t="shared" si="23"/>
        <v>14556</v>
      </c>
      <c r="S331" s="16">
        <f t="shared" si="24"/>
        <v>50431</v>
      </c>
      <c r="T331" s="13" t="s">
        <v>169</v>
      </c>
      <c r="U331" s="5">
        <v>14556</v>
      </c>
      <c r="V331" s="5">
        <f t="shared" si="21"/>
        <v>17923.75</v>
      </c>
      <c r="W331" s="84">
        <f t="shared" si="22"/>
        <v>52473.5</v>
      </c>
      <c r="X331" s="89">
        <f>N656</f>
        <v>10066</v>
      </c>
      <c r="Y331" s="90">
        <f>P656</f>
        <v>4602</v>
      </c>
      <c r="Z331" s="89">
        <f>L656</f>
        <v>3913</v>
      </c>
      <c r="AA331" s="86">
        <f>O656</f>
        <v>30587</v>
      </c>
      <c r="AB331" s="90">
        <f>Q656</f>
        <v>22033</v>
      </c>
      <c r="AC331" s="73">
        <f>M656</f>
        <v>17845</v>
      </c>
      <c r="AD331" s="94">
        <v>39156</v>
      </c>
    </row>
    <row r="332" spans="1:30" ht="15.6" x14ac:dyDescent="0.3">
      <c r="A332" s="55">
        <v>38022</v>
      </c>
      <c r="B332" s="56">
        <v>2668</v>
      </c>
      <c r="C332" s="56">
        <v>8686</v>
      </c>
      <c r="D332" s="56">
        <v>1072</v>
      </c>
      <c r="E332" s="56">
        <v>2536</v>
      </c>
      <c r="F332" s="56">
        <v>1217</v>
      </c>
      <c r="G332" s="56">
        <v>4642</v>
      </c>
      <c r="H332" s="56">
        <v>988</v>
      </c>
      <c r="I332" s="56">
        <v>3264</v>
      </c>
      <c r="J332" s="56">
        <v>198</v>
      </c>
      <c r="K332" s="56">
        <v>742</v>
      </c>
      <c r="L332" s="56">
        <v>6146</v>
      </c>
      <c r="M332" s="56">
        <v>19870</v>
      </c>
      <c r="N332" s="56">
        <v>9441</v>
      </c>
      <c r="O332" s="56">
        <v>21092</v>
      </c>
      <c r="P332" s="56">
        <v>4686</v>
      </c>
      <c r="Q332" s="56">
        <v>17889</v>
      </c>
      <c r="R332" s="16">
        <f t="shared" si="23"/>
        <v>20273</v>
      </c>
      <c r="S332" s="16">
        <f t="shared" si="24"/>
        <v>58851</v>
      </c>
      <c r="T332" s="13" t="s">
        <v>169</v>
      </c>
      <c r="U332" s="5">
        <v>20273</v>
      </c>
      <c r="V332" s="5">
        <f t="shared" si="21"/>
        <v>17725.5</v>
      </c>
      <c r="W332" s="84">
        <f t="shared" si="22"/>
        <v>53562.25</v>
      </c>
      <c r="X332" s="89">
        <f>N658</f>
        <v>10043</v>
      </c>
      <c r="Y332" s="90">
        <f>P658</f>
        <v>4316</v>
      </c>
      <c r="Z332" s="89">
        <f>L658</f>
        <v>4064</v>
      </c>
      <c r="AA332" s="86">
        <f>O658</f>
        <v>31734</v>
      </c>
      <c r="AB332" s="90">
        <f>Q658</f>
        <v>22590</v>
      </c>
      <c r="AC332" s="73">
        <f>M658</f>
        <v>18223</v>
      </c>
      <c r="AD332" s="94">
        <v>39163</v>
      </c>
    </row>
    <row r="333" spans="1:30" ht="15.6" x14ac:dyDescent="0.3">
      <c r="A333" s="55">
        <v>37665</v>
      </c>
      <c r="B333" s="56">
        <v>1134</v>
      </c>
      <c r="C333" s="56">
        <v>5294</v>
      </c>
      <c r="D333" s="56">
        <v>445</v>
      </c>
      <c r="E333" s="56">
        <v>2194</v>
      </c>
      <c r="F333" s="56">
        <v>1157</v>
      </c>
      <c r="G333" s="56">
        <v>4807</v>
      </c>
      <c r="H333" s="56">
        <v>616</v>
      </c>
      <c r="I333" s="56">
        <v>2545</v>
      </c>
      <c r="J333" s="56">
        <v>128</v>
      </c>
      <c r="K333" s="56">
        <v>559</v>
      </c>
      <c r="L333" s="56">
        <v>3481</v>
      </c>
      <c r="M333" s="56">
        <v>15400</v>
      </c>
      <c r="N333" s="56">
        <v>4827</v>
      </c>
      <c r="O333" s="56">
        <v>18443</v>
      </c>
      <c r="P333" s="56">
        <v>5068</v>
      </c>
      <c r="Q333" s="56">
        <v>18936</v>
      </c>
      <c r="R333" s="16">
        <f t="shared" si="23"/>
        <v>13376</v>
      </c>
      <c r="S333" s="16">
        <f t="shared" si="24"/>
        <v>52779</v>
      </c>
      <c r="T333" s="13" t="s">
        <v>169</v>
      </c>
      <c r="U333" s="5">
        <v>13376</v>
      </c>
      <c r="V333" s="5">
        <f t="shared" si="21"/>
        <v>17228.25</v>
      </c>
      <c r="W333" s="84">
        <f t="shared" si="22"/>
        <v>54704</v>
      </c>
      <c r="X333" s="89">
        <f>N660</f>
        <v>9656</v>
      </c>
      <c r="Y333" s="90">
        <f>P660</f>
        <v>3789</v>
      </c>
      <c r="Z333" s="89">
        <f>L660</f>
        <v>3884</v>
      </c>
      <c r="AA333" s="86">
        <f>O660</f>
        <v>32670</v>
      </c>
      <c r="AB333" s="90">
        <f>Q660</f>
        <v>23375</v>
      </c>
      <c r="AC333" s="73">
        <f>M660</f>
        <v>18617</v>
      </c>
      <c r="AD333" s="94">
        <v>39170</v>
      </c>
    </row>
    <row r="334" spans="1:30" ht="15.6" x14ac:dyDescent="0.3">
      <c r="A334" s="55">
        <v>38029</v>
      </c>
      <c r="B334" s="56">
        <v>2514</v>
      </c>
      <c r="C334" s="56">
        <v>8980</v>
      </c>
      <c r="D334" s="56">
        <v>1023</v>
      </c>
      <c r="E334" s="56">
        <v>2629</v>
      </c>
      <c r="F334" s="56">
        <v>1183</v>
      </c>
      <c r="G334" s="56">
        <v>4732</v>
      </c>
      <c r="H334" s="56">
        <v>892</v>
      </c>
      <c r="I334" s="56">
        <v>3436</v>
      </c>
      <c r="J334" s="56">
        <v>201</v>
      </c>
      <c r="K334" s="56">
        <v>762</v>
      </c>
      <c r="L334" s="56">
        <v>5813</v>
      </c>
      <c r="M334" s="56">
        <v>20540</v>
      </c>
      <c r="N334" s="56">
        <v>9522</v>
      </c>
      <c r="O334" s="56">
        <v>21936</v>
      </c>
      <c r="P334" s="56">
        <v>4265</v>
      </c>
      <c r="Q334" s="56">
        <v>18524</v>
      </c>
      <c r="R334" s="16">
        <f t="shared" si="23"/>
        <v>19600</v>
      </c>
      <c r="S334" s="16">
        <f t="shared" si="24"/>
        <v>61000</v>
      </c>
      <c r="T334" s="13" t="s">
        <v>170</v>
      </c>
      <c r="U334" s="5">
        <v>19600</v>
      </c>
      <c r="V334" s="5">
        <f t="shared" si="21"/>
        <v>16951.25</v>
      </c>
      <c r="W334" s="84">
        <f t="shared" si="22"/>
        <v>55765.25</v>
      </c>
      <c r="X334" s="89">
        <f>N662</f>
        <v>10247</v>
      </c>
      <c r="Y334" s="90">
        <f>P662</f>
        <v>3394</v>
      </c>
      <c r="Z334" s="89">
        <f>L662</f>
        <v>4193</v>
      </c>
      <c r="AA334" s="86">
        <f>O662</f>
        <v>33405</v>
      </c>
      <c r="AB334" s="90">
        <f>Q662</f>
        <v>23908</v>
      </c>
      <c r="AC334" s="73">
        <f>M662</f>
        <v>19001</v>
      </c>
      <c r="AD334" s="94">
        <v>39177</v>
      </c>
    </row>
    <row r="335" spans="1:30" ht="15.6" x14ac:dyDescent="0.3">
      <c r="A335" s="55">
        <v>37672</v>
      </c>
      <c r="B335" s="56">
        <v>1086</v>
      </c>
      <c r="C335" s="56">
        <v>5359</v>
      </c>
      <c r="D335" s="56">
        <v>421</v>
      </c>
      <c r="E335" s="56">
        <v>2243</v>
      </c>
      <c r="F335" s="56">
        <v>1207</v>
      </c>
      <c r="G335" s="56">
        <v>4841</v>
      </c>
      <c r="H335" s="56">
        <v>604</v>
      </c>
      <c r="I335" s="56">
        <v>2576</v>
      </c>
      <c r="J335" s="56">
        <v>150</v>
      </c>
      <c r="K335" s="56">
        <v>559</v>
      </c>
      <c r="L335" s="56">
        <v>3468</v>
      </c>
      <c r="M335" s="56">
        <v>15579</v>
      </c>
      <c r="N335" s="56">
        <v>4775</v>
      </c>
      <c r="O335" s="56">
        <v>19183</v>
      </c>
      <c r="P335" s="56">
        <v>4445</v>
      </c>
      <c r="Q335" s="56">
        <v>19861</v>
      </c>
      <c r="R335" s="16">
        <f t="shared" si="23"/>
        <v>12688</v>
      </c>
      <c r="S335" s="16">
        <f t="shared" si="24"/>
        <v>54623</v>
      </c>
      <c r="T335" s="13" t="s">
        <v>170</v>
      </c>
      <c r="U335" s="5">
        <v>12688</v>
      </c>
      <c r="V335" s="5">
        <f t="shared" si="21"/>
        <v>16484.25</v>
      </c>
      <c r="W335" s="84">
        <f t="shared" si="22"/>
        <v>56813.25</v>
      </c>
      <c r="X335" s="89">
        <f>N664</f>
        <v>10152</v>
      </c>
      <c r="Y335" s="90">
        <f>P664</f>
        <v>3201</v>
      </c>
      <c r="Z335" s="89">
        <f>L664</f>
        <v>3842</v>
      </c>
      <c r="AA335" s="86">
        <f>O664</f>
        <v>34302</v>
      </c>
      <c r="AB335" s="90">
        <f>Q664</f>
        <v>24385</v>
      </c>
      <c r="AC335" s="73">
        <f>M664</f>
        <v>19695</v>
      </c>
      <c r="AD335" s="94">
        <v>39184</v>
      </c>
    </row>
    <row r="336" spans="1:30" ht="15.6" x14ac:dyDescent="0.3">
      <c r="A336" s="55">
        <v>38036</v>
      </c>
      <c r="B336" s="56">
        <v>2351</v>
      </c>
      <c r="C336" s="56">
        <v>9185</v>
      </c>
      <c r="D336" s="56">
        <v>1003</v>
      </c>
      <c r="E336" s="56">
        <v>2700</v>
      </c>
      <c r="F336" s="56">
        <v>1266</v>
      </c>
      <c r="G336" s="56">
        <v>4792</v>
      </c>
      <c r="H336" s="56">
        <v>1044</v>
      </c>
      <c r="I336" s="56">
        <v>3458</v>
      </c>
      <c r="J336" s="56">
        <v>203</v>
      </c>
      <c r="K336" s="56">
        <v>765</v>
      </c>
      <c r="L336" s="56">
        <v>5867</v>
      </c>
      <c r="M336" s="56">
        <v>20901</v>
      </c>
      <c r="N336" s="56">
        <v>9512</v>
      </c>
      <c r="O336" s="56">
        <v>22933</v>
      </c>
      <c r="P336" s="56">
        <v>3673</v>
      </c>
      <c r="Q336" s="56">
        <v>19111</v>
      </c>
      <c r="R336" s="16">
        <f t="shared" si="23"/>
        <v>19052</v>
      </c>
      <c r="S336" s="16">
        <f t="shared" si="24"/>
        <v>62945</v>
      </c>
      <c r="T336" s="13" t="s">
        <v>170</v>
      </c>
      <c r="U336" s="5">
        <v>19052</v>
      </c>
      <c r="V336" s="5">
        <f t="shared" si="21"/>
        <v>16179</v>
      </c>
      <c r="W336" s="84">
        <f t="shared" si="22"/>
        <v>57836.75</v>
      </c>
      <c r="X336" s="89">
        <f>N666</f>
        <v>10350</v>
      </c>
      <c r="Y336" s="90">
        <f>P666</f>
        <v>3169</v>
      </c>
      <c r="Z336" s="89">
        <f>L666</f>
        <v>3771</v>
      </c>
      <c r="AA336" s="86">
        <f>O666</f>
        <v>35210</v>
      </c>
      <c r="AB336" s="90">
        <f>Q666</f>
        <v>24839</v>
      </c>
      <c r="AC336" s="73">
        <f>M666</f>
        <v>20044</v>
      </c>
      <c r="AD336" s="94">
        <v>39191</v>
      </c>
    </row>
    <row r="337" spans="1:30" ht="15.6" x14ac:dyDescent="0.3">
      <c r="A337" s="55">
        <v>37679</v>
      </c>
      <c r="B337" s="56">
        <v>1003</v>
      </c>
      <c r="C337" s="56">
        <v>5486</v>
      </c>
      <c r="D337" s="56">
        <v>408</v>
      </c>
      <c r="E337" s="56">
        <v>2261</v>
      </c>
      <c r="F337" s="56">
        <v>1186</v>
      </c>
      <c r="G337" s="56">
        <v>4914</v>
      </c>
      <c r="H337" s="56">
        <v>525</v>
      </c>
      <c r="I337" s="56">
        <v>2693</v>
      </c>
      <c r="J337" s="56">
        <v>150</v>
      </c>
      <c r="K337" s="56">
        <v>560</v>
      </c>
      <c r="L337" s="56">
        <v>3272</v>
      </c>
      <c r="M337" s="56">
        <v>15914</v>
      </c>
      <c r="N337" s="56">
        <v>5465</v>
      </c>
      <c r="O337" s="56">
        <v>19904</v>
      </c>
      <c r="P337" s="56">
        <v>4445</v>
      </c>
      <c r="Q337" s="56">
        <v>19861</v>
      </c>
      <c r="R337" s="16">
        <f t="shared" si="23"/>
        <v>13182</v>
      </c>
      <c r="S337" s="16">
        <f t="shared" si="24"/>
        <v>55679</v>
      </c>
      <c r="T337" s="13" t="s">
        <v>170</v>
      </c>
      <c r="U337" s="5">
        <v>13182</v>
      </c>
      <c r="V337" s="5">
        <f t="shared" si="21"/>
        <v>16130.5</v>
      </c>
      <c r="W337" s="84">
        <f t="shared" si="22"/>
        <v>58561.75</v>
      </c>
      <c r="X337" s="89">
        <f>N668</f>
        <v>9880</v>
      </c>
      <c r="Y337" s="90">
        <f>P668</f>
        <v>2667</v>
      </c>
      <c r="Z337" s="89">
        <f>L668</f>
        <v>3478</v>
      </c>
      <c r="AA337" s="86">
        <f>O668</f>
        <v>36296</v>
      </c>
      <c r="AB337" s="90">
        <f>Q668</f>
        <v>25270</v>
      </c>
      <c r="AC337" s="73">
        <f>M668</f>
        <v>20490</v>
      </c>
      <c r="AD337" s="94">
        <v>39198</v>
      </c>
    </row>
    <row r="338" spans="1:30" ht="15.6" x14ac:dyDescent="0.3">
      <c r="A338" s="55">
        <v>38043</v>
      </c>
      <c r="B338" s="56">
        <v>2252</v>
      </c>
      <c r="C338" s="56">
        <v>9475</v>
      </c>
      <c r="D338" s="56">
        <v>961</v>
      </c>
      <c r="E338" s="56">
        <v>2786</v>
      </c>
      <c r="F338" s="56">
        <v>1386</v>
      </c>
      <c r="G338" s="56">
        <v>4897</v>
      </c>
      <c r="H338" s="56">
        <v>902</v>
      </c>
      <c r="I338" s="56">
        <v>3701</v>
      </c>
      <c r="J338" s="56">
        <v>173</v>
      </c>
      <c r="K338" s="56">
        <v>799</v>
      </c>
      <c r="L338" s="56">
        <v>5673</v>
      </c>
      <c r="M338" s="56">
        <v>21658</v>
      </c>
      <c r="N338" s="56">
        <v>9094</v>
      </c>
      <c r="O338" s="56">
        <v>23745</v>
      </c>
      <c r="P338" s="56">
        <v>3673</v>
      </c>
      <c r="Q338" s="56">
        <v>19111</v>
      </c>
      <c r="R338" s="16">
        <f t="shared" si="23"/>
        <v>18440</v>
      </c>
      <c r="S338" s="16">
        <f t="shared" si="24"/>
        <v>64514</v>
      </c>
      <c r="T338" s="13" t="s">
        <v>171</v>
      </c>
      <c r="U338" s="5">
        <v>18440</v>
      </c>
      <c r="V338" s="5">
        <f t="shared" si="21"/>
        <v>15840.5</v>
      </c>
      <c r="W338" s="84">
        <f t="shared" ref="W338:W372" si="25">AVERAGE(S335:S338)</f>
        <v>59440.25</v>
      </c>
      <c r="X338" s="89">
        <f>N670</f>
        <v>9468</v>
      </c>
      <c r="Y338" s="90">
        <f>P670</f>
        <v>2475</v>
      </c>
      <c r="Z338" s="89">
        <f>L670</f>
        <v>3226</v>
      </c>
      <c r="AA338" s="86">
        <f>O670</f>
        <v>37232</v>
      </c>
      <c r="AB338" s="90">
        <f>Q670</f>
        <v>25666</v>
      </c>
      <c r="AC338" s="73">
        <f>M670</f>
        <v>20927</v>
      </c>
      <c r="AD338" s="94">
        <v>39205</v>
      </c>
    </row>
    <row r="339" spans="1:30" ht="15.6" x14ac:dyDescent="0.3">
      <c r="A339" s="55">
        <v>37686</v>
      </c>
      <c r="B339" s="56">
        <v>964</v>
      </c>
      <c r="C339" s="56">
        <v>5597</v>
      </c>
      <c r="D339" s="56">
        <v>371</v>
      </c>
      <c r="E339" s="56">
        <v>2315</v>
      </c>
      <c r="F339" s="56">
        <v>1115</v>
      </c>
      <c r="G339" s="56">
        <v>5084</v>
      </c>
      <c r="H339" s="56">
        <v>553</v>
      </c>
      <c r="I339" s="56">
        <v>2756</v>
      </c>
      <c r="J339" s="56">
        <v>144</v>
      </c>
      <c r="K339" s="56">
        <v>570</v>
      </c>
      <c r="L339" s="56">
        <v>3146</v>
      </c>
      <c r="M339" s="56">
        <v>16321</v>
      </c>
      <c r="N339" s="56">
        <v>5631</v>
      </c>
      <c r="O339" s="56">
        <v>20444</v>
      </c>
      <c r="P339" s="56">
        <v>3590</v>
      </c>
      <c r="Q339" s="56">
        <v>21689</v>
      </c>
      <c r="R339" s="16">
        <f t="shared" si="23"/>
        <v>12367</v>
      </c>
      <c r="S339" s="16">
        <f t="shared" si="24"/>
        <v>58454</v>
      </c>
      <c r="T339" s="13" t="s">
        <v>171</v>
      </c>
      <c r="U339" s="5">
        <v>12367</v>
      </c>
      <c r="V339" s="5">
        <f t="shared" si="21"/>
        <v>15760.25</v>
      </c>
      <c r="W339" s="84">
        <f t="shared" si="25"/>
        <v>60398</v>
      </c>
      <c r="X339" s="89">
        <f>N672</f>
        <v>9835</v>
      </c>
      <c r="Y339" s="90">
        <f>P672</f>
        <v>2454</v>
      </c>
      <c r="Z339" s="89">
        <f>L672</f>
        <v>2716</v>
      </c>
      <c r="AA339" s="86">
        <f>O672</f>
        <v>38309</v>
      </c>
      <c r="AB339" s="90">
        <f>Q672</f>
        <v>25910</v>
      </c>
      <c r="AC339" s="73">
        <f>M672</f>
        <v>21494</v>
      </c>
      <c r="AD339" s="94">
        <v>39212</v>
      </c>
    </row>
    <row r="340" spans="1:30" ht="15.6" x14ac:dyDescent="0.3">
      <c r="A340" s="55">
        <v>38050</v>
      </c>
      <c r="B340" s="56">
        <v>2234</v>
      </c>
      <c r="C340" s="56">
        <v>9720</v>
      </c>
      <c r="D340" s="56">
        <v>911</v>
      </c>
      <c r="E340" s="56">
        <v>2876</v>
      </c>
      <c r="F340" s="56">
        <v>1422</v>
      </c>
      <c r="G340" s="56">
        <v>5005</v>
      </c>
      <c r="H340" s="56">
        <v>1001</v>
      </c>
      <c r="I340" s="56">
        <v>3782</v>
      </c>
      <c r="J340" s="56">
        <v>146</v>
      </c>
      <c r="K340" s="56">
        <v>823</v>
      </c>
      <c r="L340" s="56">
        <v>5715</v>
      </c>
      <c r="M340" s="56">
        <v>22205</v>
      </c>
      <c r="N340" s="56">
        <v>8330</v>
      </c>
      <c r="O340" s="56">
        <v>25060</v>
      </c>
      <c r="P340" s="56">
        <v>2820</v>
      </c>
      <c r="Q340" s="56">
        <v>20196</v>
      </c>
      <c r="R340" s="16">
        <f t="shared" si="23"/>
        <v>16865</v>
      </c>
      <c r="S340" s="79">
        <f t="shared" si="24"/>
        <v>67461</v>
      </c>
      <c r="T340" s="13" t="s">
        <v>171</v>
      </c>
      <c r="U340" s="5">
        <v>16865</v>
      </c>
      <c r="V340" s="5">
        <f t="shared" si="21"/>
        <v>15213.5</v>
      </c>
      <c r="W340" s="84">
        <f t="shared" si="25"/>
        <v>61527</v>
      </c>
      <c r="X340" s="89">
        <f>N674</f>
        <v>9682</v>
      </c>
      <c r="Y340" s="90">
        <f>P674</f>
        <v>2207</v>
      </c>
      <c r="Z340" s="89">
        <f>L674</f>
        <v>2048</v>
      </c>
      <c r="AA340" s="86">
        <f>O674</f>
        <v>39119</v>
      </c>
      <c r="AB340" s="90">
        <f>Q674</f>
        <v>26240</v>
      </c>
      <c r="AC340" s="73">
        <f>M674</f>
        <v>22025</v>
      </c>
      <c r="AD340" s="94">
        <v>39219</v>
      </c>
    </row>
    <row r="341" spans="1:30" ht="15.6" x14ac:dyDescent="0.3">
      <c r="A341" s="55">
        <v>37693</v>
      </c>
      <c r="B341" s="56">
        <v>1074</v>
      </c>
      <c r="C341" s="56">
        <v>5660</v>
      </c>
      <c r="D341" s="56">
        <v>360</v>
      </c>
      <c r="E341" s="56">
        <v>2353</v>
      </c>
      <c r="F341" s="56">
        <v>1163</v>
      </c>
      <c r="G341" s="56">
        <v>5198</v>
      </c>
      <c r="H341" s="56">
        <v>500</v>
      </c>
      <c r="I341" s="56">
        <v>2850</v>
      </c>
      <c r="J341" s="56">
        <v>128</v>
      </c>
      <c r="K341" s="56">
        <v>601</v>
      </c>
      <c r="L341" s="56">
        <v>3224</v>
      </c>
      <c r="M341" s="56">
        <v>16601</v>
      </c>
      <c r="N341" s="56">
        <v>6013</v>
      </c>
      <c r="O341" s="56">
        <v>21231</v>
      </c>
      <c r="P341" s="56">
        <v>3371</v>
      </c>
      <c r="Q341" s="56">
        <v>22246</v>
      </c>
      <c r="R341" s="16">
        <f t="shared" si="23"/>
        <v>12608</v>
      </c>
      <c r="S341" s="79">
        <f t="shared" si="24"/>
        <v>60078</v>
      </c>
      <c r="T341" s="13" t="s">
        <v>171</v>
      </c>
      <c r="U341" s="5">
        <v>12608</v>
      </c>
      <c r="V341" s="5">
        <f t="shared" si="21"/>
        <v>15070</v>
      </c>
      <c r="W341" s="84">
        <f t="shared" si="25"/>
        <v>62626.75</v>
      </c>
      <c r="X341" s="89">
        <f>N676</f>
        <v>9268</v>
      </c>
      <c r="Y341" s="90">
        <f>P676</f>
        <v>2332</v>
      </c>
      <c r="Z341" s="89">
        <f>L676</f>
        <v>1419</v>
      </c>
      <c r="AA341" s="86">
        <f>O676</f>
        <v>40209</v>
      </c>
      <c r="AB341" s="90">
        <f>Q676</f>
        <v>26461</v>
      </c>
      <c r="AC341" s="73">
        <f>M676</f>
        <v>22406</v>
      </c>
      <c r="AD341" s="94">
        <v>39226</v>
      </c>
    </row>
    <row r="342" spans="1:30" ht="15.6" x14ac:dyDescent="0.3">
      <c r="A342" s="55">
        <v>38057</v>
      </c>
      <c r="B342" s="56">
        <v>2191</v>
      </c>
      <c r="C342" s="56">
        <v>9997</v>
      </c>
      <c r="D342" s="56">
        <v>837</v>
      </c>
      <c r="E342" s="56">
        <v>2970</v>
      </c>
      <c r="F342" s="56">
        <v>1309</v>
      </c>
      <c r="G342" s="56">
        <v>5225</v>
      </c>
      <c r="H342" s="56">
        <v>909</v>
      </c>
      <c r="I342" s="56">
        <v>3928</v>
      </c>
      <c r="J342" s="56">
        <v>142</v>
      </c>
      <c r="K342" s="56">
        <v>833</v>
      </c>
      <c r="L342" s="56">
        <v>5388</v>
      </c>
      <c r="M342" s="56">
        <v>22952</v>
      </c>
      <c r="N342" s="56">
        <v>8707</v>
      </c>
      <c r="O342" s="56">
        <v>25998</v>
      </c>
      <c r="P342" s="56">
        <v>2525</v>
      </c>
      <c r="Q342" s="56">
        <v>20538</v>
      </c>
      <c r="R342" s="16">
        <f t="shared" si="23"/>
        <v>16620</v>
      </c>
      <c r="S342" s="79">
        <f t="shared" si="24"/>
        <v>69488</v>
      </c>
      <c r="T342" s="13" t="s">
        <v>171</v>
      </c>
      <c r="U342" s="5">
        <v>16620</v>
      </c>
      <c r="V342" s="5">
        <f t="shared" si="21"/>
        <v>14615</v>
      </c>
      <c r="W342" s="84">
        <f t="shared" si="25"/>
        <v>63870.25</v>
      </c>
      <c r="X342" s="89">
        <f>N678</f>
        <v>8642</v>
      </c>
      <c r="Y342" s="90">
        <f>P678</f>
        <v>2392</v>
      </c>
      <c r="Z342" s="89">
        <f>L678</f>
        <v>886</v>
      </c>
      <c r="AA342" s="86">
        <f>O678</f>
        <v>41211</v>
      </c>
      <c r="AB342" s="90">
        <f>Q678</f>
        <v>26601</v>
      </c>
      <c r="AC342" s="73">
        <f>M678</f>
        <v>22902</v>
      </c>
      <c r="AD342" s="94">
        <v>39233</v>
      </c>
    </row>
    <row r="343" spans="1:30" ht="15.6" x14ac:dyDescent="0.3">
      <c r="A343" s="55">
        <v>37700</v>
      </c>
      <c r="B343" s="56">
        <v>1085</v>
      </c>
      <c r="C343" s="56">
        <v>5765</v>
      </c>
      <c r="D343" s="56">
        <v>369</v>
      </c>
      <c r="E343" s="56">
        <v>2387</v>
      </c>
      <c r="F343" s="56">
        <v>1186</v>
      </c>
      <c r="G343" s="56">
        <v>5280</v>
      </c>
      <c r="H343" s="56">
        <v>557</v>
      </c>
      <c r="I343" s="56">
        <v>2921</v>
      </c>
      <c r="J343" s="56">
        <v>107</v>
      </c>
      <c r="K343" s="56">
        <v>601</v>
      </c>
      <c r="L343" s="56">
        <v>3304</v>
      </c>
      <c r="M343" s="56">
        <v>16955</v>
      </c>
      <c r="N343" s="56">
        <v>6066</v>
      </c>
      <c r="O343" s="56">
        <v>21880</v>
      </c>
      <c r="P343" s="56">
        <v>3024</v>
      </c>
      <c r="Q343" s="56">
        <v>22921</v>
      </c>
      <c r="R343" s="16">
        <f t="shared" si="23"/>
        <v>12394</v>
      </c>
      <c r="S343" s="79">
        <f t="shared" si="24"/>
        <v>61756</v>
      </c>
      <c r="T343" s="13" t="s">
        <v>185</v>
      </c>
      <c r="U343" s="5">
        <v>12394</v>
      </c>
      <c r="V343" s="5">
        <f t="shared" si="21"/>
        <v>14621.75</v>
      </c>
      <c r="W343" s="84">
        <f t="shared" si="25"/>
        <v>64695.75</v>
      </c>
      <c r="X343" s="89">
        <f>N680</f>
        <v>8343</v>
      </c>
      <c r="Y343" s="90">
        <f>P680</f>
        <v>2262</v>
      </c>
      <c r="Z343" s="89">
        <f>L680</f>
        <v>4476</v>
      </c>
      <c r="AA343" s="86">
        <f>O680</f>
        <v>42042</v>
      </c>
      <c r="AB343" s="90">
        <f>Q680</f>
        <v>26952</v>
      </c>
      <c r="AC343" s="73">
        <f>M680</f>
        <v>268</v>
      </c>
      <c r="AD343" s="95">
        <v>39240</v>
      </c>
    </row>
    <row r="344" spans="1:30" ht="15.6" x14ac:dyDescent="0.3">
      <c r="A344" s="55">
        <v>38064</v>
      </c>
      <c r="B344" s="56">
        <v>2255</v>
      </c>
      <c r="C344" s="56">
        <v>10229</v>
      </c>
      <c r="D344" s="56">
        <v>872</v>
      </c>
      <c r="E344" s="56">
        <v>3032</v>
      </c>
      <c r="F344" s="56">
        <v>1334</v>
      </c>
      <c r="G344" s="56">
        <v>5288</v>
      </c>
      <c r="H344" s="56">
        <v>985</v>
      </c>
      <c r="I344" s="56">
        <v>4035</v>
      </c>
      <c r="J344" s="56">
        <v>158</v>
      </c>
      <c r="K344" s="56">
        <v>843</v>
      </c>
      <c r="L344" s="56">
        <v>5603</v>
      </c>
      <c r="M344" s="56">
        <v>23427</v>
      </c>
      <c r="N344" s="56">
        <v>8829</v>
      </c>
      <c r="O344" s="56">
        <v>27065</v>
      </c>
      <c r="P344" s="56">
        <v>2247</v>
      </c>
      <c r="Q344" s="56">
        <v>21026</v>
      </c>
      <c r="R344" s="16">
        <f t="shared" si="23"/>
        <v>16679</v>
      </c>
      <c r="S344" s="16">
        <f t="shared" si="24"/>
        <v>71518</v>
      </c>
      <c r="T344" s="13" t="s">
        <v>185</v>
      </c>
      <c r="U344" s="5">
        <v>16679</v>
      </c>
      <c r="V344" s="5">
        <f t="shared" si="21"/>
        <v>14575.25</v>
      </c>
      <c r="W344" s="84">
        <f t="shared" si="25"/>
        <v>65710</v>
      </c>
      <c r="X344" s="89">
        <f>N682</f>
        <v>8274</v>
      </c>
      <c r="Y344" s="90">
        <f>P682</f>
        <v>2454</v>
      </c>
      <c r="Z344" s="89">
        <f>L682</f>
        <v>4646</v>
      </c>
      <c r="AA344" s="86">
        <f>O682</f>
        <v>42933</v>
      </c>
      <c r="AB344" s="90">
        <f>Q682</f>
        <v>27119</v>
      </c>
      <c r="AC344" s="73">
        <f>M682</f>
        <v>639</v>
      </c>
      <c r="AD344" s="95">
        <v>39247</v>
      </c>
    </row>
    <row r="345" spans="1:30" ht="15.6" x14ac:dyDescent="0.3">
      <c r="A345" s="55">
        <v>37707</v>
      </c>
      <c r="B345" s="56">
        <v>1056</v>
      </c>
      <c r="C345" s="56">
        <v>5887</v>
      </c>
      <c r="D345" s="56">
        <v>217</v>
      </c>
      <c r="E345" s="56">
        <v>2546</v>
      </c>
      <c r="F345" s="56">
        <v>1033</v>
      </c>
      <c r="G345" s="56">
        <v>5458</v>
      </c>
      <c r="H345" s="56">
        <v>521</v>
      </c>
      <c r="I345" s="56">
        <v>2989</v>
      </c>
      <c r="J345" s="56">
        <v>71</v>
      </c>
      <c r="K345" s="56">
        <v>637</v>
      </c>
      <c r="L345" s="56">
        <v>2896</v>
      </c>
      <c r="M345" s="56">
        <v>17517</v>
      </c>
      <c r="N345" s="56">
        <v>5571</v>
      </c>
      <c r="O345" s="56">
        <v>22732</v>
      </c>
      <c r="P345" s="56">
        <v>2841</v>
      </c>
      <c r="Q345" s="56">
        <v>23311</v>
      </c>
      <c r="R345" s="16">
        <f t="shared" si="23"/>
        <v>11308</v>
      </c>
      <c r="S345" s="16">
        <f t="shared" si="24"/>
        <v>63560</v>
      </c>
      <c r="T345" s="13" t="s">
        <v>185</v>
      </c>
      <c r="U345" s="5">
        <v>11308</v>
      </c>
      <c r="V345" s="5">
        <f t="shared" si="21"/>
        <v>14250.25</v>
      </c>
      <c r="W345" s="84">
        <f t="shared" si="25"/>
        <v>66580.5</v>
      </c>
      <c r="X345" s="89">
        <f>N684</f>
        <v>8171</v>
      </c>
      <c r="Y345" s="90">
        <f>P684</f>
        <v>2282</v>
      </c>
      <c r="Z345" s="89">
        <f>L684</f>
        <v>4825</v>
      </c>
      <c r="AA345" s="86">
        <f>O684</f>
        <v>43799</v>
      </c>
      <c r="AB345" s="90">
        <f>Q684</f>
        <v>27531</v>
      </c>
      <c r="AC345" s="73">
        <f>M684</f>
        <v>1083</v>
      </c>
      <c r="AD345" s="95">
        <v>39254</v>
      </c>
    </row>
    <row r="346" spans="1:30" ht="15.6" x14ac:dyDescent="0.3">
      <c r="A346" s="55">
        <v>38071</v>
      </c>
      <c r="B346" s="56">
        <v>2004</v>
      </c>
      <c r="C346" s="56">
        <v>10469</v>
      </c>
      <c r="D346" s="56">
        <v>789</v>
      </c>
      <c r="E346" s="56">
        <v>3145</v>
      </c>
      <c r="F346" s="56">
        <v>1256</v>
      </c>
      <c r="G346" s="56">
        <v>5486</v>
      </c>
      <c r="H346" s="56">
        <v>904</v>
      </c>
      <c r="I346" s="56">
        <v>4148</v>
      </c>
      <c r="J346" s="56">
        <v>123</v>
      </c>
      <c r="K346" s="56">
        <v>874</v>
      </c>
      <c r="L346" s="56">
        <v>5074</v>
      </c>
      <c r="M346" s="56">
        <v>24122</v>
      </c>
      <c r="N346" s="56">
        <v>8450</v>
      </c>
      <c r="O346" s="56">
        <v>28139</v>
      </c>
      <c r="P346" s="56">
        <v>2027</v>
      </c>
      <c r="Q346" s="56">
        <v>21421</v>
      </c>
      <c r="R346" s="16">
        <f t="shared" si="23"/>
        <v>15551</v>
      </c>
      <c r="S346" s="16">
        <f t="shared" si="24"/>
        <v>73682</v>
      </c>
      <c r="T346" s="13" t="s">
        <v>185</v>
      </c>
      <c r="U346" s="5">
        <v>15551</v>
      </c>
      <c r="V346" s="5">
        <f t="shared" si="21"/>
        <v>13983</v>
      </c>
      <c r="W346" s="84">
        <f t="shared" si="25"/>
        <v>67629</v>
      </c>
      <c r="X346" s="89">
        <f>N686</f>
        <v>8378</v>
      </c>
      <c r="Y346" s="90">
        <f>P686</f>
        <v>2190</v>
      </c>
      <c r="Z346" s="89">
        <f>L686</f>
        <v>4773</v>
      </c>
      <c r="AA346" s="86">
        <f>O686</f>
        <v>44650</v>
      </c>
      <c r="AB346" s="90">
        <f>Q686</f>
        <v>27815</v>
      </c>
      <c r="AC346" s="73">
        <f>M686</f>
        <v>1673</v>
      </c>
      <c r="AD346" s="95">
        <v>39261</v>
      </c>
    </row>
    <row r="347" spans="1:30" ht="15.6" x14ac:dyDescent="0.3">
      <c r="A347" s="55">
        <v>37714</v>
      </c>
      <c r="B347" s="56">
        <v>1033</v>
      </c>
      <c r="C347" s="56">
        <v>5970</v>
      </c>
      <c r="D347" s="56">
        <v>223</v>
      </c>
      <c r="E347" s="56">
        <v>2576</v>
      </c>
      <c r="F347" s="56">
        <v>992</v>
      </c>
      <c r="G347" s="56">
        <v>5543</v>
      </c>
      <c r="H347" s="56">
        <v>445</v>
      </c>
      <c r="I347" s="56">
        <v>3080</v>
      </c>
      <c r="J347" s="56">
        <v>81</v>
      </c>
      <c r="K347" s="56">
        <v>637</v>
      </c>
      <c r="L347" s="56">
        <v>2774</v>
      </c>
      <c r="M347" s="56">
        <v>17806</v>
      </c>
      <c r="N347" s="56">
        <v>5458</v>
      </c>
      <c r="O347" s="56">
        <v>23706</v>
      </c>
      <c r="P347" s="56">
        <v>2934</v>
      </c>
      <c r="Q347" s="56">
        <v>23826</v>
      </c>
      <c r="R347" s="16">
        <f t="shared" si="23"/>
        <v>11166</v>
      </c>
      <c r="S347" s="16">
        <f t="shared" si="24"/>
        <v>65338</v>
      </c>
      <c r="T347" s="13" t="s">
        <v>186</v>
      </c>
      <c r="U347" s="5">
        <v>11166</v>
      </c>
      <c r="V347" s="5">
        <f t="shared" si="21"/>
        <v>13676</v>
      </c>
      <c r="W347" s="84">
        <f t="shared" si="25"/>
        <v>68524.5</v>
      </c>
      <c r="X347" s="89">
        <f>N688</f>
        <v>8573</v>
      </c>
      <c r="Y347" s="90">
        <f>P688</f>
        <v>2147</v>
      </c>
      <c r="Z347" s="89">
        <f>L688</f>
        <v>5633</v>
      </c>
      <c r="AA347" s="86">
        <f>O688</f>
        <v>45462</v>
      </c>
      <c r="AB347" s="90">
        <f>Q688</f>
        <v>28002</v>
      </c>
      <c r="AC347" s="73">
        <f>M688</f>
        <v>1997</v>
      </c>
      <c r="AD347" s="95">
        <v>39268</v>
      </c>
    </row>
    <row r="348" spans="1:30" ht="15.6" x14ac:dyDescent="0.3">
      <c r="A348" s="55">
        <v>38078</v>
      </c>
      <c r="B348" s="56">
        <v>1991</v>
      </c>
      <c r="C348" s="56">
        <v>10762</v>
      </c>
      <c r="D348" s="56">
        <v>776</v>
      </c>
      <c r="E348" s="56">
        <v>3180</v>
      </c>
      <c r="F348" s="56">
        <v>1297</v>
      </c>
      <c r="G348" s="56">
        <v>5565</v>
      </c>
      <c r="H348" s="56">
        <v>845</v>
      </c>
      <c r="I348" s="56">
        <v>4210</v>
      </c>
      <c r="J348" s="56">
        <v>124</v>
      </c>
      <c r="K348" s="56">
        <v>904</v>
      </c>
      <c r="L348" s="56">
        <v>5033</v>
      </c>
      <c r="M348" s="56">
        <v>24620</v>
      </c>
      <c r="N348" s="56">
        <v>9051</v>
      </c>
      <c r="O348" s="56">
        <v>28854</v>
      </c>
      <c r="P348" s="56">
        <v>1914</v>
      </c>
      <c r="Q348" s="56">
        <v>21636</v>
      </c>
      <c r="R348" s="16">
        <f t="shared" si="23"/>
        <v>15998</v>
      </c>
      <c r="S348" s="16">
        <f t="shared" si="24"/>
        <v>75110</v>
      </c>
      <c r="T348" s="13" t="s">
        <v>186</v>
      </c>
      <c r="U348" s="5">
        <v>15998</v>
      </c>
      <c r="V348" s="5">
        <f t="shared" si="21"/>
        <v>13505.75</v>
      </c>
      <c r="W348" s="84">
        <f t="shared" si="25"/>
        <v>69422.5</v>
      </c>
      <c r="X348" s="89">
        <f>N690</f>
        <v>8041</v>
      </c>
      <c r="Y348" s="90">
        <f>P690</f>
        <v>2005</v>
      </c>
      <c r="Z348" s="89">
        <f>L690</f>
        <v>5927</v>
      </c>
      <c r="AA348" s="86">
        <f>O690</f>
        <v>46663</v>
      </c>
      <c r="AB348" s="90">
        <f>Q690</f>
        <v>28325</v>
      </c>
      <c r="AC348" s="73">
        <f>M690</f>
        <v>2466</v>
      </c>
      <c r="AD348" s="95">
        <v>39275</v>
      </c>
    </row>
    <row r="349" spans="1:30" ht="15.6" x14ac:dyDescent="0.3">
      <c r="A349" s="55">
        <v>37721</v>
      </c>
      <c r="B349" s="56">
        <v>1000</v>
      </c>
      <c r="C349" s="56">
        <v>6088</v>
      </c>
      <c r="D349" s="56">
        <v>218</v>
      </c>
      <c r="E349" s="56">
        <v>2616</v>
      </c>
      <c r="F349" s="56">
        <v>1049</v>
      </c>
      <c r="G349" s="56">
        <v>5673</v>
      </c>
      <c r="H349" s="56">
        <v>444</v>
      </c>
      <c r="I349" s="56">
        <v>3123</v>
      </c>
      <c r="J349" s="56">
        <v>91</v>
      </c>
      <c r="K349" s="56">
        <v>637</v>
      </c>
      <c r="L349" s="56">
        <v>2802</v>
      </c>
      <c r="M349" s="56">
        <v>18136</v>
      </c>
      <c r="N349" s="56">
        <v>5380</v>
      </c>
      <c r="O349" s="56">
        <v>24469</v>
      </c>
      <c r="P349" s="56">
        <v>2858</v>
      </c>
      <c r="Q349" s="56">
        <v>24163</v>
      </c>
      <c r="R349" s="16">
        <f t="shared" si="23"/>
        <v>11040</v>
      </c>
      <c r="S349" s="16">
        <f t="shared" si="24"/>
        <v>66768</v>
      </c>
      <c r="T349" s="13" t="s">
        <v>186</v>
      </c>
      <c r="U349" s="5">
        <v>11040</v>
      </c>
      <c r="V349" s="5">
        <f t="shared" si="21"/>
        <v>13438.75</v>
      </c>
      <c r="W349" s="84">
        <f t="shared" si="25"/>
        <v>70224.5</v>
      </c>
      <c r="X349" s="89">
        <f>N692</f>
        <v>7540</v>
      </c>
      <c r="Y349" s="90">
        <f>P692</f>
        <v>2119</v>
      </c>
      <c r="Z349" s="89">
        <f>L692</f>
        <v>7572</v>
      </c>
      <c r="AA349" s="86">
        <f>O692</f>
        <v>47577</v>
      </c>
      <c r="AB349" s="90">
        <f>Q692</f>
        <v>28500</v>
      </c>
      <c r="AC349" s="73">
        <f>M692</f>
        <v>2884</v>
      </c>
      <c r="AD349" s="95">
        <v>39282</v>
      </c>
    </row>
    <row r="350" spans="1:30" ht="15.6" x14ac:dyDescent="0.3">
      <c r="A350" s="55">
        <v>38085</v>
      </c>
      <c r="B350" s="56">
        <v>1929</v>
      </c>
      <c r="C350" s="56">
        <v>11055</v>
      </c>
      <c r="D350" s="56">
        <v>762</v>
      </c>
      <c r="E350" s="56">
        <v>3235</v>
      </c>
      <c r="F350" s="56">
        <v>1210</v>
      </c>
      <c r="G350" s="56">
        <v>5732</v>
      </c>
      <c r="H350" s="56">
        <v>831</v>
      </c>
      <c r="I350" s="56">
        <v>4259</v>
      </c>
      <c r="J350" s="56">
        <v>93</v>
      </c>
      <c r="K350" s="56">
        <v>940</v>
      </c>
      <c r="L350" s="56">
        <v>4825</v>
      </c>
      <c r="M350" s="56">
        <v>25220</v>
      </c>
      <c r="N350" s="56">
        <v>9144</v>
      </c>
      <c r="O350" s="56">
        <v>30019</v>
      </c>
      <c r="P350" s="56">
        <v>1897</v>
      </c>
      <c r="Q350" s="56">
        <v>21832</v>
      </c>
      <c r="R350" s="16">
        <f t="shared" si="23"/>
        <v>15866</v>
      </c>
      <c r="S350" s="16">
        <f t="shared" si="24"/>
        <v>77071</v>
      </c>
      <c r="T350" s="13" t="s">
        <v>186</v>
      </c>
      <c r="U350" s="5">
        <v>15866</v>
      </c>
      <c r="V350" s="5">
        <f t="shared" si="21"/>
        <v>13517.5</v>
      </c>
      <c r="W350" s="84">
        <f t="shared" si="25"/>
        <v>71071.75</v>
      </c>
      <c r="X350" s="89">
        <f>N694</f>
        <v>7270</v>
      </c>
      <c r="Y350" s="90">
        <f>P694</f>
        <v>2149</v>
      </c>
      <c r="Z350" s="89">
        <f>L694</f>
        <v>8855</v>
      </c>
      <c r="AA350" s="86">
        <f>O694</f>
        <v>48653</v>
      </c>
      <c r="AB350" s="90">
        <f>Q694</f>
        <v>28655</v>
      </c>
      <c r="AC350" s="73">
        <f>M694</f>
        <v>3343</v>
      </c>
      <c r="AD350" s="95">
        <v>39289</v>
      </c>
    </row>
    <row r="351" spans="1:30" ht="15.6" x14ac:dyDescent="0.3">
      <c r="A351" s="55">
        <v>37728</v>
      </c>
      <c r="B351" s="56">
        <v>916</v>
      </c>
      <c r="C351" s="56">
        <v>6231</v>
      </c>
      <c r="D351" s="56">
        <v>224</v>
      </c>
      <c r="E351" s="56">
        <v>2648</v>
      </c>
      <c r="F351" s="56">
        <v>1083</v>
      </c>
      <c r="G351" s="56">
        <v>5703</v>
      </c>
      <c r="H351" s="56">
        <v>487</v>
      </c>
      <c r="I351" s="56">
        <v>3132</v>
      </c>
      <c r="J351" s="56">
        <v>105</v>
      </c>
      <c r="K351" s="56">
        <v>642</v>
      </c>
      <c r="L351" s="56">
        <v>2814</v>
      </c>
      <c r="M351" s="56">
        <v>18357</v>
      </c>
      <c r="N351" s="56">
        <v>5152</v>
      </c>
      <c r="O351" s="56">
        <v>25283</v>
      </c>
      <c r="P351" s="56">
        <v>2679</v>
      </c>
      <c r="Q351" s="56">
        <v>24515</v>
      </c>
      <c r="R351" s="16">
        <f t="shared" si="23"/>
        <v>10645</v>
      </c>
      <c r="S351" s="16">
        <f t="shared" si="24"/>
        <v>68155</v>
      </c>
      <c r="T351" s="13" t="s">
        <v>187</v>
      </c>
      <c r="U351" s="5">
        <v>10645</v>
      </c>
      <c r="V351" s="5">
        <f t="shared" ref="V351:V372" si="26">AVERAGE(U348:U351)</f>
        <v>13387.25</v>
      </c>
      <c r="W351" s="84">
        <f t="shared" si="25"/>
        <v>71776</v>
      </c>
      <c r="X351" s="89">
        <f>N696</f>
        <v>6844</v>
      </c>
      <c r="Y351" s="90">
        <f>P696</f>
        <v>1853</v>
      </c>
      <c r="Z351" s="89">
        <f>L696</f>
        <v>8914</v>
      </c>
      <c r="AA351" s="86">
        <f>O696</f>
        <v>49391</v>
      </c>
      <c r="AB351" s="90">
        <f>Q696</f>
        <v>29105</v>
      </c>
      <c r="AC351" s="73">
        <f>M696</f>
        <v>4175</v>
      </c>
      <c r="AD351" s="95">
        <v>39296</v>
      </c>
    </row>
    <row r="352" spans="1:30" ht="15.6" x14ac:dyDescent="0.3">
      <c r="A352" s="55">
        <v>38092</v>
      </c>
      <c r="B352" s="56">
        <v>1832</v>
      </c>
      <c r="C352" s="56">
        <v>11207</v>
      </c>
      <c r="D352" s="56">
        <v>697</v>
      </c>
      <c r="E352" s="56">
        <v>3266</v>
      </c>
      <c r="F352" s="56">
        <v>1208</v>
      </c>
      <c r="G352" s="56">
        <v>5814</v>
      </c>
      <c r="H352" s="56">
        <v>674</v>
      </c>
      <c r="I352" s="56">
        <v>4397</v>
      </c>
      <c r="J352" s="56">
        <v>85</v>
      </c>
      <c r="K352" s="56">
        <v>953</v>
      </c>
      <c r="L352" s="56">
        <v>4495</v>
      </c>
      <c r="M352" s="56">
        <v>25636</v>
      </c>
      <c r="N352" s="56">
        <v>9657</v>
      </c>
      <c r="O352" s="56">
        <v>30619</v>
      </c>
      <c r="P352" s="56">
        <v>1801</v>
      </c>
      <c r="Q352" s="56">
        <v>22054</v>
      </c>
      <c r="R352" s="16">
        <f t="shared" si="23"/>
        <v>15953</v>
      </c>
      <c r="S352" s="16">
        <f t="shared" si="24"/>
        <v>78309</v>
      </c>
      <c r="T352" s="13" t="s">
        <v>187</v>
      </c>
      <c r="U352" s="5">
        <v>15953</v>
      </c>
      <c r="V352" s="5">
        <f t="shared" si="26"/>
        <v>13376</v>
      </c>
      <c r="W352" s="84">
        <f t="shared" si="25"/>
        <v>72575.75</v>
      </c>
      <c r="X352" s="89">
        <f>N698</f>
        <v>5489</v>
      </c>
      <c r="Y352" s="90">
        <f>P698</f>
        <v>1915</v>
      </c>
      <c r="Z352" s="89">
        <f>L698</f>
        <v>9443</v>
      </c>
      <c r="AA352" s="86">
        <f>O698</f>
        <v>50510</v>
      </c>
      <c r="AB352" s="90">
        <f>Q698</f>
        <v>29279</v>
      </c>
      <c r="AC352" s="73">
        <f>M698</f>
        <v>4831</v>
      </c>
      <c r="AD352" s="95">
        <v>39303</v>
      </c>
    </row>
    <row r="353" spans="1:30" ht="15.6" x14ac:dyDescent="0.3">
      <c r="A353" s="55">
        <v>37735</v>
      </c>
      <c r="B353" s="56">
        <v>893</v>
      </c>
      <c r="C353" s="56">
        <v>6291</v>
      </c>
      <c r="D353" s="56">
        <v>179</v>
      </c>
      <c r="E353" s="56">
        <v>2698</v>
      </c>
      <c r="F353" s="56">
        <v>1077</v>
      </c>
      <c r="G353" s="56">
        <v>5857</v>
      </c>
      <c r="H353" s="56">
        <v>471</v>
      </c>
      <c r="I353" s="56">
        <v>3193</v>
      </c>
      <c r="J353" s="56">
        <v>55</v>
      </c>
      <c r="K353" s="56">
        <v>690</v>
      </c>
      <c r="L353" s="56">
        <v>2675</v>
      </c>
      <c r="M353" s="56">
        <v>18728</v>
      </c>
      <c r="N353" s="56">
        <v>5379</v>
      </c>
      <c r="O353" s="56">
        <v>25955</v>
      </c>
      <c r="P353" s="56">
        <v>2497</v>
      </c>
      <c r="Q353" s="56">
        <v>24913</v>
      </c>
      <c r="R353" s="16">
        <f t="shared" si="23"/>
        <v>10551</v>
      </c>
      <c r="S353" s="16">
        <f t="shared" si="24"/>
        <v>69596</v>
      </c>
      <c r="T353" s="13" t="s">
        <v>187</v>
      </c>
      <c r="U353" s="5">
        <v>10551</v>
      </c>
      <c r="V353" s="5">
        <f t="shared" si="26"/>
        <v>13253.75</v>
      </c>
      <c r="W353" s="84">
        <f t="shared" si="25"/>
        <v>73282.75</v>
      </c>
      <c r="X353" s="89">
        <f>N700</f>
        <v>4677</v>
      </c>
      <c r="Y353" s="90">
        <f>P700</f>
        <v>1650</v>
      </c>
      <c r="Z353" s="89">
        <f>L700</f>
        <v>9344</v>
      </c>
      <c r="AA353" s="86">
        <f>O700</f>
        <v>51460</v>
      </c>
      <c r="AB353" s="90">
        <f>Q700</f>
        <v>29549</v>
      </c>
      <c r="AC353" s="73">
        <f>M700</f>
        <v>5976</v>
      </c>
      <c r="AD353" s="95">
        <v>39310</v>
      </c>
    </row>
    <row r="354" spans="1:30" ht="15.6" x14ac:dyDescent="0.3">
      <c r="A354" s="55">
        <v>38099</v>
      </c>
      <c r="B354" s="56">
        <v>1612</v>
      </c>
      <c r="C354" s="56">
        <v>11508</v>
      </c>
      <c r="D354" s="56">
        <v>577</v>
      </c>
      <c r="E354" s="56">
        <v>3399</v>
      </c>
      <c r="F354" s="56">
        <v>1153</v>
      </c>
      <c r="G354" s="56">
        <v>6026</v>
      </c>
      <c r="H354" s="56">
        <v>647</v>
      </c>
      <c r="I354" s="56">
        <v>4466</v>
      </c>
      <c r="J354" s="56">
        <v>111</v>
      </c>
      <c r="K354" s="56">
        <v>971</v>
      </c>
      <c r="L354" s="56">
        <v>4099</v>
      </c>
      <c r="M354" s="56">
        <v>26370</v>
      </c>
      <c r="N354" s="56">
        <v>9921</v>
      </c>
      <c r="O354" s="56">
        <v>31280</v>
      </c>
      <c r="P354" s="56">
        <v>1728</v>
      </c>
      <c r="Q354" s="56">
        <v>22176</v>
      </c>
      <c r="R354" s="16">
        <f t="shared" si="23"/>
        <v>15748</v>
      </c>
      <c r="S354" s="16">
        <f t="shared" si="24"/>
        <v>79826</v>
      </c>
      <c r="T354" s="13" t="s">
        <v>187</v>
      </c>
      <c r="U354" s="5">
        <v>15748</v>
      </c>
      <c r="V354" s="5">
        <f t="shared" si="26"/>
        <v>13224.25</v>
      </c>
      <c r="W354" s="84">
        <f t="shared" si="25"/>
        <v>73971.5</v>
      </c>
      <c r="X354" s="89">
        <f>N702</f>
        <v>3584</v>
      </c>
      <c r="Y354" s="90">
        <f>P702</f>
        <v>1246</v>
      </c>
      <c r="Z354" s="89">
        <f>L702</f>
        <v>9564</v>
      </c>
      <c r="AA354" s="86">
        <f>O702</f>
        <v>52726</v>
      </c>
      <c r="AB354" s="90">
        <f>Q702</f>
        <v>29871</v>
      </c>
      <c r="AC354" s="73">
        <f>M702</f>
        <v>6987</v>
      </c>
      <c r="AD354" s="95">
        <v>39317</v>
      </c>
    </row>
    <row r="355" spans="1:30" ht="15.6" x14ac:dyDescent="0.3">
      <c r="A355" s="55">
        <v>37742</v>
      </c>
      <c r="B355" s="56">
        <v>824</v>
      </c>
      <c r="C355" s="56">
        <v>6493</v>
      </c>
      <c r="D355" s="56">
        <v>174</v>
      </c>
      <c r="E355" s="56">
        <v>2717</v>
      </c>
      <c r="F355" s="56">
        <v>945</v>
      </c>
      <c r="G355" s="56">
        <v>6016</v>
      </c>
      <c r="H355" s="56">
        <v>373</v>
      </c>
      <c r="I355" s="56">
        <v>3300</v>
      </c>
      <c r="J355" s="56">
        <v>60</v>
      </c>
      <c r="K355" s="56">
        <v>699</v>
      </c>
      <c r="L355" s="56">
        <v>2375</v>
      </c>
      <c r="M355" s="56">
        <v>19225</v>
      </c>
      <c r="N355" s="56">
        <v>5431</v>
      </c>
      <c r="O355" s="56">
        <v>26496</v>
      </c>
      <c r="P355" s="56">
        <v>2169</v>
      </c>
      <c r="Q355" s="56">
        <v>25277</v>
      </c>
      <c r="R355" s="16">
        <f t="shared" si="23"/>
        <v>9975</v>
      </c>
      <c r="S355" s="16">
        <f t="shared" si="24"/>
        <v>70998</v>
      </c>
      <c r="T355" s="87" t="s">
        <v>187</v>
      </c>
      <c r="U355" s="5">
        <v>9975</v>
      </c>
      <c r="V355" s="5">
        <f t="shared" si="26"/>
        <v>13056.75</v>
      </c>
      <c r="W355" s="84">
        <f t="shared" si="25"/>
        <v>74682.25</v>
      </c>
      <c r="X355" s="89">
        <f>N704</f>
        <v>2771</v>
      </c>
      <c r="Y355" s="90">
        <f>P704</f>
        <v>990</v>
      </c>
      <c r="Z355" s="89">
        <f>L704</f>
        <v>9124</v>
      </c>
      <c r="AA355" s="86">
        <f>O704</f>
        <v>53799</v>
      </c>
      <c r="AB355" s="90">
        <f>Q704</f>
        <v>30261</v>
      </c>
      <c r="AC355" s="73">
        <f>M704</f>
        <v>8146</v>
      </c>
      <c r="AD355" s="95">
        <v>39324</v>
      </c>
    </row>
    <row r="356" spans="1:30" ht="15.6" x14ac:dyDescent="0.3">
      <c r="A356" s="55">
        <v>38106</v>
      </c>
      <c r="B356" s="56">
        <v>1542</v>
      </c>
      <c r="C356" s="56">
        <v>11753</v>
      </c>
      <c r="D356" s="56">
        <v>428</v>
      </c>
      <c r="E356" s="56">
        <v>3509</v>
      </c>
      <c r="F356" s="56">
        <v>1052</v>
      </c>
      <c r="G356" s="56">
        <v>6185</v>
      </c>
      <c r="H356" s="56">
        <v>485</v>
      </c>
      <c r="I356" s="56">
        <v>4637</v>
      </c>
      <c r="J356" s="56">
        <v>122</v>
      </c>
      <c r="K356" s="56">
        <v>1039</v>
      </c>
      <c r="L356" s="56">
        <v>3629</v>
      </c>
      <c r="M356" s="56">
        <v>27121</v>
      </c>
      <c r="N356" s="56">
        <v>10215</v>
      </c>
      <c r="O356" s="56">
        <v>32081</v>
      </c>
      <c r="P356" s="56">
        <v>1675</v>
      </c>
      <c r="Q356" s="56">
        <v>22363</v>
      </c>
      <c r="R356" s="16">
        <f t="shared" si="23"/>
        <v>15519</v>
      </c>
      <c r="S356" s="16">
        <f t="shared" si="24"/>
        <v>81565</v>
      </c>
      <c r="T356" s="13" t="s">
        <v>188</v>
      </c>
      <c r="U356" s="5">
        <v>15519</v>
      </c>
      <c r="V356" s="5">
        <f t="shared" si="26"/>
        <v>12948.25</v>
      </c>
      <c r="W356" s="84">
        <f t="shared" si="25"/>
        <v>75496.25</v>
      </c>
      <c r="X356" s="89">
        <f>N706</f>
        <v>15762</v>
      </c>
      <c r="Y356" s="90">
        <f>P706</f>
        <v>7997</v>
      </c>
      <c r="Z356" s="89">
        <f>L706</f>
        <v>10528</v>
      </c>
      <c r="AA356" s="86">
        <f>O706</f>
        <v>904</v>
      </c>
      <c r="AB356" s="90">
        <f>Q706</f>
        <v>111</v>
      </c>
      <c r="AC356" s="73">
        <f>M706</f>
        <v>8867</v>
      </c>
      <c r="AD356" s="95">
        <v>39331</v>
      </c>
    </row>
    <row r="357" spans="1:30" ht="15.6" x14ac:dyDescent="0.3">
      <c r="A357" s="55">
        <v>37749</v>
      </c>
      <c r="B357" s="56">
        <v>725</v>
      </c>
      <c r="C357" s="56">
        <v>6629</v>
      </c>
      <c r="D357" s="56">
        <v>130</v>
      </c>
      <c r="E357" s="56">
        <v>2761</v>
      </c>
      <c r="F357" s="56">
        <v>845</v>
      </c>
      <c r="G357" s="56">
        <v>6213</v>
      </c>
      <c r="H357" s="56">
        <v>434</v>
      </c>
      <c r="I357" s="56">
        <v>3342</v>
      </c>
      <c r="J357" s="56">
        <v>42</v>
      </c>
      <c r="K357" s="56">
        <v>719</v>
      </c>
      <c r="L357" s="56">
        <v>2174</v>
      </c>
      <c r="M357" s="56">
        <v>19665</v>
      </c>
      <c r="N357" s="56">
        <v>5879</v>
      </c>
      <c r="O357" s="56">
        <v>27092</v>
      </c>
      <c r="P357" s="56">
        <v>2003</v>
      </c>
      <c r="Q357" s="56">
        <v>25586</v>
      </c>
      <c r="R357" s="16">
        <f t="shared" si="23"/>
        <v>10056</v>
      </c>
      <c r="S357" s="16">
        <f t="shared" si="24"/>
        <v>72343</v>
      </c>
      <c r="T357" s="13" t="s">
        <v>188</v>
      </c>
      <c r="U357" s="5">
        <v>10056</v>
      </c>
      <c r="V357" s="5">
        <f t="shared" si="26"/>
        <v>12824.5</v>
      </c>
      <c r="W357" s="84">
        <f t="shared" si="25"/>
        <v>76183</v>
      </c>
      <c r="X357" s="89">
        <f>N708</f>
        <v>16920</v>
      </c>
      <c r="Y357" s="90">
        <f>P708</f>
        <v>8106</v>
      </c>
      <c r="Z357" s="89">
        <f>L708</f>
        <v>11047</v>
      </c>
      <c r="AA357" s="86">
        <f>O708</f>
        <v>1778</v>
      </c>
      <c r="AB357" s="90">
        <f>Q708</f>
        <v>515</v>
      </c>
      <c r="AC357" s="73">
        <f>M708</f>
        <v>9787</v>
      </c>
      <c r="AD357" s="95">
        <v>39338</v>
      </c>
    </row>
    <row r="358" spans="1:30" ht="15.6" x14ac:dyDescent="0.3">
      <c r="A358" s="55">
        <v>38113</v>
      </c>
      <c r="B358" s="56">
        <v>1434</v>
      </c>
      <c r="C358" s="56">
        <v>11883</v>
      </c>
      <c r="D358" s="56">
        <v>301</v>
      </c>
      <c r="E358" s="56">
        <v>3644</v>
      </c>
      <c r="F358" s="56">
        <v>902</v>
      </c>
      <c r="G358" s="56">
        <v>6336</v>
      </c>
      <c r="H358" s="56">
        <v>404</v>
      </c>
      <c r="I358" s="56">
        <v>4724</v>
      </c>
      <c r="J358" s="56">
        <v>144</v>
      </c>
      <c r="K358" s="56">
        <v>1041</v>
      </c>
      <c r="L358" s="56">
        <v>3185</v>
      </c>
      <c r="M358" s="56">
        <v>27629</v>
      </c>
      <c r="N358" s="56">
        <v>9699</v>
      </c>
      <c r="O358" s="56">
        <v>33103</v>
      </c>
      <c r="P358" s="56">
        <v>1403</v>
      </c>
      <c r="Q358" s="56">
        <v>22594</v>
      </c>
      <c r="R358" s="16">
        <f t="shared" si="23"/>
        <v>14287</v>
      </c>
      <c r="S358" s="16">
        <f t="shared" si="24"/>
        <v>83326</v>
      </c>
      <c r="T358" s="13" t="s">
        <v>188</v>
      </c>
      <c r="U358" s="5">
        <v>14287</v>
      </c>
      <c r="V358" s="5">
        <f t="shared" si="26"/>
        <v>12459.25</v>
      </c>
      <c r="W358" s="84">
        <f t="shared" si="25"/>
        <v>77058</v>
      </c>
      <c r="X358" s="89">
        <f>N710</f>
        <v>17415</v>
      </c>
      <c r="Y358" s="90">
        <f>P710</f>
        <v>8366</v>
      </c>
      <c r="Z358" s="89">
        <f>L710</f>
        <v>11527</v>
      </c>
      <c r="AA358" s="86">
        <f>O710</f>
        <v>2981</v>
      </c>
      <c r="AB358" s="90">
        <f>Q710</f>
        <v>1000</v>
      </c>
      <c r="AC358" s="73">
        <f>M710</f>
        <v>10822</v>
      </c>
      <c r="AD358" s="95">
        <v>39345</v>
      </c>
    </row>
    <row r="359" spans="1:30" ht="15.6" x14ac:dyDescent="0.3">
      <c r="A359" s="55">
        <v>37756</v>
      </c>
      <c r="B359" s="56">
        <v>619</v>
      </c>
      <c r="C359" s="56">
        <v>6742</v>
      </c>
      <c r="D359" s="56">
        <v>108</v>
      </c>
      <c r="E359" s="56">
        <v>2801</v>
      </c>
      <c r="F359" s="56">
        <v>775</v>
      </c>
      <c r="G359" s="56">
        <v>6347</v>
      </c>
      <c r="H359" s="56">
        <v>390</v>
      </c>
      <c r="I359" s="56">
        <v>3404</v>
      </c>
      <c r="J359" s="56">
        <v>38</v>
      </c>
      <c r="K359" s="56">
        <v>726</v>
      </c>
      <c r="L359" s="56">
        <v>1929</v>
      </c>
      <c r="M359" s="56">
        <v>20019</v>
      </c>
      <c r="N359" s="56">
        <v>5804</v>
      </c>
      <c r="O359" s="56">
        <v>27923</v>
      </c>
      <c r="P359" s="56">
        <v>1997</v>
      </c>
      <c r="Q359" s="56">
        <v>25701</v>
      </c>
      <c r="R359" s="16">
        <f t="shared" si="23"/>
        <v>9730</v>
      </c>
      <c r="S359" s="16">
        <f t="shared" si="24"/>
        <v>73643</v>
      </c>
      <c r="T359" s="13" t="s">
        <v>188</v>
      </c>
      <c r="U359" s="5">
        <v>9730</v>
      </c>
      <c r="V359" s="5">
        <f t="shared" si="26"/>
        <v>12398</v>
      </c>
      <c r="W359" s="84">
        <f t="shared" si="25"/>
        <v>77719.25</v>
      </c>
      <c r="X359" s="89">
        <f>N712</f>
        <v>17341</v>
      </c>
      <c r="Y359" s="90">
        <f>P712</f>
        <v>8753</v>
      </c>
      <c r="Z359" s="89">
        <f>L712</f>
        <v>11973</v>
      </c>
      <c r="AA359" s="86">
        <f>O712</f>
        <v>4206</v>
      </c>
      <c r="AB359" s="90">
        <f>Q712</f>
        <v>1279</v>
      </c>
      <c r="AC359" s="73">
        <f>M712</f>
        <v>11973</v>
      </c>
      <c r="AD359" s="95">
        <v>39352</v>
      </c>
    </row>
    <row r="360" spans="1:30" ht="15.6" x14ac:dyDescent="0.3">
      <c r="A360" s="55">
        <v>38120</v>
      </c>
      <c r="B360" s="56">
        <v>1110</v>
      </c>
      <c r="C360" s="56">
        <v>12207</v>
      </c>
      <c r="D360" s="56">
        <v>287</v>
      </c>
      <c r="E360" s="56">
        <v>3674</v>
      </c>
      <c r="F360" s="56">
        <v>689</v>
      </c>
      <c r="G360" s="56">
        <v>6550</v>
      </c>
      <c r="H360" s="56">
        <v>397</v>
      </c>
      <c r="I360" s="56">
        <v>4730</v>
      </c>
      <c r="J360" s="56">
        <v>79</v>
      </c>
      <c r="K360" s="56">
        <v>1041</v>
      </c>
      <c r="L360" s="56">
        <v>2561</v>
      </c>
      <c r="M360" s="56">
        <v>28202</v>
      </c>
      <c r="N360" s="56">
        <v>9781</v>
      </c>
      <c r="O360" s="56">
        <v>33755</v>
      </c>
      <c r="P360" s="56">
        <v>1323</v>
      </c>
      <c r="Q360" s="56">
        <v>22693</v>
      </c>
      <c r="R360" s="16">
        <f t="shared" si="23"/>
        <v>13665</v>
      </c>
      <c r="S360" s="16">
        <f t="shared" si="24"/>
        <v>84650</v>
      </c>
      <c r="T360" s="13" t="s">
        <v>189</v>
      </c>
      <c r="U360" s="5">
        <v>13665</v>
      </c>
      <c r="V360" s="5">
        <f t="shared" si="26"/>
        <v>11934.5</v>
      </c>
      <c r="W360" s="84">
        <f t="shared" si="25"/>
        <v>78490.5</v>
      </c>
      <c r="X360" s="89">
        <f>N714</f>
        <v>18468</v>
      </c>
      <c r="Y360" s="90">
        <f>P714</f>
        <v>8772</v>
      </c>
      <c r="Z360" s="89">
        <f>L714</f>
        <v>12025</v>
      </c>
      <c r="AA360" s="86">
        <f>O714</f>
        <v>5398</v>
      </c>
      <c r="AB360" s="90">
        <f>Q714</f>
        <v>1811</v>
      </c>
      <c r="AC360" s="73">
        <f>M714</f>
        <v>12856</v>
      </c>
      <c r="AD360" s="95">
        <v>39359</v>
      </c>
    </row>
    <row r="361" spans="1:30" ht="15.6" x14ac:dyDescent="0.3">
      <c r="A361" s="55">
        <v>37763</v>
      </c>
      <c r="B361" s="56">
        <v>585</v>
      </c>
      <c r="C361" s="56">
        <v>6772</v>
      </c>
      <c r="D361" s="56">
        <v>99</v>
      </c>
      <c r="E361" s="56">
        <v>2847</v>
      </c>
      <c r="F361" s="56">
        <v>620</v>
      </c>
      <c r="G361" s="56">
        <v>6473</v>
      </c>
      <c r="H361" s="56">
        <v>316</v>
      </c>
      <c r="I361" s="56">
        <v>3497</v>
      </c>
      <c r="J361" s="56">
        <v>38</v>
      </c>
      <c r="K361" s="56">
        <v>726</v>
      </c>
      <c r="L361" s="56">
        <v>1656</v>
      </c>
      <c r="M361" s="56">
        <v>20315</v>
      </c>
      <c r="N361" s="56">
        <v>5640</v>
      </c>
      <c r="O361" s="56">
        <v>28722</v>
      </c>
      <c r="P361" s="56">
        <v>1903</v>
      </c>
      <c r="Q361" s="56">
        <v>26055</v>
      </c>
      <c r="R361" s="16">
        <f t="shared" si="23"/>
        <v>9199</v>
      </c>
      <c r="S361" s="16">
        <f t="shared" si="24"/>
        <v>75092</v>
      </c>
      <c r="T361" s="13" t="s">
        <v>189</v>
      </c>
      <c r="U361" s="5">
        <v>9199</v>
      </c>
      <c r="V361" s="5">
        <f t="shared" si="26"/>
        <v>11720.25</v>
      </c>
      <c r="W361" s="84">
        <f t="shared" si="25"/>
        <v>79177.75</v>
      </c>
      <c r="X361" s="89">
        <f>N716</f>
        <v>19158</v>
      </c>
      <c r="Y361" s="90">
        <f>P716</f>
        <v>8536</v>
      </c>
      <c r="Z361" s="89">
        <f>L716</f>
        <v>12019</v>
      </c>
      <c r="AA361" s="86">
        <f>O716</f>
        <v>6560</v>
      </c>
      <c r="AB361" s="90">
        <f>Q716</f>
        <v>2797</v>
      </c>
      <c r="AC361" s="73">
        <f>M716</f>
        <v>13846</v>
      </c>
      <c r="AD361" s="95">
        <v>39366</v>
      </c>
    </row>
    <row r="362" spans="1:30" ht="15.6" x14ac:dyDescent="0.3">
      <c r="A362" s="55">
        <v>38127</v>
      </c>
      <c r="B362" s="56">
        <v>912</v>
      </c>
      <c r="C362" s="56">
        <v>12429</v>
      </c>
      <c r="D362" s="56">
        <v>224</v>
      </c>
      <c r="E362" s="56">
        <v>3745</v>
      </c>
      <c r="F362" s="56">
        <v>452</v>
      </c>
      <c r="G362" s="56">
        <v>6785</v>
      </c>
      <c r="H362" s="56">
        <v>325</v>
      </c>
      <c r="I362" s="56">
        <v>4786</v>
      </c>
      <c r="J362" s="56">
        <v>54</v>
      </c>
      <c r="K362" s="56">
        <v>1049</v>
      </c>
      <c r="L362" s="56">
        <v>1967</v>
      </c>
      <c r="M362" s="56">
        <v>28792</v>
      </c>
      <c r="N362" s="56">
        <v>9894</v>
      </c>
      <c r="O362" s="56">
        <v>34905</v>
      </c>
      <c r="P362" s="56">
        <v>1170</v>
      </c>
      <c r="Q362" s="56">
        <v>22833</v>
      </c>
      <c r="R362" s="16">
        <f t="shared" si="23"/>
        <v>13031</v>
      </c>
      <c r="S362" s="16">
        <f t="shared" si="24"/>
        <v>86530</v>
      </c>
      <c r="T362" s="13" t="s">
        <v>189</v>
      </c>
      <c r="U362" s="5">
        <v>13031</v>
      </c>
      <c r="V362" s="5">
        <f t="shared" si="26"/>
        <v>11406.25</v>
      </c>
      <c r="W362" s="84">
        <f t="shared" si="25"/>
        <v>79978.75</v>
      </c>
      <c r="X362" s="89">
        <f>N718</f>
        <v>19421</v>
      </c>
      <c r="Y362" s="90">
        <f>P718</f>
        <v>8133</v>
      </c>
      <c r="Z362" s="89">
        <f>L718</f>
        <v>11714</v>
      </c>
      <c r="AA362" s="86">
        <f>O718</f>
        <v>7786</v>
      </c>
      <c r="AB362" s="90">
        <f>Q718</f>
        <v>3664</v>
      </c>
      <c r="AC362" s="73">
        <f>M718</f>
        <v>14694</v>
      </c>
      <c r="AD362" s="95">
        <v>39373</v>
      </c>
    </row>
    <row r="363" spans="1:30" ht="15.6" x14ac:dyDescent="0.3">
      <c r="A363" s="55">
        <v>37770</v>
      </c>
      <c r="B363" s="56">
        <v>475</v>
      </c>
      <c r="C363" s="56">
        <v>6896</v>
      </c>
      <c r="D363" s="56">
        <v>59</v>
      </c>
      <c r="E363" s="56">
        <v>2899</v>
      </c>
      <c r="F363" s="56">
        <v>456</v>
      </c>
      <c r="G363" s="56">
        <v>6645</v>
      </c>
      <c r="H363" s="56">
        <v>297</v>
      </c>
      <c r="I363" s="56">
        <v>3617</v>
      </c>
      <c r="J363" s="56">
        <v>38</v>
      </c>
      <c r="K363" s="56">
        <v>726</v>
      </c>
      <c r="L363" s="56">
        <v>1323</v>
      </c>
      <c r="M363" s="56">
        <v>20682</v>
      </c>
      <c r="N363" s="56">
        <v>5289</v>
      </c>
      <c r="O363" s="56">
        <v>29607</v>
      </c>
      <c r="P363" s="56">
        <v>1887</v>
      </c>
      <c r="Q363" s="56">
        <v>26183</v>
      </c>
      <c r="R363" s="16">
        <f t="shared" si="23"/>
        <v>8499</v>
      </c>
      <c r="S363" s="16">
        <f t="shared" si="24"/>
        <v>76472</v>
      </c>
      <c r="T363" s="13" t="s">
        <v>189</v>
      </c>
      <c r="U363" s="5">
        <v>8499</v>
      </c>
      <c r="V363" s="5">
        <f t="shared" si="26"/>
        <v>11098.5</v>
      </c>
      <c r="W363" s="84">
        <f t="shared" si="25"/>
        <v>80686</v>
      </c>
      <c r="X363" s="89">
        <f>N720</f>
        <v>18806</v>
      </c>
      <c r="Y363" s="90">
        <f>P720</f>
        <v>8069</v>
      </c>
      <c r="Z363" s="89">
        <f>L720</f>
        <v>11048</v>
      </c>
      <c r="AA363" s="86">
        <f>O720</f>
        <v>9011</v>
      </c>
      <c r="AB363" s="90">
        <f>Q720</f>
        <v>4468</v>
      </c>
      <c r="AC363" s="73">
        <f>M720</f>
        <v>15533</v>
      </c>
      <c r="AD363" s="95">
        <v>39380</v>
      </c>
    </row>
    <row r="364" spans="1:30" ht="15.6" x14ac:dyDescent="0.3">
      <c r="A364" s="55">
        <v>38134</v>
      </c>
      <c r="B364" s="56">
        <v>665</v>
      </c>
      <c r="C364" s="56">
        <v>12697</v>
      </c>
      <c r="D364" s="56">
        <v>206</v>
      </c>
      <c r="E364" s="56">
        <v>3785</v>
      </c>
      <c r="F364" s="56">
        <v>360</v>
      </c>
      <c r="G364" s="56">
        <v>6928</v>
      </c>
      <c r="H364" s="56">
        <v>224</v>
      </c>
      <c r="I364" s="56">
        <v>4889</v>
      </c>
      <c r="J364" s="56">
        <v>28</v>
      </c>
      <c r="K364" s="56">
        <v>1053</v>
      </c>
      <c r="L364" s="56">
        <v>1484</v>
      </c>
      <c r="M364" s="56">
        <v>29353</v>
      </c>
      <c r="N364" s="56">
        <v>9450</v>
      </c>
      <c r="O364" s="56">
        <v>35780</v>
      </c>
      <c r="P364" s="56">
        <v>1130</v>
      </c>
      <c r="Q364" s="56">
        <v>22894</v>
      </c>
      <c r="R364" s="16">
        <f t="shared" si="23"/>
        <v>12064</v>
      </c>
      <c r="S364" s="16">
        <f t="shared" si="24"/>
        <v>88027</v>
      </c>
      <c r="T364" s="13" t="s">
        <v>190</v>
      </c>
      <c r="U364" s="5">
        <v>12064</v>
      </c>
      <c r="V364" s="5">
        <f t="shared" si="26"/>
        <v>10698.25</v>
      </c>
      <c r="W364" s="84">
        <f t="shared" si="25"/>
        <v>81530.25</v>
      </c>
      <c r="X364" s="89">
        <f>N722</f>
        <v>18788</v>
      </c>
      <c r="Y364" s="90">
        <f>P722</f>
        <v>7856</v>
      </c>
      <c r="Z364" s="89">
        <f>L722</f>
        <v>10300</v>
      </c>
      <c r="AA364" s="86">
        <f>O722</f>
        <v>10534</v>
      </c>
      <c r="AB364" s="90">
        <f>Q722</f>
        <v>5296</v>
      </c>
      <c r="AC364" s="73">
        <f>M722</f>
        <v>16296</v>
      </c>
      <c r="AD364" s="95">
        <v>39387</v>
      </c>
    </row>
    <row r="365" spans="1:30" ht="15.6" x14ac:dyDescent="0.3">
      <c r="A365" s="55">
        <v>37777</v>
      </c>
      <c r="B365" s="56">
        <v>1369</v>
      </c>
      <c r="C365" s="56">
        <v>121</v>
      </c>
      <c r="D365" s="56">
        <v>325</v>
      </c>
      <c r="E365" s="56">
        <v>13</v>
      </c>
      <c r="F365" s="56">
        <v>1003</v>
      </c>
      <c r="G365" s="56">
        <v>90</v>
      </c>
      <c r="H365" s="56">
        <v>536</v>
      </c>
      <c r="I365" s="56">
        <v>53</v>
      </c>
      <c r="J365" s="56">
        <v>175</v>
      </c>
      <c r="K365" s="56">
        <v>0</v>
      </c>
      <c r="L365" s="56">
        <v>3408</v>
      </c>
      <c r="M365" s="56">
        <v>276</v>
      </c>
      <c r="N365" s="56">
        <v>5302</v>
      </c>
      <c r="O365" s="56">
        <v>30325</v>
      </c>
      <c r="P365" s="56">
        <v>2075</v>
      </c>
      <c r="Q365" s="56">
        <v>26378</v>
      </c>
      <c r="R365" s="16">
        <f t="shared" si="23"/>
        <v>10785</v>
      </c>
      <c r="S365" s="16">
        <f t="shared" si="24"/>
        <v>56979</v>
      </c>
      <c r="T365" s="13" t="s">
        <v>190</v>
      </c>
      <c r="U365" s="5">
        <v>10785</v>
      </c>
      <c r="V365" s="5">
        <f t="shared" si="26"/>
        <v>11094.75</v>
      </c>
      <c r="W365" s="84">
        <f t="shared" si="25"/>
        <v>77002</v>
      </c>
      <c r="X365" s="89">
        <f>N724</f>
        <v>18642</v>
      </c>
      <c r="Y365" s="90">
        <f>P724</f>
        <v>8440</v>
      </c>
      <c r="Z365" s="89">
        <f>L724</f>
        <v>10126</v>
      </c>
      <c r="AA365" s="86">
        <f>O724</f>
        <v>12044</v>
      </c>
      <c r="AB365" s="90">
        <f>Q724</f>
        <v>6008</v>
      </c>
      <c r="AC365" s="73">
        <f>M724</f>
        <v>16886</v>
      </c>
      <c r="AD365" s="95">
        <v>39394</v>
      </c>
    </row>
    <row r="366" spans="1:30" ht="15.6" x14ac:dyDescent="0.3">
      <c r="A366" s="55">
        <v>38141</v>
      </c>
      <c r="B366" s="56">
        <v>1807</v>
      </c>
      <c r="C366" s="56">
        <v>134</v>
      </c>
      <c r="D366" s="56">
        <v>1497</v>
      </c>
      <c r="E366" s="56">
        <v>18</v>
      </c>
      <c r="F366" s="56">
        <v>1451</v>
      </c>
      <c r="G366" s="56">
        <v>54</v>
      </c>
      <c r="H366" s="56">
        <v>743</v>
      </c>
      <c r="I366" s="56">
        <v>63</v>
      </c>
      <c r="J366" s="56">
        <v>175</v>
      </c>
      <c r="K366" s="56">
        <v>22</v>
      </c>
      <c r="L366" s="56">
        <v>5673</v>
      </c>
      <c r="M366" s="56">
        <v>290</v>
      </c>
      <c r="N366" s="56">
        <v>8520</v>
      </c>
      <c r="O366" s="56">
        <v>36742</v>
      </c>
      <c r="P366" s="56">
        <v>1111</v>
      </c>
      <c r="Q366" s="56">
        <v>22918</v>
      </c>
      <c r="R366" s="16">
        <f t="shared" si="23"/>
        <v>15304</v>
      </c>
      <c r="S366" s="16">
        <f t="shared" si="24"/>
        <v>59950</v>
      </c>
      <c r="T366" s="13" t="s">
        <v>190</v>
      </c>
      <c r="U366" s="5">
        <v>15304</v>
      </c>
      <c r="V366" s="5">
        <f t="shared" si="26"/>
        <v>11663</v>
      </c>
      <c r="W366" s="84">
        <f t="shared" si="25"/>
        <v>70357</v>
      </c>
      <c r="X366" s="89">
        <f>N726</f>
        <v>19111.3</v>
      </c>
      <c r="Y366" s="90">
        <f>P726</f>
        <v>9589.9</v>
      </c>
      <c r="Z366" s="89">
        <f>L726</f>
        <v>10000.200000000001</v>
      </c>
      <c r="AA366" s="86">
        <f>O726</f>
        <v>13420.3</v>
      </c>
      <c r="AB366" s="90">
        <f>Q726</f>
        <v>6665.5</v>
      </c>
      <c r="AC366" s="73">
        <f>M726</f>
        <v>17503.599999999999</v>
      </c>
      <c r="AD366" s="95">
        <v>39401</v>
      </c>
    </row>
    <row r="367" spans="1:30" ht="15.6" x14ac:dyDescent="0.3">
      <c r="A367" s="55">
        <v>37784</v>
      </c>
      <c r="B367" s="56">
        <v>1467</v>
      </c>
      <c r="C367" s="56">
        <v>304</v>
      </c>
      <c r="D367" s="56">
        <v>385</v>
      </c>
      <c r="E367" s="56">
        <v>29</v>
      </c>
      <c r="F367" s="56">
        <v>1046</v>
      </c>
      <c r="G367" s="56">
        <v>197</v>
      </c>
      <c r="H367" s="56">
        <v>556</v>
      </c>
      <c r="I367" s="56">
        <v>118</v>
      </c>
      <c r="J367" s="56">
        <v>158</v>
      </c>
      <c r="K367" s="56">
        <v>16</v>
      </c>
      <c r="L367" s="56">
        <v>3612</v>
      </c>
      <c r="M367" s="56">
        <v>664</v>
      </c>
      <c r="N367" s="56">
        <v>5178</v>
      </c>
      <c r="O367" s="56">
        <v>31191</v>
      </c>
      <c r="P367" s="56">
        <v>1860</v>
      </c>
      <c r="Q367" s="56">
        <v>26547</v>
      </c>
      <c r="R367" s="16">
        <f t="shared" si="23"/>
        <v>10650</v>
      </c>
      <c r="S367" s="16">
        <f t="shared" si="24"/>
        <v>58402</v>
      </c>
      <c r="T367" s="13" t="s">
        <v>190</v>
      </c>
      <c r="U367" s="5">
        <v>10650</v>
      </c>
      <c r="V367" s="5">
        <f t="shared" si="26"/>
        <v>12200.75</v>
      </c>
      <c r="W367" s="84">
        <f t="shared" si="25"/>
        <v>65839.5</v>
      </c>
      <c r="X367" s="89">
        <f>N728</f>
        <v>19513</v>
      </c>
      <c r="Y367" s="90">
        <f>P728</f>
        <v>9733</v>
      </c>
      <c r="Z367" s="89">
        <f>L728</f>
        <v>9832</v>
      </c>
      <c r="AA367" s="86">
        <f>O728</f>
        <v>14860</v>
      </c>
      <c r="AB367" s="90">
        <f>Q728</f>
        <v>7641</v>
      </c>
      <c r="AC367" s="73">
        <f>M728</f>
        <v>18079</v>
      </c>
      <c r="AD367" s="95">
        <v>39408</v>
      </c>
    </row>
    <row r="368" spans="1:30" ht="15.6" x14ac:dyDescent="0.3">
      <c r="A368" s="55">
        <v>38148</v>
      </c>
      <c r="B368" s="56">
        <v>1856</v>
      </c>
      <c r="C368" s="56">
        <v>356</v>
      </c>
      <c r="D368" s="56">
        <v>1433</v>
      </c>
      <c r="E368" s="56">
        <v>68</v>
      </c>
      <c r="F368" s="56">
        <v>1536</v>
      </c>
      <c r="G368" s="56">
        <v>201</v>
      </c>
      <c r="H368" s="56">
        <v>810</v>
      </c>
      <c r="I368" s="56">
        <v>116</v>
      </c>
      <c r="J368" s="56">
        <v>154</v>
      </c>
      <c r="K368" s="56">
        <v>22</v>
      </c>
      <c r="L368" s="56">
        <v>5790</v>
      </c>
      <c r="M368" s="56">
        <v>764</v>
      </c>
      <c r="N368" s="56">
        <v>8094</v>
      </c>
      <c r="O368" s="56">
        <v>37763</v>
      </c>
      <c r="P368" s="56">
        <v>1062</v>
      </c>
      <c r="Q368" s="56">
        <v>23064</v>
      </c>
      <c r="R368" s="16">
        <f t="shared" si="23"/>
        <v>14946</v>
      </c>
      <c r="S368" s="16">
        <f t="shared" si="24"/>
        <v>61591</v>
      </c>
      <c r="T368" s="13" t="s">
        <v>190</v>
      </c>
      <c r="U368" s="5">
        <v>14946</v>
      </c>
      <c r="V368" s="5">
        <f t="shared" si="26"/>
        <v>12921.25</v>
      </c>
      <c r="W368" s="84">
        <f t="shared" si="25"/>
        <v>59230.5</v>
      </c>
      <c r="X368" s="89">
        <f>N730</f>
        <v>19044</v>
      </c>
      <c r="Y368" s="90">
        <f>P730</f>
        <v>9797</v>
      </c>
      <c r="Z368" s="89">
        <f>L730</f>
        <v>9416</v>
      </c>
      <c r="AA368" s="86">
        <f>O730</f>
        <v>16388</v>
      </c>
      <c r="AB368" s="90">
        <f>Q730</f>
        <v>8380</v>
      </c>
      <c r="AC368" s="73">
        <f>M730</f>
        <v>18731</v>
      </c>
      <c r="AD368" s="95">
        <v>39415</v>
      </c>
    </row>
    <row r="369" spans="1:30" ht="15.6" x14ac:dyDescent="0.3">
      <c r="A369" s="55">
        <v>37791</v>
      </c>
      <c r="B369" s="56">
        <v>1530</v>
      </c>
      <c r="C369" s="56">
        <v>481</v>
      </c>
      <c r="D369" s="56">
        <v>386</v>
      </c>
      <c r="E369" s="56">
        <v>45</v>
      </c>
      <c r="F369" s="56">
        <v>1223</v>
      </c>
      <c r="G369" s="56">
        <v>221</v>
      </c>
      <c r="H369" s="56">
        <v>569</v>
      </c>
      <c r="I369" s="56">
        <v>163</v>
      </c>
      <c r="J369" s="56">
        <v>142</v>
      </c>
      <c r="K369" s="56">
        <v>34</v>
      </c>
      <c r="L369" s="56">
        <v>3851</v>
      </c>
      <c r="M369" s="56">
        <v>943</v>
      </c>
      <c r="N369" s="56">
        <v>5264</v>
      </c>
      <c r="O369" s="56">
        <v>31918</v>
      </c>
      <c r="P369" s="56">
        <v>1959</v>
      </c>
      <c r="Q369" s="56">
        <v>26680</v>
      </c>
      <c r="R369" s="16">
        <f t="shared" si="23"/>
        <v>11074</v>
      </c>
      <c r="S369" s="16">
        <f t="shared" si="24"/>
        <v>59541</v>
      </c>
      <c r="T369" s="13" t="s">
        <v>191</v>
      </c>
      <c r="U369" s="5">
        <v>11074</v>
      </c>
      <c r="V369" s="5">
        <f t="shared" si="26"/>
        <v>12993.5</v>
      </c>
      <c r="W369" s="84">
        <f t="shared" si="25"/>
        <v>59871</v>
      </c>
      <c r="X369" s="89">
        <f>N732</f>
        <v>19144</v>
      </c>
      <c r="Y369" s="90">
        <f>P732</f>
        <v>9869</v>
      </c>
      <c r="Z369" s="89">
        <f>L732</f>
        <v>9266</v>
      </c>
      <c r="AA369" s="86">
        <f>O732</f>
        <v>17444</v>
      </c>
      <c r="AB369" s="90">
        <f>Q732</f>
        <v>9280</v>
      </c>
      <c r="AC369" s="73">
        <f>M732</f>
        <v>19395</v>
      </c>
      <c r="AD369" s="95">
        <v>39422</v>
      </c>
    </row>
    <row r="370" spans="1:30" ht="15.6" x14ac:dyDescent="0.3">
      <c r="A370" s="55">
        <v>38155</v>
      </c>
      <c r="B370" s="56">
        <v>1770</v>
      </c>
      <c r="C370" s="56">
        <v>592</v>
      </c>
      <c r="D370" s="56">
        <v>1511</v>
      </c>
      <c r="E370" s="56">
        <v>76</v>
      </c>
      <c r="F370" s="56">
        <v>1494</v>
      </c>
      <c r="G370" s="56">
        <v>349</v>
      </c>
      <c r="H370" s="56">
        <v>846</v>
      </c>
      <c r="I370" s="56">
        <v>171</v>
      </c>
      <c r="J370" s="56">
        <v>157</v>
      </c>
      <c r="K370" s="56">
        <v>27</v>
      </c>
      <c r="L370" s="56">
        <v>5778</v>
      </c>
      <c r="M370" s="56">
        <v>1216</v>
      </c>
      <c r="N370" s="56">
        <v>7524</v>
      </c>
      <c r="O370" s="56">
        <v>38492</v>
      </c>
      <c r="P370" s="56">
        <v>935</v>
      </c>
      <c r="Q370" s="56">
        <v>23287</v>
      </c>
      <c r="R370" s="16">
        <f t="shared" si="23"/>
        <v>14237</v>
      </c>
      <c r="S370" s="16">
        <f t="shared" si="24"/>
        <v>62995</v>
      </c>
      <c r="T370" s="13" t="s">
        <v>191</v>
      </c>
      <c r="U370" s="5">
        <v>14237</v>
      </c>
      <c r="V370" s="5">
        <f t="shared" si="26"/>
        <v>12726.75</v>
      </c>
      <c r="W370" s="84">
        <f t="shared" si="25"/>
        <v>60632.25</v>
      </c>
      <c r="X370" s="89">
        <f>N734</f>
        <v>19083</v>
      </c>
      <c r="Y370" s="90">
        <f>P734</f>
        <v>9638</v>
      </c>
      <c r="Z370" s="89">
        <f>L734</f>
        <v>8946</v>
      </c>
      <c r="AA370" s="86">
        <f>O734</f>
        <v>18662</v>
      </c>
      <c r="AB370" s="90">
        <f>Q734</f>
        <v>10368</v>
      </c>
      <c r="AC370" s="73">
        <f>M734</f>
        <v>19906</v>
      </c>
      <c r="AD370" s="95">
        <v>39429</v>
      </c>
    </row>
    <row r="371" spans="1:30" ht="15.6" x14ac:dyDescent="0.3">
      <c r="A371" s="55">
        <v>37798</v>
      </c>
      <c r="B371" s="56">
        <v>1793</v>
      </c>
      <c r="C371" s="56">
        <v>610</v>
      </c>
      <c r="D371" s="56">
        <v>403</v>
      </c>
      <c r="E371" s="56">
        <v>98</v>
      </c>
      <c r="F371" s="56">
        <v>1317</v>
      </c>
      <c r="G371" s="56">
        <v>271</v>
      </c>
      <c r="H371" s="56">
        <v>552</v>
      </c>
      <c r="I371" s="56">
        <v>196</v>
      </c>
      <c r="J371" s="56">
        <v>135</v>
      </c>
      <c r="K371" s="56">
        <v>81</v>
      </c>
      <c r="L371" s="56">
        <v>4199</v>
      </c>
      <c r="M371" s="56">
        <v>1255</v>
      </c>
      <c r="N371" s="56">
        <v>5117</v>
      </c>
      <c r="O371" s="56">
        <v>32834</v>
      </c>
      <c r="P371" s="56">
        <v>1917</v>
      </c>
      <c r="Q371" s="56">
        <v>26917</v>
      </c>
      <c r="R371" s="16">
        <f t="shared" si="23"/>
        <v>11233</v>
      </c>
      <c r="S371" s="16">
        <f t="shared" si="24"/>
        <v>61006</v>
      </c>
      <c r="T371" s="13" t="s">
        <v>191</v>
      </c>
      <c r="U371" s="5">
        <v>11233</v>
      </c>
      <c r="V371" s="5">
        <f t="shared" si="26"/>
        <v>12872.5</v>
      </c>
      <c r="W371" s="84">
        <f t="shared" si="25"/>
        <v>61283.25</v>
      </c>
      <c r="X371" s="89">
        <f>N736</f>
        <v>19243.400000000001</v>
      </c>
      <c r="Y371" s="90">
        <f>P736</f>
        <v>9486.7999999999993</v>
      </c>
      <c r="Z371" s="89">
        <f>L736</f>
        <v>8863.7999999999993</v>
      </c>
      <c r="AA371" s="86">
        <f>O736</f>
        <v>19924.599999999999</v>
      </c>
      <c r="AB371" s="90">
        <f>Q736</f>
        <v>11201.9</v>
      </c>
      <c r="AC371" s="73">
        <f>M736</f>
        <v>20287.2</v>
      </c>
      <c r="AD371" s="95">
        <v>39436</v>
      </c>
    </row>
    <row r="372" spans="1:30" ht="15.6" x14ac:dyDescent="0.3">
      <c r="A372" s="55">
        <v>38162</v>
      </c>
      <c r="B372" s="56">
        <v>1709</v>
      </c>
      <c r="C372" s="56">
        <v>810</v>
      </c>
      <c r="D372" s="56">
        <v>1511</v>
      </c>
      <c r="E372" s="56">
        <v>119</v>
      </c>
      <c r="F372" s="56">
        <v>1560</v>
      </c>
      <c r="G372" s="56">
        <v>524</v>
      </c>
      <c r="H372" s="56">
        <v>859</v>
      </c>
      <c r="I372" s="56">
        <v>189</v>
      </c>
      <c r="J372" s="56">
        <v>153</v>
      </c>
      <c r="K372" s="56">
        <v>54</v>
      </c>
      <c r="L372" s="56">
        <v>5794</v>
      </c>
      <c r="M372" s="56">
        <v>1696</v>
      </c>
      <c r="N372" s="56">
        <v>7533</v>
      </c>
      <c r="O372" s="56">
        <v>39293</v>
      </c>
      <c r="P372" s="56">
        <v>861</v>
      </c>
      <c r="Q372" s="56">
        <v>23777</v>
      </c>
      <c r="R372" s="16">
        <f t="shared" si="23"/>
        <v>14188</v>
      </c>
      <c r="S372" s="16">
        <f t="shared" si="24"/>
        <v>64766</v>
      </c>
      <c r="T372" s="13" t="s">
        <v>191</v>
      </c>
      <c r="U372" s="5">
        <v>14188</v>
      </c>
      <c r="V372" s="5">
        <f t="shared" si="26"/>
        <v>12683</v>
      </c>
      <c r="W372" s="84">
        <f t="shared" si="25"/>
        <v>62077</v>
      </c>
      <c r="X372" s="89">
        <f>N738</f>
        <v>18804</v>
      </c>
      <c r="Y372" s="90">
        <f>P738</f>
        <v>9041</v>
      </c>
      <c r="Z372" s="89">
        <f>L738</f>
        <v>8545</v>
      </c>
      <c r="AA372" s="86">
        <f>O738</f>
        <v>21065</v>
      </c>
      <c r="AB372" s="90">
        <f>Q738</f>
        <v>11789</v>
      </c>
      <c r="AC372" s="73">
        <f>M738</f>
        <v>20725</v>
      </c>
      <c r="AD372" s="95">
        <v>39443</v>
      </c>
    </row>
    <row r="373" spans="1:30" ht="15.6" x14ac:dyDescent="0.3">
      <c r="A373" s="55">
        <v>37805</v>
      </c>
      <c r="B373" s="56">
        <v>1760</v>
      </c>
      <c r="C373" s="56">
        <v>805</v>
      </c>
      <c r="D373" s="56">
        <v>551</v>
      </c>
      <c r="E373" s="56">
        <v>127</v>
      </c>
      <c r="F373" s="56">
        <v>1257</v>
      </c>
      <c r="G373" s="56">
        <v>416</v>
      </c>
      <c r="H373" s="56">
        <v>604</v>
      </c>
      <c r="I373" s="56">
        <v>270</v>
      </c>
      <c r="J373" s="56">
        <v>145</v>
      </c>
      <c r="K373" s="56">
        <v>81</v>
      </c>
      <c r="L373" s="56">
        <v>4316</v>
      </c>
      <c r="M373" s="56">
        <v>1699</v>
      </c>
      <c r="N373" s="56">
        <v>5075</v>
      </c>
      <c r="O373" s="56">
        <v>33596</v>
      </c>
      <c r="P373" s="56">
        <v>1793</v>
      </c>
      <c r="Q373" s="56">
        <v>27272</v>
      </c>
      <c r="R373" s="16">
        <f t="shared" si="23"/>
        <v>11184</v>
      </c>
      <c r="S373" s="16">
        <f t="shared" si="24"/>
        <v>62567</v>
      </c>
      <c r="T373" s="13">
        <v>39450</v>
      </c>
      <c r="U373" s="5">
        <v>11184</v>
      </c>
      <c r="V373" s="5">
        <f t="shared" ref="V373:V382" si="27">AVERAGE(U370:U373)</f>
        <v>12710.5</v>
      </c>
      <c r="W373" s="84">
        <f t="shared" ref="W373:W382" si="28">AVERAGE(S370:S373)</f>
        <v>62833.5</v>
      </c>
      <c r="X373" s="89">
        <f>N740</f>
        <v>18496</v>
      </c>
      <c r="Y373" s="90">
        <f>P740</f>
        <v>8218</v>
      </c>
      <c r="Z373" s="89">
        <f>L740</f>
        <v>8265</v>
      </c>
      <c r="AA373" s="86">
        <f>O740</f>
        <v>22043</v>
      </c>
      <c r="AB373" s="90">
        <f>Q740</f>
        <v>12729</v>
      </c>
      <c r="AC373" s="73">
        <f>M740</f>
        <v>21195</v>
      </c>
      <c r="AD373" s="95">
        <v>39450</v>
      </c>
    </row>
    <row r="374" spans="1:30" ht="15.6" x14ac:dyDescent="0.3">
      <c r="A374" s="55">
        <v>38169</v>
      </c>
      <c r="B374" s="56">
        <v>1691</v>
      </c>
      <c r="C374" s="56">
        <v>1001</v>
      </c>
      <c r="D374" s="56">
        <v>1573</v>
      </c>
      <c r="E374" s="56">
        <v>189</v>
      </c>
      <c r="F374" s="56">
        <v>1571</v>
      </c>
      <c r="G374" s="56">
        <v>603</v>
      </c>
      <c r="H374" s="56">
        <v>894</v>
      </c>
      <c r="I374" s="56">
        <v>277</v>
      </c>
      <c r="J374" s="56">
        <v>136</v>
      </c>
      <c r="K374" s="56">
        <v>70</v>
      </c>
      <c r="L374" s="56">
        <v>5866</v>
      </c>
      <c r="M374" s="56">
        <v>2141</v>
      </c>
      <c r="N374" s="56">
        <v>7158</v>
      </c>
      <c r="O374" s="56">
        <v>40188</v>
      </c>
      <c r="P374" s="56">
        <v>729</v>
      </c>
      <c r="Q374" s="56">
        <v>23513</v>
      </c>
      <c r="R374" s="16">
        <f t="shared" si="23"/>
        <v>13753</v>
      </c>
      <c r="S374" s="16">
        <f t="shared" si="24"/>
        <v>65842</v>
      </c>
      <c r="T374" s="13">
        <v>39457</v>
      </c>
      <c r="U374" s="5">
        <v>13753</v>
      </c>
      <c r="V374" s="5">
        <f t="shared" si="27"/>
        <v>12589.5</v>
      </c>
      <c r="W374" s="84">
        <f t="shared" si="28"/>
        <v>63545.25</v>
      </c>
      <c r="X374" s="89">
        <f>N742</f>
        <v>19363</v>
      </c>
      <c r="Y374" s="90">
        <f>P742</f>
        <v>8428</v>
      </c>
      <c r="Z374" s="89">
        <f>L742</f>
        <v>7966</v>
      </c>
      <c r="AA374" s="86">
        <f>O742</f>
        <v>23482</v>
      </c>
      <c r="AB374" s="90">
        <f>Q742</f>
        <v>13484</v>
      </c>
      <c r="AC374" s="73">
        <f>M742</f>
        <v>21899</v>
      </c>
      <c r="AD374" s="95">
        <v>39457</v>
      </c>
    </row>
    <row r="375" spans="1:30" ht="15.6" x14ac:dyDescent="0.3">
      <c r="A375" s="55">
        <v>37812</v>
      </c>
      <c r="B375" s="56">
        <v>2071</v>
      </c>
      <c r="C375" s="56">
        <v>936</v>
      </c>
      <c r="D375" s="56">
        <v>595</v>
      </c>
      <c r="E375" s="56">
        <v>177</v>
      </c>
      <c r="F375" s="56">
        <v>1255</v>
      </c>
      <c r="G375" s="56">
        <v>484</v>
      </c>
      <c r="H375" s="56">
        <v>572</v>
      </c>
      <c r="I375" s="56">
        <v>345</v>
      </c>
      <c r="J375" s="56">
        <v>132</v>
      </c>
      <c r="K375" s="56">
        <v>108</v>
      </c>
      <c r="L375" s="56">
        <v>4625</v>
      </c>
      <c r="M375" s="56">
        <v>2049</v>
      </c>
      <c r="N375" s="56">
        <v>4839</v>
      </c>
      <c r="O375" s="56">
        <v>34309</v>
      </c>
      <c r="P375" s="56">
        <v>1823</v>
      </c>
      <c r="Q375" s="56">
        <v>27469</v>
      </c>
      <c r="R375" s="16">
        <f t="shared" si="23"/>
        <v>11287</v>
      </c>
      <c r="S375" s="16">
        <f t="shared" si="24"/>
        <v>63827</v>
      </c>
      <c r="T375" s="13">
        <v>39464</v>
      </c>
      <c r="U375" s="5">
        <v>11287</v>
      </c>
      <c r="V375" s="5">
        <f t="shared" si="27"/>
        <v>12603</v>
      </c>
      <c r="W375" s="84">
        <f t="shared" si="28"/>
        <v>64250.5</v>
      </c>
      <c r="X375" s="89">
        <f>N744</f>
        <v>19623</v>
      </c>
      <c r="Y375" s="90">
        <f>P744</f>
        <v>8085</v>
      </c>
      <c r="Z375" s="89">
        <f>L744</f>
        <v>7894</v>
      </c>
      <c r="AA375" s="86">
        <f>O744</f>
        <v>24817</v>
      </c>
      <c r="AB375" s="90">
        <f>Q744</f>
        <v>14491</v>
      </c>
      <c r="AC375" s="73">
        <f>M744</f>
        <v>22394</v>
      </c>
      <c r="AD375" s="95">
        <v>39464</v>
      </c>
    </row>
    <row r="376" spans="1:30" ht="15.6" x14ac:dyDescent="0.3">
      <c r="A376" s="55">
        <v>38176</v>
      </c>
      <c r="B376" s="56">
        <v>1654</v>
      </c>
      <c r="C376" s="56">
        <v>1162</v>
      </c>
      <c r="D376" s="56">
        <v>1497</v>
      </c>
      <c r="E376" s="56">
        <v>275</v>
      </c>
      <c r="F376" s="56">
        <v>1557</v>
      </c>
      <c r="G376" s="56">
        <v>701</v>
      </c>
      <c r="H376" s="56">
        <v>953</v>
      </c>
      <c r="I376" s="56">
        <v>317</v>
      </c>
      <c r="J376" s="56">
        <v>134</v>
      </c>
      <c r="K376" s="56">
        <v>70</v>
      </c>
      <c r="L376" s="56">
        <v>5795</v>
      </c>
      <c r="M376" s="56">
        <v>2525</v>
      </c>
      <c r="N376" s="56">
        <v>6791</v>
      </c>
      <c r="O376" s="56">
        <v>41212</v>
      </c>
      <c r="P376" s="56">
        <v>670</v>
      </c>
      <c r="Q376" s="56">
        <v>23566</v>
      </c>
      <c r="R376" s="16">
        <f t="shared" si="23"/>
        <v>13256</v>
      </c>
      <c r="S376" s="16">
        <f t="shared" si="24"/>
        <v>67303</v>
      </c>
      <c r="T376" s="13">
        <v>39471</v>
      </c>
      <c r="U376" s="5">
        <v>13256</v>
      </c>
      <c r="V376" s="5">
        <f t="shared" si="27"/>
        <v>12370</v>
      </c>
      <c r="W376" s="84">
        <f t="shared" si="28"/>
        <v>64884.75</v>
      </c>
      <c r="X376" s="89">
        <f>N746</f>
        <v>20020</v>
      </c>
      <c r="Y376" s="90">
        <f>P746</f>
        <v>7841</v>
      </c>
      <c r="Z376" s="89">
        <f>L746</f>
        <v>7779</v>
      </c>
      <c r="AA376" s="86">
        <f>O746</f>
        <v>26308</v>
      </c>
      <c r="AB376" s="90">
        <f>Q746</f>
        <v>15223</v>
      </c>
      <c r="AC376" s="73">
        <f>M746</f>
        <v>23018</v>
      </c>
      <c r="AD376" s="95">
        <v>39471</v>
      </c>
    </row>
    <row r="377" spans="1:30" ht="15.6" x14ac:dyDescent="0.3">
      <c r="A377" s="55">
        <v>37819</v>
      </c>
      <c r="B377" s="56">
        <v>2019</v>
      </c>
      <c r="C377" s="56">
        <v>1164</v>
      </c>
      <c r="D377" s="56">
        <v>486</v>
      </c>
      <c r="E377" s="56">
        <v>317</v>
      </c>
      <c r="F377" s="56">
        <v>1221</v>
      </c>
      <c r="G377" s="56">
        <v>633</v>
      </c>
      <c r="H377" s="56">
        <v>574</v>
      </c>
      <c r="I377" s="56">
        <v>379</v>
      </c>
      <c r="J377" s="56">
        <v>147</v>
      </c>
      <c r="K377" s="56">
        <v>111</v>
      </c>
      <c r="L377" s="56">
        <v>4446</v>
      </c>
      <c r="M377" s="56">
        <v>2604</v>
      </c>
      <c r="N377" s="56">
        <v>4532</v>
      </c>
      <c r="O377" s="56">
        <v>35086</v>
      </c>
      <c r="P377" s="56">
        <v>1705</v>
      </c>
      <c r="Q377" s="56">
        <v>27771</v>
      </c>
      <c r="R377" s="16">
        <f t="shared" si="23"/>
        <v>10683</v>
      </c>
      <c r="S377" s="16">
        <f t="shared" si="24"/>
        <v>65461</v>
      </c>
      <c r="T377" s="13">
        <v>39478</v>
      </c>
      <c r="U377" s="5">
        <v>10683</v>
      </c>
      <c r="V377" s="5">
        <f t="shared" si="27"/>
        <v>12244.75</v>
      </c>
      <c r="W377" s="84">
        <f t="shared" si="28"/>
        <v>65608.25</v>
      </c>
      <c r="X377" s="89">
        <f>N748</f>
        <v>19799</v>
      </c>
      <c r="Y377" s="90">
        <f>P748</f>
        <v>7986</v>
      </c>
      <c r="Z377" s="89">
        <f>L748</f>
        <v>7631</v>
      </c>
      <c r="AA377" s="86">
        <f>O748</f>
        <v>27558</v>
      </c>
      <c r="AB377" s="90">
        <f>Q748</f>
        <v>16115</v>
      </c>
      <c r="AC377" s="73">
        <f>M748</f>
        <v>23478</v>
      </c>
      <c r="AD377" s="95">
        <v>39478</v>
      </c>
    </row>
    <row r="378" spans="1:30" ht="15.6" x14ac:dyDescent="0.3">
      <c r="A378" s="55">
        <v>38183</v>
      </c>
      <c r="B378" s="56">
        <v>1487</v>
      </c>
      <c r="C378" s="56">
        <v>1492</v>
      </c>
      <c r="D378" s="56">
        <v>1375</v>
      </c>
      <c r="E378" s="56">
        <v>406</v>
      </c>
      <c r="F378" s="56">
        <v>1596</v>
      </c>
      <c r="G378" s="56">
        <v>829</v>
      </c>
      <c r="H378" s="56">
        <v>912</v>
      </c>
      <c r="I378" s="56">
        <v>425</v>
      </c>
      <c r="J378" s="56">
        <v>128</v>
      </c>
      <c r="K378" s="56">
        <v>99</v>
      </c>
      <c r="L378" s="56">
        <v>5497</v>
      </c>
      <c r="M378" s="56">
        <v>3251</v>
      </c>
      <c r="N378" s="56">
        <v>6203</v>
      </c>
      <c r="O378" s="56">
        <v>42158</v>
      </c>
      <c r="P378" s="56">
        <v>713</v>
      </c>
      <c r="Q378" s="56">
        <v>23635</v>
      </c>
      <c r="R378" s="16">
        <f t="shared" si="23"/>
        <v>12413</v>
      </c>
      <c r="S378" s="16">
        <f t="shared" si="24"/>
        <v>69044</v>
      </c>
      <c r="T378" s="13">
        <v>39485</v>
      </c>
      <c r="U378" s="5">
        <v>12413</v>
      </c>
      <c r="V378" s="5">
        <f t="shared" si="27"/>
        <v>11909.75</v>
      </c>
      <c r="W378" s="84">
        <f t="shared" si="28"/>
        <v>66408.75</v>
      </c>
      <c r="X378" s="89">
        <f>N750</f>
        <v>19586</v>
      </c>
      <c r="Y378" s="113">
        <f>P750</f>
        <v>7289</v>
      </c>
      <c r="Z378" s="89">
        <f>L750</f>
        <v>7168</v>
      </c>
      <c r="AA378" s="86">
        <f>O750</f>
        <v>28695</v>
      </c>
      <c r="AB378" s="90">
        <f>Q750</f>
        <v>17140</v>
      </c>
      <c r="AC378" s="73">
        <f>M750</f>
        <v>24025</v>
      </c>
      <c r="AD378" s="95">
        <v>39485</v>
      </c>
    </row>
    <row r="379" spans="1:30" ht="15.6" x14ac:dyDescent="0.3">
      <c r="A379" s="55">
        <v>37826</v>
      </c>
      <c r="B379" s="56">
        <v>1945</v>
      </c>
      <c r="C379" s="56">
        <v>1440</v>
      </c>
      <c r="D379" s="56">
        <v>482</v>
      </c>
      <c r="E379" s="56">
        <v>433</v>
      </c>
      <c r="F379" s="56">
        <v>1269</v>
      </c>
      <c r="G379" s="56">
        <v>750</v>
      </c>
      <c r="H379" s="56">
        <v>507</v>
      </c>
      <c r="I379" s="56">
        <v>423</v>
      </c>
      <c r="J379" s="56">
        <v>166</v>
      </c>
      <c r="K379" s="56">
        <v>122</v>
      </c>
      <c r="L379" s="56">
        <v>4368</v>
      </c>
      <c r="M379" s="56">
        <v>3168</v>
      </c>
      <c r="N379" s="56">
        <v>4238</v>
      </c>
      <c r="O379" s="56">
        <v>35928</v>
      </c>
      <c r="P379" s="56">
        <v>1706</v>
      </c>
      <c r="Q379" s="56">
        <v>27890</v>
      </c>
      <c r="R379" s="16">
        <f t="shared" si="23"/>
        <v>10312</v>
      </c>
      <c r="S379" s="16">
        <f t="shared" si="24"/>
        <v>66986</v>
      </c>
      <c r="T379" s="13">
        <v>39492</v>
      </c>
      <c r="U379" s="5">
        <v>10312</v>
      </c>
      <c r="V379" s="5">
        <f t="shared" si="27"/>
        <v>11666</v>
      </c>
      <c r="W379" s="84">
        <f t="shared" si="28"/>
        <v>67198.5</v>
      </c>
      <c r="X379" s="88"/>
      <c r="Y379" s="113">
        <f>P752</f>
        <v>6977</v>
      </c>
      <c r="Z379" s="73"/>
      <c r="AA379" s="101">
        <f>O752</f>
        <v>30107</v>
      </c>
      <c r="AB379" s="113">
        <f>Q752</f>
        <v>18083</v>
      </c>
      <c r="AD379" s="95">
        <v>39492</v>
      </c>
    </row>
    <row r="380" spans="1:30" ht="15.6" x14ac:dyDescent="0.3">
      <c r="A380" s="55">
        <v>38190</v>
      </c>
      <c r="B380" s="56">
        <v>1659</v>
      </c>
      <c r="C380" s="56">
        <v>1599</v>
      </c>
      <c r="D380" s="56">
        <v>1371</v>
      </c>
      <c r="E380" s="56">
        <v>434</v>
      </c>
      <c r="F380" s="56">
        <v>1587</v>
      </c>
      <c r="G380" s="56">
        <v>1009</v>
      </c>
      <c r="H380" s="56">
        <v>1001</v>
      </c>
      <c r="I380" s="56">
        <v>446</v>
      </c>
      <c r="J380" s="56">
        <v>123</v>
      </c>
      <c r="K380" s="56">
        <v>118</v>
      </c>
      <c r="L380" s="56">
        <v>5742</v>
      </c>
      <c r="M380" s="56">
        <v>3605</v>
      </c>
      <c r="N380" s="56">
        <v>5775</v>
      </c>
      <c r="O380" s="56">
        <v>42964</v>
      </c>
      <c r="P380" s="56">
        <v>520</v>
      </c>
      <c r="Q380" s="56">
        <v>23790</v>
      </c>
      <c r="R380" s="16">
        <f t="shared" si="23"/>
        <v>12037</v>
      </c>
      <c r="S380" s="16">
        <f t="shared" si="24"/>
        <v>70359</v>
      </c>
      <c r="T380" s="13">
        <v>39499</v>
      </c>
      <c r="U380" s="5">
        <v>12037</v>
      </c>
      <c r="V380" s="5">
        <f t="shared" si="27"/>
        <v>11361.25</v>
      </c>
      <c r="W380" s="84">
        <f t="shared" si="28"/>
        <v>67962.5</v>
      </c>
      <c r="X380" s="88"/>
      <c r="Y380" s="73">
        <f>P754</f>
        <v>6893</v>
      </c>
      <c r="Z380" s="73"/>
      <c r="AA380" s="101">
        <f>O754</f>
        <v>31355</v>
      </c>
      <c r="AB380" s="113">
        <f>Q753</f>
        <v>19877</v>
      </c>
      <c r="AD380" s="95">
        <v>39499</v>
      </c>
    </row>
    <row r="381" spans="1:30" ht="15.6" x14ac:dyDescent="0.3">
      <c r="A381" s="55">
        <v>37833</v>
      </c>
      <c r="B381" s="56">
        <v>1930</v>
      </c>
      <c r="C381" s="56">
        <v>1701</v>
      </c>
      <c r="D381" s="56">
        <v>404</v>
      </c>
      <c r="E381" s="56">
        <v>575</v>
      </c>
      <c r="F381" s="56">
        <v>1292</v>
      </c>
      <c r="G381" s="56">
        <v>840</v>
      </c>
      <c r="H381" s="56">
        <v>504</v>
      </c>
      <c r="I381" s="56">
        <v>564</v>
      </c>
      <c r="J381" s="56">
        <v>149</v>
      </c>
      <c r="K381" s="56">
        <v>146</v>
      </c>
      <c r="L381" s="56">
        <v>4279</v>
      </c>
      <c r="M381" s="56">
        <v>3825</v>
      </c>
      <c r="N381" s="56">
        <v>3851</v>
      </c>
      <c r="O381" s="56">
        <v>36739</v>
      </c>
      <c r="P381" s="56">
        <v>1568</v>
      </c>
      <c r="Q381" s="56">
        <v>28161</v>
      </c>
      <c r="R381" s="16">
        <f t="shared" si="23"/>
        <v>9698</v>
      </c>
      <c r="S381" s="16">
        <f t="shared" si="24"/>
        <v>68725</v>
      </c>
      <c r="T381" s="13">
        <v>39506</v>
      </c>
      <c r="U381" s="5">
        <v>9698</v>
      </c>
      <c r="V381" s="5">
        <f t="shared" si="27"/>
        <v>11115</v>
      </c>
      <c r="W381" s="84">
        <f t="shared" si="28"/>
        <v>68778.5</v>
      </c>
      <c r="X381" s="88"/>
      <c r="Y381" s="73">
        <f>P756</f>
        <v>6138</v>
      </c>
      <c r="Z381" s="73"/>
      <c r="AA381" s="101">
        <f>O756</f>
        <v>32687</v>
      </c>
      <c r="AB381" s="73">
        <f>Q756</f>
        <v>19709</v>
      </c>
      <c r="AD381" s="95">
        <v>39506</v>
      </c>
    </row>
    <row r="382" spans="1:30" ht="15.6" x14ac:dyDescent="0.3">
      <c r="A382" s="55">
        <v>38197</v>
      </c>
      <c r="B382" s="56">
        <v>1617</v>
      </c>
      <c r="C382" s="56">
        <v>1855</v>
      </c>
      <c r="D382" s="56">
        <v>1329</v>
      </c>
      <c r="E382" s="56">
        <v>616</v>
      </c>
      <c r="F382" s="56">
        <v>1474</v>
      </c>
      <c r="G382" s="56">
        <v>1147</v>
      </c>
      <c r="H382" s="56">
        <v>1054</v>
      </c>
      <c r="I382" s="56">
        <v>539</v>
      </c>
      <c r="J382" s="56">
        <v>93</v>
      </c>
      <c r="K382" s="56">
        <v>127</v>
      </c>
      <c r="L382" s="56">
        <v>5567</v>
      </c>
      <c r="M382" s="56">
        <v>4283</v>
      </c>
      <c r="N382" s="56">
        <v>5170</v>
      </c>
      <c r="O382" s="56">
        <v>44040</v>
      </c>
      <c r="P382" s="56">
        <v>536</v>
      </c>
      <c r="Q382" s="56">
        <v>23839</v>
      </c>
      <c r="R382" s="16">
        <f t="shared" si="23"/>
        <v>11273</v>
      </c>
      <c r="S382" s="16">
        <f t="shared" si="24"/>
        <v>72162</v>
      </c>
      <c r="T382" s="13">
        <v>39513</v>
      </c>
      <c r="U382" s="5">
        <v>11273</v>
      </c>
      <c r="V382" s="5">
        <f t="shared" si="27"/>
        <v>10830</v>
      </c>
      <c r="W382" s="84">
        <f t="shared" si="28"/>
        <v>69558</v>
      </c>
      <c r="X382" s="88"/>
      <c r="Y382" s="73">
        <f>P758</f>
        <v>5509</v>
      </c>
      <c r="Z382" s="73"/>
      <c r="AA382" s="101">
        <f>O758</f>
        <v>33749</v>
      </c>
      <c r="AB382" s="73">
        <f>Q758</f>
        <v>20595</v>
      </c>
      <c r="AD382" s="95">
        <v>39513</v>
      </c>
    </row>
    <row r="383" spans="1:30" ht="15.6" x14ac:dyDescent="0.3">
      <c r="A383" s="55">
        <v>37840</v>
      </c>
      <c r="B383" s="56">
        <v>1997</v>
      </c>
      <c r="C383" s="56">
        <v>1949</v>
      </c>
      <c r="D383" s="56">
        <v>401</v>
      </c>
      <c r="E383" s="56">
        <v>696</v>
      </c>
      <c r="F383" s="56">
        <v>1219</v>
      </c>
      <c r="G383" s="56">
        <v>1007</v>
      </c>
      <c r="H383" s="56">
        <v>578</v>
      </c>
      <c r="I383" s="56">
        <v>620</v>
      </c>
      <c r="J383" s="56">
        <v>210</v>
      </c>
      <c r="K383" s="56">
        <v>149</v>
      </c>
      <c r="L383" s="56">
        <v>4405</v>
      </c>
      <c r="M383" s="56">
        <v>4421</v>
      </c>
      <c r="N383" s="56">
        <v>3684</v>
      </c>
      <c r="O383" s="56">
        <v>37238</v>
      </c>
      <c r="P383" s="56">
        <v>1293</v>
      </c>
      <c r="Q383" s="56">
        <v>28293</v>
      </c>
      <c r="R383" s="16">
        <f t="shared" si="23"/>
        <v>9382</v>
      </c>
      <c r="S383" s="16">
        <f t="shared" si="24"/>
        <v>69952</v>
      </c>
      <c r="T383" s="13">
        <v>39520</v>
      </c>
      <c r="U383" s="5">
        <v>9382</v>
      </c>
      <c r="V383" s="5"/>
      <c r="W383" s="8"/>
      <c r="X383" s="73"/>
      <c r="Y383" s="73">
        <f>P760</f>
        <v>5191</v>
      </c>
      <c r="AA383" s="102"/>
      <c r="AB383" s="73">
        <f>Q760</f>
        <v>21351</v>
      </c>
      <c r="AD383" s="95">
        <v>39520</v>
      </c>
    </row>
    <row r="384" spans="1:30" ht="15.6" x14ac:dyDescent="0.3">
      <c r="A384" s="55">
        <v>38204</v>
      </c>
      <c r="B384" s="56">
        <v>1638</v>
      </c>
      <c r="C384" s="56">
        <v>2011</v>
      </c>
      <c r="D384" s="56">
        <v>1305</v>
      </c>
      <c r="E384" s="56">
        <v>769</v>
      </c>
      <c r="F384" s="56">
        <v>1408</v>
      </c>
      <c r="G384" s="56">
        <v>1370</v>
      </c>
      <c r="H384" s="56">
        <v>1040</v>
      </c>
      <c r="I384" s="56">
        <v>637</v>
      </c>
      <c r="J384" s="56">
        <v>112</v>
      </c>
      <c r="K384" s="56">
        <v>127</v>
      </c>
      <c r="L384" s="56">
        <v>5502</v>
      </c>
      <c r="M384" s="56">
        <v>4914</v>
      </c>
      <c r="N384" s="56">
        <v>4678</v>
      </c>
      <c r="O384" s="56">
        <v>44792</v>
      </c>
      <c r="P384" s="56">
        <v>464</v>
      </c>
      <c r="Q384" s="56">
        <v>23912</v>
      </c>
      <c r="R384" s="16">
        <f t="shared" si="23"/>
        <v>10644</v>
      </c>
      <c r="S384" s="16">
        <f t="shared" si="24"/>
        <v>73618</v>
      </c>
      <c r="T384" s="13">
        <v>39527</v>
      </c>
      <c r="U384" s="5">
        <v>10644</v>
      </c>
      <c r="V384" s="5"/>
      <c r="W384" s="8"/>
      <c r="Y384" s="73">
        <f>P762</f>
        <v>4924</v>
      </c>
      <c r="AA384" s="102"/>
      <c r="AB384" s="73">
        <f>Q762</f>
        <v>21988</v>
      </c>
      <c r="AD384" s="95">
        <v>39527</v>
      </c>
    </row>
    <row r="385" spans="1:30" ht="15.6" x14ac:dyDescent="0.3">
      <c r="A385" s="55">
        <v>37847</v>
      </c>
      <c r="B385" s="56">
        <v>2046</v>
      </c>
      <c r="C385" s="56">
        <v>2234</v>
      </c>
      <c r="D385" s="56">
        <v>529</v>
      </c>
      <c r="E385" s="56">
        <v>764</v>
      </c>
      <c r="F385" s="56">
        <v>1242</v>
      </c>
      <c r="G385" s="56">
        <v>1124</v>
      </c>
      <c r="H385" s="56">
        <v>557</v>
      </c>
      <c r="I385" s="56">
        <v>703</v>
      </c>
      <c r="J385" s="56">
        <v>172</v>
      </c>
      <c r="K385" s="56">
        <v>193</v>
      </c>
      <c r="L385" s="56">
        <v>4546</v>
      </c>
      <c r="M385" s="56">
        <v>5019</v>
      </c>
      <c r="N385" s="56">
        <v>3180</v>
      </c>
      <c r="O385" s="56">
        <v>38006</v>
      </c>
      <c r="P385" s="56">
        <v>1147</v>
      </c>
      <c r="Q385" s="56">
        <v>28479</v>
      </c>
      <c r="R385" s="16">
        <f t="shared" si="23"/>
        <v>8873</v>
      </c>
      <c r="S385" s="16">
        <f t="shared" si="24"/>
        <v>71504</v>
      </c>
      <c r="T385" s="13">
        <v>39534</v>
      </c>
      <c r="U385" s="5">
        <v>8873</v>
      </c>
      <c r="V385" s="5"/>
      <c r="W385" s="8"/>
      <c r="Y385" s="73">
        <f>P764</f>
        <v>4381</v>
      </c>
      <c r="AA385" s="102"/>
      <c r="AB385" s="73">
        <f>Q764</f>
        <v>22716</v>
      </c>
      <c r="AD385" s="95">
        <v>39534</v>
      </c>
    </row>
    <row r="386" spans="1:30" ht="15.6" x14ac:dyDescent="0.3">
      <c r="A386" s="55">
        <v>38211</v>
      </c>
      <c r="B386" s="56">
        <v>1663</v>
      </c>
      <c r="C386" s="56">
        <v>2205</v>
      </c>
      <c r="D386" s="56">
        <v>1294</v>
      </c>
      <c r="E386" s="56">
        <v>847</v>
      </c>
      <c r="F386" s="56">
        <v>1527</v>
      </c>
      <c r="G386" s="56">
        <v>1446</v>
      </c>
      <c r="H386" s="56">
        <v>1212</v>
      </c>
      <c r="I386" s="56">
        <v>731</v>
      </c>
      <c r="J386" s="56">
        <v>104</v>
      </c>
      <c r="K386" s="56">
        <v>132</v>
      </c>
      <c r="L386" s="56">
        <v>5799</v>
      </c>
      <c r="M386" s="56">
        <v>5360</v>
      </c>
      <c r="N386" s="56">
        <v>3862</v>
      </c>
      <c r="O386" s="56">
        <v>45794</v>
      </c>
      <c r="P386" s="56">
        <v>444</v>
      </c>
      <c r="Q386" s="56">
        <v>23956</v>
      </c>
      <c r="R386" s="16">
        <f t="shared" si="23"/>
        <v>10105</v>
      </c>
      <c r="S386" s="16">
        <f t="shared" si="24"/>
        <v>75110</v>
      </c>
      <c r="T386" s="13">
        <v>39541</v>
      </c>
      <c r="U386" s="5">
        <v>10105</v>
      </c>
      <c r="V386" s="5"/>
      <c r="W386" s="8"/>
      <c r="Y386" s="73">
        <f>P766</f>
        <v>4538</v>
      </c>
      <c r="AA386" s="102"/>
      <c r="AB386" s="73">
        <f>Q766</f>
        <v>23142</v>
      </c>
      <c r="AD386" s="95">
        <v>39541</v>
      </c>
    </row>
    <row r="387" spans="1:30" ht="15.6" x14ac:dyDescent="0.3">
      <c r="A387" s="55">
        <v>37854</v>
      </c>
      <c r="B387" s="56">
        <v>2273</v>
      </c>
      <c r="C387" s="56">
        <v>2649</v>
      </c>
      <c r="D387" s="56">
        <v>653</v>
      </c>
      <c r="E387" s="56">
        <v>794</v>
      </c>
      <c r="F387" s="56">
        <v>1330</v>
      </c>
      <c r="G387" s="56">
        <v>1346</v>
      </c>
      <c r="H387" s="56">
        <v>647</v>
      </c>
      <c r="I387" s="56">
        <v>759</v>
      </c>
      <c r="J387" s="56">
        <v>209</v>
      </c>
      <c r="K387" s="56">
        <v>193</v>
      </c>
      <c r="L387" s="56">
        <v>5111</v>
      </c>
      <c r="M387" s="56">
        <v>5740</v>
      </c>
      <c r="N387" s="56">
        <v>2653</v>
      </c>
      <c r="O387" s="56">
        <v>38728</v>
      </c>
      <c r="P387" s="56">
        <v>940</v>
      </c>
      <c r="Q387" s="56">
        <v>28739</v>
      </c>
      <c r="R387" s="16">
        <f t="shared" si="23"/>
        <v>8704</v>
      </c>
      <c r="S387" s="16">
        <f t="shared" si="24"/>
        <v>73207</v>
      </c>
      <c r="T387" s="13">
        <v>39548</v>
      </c>
      <c r="U387" s="5">
        <v>8704</v>
      </c>
      <c r="V387" s="5"/>
      <c r="W387" s="8"/>
      <c r="Y387" s="73">
        <f>P768</f>
        <v>4607</v>
      </c>
      <c r="AA387" s="102"/>
      <c r="AB387" s="73">
        <f>Q768</f>
        <v>23550</v>
      </c>
      <c r="AD387" s="95">
        <v>39548</v>
      </c>
    </row>
    <row r="388" spans="1:30" ht="15.6" x14ac:dyDescent="0.3">
      <c r="A388" s="55">
        <v>38218</v>
      </c>
      <c r="B388" s="56">
        <v>1643</v>
      </c>
      <c r="C388" s="56">
        <v>2409</v>
      </c>
      <c r="D388" s="56">
        <v>1275</v>
      </c>
      <c r="E388" s="56">
        <v>952</v>
      </c>
      <c r="F388" s="56">
        <v>1524</v>
      </c>
      <c r="G388" s="56">
        <v>1615</v>
      </c>
      <c r="H388" s="56">
        <v>1260</v>
      </c>
      <c r="I388" s="56">
        <v>855</v>
      </c>
      <c r="J388" s="56">
        <v>88</v>
      </c>
      <c r="K388" s="56">
        <v>149</v>
      </c>
      <c r="L388" s="56">
        <v>5790</v>
      </c>
      <c r="M388" s="56">
        <v>5973</v>
      </c>
      <c r="N388" s="56">
        <v>3019</v>
      </c>
      <c r="O388" s="56">
        <v>46770</v>
      </c>
      <c r="P388" s="56">
        <v>387</v>
      </c>
      <c r="Q388" s="56">
        <v>24031</v>
      </c>
      <c r="R388" s="16">
        <f t="shared" si="23"/>
        <v>9196</v>
      </c>
      <c r="S388" s="16">
        <f t="shared" si="24"/>
        <v>76774</v>
      </c>
      <c r="T388" s="13">
        <v>39555</v>
      </c>
      <c r="U388" s="5">
        <v>9196</v>
      </c>
      <c r="V388" s="5"/>
      <c r="W388" s="8"/>
      <c r="Y388" s="73">
        <f>P770</f>
        <v>4444</v>
      </c>
      <c r="AA388" s="102"/>
      <c r="AB388" s="73">
        <f>Q770</f>
        <v>24090</v>
      </c>
      <c r="AD388" s="95">
        <v>39555</v>
      </c>
    </row>
    <row r="389" spans="1:30" ht="15.6" x14ac:dyDescent="0.3">
      <c r="A389" s="55">
        <v>37861</v>
      </c>
      <c r="B389" s="56">
        <v>2375</v>
      </c>
      <c r="C389" s="56">
        <v>2836</v>
      </c>
      <c r="D389" s="56">
        <v>565</v>
      </c>
      <c r="E389" s="56">
        <v>952</v>
      </c>
      <c r="F389" s="56">
        <v>1324</v>
      </c>
      <c r="G389" s="56">
        <v>1492</v>
      </c>
      <c r="H389" s="56">
        <v>655</v>
      </c>
      <c r="I389" s="56">
        <v>844</v>
      </c>
      <c r="J389" s="56">
        <v>166</v>
      </c>
      <c r="K389" s="56">
        <v>232</v>
      </c>
      <c r="L389" s="56">
        <v>5085</v>
      </c>
      <c r="M389" s="56">
        <v>6355</v>
      </c>
      <c r="N389" s="56">
        <v>1900</v>
      </c>
      <c r="O389" s="56">
        <v>39646</v>
      </c>
      <c r="P389" s="56">
        <v>599</v>
      </c>
      <c r="Q389" s="56">
        <v>28908</v>
      </c>
      <c r="R389" s="16">
        <f t="shared" si="23"/>
        <v>7584</v>
      </c>
      <c r="S389" s="16">
        <f t="shared" si="24"/>
        <v>74909</v>
      </c>
      <c r="T389" s="13">
        <v>39562</v>
      </c>
      <c r="U389" s="5">
        <v>7584</v>
      </c>
      <c r="V389" s="5"/>
      <c r="W389" s="8"/>
      <c r="Y389" s="73">
        <f>P772</f>
        <v>4210</v>
      </c>
      <c r="AA389" s="102"/>
      <c r="AB389" s="73">
        <f>Q772</f>
        <v>24635</v>
      </c>
      <c r="AD389" s="95">
        <v>39562</v>
      </c>
    </row>
    <row r="390" spans="1:30" ht="15.6" x14ac:dyDescent="0.3">
      <c r="A390" s="55">
        <v>38225</v>
      </c>
      <c r="B390" s="56">
        <v>1813</v>
      </c>
      <c r="C390" s="56">
        <v>2578</v>
      </c>
      <c r="D390" s="56">
        <v>1067</v>
      </c>
      <c r="E390" s="56">
        <v>1053</v>
      </c>
      <c r="F390" s="56">
        <v>1575</v>
      </c>
      <c r="G390" s="56">
        <v>1798</v>
      </c>
      <c r="H390" s="56">
        <v>1224</v>
      </c>
      <c r="I390" s="56">
        <v>961</v>
      </c>
      <c r="J390" s="56">
        <v>110</v>
      </c>
      <c r="K390" s="56">
        <v>149</v>
      </c>
      <c r="L390" s="56">
        <v>5787</v>
      </c>
      <c r="M390" s="56">
        <v>6539</v>
      </c>
      <c r="N390" s="56">
        <v>2177</v>
      </c>
      <c r="O390" s="56">
        <v>47704</v>
      </c>
      <c r="P390" s="56">
        <v>310</v>
      </c>
      <c r="Q390" s="56">
        <v>24108</v>
      </c>
      <c r="R390" s="16">
        <f t="shared" si="23"/>
        <v>8274</v>
      </c>
      <c r="S390" s="16">
        <f t="shared" si="24"/>
        <v>78351</v>
      </c>
      <c r="T390" s="13">
        <v>39569</v>
      </c>
      <c r="U390" s="5">
        <v>8274</v>
      </c>
      <c r="V390" s="5"/>
      <c r="W390" s="8"/>
      <c r="Y390" s="73">
        <f>P774</f>
        <v>3889</v>
      </c>
      <c r="AA390" s="102"/>
      <c r="AB390" s="73">
        <f>Q774</f>
        <v>24997</v>
      </c>
      <c r="AD390" s="95">
        <v>39569</v>
      </c>
    </row>
    <row r="391" spans="1:30" ht="15.6" x14ac:dyDescent="0.3">
      <c r="A391" s="55">
        <v>37868</v>
      </c>
      <c r="B391" s="56">
        <v>2262</v>
      </c>
      <c r="C391" s="56">
        <v>3161</v>
      </c>
      <c r="D391" s="56">
        <v>568</v>
      </c>
      <c r="E391" s="56">
        <v>1028</v>
      </c>
      <c r="F391" s="56">
        <v>1355</v>
      </c>
      <c r="G391" s="56">
        <v>1606</v>
      </c>
      <c r="H391" s="56">
        <v>747</v>
      </c>
      <c r="I391" s="56">
        <v>945</v>
      </c>
      <c r="J391" s="56">
        <v>178</v>
      </c>
      <c r="K391" s="56">
        <v>250</v>
      </c>
      <c r="L391" s="56">
        <v>5108</v>
      </c>
      <c r="M391" s="56">
        <v>6990</v>
      </c>
      <c r="N391" s="56">
        <v>7626</v>
      </c>
      <c r="O391" s="56">
        <v>461</v>
      </c>
      <c r="P391" s="56">
        <v>8064</v>
      </c>
      <c r="Q391" s="56">
        <v>40</v>
      </c>
      <c r="R391" s="16">
        <f t="shared" si="23"/>
        <v>20798</v>
      </c>
      <c r="S391" s="16">
        <f t="shared" si="24"/>
        <v>7491</v>
      </c>
      <c r="T391" s="13">
        <v>39576</v>
      </c>
      <c r="U391" s="5">
        <v>20798</v>
      </c>
      <c r="V391" s="5"/>
      <c r="W391" s="8"/>
      <c r="Y391" s="73">
        <f>P776</f>
        <v>3603</v>
      </c>
      <c r="AA391" s="102"/>
      <c r="AB391" s="73">
        <f>Q776</f>
        <v>25484</v>
      </c>
      <c r="AD391" s="95">
        <v>39576</v>
      </c>
    </row>
    <row r="392" spans="1:30" ht="15.6" x14ac:dyDescent="0.3">
      <c r="A392" s="55">
        <v>38232</v>
      </c>
      <c r="B392" s="56">
        <v>1768</v>
      </c>
      <c r="C392" s="56">
        <v>2784</v>
      </c>
      <c r="D392" s="56">
        <v>898</v>
      </c>
      <c r="E392" s="56">
        <v>1258</v>
      </c>
      <c r="F392" s="56">
        <v>1471</v>
      </c>
      <c r="G392" s="56">
        <v>2013</v>
      </c>
      <c r="H392" s="56">
        <v>1271</v>
      </c>
      <c r="I392" s="56">
        <v>1088</v>
      </c>
      <c r="J392" s="56">
        <v>80</v>
      </c>
      <c r="K392" s="56">
        <v>183</v>
      </c>
      <c r="L392" s="56">
        <v>5488</v>
      </c>
      <c r="M392" s="56">
        <v>7325</v>
      </c>
      <c r="N392" s="56">
        <v>6936</v>
      </c>
      <c r="O392" s="56">
        <v>230</v>
      </c>
      <c r="P392" s="56">
        <v>5968</v>
      </c>
      <c r="Q392" s="56">
        <v>72</v>
      </c>
      <c r="R392" s="16">
        <f t="shared" ref="R392:R455" si="29">L392+N392+P392</f>
        <v>18392</v>
      </c>
      <c r="S392" s="16">
        <f t="shared" ref="S392:S455" si="30">M392+O392+Q392</f>
        <v>7627</v>
      </c>
      <c r="T392" s="13">
        <f>T391+7</f>
        <v>39583</v>
      </c>
      <c r="U392" s="5">
        <v>18392</v>
      </c>
      <c r="V392" s="5"/>
      <c r="W392" s="8"/>
      <c r="Y392" s="73">
        <f>P778</f>
        <v>3714</v>
      </c>
      <c r="AA392" s="102"/>
      <c r="AB392" s="73">
        <f>Q778</f>
        <v>25756</v>
      </c>
      <c r="AD392" s="95">
        <v>39583</v>
      </c>
    </row>
    <row r="393" spans="1:30" ht="15.6" x14ac:dyDescent="0.3">
      <c r="A393" s="55">
        <v>37875</v>
      </c>
      <c r="B393" s="56">
        <v>2191</v>
      </c>
      <c r="C393" s="56">
        <v>3402</v>
      </c>
      <c r="D393" s="56">
        <v>631</v>
      </c>
      <c r="E393" s="56">
        <v>1095</v>
      </c>
      <c r="F393" s="56">
        <v>1268</v>
      </c>
      <c r="G393" s="56">
        <v>1843</v>
      </c>
      <c r="H393" s="56">
        <v>864</v>
      </c>
      <c r="I393" s="56">
        <v>1013</v>
      </c>
      <c r="J393" s="56">
        <v>187</v>
      </c>
      <c r="K393" s="56">
        <v>277</v>
      </c>
      <c r="L393" s="56">
        <v>5141</v>
      </c>
      <c r="M393" s="56">
        <v>7632</v>
      </c>
      <c r="N393" s="56">
        <v>7683</v>
      </c>
      <c r="O393" s="56">
        <v>1319</v>
      </c>
      <c r="P393" s="56">
        <v>8468</v>
      </c>
      <c r="Q393" s="56">
        <v>225</v>
      </c>
      <c r="R393" s="16">
        <f t="shared" si="29"/>
        <v>21292</v>
      </c>
      <c r="S393" s="16">
        <f t="shared" si="30"/>
        <v>9176</v>
      </c>
      <c r="T393" s="13">
        <f t="shared" ref="T393:T456" si="31">T392+7</f>
        <v>39590</v>
      </c>
      <c r="U393" s="5">
        <v>21292</v>
      </c>
      <c r="V393" s="5"/>
      <c r="W393" s="8"/>
      <c r="Y393" s="73">
        <f>P780</f>
        <v>3575</v>
      </c>
      <c r="AA393" s="102"/>
      <c r="AB393" s="73">
        <f>Q780</f>
        <v>26141</v>
      </c>
      <c r="AD393" s="95">
        <v>39590</v>
      </c>
    </row>
    <row r="394" spans="1:30" ht="15.6" x14ac:dyDescent="0.3">
      <c r="A394" s="55">
        <v>38239</v>
      </c>
      <c r="B394" s="56">
        <v>1702</v>
      </c>
      <c r="C394" s="56">
        <v>2975</v>
      </c>
      <c r="D394" s="56">
        <v>932</v>
      </c>
      <c r="E394" s="56">
        <v>1317</v>
      </c>
      <c r="F394" s="56">
        <v>1321</v>
      </c>
      <c r="G394" s="56">
        <v>2225</v>
      </c>
      <c r="H394" s="56">
        <v>1196</v>
      </c>
      <c r="I394" s="56">
        <v>1229</v>
      </c>
      <c r="J394" s="56">
        <v>79</v>
      </c>
      <c r="K394" s="56">
        <v>188</v>
      </c>
      <c r="L394" s="56">
        <v>5230</v>
      </c>
      <c r="M394" s="56">
        <v>7933</v>
      </c>
      <c r="N394" s="56">
        <v>7431</v>
      </c>
      <c r="O394" s="56">
        <v>943</v>
      </c>
      <c r="P394" s="56">
        <v>6305</v>
      </c>
      <c r="Q394" s="56">
        <v>370</v>
      </c>
      <c r="R394" s="16">
        <f t="shared" si="29"/>
        <v>18966</v>
      </c>
      <c r="S394" s="16">
        <f t="shared" si="30"/>
        <v>9246</v>
      </c>
      <c r="T394" s="13">
        <f t="shared" si="31"/>
        <v>39597</v>
      </c>
      <c r="U394" s="5">
        <v>18966</v>
      </c>
      <c r="V394" s="5"/>
      <c r="W394" s="8"/>
      <c r="Y394" s="73">
        <f>P782</f>
        <v>3591</v>
      </c>
      <c r="AA394" s="102"/>
      <c r="AB394" s="73">
        <f>Q782</f>
        <v>26424</v>
      </c>
      <c r="AD394" s="95">
        <v>39597</v>
      </c>
    </row>
    <row r="395" spans="1:30" ht="15.6" x14ac:dyDescent="0.3">
      <c r="A395" s="55">
        <v>37882</v>
      </c>
      <c r="B395" s="56">
        <v>2201</v>
      </c>
      <c r="C395" s="56">
        <v>3714</v>
      </c>
      <c r="D395" s="56">
        <v>539</v>
      </c>
      <c r="E395" s="56">
        <v>1331</v>
      </c>
      <c r="F395" s="56">
        <v>1177</v>
      </c>
      <c r="G395" s="56">
        <v>2040</v>
      </c>
      <c r="H395" s="56">
        <v>893</v>
      </c>
      <c r="I395" s="56">
        <v>1176</v>
      </c>
      <c r="J395" s="56">
        <v>173</v>
      </c>
      <c r="K395" s="56">
        <v>298</v>
      </c>
      <c r="L395" s="56">
        <v>4983</v>
      </c>
      <c r="M395" s="56">
        <v>8560</v>
      </c>
      <c r="N395" s="56">
        <v>8252</v>
      </c>
      <c r="O395" s="56">
        <v>2127</v>
      </c>
      <c r="P395" s="56">
        <v>9078</v>
      </c>
      <c r="Q395" s="56">
        <v>368</v>
      </c>
      <c r="R395" s="16">
        <f t="shared" si="29"/>
        <v>22313</v>
      </c>
      <c r="S395" s="16">
        <f t="shared" si="30"/>
        <v>11055</v>
      </c>
      <c r="T395" s="13">
        <f t="shared" si="31"/>
        <v>39604</v>
      </c>
      <c r="U395" s="5">
        <v>22313</v>
      </c>
      <c r="V395" s="5"/>
      <c r="W395" s="8"/>
      <c r="Y395" s="73">
        <f>P784</f>
        <v>3658</v>
      </c>
      <c r="AA395" s="102"/>
      <c r="AB395" s="73">
        <f>Q784</f>
        <v>26629</v>
      </c>
      <c r="AD395" s="104">
        <v>39604</v>
      </c>
    </row>
    <row r="396" spans="1:30" ht="15.6" x14ac:dyDescent="0.3">
      <c r="A396" s="55">
        <v>38246</v>
      </c>
      <c r="B396" s="56">
        <v>1665</v>
      </c>
      <c r="C396" s="56">
        <v>3129</v>
      </c>
      <c r="D396" s="56">
        <v>875</v>
      </c>
      <c r="E396" s="56">
        <v>1416</v>
      </c>
      <c r="F396" s="56">
        <v>1235</v>
      </c>
      <c r="G396" s="56">
        <v>2464</v>
      </c>
      <c r="H396" s="56">
        <v>1109</v>
      </c>
      <c r="I396" s="56">
        <v>1412</v>
      </c>
      <c r="J396" s="56">
        <v>84</v>
      </c>
      <c r="K396" s="56">
        <v>188</v>
      </c>
      <c r="L396" s="56">
        <v>4968</v>
      </c>
      <c r="M396" s="56">
        <v>8609</v>
      </c>
      <c r="N396" s="56">
        <v>7896</v>
      </c>
      <c r="O396" s="56">
        <v>1656</v>
      </c>
      <c r="P396" s="56">
        <v>7215</v>
      </c>
      <c r="Q396" s="56">
        <v>463</v>
      </c>
      <c r="R396" s="16">
        <f t="shared" si="29"/>
        <v>20079</v>
      </c>
      <c r="S396" s="16">
        <f t="shared" si="30"/>
        <v>10728</v>
      </c>
      <c r="T396" s="13">
        <f t="shared" si="31"/>
        <v>39611</v>
      </c>
      <c r="U396" s="5">
        <v>20079</v>
      </c>
      <c r="V396" s="5"/>
      <c r="W396" s="8"/>
      <c r="Y396" s="73">
        <f>P786</f>
        <v>3473</v>
      </c>
      <c r="AA396" s="102"/>
      <c r="AB396" s="73">
        <f>Q786</f>
        <v>26985</v>
      </c>
      <c r="AD396" s="104">
        <v>39611</v>
      </c>
    </row>
    <row r="397" spans="1:30" ht="15.6" x14ac:dyDescent="0.3">
      <c r="A397" s="55">
        <v>37889</v>
      </c>
      <c r="B397" s="56">
        <v>2244</v>
      </c>
      <c r="C397" s="56">
        <v>3979</v>
      </c>
      <c r="D397" s="56">
        <v>497</v>
      </c>
      <c r="E397" s="56">
        <v>1375</v>
      </c>
      <c r="F397" s="56">
        <v>1127</v>
      </c>
      <c r="G397" s="56">
        <v>2253</v>
      </c>
      <c r="H397" s="56">
        <v>1020</v>
      </c>
      <c r="I397" s="56">
        <v>1212</v>
      </c>
      <c r="J397" s="56">
        <v>196</v>
      </c>
      <c r="K397" s="56">
        <v>402</v>
      </c>
      <c r="L397" s="56">
        <v>5085</v>
      </c>
      <c r="M397" s="56">
        <v>9221</v>
      </c>
      <c r="N397" s="56">
        <v>8274</v>
      </c>
      <c r="O397" s="56">
        <v>3021</v>
      </c>
      <c r="P397" s="56">
        <v>9579</v>
      </c>
      <c r="Q397" s="56">
        <v>568</v>
      </c>
      <c r="R397" s="16">
        <f t="shared" si="29"/>
        <v>22938</v>
      </c>
      <c r="S397" s="16">
        <f t="shared" si="30"/>
        <v>12810</v>
      </c>
      <c r="T397" s="13">
        <f t="shared" si="31"/>
        <v>39618</v>
      </c>
      <c r="U397" s="5">
        <v>22938</v>
      </c>
      <c r="V397" s="5"/>
      <c r="W397" s="8"/>
      <c r="Y397" s="73">
        <f>P788</f>
        <v>2877</v>
      </c>
      <c r="AA397" s="102"/>
      <c r="AB397" s="73">
        <f>Q788</f>
        <v>27313</v>
      </c>
      <c r="AD397" s="104">
        <v>39618</v>
      </c>
    </row>
    <row r="398" spans="1:30" ht="15.6" x14ac:dyDescent="0.3">
      <c r="A398" s="55">
        <v>38253</v>
      </c>
      <c r="B398" s="56">
        <v>1659</v>
      </c>
      <c r="C398" s="56">
        <v>3345</v>
      </c>
      <c r="D398" s="56">
        <v>766</v>
      </c>
      <c r="E398" s="56">
        <v>1548</v>
      </c>
      <c r="F398" s="56">
        <v>1205</v>
      </c>
      <c r="G398" s="56">
        <v>2617</v>
      </c>
      <c r="H398" s="56">
        <v>1010</v>
      </c>
      <c r="I398" s="56">
        <v>1624</v>
      </c>
      <c r="J398" s="56">
        <v>76</v>
      </c>
      <c r="K398" s="56">
        <v>197</v>
      </c>
      <c r="L398" s="56">
        <v>4717</v>
      </c>
      <c r="M398" s="56">
        <v>9330</v>
      </c>
      <c r="N398" s="56">
        <v>7798</v>
      </c>
      <c r="O398" s="56">
        <v>2638</v>
      </c>
      <c r="P398" s="56">
        <v>7639</v>
      </c>
      <c r="Q398" s="56">
        <v>795</v>
      </c>
      <c r="R398" s="16">
        <f t="shared" si="29"/>
        <v>20154</v>
      </c>
      <c r="S398" s="16">
        <f t="shared" si="30"/>
        <v>12763</v>
      </c>
      <c r="T398" s="13">
        <f t="shared" si="31"/>
        <v>39625</v>
      </c>
      <c r="U398" s="5">
        <v>20154</v>
      </c>
      <c r="V398" s="5"/>
      <c r="W398" s="8"/>
      <c r="Y398" s="73">
        <f>P790</f>
        <v>2786.9</v>
      </c>
      <c r="AA398" s="102"/>
      <c r="AB398" s="73">
        <f>Q790</f>
        <v>27868.5</v>
      </c>
      <c r="AD398" s="104">
        <v>39625</v>
      </c>
    </row>
    <row r="399" spans="1:30" ht="15.6" x14ac:dyDescent="0.3">
      <c r="A399" s="55">
        <v>37896</v>
      </c>
      <c r="B399" s="56">
        <v>2196</v>
      </c>
      <c r="C399" s="56">
        <v>4287</v>
      </c>
      <c r="D399" s="56">
        <v>428</v>
      </c>
      <c r="E399" s="56">
        <v>1441</v>
      </c>
      <c r="F399" s="56">
        <v>1044</v>
      </c>
      <c r="G399" s="56">
        <v>2413</v>
      </c>
      <c r="H399" s="56">
        <v>875</v>
      </c>
      <c r="I399" s="56">
        <v>1341</v>
      </c>
      <c r="J399" s="56">
        <v>204</v>
      </c>
      <c r="K399" s="56">
        <v>426</v>
      </c>
      <c r="L399" s="56">
        <v>4748</v>
      </c>
      <c r="M399" s="56">
        <v>9907</v>
      </c>
      <c r="N399" s="56">
        <v>8451</v>
      </c>
      <c r="O399" s="56">
        <v>3800</v>
      </c>
      <c r="P399" s="56">
        <v>9814</v>
      </c>
      <c r="Q399" s="56">
        <v>806</v>
      </c>
      <c r="R399" s="16">
        <f t="shared" si="29"/>
        <v>23013</v>
      </c>
      <c r="S399" s="16">
        <f t="shared" si="30"/>
        <v>14513</v>
      </c>
      <c r="T399" s="13">
        <f t="shared" si="31"/>
        <v>39632</v>
      </c>
      <c r="U399" s="5">
        <v>23013</v>
      </c>
      <c r="V399" s="5"/>
      <c r="W399" s="8"/>
      <c r="Y399" s="73">
        <f>P792</f>
        <v>2550</v>
      </c>
      <c r="AA399" s="102"/>
      <c r="AB399" s="73">
        <f>Q792</f>
        <v>28172</v>
      </c>
      <c r="AD399" s="104">
        <v>39632</v>
      </c>
    </row>
    <row r="400" spans="1:30" ht="15.6" x14ac:dyDescent="0.3">
      <c r="A400" s="55">
        <v>38260</v>
      </c>
      <c r="B400" s="56">
        <v>1610</v>
      </c>
      <c r="C400" s="56">
        <v>3562</v>
      </c>
      <c r="D400" s="56">
        <v>679</v>
      </c>
      <c r="E400" s="56">
        <v>1684</v>
      </c>
      <c r="F400" s="56">
        <v>1359</v>
      </c>
      <c r="G400" s="56">
        <v>2851</v>
      </c>
      <c r="H400" s="56">
        <v>1065</v>
      </c>
      <c r="I400" s="56">
        <v>1723</v>
      </c>
      <c r="J400" s="56">
        <v>91</v>
      </c>
      <c r="K400" s="56">
        <v>228</v>
      </c>
      <c r="L400" s="56">
        <v>4803</v>
      </c>
      <c r="M400" s="56">
        <v>10048</v>
      </c>
      <c r="N400" s="56">
        <v>7397</v>
      </c>
      <c r="O400" s="56">
        <v>3818</v>
      </c>
      <c r="P400" s="56">
        <v>8207</v>
      </c>
      <c r="Q400" s="56">
        <v>1188</v>
      </c>
      <c r="R400" s="16">
        <f t="shared" si="29"/>
        <v>20407</v>
      </c>
      <c r="S400" s="16">
        <f t="shared" si="30"/>
        <v>15054</v>
      </c>
      <c r="T400" s="13">
        <f t="shared" si="31"/>
        <v>39639</v>
      </c>
      <c r="U400" s="5">
        <v>20407</v>
      </c>
      <c r="V400" s="5"/>
      <c r="W400" s="8"/>
      <c r="Y400" s="73">
        <f>P794</f>
        <v>2360</v>
      </c>
      <c r="AA400" s="102"/>
      <c r="AB400" s="73">
        <f>Q794</f>
        <v>28425</v>
      </c>
      <c r="AD400" s="104">
        <v>39639</v>
      </c>
    </row>
    <row r="401" spans="1:30" ht="15.6" x14ac:dyDescent="0.3">
      <c r="A401" s="55">
        <v>37903</v>
      </c>
      <c r="B401" s="56">
        <v>2161</v>
      </c>
      <c r="C401" s="56">
        <v>4462</v>
      </c>
      <c r="D401" s="56">
        <v>322</v>
      </c>
      <c r="E401" s="56">
        <v>1606</v>
      </c>
      <c r="F401" s="56">
        <v>1066</v>
      </c>
      <c r="G401" s="56">
        <v>2540</v>
      </c>
      <c r="H401" s="56">
        <v>816</v>
      </c>
      <c r="I401" s="56">
        <v>1452</v>
      </c>
      <c r="J401" s="56">
        <v>192</v>
      </c>
      <c r="K401" s="56">
        <v>463</v>
      </c>
      <c r="L401" s="56">
        <v>4556</v>
      </c>
      <c r="M401" s="56">
        <v>10522</v>
      </c>
      <c r="N401" s="56">
        <v>9229</v>
      </c>
      <c r="O401" s="56">
        <v>4661</v>
      </c>
      <c r="P401" s="56">
        <v>10333</v>
      </c>
      <c r="Q401" s="56">
        <v>1436</v>
      </c>
      <c r="R401" s="16">
        <f t="shared" si="29"/>
        <v>24118</v>
      </c>
      <c r="S401" s="16">
        <f t="shared" si="30"/>
        <v>16619</v>
      </c>
      <c r="T401" s="13">
        <f t="shared" si="31"/>
        <v>39646</v>
      </c>
      <c r="U401" s="5">
        <v>24118</v>
      </c>
      <c r="V401" s="5"/>
      <c r="W401" s="8"/>
      <c r="Y401" s="73">
        <f>P796</f>
        <v>2343</v>
      </c>
      <c r="AA401" s="102"/>
      <c r="AB401" s="73">
        <f>Q796</f>
        <v>28625</v>
      </c>
      <c r="AD401" s="105">
        <f>AD400+7</f>
        <v>39646</v>
      </c>
    </row>
    <row r="402" spans="1:30" ht="15.6" x14ac:dyDescent="0.3">
      <c r="A402" s="55">
        <v>38267</v>
      </c>
      <c r="B402" s="56">
        <v>1775</v>
      </c>
      <c r="C402" s="56">
        <v>3683</v>
      </c>
      <c r="D402" s="56">
        <v>623</v>
      </c>
      <c r="E402" s="56">
        <v>1765</v>
      </c>
      <c r="F402" s="56">
        <v>1336</v>
      </c>
      <c r="G402" s="56">
        <v>3090</v>
      </c>
      <c r="H402" s="56">
        <v>1068</v>
      </c>
      <c r="I402" s="56">
        <v>1786</v>
      </c>
      <c r="J402" s="56">
        <v>69</v>
      </c>
      <c r="K402" s="56">
        <v>251</v>
      </c>
      <c r="L402" s="56">
        <v>4870</v>
      </c>
      <c r="M402" s="56">
        <v>10574</v>
      </c>
      <c r="N402" s="56">
        <v>7934</v>
      </c>
      <c r="O402" s="56">
        <v>4765</v>
      </c>
      <c r="P402" s="56">
        <v>8694</v>
      </c>
      <c r="Q402" s="56">
        <v>1681</v>
      </c>
      <c r="R402" s="16">
        <f t="shared" si="29"/>
        <v>21498</v>
      </c>
      <c r="S402" s="16">
        <f t="shared" si="30"/>
        <v>17020</v>
      </c>
      <c r="T402" s="13">
        <f t="shared" si="31"/>
        <v>39653</v>
      </c>
      <c r="U402" s="5">
        <v>21498</v>
      </c>
      <c r="V402" s="5"/>
      <c r="W402" s="8"/>
      <c r="Y402" s="73">
        <f>P798</f>
        <v>2233</v>
      </c>
      <c r="AA402" s="102"/>
      <c r="AB402" s="73">
        <f>Q798</f>
        <v>29007</v>
      </c>
      <c r="AD402" s="105">
        <f t="shared" ref="AD402:AD466" si="32">AD401+7</f>
        <v>39653</v>
      </c>
    </row>
    <row r="403" spans="1:30" ht="15.6" x14ac:dyDescent="0.3">
      <c r="A403" s="55">
        <v>37910</v>
      </c>
      <c r="B403" s="56">
        <v>2131</v>
      </c>
      <c r="C403" s="56">
        <v>4673</v>
      </c>
      <c r="D403" s="56">
        <v>458</v>
      </c>
      <c r="E403" s="56">
        <v>1628</v>
      </c>
      <c r="F403" s="56">
        <v>1047</v>
      </c>
      <c r="G403" s="56">
        <v>2737</v>
      </c>
      <c r="H403" s="56">
        <v>831</v>
      </c>
      <c r="I403" s="56">
        <v>1508</v>
      </c>
      <c r="J403" s="56">
        <v>143</v>
      </c>
      <c r="K403" s="56">
        <v>514</v>
      </c>
      <c r="L403" s="56">
        <v>4610</v>
      </c>
      <c r="M403" s="56">
        <v>11060</v>
      </c>
      <c r="N403" s="56">
        <v>9062</v>
      </c>
      <c r="O403" s="56">
        <v>5574</v>
      </c>
      <c r="P403" s="56">
        <v>10562</v>
      </c>
      <c r="Q403" s="56">
        <v>2195</v>
      </c>
      <c r="R403" s="16">
        <f t="shared" si="29"/>
        <v>24234</v>
      </c>
      <c r="S403" s="16">
        <f t="shared" si="30"/>
        <v>18829</v>
      </c>
      <c r="T403" s="13">
        <f t="shared" si="31"/>
        <v>39660</v>
      </c>
      <c r="U403" s="5">
        <v>24234</v>
      </c>
      <c r="V403" s="5"/>
      <c r="W403" s="8"/>
      <c r="Y403" s="73">
        <f>P800</f>
        <v>2223</v>
      </c>
      <c r="AA403" s="102"/>
      <c r="AB403" s="73">
        <f>Q800</f>
        <v>29391</v>
      </c>
      <c r="AD403" s="105">
        <f t="shared" si="32"/>
        <v>39660</v>
      </c>
    </row>
    <row r="404" spans="1:30" ht="15.6" x14ac:dyDescent="0.3">
      <c r="A404" s="55">
        <v>38274</v>
      </c>
      <c r="B404" s="56">
        <v>1622</v>
      </c>
      <c r="C404" s="56">
        <v>3883</v>
      </c>
      <c r="D404" s="56">
        <v>612</v>
      </c>
      <c r="E404" s="56">
        <v>1847</v>
      </c>
      <c r="F404" s="56">
        <v>1329</v>
      </c>
      <c r="G404" s="56">
        <v>3242</v>
      </c>
      <c r="H404" s="56">
        <v>990</v>
      </c>
      <c r="I404" s="56">
        <v>1891</v>
      </c>
      <c r="J404" s="56">
        <v>96</v>
      </c>
      <c r="K404" s="56">
        <v>251</v>
      </c>
      <c r="L404" s="56">
        <v>4649</v>
      </c>
      <c r="M404" s="56">
        <v>11114</v>
      </c>
      <c r="N404" s="56">
        <v>8638</v>
      </c>
      <c r="O404" s="56">
        <v>5372</v>
      </c>
      <c r="P404" s="56">
        <v>8709</v>
      </c>
      <c r="Q404" s="56">
        <v>2654</v>
      </c>
      <c r="R404" s="16">
        <f t="shared" si="29"/>
        <v>21996</v>
      </c>
      <c r="S404" s="16">
        <f t="shared" si="30"/>
        <v>19140</v>
      </c>
      <c r="T404" s="13">
        <f t="shared" si="31"/>
        <v>39667</v>
      </c>
      <c r="U404" s="5">
        <v>21996</v>
      </c>
      <c r="V404" s="5"/>
      <c r="W404" s="8"/>
      <c r="Y404" s="73">
        <f>P802</f>
        <v>1889</v>
      </c>
      <c r="AA404" s="102"/>
      <c r="AB404" s="73">
        <f>Q802</f>
        <v>29676</v>
      </c>
      <c r="AD404" s="105">
        <f t="shared" si="32"/>
        <v>39667</v>
      </c>
    </row>
    <row r="405" spans="1:30" ht="15.6" x14ac:dyDescent="0.3">
      <c r="A405" s="55">
        <v>37917</v>
      </c>
      <c r="B405" s="56">
        <v>2048</v>
      </c>
      <c r="C405" s="56">
        <v>4793</v>
      </c>
      <c r="D405" s="56">
        <v>353</v>
      </c>
      <c r="E405" s="56">
        <v>1715</v>
      </c>
      <c r="F405" s="56">
        <v>970</v>
      </c>
      <c r="G405" s="56">
        <v>2821</v>
      </c>
      <c r="H405" s="56">
        <v>571</v>
      </c>
      <c r="I405" s="56">
        <v>1759</v>
      </c>
      <c r="J405" s="56">
        <v>117</v>
      </c>
      <c r="K405" s="56">
        <v>541</v>
      </c>
      <c r="L405" s="56">
        <v>4059</v>
      </c>
      <c r="M405" s="56">
        <v>11628</v>
      </c>
      <c r="N405" s="56">
        <v>9634</v>
      </c>
      <c r="O405" s="56">
        <v>6476</v>
      </c>
      <c r="P405" s="56">
        <v>10867</v>
      </c>
      <c r="Q405" s="56">
        <v>3513</v>
      </c>
      <c r="R405" s="16">
        <f t="shared" si="29"/>
        <v>24560</v>
      </c>
      <c r="S405" s="16">
        <f t="shared" si="30"/>
        <v>21617</v>
      </c>
      <c r="T405" s="13">
        <f t="shared" si="31"/>
        <v>39674</v>
      </c>
      <c r="U405" s="5">
        <v>24560</v>
      </c>
      <c r="V405" s="5"/>
      <c r="W405" s="8"/>
      <c r="Y405" s="73">
        <f>P804</f>
        <v>1642</v>
      </c>
      <c r="AA405" s="102"/>
      <c r="AB405" s="73">
        <f>Q804</f>
        <v>29841</v>
      </c>
      <c r="AD405" s="105">
        <f t="shared" si="32"/>
        <v>39674</v>
      </c>
    </row>
    <row r="406" spans="1:30" ht="15.6" x14ac:dyDescent="0.3">
      <c r="A406" s="55">
        <v>38281</v>
      </c>
      <c r="B406" s="56">
        <v>1650</v>
      </c>
      <c r="C406" s="56">
        <v>3950</v>
      </c>
      <c r="D406" s="56">
        <v>519</v>
      </c>
      <c r="E406" s="56">
        <v>1942</v>
      </c>
      <c r="F406" s="56">
        <v>1371</v>
      </c>
      <c r="G406" s="56">
        <v>3354</v>
      </c>
      <c r="H406" s="56">
        <v>995</v>
      </c>
      <c r="I406" s="56">
        <v>2045</v>
      </c>
      <c r="J406" s="56">
        <v>105</v>
      </c>
      <c r="K406" s="56">
        <v>262</v>
      </c>
      <c r="L406" s="56">
        <v>4640</v>
      </c>
      <c r="M406" s="56">
        <v>11553</v>
      </c>
      <c r="N406" s="56">
        <v>8532</v>
      </c>
      <c r="O406" s="56">
        <v>6558</v>
      </c>
      <c r="P406" s="56">
        <v>8598</v>
      </c>
      <c r="Q406" s="56">
        <v>3690</v>
      </c>
      <c r="R406" s="16">
        <f t="shared" si="29"/>
        <v>21770</v>
      </c>
      <c r="S406" s="16">
        <f t="shared" si="30"/>
        <v>21801</v>
      </c>
      <c r="T406" s="13">
        <f t="shared" si="31"/>
        <v>39681</v>
      </c>
      <c r="U406" s="5">
        <v>21770</v>
      </c>
      <c r="V406" s="5"/>
      <c r="W406" s="8"/>
      <c r="Y406" s="73">
        <f>P806</f>
        <v>1225</v>
      </c>
      <c r="AA406" s="102"/>
      <c r="AB406" s="73">
        <f>Q806</f>
        <v>30065</v>
      </c>
      <c r="AD406" s="105">
        <f t="shared" si="32"/>
        <v>39681</v>
      </c>
    </row>
    <row r="407" spans="1:30" ht="15.6" x14ac:dyDescent="0.3">
      <c r="A407" s="55">
        <v>37924</v>
      </c>
      <c r="B407" s="56">
        <v>2220</v>
      </c>
      <c r="C407" s="56">
        <v>5065</v>
      </c>
      <c r="D407" s="56">
        <v>550</v>
      </c>
      <c r="E407" s="56">
        <v>1771</v>
      </c>
      <c r="F407" s="56">
        <v>998</v>
      </c>
      <c r="G407" s="56">
        <v>2968</v>
      </c>
      <c r="H407" s="56">
        <v>576</v>
      </c>
      <c r="I407" s="56">
        <v>1827</v>
      </c>
      <c r="J407" s="56">
        <v>147</v>
      </c>
      <c r="K407" s="56">
        <v>541</v>
      </c>
      <c r="L407" s="56">
        <v>4490</v>
      </c>
      <c r="M407" s="56">
        <v>12172</v>
      </c>
      <c r="N407" s="56">
        <v>10207</v>
      </c>
      <c r="O407" s="56">
        <v>7346</v>
      </c>
      <c r="P407" s="56">
        <v>11392</v>
      </c>
      <c r="Q407" s="56">
        <v>4862</v>
      </c>
      <c r="R407" s="16">
        <f t="shared" si="29"/>
        <v>26089</v>
      </c>
      <c r="S407" s="16">
        <f t="shared" si="30"/>
        <v>24380</v>
      </c>
      <c r="T407" s="103">
        <f t="shared" si="31"/>
        <v>39688</v>
      </c>
      <c r="U407" s="5">
        <v>26089</v>
      </c>
      <c r="V407" s="5"/>
      <c r="W407" s="8"/>
      <c r="Y407" s="73">
        <f>P808</f>
        <v>923</v>
      </c>
      <c r="AA407" s="102"/>
      <c r="AB407" s="73">
        <f>Q$808</f>
        <v>30411</v>
      </c>
      <c r="AD407" s="105">
        <f t="shared" si="32"/>
        <v>39688</v>
      </c>
    </row>
    <row r="408" spans="1:30" ht="15.6" x14ac:dyDescent="0.3">
      <c r="A408" s="55">
        <v>38288</v>
      </c>
      <c r="B408" s="56">
        <v>1596</v>
      </c>
      <c r="C408" s="56">
        <v>4186</v>
      </c>
      <c r="D408" s="56">
        <v>506</v>
      </c>
      <c r="E408" s="56">
        <v>1968</v>
      </c>
      <c r="F408" s="56">
        <v>1314</v>
      </c>
      <c r="G408" s="56">
        <v>3518</v>
      </c>
      <c r="H408" s="56">
        <v>865</v>
      </c>
      <c r="I408" s="56">
        <v>2261</v>
      </c>
      <c r="J408" s="56">
        <v>100</v>
      </c>
      <c r="K408" s="56">
        <v>267</v>
      </c>
      <c r="L408" s="56">
        <v>4381</v>
      </c>
      <c r="M408" s="56">
        <v>12200</v>
      </c>
      <c r="N408" s="56">
        <v>9340</v>
      </c>
      <c r="O408" s="56">
        <v>7254</v>
      </c>
      <c r="P408" s="56">
        <v>7408</v>
      </c>
      <c r="Q408" s="56">
        <v>5367</v>
      </c>
      <c r="R408" s="16">
        <f t="shared" si="29"/>
        <v>21129</v>
      </c>
      <c r="S408" s="16">
        <f t="shared" si="30"/>
        <v>24821</v>
      </c>
      <c r="T408" s="13">
        <f t="shared" si="31"/>
        <v>39695</v>
      </c>
      <c r="U408" s="5">
        <v>21129</v>
      </c>
      <c r="V408" s="5"/>
      <c r="W408" s="8"/>
      <c r="Y408" s="73">
        <f>P810</f>
        <v>8913</v>
      </c>
      <c r="AA408" s="102"/>
      <c r="AB408" s="73">
        <f>Q810</f>
        <v>33</v>
      </c>
      <c r="AD408" s="105">
        <f t="shared" si="32"/>
        <v>39695</v>
      </c>
    </row>
    <row r="409" spans="1:30" ht="15.6" x14ac:dyDescent="0.3">
      <c r="A409" s="55">
        <v>37931</v>
      </c>
      <c r="B409" s="56">
        <v>2346</v>
      </c>
      <c r="C409" s="56">
        <v>5297</v>
      </c>
      <c r="D409" s="56">
        <v>473</v>
      </c>
      <c r="E409" s="56">
        <v>1866</v>
      </c>
      <c r="F409" s="56">
        <v>919</v>
      </c>
      <c r="G409" s="56">
        <v>3094</v>
      </c>
      <c r="H409" s="56">
        <v>609</v>
      </c>
      <c r="I409" s="56">
        <v>1873</v>
      </c>
      <c r="J409" s="56">
        <v>122</v>
      </c>
      <c r="K409" s="56">
        <v>602</v>
      </c>
      <c r="L409" s="56">
        <v>4468</v>
      </c>
      <c r="M409" s="56">
        <v>12731</v>
      </c>
      <c r="N409" s="56">
        <v>10239</v>
      </c>
      <c r="O409" s="56">
        <v>8062</v>
      </c>
      <c r="P409" s="56">
        <v>10711</v>
      </c>
      <c r="Q409" s="56">
        <v>6460</v>
      </c>
      <c r="R409" s="16">
        <f t="shared" si="29"/>
        <v>25418</v>
      </c>
      <c r="S409" s="16">
        <f t="shared" si="30"/>
        <v>27253</v>
      </c>
      <c r="T409" s="13">
        <f t="shared" si="31"/>
        <v>39702</v>
      </c>
      <c r="U409" s="5">
        <v>25418</v>
      </c>
      <c r="V409" s="5"/>
      <c r="W409" s="8"/>
      <c r="Y409" s="73">
        <f>P812</f>
        <v>9103</v>
      </c>
      <c r="AA409" s="102"/>
      <c r="AB409" s="73">
        <f>Q812</f>
        <v>515</v>
      </c>
      <c r="AD409" s="105">
        <f t="shared" si="32"/>
        <v>39702</v>
      </c>
    </row>
    <row r="410" spans="1:30" ht="15.6" x14ac:dyDescent="0.3">
      <c r="A410" s="55">
        <v>38295</v>
      </c>
      <c r="B410" s="56">
        <v>1556</v>
      </c>
      <c r="C410" s="56">
        <v>4413</v>
      </c>
      <c r="D410" s="56">
        <v>532</v>
      </c>
      <c r="E410" s="56">
        <v>1979</v>
      </c>
      <c r="F410" s="56">
        <v>1340</v>
      </c>
      <c r="G410" s="56">
        <v>3722</v>
      </c>
      <c r="H410" s="56">
        <v>915</v>
      </c>
      <c r="I410" s="56">
        <v>2404</v>
      </c>
      <c r="J410" s="56">
        <v>105</v>
      </c>
      <c r="K410" s="56">
        <v>272</v>
      </c>
      <c r="L410" s="56">
        <v>4449</v>
      </c>
      <c r="M410" s="56">
        <v>12789</v>
      </c>
      <c r="N410" s="56">
        <v>9053</v>
      </c>
      <c r="O410" s="56">
        <v>8321</v>
      </c>
      <c r="P410" s="56">
        <v>7116</v>
      </c>
      <c r="Q410" s="56">
        <v>6314</v>
      </c>
      <c r="R410" s="16">
        <f t="shared" si="29"/>
        <v>20618</v>
      </c>
      <c r="S410" s="16">
        <f t="shared" si="30"/>
        <v>27424</v>
      </c>
      <c r="T410" s="13">
        <f t="shared" si="31"/>
        <v>39709</v>
      </c>
      <c r="U410" s="5">
        <v>20618</v>
      </c>
      <c r="V410" s="5"/>
      <c r="W410" s="8"/>
      <c r="Y410" s="73">
        <f>P814</f>
        <v>9651</v>
      </c>
      <c r="AA410" s="102"/>
      <c r="AB410" s="73">
        <f>S814</f>
        <v>0</v>
      </c>
      <c r="AD410" s="105">
        <f t="shared" si="32"/>
        <v>39709</v>
      </c>
    </row>
    <row r="411" spans="1:30" ht="15.6" x14ac:dyDescent="0.3">
      <c r="A411" s="55">
        <v>37938</v>
      </c>
      <c r="B411" s="56">
        <v>2652</v>
      </c>
      <c r="C411" s="56">
        <v>5535</v>
      </c>
      <c r="D411" s="56">
        <v>597</v>
      </c>
      <c r="E411" s="56">
        <v>1946</v>
      </c>
      <c r="F411" s="56">
        <v>1005</v>
      </c>
      <c r="G411" s="56">
        <v>3170</v>
      </c>
      <c r="H411" s="56">
        <v>649</v>
      </c>
      <c r="I411" s="56">
        <v>1992</v>
      </c>
      <c r="J411" s="56">
        <v>148</v>
      </c>
      <c r="K411" s="56">
        <v>602</v>
      </c>
      <c r="L411" s="56">
        <v>5050</v>
      </c>
      <c r="M411" s="56">
        <v>13245</v>
      </c>
      <c r="N411" s="56">
        <v>10243</v>
      </c>
      <c r="O411" s="56">
        <v>8975</v>
      </c>
      <c r="P411" s="56">
        <v>10420</v>
      </c>
      <c r="Q411" s="56">
        <v>7458</v>
      </c>
      <c r="R411" s="16">
        <f t="shared" si="29"/>
        <v>25713</v>
      </c>
      <c r="S411" s="16">
        <f t="shared" si="30"/>
        <v>29678</v>
      </c>
      <c r="T411" s="13">
        <f t="shared" si="31"/>
        <v>39716</v>
      </c>
      <c r="U411" s="5">
        <v>25713</v>
      </c>
      <c r="V411" s="5"/>
      <c r="W411" s="8"/>
      <c r="Y411" s="73">
        <f>P816</f>
        <v>9960</v>
      </c>
      <c r="AA411" s="102"/>
      <c r="AB411" s="73">
        <f>Q816</f>
        <v>481</v>
      </c>
      <c r="AD411" s="105">
        <f t="shared" si="32"/>
        <v>39716</v>
      </c>
    </row>
    <row r="412" spans="1:30" ht="15.6" x14ac:dyDescent="0.3">
      <c r="A412" s="55">
        <v>38302</v>
      </c>
      <c r="B412" s="56">
        <v>1714</v>
      </c>
      <c r="C412" s="56">
        <v>4524</v>
      </c>
      <c r="D412" s="56">
        <v>531</v>
      </c>
      <c r="E412" s="56">
        <v>2012</v>
      </c>
      <c r="F412" s="56">
        <v>1276</v>
      </c>
      <c r="G412" s="56">
        <v>3895</v>
      </c>
      <c r="H412" s="56">
        <v>855</v>
      </c>
      <c r="I412" s="56">
        <v>2552</v>
      </c>
      <c r="J412" s="56">
        <v>88</v>
      </c>
      <c r="K412" s="56">
        <v>294</v>
      </c>
      <c r="L412" s="56">
        <v>4463</v>
      </c>
      <c r="M412" s="56">
        <v>13278</v>
      </c>
      <c r="N412" s="56">
        <v>8741</v>
      </c>
      <c r="O412" s="56">
        <v>9358</v>
      </c>
      <c r="P412" s="56">
        <v>6767</v>
      </c>
      <c r="Q412" s="56">
        <v>7619</v>
      </c>
      <c r="R412" s="16">
        <f t="shared" si="29"/>
        <v>19971</v>
      </c>
      <c r="S412" s="16">
        <f t="shared" si="30"/>
        <v>30255</v>
      </c>
      <c r="T412" s="13">
        <f t="shared" si="31"/>
        <v>39723</v>
      </c>
      <c r="U412" s="5">
        <v>19971</v>
      </c>
      <c r="V412" s="5"/>
      <c r="W412" s="8"/>
      <c r="Y412" s="73">
        <f>P818</f>
        <v>10164</v>
      </c>
      <c r="AA412" s="102"/>
      <c r="AB412" s="73">
        <f>Q818</f>
        <v>880</v>
      </c>
      <c r="AD412" s="105">
        <f t="shared" si="32"/>
        <v>39723</v>
      </c>
    </row>
    <row r="413" spans="1:30" ht="15.6" x14ac:dyDescent="0.3">
      <c r="A413" s="55">
        <v>37945</v>
      </c>
      <c r="B413" s="56">
        <v>2854</v>
      </c>
      <c r="C413" s="56">
        <v>5857</v>
      </c>
      <c r="D413" s="56">
        <v>593</v>
      </c>
      <c r="E413" s="56">
        <v>2034</v>
      </c>
      <c r="F413" s="56">
        <v>937</v>
      </c>
      <c r="G413" s="56">
        <v>3428</v>
      </c>
      <c r="H413" s="56">
        <v>950</v>
      </c>
      <c r="I413" s="56">
        <v>2026</v>
      </c>
      <c r="J413" s="56">
        <v>150</v>
      </c>
      <c r="K413" s="56">
        <v>602</v>
      </c>
      <c r="L413" s="56">
        <v>5483</v>
      </c>
      <c r="M413" s="56">
        <v>13946</v>
      </c>
      <c r="N413" s="56">
        <v>10601</v>
      </c>
      <c r="O413" s="56">
        <v>10219</v>
      </c>
      <c r="P413" s="56">
        <v>10346</v>
      </c>
      <c r="Q413" s="56">
        <v>8393</v>
      </c>
      <c r="R413" s="16">
        <f t="shared" si="29"/>
        <v>26430</v>
      </c>
      <c r="S413" s="16">
        <f t="shared" si="30"/>
        <v>32558</v>
      </c>
      <c r="T413" s="13">
        <f t="shared" si="31"/>
        <v>39730</v>
      </c>
      <c r="U413" s="5">
        <v>26430</v>
      </c>
      <c r="V413" s="5"/>
      <c r="W413" s="8"/>
      <c r="Y413" s="73">
        <f>P820</f>
        <v>10784</v>
      </c>
      <c r="AA413" s="102"/>
      <c r="AB413" s="73">
        <f>Q820</f>
        <v>1288</v>
      </c>
      <c r="AD413" s="105">
        <f t="shared" si="32"/>
        <v>39730</v>
      </c>
    </row>
    <row r="414" spans="1:30" ht="15.6" x14ac:dyDescent="0.3">
      <c r="A414" s="55">
        <v>38309</v>
      </c>
      <c r="B414" s="56">
        <v>1726</v>
      </c>
      <c r="C414" s="56">
        <v>4718</v>
      </c>
      <c r="D414" s="56">
        <v>560</v>
      </c>
      <c r="E414" s="56">
        <v>2031</v>
      </c>
      <c r="F414" s="56">
        <v>1219</v>
      </c>
      <c r="G414" s="56">
        <v>4100</v>
      </c>
      <c r="H414" s="56">
        <v>735</v>
      </c>
      <c r="I414" s="56">
        <v>2710</v>
      </c>
      <c r="J414" s="56">
        <v>90</v>
      </c>
      <c r="K414" s="56">
        <v>294</v>
      </c>
      <c r="L414" s="56">
        <v>4331</v>
      </c>
      <c r="M414" s="56">
        <v>13853</v>
      </c>
      <c r="N414" s="56">
        <v>9141</v>
      </c>
      <c r="O414" s="56">
        <v>10258</v>
      </c>
      <c r="P414" s="56">
        <v>6786</v>
      </c>
      <c r="Q414" s="56">
        <v>8938</v>
      </c>
      <c r="R414" s="16">
        <f t="shared" si="29"/>
        <v>20258</v>
      </c>
      <c r="S414" s="16">
        <f t="shared" si="30"/>
        <v>33049</v>
      </c>
      <c r="T414" s="13">
        <f t="shared" si="31"/>
        <v>39737</v>
      </c>
      <c r="U414" s="5">
        <v>20258</v>
      </c>
      <c r="V414" s="5"/>
      <c r="W414" s="8"/>
      <c r="Y414" s="73">
        <f>P822</f>
        <v>10489</v>
      </c>
      <c r="AA414" s="102"/>
      <c r="AB414" s="73">
        <f>Q822</f>
        <v>2367</v>
      </c>
      <c r="AD414" s="105">
        <f t="shared" si="32"/>
        <v>39737</v>
      </c>
    </row>
    <row r="415" spans="1:30" ht="15.6" x14ac:dyDescent="0.3">
      <c r="A415" s="55">
        <v>37952</v>
      </c>
      <c r="B415" s="56">
        <v>2950</v>
      </c>
      <c r="C415" s="56">
        <v>6058</v>
      </c>
      <c r="D415" s="56">
        <v>584</v>
      </c>
      <c r="E415" s="56">
        <v>2086</v>
      </c>
      <c r="F415" s="56">
        <v>1198</v>
      </c>
      <c r="G415" s="56">
        <v>3530</v>
      </c>
      <c r="H415" s="56">
        <v>1031</v>
      </c>
      <c r="I415" s="56">
        <v>2100</v>
      </c>
      <c r="J415" s="56">
        <v>165</v>
      </c>
      <c r="K415" s="56">
        <v>607</v>
      </c>
      <c r="L415" s="56">
        <v>5928</v>
      </c>
      <c r="M415" s="56">
        <v>14382</v>
      </c>
      <c r="N415" s="56">
        <v>10313</v>
      </c>
      <c r="O415" s="56">
        <v>11356</v>
      </c>
      <c r="P415" s="56">
        <v>9400</v>
      </c>
      <c r="Q415" s="56">
        <v>9588</v>
      </c>
      <c r="R415" s="16">
        <f t="shared" si="29"/>
        <v>25641</v>
      </c>
      <c r="S415" s="16">
        <f t="shared" si="30"/>
        <v>35326</v>
      </c>
      <c r="T415" s="13">
        <f t="shared" si="31"/>
        <v>39744</v>
      </c>
      <c r="U415" s="5">
        <v>25641</v>
      </c>
      <c r="V415" s="5"/>
      <c r="W415" s="8"/>
      <c r="Y415" s="73">
        <f>P824</f>
        <v>10597</v>
      </c>
      <c r="AA415" s="102"/>
      <c r="AB415" s="73">
        <f>Q824</f>
        <v>3651</v>
      </c>
      <c r="AD415" s="105">
        <f t="shared" si="32"/>
        <v>39744</v>
      </c>
    </row>
    <row r="416" spans="1:30" ht="15.6" x14ac:dyDescent="0.3">
      <c r="A416" s="55">
        <v>38316</v>
      </c>
      <c r="B416" s="56">
        <v>1580</v>
      </c>
      <c r="C416" s="56">
        <v>4910</v>
      </c>
      <c r="D416" s="56">
        <v>512</v>
      </c>
      <c r="E416" s="56">
        <v>2090</v>
      </c>
      <c r="F416" s="56">
        <v>1205</v>
      </c>
      <c r="G416" s="56">
        <v>4185</v>
      </c>
      <c r="H416" s="56">
        <v>757</v>
      </c>
      <c r="I416" s="56">
        <v>2870</v>
      </c>
      <c r="J416" s="56">
        <v>100</v>
      </c>
      <c r="K416" s="56">
        <v>312</v>
      </c>
      <c r="L416" s="56">
        <v>4154</v>
      </c>
      <c r="M416" s="56">
        <v>14367</v>
      </c>
      <c r="N416" s="56">
        <v>8917</v>
      </c>
      <c r="O416" s="56">
        <v>11067</v>
      </c>
      <c r="P416" s="56">
        <v>6297</v>
      </c>
      <c r="Q416" s="56">
        <v>9834</v>
      </c>
      <c r="R416" s="16">
        <f t="shared" si="29"/>
        <v>19368</v>
      </c>
      <c r="S416" s="16">
        <f t="shared" si="30"/>
        <v>35268</v>
      </c>
      <c r="T416" s="13">
        <f t="shared" si="31"/>
        <v>39751</v>
      </c>
      <c r="U416" s="5">
        <v>19368</v>
      </c>
      <c r="V416" s="5"/>
      <c r="W416" s="8"/>
      <c r="Y416" s="73">
        <f>P826</f>
        <v>10003</v>
      </c>
      <c r="AA416" s="102"/>
      <c r="AB416" s="73">
        <f>Q826</f>
        <v>5140</v>
      </c>
      <c r="AD416" s="105">
        <f t="shared" si="32"/>
        <v>39751</v>
      </c>
    </row>
    <row r="417" spans="1:30" ht="15.6" x14ac:dyDescent="0.3">
      <c r="A417" s="55">
        <v>37959</v>
      </c>
      <c r="B417" s="56">
        <v>2831</v>
      </c>
      <c r="C417" s="56">
        <v>6332</v>
      </c>
      <c r="D417" s="56">
        <v>604</v>
      </c>
      <c r="E417" s="56">
        <v>2126</v>
      </c>
      <c r="F417" s="56">
        <v>1189</v>
      </c>
      <c r="G417" s="56">
        <v>3639</v>
      </c>
      <c r="H417" s="56">
        <v>1043</v>
      </c>
      <c r="I417" s="56">
        <v>2181</v>
      </c>
      <c r="J417" s="56">
        <v>206</v>
      </c>
      <c r="K417" s="56">
        <v>621</v>
      </c>
      <c r="L417" s="56">
        <v>5874</v>
      </c>
      <c r="M417" s="56">
        <v>14900</v>
      </c>
      <c r="N417" s="56">
        <v>10342</v>
      </c>
      <c r="O417" s="56">
        <v>12366</v>
      </c>
      <c r="P417" s="56">
        <v>8681</v>
      </c>
      <c r="Q417" s="56">
        <v>10667</v>
      </c>
      <c r="R417" s="16">
        <f t="shared" si="29"/>
        <v>24897</v>
      </c>
      <c r="S417" s="16">
        <f t="shared" si="30"/>
        <v>37933</v>
      </c>
      <c r="T417" s="13">
        <f t="shared" si="31"/>
        <v>39758</v>
      </c>
      <c r="U417" s="5">
        <v>24897</v>
      </c>
      <c r="V417" s="5"/>
      <c r="W417" s="8"/>
      <c r="Y417" s="73">
        <f>P828</f>
        <v>9439</v>
      </c>
      <c r="AA417" s="102"/>
      <c r="AB417" s="73">
        <f>Q828</f>
        <v>6182</v>
      </c>
      <c r="AD417" s="105">
        <f t="shared" si="32"/>
        <v>39758</v>
      </c>
    </row>
    <row r="418" spans="1:30" ht="15.6" x14ac:dyDescent="0.3">
      <c r="A418" s="55">
        <v>38323</v>
      </c>
      <c r="B418" s="56">
        <v>1511</v>
      </c>
      <c r="C418" s="56">
        <v>5129</v>
      </c>
      <c r="D418" s="56">
        <v>493</v>
      </c>
      <c r="E418" s="56">
        <v>2142</v>
      </c>
      <c r="F418" s="56">
        <v>1293</v>
      </c>
      <c r="G418" s="56">
        <v>4335</v>
      </c>
      <c r="H418" s="56">
        <v>730</v>
      </c>
      <c r="I418" s="56">
        <v>2926</v>
      </c>
      <c r="J418" s="56">
        <v>116</v>
      </c>
      <c r="K418" s="56">
        <v>334</v>
      </c>
      <c r="L418" s="56">
        <v>4143</v>
      </c>
      <c r="M418" s="56">
        <v>14866</v>
      </c>
      <c r="N418" s="56">
        <v>8624</v>
      </c>
      <c r="O418" s="56">
        <v>12275</v>
      </c>
      <c r="P418" s="56">
        <v>5755</v>
      </c>
      <c r="Q418" s="56">
        <v>10822</v>
      </c>
      <c r="R418" s="16">
        <f t="shared" si="29"/>
        <v>18522</v>
      </c>
      <c r="S418" s="16">
        <f t="shared" si="30"/>
        <v>37963</v>
      </c>
      <c r="T418" s="13">
        <f t="shared" si="31"/>
        <v>39765</v>
      </c>
      <c r="U418" s="5">
        <v>18522</v>
      </c>
      <c r="V418" s="5"/>
      <c r="W418" s="8"/>
      <c r="Y418" s="73">
        <f>P830</f>
        <v>9163</v>
      </c>
      <c r="AA418" s="102"/>
      <c r="AB418" s="73">
        <f>Q830</f>
        <v>7249</v>
      </c>
      <c r="AD418" s="105">
        <f t="shared" si="32"/>
        <v>39765</v>
      </c>
    </row>
    <row r="419" spans="1:30" ht="15.6" x14ac:dyDescent="0.3">
      <c r="A419" s="55">
        <v>37966</v>
      </c>
      <c r="B419" s="56">
        <v>3183</v>
      </c>
      <c r="C419" s="56">
        <v>6435</v>
      </c>
      <c r="D419" s="56">
        <v>658</v>
      </c>
      <c r="E419" s="56">
        <v>2145</v>
      </c>
      <c r="F419" s="56">
        <v>1336</v>
      </c>
      <c r="G419" s="56">
        <v>3744</v>
      </c>
      <c r="H419" s="56">
        <v>1249</v>
      </c>
      <c r="I419" s="56">
        <v>2181</v>
      </c>
      <c r="J419" s="56">
        <v>202</v>
      </c>
      <c r="K419" s="56">
        <v>654</v>
      </c>
      <c r="L419" s="56">
        <v>6628</v>
      </c>
      <c r="M419" s="56">
        <v>15159</v>
      </c>
      <c r="N419" s="56">
        <v>10319</v>
      </c>
      <c r="O419" s="56">
        <v>13312</v>
      </c>
      <c r="P419" s="56">
        <v>7816</v>
      </c>
      <c r="Q419" s="56">
        <v>11737</v>
      </c>
      <c r="R419" s="16">
        <f t="shared" si="29"/>
        <v>24763</v>
      </c>
      <c r="S419" s="16">
        <f t="shared" si="30"/>
        <v>40208</v>
      </c>
      <c r="T419" s="13">
        <f t="shared" si="31"/>
        <v>39772</v>
      </c>
      <c r="U419" s="5">
        <v>24763</v>
      </c>
      <c r="V419" s="5"/>
      <c r="W419" s="8"/>
      <c r="Y419" s="73">
        <f>P832</f>
        <v>8929</v>
      </c>
      <c r="AB419" s="73">
        <f>Q832</f>
        <v>8265</v>
      </c>
      <c r="AD419" s="105">
        <f t="shared" si="32"/>
        <v>39772</v>
      </c>
    </row>
    <row r="420" spans="1:30" ht="15.6" x14ac:dyDescent="0.3">
      <c r="A420" s="55">
        <v>38330</v>
      </c>
      <c r="B420" s="56">
        <v>1498</v>
      </c>
      <c r="C420" s="56">
        <v>5347</v>
      </c>
      <c r="D420" s="56">
        <v>514</v>
      </c>
      <c r="E420" s="56">
        <v>2171</v>
      </c>
      <c r="F420" s="56">
        <v>1255</v>
      </c>
      <c r="G420" s="56">
        <v>4485</v>
      </c>
      <c r="H420" s="56">
        <v>749</v>
      </c>
      <c r="I420" s="56">
        <v>2942</v>
      </c>
      <c r="J420" s="56">
        <v>74</v>
      </c>
      <c r="K420" s="56">
        <v>366</v>
      </c>
      <c r="L420" s="56">
        <v>4088</v>
      </c>
      <c r="M420" s="56">
        <v>15312</v>
      </c>
      <c r="N420" s="56">
        <v>8113</v>
      </c>
      <c r="O420" s="56">
        <v>13423</v>
      </c>
      <c r="P420" s="56">
        <v>5780</v>
      </c>
      <c r="Q420" s="56">
        <v>11667</v>
      </c>
      <c r="R420" s="16">
        <f t="shared" si="29"/>
        <v>17981</v>
      </c>
      <c r="S420" s="16">
        <f t="shared" si="30"/>
        <v>40402</v>
      </c>
      <c r="T420" s="13">
        <f t="shared" si="31"/>
        <v>39779</v>
      </c>
      <c r="U420" s="5">
        <v>17981</v>
      </c>
      <c r="V420" s="5"/>
      <c r="W420" s="8"/>
      <c r="Y420" s="73">
        <f>P834</f>
        <v>8026</v>
      </c>
      <c r="AB420" s="73">
        <f>Q834</f>
        <v>9527</v>
      </c>
      <c r="AD420" s="105">
        <f t="shared" si="32"/>
        <v>39779</v>
      </c>
    </row>
    <row r="421" spans="1:30" ht="15.6" x14ac:dyDescent="0.3">
      <c r="A421" s="55">
        <v>37973</v>
      </c>
      <c r="B421" s="56">
        <v>3313</v>
      </c>
      <c r="C421" s="56">
        <v>6590</v>
      </c>
      <c r="D421" s="56">
        <v>706</v>
      </c>
      <c r="E421" s="56">
        <v>2170</v>
      </c>
      <c r="F421" s="56">
        <v>1487</v>
      </c>
      <c r="G421" s="56">
        <v>3828</v>
      </c>
      <c r="H421" s="56">
        <v>1380</v>
      </c>
      <c r="I421" s="56">
        <v>2226</v>
      </c>
      <c r="J421" s="56">
        <v>173</v>
      </c>
      <c r="K421" s="56">
        <v>674</v>
      </c>
      <c r="L421" s="56">
        <v>7059</v>
      </c>
      <c r="M421" s="56">
        <v>15487</v>
      </c>
      <c r="N421" s="56">
        <v>9847</v>
      </c>
      <c r="O421" s="56">
        <v>14737</v>
      </c>
      <c r="P421" s="56">
        <v>8301</v>
      </c>
      <c r="Q421" s="56">
        <v>12709</v>
      </c>
      <c r="R421" s="16">
        <f t="shared" si="29"/>
        <v>25207</v>
      </c>
      <c r="S421" s="16">
        <f t="shared" si="30"/>
        <v>42933</v>
      </c>
      <c r="T421" s="13">
        <f t="shared" si="31"/>
        <v>39786</v>
      </c>
      <c r="U421" s="5">
        <v>25207</v>
      </c>
      <c r="V421" s="5"/>
      <c r="W421" s="8"/>
      <c r="Y421" s="73">
        <f>P836</f>
        <v>7889</v>
      </c>
      <c r="AB421" s="73">
        <f>Q836</f>
        <v>10474</v>
      </c>
      <c r="AD421" s="105">
        <f t="shared" si="32"/>
        <v>39786</v>
      </c>
    </row>
    <row r="422" spans="1:30" ht="15.6" x14ac:dyDescent="0.3">
      <c r="A422" s="55">
        <v>38337</v>
      </c>
      <c r="B422" s="56">
        <v>1700</v>
      </c>
      <c r="C422" s="56">
        <v>5459</v>
      </c>
      <c r="D422" s="56">
        <v>495</v>
      </c>
      <c r="E422" s="56">
        <v>2249</v>
      </c>
      <c r="F422" s="56">
        <v>1250</v>
      </c>
      <c r="G422" s="56">
        <v>4643</v>
      </c>
      <c r="H422" s="56">
        <v>776</v>
      </c>
      <c r="I422" s="56">
        <v>2993</v>
      </c>
      <c r="J422" s="56">
        <v>78</v>
      </c>
      <c r="K422" s="56">
        <v>366</v>
      </c>
      <c r="L422" s="56">
        <v>4299</v>
      </c>
      <c r="M422" s="56">
        <v>15710</v>
      </c>
      <c r="N422" s="56">
        <v>7770</v>
      </c>
      <c r="O422" s="56">
        <v>14492</v>
      </c>
      <c r="P422" s="56">
        <v>5692</v>
      </c>
      <c r="Q422" s="56">
        <v>12913</v>
      </c>
      <c r="R422" s="16">
        <f t="shared" si="29"/>
        <v>17761</v>
      </c>
      <c r="S422" s="16">
        <f t="shared" si="30"/>
        <v>43115</v>
      </c>
      <c r="T422" s="13">
        <f t="shared" si="31"/>
        <v>39793</v>
      </c>
      <c r="U422" s="5">
        <v>17761</v>
      </c>
      <c r="V422" s="5"/>
      <c r="W422" s="8"/>
      <c r="Y422" s="73">
        <f>P838</f>
        <v>7628</v>
      </c>
      <c r="AB422" s="73">
        <f>Q838</f>
        <v>11629</v>
      </c>
      <c r="AD422" s="105">
        <f t="shared" si="32"/>
        <v>39793</v>
      </c>
    </row>
    <row r="423" spans="1:30" ht="15.6" x14ac:dyDescent="0.3">
      <c r="A423" s="55">
        <v>37980</v>
      </c>
      <c r="B423" s="56">
        <v>3331</v>
      </c>
      <c r="C423" s="56">
        <v>6815</v>
      </c>
      <c r="D423" s="56">
        <v>735</v>
      </c>
      <c r="E423" s="56">
        <v>2185</v>
      </c>
      <c r="F423" s="56">
        <v>1412</v>
      </c>
      <c r="G423" s="56">
        <v>3944</v>
      </c>
      <c r="H423" s="56">
        <v>1315</v>
      </c>
      <c r="I423" s="56">
        <v>2386</v>
      </c>
      <c r="J423" s="56">
        <v>190</v>
      </c>
      <c r="K423" s="56">
        <v>674</v>
      </c>
      <c r="L423" s="56">
        <v>6983</v>
      </c>
      <c r="M423" s="56">
        <v>16004</v>
      </c>
      <c r="N423" s="56">
        <v>9763</v>
      </c>
      <c r="O423" s="56">
        <v>15576</v>
      </c>
      <c r="P423" s="56">
        <v>8199</v>
      </c>
      <c r="Q423" s="56">
        <v>13356</v>
      </c>
      <c r="R423" s="16">
        <f t="shared" si="29"/>
        <v>24945</v>
      </c>
      <c r="S423" s="16">
        <f t="shared" si="30"/>
        <v>44936</v>
      </c>
      <c r="T423" s="13">
        <f t="shared" si="31"/>
        <v>39800</v>
      </c>
      <c r="U423" s="5">
        <v>24945</v>
      </c>
      <c r="V423" s="5"/>
      <c r="W423" s="8"/>
      <c r="Y423" s="73">
        <f>P840</f>
        <v>7260.9</v>
      </c>
      <c r="AB423" s="73">
        <f>Q840</f>
        <v>12580.5</v>
      </c>
      <c r="AD423" s="105">
        <f t="shared" si="32"/>
        <v>39800</v>
      </c>
    </row>
    <row r="424" spans="1:30" ht="15.6" x14ac:dyDescent="0.3">
      <c r="A424" s="55">
        <v>38344</v>
      </c>
      <c r="B424" s="56">
        <v>1610</v>
      </c>
      <c r="C424" s="56">
        <v>5672</v>
      </c>
      <c r="D424" s="56">
        <v>492</v>
      </c>
      <c r="E424" s="56">
        <v>2321</v>
      </c>
      <c r="F424" s="56">
        <v>1181</v>
      </c>
      <c r="G424" s="56">
        <v>4762</v>
      </c>
      <c r="H424" s="56">
        <v>738</v>
      </c>
      <c r="I424" s="56">
        <v>3079</v>
      </c>
      <c r="J424" s="56">
        <v>128</v>
      </c>
      <c r="K424" s="56">
        <v>366</v>
      </c>
      <c r="L424" s="56">
        <v>4148</v>
      </c>
      <c r="M424" s="56">
        <v>16199</v>
      </c>
      <c r="N424" s="56">
        <v>7496</v>
      </c>
      <c r="O424" s="56">
        <v>15517</v>
      </c>
      <c r="P424" s="56">
        <v>5744</v>
      </c>
      <c r="Q424" s="56">
        <v>13787</v>
      </c>
      <c r="R424" s="16">
        <f t="shared" si="29"/>
        <v>17388</v>
      </c>
      <c r="S424" s="16">
        <f t="shared" si="30"/>
        <v>45503</v>
      </c>
      <c r="T424" s="13">
        <f t="shared" si="31"/>
        <v>39807</v>
      </c>
      <c r="U424" s="5">
        <v>17388</v>
      </c>
      <c r="V424" s="5"/>
      <c r="W424" s="8"/>
      <c r="Y424" s="73">
        <f>P842</f>
        <v>6851</v>
      </c>
      <c r="AB424" s="73">
        <f>Q842</f>
        <v>13501</v>
      </c>
      <c r="AD424" s="105">
        <f t="shared" si="32"/>
        <v>39807</v>
      </c>
    </row>
    <row r="425" spans="1:30" ht="15.6" x14ac:dyDescent="0.3">
      <c r="A425" s="55">
        <v>37986</v>
      </c>
      <c r="B425" s="56">
        <v>3172</v>
      </c>
      <c r="C425" s="56">
        <v>7004</v>
      </c>
      <c r="D425" s="56">
        <v>611</v>
      </c>
      <c r="E425" s="56">
        <v>2322</v>
      </c>
      <c r="F425" s="56">
        <v>1401</v>
      </c>
      <c r="G425" s="56">
        <v>4026</v>
      </c>
      <c r="H425" s="56">
        <v>1246</v>
      </c>
      <c r="I425" s="56">
        <v>2476</v>
      </c>
      <c r="J425" s="56">
        <v>182</v>
      </c>
      <c r="K425" s="56">
        <v>693</v>
      </c>
      <c r="L425" s="56">
        <v>6613</v>
      </c>
      <c r="M425" s="56">
        <v>16520</v>
      </c>
      <c r="N425" s="56">
        <v>9150</v>
      </c>
      <c r="O425" s="56">
        <v>16608</v>
      </c>
      <c r="P425" s="56">
        <v>7697</v>
      </c>
      <c r="Q425" s="56">
        <v>14014</v>
      </c>
      <c r="R425" s="16">
        <f t="shared" si="29"/>
        <v>23460</v>
      </c>
      <c r="S425" s="16">
        <f t="shared" si="30"/>
        <v>47142</v>
      </c>
      <c r="T425" s="13">
        <f t="shared" si="31"/>
        <v>39814</v>
      </c>
      <c r="U425" s="5">
        <v>23460</v>
      </c>
      <c r="V425" s="5"/>
      <c r="W425" s="8"/>
      <c r="Y425" s="73">
        <f>P844</f>
        <v>6576</v>
      </c>
      <c r="AB425" s="73">
        <f>Q844</f>
        <v>14306</v>
      </c>
      <c r="AD425" s="105">
        <f t="shared" si="32"/>
        <v>39814</v>
      </c>
    </row>
    <row r="426" spans="1:30" ht="15.6" x14ac:dyDescent="0.3">
      <c r="A426" s="55">
        <v>38351</v>
      </c>
      <c r="B426" s="56">
        <v>1482</v>
      </c>
      <c r="C426" s="56">
        <v>5825</v>
      </c>
      <c r="D426" s="56">
        <v>412</v>
      </c>
      <c r="E426" s="56">
        <v>2401</v>
      </c>
      <c r="F426" s="56">
        <v>1054</v>
      </c>
      <c r="G426" s="56">
        <v>4908</v>
      </c>
      <c r="H426" s="56">
        <v>768</v>
      </c>
      <c r="I426" s="56">
        <v>3099</v>
      </c>
      <c r="J426" s="56">
        <v>115</v>
      </c>
      <c r="K426" s="56">
        <v>372</v>
      </c>
      <c r="L426" s="56">
        <v>3831</v>
      </c>
      <c r="M426" s="56">
        <v>16605</v>
      </c>
      <c r="N426" s="56">
        <v>6975</v>
      </c>
      <c r="O426" s="56">
        <v>16415</v>
      </c>
      <c r="P426" s="56">
        <v>5434</v>
      </c>
      <c r="Q426" s="56">
        <v>14691</v>
      </c>
      <c r="R426" s="16">
        <f t="shared" si="29"/>
        <v>16240</v>
      </c>
      <c r="S426" s="16">
        <f t="shared" si="30"/>
        <v>47711</v>
      </c>
      <c r="T426" s="13">
        <f t="shared" si="31"/>
        <v>39821</v>
      </c>
      <c r="U426" s="5">
        <v>16240</v>
      </c>
      <c r="V426" s="5"/>
      <c r="W426" s="8"/>
      <c r="Y426" s="73">
        <f>P846</f>
        <v>7211</v>
      </c>
      <c r="AB426" s="73">
        <f>Q846</f>
        <v>15033</v>
      </c>
      <c r="AD426" s="105">
        <f t="shared" si="32"/>
        <v>39821</v>
      </c>
    </row>
    <row r="427" spans="1:30" ht="15.6" x14ac:dyDescent="0.3">
      <c r="A427" s="55">
        <v>37994</v>
      </c>
      <c r="B427" s="56">
        <v>3123</v>
      </c>
      <c r="C427" s="56">
        <v>7270</v>
      </c>
      <c r="D427" s="56">
        <v>657</v>
      </c>
      <c r="E427" s="56">
        <v>2367</v>
      </c>
      <c r="F427" s="56">
        <v>1379</v>
      </c>
      <c r="G427" s="56">
        <v>4067</v>
      </c>
      <c r="H427" s="56">
        <v>1043</v>
      </c>
      <c r="I427" s="56">
        <v>2679</v>
      </c>
      <c r="J427" s="56">
        <v>190</v>
      </c>
      <c r="K427" s="56">
        <v>693</v>
      </c>
      <c r="L427" s="56">
        <v>6392</v>
      </c>
      <c r="M427" s="56">
        <v>17076</v>
      </c>
      <c r="N427" s="56">
        <v>8986</v>
      </c>
      <c r="O427" s="56">
        <v>17611</v>
      </c>
      <c r="P427" s="56">
        <v>7447</v>
      </c>
      <c r="Q427" s="56">
        <v>14730</v>
      </c>
      <c r="R427" s="16">
        <f t="shared" si="29"/>
        <v>22825</v>
      </c>
      <c r="S427" s="16">
        <f t="shared" si="30"/>
        <v>49417</v>
      </c>
      <c r="T427" s="13">
        <f t="shared" si="31"/>
        <v>39828</v>
      </c>
      <c r="U427" s="5">
        <v>22825</v>
      </c>
      <c r="V427" s="5"/>
      <c r="W427" s="8"/>
      <c r="Y427" s="73">
        <f>P848</f>
        <v>7518</v>
      </c>
      <c r="AB427" s="73">
        <f>Q848</f>
        <v>16050</v>
      </c>
      <c r="AD427" s="105">
        <f t="shared" si="32"/>
        <v>39828</v>
      </c>
    </row>
    <row r="428" spans="1:30" ht="15.6" x14ac:dyDescent="0.3">
      <c r="A428" s="55">
        <v>38358</v>
      </c>
      <c r="B428" s="56">
        <v>1479</v>
      </c>
      <c r="C428" s="56">
        <v>5960</v>
      </c>
      <c r="D428" s="56">
        <v>367</v>
      </c>
      <c r="E428" s="56">
        <v>2451</v>
      </c>
      <c r="F428" s="56">
        <v>1096</v>
      </c>
      <c r="G428" s="56">
        <v>5051</v>
      </c>
      <c r="H428" s="56">
        <v>735</v>
      </c>
      <c r="I428" s="56">
        <v>3211</v>
      </c>
      <c r="J428" s="56">
        <v>115</v>
      </c>
      <c r="K428" s="56">
        <v>383</v>
      </c>
      <c r="L428" s="56">
        <v>3792</v>
      </c>
      <c r="M428" s="56">
        <v>17056</v>
      </c>
      <c r="N428" s="56">
        <v>6999</v>
      </c>
      <c r="O428" s="56">
        <v>17049</v>
      </c>
      <c r="P428" s="56">
        <v>5692</v>
      </c>
      <c r="Q428" s="56">
        <v>15499</v>
      </c>
      <c r="R428" s="16">
        <f t="shared" si="29"/>
        <v>16483</v>
      </c>
      <c r="S428" s="16">
        <f t="shared" si="30"/>
        <v>49604</v>
      </c>
      <c r="T428" s="13">
        <f t="shared" si="31"/>
        <v>39835</v>
      </c>
      <c r="U428" s="5">
        <v>16483</v>
      </c>
      <c r="V428" s="5"/>
      <c r="W428" s="8"/>
      <c r="Y428" s="73">
        <f>P850</f>
        <v>7086</v>
      </c>
      <c r="AB428" s="73">
        <f>Q850</f>
        <v>17008</v>
      </c>
      <c r="AD428" s="105">
        <f t="shared" si="32"/>
        <v>39835</v>
      </c>
    </row>
    <row r="429" spans="1:30" ht="15.6" x14ac:dyDescent="0.3">
      <c r="A429" s="55">
        <v>38001</v>
      </c>
      <c r="B429" s="56">
        <v>3136</v>
      </c>
      <c r="C429" s="56">
        <v>7662</v>
      </c>
      <c r="D429" s="56">
        <v>987</v>
      </c>
      <c r="E429" s="56">
        <v>2392</v>
      </c>
      <c r="F429" s="56">
        <v>1414</v>
      </c>
      <c r="G429" s="56">
        <v>4224</v>
      </c>
      <c r="H429" s="56">
        <v>1092</v>
      </c>
      <c r="I429" s="56">
        <v>2741</v>
      </c>
      <c r="J429" s="56">
        <v>189</v>
      </c>
      <c r="K429" s="56">
        <v>713</v>
      </c>
      <c r="L429" s="56">
        <v>6818</v>
      </c>
      <c r="M429" s="56">
        <v>17732</v>
      </c>
      <c r="N429" s="56">
        <v>9113</v>
      </c>
      <c r="O429" s="56">
        <v>18483</v>
      </c>
      <c r="P429" s="56">
        <v>6536</v>
      </c>
      <c r="Q429" s="56">
        <v>15654</v>
      </c>
      <c r="R429" s="16">
        <f t="shared" si="29"/>
        <v>22467</v>
      </c>
      <c r="S429" s="16">
        <f t="shared" si="30"/>
        <v>51869</v>
      </c>
      <c r="T429" s="13">
        <f t="shared" si="31"/>
        <v>39842</v>
      </c>
      <c r="U429" s="5">
        <v>22467</v>
      </c>
      <c r="V429" s="5"/>
      <c r="W429" s="8"/>
      <c r="Y429" s="73">
        <f>P852</f>
        <v>6359</v>
      </c>
      <c r="AB429" s="73">
        <f>Q852</f>
        <v>18072</v>
      </c>
      <c r="AD429" s="105">
        <f t="shared" si="32"/>
        <v>39842</v>
      </c>
    </row>
    <row r="430" spans="1:30" ht="15.6" x14ac:dyDescent="0.3">
      <c r="A430" s="55">
        <v>38365</v>
      </c>
      <c r="B430" s="56">
        <v>1448</v>
      </c>
      <c r="C430" s="56">
        <v>6111</v>
      </c>
      <c r="D430" s="56">
        <v>383</v>
      </c>
      <c r="E430" s="56">
        <v>2472</v>
      </c>
      <c r="F430" s="56">
        <v>1230</v>
      </c>
      <c r="G430" s="56">
        <v>5139</v>
      </c>
      <c r="H430" s="56">
        <v>686</v>
      </c>
      <c r="I430" s="56">
        <v>3320</v>
      </c>
      <c r="J430" s="56">
        <v>129</v>
      </c>
      <c r="K430" s="56">
        <v>383</v>
      </c>
      <c r="L430" s="56">
        <v>3874</v>
      </c>
      <c r="M430" s="56">
        <v>17425</v>
      </c>
      <c r="N430" s="56">
        <v>7157</v>
      </c>
      <c r="O430" s="56">
        <v>17806</v>
      </c>
      <c r="P430" s="56">
        <v>5732</v>
      </c>
      <c r="Q430" s="56">
        <v>16319</v>
      </c>
      <c r="R430" s="16">
        <f t="shared" si="29"/>
        <v>16763</v>
      </c>
      <c r="S430" s="16">
        <f t="shared" si="30"/>
        <v>51550</v>
      </c>
      <c r="T430" s="13">
        <f t="shared" si="31"/>
        <v>39849</v>
      </c>
      <c r="U430" s="5">
        <v>16763</v>
      </c>
      <c r="V430" s="5"/>
      <c r="W430" s="8"/>
      <c r="Y430" s="73">
        <f>P854</f>
        <v>6035</v>
      </c>
      <c r="AB430" s="73">
        <f>Q854</f>
        <v>19465</v>
      </c>
      <c r="AD430" s="105">
        <f t="shared" si="32"/>
        <v>39849</v>
      </c>
    </row>
    <row r="431" spans="1:30" ht="15.6" x14ac:dyDescent="0.3">
      <c r="A431" s="55">
        <v>38008</v>
      </c>
      <c r="B431" s="56">
        <v>2872</v>
      </c>
      <c r="C431" s="56">
        <v>8115</v>
      </c>
      <c r="D431" s="56">
        <v>1102</v>
      </c>
      <c r="E431" s="56">
        <v>2438</v>
      </c>
      <c r="F431" s="56">
        <v>1315</v>
      </c>
      <c r="G431" s="56">
        <v>4374</v>
      </c>
      <c r="H431" s="56">
        <v>1115</v>
      </c>
      <c r="I431" s="56">
        <v>2891</v>
      </c>
      <c r="J431" s="56">
        <v>170</v>
      </c>
      <c r="K431" s="56">
        <v>737</v>
      </c>
      <c r="L431" s="56">
        <v>6574</v>
      </c>
      <c r="M431" s="56">
        <v>18556</v>
      </c>
      <c r="N431" s="56">
        <v>8944</v>
      </c>
      <c r="O431" s="56">
        <v>19427</v>
      </c>
      <c r="P431" s="56">
        <v>5548</v>
      </c>
      <c r="Q431" s="56">
        <v>16513</v>
      </c>
      <c r="R431" s="16">
        <f t="shared" si="29"/>
        <v>21066</v>
      </c>
      <c r="S431" s="16">
        <f t="shared" si="30"/>
        <v>54496</v>
      </c>
      <c r="T431" s="13">
        <f t="shared" si="31"/>
        <v>39856</v>
      </c>
      <c r="U431" s="5">
        <v>21066</v>
      </c>
      <c r="V431" s="5"/>
      <c r="W431" s="8"/>
      <c r="Y431" s="73">
        <f>P856</f>
        <v>5870</v>
      </c>
      <c r="AB431" s="73">
        <f>Q856</f>
        <v>20724</v>
      </c>
      <c r="AD431" s="105">
        <f t="shared" si="32"/>
        <v>39856</v>
      </c>
    </row>
    <row r="432" spans="1:30" ht="15.6" x14ac:dyDescent="0.3">
      <c r="A432" s="55">
        <v>38372</v>
      </c>
      <c r="B432" s="56">
        <v>1386</v>
      </c>
      <c r="C432" s="56">
        <v>6305</v>
      </c>
      <c r="D432" s="56">
        <v>392</v>
      </c>
      <c r="E432" s="56">
        <v>2518</v>
      </c>
      <c r="F432" s="56">
        <v>1192</v>
      </c>
      <c r="G432" s="56">
        <v>5247</v>
      </c>
      <c r="H432" s="56">
        <v>590</v>
      </c>
      <c r="I432" s="56">
        <v>3498</v>
      </c>
      <c r="J432" s="56">
        <v>105</v>
      </c>
      <c r="K432" s="56">
        <v>408</v>
      </c>
      <c r="L432" s="56">
        <v>3664</v>
      </c>
      <c r="M432" s="56">
        <v>17976</v>
      </c>
      <c r="N432" s="56">
        <v>6840</v>
      </c>
      <c r="O432" s="56">
        <v>18878</v>
      </c>
      <c r="P432" s="56">
        <v>5116</v>
      </c>
      <c r="Q432" s="56">
        <v>17454</v>
      </c>
      <c r="R432" s="16">
        <f t="shared" si="29"/>
        <v>15620</v>
      </c>
      <c r="S432" s="16">
        <f t="shared" si="30"/>
        <v>54308</v>
      </c>
      <c r="T432" s="13">
        <f t="shared" si="31"/>
        <v>39863</v>
      </c>
      <c r="U432" s="5">
        <v>15620</v>
      </c>
      <c r="V432" s="5"/>
      <c r="W432" s="8"/>
      <c r="Y432" s="73">
        <f>P858</f>
        <v>5301</v>
      </c>
      <c r="AB432" s="73">
        <f>Q858</f>
        <v>21632</v>
      </c>
      <c r="AD432" s="105">
        <f t="shared" si="32"/>
        <v>39863</v>
      </c>
    </row>
    <row r="433" spans="1:30" ht="15.6" x14ac:dyDescent="0.3">
      <c r="A433" s="55">
        <v>38016</v>
      </c>
      <c r="B433" s="56">
        <v>2812</v>
      </c>
      <c r="C433" s="56">
        <v>8405</v>
      </c>
      <c r="D433" s="56">
        <v>1102</v>
      </c>
      <c r="E433" s="56">
        <v>2477</v>
      </c>
      <c r="F433" s="56">
        <v>1301</v>
      </c>
      <c r="G433" s="56">
        <v>4500</v>
      </c>
      <c r="H433" s="56">
        <v>1166</v>
      </c>
      <c r="I433" s="56">
        <v>3002</v>
      </c>
      <c r="J433" s="56">
        <v>170</v>
      </c>
      <c r="K433" s="56">
        <v>742</v>
      </c>
      <c r="L433" s="56">
        <v>6550</v>
      </c>
      <c r="M433" s="56">
        <v>19126</v>
      </c>
      <c r="N433" s="56">
        <v>9043</v>
      </c>
      <c r="O433" s="56">
        <v>20310</v>
      </c>
      <c r="P433" s="56">
        <v>5115</v>
      </c>
      <c r="Q433" s="56">
        <v>17314</v>
      </c>
      <c r="R433" s="16">
        <f t="shared" si="29"/>
        <v>20708</v>
      </c>
      <c r="S433" s="16">
        <f t="shared" si="30"/>
        <v>56750</v>
      </c>
      <c r="T433" s="13">
        <f t="shared" si="31"/>
        <v>39870</v>
      </c>
      <c r="U433" s="5">
        <v>20708</v>
      </c>
      <c r="V433" s="5"/>
      <c r="W433" s="8"/>
      <c r="Y433" s="73">
        <f>P860</f>
        <v>4705</v>
      </c>
      <c r="AB433" s="73">
        <f>Q860</f>
        <v>22384</v>
      </c>
      <c r="AD433" s="105">
        <f t="shared" si="32"/>
        <v>39870</v>
      </c>
    </row>
    <row r="434" spans="1:30" ht="15.6" x14ac:dyDescent="0.3">
      <c r="A434" s="55">
        <v>38379</v>
      </c>
      <c r="B434" s="56">
        <v>1562</v>
      </c>
      <c r="C434" s="56">
        <v>6490</v>
      </c>
      <c r="D434" s="56">
        <v>389</v>
      </c>
      <c r="E434" s="56">
        <v>2576</v>
      </c>
      <c r="F434" s="56">
        <v>1220</v>
      </c>
      <c r="G434" s="56">
        <v>5407</v>
      </c>
      <c r="H434" s="56">
        <v>604</v>
      </c>
      <c r="I434" s="56">
        <v>3574</v>
      </c>
      <c r="J434" s="56">
        <v>111</v>
      </c>
      <c r="K434" s="56">
        <v>418</v>
      </c>
      <c r="L434" s="56">
        <v>3886</v>
      </c>
      <c r="M434" s="56">
        <v>18465</v>
      </c>
      <c r="N434" s="56">
        <v>6257</v>
      </c>
      <c r="O434" s="56">
        <v>19799</v>
      </c>
      <c r="P434" s="56">
        <v>4951</v>
      </c>
      <c r="Q434" s="56">
        <v>18189</v>
      </c>
      <c r="R434" s="16">
        <f t="shared" si="29"/>
        <v>15094</v>
      </c>
      <c r="S434" s="16">
        <f t="shared" si="30"/>
        <v>56453</v>
      </c>
      <c r="T434" s="13">
        <f t="shared" si="31"/>
        <v>39877</v>
      </c>
      <c r="U434" s="5">
        <v>15094</v>
      </c>
      <c r="V434" s="5"/>
      <c r="W434" s="8"/>
      <c r="Y434" s="73">
        <f>P862</f>
        <v>4656</v>
      </c>
      <c r="AB434" s="73">
        <f>Q862</f>
        <v>23270</v>
      </c>
      <c r="AD434" s="105">
        <f t="shared" si="32"/>
        <v>39877</v>
      </c>
    </row>
    <row r="435" spans="1:30" ht="15.6" x14ac:dyDescent="0.3">
      <c r="A435" s="55">
        <v>38023</v>
      </c>
      <c r="B435" s="56">
        <v>2668</v>
      </c>
      <c r="C435" s="56">
        <v>8686</v>
      </c>
      <c r="D435" s="56">
        <v>1075</v>
      </c>
      <c r="E435" s="56">
        <v>2536</v>
      </c>
      <c r="F435" s="56">
        <v>1217</v>
      </c>
      <c r="G435" s="56">
        <v>4642</v>
      </c>
      <c r="H435" s="56">
        <v>988</v>
      </c>
      <c r="I435" s="56">
        <v>3264</v>
      </c>
      <c r="J435" s="56">
        <v>198</v>
      </c>
      <c r="K435" s="56">
        <v>742</v>
      </c>
      <c r="L435" s="56">
        <v>6146</v>
      </c>
      <c r="M435" s="56">
        <v>19870</v>
      </c>
      <c r="N435" s="56">
        <v>9441</v>
      </c>
      <c r="O435" s="56">
        <v>21063</v>
      </c>
      <c r="P435" s="56">
        <v>4686</v>
      </c>
      <c r="Q435" s="56">
        <v>17898</v>
      </c>
      <c r="R435" s="16">
        <f t="shared" si="29"/>
        <v>20273</v>
      </c>
      <c r="S435" s="16">
        <f t="shared" si="30"/>
        <v>58831</v>
      </c>
      <c r="T435" s="13">
        <f t="shared" si="31"/>
        <v>39884</v>
      </c>
      <c r="U435" s="5">
        <v>20273</v>
      </c>
      <c r="V435" s="5"/>
      <c r="W435" s="8"/>
      <c r="Y435" s="73">
        <f>P866</f>
        <v>4105</v>
      </c>
      <c r="AB435" s="73">
        <f>Q866</f>
        <v>24393</v>
      </c>
      <c r="AD435" s="105">
        <f t="shared" si="32"/>
        <v>39884</v>
      </c>
    </row>
    <row r="436" spans="1:30" ht="15.6" x14ac:dyDescent="0.3">
      <c r="A436" s="55">
        <v>38386</v>
      </c>
      <c r="B436" s="56">
        <v>1640</v>
      </c>
      <c r="C436" s="56">
        <v>6601</v>
      </c>
      <c r="D436" s="56">
        <v>389</v>
      </c>
      <c r="E436" s="56">
        <v>2612</v>
      </c>
      <c r="F436" s="56">
        <v>1249</v>
      </c>
      <c r="G436" s="56">
        <v>5569</v>
      </c>
      <c r="H436" s="56">
        <v>616</v>
      </c>
      <c r="I436" s="56">
        <v>3616</v>
      </c>
      <c r="J436" s="56">
        <v>114</v>
      </c>
      <c r="K436" s="56">
        <v>418</v>
      </c>
      <c r="L436" s="56">
        <v>4007</v>
      </c>
      <c r="M436" s="56">
        <v>18817</v>
      </c>
      <c r="N436" s="56">
        <v>6744</v>
      </c>
      <c r="O436" s="56">
        <v>20307</v>
      </c>
      <c r="P436" s="56">
        <v>4807</v>
      </c>
      <c r="Q436" s="56">
        <v>18862</v>
      </c>
      <c r="R436" s="16">
        <f t="shared" si="29"/>
        <v>15558</v>
      </c>
      <c r="S436" s="16">
        <f t="shared" si="30"/>
        <v>57986</v>
      </c>
      <c r="T436" s="13">
        <f t="shared" si="31"/>
        <v>39891</v>
      </c>
      <c r="U436" s="5">
        <v>15558</v>
      </c>
      <c r="V436" s="5"/>
      <c r="W436" s="8"/>
      <c r="Y436" s="73">
        <f>P868</f>
        <v>3955</v>
      </c>
      <c r="AB436" s="73">
        <f>Q868</f>
        <v>25144</v>
      </c>
      <c r="AD436" s="105">
        <f t="shared" si="32"/>
        <v>39891</v>
      </c>
    </row>
    <row r="437" spans="1:30" ht="15.6" x14ac:dyDescent="0.3">
      <c r="A437" s="55">
        <v>38030</v>
      </c>
      <c r="B437" s="56">
        <v>2514</v>
      </c>
      <c r="C437" s="56">
        <v>8980</v>
      </c>
      <c r="D437" s="56">
        <v>1023</v>
      </c>
      <c r="E437" s="56">
        <v>2629</v>
      </c>
      <c r="F437" s="56">
        <v>1183</v>
      </c>
      <c r="G437" s="56">
        <v>4732</v>
      </c>
      <c r="H437" s="56">
        <v>892</v>
      </c>
      <c r="I437" s="56">
        <v>3436</v>
      </c>
      <c r="J437" s="56">
        <v>201</v>
      </c>
      <c r="K437" s="56">
        <v>762</v>
      </c>
      <c r="L437" s="56">
        <v>5813</v>
      </c>
      <c r="M437" s="56">
        <v>20540</v>
      </c>
      <c r="N437" s="56">
        <v>9522</v>
      </c>
      <c r="O437" s="56">
        <v>21935</v>
      </c>
      <c r="P437" s="56">
        <v>4265</v>
      </c>
      <c r="Q437" s="56">
        <v>18519</v>
      </c>
      <c r="R437" s="16">
        <f t="shared" si="29"/>
        <v>19600</v>
      </c>
      <c r="S437" s="16">
        <f t="shared" si="30"/>
        <v>60994</v>
      </c>
      <c r="T437" s="13">
        <f t="shared" si="31"/>
        <v>39898</v>
      </c>
      <c r="U437" s="5">
        <v>19600</v>
      </c>
      <c r="V437" s="5"/>
      <c r="W437" s="8"/>
      <c r="Y437" s="73">
        <f>P870</f>
        <v>3802</v>
      </c>
      <c r="AB437" s="73">
        <f>Q870</f>
        <v>25728</v>
      </c>
      <c r="AD437" s="105">
        <f t="shared" si="32"/>
        <v>39898</v>
      </c>
    </row>
    <row r="438" spans="1:30" ht="15.6" x14ac:dyDescent="0.3">
      <c r="A438" s="55">
        <v>38393</v>
      </c>
      <c r="B438" s="56">
        <v>1763</v>
      </c>
      <c r="C438" s="56">
        <v>6749</v>
      </c>
      <c r="D438" s="56">
        <v>379</v>
      </c>
      <c r="E438" s="56">
        <v>2679</v>
      </c>
      <c r="F438" s="56">
        <v>1297</v>
      </c>
      <c r="G438" s="56">
        <v>5660</v>
      </c>
      <c r="H438" s="56">
        <v>597</v>
      </c>
      <c r="I438" s="56">
        <v>3680</v>
      </c>
      <c r="J438" s="56">
        <v>102</v>
      </c>
      <c r="K438" s="56">
        <v>466</v>
      </c>
      <c r="L438" s="56">
        <v>4138</v>
      </c>
      <c r="M438" s="56">
        <v>19234</v>
      </c>
      <c r="N438" s="56">
        <v>6769</v>
      </c>
      <c r="O438" s="56">
        <v>21068</v>
      </c>
      <c r="P438" s="56">
        <v>4387</v>
      </c>
      <c r="Q438" s="56">
        <v>19645</v>
      </c>
      <c r="R438" s="16">
        <f t="shared" si="29"/>
        <v>15294</v>
      </c>
      <c r="S438" s="16">
        <f t="shared" si="30"/>
        <v>59947</v>
      </c>
      <c r="T438" s="13">
        <f t="shared" si="31"/>
        <v>39905</v>
      </c>
      <c r="U438" s="5">
        <v>15294</v>
      </c>
      <c r="V438" s="5"/>
      <c r="W438" s="8"/>
      <c r="Y438" s="73">
        <f>P872</f>
        <v>4073</v>
      </c>
      <c r="AB438" s="73">
        <f>Q872</f>
        <v>26265</v>
      </c>
      <c r="AD438" s="105">
        <f t="shared" si="32"/>
        <v>39905</v>
      </c>
    </row>
    <row r="439" spans="1:30" ht="15.6" x14ac:dyDescent="0.3">
      <c r="A439" s="55">
        <v>38036</v>
      </c>
      <c r="B439" s="56">
        <v>2351</v>
      </c>
      <c r="C439" s="56">
        <v>9180</v>
      </c>
      <c r="D439" s="56">
        <v>1003</v>
      </c>
      <c r="E439" s="56">
        <v>2700</v>
      </c>
      <c r="F439" s="56">
        <v>1266</v>
      </c>
      <c r="G439" s="56">
        <v>4809</v>
      </c>
      <c r="H439" s="56">
        <v>1044</v>
      </c>
      <c r="I439" s="56">
        <v>3458</v>
      </c>
      <c r="J439" s="56">
        <v>203</v>
      </c>
      <c r="K439" s="56">
        <v>765</v>
      </c>
      <c r="L439" s="56">
        <v>5867</v>
      </c>
      <c r="M439" s="56">
        <v>20912</v>
      </c>
      <c r="N439" s="56">
        <v>9512</v>
      </c>
      <c r="O439" s="56">
        <v>22931</v>
      </c>
      <c r="P439" s="56">
        <v>3673</v>
      </c>
      <c r="Q439" s="56">
        <v>19106</v>
      </c>
      <c r="R439" s="16">
        <f t="shared" si="29"/>
        <v>19052</v>
      </c>
      <c r="S439" s="16">
        <f t="shared" si="30"/>
        <v>62949</v>
      </c>
      <c r="T439" s="13">
        <f t="shared" si="31"/>
        <v>39912</v>
      </c>
      <c r="U439" s="5">
        <v>19052</v>
      </c>
      <c r="V439" s="5"/>
      <c r="W439" s="8"/>
      <c r="Y439" s="73">
        <f>P874</f>
        <v>4029</v>
      </c>
      <c r="AB439" s="73">
        <f>Q874</f>
        <v>26926</v>
      </c>
      <c r="AD439" s="105">
        <f t="shared" si="32"/>
        <v>39912</v>
      </c>
    </row>
    <row r="440" spans="1:30" ht="15.6" x14ac:dyDescent="0.3">
      <c r="A440" s="55">
        <v>38400</v>
      </c>
      <c r="B440" s="56">
        <v>1679</v>
      </c>
      <c r="C440" s="56">
        <v>7014</v>
      </c>
      <c r="D440" s="56">
        <v>389</v>
      </c>
      <c r="E440" s="56">
        <v>2704</v>
      </c>
      <c r="F440" s="56">
        <v>1322</v>
      </c>
      <c r="G440" s="56">
        <v>5865</v>
      </c>
      <c r="H440" s="56">
        <v>629</v>
      </c>
      <c r="I440" s="56">
        <v>3737</v>
      </c>
      <c r="J440" s="56">
        <v>112</v>
      </c>
      <c r="K440" s="56">
        <v>466</v>
      </c>
      <c r="L440" s="56">
        <v>4132</v>
      </c>
      <c r="M440" s="56">
        <v>19787</v>
      </c>
      <c r="N440" s="56">
        <v>6996</v>
      </c>
      <c r="O440" s="56">
        <v>21707</v>
      </c>
      <c r="P440" s="56">
        <v>3824</v>
      </c>
      <c r="Q440" s="56">
        <v>20635</v>
      </c>
      <c r="R440" s="16">
        <f t="shared" si="29"/>
        <v>14952</v>
      </c>
      <c r="S440" s="16">
        <f t="shared" si="30"/>
        <v>62129</v>
      </c>
      <c r="T440" s="13">
        <f t="shared" si="31"/>
        <v>39919</v>
      </c>
      <c r="U440" s="5">
        <v>14952</v>
      </c>
      <c r="V440" s="5"/>
      <c r="W440" s="8"/>
      <c r="Y440" s="73">
        <f>P876</f>
        <v>4583</v>
      </c>
      <c r="AB440" s="73">
        <f>Q876</f>
        <v>27206</v>
      </c>
      <c r="AD440" s="105">
        <f t="shared" si="32"/>
        <v>39919</v>
      </c>
    </row>
    <row r="441" spans="1:30" ht="15.6" x14ac:dyDescent="0.3">
      <c r="A441" s="55">
        <v>38043</v>
      </c>
      <c r="B441" s="56">
        <v>2252</v>
      </c>
      <c r="C441" s="56">
        <v>9475</v>
      </c>
      <c r="D441" s="56">
        <v>961</v>
      </c>
      <c r="E441" s="56">
        <v>2786</v>
      </c>
      <c r="F441" s="56">
        <v>1386</v>
      </c>
      <c r="G441" s="56">
        <v>4908</v>
      </c>
      <c r="H441" s="56">
        <v>902</v>
      </c>
      <c r="I441" s="56">
        <v>3701</v>
      </c>
      <c r="J441" s="56">
        <v>173</v>
      </c>
      <c r="K441" s="56">
        <v>799</v>
      </c>
      <c r="L441" s="56">
        <v>5673</v>
      </c>
      <c r="M441" s="56">
        <v>21669</v>
      </c>
      <c r="N441" s="56">
        <v>9094</v>
      </c>
      <c r="O441" s="56">
        <v>23722</v>
      </c>
      <c r="P441" s="56">
        <v>3032</v>
      </c>
      <c r="Q441" s="56">
        <v>19719</v>
      </c>
      <c r="R441" s="16">
        <f t="shared" si="29"/>
        <v>17799</v>
      </c>
      <c r="S441" s="16">
        <f t="shared" si="30"/>
        <v>65110</v>
      </c>
      <c r="T441" s="13">
        <f t="shared" si="31"/>
        <v>39926</v>
      </c>
      <c r="U441" s="5">
        <v>17799</v>
      </c>
      <c r="V441" s="5"/>
      <c r="W441" s="8"/>
      <c r="Y441" s="73">
        <f>P878</f>
        <v>4851</v>
      </c>
      <c r="AB441" s="73">
        <f>Q878</f>
        <v>27593</v>
      </c>
      <c r="AD441" s="105">
        <f t="shared" si="32"/>
        <v>39926</v>
      </c>
    </row>
    <row r="442" spans="1:30" ht="15.6" x14ac:dyDescent="0.3">
      <c r="A442" s="55">
        <v>38407</v>
      </c>
      <c r="B442" s="56">
        <v>1637</v>
      </c>
      <c r="C442" s="56">
        <v>7219</v>
      </c>
      <c r="D442" s="56">
        <v>328</v>
      </c>
      <c r="E442" s="56">
        <v>2810</v>
      </c>
      <c r="F442" s="56">
        <v>1373</v>
      </c>
      <c r="G442" s="56">
        <v>6020</v>
      </c>
      <c r="H442" s="56">
        <v>485</v>
      </c>
      <c r="I442" s="56">
        <v>3923</v>
      </c>
      <c r="J442" s="56">
        <v>112</v>
      </c>
      <c r="K442" s="56">
        <v>466</v>
      </c>
      <c r="L442" s="56">
        <v>3935</v>
      </c>
      <c r="M442" s="56">
        <v>20437</v>
      </c>
      <c r="N442" s="56">
        <v>6950</v>
      </c>
      <c r="O442" s="56">
        <v>22564</v>
      </c>
      <c r="P442" s="56">
        <v>3691</v>
      </c>
      <c r="Q442" s="56">
        <v>21419</v>
      </c>
      <c r="R442" s="16">
        <f t="shared" si="29"/>
        <v>14576</v>
      </c>
      <c r="S442" s="16">
        <f t="shared" si="30"/>
        <v>64420</v>
      </c>
      <c r="T442" s="13">
        <f t="shared" si="31"/>
        <v>39933</v>
      </c>
      <c r="U442" s="5">
        <v>14576</v>
      </c>
      <c r="V442" s="5"/>
      <c r="W442" s="8"/>
      <c r="Y442" s="73">
        <f>P880</f>
        <v>4811</v>
      </c>
      <c r="AB442" s="73">
        <f>Q880</f>
        <v>28035</v>
      </c>
      <c r="AD442" s="105">
        <f t="shared" si="32"/>
        <v>39933</v>
      </c>
    </row>
    <row r="443" spans="1:30" ht="15.6" x14ac:dyDescent="0.3">
      <c r="A443" s="55">
        <v>38050</v>
      </c>
      <c r="B443" s="56">
        <v>2234</v>
      </c>
      <c r="C443" s="56">
        <v>9720</v>
      </c>
      <c r="D443" s="56">
        <v>911</v>
      </c>
      <c r="E443" s="56">
        <v>2876</v>
      </c>
      <c r="F443" s="56">
        <v>1422</v>
      </c>
      <c r="G443" s="56">
        <v>5016</v>
      </c>
      <c r="H443" s="56">
        <v>1002</v>
      </c>
      <c r="I443" s="56">
        <v>3782</v>
      </c>
      <c r="J443" s="56">
        <v>146</v>
      </c>
      <c r="K443" s="56">
        <v>823</v>
      </c>
      <c r="L443" s="56">
        <v>5715</v>
      </c>
      <c r="M443" s="56">
        <v>22216</v>
      </c>
      <c r="N443" s="56">
        <v>8330</v>
      </c>
      <c r="O443" s="56">
        <v>25060</v>
      </c>
      <c r="P443" s="56">
        <v>2820</v>
      </c>
      <c r="Q443" s="56">
        <v>20196</v>
      </c>
      <c r="R443" s="16">
        <f t="shared" si="29"/>
        <v>16865</v>
      </c>
      <c r="S443" s="16">
        <f t="shared" si="30"/>
        <v>67472</v>
      </c>
      <c r="T443" s="13">
        <f t="shared" si="31"/>
        <v>39940</v>
      </c>
      <c r="U443" s="5">
        <v>16865</v>
      </c>
      <c r="V443" s="5"/>
      <c r="W443" s="8"/>
      <c r="Y443" s="73">
        <f>P882</f>
        <v>5098</v>
      </c>
      <c r="AB443" s="73">
        <f>Q882</f>
        <v>28448</v>
      </c>
      <c r="AD443" s="105">
        <f t="shared" si="32"/>
        <v>39940</v>
      </c>
    </row>
    <row r="444" spans="1:30" ht="15.6" x14ac:dyDescent="0.3">
      <c r="A444" s="55">
        <v>38414</v>
      </c>
      <c r="B444" s="56">
        <v>1556</v>
      </c>
      <c r="C444" s="56">
        <v>7347</v>
      </c>
      <c r="D444" s="56">
        <v>271</v>
      </c>
      <c r="E444" s="56">
        <v>2869</v>
      </c>
      <c r="F444" s="56">
        <v>1400</v>
      </c>
      <c r="G444" s="56">
        <v>6085</v>
      </c>
      <c r="H444" s="56">
        <v>517</v>
      </c>
      <c r="I444" s="56">
        <v>3975</v>
      </c>
      <c r="J444" s="56">
        <v>107</v>
      </c>
      <c r="K444" s="56">
        <v>481</v>
      </c>
      <c r="L444" s="56">
        <v>3851</v>
      </c>
      <c r="M444" s="56">
        <v>20758</v>
      </c>
      <c r="N444" s="56">
        <v>6746</v>
      </c>
      <c r="O444" s="56">
        <v>23502</v>
      </c>
      <c r="P444" s="56">
        <v>3662</v>
      </c>
      <c r="Q444" s="56">
        <v>22120</v>
      </c>
      <c r="R444" s="16">
        <f t="shared" si="29"/>
        <v>14259</v>
      </c>
      <c r="S444" s="16">
        <f t="shared" si="30"/>
        <v>66380</v>
      </c>
      <c r="T444" s="13">
        <f t="shared" si="31"/>
        <v>39947</v>
      </c>
      <c r="U444" s="5">
        <v>14259</v>
      </c>
      <c r="V444" s="5"/>
      <c r="W444" s="8"/>
      <c r="Y444" s="73">
        <f>P884</f>
        <v>4779</v>
      </c>
      <c r="AB444" s="73">
        <f>Q884</f>
        <v>28981</v>
      </c>
      <c r="AD444" s="105">
        <f t="shared" si="32"/>
        <v>39947</v>
      </c>
    </row>
    <row r="445" spans="1:30" ht="15.6" x14ac:dyDescent="0.3">
      <c r="A445" s="55">
        <v>38057</v>
      </c>
      <c r="B445" s="56">
        <v>2191</v>
      </c>
      <c r="C445" s="56">
        <v>9997</v>
      </c>
      <c r="D445" s="56">
        <v>837</v>
      </c>
      <c r="E445" s="56">
        <v>2970</v>
      </c>
      <c r="F445" s="56">
        <v>1309</v>
      </c>
      <c r="G445" s="56">
        <v>5236</v>
      </c>
      <c r="H445" s="56">
        <v>909</v>
      </c>
      <c r="I445" s="56">
        <v>3928</v>
      </c>
      <c r="J445" s="56">
        <v>142</v>
      </c>
      <c r="K445" s="56">
        <v>833</v>
      </c>
      <c r="L445" s="56">
        <v>5388</v>
      </c>
      <c r="M445" s="56">
        <v>22963</v>
      </c>
      <c r="N445" s="56">
        <v>8707</v>
      </c>
      <c r="O445" s="56">
        <v>25995</v>
      </c>
      <c r="P445" s="56">
        <v>2525</v>
      </c>
      <c r="Q445" s="56">
        <v>20533</v>
      </c>
      <c r="R445" s="16">
        <f t="shared" si="29"/>
        <v>16620</v>
      </c>
      <c r="S445" s="16">
        <f t="shared" si="30"/>
        <v>69491</v>
      </c>
      <c r="T445" s="13">
        <f t="shared" si="31"/>
        <v>39954</v>
      </c>
      <c r="U445" s="5">
        <v>16620</v>
      </c>
      <c r="V445" s="5"/>
      <c r="W445" s="8"/>
      <c r="Y445" s="73">
        <f>P886</f>
        <v>4443</v>
      </c>
      <c r="AB445" s="73">
        <f>Q886</f>
        <v>29293</v>
      </c>
      <c r="AD445" s="105">
        <f t="shared" si="32"/>
        <v>39954</v>
      </c>
    </row>
    <row r="446" spans="1:30" ht="15.6" x14ac:dyDescent="0.3">
      <c r="A446" s="55">
        <v>38421</v>
      </c>
      <c r="B446" s="56">
        <v>1572</v>
      </c>
      <c r="C446" s="56">
        <v>7518</v>
      </c>
      <c r="D446" s="56">
        <v>268</v>
      </c>
      <c r="E446" s="56">
        <v>2907</v>
      </c>
      <c r="F446" s="56">
        <v>1536</v>
      </c>
      <c r="G446" s="56">
        <v>6142</v>
      </c>
      <c r="H446" s="56">
        <v>612</v>
      </c>
      <c r="I446" s="56">
        <v>3997</v>
      </c>
      <c r="J446" s="56">
        <v>79</v>
      </c>
      <c r="K446" s="56">
        <v>527</v>
      </c>
      <c r="L446" s="56">
        <v>4068</v>
      </c>
      <c r="M446" s="56">
        <v>21092</v>
      </c>
      <c r="N446" s="56">
        <v>7002</v>
      </c>
      <c r="O446" s="56">
        <v>24256</v>
      </c>
      <c r="P446" s="56">
        <v>3241</v>
      </c>
      <c r="Q446" s="56">
        <v>23168</v>
      </c>
      <c r="R446" s="16">
        <f t="shared" si="29"/>
        <v>14311</v>
      </c>
      <c r="S446" s="16">
        <f t="shared" si="30"/>
        <v>68516</v>
      </c>
      <c r="T446" s="13">
        <f t="shared" si="31"/>
        <v>39961</v>
      </c>
      <c r="U446" s="5">
        <v>14311</v>
      </c>
      <c r="V446" s="5"/>
      <c r="W446" s="8"/>
      <c r="Y446" s="73">
        <f>P888</f>
        <v>4081</v>
      </c>
      <c r="AB446" s="73">
        <f>Q888</f>
        <v>29595</v>
      </c>
      <c r="AD446" s="105">
        <f t="shared" si="32"/>
        <v>39961</v>
      </c>
    </row>
    <row r="447" spans="1:30" ht="15.6" x14ac:dyDescent="0.3">
      <c r="A447" s="55">
        <v>38064</v>
      </c>
      <c r="B447" s="56">
        <v>2255</v>
      </c>
      <c r="C447" s="56">
        <v>10229</v>
      </c>
      <c r="D447" s="56">
        <v>872</v>
      </c>
      <c r="E447" s="56">
        <v>3032</v>
      </c>
      <c r="F447" s="56">
        <v>1334</v>
      </c>
      <c r="G447" s="56">
        <v>5300</v>
      </c>
      <c r="H447" s="56">
        <v>985</v>
      </c>
      <c r="I447" s="56">
        <v>4035</v>
      </c>
      <c r="J447" s="56">
        <v>158</v>
      </c>
      <c r="K447" s="56">
        <v>843</v>
      </c>
      <c r="L447" s="56">
        <v>5603</v>
      </c>
      <c r="M447" s="56">
        <v>23438</v>
      </c>
      <c r="N447" s="56">
        <v>8829</v>
      </c>
      <c r="O447" s="56">
        <v>27062</v>
      </c>
      <c r="P447" s="56">
        <v>2247</v>
      </c>
      <c r="Q447" s="56">
        <v>21026</v>
      </c>
      <c r="R447" s="16">
        <f t="shared" si="29"/>
        <v>16679</v>
      </c>
      <c r="S447" s="16">
        <f t="shared" si="30"/>
        <v>71526</v>
      </c>
      <c r="T447" s="13">
        <f t="shared" si="31"/>
        <v>39968</v>
      </c>
      <c r="U447" s="5">
        <v>16679</v>
      </c>
      <c r="V447" s="5"/>
      <c r="W447" s="8"/>
      <c r="Y447" s="73">
        <f>P890</f>
        <v>3877</v>
      </c>
      <c r="AB447" s="73">
        <f>Q890</f>
        <v>29944</v>
      </c>
      <c r="AD447" s="105">
        <f t="shared" si="32"/>
        <v>39968</v>
      </c>
    </row>
    <row r="448" spans="1:30" ht="15.6" x14ac:dyDescent="0.3">
      <c r="A448" s="55">
        <v>38428</v>
      </c>
      <c r="B448" s="56">
        <v>1576</v>
      </c>
      <c r="C448" s="56">
        <v>7728</v>
      </c>
      <c r="D448" s="56">
        <v>241</v>
      </c>
      <c r="E448" s="56">
        <v>2946</v>
      </c>
      <c r="F448" s="56">
        <v>1343</v>
      </c>
      <c r="G448" s="56">
        <v>6365</v>
      </c>
      <c r="H448" s="56">
        <v>499</v>
      </c>
      <c r="I448" s="56">
        <v>4116</v>
      </c>
      <c r="J448" s="56">
        <v>110</v>
      </c>
      <c r="K448" s="56">
        <v>556</v>
      </c>
      <c r="L448" s="56">
        <v>3769</v>
      </c>
      <c r="M448" s="56">
        <v>21712</v>
      </c>
      <c r="N448" s="56">
        <v>7291</v>
      </c>
      <c r="O448" s="56">
        <v>24847</v>
      </c>
      <c r="P448" s="56">
        <v>3046</v>
      </c>
      <c r="Q448" s="56">
        <v>23710</v>
      </c>
      <c r="R448" s="16">
        <f t="shared" si="29"/>
        <v>14106</v>
      </c>
      <c r="S448" s="16">
        <f t="shared" si="30"/>
        <v>70269</v>
      </c>
      <c r="T448" s="13">
        <f t="shared" si="31"/>
        <v>39975</v>
      </c>
      <c r="U448" s="5">
        <v>14106</v>
      </c>
      <c r="V448" s="5"/>
      <c r="W448" s="8"/>
      <c r="Y448" s="73">
        <f>P892</f>
        <v>3527</v>
      </c>
      <c r="AB448" s="73">
        <f>Q892</f>
        <v>30322</v>
      </c>
      <c r="AD448" s="105">
        <f t="shared" si="32"/>
        <v>39975</v>
      </c>
    </row>
    <row r="449" spans="1:30" ht="15.6" x14ac:dyDescent="0.3">
      <c r="A449" s="55">
        <v>38071</v>
      </c>
      <c r="B449" s="56">
        <v>2004</v>
      </c>
      <c r="C449" s="56">
        <v>10469</v>
      </c>
      <c r="D449" s="56">
        <v>789</v>
      </c>
      <c r="E449" s="56">
        <v>3145</v>
      </c>
      <c r="F449" s="56">
        <v>1256</v>
      </c>
      <c r="G449" s="56">
        <v>5498</v>
      </c>
      <c r="H449" s="56">
        <v>904</v>
      </c>
      <c r="I449" s="56">
        <v>4148</v>
      </c>
      <c r="J449" s="56">
        <v>123</v>
      </c>
      <c r="K449" s="56">
        <v>874</v>
      </c>
      <c r="L449" s="56">
        <v>5074</v>
      </c>
      <c r="M449" s="56">
        <v>24133</v>
      </c>
      <c r="N449" s="56">
        <v>8450</v>
      </c>
      <c r="O449" s="56">
        <v>28136</v>
      </c>
      <c r="P449" s="56">
        <v>2027</v>
      </c>
      <c r="Q449" s="56">
        <v>21421</v>
      </c>
      <c r="R449" s="16">
        <f t="shared" si="29"/>
        <v>15551</v>
      </c>
      <c r="S449" s="16">
        <f t="shared" si="30"/>
        <v>73690</v>
      </c>
      <c r="T449" s="13">
        <f t="shared" si="31"/>
        <v>39982</v>
      </c>
      <c r="U449" s="5">
        <v>15551</v>
      </c>
      <c r="V449" s="5"/>
      <c r="W449" s="8"/>
      <c r="Y449" s="73">
        <f>P894</f>
        <v>3333.2</v>
      </c>
      <c r="AB449" s="73">
        <f>Q894</f>
        <v>30709.200000000001</v>
      </c>
      <c r="AD449" s="105">
        <f t="shared" si="32"/>
        <v>39982</v>
      </c>
    </row>
    <row r="450" spans="1:30" ht="15.6" x14ac:dyDescent="0.3">
      <c r="A450" s="55">
        <v>38435</v>
      </c>
      <c r="B450" s="56">
        <v>1463</v>
      </c>
      <c r="C450" s="56">
        <v>7997</v>
      </c>
      <c r="D450" s="56">
        <v>226</v>
      </c>
      <c r="E450" s="56">
        <v>2983</v>
      </c>
      <c r="F450" s="56">
        <v>1298</v>
      </c>
      <c r="G450" s="56">
        <v>6519</v>
      </c>
      <c r="H450" s="56">
        <v>553</v>
      </c>
      <c r="I450" s="56">
        <v>4168</v>
      </c>
      <c r="J450" s="56">
        <v>98</v>
      </c>
      <c r="K450" s="56">
        <v>569</v>
      </c>
      <c r="L450" s="56">
        <v>3611</v>
      </c>
      <c r="M450" s="56">
        <v>22236</v>
      </c>
      <c r="N450" s="56">
        <v>7636</v>
      </c>
      <c r="O450" s="56">
        <v>25709</v>
      </c>
      <c r="P450" s="56">
        <v>2790</v>
      </c>
      <c r="Q450" s="56">
        <v>24252</v>
      </c>
      <c r="R450" s="16">
        <f t="shared" si="29"/>
        <v>14037</v>
      </c>
      <c r="S450" s="16">
        <f t="shared" si="30"/>
        <v>72197</v>
      </c>
      <c r="T450" s="13">
        <f t="shared" si="31"/>
        <v>39989</v>
      </c>
      <c r="U450" s="5">
        <v>14037</v>
      </c>
      <c r="V450" s="5"/>
      <c r="W450" s="8"/>
      <c r="Y450" s="73">
        <f>P896</f>
        <v>3202</v>
      </c>
      <c r="AB450" s="73">
        <f>Q896</f>
        <v>31127</v>
      </c>
      <c r="AD450" s="105">
        <f t="shared" si="32"/>
        <v>39989</v>
      </c>
    </row>
    <row r="451" spans="1:30" ht="15.6" x14ac:dyDescent="0.3">
      <c r="A451" s="55">
        <v>38078</v>
      </c>
      <c r="B451" s="56">
        <v>1991</v>
      </c>
      <c r="C451" s="56">
        <v>10762</v>
      </c>
      <c r="D451" s="56">
        <v>776</v>
      </c>
      <c r="E451" s="56">
        <v>3180</v>
      </c>
      <c r="F451" s="56">
        <v>1297</v>
      </c>
      <c r="G451" s="56">
        <v>5576</v>
      </c>
      <c r="H451" s="56">
        <v>845</v>
      </c>
      <c r="I451" s="56">
        <v>4210</v>
      </c>
      <c r="J451" s="56">
        <v>124</v>
      </c>
      <c r="K451" s="56">
        <v>904</v>
      </c>
      <c r="L451" s="56">
        <v>5033</v>
      </c>
      <c r="M451" s="56">
        <v>24632</v>
      </c>
      <c r="N451" s="56">
        <v>9051</v>
      </c>
      <c r="O451" s="56">
        <v>28854</v>
      </c>
      <c r="P451" s="56">
        <v>1914</v>
      </c>
      <c r="Q451" s="56">
        <v>21636</v>
      </c>
      <c r="R451" s="16">
        <f t="shared" si="29"/>
        <v>15998</v>
      </c>
      <c r="S451" s="16">
        <f t="shared" si="30"/>
        <v>75122</v>
      </c>
      <c r="T451" s="13">
        <f t="shared" si="31"/>
        <v>39996</v>
      </c>
      <c r="U451" s="5">
        <v>15998</v>
      </c>
      <c r="V451" s="5"/>
      <c r="W451" s="8"/>
      <c r="Y451" s="73">
        <f>P898</f>
        <v>2947</v>
      </c>
      <c r="AB451" s="73">
        <f>Q898</f>
        <v>31517</v>
      </c>
      <c r="AD451" s="105">
        <f t="shared" si="32"/>
        <v>39996</v>
      </c>
    </row>
    <row r="452" spans="1:30" ht="15.6" x14ac:dyDescent="0.3">
      <c r="A452" s="55">
        <v>38442</v>
      </c>
      <c r="B452" s="56">
        <v>1367</v>
      </c>
      <c r="C452" s="56">
        <v>8124</v>
      </c>
      <c r="D452" s="56">
        <v>231</v>
      </c>
      <c r="E452" s="56">
        <v>2997</v>
      </c>
      <c r="F452" s="56">
        <v>1291</v>
      </c>
      <c r="G452" s="56">
        <v>6614</v>
      </c>
      <c r="H452" s="56">
        <v>556</v>
      </c>
      <c r="I452" s="56">
        <v>4195</v>
      </c>
      <c r="J452" s="56">
        <v>73</v>
      </c>
      <c r="K452" s="56">
        <v>594</v>
      </c>
      <c r="L452" s="56">
        <v>3519</v>
      </c>
      <c r="M452" s="56">
        <v>22524</v>
      </c>
      <c r="N452" s="56">
        <v>7395</v>
      </c>
      <c r="O452" s="56">
        <v>26617</v>
      </c>
      <c r="P452" s="56">
        <v>2640</v>
      </c>
      <c r="Q452" s="56">
        <v>24745</v>
      </c>
      <c r="R452" s="16">
        <f t="shared" si="29"/>
        <v>13554</v>
      </c>
      <c r="S452" s="16">
        <f t="shared" si="30"/>
        <v>73886</v>
      </c>
      <c r="T452" s="13">
        <f t="shared" si="31"/>
        <v>40003</v>
      </c>
      <c r="U452" s="5">
        <v>13554</v>
      </c>
      <c r="V452" s="5"/>
      <c r="W452" s="8"/>
      <c r="Y452" s="73">
        <f>P900</f>
        <v>2984</v>
      </c>
      <c r="AB452" s="73">
        <f>Q900</f>
        <v>31800</v>
      </c>
      <c r="AD452" s="105">
        <f t="shared" si="32"/>
        <v>40003</v>
      </c>
    </row>
    <row r="453" spans="1:30" ht="15.6" x14ac:dyDescent="0.3">
      <c r="A453" s="55">
        <v>38085</v>
      </c>
      <c r="B453" s="56">
        <v>1929</v>
      </c>
      <c r="C453" s="56">
        <v>11055</v>
      </c>
      <c r="D453" s="56">
        <v>762</v>
      </c>
      <c r="E453" s="56">
        <v>3235</v>
      </c>
      <c r="F453" s="56">
        <v>1210</v>
      </c>
      <c r="G453" s="56">
        <v>5732</v>
      </c>
      <c r="H453" s="56">
        <v>831</v>
      </c>
      <c r="I453" s="56">
        <v>4259</v>
      </c>
      <c r="J453" s="56">
        <v>93</v>
      </c>
      <c r="K453" s="56">
        <v>940</v>
      </c>
      <c r="L453" s="56">
        <v>4825</v>
      </c>
      <c r="M453" s="56">
        <v>25220</v>
      </c>
      <c r="N453" s="56">
        <v>9144</v>
      </c>
      <c r="O453" s="56">
        <v>29984</v>
      </c>
      <c r="P453" s="56">
        <v>1897</v>
      </c>
      <c r="Q453" s="56">
        <v>21832</v>
      </c>
      <c r="R453" s="16">
        <f t="shared" si="29"/>
        <v>15866</v>
      </c>
      <c r="S453" s="16">
        <f t="shared" si="30"/>
        <v>77036</v>
      </c>
      <c r="T453" s="13">
        <f t="shared" si="31"/>
        <v>40010</v>
      </c>
      <c r="U453" s="5">
        <v>15866</v>
      </c>
      <c r="V453" s="5"/>
      <c r="W453" s="8"/>
      <c r="Y453" s="73">
        <f>P902</f>
        <v>2887</v>
      </c>
      <c r="AB453" s="73">
        <f>Q902</f>
        <v>32142</v>
      </c>
      <c r="AD453" s="105">
        <f t="shared" si="32"/>
        <v>40010</v>
      </c>
    </row>
    <row r="454" spans="1:30" ht="15.6" x14ac:dyDescent="0.3">
      <c r="A454" s="55">
        <v>38449</v>
      </c>
      <c r="B454" s="56">
        <v>1394</v>
      </c>
      <c r="C454" s="56">
        <v>8268</v>
      </c>
      <c r="D454" s="56">
        <v>216</v>
      </c>
      <c r="E454" s="56">
        <v>3041</v>
      </c>
      <c r="F454" s="56">
        <v>1194</v>
      </c>
      <c r="G454" s="56">
        <v>6809</v>
      </c>
      <c r="H454" s="56">
        <v>573</v>
      </c>
      <c r="I454" s="56">
        <v>4270</v>
      </c>
      <c r="J454" s="56">
        <v>63</v>
      </c>
      <c r="K454" s="56">
        <v>604</v>
      </c>
      <c r="L454" s="56">
        <v>3440</v>
      </c>
      <c r="M454" s="56">
        <v>22991</v>
      </c>
      <c r="N454" s="56">
        <v>7576</v>
      </c>
      <c r="O454" s="56">
        <v>27348</v>
      </c>
      <c r="P454" s="56">
        <v>2460</v>
      </c>
      <c r="Q454" s="56">
        <v>25042</v>
      </c>
      <c r="R454" s="16">
        <f t="shared" si="29"/>
        <v>13476</v>
      </c>
      <c r="S454" s="16">
        <f t="shared" si="30"/>
        <v>75381</v>
      </c>
      <c r="T454" s="13">
        <f t="shared" si="31"/>
        <v>40017</v>
      </c>
      <c r="U454" s="5">
        <v>13476</v>
      </c>
      <c r="V454" s="5"/>
      <c r="W454" s="8"/>
      <c r="Y454" s="73">
        <f>P904</f>
        <v>3164</v>
      </c>
      <c r="AB454" s="73">
        <f>Q904</f>
        <v>32360</v>
      </c>
      <c r="AD454" s="105">
        <f t="shared" si="32"/>
        <v>40017</v>
      </c>
    </row>
    <row r="455" spans="1:30" ht="15.6" x14ac:dyDescent="0.3">
      <c r="A455" s="55">
        <v>38092</v>
      </c>
      <c r="B455" s="56">
        <v>1832</v>
      </c>
      <c r="C455" s="56">
        <v>11207</v>
      </c>
      <c r="D455" s="56">
        <v>697</v>
      </c>
      <c r="E455" s="56">
        <v>3266</v>
      </c>
      <c r="F455" s="56">
        <v>1208</v>
      </c>
      <c r="G455" s="56">
        <v>5813</v>
      </c>
      <c r="H455" s="56">
        <v>674</v>
      </c>
      <c r="I455" s="56">
        <v>4397</v>
      </c>
      <c r="J455" s="56">
        <v>79</v>
      </c>
      <c r="K455" s="56">
        <v>953</v>
      </c>
      <c r="L455" s="56">
        <v>4489</v>
      </c>
      <c r="M455" s="56">
        <v>25636</v>
      </c>
      <c r="N455" s="56">
        <v>9657</v>
      </c>
      <c r="O455" s="56">
        <v>30619</v>
      </c>
      <c r="P455" s="56">
        <v>1801</v>
      </c>
      <c r="Q455" s="56">
        <v>22054</v>
      </c>
      <c r="R455" s="16">
        <f t="shared" si="29"/>
        <v>15947</v>
      </c>
      <c r="S455" s="16">
        <f t="shared" si="30"/>
        <v>78309</v>
      </c>
      <c r="T455" s="13">
        <f t="shared" si="31"/>
        <v>40024</v>
      </c>
      <c r="U455" s="5">
        <v>15947</v>
      </c>
      <c r="V455" s="5"/>
      <c r="W455" s="8"/>
      <c r="Y455" s="73">
        <f>P906</f>
        <v>3153</v>
      </c>
      <c r="AB455" s="73">
        <f>Q906</f>
        <v>32630</v>
      </c>
      <c r="AD455" s="105">
        <f t="shared" si="32"/>
        <v>40024</v>
      </c>
    </row>
    <row r="456" spans="1:30" ht="15.6" x14ac:dyDescent="0.3">
      <c r="A456" s="55">
        <v>38456</v>
      </c>
      <c r="B456" s="56">
        <v>1358</v>
      </c>
      <c r="C456" s="56">
        <v>8364</v>
      </c>
      <c r="D456" s="56">
        <v>189</v>
      </c>
      <c r="E456" s="56">
        <v>3076</v>
      </c>
      <c r="F456" s="56">
        <v>1273</v>
      </c>
      <c r="G456" s="56">
        <v>6928</v>
      </c>
      <c r="H456" s="56">
        <v>489</v>
      </c>
      <c r="I456" s="56">
        <v>4386</v>
      </c>
      <c r="J456" s="56">
        <v>130</v>
      </c>
      <c r="K456" s="56">
        <v>604</v>
      </c>
      <c r="L456" s="56">
        <v>3438</v>
      </c>
      <c r="M456" s="56">
        <v>23357</v>
      </c>
      <c r="N456" s="56">
        <v>7394</v>
      </c>
      <c r="O456" s="56">
        <v>28200</v>
      </c>
      <c r="P456" s="56">
        <v>2166</v>
      </c>
      <c r="Q456" s="56">
        <v>25484</v>
      </c>
      <c r="R456" s="16">
        <f t="shared" ref="R456:R519" si="33">L456+N456+P456</f>
        <v>12998</v>
      </c>
      <c r="S456" s="16">
        <f t="shared" ref="S456:S519" si="34">M456+O456+Q456</f>
        <v>77041</v>
      </c>
      <c r="T456" s="13">
        <f t="shared" si="31"/>
        <v>40031</v>
      </c>
      <c r="U456" s="5">
        <v>12998</v>
      </c>
      <c r="V456" s="5"/>
      <c r="W456" s="8"/>
      <c r="Y456" s="73">
        <f>P908</f>
        <v>3273</v>
      </c>
      <c r="AB456" s="73">
        <f>Q908</f>
        <v>32786</v>
      </c>
      <c r="AD456" s="105">
        <f t="shared" si="32"/>
        <v>40031</v>
      </c>
    </row>
    <row r="457" spans="1:30" ht="15.6" x14ac:dyDescent="0.3">
      <c r="A457" s="55">
        <v>38099</v>
      </c>
      <c r="B457" s="56">
        <v>1612</v>
      </c>
      <c r="C457" s="56">
        <v>11508</v>
      </c>
      <c r="D457" s="56">
        <v>577</v>
      </c>
      <c r="E457" s="56">
        <v>3399</v>
      </c>
      <c r="F457" s="56">
        <v>1153</v>
      </c>
      <c r="G457" s="56">
        <v>6026</v>
      </c>
      <c r="H457" s="56">
        <v>647</v>
      </c>
      <c r="I457" s="56">
        <v>4466</v>
      </c>
      <c r="J457" s="56">
        <v>111</v>
      </c>
      <c r="K457" s="56">
        <v>971</v>
      </c>
      <c r="L457" s="56">
        <v>4099</v>
      </c>
      <c r="M457" s="56">
        <v>26370</v>
      </c>
      <c r="N457" s="56">
        <v>9921</v>
      </c>
      <c r="O457" s="56">
        <v>31280</v>
      </c>
      <c r="P457" s="56">
        <v>1728</v>
      </c>
      <c r="Q457" s="56">
        <v>22177</v>
      </c>
      <c r="R457" s="16">
        <f t="shared" si="33"/>
        <v>15748</v>
      </c>
      <c r="S457" s="16">
        <f t="shared" si="34"/>
        <v>79827</v>
      </c>
      <c r="T457" s="13">
        <f t="shared" ref="T457:T482" si="35">T456+7</f>
        <v>40038</v>
      </c>
      <c r="U457" s="5">
        <v>15748</v>
      </c>
      <c r="V457" s="5"/>
      <c r="W457" s="8"/>
      <c r="Y457" s="73">
        <f>P910</f>
        <v>3049</v>
      </c>
      <c r="AB457" s="73">
        <f>Q910</f>
        <v>33097</v>
      </c>
      <c r="AD457" s="105">
        <f t="shared" si="32"/>
        <v>40038</v>
      </c>
    </row>
    <row r="458" spans="1:30" ht="15.6" x14ac:dyDescent="0.3">
      <c r="A458" s="55">
        <v>38463</v>
      </c>
      <c r="B458" s="56">
        <v>1282</v>
      </c>
      <c r="C458" s="56">
        <v>8533</v>
      </c>
      <c r="D458" s="56">
        <v>172</v>
      </c>
      <c r="E458" s="56">
        <v>3100</v>
      </c>
      <c r="F458" s="56">
        <v>1333</v>
      </c>
      <c r="G458" s="56">
        <v>7113</v>
      </c>
      <c r="H458" s="56">
        <v>506</v>
      </c>
      <c r="I458" s="56">
        <v>4422</v>
      </c>
      <c r="J458" s="56">
        <v>135</v>
      </c>
      <c r="K458" s="56">
        <v>621</v>
      </c>
      <c r="L458" s="56">
        <v>3427</v>
      </c>
      <c r="M458" s="56">
        <v>23789</v>
      </c>
      <c r="N458" s="56">
        <v>6885</v>
      </c>
      <c r="O458" s="56">
        <v>29202</v>
      </c>
      <c r="P458" s="56">
        <v>1953</v>
      </c>
      <c r="Q458" s="56">
        <v>25945</v>
      </c>
      <c r="R458" s="16">
        <f t="shared" si="33"/>
        <v>12265</v>
      </c>
      <c r="S458" s="16">
        <f t="shared" si="34"/>
        <v>78936</v>
      </c>
      <c r="T458" s="13">
        <f t="shared" si="35"/>
        <v>40045</v>
      </c>
      <c r="U458" s="5">
        <v>12265</v>
      </c>
      <c r="V458" s="5"/>
      <c r="W458" s="8"/>
      <c r="Y458" s="73">
        <f>P912</f>
        <v>2382</v>
      </c>
      <c r="AB458" s="73">
        <f>Q912</f>
        <v>33705</v>
      </c>
      <c r="AD458" s="105">
        <f t="shared" si="32"/>
        <v>40045</v>
      </c>
    </row>
    <row r="459" spans="1:30" ht="15.6" x14ac:dyDescent="0.3">
      <c r="A459" s="55">
        <v>38106</v>
      </c>
      <c r="B459" s="56">
        <v>1542</v>
      </c>
      <c r="C459" s="56">
        <v>11753</v>
      </c>
      <c r="D459" s="56">
        <v>428</v>
      </c>
      <c r="E459" s="56">
        <v>3509</v>
      </c>
      <c r="F459" s="56">
        <v>1052</v>
      </c>
      <c r="G459" s="56">
        <v>6164</v>
      </c>
      <c r="H459" s="56">
        <v>485</v>
      </c>
      <c r="I459" s="56">
        <v>4637</v>
      </c>
      <c r="J459" s="56">
        <v>122</v>
      </c>
      <c r="K459" s="56">
        <v>1039</v>
      </c>
      <c r="L459" s="56">
        <v>3629</v>
      </c>
      <c r="M459" s="56">
        <v>27100</v>
      </c>
      <c r="N459" s="56">
        <v>10215</v>
      </c>
      <c r="O459" s="56">
        <v>32081</v>
      </c>
      <c r="P459" s="56">
        <v>1675</v>
      </c>
      <c r="Q459" s="56">
        <v>22356</v>
      </c>
      <c r="R459" s="16">
        <f t="shared" si="33"/>
        <v>15519</v>
      </c>
      <c r="S459" s="16">
        <f t="shared" si="34"/>
        <v>81537</v>
      </c>
      <c r="T459" s="13">
        <f t="shared" si="35"/>
        <v>40052</v>
      </c>
      <c r="U459" s="5">
        <v>15519</v>
      </c>
      <c r="V459" s="5"/>
      <c r="W459" s="8"/>
      <c r="Y459" s="73">
        <f>P914</f>
        <v>16947</v>
      </c>
      <c r="AB459" s="73">
        <f>Q914</f>
        <v>194</v>
      </c>
      <c r="AD459" s="105">
        <f t="shared" si="32"/>
        <v>40052</v>
      </c>
    </row>
    <row r="460" spans="1:30" ht="15.6" x14ac:dyDescent="0.3">
      <c r="A460" s="55">
        <v>38470</v>
      </c>
      <c r="B460" s="56">
        <v>1115</v>
      </c>
      <c r="C460" s="56">
        <v>8774</v>
      </c>
      <c r="D460" s="56">
        <v>133</v>
      </c>
      <c r="E460" s="56">
        <v>3160</v>
      </c>
      <c r="F460" s="56">
        <v>1217</v>
      </c>
      <c r="G460" s="56">
        <v>7268</v>
      </c>
      <c r="H460" s="56">
        <v>517</v>
      </c>
      <c r="I460" s="56">
        <v>4518</v>
      </c>
      <c r="J460" s="56">
        <v>123</v>
      </c>
      <c r="K460" s="56">
        <v>635</v>
      </c>
      <c r="L460" s="56">
        <v>3106</v>
      </c>
      <c r="M460" s="56">
        <v>24356</v>
      </c>
      <c r="N460" s="56">
        <v>6566</v>
      </c>
      <c r="O460" s="56">
        <v>30145</v>
      </c>
      <c r="P460" s="56">
        <v>1738</v>
      </c>
      <c r="Q460" s="56">
        <v>26487</v>
      </c>
      <c r="R460" s="16">
        <f t="shared" si="33"/>
        <v>11410</v>
      </c>
      <c r="S460" s="16">
        <f t="shared" si="34"/>
        <v>80988</v>
      </c>
      <c r="T460" s="13">
        <f t="shared" si="35"/>
        <v>40059</v>
      </c>
      <c r="U460" s="5">
        <v>11410</v>
      </c>
      <c r="V460" s="5"/>
      <c r="W460" s="8"/>
      <c r="Y460" s="73">
        <f>P916</f>
        <v>17173</v>
      </c>
      <c r="AB460" s="73">
        <f>Q916</f>
        <v>458</v>
      </c>
      <c r="AD460" s="105">
        <f t="shared" si="32"/>
        <v>40059</v>
      </c>
    </row>
    <row r="461" spans="1:30" ht="15.6" x14ac:dyDescent="0.3">
      <c r="A461" s="55">
        <v>38113</v>
      </c>
      <c r="B461" s="56">
        <v>1434</v>
      </c>
      <c r="C461" s="56">
        <v>11883</v>
      </c>
      <c r="D461" s="56">
        <v>301</v>
      </c>
      <c r="E461" s="56">
        <v>3644</v>
      </c>
      <c r="F461" s="56">
        <v>902</v>
      </c>
      <c r="G461" s="56">
        <v>6336</v>
      </c>
      <c r="H461" s="56">
        <v>404</v>
      </c>
      <c r="I461" s="56">
        <v>4730</v>
      </c>
      <c r="J461" s="56">
        <v>144</v>
      </c>
      <c r="K461" s="56">
        <v>1041</v>
      </c>
      <c r="L461" s="56">
        <v>3185</v>
      </c>
      <c r="M461" s="56">
        <v>27634</v>
      </c>
      <c r="N461" s="56">
        <v>9699</v>
      </c>
      <c r="O461" s="56">
        <v>33103</v>
      </c>
      <c r="P461" s="56">
        <v>1403</v>
      </c>
      <c r="Q461" s="56">
        <v>22594</v>
      </c>
      <c r="R461" s="16">
        <f t="shared" si="33"/>
        <v>14287</v>
      </c>
      <c r="S461" s="16">
        <f t="shared" si="34"/>
        <v>83331</v>
      </c>
      <c r="T461" s="13">
        <f t="shared" si="35"/>
        <v>40066</v>
      </c>
      <c r="U461" s="5">
        <v>14287</v>
      </c>
      <c r="V461" s="5"/>
      <c r="W461" s="8"/>
      <c r="Y461" s="73">
        <f>P918</f>
        <v>18242</v>
      </c>
      <c r="AB461" s="73">
        <f>Q918</f>
        <v>541</v>
      </c>
      <c r="AD461" s="105">
        <f t="shared" si="32"/>
        <v>40066</v>
      </c>
    </row>
    <row r="462" spans="1:30" ht="15.6" x14ac:dyDescent="0.3">
      <c r="A462" s="55">
        <v>38477</v>
      </c>
      <c r="B462" s="56">
        <v>1052</v>
      </c>
      <c r="C462" s="56">
        <v>8880</v>
      </c>
      <c r="D462" s="56">
        <v>125</v>
      </c>
      <c r="E462" s="56">
        <v>3169</v>
      </c>
      <c r="F462" s="56">
        <v>1087</v>
      </c>
      <c r="G462" s="56">
        <v>7476</v>
      </c>
      <c r="H462" s="56">
        <v>489</v>
      </c>
      <c r="I462" s="56">
        <v>4568</v>
      </c>
      <c r="J462" s="56">
        <v>121</v>
      </c>
      <c r="K462" s="56">
        <v>637</v>
      </c>
      <c r="L462" s="56">
        <v>2874</v>
      </c>
      <c r="M462" s="56">
        <v>24729</v>
      </c>
      <c r="N462" s="56">
        <v>7098</v>
      </c>
      <c r="O462" s="56">
        <v>31003</v>
      </c>
      <c r="P462" s="56">
        <v>1682</v>
      </c>
      <c r="Q462" s="56">
        <v>26711</v>
      </c>
      <c r="R462" s="16">
        <f t="shared" si="33"/>
        <v>11654</v>
      </c>
      <c r="S462" s="16">
        <f t="shared" si="34"/>
        <v>82443</v>
      </c>
      <c r="T462" s="13">
        <f t="shared" si="35"/>
        <v>40073</v>
      </c>
      <c r="U462" s="5">
        <v>11654</v>
      </c>
      <c r="V462" s="5"/>
      <c r="W462" s="8"/>
      <c r="Y462" s="73">
        <f>P920</f>
        <v>19418</v>
      </c>
      <c r="AB462" s="73">
        <f>Q920</f>
        <v>750</v>
      </c>
      <c r="AD462" s="105">
        <f t="shared" si="32"/>
        <v>40073</v>
      </c>
    </row>
    <row r="463" spans="1:30" ht="15.6" x14ac:dyDescent="0.3">
      <c r="A463" s="55">
        <v>38120</v>
      </c>
      <c r="B463" s="56">
        <v>1110</v>
      </c>
      <c r="C463" s="56">
        <v>12205</v>
      </c>
      <c r="D463" s="56">
        <v>287</v>
      </c>
      <c r="E463" s="56">
        <v>3674</v>
      </c>
      <c r="F463" s="56">
        <v>689</v>
      </c>
      <c r="G463" s="56">
        <v>6550</v>
      </c>
      <c r="H463" s="56">
        <v>397</v>
      </c>
      <c r="I463" s="56">
        <v>4736</v>
      </c>
      <c r="J463" s="56">
        <v>79</v>
      </c>
      <c r="K463" s="56">
        <v>1041</v>
      </c>
      <c r="L463" s="56">
        <v>2561</v>
      </c>
      <c r="M463" s="56">
        <v>28206</v>
      </c>
      <c r="N463" s="56">
        <v>9781</v>
      </c>
      <c r="O463" s="56">
        <v>33754</v>
      </c>
      <c r="P463" s="56">
        <v>1323</v>
      </c>
      <c r="Q463" s="56">
        <v>22693</v>
      </c>
      <c r="R463" s="16">
        <f t="shared" si="33"/>
        <v>13665</v>
      </c>
      <c r="S463" s="16">
        <f t="shared" si="34"/>
        <v>84653</v>
      </c>
      <c r="T463" s="13">
        <f t="shared" si="35"/>
        <v>40080</v>
      </c>
      <c r="U463" s="5">
        <v>13665</v>
      </c>
      <c r="V463" s="5"/>
      <c r="W463" s="8"/>
      <c r="Y463" s="73">
        <f>P922</f>
        <v>19528</v>
      </c>
      <c r="AB463" s="73">
        <f>Q922</f>
        <v>1091</v>
      </c>
      <c r="AD463" s="105">
        <f t="shared" si="32"/>
        <v>40080</v>
      </c>
    </row>
    <row r="464" spans="1:30" ht="15.6" x14ac:dyDescent="0.3">
      <c r="A464" s="55">
        <v>38484</v>
      </c>
      <c r="B464" s="56">
        <v>788</v>
      </c>
      <c r="C464" s="56">
        <v>9047</v>
      </c>
      <c r="D464" s="56">
        <v>121</v>
      </c>
      <c r="E464" s="56">
        <v>3185</v>
      </c>
      <c r="F464" s="56">
        <v>823</v>
      </c>
      <c r="G464" s="56">
        <v>7681</v>
      </c>
      <c r="H464" s="56">
        <v>352</v>
      </c>
      <c r="I464" s="56">
        <v>4650</v>
      </c>
      <c r="J464" s="56">
        <v>104</v>
      </c>
      <c r="K464" s="56">
        <v>640</v>
      </c>
      <c r="L464" s="56">
        <v>2188</v>
      </c>
      <c r="M464" s="56">
        <v>25203</v>
      </c>
      <c r="N464" s="56">
        <v>7136</v>
      </c>
      <c r="O464" s="56">
        <v>31813</v>
      </c>
      <c r="P464" s="56">
        <v>1714</v>
      </c>
      <c r="Q464" s="56">
        <v>27054</v>
      </c>
      <c r="R464" s="16">
        <f t="shared" si="33"/>
        <v>11038</v>
      </c>
      <c r="S464" s="16">
        <f t="shared" si="34"/>
        <v>84070</v>
      </c>
      <c r="T464" s="13">
        <f t="shared" si="35"/>
        <v>40087</v>
      </c>
      <c r="U464" s="5">
        <v>11038</v>
      </c>
      <c r="V464" s="5"/>
      <c r="W464" s="8"/>
      <c r="Y464" s="73">
        <f>P924</f>
        <v>19577</v>
      </c>
      <c r="AB464" s="73">
        <f>Q924</f>
        <v>1696</v>
      </c>
      <c r="AD464" s="105">
        <f t="shared" si="32"/>
        <v>40087</v>
      </c>
    </row>
    <row r="465" spans="1:30" ht="15.6" x14ac:dyDescent="0.3">
      <c r="A465" s="55">
        <v>38127</v>
      </c>
      <c r="B465" s="56">
        <v>912</v>
      </c>
      <c r="C465" s="56">
        <v>12427</v>
      </c>
      <c r="D465" s="56">
        <v>225</v>
      </c>
      <c r="E465" s="56">
        <v>3745</v>
      </c>
      <c r="F465" s="56">
        <v>452</v>
      </c>
      <c r="G465" s="56">
        <v>6784</v>
      </c>
      <c r="H465" s="56">
        <v>325</v>
      </c>
      <c r="I465" s="56">
        <v>4792</v>
      </c>
      <c r="J465" s="56">
        <v>54</v>
      </c>
      <c r="K465" s="56">
        <v>1049</v>
      </c>
      <c r="L465" s="56">
        <v>1967</v>
      </c>
      <c r="M465" s="56">
        <v>28796</v>
      </c>
      <c r="N465" s="56">
        <v>9894</v>
      </c>
      <c r="O465" s="56">
        <v>34904</v>
      </c>
      <c r="P465" s="56">
        <v>1170</v>
      </c>
      <c r="Q465" s="56">
        <v>22833</v>
      </c>
      <c r="R465" s="16">
        <f t="shared" si="33"/>
        <v>13031</v>
      </c>
      <c r="S465" s="16">
        <f t="shared" si="34"/>
        <v>86533</v>
      </c>
      <c r="T465" s="13">
        <f t="shared" si="35"/>
        <v>40094</v>
      </c>
      <c r="U465" s="5">
        <v>13031</v>
      </c>
      <c r="V465" s="5"/>
      <c r="W465" s="8"/>
      <c r="Y465" s="73">
        <f>P926</f>
        <v>19708</v>
      </c>
      <c r="AB465" s="73">
        <f>Q926</f>
        <v>2552</v>
      </c>
      <c r="AD465" s="105">
        <f t="shared" si="32"/>
        <v>40094</v>
      </c>
    </row>
    <row r="466" spans="1:30" ht="15.6" x14ac:dyDescent="0.3">
      <c r="A466" s="55">
        <v>38491</v>
      </c>
      <c r="B466" s="56">
        <v>698</v>
      </c>
      <c r="C466" s="56">
        <v>9177</v>
      </c>
      <c r="D466" s="56">
        <v>99</v>
      </c>
      <c r="E466" s="56">
        <v>3210</v>
      </c>
      <c r="F466" s="56">
        <v>703</v>
      </c>
      <c r="G466" s="56">
        <v>7807</v>
      </c>
      <c r="H466" s="56">
        <v>261</v>
      </c>
      <c r="I466" s="56">
        <v>4707</v>
      </c>
      <c r="J466" s="56">
        <v>104</v>
      </c>
      <c r="K466" s="56">
        <v>640</v>
      </c>
      <c r="L466" s="56">
        <v>1865</v>
      </c>
      <c r="M466" s="56">
        <v>25542</v>
      </c>
      <c r="N466" s="56">
        <v>6734</v>
      </c>
      <c r="O466" s="56">
        <v>32765</v>
      </c>
      <c r="P466" s="56">
        <v>1652</v>
      </c>
      <c r="Q466" s="56">
        <v>27390</v>
      </c>
      <c r="R466" s="16">
        <f t="shared" si="33"/>
        <v>10251</v>
      </c>
      <c r="S466" s="16">
        <f t="shared" si="34"/>
        <v>85697</v>
      </c>
      <c r="T466" s="13">
        <f t="shared" si="35"/>
        <v>40101</v>
      </c>
      <c r="U466" s="5">
        <v>10251</v>
      </c>
      <c r="V466" s="5"/>
      <c r="W466" s="8"/>
      <c r="Y466" s="73">
        <f>P928</f>
        <v>18965</v>
      </c>
      <c r="AB466" s="73">
        <f>Q928</f>
        <v>3986</v>
      </c>
      <c r="AD466" s="105">
        <f t="shared" si="32"/>
        <v>40101</v>
      </c>
    </row>
    <row r="467" spans="1:30" ht="15.6" x14ac:dyDescent="0.3">
      <c r="A467" s="55">
        <v>38134</v>
      </c>
      <c r="B467" s="56">
        <v>665</v>
      </c>
      <c r="C467" s="56">
        <v>12697</v>
      </c>
      <c r="D467" s="56">
        <v>206</v>
      </c>
      <c r="E467" s="56">
        <v>3785</v>
      </c>
      <c r="F467" s="56">
        <v>360</v>
      </c>
      <c r="G467" s="56">
        <v>6928</v>
      </c>
      <c r="H467" s="56">
        <v>224</v>
      </c>
      <c r="I467" s="56">
        <v>4895</v>
      </c>
      <c r="J467" s="56">
        <v>28</v>
      </c>
      <c r="K467" s="56">
        <v>1053</v>
      </c>
      <c r="L467" s="56">
        <v>1484</v>
      </c>
      <c r="M467" s="56">
        <v>29359</v>
      </c>
      <c r="N467" s="56">
        <v>9450</v>
      </c>
      <c r="O467" s="56">
        <v>35759</v>
      </c>
      <c r="P467" s="56">
        <v>1130</v>
      </c>
      <c r="Q467" s="56">
        <v>22894</v>
      </c>
      <c r="R467" s="16">
        <f t="shared" si="33"/>
        <v>12064</v>
      </c>
      <c r="S467" s="16">
        <f t="shared" si="34"/>
        <v>88012</v>
      </c>
      <c r="T467" s="13">
        <f t="shared" si="35"/>
        <v>40108</v>
      </c>
      <c r="U467" s="5">
        <v>12064</v>
      </c>
      <c r="V467" s="5"/>
      <c r="W467" s="8"/>
    </row>
    <row r="468" spans="1:30" ht="15.6" x14ac:dyDescent="0.3">
      <c r="A468" s="55">
        <v>38498</v>
      </c>
      <c r="B468" s="56">
        <v>491</v>
      </c>
      <c r="C468" s="56">
        <v>9407</v>
      </c>
      <c r="D468" s="56">
        <v>94</v>
      </c>
      <c r="E468" s="56">
        <v>3217</v>
      </c>
      <c r="F468" s="56">
        <v>515</v>
      </c>
      <c r="G468" s="56">
        <v>8033</v>
      </c>
      <c r="H468" s="56">
        <v>194</v>
      </c>
      <c r="I468" s="56">
        <v>4773</v>
      </c>
      <c r="J468" s="56">
        <v>57</v>
      </c>
      <c r="K468" s="56">
        <v>686</v>
      </c>
      <c r="L468" s="56">
        <v>1351</v>
      </c>
      <c r="M468" s="56">
        <v>26117</v>
      </c>
      <c r="N468" s="56">
        <v>6668</v>
      </c>
      <c r="O468" s="56">
        <v>33575</v>
      </c>
      <c r="P468" s="56">
        <v>1562</v>
      </c>
      <c r="Q468" s="56">
        <v>27675</v>
      </c>
      <c r="R468" s="16">
        <f t="shared" si="33"/>
        <v>9581</v>
      </c>
      <c r="S468" s="16">
        <f t="shared" si="34"/>
        <v>87367</v>
      </c>
      <c r="T468" s="13">
        <f t="shared" si="35"/>
        <v>40115</v>
      </c>
      <c r="U468" s="5">
        <v>9581</v>
      </c>
      <c r="V468" s="5"/>
      <c r="W468" s="8"/>
    </row>
    <row r="469" spans="1:30" ht="15.6" x14ac:dyDescent="0.3">
      <c r="A469" s="55">
        <v>38141</v>
      </c>
      <c r="B469" s="56">
        <v>1807</v>
      </c>
      <c r="C469" s="56">
        <v>134</v>
      </c>
      <c r="D469" s="56">
        <v>1497</v>
      </c>
      <c r="E469" s="56">
        <v>18</v>
      </c>
      <c r="F469" s="56">
        <v>1451</v>
      </c>
      <c r="G469" s="56">
        <v>54</v>
      </c>
      <c r="H469" s="56">
        <v>743</v>
      </c>
      <c r="I469" s="56">
        <v>63</v>
      </c>
      <c r="J469" s="56">
        <v>175</v>
      </c>
      <c r="K469" s="56">
        <v>22</v>
      </c>
      <c r="L469" s="56">
        <v>5673</v>
      </c>
      <c r="M469" s="56">
        <v>290</v>
      </c>
      <c r="N469" s="56">
        <v>8520</v>
      </c>
      <c r="O469" s="56">
        <v>36742</v>
      </c>
      <c r="P469" s="56">
        <v>1111</v>
      </c>
      <c r="Q469" s="56">
        <v>22918</v>
      </c>
      <c r="R469" s="16">
        <f t="shared" si="33"/>
        <v>15304</v>
      </c>
      <c r="S469" s="16">
        <f t="shared" si="34"/>
        <v>59950</v>
      </c>
      <c r="T469" s="13">
        <f t="shared" si="35"/>
        <v>40122</v>
      </c>
      <c r="U469" s="5">
        <v>15304</v>
      </c>
      <c r="V469" s="5"/>
      <c r="W469" s="8"/>
    </row>
    <row r="470" spans="1:30" ht="15.6" x14ac:dyDescent="0.3">
      <c r="A470" s="55">
        <v>38505</v>
      </c>
      <c r="B470" s="56">
        <v>1465</v>
      </c>
      <c r="C470" s="56">
        <v>48</v>
      </c>
      <c r="D470" s="56">
        <v>354</v>
      </c>
      <c r="E470" s="56">
        <v>5</v>
      </c>
      <c r="F470" s="56">
        <v>1279</v>
      </c>
      <c r="G470" s="56">
        <v>32</v>
      </c>
      <c r="H470" s="56">
        <v>427</v>
      </c>
      <c r="I470" s="56">
        <v>21</v>
      </c>
      <c r="J470" s="56">
        <v>124</v>
      </c>
      <c r="K470" s="56">
        <v>0</v>
      </c>
      <c r="L470" s="56">
        <v>3649</v>
      </c>
      <c r="M470" s="56">
        <v>105</v>
      </c>
      <c r="N470" s="56">
        <v>6386</v>
      </c>
      <c r="O470" s="56">
        <v>34419</v>
      </c>
      <c r="P470" s="56">
        <v>1522</v>
      </c>
      <c r="Q470" s="56">
        <v>27801</v>
      </c>
      <c r="R470" s="16">
        <f t="shared" si="33"/>
        <v>11557</v>
      </c>
      <c r="S470" s="16">
        <f t="shared" si="34"/>
        <v>62325</v>
      </c>
      <c r="T470" s="13">
        <f t="shared" si="35"/>
        <v>40129</v>
      </c>
      <c r="U470" s="5">
        <v>11557</v>
      </c>
      <c r="V470" s="5"/>
      <c r="W470" s="8"/>
    </row>
    <row r="471" spans="1:30" ht="15.6" x14ac:dyDescent="0.3">
      <c r="A471" s="55">
        <v>38148</v>
      </c>
      <c r="B471" s="56">
        <v>1856</v>
      </c>
      <c r="C471" s="56">
        <v>356</v>
      </c>
      <c r="D471" s="56">
        <v>1433</v>
      </c>
      <c r="E471" s="56">
        <v>68</v>
      </c>
      <c r="F471" s="56">
        <v>1536</v>
      </c>
      <c r="G471" s="56">
        <v>201</v>
      </c>
      <c r="H471" s="56">
        <v>810</v>
      </c>
      <c r="I471" s="56">
        <v>116</v>
      </c>
      <c r="J471" s="56">
        <v>154</v>
      </c>
      <c r="K471" s="56">
        <v>22</v>
      </c>
      <c r="L471" s="56">
        <v>5790</v>
      </c>
      <c r="M471" s="56">
        <v>764</v>
      </c>
      <c r="N471" s="56">
        <v>8094</v>
      </c>
      <c r="O471" s="56">
        <v>37763</v>
      </c>
      <c r="P471" s="56">
        <v>1062</v>
      </c>
      <c r="Q471" s="56">
        <v>23064</v>
      </c>
      <c r="R471" s="16">
        <f t="shared" si="33"/>
        <v>14946</v>
      </c>
      <c r="S471" s="16">
        <f t="shared" si="34"/>
        <v>61591</v>
      </c>
      <c r="T471" s="13">
        <f t="shared" si="35"/>
        <v>40136</v>
      </c>
      <c r="U471" s="5">
        <v>14946</v>
      </c>
      <c r="V471" s="5"/>
      <c r="W471" s="8"/>
    </row>
    <row r="472" spans="1:30" ht="15.6" x14ac:dyDescent="0.3">
      <c r="A472" s="55">
        <v>38512</v>
      </c>
      <c r="B472" s="56">
        <v>1480</v>
      </c>
      <c r="C472" s="56">
        <v>170</v>
      </c>
      <c r="D472" s="56">
        <v>327</v>
      </c>
      <c r="E472" s="56">
        <v>46</v>
      </c>
      <c r="F472" s="56">
        <v>1248</v>
      </c>
      <c r="G472" s="56">
        <v>207</v>
      </c>
      <c r="H472" s="56">
        <v>436</v>
      </c>
      <c r="I472" s="56">
        <v>50</v>
      </c>
      <c r="J472" s="56">
        <v>100</v>
      </c>
      <c r="K472" s="56">
        <v>27</v>
      </c>
      <c r="L472" s="56">
        <v>3590</v>
      </c>
      <c r="M472" s="56">
        <v>499</v>
      </c>
      <c r="N472" s="56">
        <v>6208</v>
      </c>
      <c r="O472" s="56">
        <v>35288</v>
      </c>
      <c r="P472" s="56">
        <v>1481</v>
      </c>
      <c r="Q472" s="56">
        <v>28025</v>
      </c>
      <c r="R472" s="16">
        <f t="shared" si="33"/>
        <v>11279</v>
      </c>
      <c r="S472" s="16">
        <f t="shared" si="34"/>
        <v>63812</v>
      </c>
      <c r="T472" s="13">
        <f t="shared" si="35"/>
        <v>40143</v>
      </c>
      <c r="U472" s="5">
        <v>11279</v>
      </c>
      <c r="V472" s="5"/>
      <c r="W472" s="8"/>
    </row>
    <row r="473" spans="1:30" ht="15.6" x14ac:dyDescent="0.3">
      <c r="A473" s="55">
        <v>38155</v>
      </c>
      <c r="B473" s="56">
        <v>1770</v>
      </c>
      <c r="C473" s="56">
        <v>586</v>
      </c>
      <c r="D473" s="56">
        <v>1511</v>
      </c>
      <c r="E473" s="56">
        <v>76</v>
      </c>
      <c r="F473" s="56">
        <v>1494</v>
      </c>
      <c r="G473" s="56">
        <v>349</v>
      </c>
      <c r="H473" s="56">
        <v>846</v>
      </c>
      <c r="I473" s="56">
        <v>171</v>
      </c>
      <c r="J473" s="56">
        <v>157</v>
      </c>
      <c r="K473" s="56">
        <v>27</v>
      </c>
      <c r="L473" s="56">
        <v>5778</v>
      </c>
      <c r="M473" s="56">
        <v>1209</v>
      </c>
      <c r="N473" s="56">
        <v>7524</v>
      </c>
      <c r="O473" s="56">
        <v>38492</v>
      </c>
      <c r="P473" s="56">
        <v>935</v>
      </c>
      <c r="Q473" s="56">
        <v>23287</v>
      </c>
      <c r="R473" s="16">
        <f t="shared" si="33"/>
        <v>14237</v>
      </c>
      <c r="S473" s="16">
        <f t="shared" si="34"/>
        <v>62988</v>
      </c>
      <c r="T473" s="13">
        <f t="shared" si="35"/>
        <v>40150</v>
      </c>
      <c r="U473" s="5">
        <v>14237</v>
      </c>
      <c r="V473" s="5"/>
      <c r="W473" s="8"/>
    </row>
    <row r="474" spans="1:30" ht="15.6" x14ac:dyDescent="0.3">
      <c r="A474" s="55">
        <v>38519</v>
      </c>
      <c r="B474" s="56">
        <v>1630</v>
      </c>
      <c r="C474" s="56">
        <v>315</v>
      </c>
      <c r="D474" s="56">
        <v>245</v>
      </c>
      <c r="E474" s="56">
        <v>66</v>
      </c>
      <c r="F474" s="56">
        <v>1300</v>
      </c>
      <c r="G474" s="56">
        <v>335</v>
      </c>
      <c r="H474" s="56">
        <v>483</v>
      </c>
      <c r="I474" s="56">
        <v>69</v>
      </c>
      <c r="J474" s="56">
        <v>117</v>
      </c>
      <c r="K474" s="56">
        <v>36</v>
      </c>
      <c r="L474" s="56">
        <v>3775</v>
      </c>
      <c r="M474" s="56">
        <v>821</v>
      </c>
      <c r="N474" s="56">
        <v>5650</v>
      </c>
      <c r="O474" s="56">
        <v>36297</v>
      </c>
      <c r="P474" s="56">
        <v>1344</v>
      </c>
      <c r="Q474" s="56">
        <v>28310</v>
      </c>
      <c r="R474" s="16">
        <f t="shared" si="33"/>
        <v>10769</v>
      </c>
      <c r="S474" s="16">
        <f t="shared" si="34"/>
        <v>65428</v>
      </c>
      <c r="T474" s="13">
        <f t="shared" si="35"/>
        <v>40157</v>
      </c>
      <c r="U474" s="5">
        <v>10769</v>
      </c>
      <c r="V474" s="5"/>
      <c r="W474" s="8"/>
    </row>
    <row r="475" spans="1:30" ht="15.6" x14ac:dyDescent="0.3">
      <c r="A475" s="55">
        <v>38162</v>
      </c>
      <c r="B475" s="56">
        <v>1709</v>
      </c>
      <c r="C475" s="56">
        <v>804</v>
      </c>
      <c r="D475" s="56">
        <v>1511</v>
      </c>
      <c r="E475" s="56">
        <v>119</v>
      </c>
      <c r="F475" s="56">
        <v>1560</v>
      </c>
      <c r="G475" s="56">
        <v>490</v>
      </c>
      <c r="H475" s="56">
        <v>859</v>
      </c>
      <c r="I475" s="56">
        <v>196</v>
      </c>
      <c r="J475" s="56">
        <v>153</v>
      </c>
      <c r="K475" s="56">
        <v>54</v>
      </c>
      <c r="L475" s="56">
        <v>5794</v>
      </c>
      <c r="M475" s="56">
        <v>1662</v>
      </c>
      <c r="N475" s="56">
        <v>7533</v>
      </c>
      <c r="O475" s="56">
        <v>39293</v>
      </c>
      <c r="P475" s="56">
        <v>861</v>
      </c>
      <c r="Q475" s="56">
        <v>23377</v>
      </c>
      <c r="R475" s="16">
        <f t="shared" si="33"/>
        <v>14188</v>
      </c>
      <c r="S475" s="16">
        <f t="shared" si="34"/>
        <v>64332</v>
      </c>
      <c r="T475" s="13">
        <f t="shared" si="35"/>
        <v>40164</v>
      </c>
      <c r="U475" s="5">
        <v>14188</v>
      </c>
      <c r="V475" s="5"/>
      <c r="W475" s="8"/>
    </row>
    <row r="476" spans="1:30" ht="15.6" x14ac:dyDescent="0.3">
      <c r="A476" s="55">
        <v>38526</v>
      </c>
      <c r="B476" s="56">
        <v>1789</v>
      </c>
      <c r="C476" s="56">
        <v>492</v>
      </c>
      <c r="D476" s="56">
        <v>256</v>
      </c>
      <c r="E476" s="56">
        <v>128</v>
      </c>
      <c r="F476" s="56">
        <v>1305</v>
      </c>
      <c r="G476" s="56">
        <v>458</v>
      </c>
      <c r="H476" s="56">
        <v>487</v>
      </c>
      <c r="I476" s="56">
        <v>113</v>
      </c>
      <c r="J476" s="56">
        <v>108</v>
      </c>
      <c r="K476" s="56">
        <v>48</v>
      </c>
      <c r="L476" s="56">
        <v>3946</v>
      </c>
      <c r="M476" s="56">
        <v>1238</v>
      </c>
      <c r="N476" s="56">
        <v>5809</v>
      </c>
      <c r="O476" s="56">
        <v>37355</v>
      </c>
      <c r="P476" s="56">
        <v>1339</v>
      </c>
      <c r="Q476" s="56">
        <v>28485</v>
      </c>
      <c r="R476" s="16">
        <f t="shared" si="33"/>
        <v>11094</v>
      </c>
      <c r="S476" s="16">
        <f t="shared" si="34"/>
        <v>67078</v>
      </c>
      <c r="T476" s="13">
        <f t="shared" si="35"/>
        <v>40171</v>
      </c>
      <c r="U476" s="5">
        <v>11094</v>
      </c>
      <c r="V476" s="5"/>
      <c r="W476" s="8"/>
    </row>
    <row r="477" spans="1:30" ht="15.6" x14ac:dyDescent="0.3">
      <c r="A477" s="55">
        <v>38169</v>
      </c>
      <c r="B477" s="56">
        <v>1691</v>
      </c>
      <c r="C477" s="56">
        <v>995</v>
      </c>
      <c r="D477" s="56">
        <v>1573</v>
      </c>
      <c r="E477" s="56">
        <v>189</v>
      </c>
      <c r="F477" s="56">
        <v>1572</v>
      </c>
      <c r="G477" s="56">
        <v>603</v>
      </c>
      <c r="H477" s="56">
        <v>894</v>
      </c>
      <c r="I477" s="56">
        <v>284</v>
      </c>
      <c r="J477" s="56">
        <v>136</v>
      </c>
      <c r="K477" s="56">
        <v>70</v>
      </c>
      <c r="L477" s="56">
        <v>5866</v>
      </c>
      <c r="M477" s="56">
        <v>2141</v>
      </c>
      <c r="N477" s="56">
        <v>7158</v>
      </c>
      <c r="O477" s="56">
        <v>40188</v>
      </c>
      <c r="P477" s="56">
        <v>729</v>
      </c>
      <c r="Q477" s="56">
        <v>23513</v>
      </c>
      <c r="R477" s="16">
        <f t="shared" si="33"/>
        <v>13753</v>
      </c>
      <c r="S477" s="16">
        <f t="shared" si="34"/>
        <v>65842</v>
      </c>
      <c r="T477" s="13">
        <f t="shared" si="35"/>
        <v>40178</v>
      </c>
      <c r="U477" s="5">
        <v>13753</v>
      </c>
      <c r="V477" s="5"/>
      <c r="W477" s="8"/>
    </row>
    <row r="478" spans="1:30" ht="15.6" x14ac:dyDescent="0.3">
      <c r="A478" s="55">
        <v>38533</v>
      </c>
      <c r="B478" s="56">
        <v>1963</v>
      </c>
      <c r="C478" s="56">
        <v>641</v>
      </c>
      <c r="D478" s="56">
        <v>335</v>
      </c>
      <c r="E478" s="56">
        <v>164</v>
      </c>
      <c r="F478" s="56">
        <v>1249</v>
      </c>
      <c r="G478" s="56">
        <v>660</v>
      </c>
      <c r="H478" s="56">
        <v>443</v>
      </c>
      <c r="I478" s="56">
        <v>175</v>
      </c>
      <c r="J478" s="56">
        <v>129</v>
      </c>
      <c r="K478" s="56">
        <v>55</v>
      </c>
      <c r="L478" s="56">
        <v>4119</v>
      </c>
      <c r="M478" s="56">
        <v>1694</v>
      </c>
      <c r="N478" s="56">
        <v>5977</v>
      </c>
      <c r="O478" s="56">
        <v>38129</v>
      </c>
      <c r="P478" s="56">
        <v>1334</v>
      </c>
      <c r="Q478" s="56">
        <v>28652</v>
      </c>
      <c r="R478" s="16">
        <f t="shared" si="33"/>
        <v>11430</v>
      </c>
      <c r="S478" s="16">
        <f t="shared" si="34"/>
        <v>68475</v>
      </c>
      <c r="T478" s="13">
        <f t="shared" si="35"/>
        <v>40185</v>
      </c>
      <c r="U478" s="5">
        <v>11430</v>
      </c>
      <c r="V478" s="5"/>
      <c r="W478" s="8"/>
    </row>
    <row r="479" spans="1:30" ht="15.6" x14ac:dyDescent="0.3">
      <c r="A479" s="55">
        <v>38176</v>
      </c>
      <c r="B479" s="56">
        <v>1654</v>
      </c>
      <c r="C479" s="56">
        <v>1162</v>
      </c>
      <c r="D479" s="56">
        <v>1497</v>
      </c>
      <c r="E479" s="56">
        <v>275</v>
      </c>
      <c r="F479" s="56">
        <v>1557</v>
      </c>
      <c r="G479" s="56">
        <v>701</v>
      </c>
      <c r="H479" s="56">
        <v>953</v>
      </c>
      <c r="I479" s="56">
        <v>317</v>
      </c>
      <c r="J479" s="56">
        <v>134</v>
      </c>
      <c r="K479" s="56">
        <v>70</v>
      </c>
      <c r="L479" s="56">
        <v>5795</v>
      </c>
      <c r="M479" s="56">
        <v>2524</v>
      </c>
      <c r="N479" s="56">
        <v>6791</v>
      </c>
      <c r="O479" s="56">
        <v>41212</v>
      </c>
      <c r="P479" s="56">
        <v>670</v>
      </c>
      <c r="Q479" s="56">
        <v>23566</v>
      </c>
      <c r="R479" s="16">
        <f t="shared" si="33"/>
        <v>13256</v>
      </c>
      <c r="S479" s="16">
        <f t="shared" si="34"/>
        <v>67302</v>
      </c>
      <c r="T479" s="13">
        <f t="shared" si="35"/>
        <v>40192</v>
      </c>
      <c r="U479" s="5">
        <v>13256</v>
      </c>
      <c r="V479" s="5"/>
      <c r="W479" s="8"/>
    </row>
    <row r="480" spans="1:30" ht="15.6" x14ac:dyDescent="0.3">
      <c r="A480" s="55">
        <v>38540</v>
      </c>
      <c r="B480" s="56">
        <v>1994</v>
      </c>
      <c r="C480" s="56">
        <v>782</v>
      </c>
      <c r="D480" s="56">
        <v>326</v>
      </c>
      <c r="E480" s="56">
        <v>185</v>
      </c>
      <c r="F480" s="56">
        <v>1225</v>
      </c>
      <c r="G480" s="56">
        <v>776</v>
      </c>
      <c r="H480" s="56">
        <v>469</v>
      </c>
      <c r="I480" s="56">
        <v>183</v>
      </c>
      <c r="J480" s="56">
        <v>113</v>
      </c>
      <c r="K480" s="56">
        <v>71</v>
      </c>
      <c r="L480" s="56">
        <v>4126</v>
      </c>
      <c r="M480" s="56">
        <v>1996</v>
      </c>
      <c r="N480" s="56">
        <v>5725</v>
      </c>
      <c r="O480" s="56">
        <v>38705</v>
      </c>
      <c r="P480" s="56">
        <v>1297</v>
      </c>
      <c r="Q480" s="56">
        <v>28808</v>
      </c>
      <c r="R480" s="16">
        <f t="shared" si="33"/>
        <v>11148</v>
      </c>
      <c r="S480" s="16">
        <f t="shared" si="34"/>
        <v>69509</v>
      </c>
      <c r="T480" s="13">
        <f t="shared" si="35"/>
        <v>40199</v>
      </c>
      <c r="U480" s="5">
        <v>11148</v>
      </c>
      <c r="V480" s="5"/>
      <c r="W480" s="8"/>
    </row>
    <row r="481" spans="1:23" ht="15.6" x14ac:dyDescent="0.3">
      <c r="A481" s="55">
        <v>38183</v>
      </c>
      <c r="B481" s="56">
        <v>1487</v>
      </c>
      <c r="C481" s="56">
        <v>1492</v>
      </c>
      <c r="D481" s="56">
        <v>1375</v>
      </c>
      <c r="E481" s="56">
        <v>406</v>
      </c>
      <c r="F481" s="56">
        <v>1596</v>
      </c>
      <c r="G481" s="56">
        <v>829</v>
      </c>
      <c r="H481" s="56">
        <v>912</v>
      </c>
      <c r="I481" s="56">
        <v>425</v>
      </c>
      <c r="J481" s="56">
        <v>128</v>
      </c>
      <c r="K481" s="56">
        <v>99</v>
      </c>
      <c r="L481" s="56">
        <v>5497</v>
      </c>
      <c r="M481" s="56">
        <v>3250</v>
      </c>
      <c r="N481" s="56">
        <v>6203</v>
      </c>
      <c r="O481" s="56">
        <v>42158</v>
      </c>
      <c r="P481" s="56">
        <v>713</v>
      </c>
      <c r="Q481" s="56">
        <v>23635</v>
      </c>
      <c r="R481" s="16">
        <f t="shared" si="33"/>
        <v>12413</v>
      </c>
      <c r="S481" s="16">
        <f t="shared" si="34"/>
        <v>69043</v>
      </c>
      <c r="T481" s="13">
        <f t="shared" si="35"/>
        <v>40206</v>
      </c>
      <c r="U481" s="5">
        <v>12413</v>
      </c>
      <c r="V481" s="5"/>
      <c r="W481" s="8"/>
    </row>
    <row r="482" spans="1:23" ht="15.6" x14ac:dyDescent="0.3">
      <c r="A482" s="55">
        <v>38547</v>
      </c>
      <c r="B482" s="56">
        <v>2077</v>
      </c>
      <c r="C482" s="56">
        <v>992</v>
      </c>
      <c r="D482" s="56">
        <v>348</v>
      </c>
      <c r="E482" s="56">
        <v>199</v>
      </c>
      <c r="F482" s="56">
        <v>1270</v>
      </c>
      <c r="G482" s="56">
        <v>902</v>
      </c>
      <c r="H482" s="56">
        <v>496</v>
      </c>
      <c r="I482" s="56">
        <v>229</v>
      </c>
      <c r="J482" s="56">
        <v>95</v>
      </c>
      <c r="K482" s="56">
        <v>103</v>
      </c>
      <c r="L482" s="56">
        <v>4286</v>
      </c>
      <c r="M482" s="56">
        <v>2425</v>
      </c>
      <c r="N482" s="56">
        <v>5508</v>
      </c>
      <c r="O482" s="56">
        <v>39516</v>
      </c>
      <c r="P482" s="56">
        <v>1267</v>
      </c>
      <c r="Q482" s="56">
        <v>28903</v>
      </c>
      <c r="R482" s="16">
        <f t="shared" si="33"/>
        <v>11061</v>
      </c>
      <c r="S482" s="16">
        <f t="shared" si="34"/>
        <v>70844</v>
      </c>
      <c r="T482" s="13">
        <f t="shared" si="35"/>
        <v>40213</v>
      </c>
      <c r="U482" s="5">
        <v>11061</v>
      </c>
      <c r="V482" s="5"/>
      <c r="W482" s="8"/>
    </row>
    <row r="483" spans="1:23" ht="15.6" x14ac:dyDescent="0.3">
      <c r="A483" s="55">
        <v>38190</v>
      </c>
      <c r="B483" s="56">
        <v>1659</v>
      </c>
      <c r="C483" s="56">
        <v>1599</v>
      </c>
      <c r="D483" s="56">
        <v>1371</v>
      </c>
      <c r="E483" s="56">
        <v>434</v>
      </c>
      <c r="F483" s="56">
        <v>1587</v>
      </c>
      <c r="G483" s="56">
        <v>1009</v>
      </c>
      <c r="H483" s="56">
        <v>1001</v>
      </c>
      <c r="I483" s="56">
        <v>446</v>
      </c>
      <c r="J483" s="56">
        <v>123</v>
      </c>
      <c r="K483" s="56">
        <v>117</v>
      </c>
      <c r="L483" s="56">
        <v>5742</v>
      </c>
      <c r="M483" s="56">
        <v>3605</v>
      </c>
      <c r="N483" s="56">
        <v>5775</v>
      </c>
      <c r="O483" s="56">
        <v>42964</v>
      </c>
      <c r="P483" s="56">
        <v>520</v>
      </c>
      <c r="Q483" s="56">
        <v>23790</v>
      </c>
      <c r="R483" s="16">
        <f t="shared" si="33"/>
        <v>12037</v>
      </c>
      <c r="S483" s="16">
        <f t="shared" si="34"/>
        <v>70359</v>
      </c>
      <c r="T483" s="13"/>
      <c r="U483" s="5">
        <v>12037</v>
      </c>
      <c r="V483" s="5"/>
      <c r="W483" s="8"/>
    </row>
    <row r="484" spans="1:23" ht="15.6" x14ac:dyDescent="0.3">
      <c r="A484" s="55">
        <v>38554</v>
      </c>
      <c r="B484" s="56">
        <v>1975</v>
      </c>
      <c r="C484" s="56">
        <v>1227</v>
      </c>
      <c r="D484" s="56">
        <v>340</v>
      </c>
      <c r="E484" s="56">
        <v>258</v>
      </c>
      <c r="F484" s="56">
        <v>1283</v>
      </c>
      <c r="G484" s="56">
        <v>1029</v>
      </c>
      <c r="H484" s="56">
        <v>617</v>
      </c>
      <c r="I484" s="56">
        <v>285</v>
      </c>
      <c r="J484" s="56">
        <v>117</v>
      </c>
      <c r="K484" s="56">
        <v>103</v>
      </c>
      <c r="L484" s="56">
        <v>4331</v>
      </c>
      <c r="M484" s="56">
        <v>2903</v>
      </c>
      <c r="N484" s="56">
        <v>5160</v>
      </c>
      <c r="O484" s="56">
        <v>40503</v>
      </c>
      <c r="P484" s="56">
        <v>1008</v>
      </c>
      <c r="Q484" s="56">
        <v>29092</v>
      </c>
      <c r="R484" s="16">
        <f t="shared" si="33"/>
        <v>10499</v>
      </c>
      <c r="S484" s="16">
        <f t="shared" si="34"/>
        <v>72498</v>
      </c>
      <c r="T484" s="13"/>
      <c r="U484" s="5">
        <v>10499</v>
      </c>
      <c r="V484" s="5"/>
      <c r="W484" s="8"/>
    </row>
    <row r="485" spans="1:23" ht="15.6" x14ac:dyDescent="0.3">
      <c r="A485" s="55">
        <v>38197</v>
      </c>
      <c r="B485" s="56">
        <v>1617</v>
      </c>
      <c r="C485" s="56">
        <v>1855</v>
      </c>
      <c r="D485" s="56">
        <v>1329</v>
      </c>
      <c r="E485" s="56">
        <v>616</v>
      </c>
      <c r="F485" s="56">
        <v>1474</v>
      </c>
      <c r="G485" s="56">
        <v>1147</v>
      </c>
      <c r="H485" s="56">
        <v>1054</v>
      </c>
      <c r="I485" s="56">
        <v>539</v>
      </c>
      <c r="J485" s="56">
        <v>93</v>
      </c>
      <c r="K485" s="56">
        <v>127</v>
      </c>
      <c r="L485" s="56">
        <v>5567</v>
      </c>
      <c r="M485" s="56">
        <v>4283</v>
      </c>
      <c r="N485" s="56">
        <v>5170</v>
      </c>
      <c r="O485" s="56">
        <v>43937</v>
      </c>
      <c r="P485" s="56">
        <v>536</v>
      </c>
      <c r="Q485" s="56">
        <v>23839</v>
      </c>
      <c r="R485" s="16">
        <f t="shared" si="33"/>
        <v>11273</v>
      </c>
      <c r="S485" s="16">
        <f t="shared" si="34"/>
        <v>72059</v>
      </c>
      <c r="T485" s="13"/>
      <c r="U485" s="5">
        <v>11273</v>
      </c>
      <c r="V485" s="5"/>
      <c r="W485" s="8"/>
    </row>
    <row r="486" spans="1:23" ht="15.6" x14ac:dyDescent="0.3">
      <c r="A486" s="55">
        <v>38561</v>
      </c>
      <c r="B486" s="56">
        <v>2181</v>
      </c>
      <c r="C486" s="56">
        <v>1476</v>
      </c>
      <c r="D486" s="56">
        <v>308</v>
      </c>
      <c r="E486" s="56">
        <v>372</v>
      </c>
      <c r="F486" s="56">
        <v>1266</v>
      </c>
      <c r="G486" s="56">
        <v>1202</v>
      </c>
      <c r="H486" s="56">
        <v>674</v>
      </c>
      <c r="I486" s="56">
        <v>347</v>
      </c>
      <c r="J486" s="56">
        <v>142</v>
      </c>
      <c r="K486" s="56">
        <v>130</v>
      </c>
      <c r="L486" s="56">
        <v>4569</v>
      </c>
      <c r="M486" s="56">
        <v>3527</v>
      </c>
      <c r="N486" s="56">
        <v>4498</v>
      </c>
      <c r="O486" s="56">
        <v>41410</v>
      </c>
      <c r="P486" s="56">
        <v>999</v>
      </c>
      <c r="Q486" s="56">
        <v>29217</v>
      </c>
      <c r="R486" s="16">
        <f t="shared" si="33"/>
        <v>10066</v>
      </c>
      <c r="S486" s="16">
        <f t="shared" si="34"/>
        <v>74154</v>
      </c>
      <c r="T486" s="13"/>
      <c r="U486" s="5">
        <v>10066</v>
      </c>
      <c r="V486" s="5"/>
      <c r="W486" s="8"/>
    </row>
    <row r="487" spans="1:23" ht="15.6" x14ac:dyDescent="0.3">
      <c r="A487" s="55">
        <v>38204</v>
      </c>
      <c r="B487" s="56">
        <v>1638</v>
      </c>
      <c r="C487" s="56">
        <v>2011</v>
      </c>
      <c r="D487" s="56">
        <v>1305</v>
      </c>
      <c r="E487" s="56">
        <v>769</v>
      </c>
      <c r="F487" s="56">
        <v>1408</v>
      </c>
      <c r="G487" s="56">
        <v>1365</v>
      </c>
      <c r="H487" s="56">
        <v>1040</v>
      </c>
      <c r="I487" s="56">
        <v>637</v>
      </c>
      <c r="J487" s="56">
        <v>112</v>
      </c>
      <c r="K487" s="56">
        <v>127</v>
      </c>
      <c r="L487" s="56">
        <v>5502</v>
      </c>
      <c r="M487" s="56">
        <v>4909</v>
      </c>
      <c r="N487" s="56">
        <v>4678</v>
      </c>
      <c r="O487" s="56">
        <v>44747</v>
      </c>
      <c r="P487" s="56">
        <v>464</v>
      </c>
      <c r="Q487" s="56">
        <v>23912</v>
      </c>
      <c r="R487" s="16">
        <f t="shared" si="33"/>
        <v>10644</v>
      </c>
      <c r="S487" s="16">
        <f t="shared" si="34"/>
        <v>73568</v>
      </c>
      <c r="T487" s="13"/>
      <c r="U487" s="5">
        <v>10644</v>
      </c>
      <c r="V487" s="5"/>
      <c r="W487" s="8"/>
    </row>
    <row r="488" spans="1:23" ht="15.6" x14ac:dyDescent="0.3">
      <c r="A488" s="55">
        <v>38568</v>
      </c>
      <c r="B488" s="56">
        <v>2067</v>
      </c>
      <c r="C488" s="56">
        <v>1861</v>
      </c>
      <c r="D488" s="56">
        <v>332</v>
      </c>
      <c r="E488" s="56">
        <v>402</v>
      </c>
      <c r="F488" s="56">
        <v>1200</v>
      </c>
      <c r="G488" s="56">
        <v>1416</v>
      </c>
      <c r="H488" s="56">
        <v>707</v>
      </c>
      <c r="I488" s="56">
        <v>457</v>
      </c>
      <c r="J488" s="56">
        <v>145</v>
      </c>
      <c r="K488" s="56">
        <v>133</v>
      </c>
      <c r="L488" s="56">
        <v>4450</v>
      </c>
      <c r="M488" s="56">
        <v>4267</v>
      </c>
      <c r="N488" s="56">
        <v>4609</v>
      </c>
      <c r="O488" s="56">
        <v>42374</v>
      </c>
      <c r="P488" s="56">
        <v>958</v>
      </c>
      <c r="Q488" s="56">
        <v>29351</v>
      </c>
      <c r="R488" s="16">
        <f t="shared" si="33"/>
        <v>10017</v>
      </c>
      <c r="S488" s="16">
        <f t="shared" si="34"/>
        <v>75992</v>
      </c>
      <c r="T488" s="13"/>
      <c r="U488" s="5">
        <v>10017</v>
      </c>
      <c r="V488" s="5"/>
      <c r="W488" s="8"/>
    </row>
    <row r="489" spans="1:23" ht="15.6" x14ac:dyDescent="0.3">
      <c r="A489" s="55">
        <v>38211</v>
      </c>
      <c r="B489" s="56">
        <v>1663</v>
      </c>
      <c r="C489" s="56">
        <v>2205</v>
      </c>
      <c r="D489" s="56">
        <v>1294</v>
      </c>
      <c r="E489" s="56">
        <v>847</v>
      </c>
      <c r="F489" s="56">
        <v>1527</v>
      </c>
      <c r="G489" s="56">
        <v>1441</v>
      </c>
      <c r="H489" s="56">
        <v>1212</v>
      </c>
      <c r="I489" s="56">
        <v>731</v>
      </c>
      <c r="J489" s="56">
        <v>104</v>
      </c>
      <c r="K489" s="56">
        <v>132</v>
      </c>
      <c r="L489" s="56">
        <v>5799</v>
      </c>
      <c r="M489" s="56">
        <v>5355</v>
      </c>
      <c r="N489" s="56">
        <v>3862</v>
      </c>
      <c r="O489" s="56">
        <v>45794</v>
      </c>
      <c r="P489" s="56">
        <v>444</v>
      </c>
      <c r="Q489" s="56">
        <v>23956</v>
      </c>
      <c r="R489" s="16">
        <f t="shared" si="33"/>
        <v>10105</v>
      </c>
      <c r="S489" s="16">
        <f t="shared" si="34"/>
        <v>75105</v>
      </c>
      <c r="T489" s="13"/>
      <c r="U489" s="5">
        <v>10105</v>
      </c>
      <c r="V489" s="5"/>
      <c r="W489" s="8"/>
    </row>
    <row r="490" spans="1:23" ht="15.6" x14ac:dyDescent="0.3">
      <c r="A490" s="55">
        <v>38575</v>
      </c>
      <c r="B490" s="56">
        <v>2045</v>
      </c>
      <c r="C490" s="56">
        <v>2133</v>
      </c>
      <c r="D490" s="56">
        <v>303</v>
      </c>
      <c r="E490" s="56">
        <v>490</v>
      </c>
      <c r="F490" s="56">
        <v>1191</v>
      </c>
      <c r="G490" s="56">
        <v>1541</v>
      </c>
      <c r="H490" s="56">
        <v>708</v>
      </c>
      <c r="I490" s="56">
        <v>487</v>
      </c>
      <c r="J490" s="56">
        <v>103</v>
      </c>
      <c r="K490" s="56">
        <v>184</v>
      </c>
      <c r="L490" s="56">
        <v>4350</v>
      </c>
      <c r="M490" s="56">
        <v>4835</v>
      </c>
      <c r="N490" s="56">
        <v>4330</v>
      </c>
      <c r="O490" s="56">
        <v>43118</v>
      </c>
      <c r="P490" s="56">
        <v>901</v>
      </c>
      <c r="Q490" s="56">
        <v>29559</v>
      </c>
      <c r="R490" s="16">
        <f t="shared" si="33"/>
        <v>9581</v>
      </c>
      <c r="S490" s="16">
        <f t="shared" si="34"/>
        <v>77512</v>
      </c>
      <c r="T490" s="13"/>
      <c r="U490" s="5">
        <v>9581</v>
      </c>
      <c r="V490" s="5"/>
      <c r="W490" s="8"/>
    </row>
    <row r="491" spans="1:23" ht="15.6" x14ac:dyDescent="0.3">
      <c r="A491" s="55">
        <v>38218</v>
      </c>
      <c r="B491" s="56">
        <v>1643</v>
      </c>
      <c r="C491" s="56">
        <v>2409</v>
      </c>
      <c r="D491" s="56">
        <v>1275</v>
      </c>
      <c r="E491" s="56">
        <v>952</v>
      </c>
      <c r="F491" s="56">
        <v>1524</v>
      </c>
      <c r="G491" s="56">
        <v>1615</v>
      </c>
      <c r="H491" s="56">
        <v>1259</v>
      </c>
      <c r="I491" s="56">
        <v>855</v>
      </c>
      <c r="J491" s="56">
        <v>88</v>
      </c>
      <c r="K491" s="56">
        <v>149</v>
      </c>
      <c r="L491" s="56">
        <v>5790</v>
      </c>
      <c r="M491" s="56">
        <v>5979</v>
      </c>
      <c r="N491" s="56">
        <v>3019</v>
      </c>
      <c r="O491" s="56">
        <v>46770</v>
      </c>
      <c r="P491" s="56">
        <v>387</v>
      </c>
      <c r="Q491" s="56">
        <v>24031</v>
      </c>
      <c r="R491" s="16">
        <f t="shared" si="33"/>
        <v>9196</v>
      </c>
      <c r="S491" s="16">
        <f t="shared" si="34"/>
        <v>76780</v>
      </c>
      <c r="T491" s="13"/>
      <c r="U491" s="5">
        <v>9196</v>
      </c>
      <c r="V491" s="5"/>
      <c r="W491" s="8"/>
    </row>
    <row r="492" spans="1:23" ht="15.6" x14ac:dyDescent="0.3">
      <c r="A492" s="55">
        <v>38582</v>
      </c>
      <c r="B492" s="56">
        <v>2376</v>
      </c>
      <c r="C492" s="56">
        <v>2247</v>
      </c>
      <c r="D492" s="56">
        <v>361</v>
      </c>
      <c r="E492" s="56">
        <v>555</v>
      </c>
      <c r="F492" s="56">
        <v>1177</v>
      </c>
      <c r="G492" s="56">
        <v>1660</v>
      </c>
      <c r="H492" s="56">
        <v>819</v>
      </c>
      <c r="I492" s="56">
        <v>555</v>
      </c>
      <c r="J492" s="56">
        <v>83</v>
      </c>
      <c r="K492" s="56">
        <v>207</v>
      </c>
      <c r="L492" s="56">
        <v>4815</v>
      </c>
      <c r="M492" s="56">
        <v>5224</v>
      </c>
      <c r="N492" s="56">
        <v>3799</v>
      </c>
      <c r="O492" s="56">
        <v>43967</v>
      </c>
      <c r="P492" s="56">
        <v>853</v>
      </c>
      <c r="Q492" s="56">
        <v>29686</v>
      </c>
      <c r="R492" s="16">
        <f t="shared" si="33"/>
        <v>9467</v>
      </c>
      <c r="S492" s="16">
        <f t="shared" si="34"/>
        <v>78877</v>
      </c>
      <c r="T492" s="13"/>
      <c r="U492" s="5">
        <v>9467</v>
      </c>
      <c r="V492" s="5"/>
      <c r="W492" s="8"/>
    </row>
    <row r="493" spans="1:23" ht="15.6" x14ac:dyDescent="0.3">
      <c r="A493" s="55">
        <v>38225</v>
      </c>
      <c r="B493" s="56">
        <v>1813</v>
      </c>
      <c r="C493" s="56">
        <v>2578</v>
      </c>
      <c r="D493" s="56">
        <v>1067</v>
      </c>
      <c r="E493" s="56">
        <v>1053</v>
      </c>
      <c r="F493" s="56">
        <v>1575</v>
      </c>
      <c r="G493" s="56">
        <v>1798</v>
      </c>
      <c r="H493" s="56">
        <v>1224</v>
      </c>
      <c r="I493" s="56">
        <v>961</v>
      </c>
      <c r="J493" s="56">
        <v>110</v>
      </c>
      <c r="K493" s="56">
        <v>149</v>
      </c>
      <c r="L493" s="56">
        <v>5787</v>
      </c>
      <c r="M493" s="56">
        <v>6539</v>
      </c>
      <c r="N493" s="56">
        <v>2177</v>
      </c>
      <c r="O493" s="56">
        <v>47704</v>
      </c>
      <c r="P493" s="56">
        <v>310</v>
      </c>
      <c r="Q493" s="56">
        <v>24108</v>
      </c>
      <c r="R493" s="16">
        <f t="shared" si="33"/>
        <v>8274</v>
      </c>
      <c r="S493" s="16">
        <f t="shared" si="34"/>
        <v>78351</v>
      </c>
      <c r="T493" s="13"/>
      <c r="U493" s="5">
        <v>8274</v>
      </c>
      <c r="V493" s="5"/>
      <c r="W493" s="8"/>
    </row>
    <row r="494" spans="1:23" ht="15.6" x14ac:dyDescent="0.3">
      <c r="A494" s="55">
        <v>38589</v>
      </c>
      <c r="B494" s="56">
        <v>2338</v>
      </c>
      <c r="C494" s="56">
        <v>2428</v>
      </c>
      <c r="D494" s="56">
        <v>385</v>
      </c>
      <c r="E494" s="56">
        <v>569</v>
      </c>
      <c r="F494" s="56">
        <v>1182</v>
      </c>
      <c r="G494" s="56">
        <v>1809</v>
      </c>
      <c r="H494" s="56">
        <v>663</v>
      </c>
      <c r="I494" s="56">
        <v>757</v>
      </c>
      <c r="J494" s="56">
        <v>77</v>
      </c>
      <c r="K494" s="56">
        <v>228</v>
      </c>
      <c r="L494" s="56">
        <v>4645</v>
      </c>
      <c r="M494" s="56">
        <v>5791</v>
      </c>
      <c r="N494" s="56">
        <v>2780</v>
      </c>
      <c r="O494" s="56">
        <v>44953</v>
      </c>
      <c r="P494" s="56">
        <v>699</v>
      </c>
      <c r="Q494" s="56">
        <v>29878</v>
      </c>
      <c r="R494" s="16">
        <f t="shared" si="33"/>
        <v>8124</v>
      </c>
      <c r="S494" s="16">
        <f t="shared" si="34"/>
        <v>80622</v>
      </c>
      <c r="T494" s="13"/>
      <c r="U494" s="5">
        <v>8124</v>
      </c>
      <c r="V494" s="5"/>
      <c r="W494" s="8"/>
    </row>
    <row r="495" spans="1:23" ht="15.6" x14ac:dyDescent="0.3">
      <c r="A495" s="55">
        <v>38232</v>
      </c>
      <c r="B495" s="56">
        <v>1768</v>
      </c>
      <c r="C495" s="56">
        <v>2784</v>
      </c>
      <c r="D495" s="56">
        <v>898</v>
      </c>
      <c r="E495" s="56">
        <v>1258</v>
      </c>
      <c r="F495" s="56">
        <v>1471</v>
      </c>
      <c r="G495" s="56">
        <v>2013</v>
      </c>
      <c r="H495" s="56">
        <v>1271</v>
      </c>
      <c r="I495" s="56">
        <v>1088</v>
      </c>
      <c r="J495" s="56">
        <v>80</v>
      </c>
      <c r="K495" s="56">
        <v>183</v>
      </c>
      <c r="L495" s="56">
        <v>5488</v>
      </c>
      <c r="M495" s="56">
        <v>7325</v>
      </c>
      <c r="N495" s="56">
        <v>6936</v>
      </c>
      <c r="O495" s="56">
        <v>230</v>
      </c>
      <c r="P495" s="56">
        <v>167</v>
      </c>
      <c r="Q495" s="56">
        <v>3800</v>
      </c>
      <c r="R495" s="16">
        <f t="shared" si="33"/>
        <v>12591</v>
      </c>
      <c r="S495" s="16">
        <f t="shared" si="34"/>
        <v>11355</v>
      </c>
      <c r="T495" s="13"/>
      <c r="U495" s="5">
        <v>12591</v>
      </c>
      <c r="V495" s="5"/>
      <c r="W495" s="8"/>
    </row>
    <row r="496" spans="1:23" ht="15.6" x14ac:dyDescent="0.3">
      <c r="A496" s="55">
        <v>38596</v>
      </c>
      <c r="B496" s="56">
        <v>2482</v>
      </c>
      <c r="C496" s="56">
        <v>2684</v>
      </c>
      <c r="D496" s="56">
        <v>421</v>
      </c>
      <c r="E496" s="56">
        <v>580</v>
      </c>
      <c r="F496" s="56">
        <v>1237</v>
      </c>
      <c r="G496" s="56">
        <v>1933</v>
      </c>
      <c r="H496" s="56">
        <v>830</v>
      </c>
      <c r="I496" s="56">
        <v>799</v>
      </c>
      <c r="J496" s="56">
        <v>97</v>
      </c>
      <c r="K496" s="56">
        <v>228</v>
      </c>
      <c r="L496" s="56">
        <v>5067</v>
      </c>
      <c r="M496" s="56">
        <v>6223</v>
      </c>
      <c r="N496" s="56">
        <v>7864</v>
      </c>
      <c r="O496" s="56">
        <v>10</v>
      </c>
      <c r="P496" s="56">
        <v>439</v>
      </c>
      <c r="Q496" s="56">
        <v>5636</v>
      </c>
      <c r="R496" s="16">
        <f t="shared" si="33"/>
        <v>13370</v>
      </c>
      <c r="S496" s="16">
        <f t="shared" si="34"/>
        <v>11869</v>
      </c>
      <c r="T496" s="13"/>
      <c r="U496" s="5">
        <v>13370</v>
      </c>
      <c r="V496" s="5"/>
      <c r="W496" s="8"/>
    </row>
    <row r="497" spans="1:23" ht="15.6" x14ac:dyDescent="0.3">
      <c r="A497" s="55">
        <v>38239</v>
      </c>
      <c r="B497" s="56">
        <v>1702</v>
      </c>
      <c r="C497" s="56">
        <v>2975</v>
      </c>
      <c r="D497" s="56">
        <v>932</v>
      </c>
      <c r="E497" s="56">
        <v>1317</v>
      </c>
      <c r="F497" s="56">
        <v>1321</v>
      </c>
      <c r="G497" s="56">
        <v>2225</v>
      </c>
      <c r="H497" s="56">
        <v>1196</v>
      </c>
      <c r="I497" s="56">
        <v>1229</v>
      </c>
      <c r="J497" s="56">
        <v>79</v>
      </c>
      <c r="K497" s="56">
        <v>188</v>
      </c>
      <c r="L497" s="56">
        <v>5230</v>
      </c>
      <c r="M497" s="56">
        <v>7933</v>
      </c>
      <c r="N497" s="56">
        <v>7431</v>
      </c>
      <c r="O497" s="56">
        <v>943</v>
      </c>
      <c r="P497" s="56">
        <v>6305</v>
      </c>
      <c r="Q497" s="56">
        <v>370</v>
      </c>
      <c r="R497" s="16">
        <f t="shared" si="33"/>
        <v>18966</v>
      </c>
      <c r="S497" s="16">
        <f t="shared" si="34"/>
        <v>9246</v>
      </c>
      <c r="T497" s="13"/>
      <c r="U497" s="5">
        <v>18966</v>
      </c>
      <c r="V497" s="5"/>
      <c r="W497" s="8"/>
    </row>
    <row r="498" spans="1:23" ht="15.6" x14ac:dyDescent="0.3">
      <c r="A498" s="55">
        <v>38603</v>
      </c>
      <c r="B498" s="56">
        <v>2559</v>
      </c>
      <c r="C498" s="56">
        <v>2836</v>
      </c>
      <c r="D498" s="56">
        <v>437</v>
      </c>
      <c r="E498" s="56">
        <v>598</v>
      </c>
      <c r="F498" s="56">
        <v>1321</v>
      </c>
      <c r="G498" s="56">
        <v>2071</v>
      </c>
      <c r="H498" s="56">
        <v>876</v>
      </c>
      <c r="I498" s="56">
        <v>851</v>
      </c>
      <c r="J498" s="56">
        <v>70</v>
      </c>
      <c r="K498" s="56">
        <v>256</v>
      </c>
      <c r="L498" s="56">
        <v>5263</v>
      </c>
      <c r="M498" s="56">
        <v>6612</v>
      </c>
      <c r="N498" s="56">
        <v>7896</v>
      </c>
      <c r="O498" s="56">
        <v>436</v>
      </c>
      <c r="P498" s="56">
        <v>4422</v>
      </c>
      <c r="Q498" s="56">
        <v>155</v>
      </c>
      <c r="R498" s="16">
        <f t="shared" si="33"/>
        <v>17581</v>
      </c>
      <c r="S498" s="16">
        <f t="shared" si="34"/>
        <v>7203</v>
      </c>
      <c r="T498" s="13"/>
      <c r="U498" s="5">
        <v>17581</v>
      </c>
      <c r="V498" s="5"/>
      <c r="W498" s="8"/>
    </row>
    <row r="499" spans="1:23" ht="15.6" x14ac:dyDescent="0.3">
      <c r="A499" s="55">
        <v>38246</v>
      </c>
      <c r="B499" s="56">
        <v>1665</v>
      </c>
      <c r="C499" s="56">
        <v>3129</v>
      </c>
      <c r="D499" s="56">
        <v>875</v>
      </c>
      <c r="E499" s="56">
        <v>1416</v>
      </c>
      <c r="F499" s="56">
        <v>1235</v>
      </c>
      <c r="G499" s="56">
        <v>2461</v>
      </c>
      <c r="H499" s="56">
        <v>1109</v>
      </c>
      <c r="I499" s="56">
        <v>1412</v>
      </c>
      <c r="J499" s="56">
        <v>84</v>
      </c>
      <c r="K499" s="56">
        <v>192</v>
      </c>
      <c r="L499" s="56">
        <v>4968</v>
      </c>
      <c r="M499" s="56">
        <v>8609</v>
      </c>
      <c r="N499" s="56">
        <v>7896</v>
      </c>
      <c r="O499" s="56">
        <v>1634</v>
      </c>
      <c r="P499" s="56">
        <v>7215</v>
      </c>
      <c r="Q499" s="56">
        <v>463</v>
      </c>
      <c r="R499" s="16">
        <f t="shared" si="33"/>
        <v>20079</v>
      </c>
      <c r="S499" s="16">
        <f t="shared" si="34"/>
        <v>10706</v>
      </c>
      <c r="T499" s="13"/>
      <c r="U499" s="5">
        <v>20079</v>
      </c>
      <c r="V499" s="5"/>
      <c r="W499" s="8"/>
    </row>
    <row r="500" spans="1:23" ht="15.6" x14ac:dyDescent="0.3">
      <c r="A500" s="55">
        <v>38610</v>
      </c>
      <c r="B500" s="56">
        <v>2496</v>
      </c>
      <c r="C500" s="56">
        <v>3243</v>
      </c>
      <c r="D500" s="56">
        <v>389</v>
      </c>
      <c r="E500" s="56">
        <v>690</v>
      </c>
      <c r="F500" s="56">
        <v>1281</v>
      </c>
      <c r="G500" s="56">
        <v>2319</v>
      </c>
      <c r="H500" s="56">
        <v>993</v>
      </c>
      <c r="I500" s="56">
        <v>918</v>
      </c>
      <c r="J500" s="56">
        <v>94</v>
      </c>
      <c r="K500" s="56">
        <v>259</v>
      </c>
      <c r="L500" s="56">
        <v>5252</v>
      </c>
      <c r="M500" s="56">
        <v>7429</v>
      </c>
      <c r="N500" s="56">
        <v>7818</v>
      </c>
      <c r="O500" s="56">
        <v>1351</v>
      </c>
      <c r="P500" s="56">
        <v>5017</v>
      </c>
      <c r="Q500" s="56">
        <v>312</v>
      </c>
      <c r="R500" s="16">
        <f t="shared" si="33"/>
        <v>18087</v>
      </c>
      <c r="S500" s="16">
        <f t="shared" si="34"/>
        <v>9092</v>
      </c>
      <c r="T500" s="13"/>
      <c r="U500" s="5">
        <v>18087</v>
      </c>
      <c r="V500" s="5"/>
      <c r="W500" s="8"/>
    </row>
    <row r="501" spans="1:23" ht="15.6" x14ac:dyDescent="0.3">
      <c r="A501" s="55">
        <v>38253</v>
      </c>
      <c r="B501" s="56">
        <v>1659</v>
      </c>
      <c r="C501" s="56">
        <v>3345</v>
      </c>
      <c r="D501" s="56">
        <v>766</v>
      </c>
      <c r="E501" s="56">
        <v>1548</v>
      </c>
      <c r="F501" s="56">
        <v>1205</v>
      </c>
      <c r="G501" s="56">
        <v>2617</v>
      </c>
      <c r="H501" s="56">
        <v>1010</v>
      </c>
      <c r="I501" s="56">
        <v>1624</v>
      </c>
      <c r="J501" s="56">
        <v>76</v>
      </c>
      <c r="K501" s="56">
        <v>197</v>
      </c>
      <c r="L501" s="56">
        <v>4717</v>
      </c>
      <c r="M501" s="56">
        <v>9330</v>
      </c>
      <c r="N501" s="56">
        <v>7798</v>
      </c>
      <c r="O501" s="56">
        <v>2638</v>
      </c>
      <c r="P501" s="56">
        <v>7639</v>
      </c>
      <c r="Q501" s="56">
        <v>795</v>
      </c>
      <c r="R501" s="16">
        <f t="shared" si="33"/>
        <v>20154</v>
      </c>
      <c r="S501" s="16">
        <f t="shared" si="34"/>
        <v>12763</v>
      </c>
      <c r="T501" s="13"/>
      <c r="U501" s="5">
        <v>20154</v>
      </c>
      <c r="V501" s="5"/>
      <c r="W501" s="8"/>
    </row>
    <row r="502" spans="1:23" ht="15.6" x14ac:dyDescent="0.3">
      <c r="A502" s="55">
        <v>38617</v>
      </c>
      <c r="B502" s="56">
        <v>2600</v>
      </c>
      <c r="C502" s="56">
        <v>3509</v>
      </c>
      <c r="D502" s="56">
        <v>365</v>
      </c>
      <c r="E502" s="56">
        <v>727</v>
      </c>
      <c r="F502" s="56">
        <v>1178</v>
      </c>
      <c r="G502" s="56">
        <v>2547</v>
      </c>
      <c r="H502" s="56">
        <v>993</v>
      </c>
      <c r="I502" s="56">
        <v>967</v>
      </c>
      <c r="J502" s="56">
        <v>100</v>
      </c>
      <c r="K502" s="56">
        <v>276</v>
      </c>
      <c r="L502" s="56">
        <v>5237</v>
      </c>
      <c r="M502" s="56">
        <v>8025</v>
      </c>
      <c r="N502" s="56">
        <v>7564</v>
      </c>
      <c r="O502" s="56">
        <v>2307</v>
      </c>
      <c r="P502" s="56">
        <v>5473</v>
      </c>
      <c r="Q502" s="56">
        <v>531</v>
      </c>
      <c r="R502" s="16">
        <f t="shared" si="33"/>
        <v>18274</v>
      </c>
      <c r="S502" s="16">
        <f t="shared" si="34"/>
        <v>10863</v>
      </c>
      <c r="T502" s="13"/>
      <c r="U502" s="5">
        <v>18274</v>
      </c>
      <c r="V502" s="5"/>
      <c r="W502" s="8"/>
    </row>
    <row r="503" spans="1:23" ht="15.6" x14ac:dyDescent="0.3">
      <c r="A503" s="55">
        <v>38260</v>
      </c>
      <c r="B503" s="56">
        <v>1610</v>
      </c>
      <c r="C503" s="56">
        <v>3562</v>
      </c>
      <c r="D503" s="56">
        <v>679</v>
      </c>
      <c r="E503" s="56">
        <v>1684</v>
      </c>
      <c r="F503" s="56">
        <v>1359</v>
      </c>
      <c r="G503" s="56">
        <v>2851</v>
      </c>
      <c r="H503" s="56">
        <v>1065</v>
      </c>
      <c r="I503" s="56">
        <v>1723</v>
      </c>
      <c r="J503" s="56">
        <v>91</v>
      </c>
      <c r="K503" s="56">
        <v>228</v>
      </c>
      <c r="L503" s="56">
        <v>4803</v>
      </c>
      <c r="M503" s="56">
        <v>10048</v>
      </c>
      <c r="N503" s="56">
        <v>7397</v>
      </c>
      <c r="O503" s="56">
        <v>3818</v>
      </c>
      <c r="P503" s="56">
        <v>8207</v>
      </c>
      <c r="Q503" s="56">
        <v>1188</v>
      </c>
      <c r="R503" s="16">
        <f t="shared" si="33"/>
        <v>20407</v>
      </c>
      <c r="S503" s="16">
        <f t="shared" si="34"/>
        <v>15054</v>
      </c>
      <c r="T503" s="13"/>
      <c r="U503" s="5">
        <v>20407</v>
      </c>
      <c r="V503" s="5"/>
      <c r="W503" s="8"/>
    </row>
    <row r="504" spans="1:23" ht="15.6" x14ac:dyDescent="0.3">
      <c r="A504" s="55">
        <v>38624</v>
      </c>
      <c r="B504" s="56">
        <v>2520</v>
      </c>
      <c r="C504" s="56">
        <v>3658</v>
      </c>
      <c r="D504" s="56">
        <v>365</v>
      </c>
      <c r="E504" s="56">
        <v>753</v>
      </c>
      <c r="F504" s="56">
        <v>1282</v>
      </c>
      <c r="G504" s="56">
        <v>2750</v>
      </c>
      <c r="H504" s="56">
        <v>871</v>
      </c>
      <c r="I504" s="56">
        <v>1164</v>
      </c>
      <c r="J504" s="56">
        <v>90</v>
      </c>
      <c r="K504" s="56">
        <v>286</v>
      </c>
      <c r="L504" s="56">
        <v>5128</v>
      </c>
      <c r="M504" s="56">
        <v>8609</v>
      </c>
      <c r="N504" s="56">
        <v>7735</v>
      </c>
      <c r="O504" s="56">
        <v>3089</v>
      </c>
      <c r="P504" s="56">
        <v>5809</v>
      </c>
      <c r="Q504" s="56">
        <v>737</v>
      </c>
      <c r="R504" s="16">
        <f t="shared" si="33"/>
        <v>18672</v>
      </c>
      <c r="S504" s="16">
        <f t="shared" si="34"/>
        <v>12435</v>
      </c>
      <c r="T504" s="13"/>
      <c r="U504" s="5">
        <v>18672</v>
      </c>
      <c r="V504" s="5"/>
      <c r="W504" s="8"/>
    </row>
    <row r="505" spans="1:23" ht="15.6" x14ac:dyDescent="0.3">
      <c r="A505" s="55">
        <v>38267</v>
      </c>
      <c r="B505" s="56">
        <v>1775</v>
      </c>
      <c r="C505" s="56">
        <v>3683</v>
      </c>
      <c r="D505" s="56">
        <v>623</v>
      </c>
      <c r="E505" s="56">
        <v>1765</v>
      </c>
      <c r="F505" s="56">
        <v>1336</v>
      </c>
      <c r="G505" s="56">
        <v>3090</v>
      </c>
      <c r="H505" s="56">
        <v>1068</v>
      </c>
      <c r="I505" s="56">
        <v>1786</v>
      </c>
      <c r="J505" s="56">
        <v>69</v>
      </c>
      <c r="K505" s="56">
        <v>251</v>
      </c>
      <c r="L505" s="56">
        <v>4870</v>
      </c>
      <c r="M505" s="56">
        <v>10574</v>
      </c>
      <c r="N505" s="56">
        <v>7934</v>
      </c>
      <c r="O505" s="56">
        <v>4758</v>
      </c>
      <c r="P505" s="56">
        <v>8694</v>
      </c>
      <c r="Q505" s="56">
        <v>1681</v>
      </c>
      <c r="R505" s="16">
        <f t="shared" si="33"/>
        <v>21498</v>
      </c>
      <c r="S505" s="16">
        <f t="shared" si="34"/>
        <v>17013</v>
      </c>
      <c r="T505" s="13"/>
      <c r="U505" s="5">
        <v>21498</v>
      </c>
      <c r="V505" s="5"/>
      <c r="W505" s="8"/>
    </row>
    <row r="506" spans="1:23" ht="15.6" x14ac:dyDescent="0.3">
      <c r="A506" s="55">
        <v>38631</v>
      </c>
      <c r="B506" s="56">
        <v>2469</v>
      </c>
      <c r="C506" s="56">
        <v>3910</v>
      </c>
      <c r="D506" s="56">
        <v>298</v>
      </c>
      <c r="E506" s="56">
        <v>872</v>
      </c>
      <c r="F506" s="56">
        <v>1158</v>
      </c>
      <c r="G506" s="56">
        <v>2950</v>
      </c>
      <c r="H506" s="56">
        <v>800</v>
      </c>
      <c r="I506" s="56">
        <v>1251</v>
      </c>
      <c r="J506" s="56">
        <v>84</v>
      </c>
      <c r="K506" s="56">
        <v>304</v>
      </c>
      <c r="L506" s="56">
        <v>4809</v>
      </c>
      <c r="M506" s="56">
        <v>9286</v>
      </c>
      <c r="N506" s="56">
        <v>7645</v>
      </c>
      <c r="O506" s="56">
        <v>4112</v>
      </c>
      <c r="P506" s="56">
        <v>6096</v>
      </c>
      <c r="Q506" s="56">
        <v>1134</v>
      </c>
      <c r="R506" s="16">
        <f t="shared" si="33"/>
        <v>18550</v>
      </c>
      <c r="S506" s="16">
        <f t="shared" si="34"/>
        <v>14532</v>
      </c>
      <c r="T506" s="13"/>
      <c r="U506" s="5">
        <v>18550</v>
      </c>
      <c r="V506" s="5"/>
      <c r="W506" s="8"/>
    </row>
    <row r="507" spans="1:23" ht="15.6" x14ac:dyDescent="0.3">
      <c r="A507" s="55">
        <v>38274</v>
      </c>
      <c r="B507" s="56">
        <v>1622</v>
      </c>
      <c r="C507" s="56">
        <v>3883</v>
      </c>
      <c r="D507" s="56">
        <v>612</v>
      </c>
      <c r="E507" s="56">
        <v>1847</v>
      </c>
      <c r="F507" s="56">
        <v>1329</v>
      </c>
      <c r="G507" s="56">
        <v>3243</v>
      </c>
      <c r="H507" s="56">
        <v>990</v>
      </c>
      <c r="I507" s="56">
        <v>1891</v>
      </c>
      <c r="J507" s="56">
        <v>96</v>
      </c>
      <c r="K507" s="56">
        <v>251</v>
      </c>
      <c r="L507" s="56">
        <v>4649</v>
      </c>
      <c r="M507" s="56">
        <v>11114</v>
      </c>
      <c r="N507" s="56">
        <v>8638</v>
      </c>
      <c r="O507" s="56">
        <v>5362</v>
      </c>
      <c r="P507" s="56">
        <v>8709</v>
      </c>
      <c r="Q507" s="56">
        <v>2654</v>
      </c>
      <c r="R507" s="16">
        <f t="shared" si="33"/>
        <v>21996</v>
      </c>
      <c r="S507" s="16">
        <f t="shared" si="34"/>
        <v>19130</v>
      </c>
      <c r="T507" s="13"/>
      <c r="U507" s="5">
        <v>21996</v>
      </c>
      <c r="V507" s="5"/>
      <c r="W507" s="8"/>
    </row>
    <row r="508" spans="1:23" ht="15.6" x14ac:dyDescent="0.3">
      <c r="A508" s="55">
        <v>38638</v>
      </c>
      <c r="B508" s="56">
        <v>2355</v>
      </c>
      <c r="C508" s="56">
        <v>4090</v>
      </c>
      <c r="D508" s="56">
        <v>313</v>
      </c>
      <c r="E508" s="56">
        <v>907</v>
      </c>
      <c r="F508" s="56">
        <v>1137</v>
      </c>
      <c r="G508" s="56">
        <v>3135</v>
      </c>
      <c r="H508" s="56">
        <v>777</v>
      </c>
      <c r="I508" s="56">
        <v>1379</v>
      </c>
      <c r="J508" s="56">
        <v>70</v>
      </c>
      <c r="K508" s="56">
        <v>326</v>
      </c>
      <c r="L508" s="56">
        <v>4651</v>
      </c>
      <c r="M508" s="56">
        <v>9837</v>
      </c>
      <c r="N508" s="56">
        <v>7380</v>
      </c>
      <c r="O508" s="56">
        <v>5343</v>
      </c>
      <c r="P508" s="56">
        <v>5987</v>
      </c>
      <c r="Q508" s="56">
        <v>2132</v>
      </c>
      <c r="R508" s="16">
        <f t="shared" si="33"/>
        <v>18018</v>
      </c>
      <c r="S508" s="16">
        <f t="shared" si="34"/>
        <v>17312</v>
      </c>
      <c r="T508" s="13"/>
      <c r="U508" s="5">
        <v>18018</v>
      </c>
      <c r="V508" s="5"/>
      <c r="W508" s="8"/>
    </row>
    <row r="509" spans="1:23" ht="15.6" x14ac:dyDescent="0.3">
      <c r="A509" s="55">
        <v>38281</v>
      </c>
      <c r="B509" s="56">
        <v>1650</v>
      </c>
      <c r="C509" s="56">
        <v>3950</v>
      </c>
      <c r="D509" s="56">
        <v>509</v>
      </c>
      <c r="E509" s="56">
        <v>1942</v>
      </c>
      <c r="F509" s="56">
        <v>1371</v>
      </c>
      <c r="G509" s="56">
        <v>3354</v>
      </c>
      <c r="H509" s="56">
        <v>995</v>
      </c>
      <c r="I509" s="56">
        <v>2045</v>
      </c>
      <c r="J509" s="56">
        <v>105</v>
      </c>
      <c r="K509" s="56">
        <v>262</v>
      </c>
      <c r="L509" s="56">
        <v>4640</v>
      </c>
      <c r="M509" s="56">
        <v>11553</v>
      </c>
      <c r="N509" s="56">
        <v>8532</v>
      </c>
      <c r="O509" s="56">
        <v>6558</v>
      </c>
      <c r="P509" s="56">
        <v>8598</v>
      </c>
      <c r="Q509" s="56">
        <v>3690</v>
      </c>
      <c r="R509" s="16">
        <f t="shared" si="33"/>
        <v>21770</v>
      </c>
      <c r="S509" s="16">
        <f t="shared" si="34"/>
        <v>21801</v>
      </c>
      <c r="T509" s="13"/>
      <c r="U509" s="5">
        <v>21770</v>
      </c>
      <c r="V509" s="5"/>
      <c r="W509" s="8"/>
    </row>
    <row r="510" spans="1:23" ht="15.6" x14ac:dyDescent="0.3">
      <c r="A510" s="55">
        <v>38645</v>
      </c>
      <c r="B510" s="56">
        <v>2156</v>
      </c>
      <c r="C510" s="56">
        <v>4329</v>
      </c>
      <c r="D510" s="56">
        <v>285</v>
      </c>
      <c r="E510" s="56">
        <v>936</v>
      </c>
      <c r="F510" s="56">
        <v>1112</v>
      </c>
      <c r="G510" s="56">
        <v>3316</v>
      </c>
      <c r="H510" s="56">
        <v>711</v>
      </c>
      <c r="I510" s="56">
        <v>1625</v>
      </c>
      <c r="J510" s="56">
        <v>68</v>
      </c>
      <c r="K510" s="56">
        <v>329</v>
      </c>
      <c r="L510" s="56">
        <v>4332</v>
      </c>
      <c r="M510" s="56">
        <v>10536</v>
      </c>
      <c r="N510" s="56">
        <v>7150</v>
      </c>
      <c r="O510" s="56">
        <v>6292</v>
      </c>
      <c r="P510" s="56">
        <v>5923</v>
      </c>
      <c r="Q510" s="56">
        <v>3038</v>
      </c>
      <c r="R510" s="16">
        <f t="shared" si="33"/>
        <v>17405</v>
      </c>
      <c r="S510" s="16">
        <f t="shared" si="34"/>
        <v>19866</v>
      </c>
      <c r="T510" s="13"/>
      <c r="U510" s="5">
        <v>17405</v>
      </c>
      <c r="V510" s="5"/>
      <c r="W510" s="8"/>
    </row>
    <row r="511" spans="1:23" ht="15.6" x14ac:dyDescent="0.3">
      <c r="A511" s="55">
        <v>38288</v>
      </c>
      <c r="B511" s="56">
        <v>1596</v>
      </c>
      <c r="C511" s="56">
        <v>4186</v>
      </c>
      <c r="D511" s="56">
        <v>506</v>
      </c>
      <c r="E511" s="56">
        <v>1968</v>
      </c>
      <c r="F511" s="56">
        <v>1314</v>
      </c>
      <c r="G511" s="56">
        <v>3518</v>
      </c>
      <c r="H511" s="56">
        <v>865</v>
      </c>
      <c r="I511" s="56">
        <v>2261</v>
      </c>
      <c r="J511" s="56">
        <v>100</v>
      </c>
      <c r="K511" s="56">
        <v>267</v>
      </c>
      <c r="L511" s="56">
        <v>4381</v>
      </c>
      <c r="M511" s="56">
        <v>12200</v>
      </c>
      <c r="N511" s="56">
        <v>9340</v>
      </c>
      <c r="O511" s="56">
        <v>7203</v>
      </c>
      <c r="P511" s="56">
        <v>7408</v>
      </c>
      <c r="Q511" s="56">
        <v>5359</v>
      </c>
      <c r="R511" s="16">
        <f t="shared" si="33"/>
        <v>21129</v>
      </c>
      <c r="S511" s="16">
        <f t="shared" si="34"/>
        <v>24762</v>
      </c>
      <c r="T511" s="13"/>
      <c r="U511" s="5">
        <v>21129</v>
      </c>
      <c r="V511" s="5"/>
      <c r="W511" s="8"/>
    </row>
    <row r="512" spans="1:23" ht="15.6" x14ac:dyDescent="0.3">
      <c r="A512" s="55">
        <v>38652</v>
      </c>
      <c r="B512" s="56">
        <v>1967</v>
      </c>
      <c r="C512" s="56">
        <v>4622</v>
      </c>
      <c r="D512" s="56">
        <v>283</v>
      </c>
      <c r="E512" s="56">
        <v>963</v>
      </c>
      <c r="F512" s="56">
        <v>1172</v>
      </c>
      <c r="G512" s="56">
        <v>3450</v>
      </c>
      <c r="H512" s="56">
        <v>695</v>
      </c>
      <c r="I512" s="56">
        <v>1716</v>
      </c>
      <c r="J512" s="56">
        <v>102</v>
      </c>
      <c r="K512" s="56">
        <v>332</v>
      </c>
      <c r="L512" s="56">
        <v>4219</v>
      </c>
      <c r="M512" s="56">
        <v>11083</v>
      </c>
      <c r="N512" s="56">
        <v>7354</v>
      </c>
      <c r="O512" s="56">
        <v>7306</v>
      </c>
      <c r="P512" s="56">
        <v>5673</v>
      </c>
      <c r="Q512" s="56">
        <v>4050</v>
      </c>
      <c r="R512" s="16">
        <f t="shared" si="33"/>
        <v>17246</v>
      </c>
      <c r="S512" s="16">
        <f t="shared" si="34"/>
        <v>22439</v>
      </c>
      <c r="T512" s="13"/>
      <c r="U512" s="5">
        <v>17246</v>
      </c>
      <c r="V512" s="5"/>
      <c r="W512" s="8"/>
    </row>
    <row r="513" spans="1:23" ht="15.6" x14ac:dyDescent="0.3">
      <c r="A513" s="55">
        <v>38295</v>
      </c>
      <c r="B513" s="56">
        <v>1556</v>
      </c>
      <c r="C513" s="56">
        <v>4413</v>
      </c>
      <c r="D513" s="56">
        <v>532</v>
      </c>
      <c r="E513" s="56">
        <v>1979</v>
      </c>
      <c r="F513" s="56">
        <v>1340</v>
      </c>
      <c r="G513" s="56">
        <v>3722</v>
      </c>
      <c r="H513" s="56">
        <v>915</v>
      </c>
      <c r="I513" s="56">
        <v>2404</v>
      </c>
      <c r="J513" s="56">
        <v>105</v>
      </c>
      <c r="K513" s="56">
        <v>272</v>
      </c>
      <c r="L513" s="56">
        <v>4449</v>
      </c>
      <c r="M513" s="56">
        <v>12789</v>
      </c>
      <c r="N513" s="56">
        <v>9053</v>
      </c>
      <c r="O513" s="56">
        <v>8321</v>
      </c>
      <c r="P513" s="56">
        <v>7116</v>
      </c>
      <c r="Q513" s="56">
        <v>6310</v>
      </c>
      <c r="R513" s="16">
        <f t="shared" si="33"/>
        <v>20618</v>
      </c>
      <c r="S513" s="16">
        <f t="shared" si="34"/>
        <v>27420</v>
      </c>
      <c r="T513" s="13"/>
      <c r="U513" s="5">
        <v>20618</v>
      </c>
      <c r="V513" s="5"/>
      <c r="W513" s="8"/>
    </row>
    <row r="514" spans="1:23" ht="15.6" x14ac:dyDescent="0.3">
      <c r="A514" s="55">
        <v>38659</v>
      </c>
      <c r="B514" s="56">
        <v>2861</v>
      </c>
      <c r="C514" s="56">
        <v>4738</v>
      </c>
      <c r="D514" s="56">
        <v>247</v>
      </c>
      <c r="E514" s="56">
        <v>1010</v>
      </c>
      <c r="F514" s="56">
        <v>1133</v>
      </c>
      <c r="G514" s="56">
        <v>3707</v>
      </c>
      <c r="H514" s="56">
        <v>828</v>
      </c>
      <c r="I514" s="56">
        <v>1743</v>
      </c>
      <c r="J514" s="56">
        <v>101</v>
      </c>
      <c r="K514" s="56">
        <v>332</v>
      </c>
      <c r="L514" s="56">
        <v>5169</v>
      </c>
      <c r="M514" s="56">
        <v>11530</v>
      </c>
      <c r="N514" s="56">
        <v>7315</v>
      </c>
      <c r="O514" s="56">
        <v>8226</v>
      </c>
      <c r="P514" s="56">
        <v>5242</v>
      </c>
      <c r="Q514" s="56">
        <v>5060</v>
      </c>
      <c r="R514" s="16">
        <f t="shared" si="33"/>
        <v>17726</v>
      </c>
      <c r="S514" s="16">
        <f t="shared" si="34"/>
        <v>24816</v>
      </c>
      <c r="T514" s="13"/>
      <c r="U514" s="5">
        <v>17726</v>
      </c>
      <c r="V514" s="5"/>
      <c r="W514" s="8"/>
    </row>
    <row r="515" spans="1:23" ht="15.6" x14ac:dyDescent="0.3">
      <c r="A515" s="55">
        <v>38302</v>
      </c>
      <c r="B515" s="56">
        <v>1714</v>
      </c>
      <c r="C515" s="56">
        <v>4524</v>
      </c>
      <c r="D515" s="56">
        <v>531</v>
      </c>
      <c r="E515" s="56">
        <v>2012</v>
      </c>
      <c r="F515" s="56">
        <v>1276</v>
      </c>
      <c r="G515" s="56">
        <v>3895</v>
      </c>
      <c r="H515" s="56">
        <v>855</v>
      </c>
      <c r="I515" s="56">
        <v>2552</v>
      </c>
      <c r="J515" s="56">
        <v>87</v>
      </c>
      <c r="K515" s="56">
        <v>294</v>
      </c>
      <c r="L515" s="56">
        <v>4463</v>
      </c>
      <c r="M515" s="56">
        <v>13278</v>
      </c>
      <c r="N515" s="56">
        <v>8741</v>
      </c>
      <c r="O515" s="56">
        <v>9358</v>
      </c>
      <c r="P515" s="56">
        <v>6767</v>
      </c>
      <c r="Q515" s="56">
        <v>7619</v>
      </c>
      <c r="R515" s="16">
        <f t="shared" si="33"/>
        <v>19971</v>
      </c>
      <c r="S515" s="16">
        <f t="shared" si="34"/>
        <v>30255</v>
      </c>
      <c r="T515" s="13"/>
      <c r="U515" s="5">
        <v>19971</v>
      </c>
      <c r="V515" s="5"/>
      <c r="W515" s="8"/>
    </row>
    <row r="516" spans="1:23" ht="15.6" x14ac:dyDescent="0.3">
      <c r="A516" s="55">
        <v>38666</v>
      </c>
      <c r="B516" s="56">
        <v>3083</v>
      </c>
      <c r="C516" s="56">
        <v>4841</v>
      </c>
      <c r="D516" s="56">
        <v>269</v>
      </c>
      <c r="E516" s="56">
        <v>1033</v>
      </c>
      <c r="F516" s="56">
        <v>1147</v>
      </c>
      <c r="G516" s="56">
        <v>3827</v>
      </c>
      <c r="H516" s="56">
        <v>765</v>
      </c>
      <c r="I516" s="56">
        <v>1838</v>
      </c>
      <c r="J516" s="56">
        <v>92</v>
      </c>
      <c r="K516" s="56">
        <v>353</v>
      </c>
      <c r="L516" s="56">
        <v>5356</v>
      </c>
      <c r="M516" s="56">
        <v>11892</v>
      </c>
      <c r="N516" s="56">
        <v>7748</v>
      </c>
      <c r="O516" s="56">
        <v>9284</v>
      </c>
      <c r="P516" s="56">
        <v>5147</v>
      </c>
      <c r="Q516" s="56">
        <v>5800</v>
      </c>
      <c r="R516" s="16">
        <f t="shared" si="33"/>
        <v>18251</v>
      </c>
      <c r="S516" s="16">
        <f t="shared" si="34"/>
        <v>26976</v>
      </c>
      <c r="T516" s="13"/>
      <c r="U516" s="5">
        <v>18251</v>
      </c>
      <c r="V516" s="5"/>
      <c r="W516" s="8"/>
    </row>
    <row r="517" spans="1:23" ht="15.6" x14ac:dyDescent="0.3">
      <c r="A517" s="55">
        <v>38309</v>
      </c>
      <c r="B517" s="56">
        <v>1726</v>
      </c>
      <c r="C517" s="56">
        <v>4718</v>
      </c>
      <c r="D517" s="56">
        <v>560</v>
      </c>
      <c r="E517" s="56">
        <v>2031</v>
      </c>
      <c r="F517" s="56">
        <v>1219</v>
      </c>
      <c r="G517" s="56">
        <v>4100</v>
      </c>
      <c r="H517" s="56">
        <v>735</v>
      </c>
      <c r="I517" s="56">
        <v>2688</v>
      </c>
      <c r="J517" s="56">
        <v>90</v>
      </c>
      <c r="K517" s="56">
        <v>294</v>
      </c>
      <c r="L517" s="56">
        <v>4331</v>
      </c>
      <c r="M517" s="56">
        <v>13831</v>
      </c>
      <c r="N517" s="56">
        <v>9141</v>
      </c>
      <c r="O517" s="56">
        <v>10258</v>
      </c>
      <c r="P517" s="56">
        <v>6786</v>
      </c>
      <c r="Q517" s="56">
        <v>8938</v>
      </c>
      <c r="R517" s="16">
        <f t="shared" si="33"/>
        <v>20258</v>
      </c>
      <c r="S517" s="16">
        <f t="shared" si="34"/>
        <v>33027</v>
      </c>
      <c r="T517" s="13"/>
      <c r="U517" s="5">
        <v>20258</v>
      </c>
      <c r="V517" s="5"/>
      <c r="W517" s="8"/>
    </row>
    <row r="518" spans="1:23" ht="15.6" x14ac:dyDescent="0.3">
      <c r="A518" s="55">
        <v>38673</v>
      </c>
      <c r="B518" s="56">
        <v>2950</v>
      </c>
      <c r="C518" s="56">
        <v>5045</v>
      </c>
      <c r="D518" s="56">
        <v>272</v>
      </c>
      <c r="E518" s="56">
        <v>1083</v>
      </c>
      <c r="F518" s="56">
        <v>1209</v>
      </c>
      <c r="G518" s="56">
        <v>3962</v>
      </c>
      <c r="H518" s="56">
        <v>803</v>
      </c>
      <c r="I518" s="56">
        <v>1915</v>
      </c>
      <c r="J518" s="56">
        <v>103</v>
      </c>
      <c r="K518" s="56">
        <v>361</v>
      </c>
      <c r="L518" s="56">
        <v>5337</v>
      </c>
      <c r="M518" s="56">
        <v>12365</v>
      </c>
      <c r="N518" s="56">
        <v>7814</v>
      </c>
      <c r="O518" s="56">
        <v>10251</v>
      </c>
      <c r="P518" s="56">
        <v>4384</v>
      </c>
      <c r="Q518" s="56">
        <v>6736</v>
      </c>
      <c r="R518" s="16">
        <f t="shared" si="33"/>
        <v>17535</v>
      </c>
      <c r="S518" s="16">
        <f t="shared" si="34"/>
        <v>29352</v>
      </c>
      <c r="T518" s="13"/>
      <c r="U518" s="5">
        <v>17535</v>
      </c>
      <c r="V518" s="5"/>
      <c r="W518" s="8"/>
    </row>
    <row r="519" spans="1:23" ht="15.6" x14ac:dyDescent="0.3">
      <c r="A519" s="55">
        <v>38316</v>
      </c>
      <c r="B519" s="56">
        <v>1580</v>
      </c>
      <c r="C519" s="56">
        <v>4910</v>
      </c>
      <c r="D519" s="56">
        <v>512</v>
      </c>
      <c r="E519" s="56">
        <v>2090</v>
      </c>
      <c r="F519" s="56">
        <v>1205</v>
      </c>
      <c r="G519" s="56">
        <v>4182</v>
      </c>
      <c r="H519" s="56">
        <v>757</v>
      </c>
      <c r="I519" s="56">
        <v>2848</v>
      </c>
      <c r="J519" s="56">
        <v>100</v>
      </c>
      <c r="K519" s="56">
        <v>312</v>
      </c>
      <c r="L519" s="56">
        <v>4154</v>
      </c>
      <c r="M519" s="56">
        <v>14342</v>
      </c>
      <c r="N519" s="56">
        <v>8917</v>
      </c>
      <c r="O519" s="56">
        <v>11065</v>
      </c>
      <c r="P519" s="56">
        <v>6297</v>
      </c>
      <c r="Q519" s="56">
        <v>9834</v>
      </c>
      <c r="R519" s="16">
        <f t="shared" si="33"/>
        <v>19368</v>
      </c>
      <c r="S519" s="16">
        <f t="shared" si="34"/>
        <v>35241</v>
      </c>
      <c r="T519" s="13"/>
      <c r="U519" s="5">
        <v>19368</v>
      </c>
      <c r="V519" s="5"/>
      <c r="W519" s="8"/>
    </row>
    <row r="520" spans="1:23" ht="15.6" x14ac:dyDescent="0.3">
      <c r="A520" s="55">
        <v>38680</v>
      </c>
      <c r="B520" s="56">
        <v>2738</v>
      </c>
      <c r="C520" s="56">
        <v>5339</v>
      </c>
      <c r="D520" s="56">
        <v>297</v>
      </c>
      <c r="E520" s="56">
        <v>1100</v>
      </c>
      <c r="F520" s="56">
        <v>1089</v>
      </c>
      <c r="G520" s="56">
        <v>4120</v>
      </c>
      <c r="H520" s="56">
        <v>822</v>
      </c>
      <c r="I520" s="56">
        <v>1975</v>
      </c>
      <c r="J520" s="56">
        <v>95</v>
      </c>
      <c r="K520" s="56">
        <v>361</v>
      </c>
      <c r="L520" s="56">
        <v>5041</v>
      </c>
      <c r="M520" s="56">
        <v>12890</v>
      </c>
      <c r="N520" s="56">
        <v>7759</v>
      </c>
      <c r="O520" s="56">
        <v>10917</v>
      </c>
      <c r="P520" s="56">
        <v>3926</v>
      </c>
      <c r="Q520" s="56">
        <v>7565</v>
      </c>
      <c r="R520" s="16">
        <f t="shared" ref="R520:R583" si="36">L520+N520+P520</f>
        <v>16726</v>
      </c>
      <c r="S520" s="16">
        <f t="shared" ref="S520:S583" si="37">M520+O520+Q520</f>
        <v>31372</v>
      </c>
      <c r="T520" s="13"/>
      <c r="U520" s="5">
        <v>16726</v>
      </c>
      <c r="V520" s="5"/>
      <c r="W520" s="8"/>
    </row>
    <row r="521" spans="1:23" ht="15.6" x14ac:dyDescent="0.3">
      <c r="A521" s="55">
        <v>38323</v>
      </c>
      <c r="B521" s="56">
        <v>1511</v>
      </c>
      <c r="C521" s="56">
        <v>5149</v>
      </c>
      <c r="D521" s="56">
        <v>493</v>
      </c>
      <c r="E521" s="56">
        <v>2142</v>
      </c>
      <c r="F521" s="56">
        <v>1293</v>
      </c>
      <c r="G521" s="56">
        <v>4332</v>
      </c>
      <c r="H521" s="56">
        <v>730</v>
      </c>
      <c r="I521" s="56">
        <v>2905</v>
      </c>
      <c r="J521" s="56">
        <v>116</v>
      </c>
      <c r="K521" s="56">
        <v>334</v>
      </c>
      <c r="L521" s="56">
        <v>4143</v>
      </c>
      <c r="M521" s="56">
        <v>14863</v>
      </c>
      <c r="N521" s="56">
        <v>8624</v>
      </c>
      <c r="O521" s="56">
        <v>12273</v>
      </c>
      <c r="P521" s="56">
        <v>5755</v>
      </c>
      <c r="Q521" s="56">
        <v>10822</v>
      </c>
      <c r="R521" s="16">
        <f t="shared" si="36"/>
        <v>18522</v>
      </c>
      <c r="S521" s="16">
        <f t="shared" si="37"/>
        <v>37958</v>
      </c>
      <c r="T521" s="13"/>
      <c r="U521" s="5">
        <v>18522</v>
      </c>
      <c r="V521" s="5"/>
      <c r="W521" s="8"/>
    </row>
    <row r="522" spans="1:23" ht="15.6" x14ac:dyDescent="0.3">
      <c r="A522" s="55">
        <v>38687</v>
      </c>
      <c r="B522" s="56">
        <v>2728</v>
      </c>
      <c r="C522" s="56">
        <v>5615</v>
      </c>
      <c r="D522" s="56">
        <v>288</v>
      </c>
      <c r="E522" s="56">
        <v>1124</v>
      </c>
      <c r="F522" s="56">
        <v>1067</v>
      </c>
      <c r="G522" s="56">
        <v>4236</v>
      </c>
      <c r="H522" s="56">
        <v>824</v>
      </c>
      <c r="I522" s="56">
        <v>2010</v>
      </c>
      <c r="J522" s="56">
        <v>77</v>
      </c>
      <c r="K522" s="56">
        <v>396</v>
      </c>
      <c r="L522" s="56">
        <v>5001</v>
      </c>
      <c r="M522" s="56">
        <v>13381</v>
      </c>
      <c r="N522" s="56">
        <v>7432</v>
      </c>
      <c r="O522" s="56">
        <v>11939</v>
      </c>
      <c r="P522" s="56">
        <v>4079</v>
      </c>
      <c r="Q522" s="56">
        <v>8324</v>
      </c>
      <c r="R522" s="16">
        <f t="shared" si="36"/>
        <v>16512</v>
      </c>
      <c r="S522" s="16">
        <f t="shared" si="37"/>
        <v>33644</v>
      </c>
      <c r="T522" s="13"/>
      <c r="U522" s="5">
        <v>16512</v>
      </c>
      <c r="V522" s="5"/>
      <c r="W522" s="8"/>
    </row>
    <row r="523" spans="1:23" ht="15.6" x14ac:dyDescent="0.3">
      <c r="A523" s="55">
        <v>38330</v>
      </c>
      <c r="B523" s="56">
        <v>1498</v>
      </c>
      <c r="C523" s="56">
        <v>5347</v>
      </c>
      <c r="D523" s="56">
        <v>514</v>
      </c>
      <c r="E523" s="56">
        <v>2171</v>
      </c>
      <c r="F523" s="56">
        <v>1255</v>
      </c>
      <c r="G523" s="56">
        <v>4485</v>
      </c>
      <c r="H523" s="56">
        <v>749</v>
      </c>
      <c r="I523" s="56">
        <v>2942</v>
      </c>
      <c r="J523" s="56">
        <v>74</v>
      </c>
      <c r="K523" s="56">
        <v>366</v>
      </c>
      <c r="L523" s="56">
        <v>4088</v>
      </c>
      <c r="M523" s="56">
        <v>15312</v>
      </c>
      <c r="N523" s="56">
        <v>8113</v>
      </c>
      <c r="O523" s="56">
        <v>13421</v>
      </c>
      <c r="P523" s="56">
        <v>5780</v>
      </c>
      <c r="Q523" s="56">
        <v>11652</v>
      </c>
      <c r="R523" s="16">
        <f t="shared" si="36"/>
        <v>17981</v>
      </c>
      <c r="S523" s="16">
        <f t="shared" si="37"/>
        <v>40385</v>
      </c>
      <c r="T523" s="13"/>
      <c r="U523" s="5">
        <v>17981</v>
      </c>
      <c r="V523" s="5"/>
      <c r="W523" s="8"/>
    </row>
    <row r="524" spans="1:23" ht="15.6" x14ac:dyDescent="0.3">
      <c r="A524" s="55">
        <v>38694</v>
      </c>
      <c r="B524" s="56">
        <v>2807</v>
      </c>
      <c r="C524" s="56">
        <v>5796</v>
      </c>
      <c r="D524" s="56">
        <v>292</v>
      </c>
      <c r="E524" s="56">
        <v>1156</v>
      </c>
      <c r="F524" s="56">
        <v>1092</v>
      </c>
      <c r="G524" s="56">
        <v>4452</v>
      </c>
      <c r="H524" s="56">
        <v>793</v>
      </c>
      <c r="I524" s="56">
        <v>2216</v>
      </c>
      <c r="J524" s="56">
        <v>35</v>
      </c>
      <c r="K524" s="56">
        <v>438</v>
      </c>
      <c r="L524" s="56">
        <v>5018</v>
      </c>
      <c r="M524" s="56">
        <v>14059</v>
      </c>
      <c r="N524" s="56">
        <v>7334</v>
      </c>
      <c r="O524" s="56">
        <v>12957</v>
      </c>
      <c r="P524" s="56">
        <v>3944</v>
      </c>
      <c r="Q524" s="56">
        <v>8963</v>
      </c>
      <c r="R524" s="16">
        <f t="shared" si="36"/>
        <v>16296</v>
      </c>
      <c r="S524" s="16">
        <f t="shared" si="37"/>
        <v>35979</v>
      </c>
      <c r="T524" s="13"/>
      <c r="U524" s="5">
        <v>16296</v>
      </c>
      <c r="V524" s="5"/>
      <c r="W524" s="8"/>
    </row>
    <row r="525" spans="1:23" ht="15.6" x14ac:dyDescent="0.3">
      <c r="A525" s="55">
        <v>38337</v>
      </c>
      <c r="B525" s="56">
        <v>1700</v>
      </c>
      <c r="C525" s="56">
        <v>5459</v>
      </c>
      <c r="D525" s="56">
        <v>495</v>
      </c>
      <c r="E525" s="56">
        <v>2249</v>
      </c>
      <c r="F525" s="56">
        <v>1250</v>
      </c>
      <c r="G525" s="56">
        <v>4643</v>
      </c>
      <c r="H525" s="56">
        <v>776</v>
      </c>
      <c r="I525" s="56">
        <v>2993</v>
      </c>
      <c r="J525" s="56">
        <v>78</v>
      </c>
      <c r="K525" s="56">
        <v>366</v>
      </c>
      <c r="L525" s="56">
        <v>4299</v>
      </c>
      <c r="M525" s="56">
        <v>15710</v>
      </c>
      <c r="N525" s="56">
        <v>7770</v>
      </c>
      <c r="O525" s="56">
        <v>14490</v>
      </c>
      <c r="P525" s="56">
        <v>5692</v>
      </c>
      <c r="Q525" s="56">
        <v>12897</v>
      </c>
      <c r="R525" s="16">
        <f t="shared" si="36"/>
        <v>17761</v>
      </c>
      <c r="S525" s="16">
        <f t="shared" si="37"/>
        <v>43097</v>
      </c>
      <c r="T525" s="13"/>
      <c r="U525" s="5">
        <v>17761</v>
      </c>
      <c r="V525" s="5"/>
      <c r="W525" s="8"/>
    </row>
    <row r="526" spans="1:23" ht="15.6" x14ac:dyDescent="0.3">
      <c r="A526" s="55">
        <v>38701</v>
      </c>
      <c r="B526" s="56">
        <v>2868</v>
      </c>
      <c r="C526" s="56">
        <v>5932</v>
      </c>
      <c r="D526" s="56">
        <v>279</v>
      </c>
      <c r="E526" s="56">
        <v>1207</v>
      </c>
      <c r="F526" s="56">
        <v>1139</v>
      </c>
      <c r="G526" s="56">
        <v>4556</v>
      </c>
      <c r="H526" s="56">
        <v>800</v>
      </c>
      <c r="I526" s="56">
        <v>2309</v>
      </c>
      <c r="J526" s="56">
        <v>30</v>
      </c>
      <c r="K526" s="56">
        <v>480</v>
      </c>
      <c r="L526" s="56">
        <v>5116</v>
      </c>
      <c r="M526" s="56">
        <v>14484</v>
      </c>
      <c r="N526" s="56">
        <v>7037</v>
      </c>
      <c r="O526" s="56">
        <v>14138</v>
      </c>
      <c r="P526" s="56">
        <v>4004</v>
      </c>
      <c r="Q526" s="56">
        <v>9642</v>
      </c>
      <c r="R526" s="16">
        <f t="shared" si="36"/>
        <v>16157</v>
      </c>
      <c r="S526" s="16">
        <f t="shared" si="37"/>
        <v>38264</v>
      </c>
      <c r="T526" s="13"/>
      <c r="U526" s="5">
        <v>16157</v>
      </c>
      <c r="V526" s="5"/>
      <c r="W526" s="8"/>
    </row>
    <row r="527" spans="1:23" ht="15.6" x14ac:dyDescent="0.3">
      <c r="A527" s="55">
        <v>38344</v>
      </c>
      <c r="B527" s="56">
        <v>1610</v>
      </c>
      <c r="C527" s="56">
        <v>5672</v>
      </c>
      <c r="D527" s="56">
        <v>492</v>
      </c>
      <c r="E527" s="56">
        <v>2321</v>
      </c>
      <c r="F527" s="56">
        <v>1181</v>
      </c>
      <c r="G527" s="56">
        <v>4759</v>
      </c>
      <c r="H527" s="56">
        <v>738</v>
      </c>
      <c r="I527" s="56">
        <v>3079</v>
      </c>
      <c r="J527" s="56">
        <v>128</v>
      </c>
      <c r="K527" s="56">
        <v>366</v>
      </c>
      <c r="L527" s="56">
        <v>4148</v>
      </c>
      <c r="M527" s="56">
        <v>16196</v>
      </c>
      <c r="N527" s="56">
        <v>7496</v>
      </c>
      <c r="O527" s="56">
        <v>15461</v>
      </c>
      <c r="P527" s="56">
        <v>5744</v>
      </c>
      <c r="Q527" s="56">
        <v>13717</v>
      </c>
      <c r="R527" s="16">
        <f t="shared" si="36"/>
        <v>17388</v>
      </c>
      <c r="S527" s="16">
        <f t="shared" si="37"/>
        <v>45374</v>
      </c>
      <c r="T527" s="13"/>
      <c r="U527" s="5">
        <v>17388</v>
      </c>
      <c r="V527" s="5"/>
      <c r="W527" s="8"/>
    </row>
    <row r="528" spans="1:23" ht="15.6" x14ac:dyDescent="0.3">
      <c r="A528" s="55">
        <v>38708</v>
      </c>
      <c r="B528" s="56">
        <v>2719</v>
      </c>
      <c r="C528" s="56">
        <v>6202</v>
      </c>
      <c r="D528" s="56">
        <v>291</v>
      </c>
      <c r="E528" s="56">
        <v>1213</v>
      </c>
      <c r="F528" s="56">
        <v>1092</v>
      </c>
      <c r="G528" s="56">
        <v>4727</v>
      </c>
      <c r="H528" s="56">
        <v>704</v>
      </c>
      <c r="I528" s="56">
        <v>2476</v>
      </c>
      <c r="J528" s="56">
        <v>28</v>
      </c>
      <c r="K528" s="56">
        <v>504</v>
      </c>
      <c r="L528" s="56">
        <v>4834</v>
      </c>
      <c r="M528" s="56">
        <v>15122</v>
      </c>
      <c r="N528" s="56">
        <v>6619</v>
      </c>
      <c r="O528" s="56">
        <v>14916</v>
      </c>
      <c r="P528" s="56">
        <v>4286</v>
      </c>
      <c r="Q528" s="56">
        <v>10250</v>
      </c>
      <c r="R528" s="16">
        <f t="shared" si="36"/>
        <v>15739</v>
      </c>
      <c r="S528" s="16">
        <f t="shared" si="37"/>
        <v>40288</v>
      </c>
      <c r="T528" s="13"/>
      <c r="U528" s="5">
        <v>15739</v>
      </c>
      <c r="V528" s="5"/>
      <c r="W528" s="8"/>
    </row>
    <row r="529" spans="1:23" ht="15.6" x14ac:dyDescent="0.3">
      <c r="A529" s="55">
        <v>38351</v>
      </c>
      <c r="B529" s="56">
        <v>1482</v>
      </c>
      <c r="C529" s="56">
        <v>5825</v>
      </c>
      <c r="D529" s="56">
        <v>412</v>
      </c>
      <c r="E529" s="56">
        <v>2401</v>
      </c>
      <c r="F529" s="56">
        <v>1054</v>
      </c>
      <c r="G529" s="56">
        <v>4908</v>
      </c>
      <c r="H529" s="56">
        <v>768</v>
      </c>
      <c r="I529" s="56">
        <v>3099</v>
      </c>
      <c r="J529" s="56">
        <v>115</v>
      </c>
      <c r="K529" s="56">
        <v>372</v>
      </c>
      <c r="L529" s="56">
        <v>3831</v>
      </c>
      <c r="M529" s="56">
        <v>16605</v>
      </c>
      <c r="N529" s="56">
        <v>6975</v>
      </c>
      <c r="O529" s="56">
        <v>16413</v>
      </c>
      <c r="P529" s="56">
        <v>5434</v>
      </c>
      <c r="Q529" s="56">
        <v>14676</v>
      </c>
      <c r="R529" s="16">
        <f t="shared" si="36"/>
        <v>16240</v>
      </c>
      <c r="S529" s="16">
        <f t="shared" si="37"/>
        <v>47694</v>
      </c>
      <c r="T529" s="13"/>
      <c r="U529" s="5">
        <v>16240</v>
      </c>
      <c r="V529" s="5"/>
      <c r="W529" s="8"/>
    </row>
    <row r="530" spans="1:23" ht="15.6" x14ac:dyDescent="0.3">
      <c r="A530" s="55">
        <v>38715</v>
      </c>
      <c r="B530" s="56">
        <v>2692</v>
      </c>
      <c r="C530" s="56">
        <v>6320</v>
      </c>
      <c r="D530" s="56">
        <v>307</v>
      </c>
      <c r="E530" s="56">
        <v>1230</v>
      </c>
      <c r="F530" s="56">
        <v>1036</v>
      </c>
      <c r="G530" s="56">
        <v>4825</v>
      </c>
      <c r="H530" s="56">
        <v>661</v>
      </c>
      <c r="I530" s="56">
        <v>2571</v>
      </c>
      <c r="J530" s="56">
        <v>31</v>
      </c>
      <c r="K530" s="56">
        <v>508</v>
      </c>
      <c r="L530" s="56">
        <v>4727</v>
      </c>
      <c r="M530" s="56">
        <v>15453</v>
      </c>
      <c r="N530" s="56">
        <v>5991</v>
      </c>
      <c r="O530" s="56">
        <v>16073</v>
      </c>
      <c r="P530" s="56">
        <v>4375</v>
      </c>
      <c r="Q530" s="56">
        <v>10623</v>
      </c>
      <c r="R530" s="16">
        <f t="shared" si="36"/>
        <v>15093</v>
      </c>
      <c r="S530" s="16">
        <f t="shared" si="37"/>
        <v>42149</v>
      </c>
      <c r="T530" s="13"/>
      <c r="U530" s="5">
        <v>15093</v>
      </c>
      <c r="V530" s="5"/>
      <c r="W530" s="8"/>
    </row>
    <row r="531" spans="1:23" ht="15.6" x14ac:dyDescent="0.3">
      <c r="A531" s="55">
        <v>38358</v>
      </c>
      <c r="B531" s="56">
        <v>1479</v>
      </c>
      <c r="C531" s="56">
        <v>5960</v>
      </c>
      <c r="D531" s="56">
        <v>367</v>
      </c>
      <c r="E531" s="56">
        <v>2451</v>
      </c>
      <c r="F531" s="56">
        <v>1096</v>
      </c>
      <c r="G531" s="56">
        <v>5051</v>
      </c>
      <c r="H531" s="56">
        <v>735</v>
      </c>
      <c r="I531" s="56">
        <v>3211</v>
      </c>
      <c r="J531" s="56">
        <v>115</v>
      </c>
      <c r="K531" s="56">
        <v>383</v>
      </c>
      <c r="L531" s="56">
        <v>3792</v>
      </c>
      <c r="M531" s="56">
        <v>17056</v>
      </c>
      <c r="N531" s="56">
        <v>6999</v>
      </c>
      <c r="O531" s="56">
        <v>17047</v>
      </c>
      <c r="P531" s="56">
        <v>5692</v>
      </c>
      <c r="Q531" s="56">
        <v>15483</v>
      </c>
      <c r="R531" s="16">
        <f t="shared" si="36"/>
        <v>16483</v>
      </c>
      <c r="S531" s="16">
        <f t="shared" si="37"/>
        <v>49586</v>
      </c>
      <c r="T531" s="13"/>
      <c r="U531" s="5">
        <v>16483</v>
      </c>
      <c r="V531" s="5"/>
      <c r="W531" s="8"/>
    </row>
    <row r="532" spans="1:23" ht="15.6" x14ac:dyDescent="0.3">
      <c r="A532" s="55">
        <v>38722</v>
      </c>
      <c r="B532" s="56">
        <v>2413</v>
      </c>
      <c r="C532" s="56">
        <v>6701</v>
      </c>
      <c r="D532" s="56">
        <v>337</v>
      </c>
      <c r="E532" s="56">
        <v>1277</v>
      </c>
      <c r="F532" s="56">
        <v>1003</v>
      </c>
      <c r="G532" s="56">
        <v>4935</v>
      </c>
      <c r="H532" s="56">
        <v>657</v>
      </c>
      <c r="I532" s="56">
        <v>2607</v>
      </c>
      <c r="J532" s="56">
        <v>84</v>
      </c>
      <c r="K532" s="56">
        <v>509</v>
      </c>
      <c r="L532" s="56">
        <v>4494</v>
      </c>
      <c r="M532" s="56">
        <v>16029</v>
      </c>
      <c r="N532" s="56">
        <v>5905</v>
      </c>
      <c r="O532" s="56">
        <v>16731</v>
      </c>
      <c r="P532" s="56">
        <v>4149</v>
      </c>
      <c r="Q532" s="56">
        <v>11297</v>
      </c>
      <c r="R532" s="16">
        <f t="shared" si="36"/>
        <v>14548</v>
      </c>
      <c r="S532" s="16">
        <f t="shared" si="37"/>
        <v>44057</v>
      </c>
      <c r="T532" s="13"/>
      <c r="U532" s="5">
        <v>14548</v>
      </c>
      <c r="V532" s="5"/>
      <c r="W532" s="8"/>
    </row>
    <row r="533" spans="1:23" ht="15.6" x14ac:dyDescent="0.3">
      <c r="A533" s="55">
        <v>38365</v>
      </c>
      <c r="B533" s="56">
        <v>1448</v>
      </c>
      <c r="C533" s="56">
        <v>6111</v>
      </c>
      <c r="D533" s="56">
        <v>383</v>
      </c>
      <c r="E533" s="56">
        <v>2472</v>
      </c>
      <c r="F533" s="56">
        <v>1230</v>
      </c>
      <c r="G533" s="56">
        <v>5111</v>
      </c>
      <c r="H533" s="56">
        <v>686</v>
      </c>
      <c r="I533" s="56">
        <v>3320</v>
      </c>
      <c r="J533" s="56">
        <v>129</v>
      </c>
      <c r="K533" s="56">
        <v>383</v>
      </c>
      <c r="L533" s="56">
        <v>3874</v>
      </c>
      <c r="M533" s="56">
        <v>17397</v>
      </c>
      <c r="N533" s="56">
        <v>7157</v>
      </c>
      <c r="O533" s="56">
        <v>17798</v>
      </c>
      <c r="P533" s="56">
        <v>5732</v>
      </c>
      <c r="Q533" s="56">
        <v>16303</v>
      </c>
      <c r="R533" s="16">
        <f t="shared" si="36"/>
        <v>16763</v>
      </c>
      <c r="S533" s="16">
        <f t="shared" si="37"/>
        <v>51498</v>
      </c>
      <c r="T533" s="13"/>
      <c r="U533" s="5">
        <v>16763</v>
      </c>
      <c r="V533" s="5"/>
      <c r="W533" s="8"/>
    </row>
    <row r="534" spans="1:23" ht="15.6" x14ac:dyDescent="0.3">
      <c r="A534" s="55">
        <v>38729</v>
      </c>
      <c r="B534" s="56">
        <v>2319</v>
      </c>
      <c r="C534" s="56">
        <v>6893</v>
      </c>
      <c r="D534" s="56">
        <v>309</v>
      </c>
      <c r="E534" s="56">
        <v>1311</v>
      </c>
      <c r="F534" s="56">
        <v>1067</v>
      </c>
      <c r="G534" s="56">
        <v>5010</v>
      </c>
      <c r="H534" s="56">
        <v>732</v>
      </c>
      <c r="I534" s="56">
        <v>2620</v>
      </c>
      <c r="J534" s="56">
        <v>97</v>
      </c>
      <c r="K534" s="56">
        <v>516</v>
      </c>
      <c r="L534" s="56">
        <v>4525</v>
      </c>
      <c r="M534" s="56">
        <v>16350</v>
      </c>
      <c r="N534" s="56">
        <v>6184</v>
      </c>
      <c r="O534" s="56">
        <v>17657</v>
      </c>
      <c r="P534" s="56">
        <v>4870</v>
      </c>
      <c r="Q534" s="56">
        <v>11848</v>
      </c>
      <c r="R534" s="16">
        <f t="shared" si="36"/>
        <v>15579</v>
      </c>
      <c r="S534" s="16">
        <f t="shared" si="37"/>
        <v>45855</v>
      </c>
      <c r="T534" s="13"/>
      <c r="U534" s="5">
        <v>15579</v>
      </c>
      <c r="V534" s="5"/>
      <c r="W534" s="8"/>
    </row>
    <row r="535" spans="1:23" ht="15.6" x14ac:dyDescent="0.3">
      <c r="A535" s="55">
        <v>38372</v>
      </c>
      <c r="B535" s="56">
        <v>1386</v>
      </c>
      <c r="C535" s="56">
        <v>6305</v>
      </c>
      <c r="D535" s="56">
        <v>392</v>
      </c>
      <c r="E535" s="56">
        <v>2518</v>
      </c>
      <c r="F535" s="56">
        <v>1192</v>
      </c>
      <c r="G535" s="56">
        <v>5247</v>
      </c>
      <c r="H535" s="56">
        <v>590</v>
      </c>
      <c r="I535" s="56">
        <v>3498</v>
      </c>
      <c r="J535" s="56">
        <v>105</v>
      </c>
      <c r="K535" s="56">
        <v>408</v>
      </c>
      <c r="L535" s="56">
        <v>3664</v>
      </c>
      <c r="M535" s="56">
        <v>17976</v>
      </c>
      <c r="N535" s="56">
        <v>6840</v>
      </c>
      <c r="O535" s="56">
        <v>18878</v>
      </c>
      <c r="P535" s="56">
        <v>5116</v>
      </c>
      <c r="Q535" s="56">
        <v>17439</v>
      </c>
      <c r="R535" s="16">
        <f t="shared" si="36"/>
        <v>15620</v>
      </c>
      <c r="S535" s="16">
        <f t="shared" si="37"/>
        <v>54293</v>
      </c>
      <c r="T535" s="13"/>
      <c r="U535" s="5">
        <v>15620</v>
      </c>
      <c r="V535" s="5"/>
      <c r="W535" s="8"/>
    </row>
    <row r="536" spans="1:23" ht="15.6" x14ac:dyDescent="0.3">
      <c r="A536" s="55">
        <v>38736</v>
      </c>
      <c r="B536" s="56">
        <v>2159</v>
      </c>
      <c r="C536" s="56">
        <v>7121</v>
      </c>
      <c r="D536" s="56">
        <v>310</v>
      </c>
      <c r="E536" s="56">
        <v>1364</v>
      </c>
      <c r="F536" s="56">
        <v>1083</v>
      </c>
      <c r="G536" s="56">
        <v>5143</v>
      </c>
      <c r="H536" s="56">
        <v>742</v>
      </c>
      <c r="I536" s="56">
        <v>2694</v>
      </c>
      <c r="J536" s="56">
        <v>116</v>
      </c>
      <c r="K536" s="56">
        <v>517</v>
      </c>
      <c r="L536" s="56">
        <v>4410</v>
      </c>
      <c r="M536" s="56">
        <v>16840</v>
      </c>
      <c r="N536" s="56">
        <v>7416</v>
      </c>
      <c r="O536" s="56">
        <v>18583</v>
      </c>
      <c r="P536" s="56">
        <v>4524</v>
      </c>
      <c r="Q536" s="56">
        <v>12716</v>
      </c>
      <c r="R536" s="16">
        <f t="shared" si="36"/>
        <v>16350</v>
      </c>
      <c r="S536" s="16">
        <f t="shared" si="37"/>
        <v>48139</v>
      </c>
      <c r="T536" s="13"/>
      <c r="U536" s="5">
        <v>16350</v>
      </c>
      <c r="V536" s="5"/>
      <c r="W536" s="8"/>
    </row>
    <row r="537" spans="1:23" ht="15.6" x14ac:dyDescent="0.3">
      <c r="A537" s="55">
        <v>38379</v>
      </c>
      <c r="B537" s="56">
        <v>1562</v>
      </c>
      <c r="C537" s="56">
        <v>6490</v>
      </c>
      <c r="D537" s="56">
        <v>389</v>
      </c>
      <c r="E537" s="56">
        <v>2576</v>
      </c>
      <c r="F537" s="56">
        <v>1220</v>
      </c>
      <c r="G537" s="56">
        <v>5407</v>
      </c>
      <c r="H537" s="56">
        <v>604</v>
      </c>
      <c r="I537" s="56">
        <v>3574</v>
      </c>
      <c r="J537" s="56">
        <v>111</v>
      </c>
      <c r="K537" s="56">
        <v>418</v>
      </c>
      <c r="L537" s="56">
        <v>3886</v>
      </c>
      <c r="M537" s="56">
        <v>18465</v>
      </c>
      <c r="N537" s="56">
        <v>6257</v>
      </c>
      <c r="O537" s="56">
        <v>19755</v>
      </c>
      <c r="P537" s="56">
        <v>4951</v>
      </c>
      <c r="Q537" s="56">
        <v>18152</v>
      </c>
      <c r="R537" s="16">
        <f t="shared" si="36"/>
        <v>15094</v>
      </c>
      <c r="S537" s="16">
        <f t="shared" si="37"/>
        <v>56372</v>
      </c>
      <c r="T537" s="13"/>
      <c r="U537" s="5">
        <v>15094</v>
      </c>
      <c r="V537" s="5"/>
      <c r="W537" s="8"/>
    </row>
    <row r="538" spans="1:23" ht="15.6" x14ac:dyDescent="0.3">
      <c r="A538" s="55">
        <v>38743</v>
      </c>
      <c r="B538" s="56">
        <v>2039</v>
      </c>
      <c r="C538" s="56">
        <v>7386</v>
      </c>
      <c r="D538" s="56">
        <v>264</v>
      </c>
      <c r="E538" s="56">
        <v>1383</v>
      </c>
      <c r="F538" s="56">
        <v>1057</v>
      </c>
      <c r="G538" s="56">
        <v>5297</v>
      </c>
      <c r="H538" s="56">
        <v>700</v>
      </c>
      <c r="I538" s="56">
        <v>2829</v>
      </c>
      <c r="J538" s="56">
        <v>126</v>
      </c>
      <c r="K538" s="56">
        <v>528</v>
      </c>
      <c r="L538" s="56">
        <v>4185</v>
      </c>
      <c r="M538" s="56">
        <v>17422</v>
      </c>
      <c r="N538" s="56">
        <v>7858</v>
      </c>
      <c r="O538" s="56">
        <v>19502</v>
      </c>
      <c r="P538" s="56">
        <v>4403</v>
      </c>
      <c r="Q538" s="56">
        <v>13284</v>
      </c>
      <c r="R538" s="16">
        <f t="shared" si="36"/>
        <v>16446</v>
      </c>
      <c r="S538" s="16">
        <f t="shared" si="37"/>
        <v>50208</v>
      </c>
      <c r="T538" s="13"/>
      <c r="U538" s="5">
        <v>16446</v>
      </c>
      <c r="V538" s="5"/>
      <c r="W538" s="8"/>
    </row>
    <row r="539" spans="1:23" ht="15.6" x14ac:dyDescent="0.3">
      <c r="A539" s="55">
        <v>38386</v>
      </c>
      <c r="B539" s="56">
        <v>1640</v>
      </c>
      <c r="C539" s="56">
        <v>6601</v>
      </c>
      <c r="D539" s="56">
        <v>389</v>
      </c>
      <c r="E539" s="56">
        <v>2612</v>
      </c>
      <c r="F539" s="56">
        <v>1249</v>
      </c>
      <c r="G539" s="56">
        <v>5569</v>
      </c>
      <c r="H539" s="56">
        <v>616</v>
      </c>
      <c r="I539" s="56">
        <v>3616</v>
      </c>
      <c r="J539" s="56">
        <v>114</v>
      </c>
      <c r="K539" s="56">
        <v>418</v>
      </c>
      <c r="L539" s="56">
        <v>4007</v>
      </c>
      <c r="M539" s="56">
        <v>18817</v>
      </c>
      <c r="N539" s="56">
        <v>6744</v>
      </c>
      <c r="O539" s="56">
        <v>19755</v>
      </c>
      <c r="P539" s="56">
        <v>4807</v>
      </c>
      <c r="Q539" s="56">
        <v>18846</v>
      </c>
      <c r="R539" s="16">
        <f t="shared" si="36"/>
        <v>15558</v>
      </c>
      <c r="S539" s="16">
        <f t="shared" si="37"/>
        <v>57418</v>
      </c>
      <c r="T539" s="13"/>
      <c r="U539" s="5">
        <v>15558</v>
      </c>
      <c r="V539" s="5"/>
      <c r="W539" s="8"/>
    </row>
    <row r="540" spans="1:23" ht="15.6" x14ac:dyDescent="0.3">
      <c r="A540" s="55">
        <v>38750</v>
      </c>
      <c r="B540" s="56">
        <v>1751</v>
      </c>
      <c r="C540" s="56">
        <v>7725</v>
      </c>
      <c r="D540" s="56">
        <v>299</v>
      </c>
      <c r="E540" s="56">
        <v>1424</v>
      </c>
      <c r="F540" s="56">
        <v>1057</v>
      </c>
      <c r="G540" s="56">
        <v>5431</v>
      </c>
      <c r="H540" s="56">
        <v>687</v>
      </c>
      <c r="I540" s="56">
        <v>2920</v>
      </c>
      <c r="J540" s="56">
        <v>104</v>
      </c>
      <c r="K540" s="56">
        <v>555</v>
      </c>
      <c r="L540" s="56">
        <v>3898</v>
      </c>
      <c r="M540" s="56">
        <v>18055</v>
      </c>
      <c r="N540" s="56">
        <v>8455</v>
      </c>
      <c r="O540" s="56">
        <v>20263</v>
      </c>
      <c r="P540" s="56">
        <v>4247</v>
      </c>
      <c r="Q540" s="56">
        <v>13957</v>
      </c>
      <c r="R540" s="16">
        <f t="shared" si="36"/>
        <v>16600</v>
      </c>
      <c r="S540" s="16">
        <f t="shared" si="37"/>
        <v>52275</v>
      </c>
      <c r="T540" s="13"/>
      <c r="U540" s="5">
        <v>16600</v>
      </c>
      <c r="V540" s="5"/>
      <c r="W540" s="8"/>
    </row>
    <row r="541" spans="1:23" ht="15.6" x14ac:dyDescent="0.3">
      <c r="A541" s="55">
        <v>38393</v>
      </c>
      <c r="B541" s="56">
        <v>1763</v>
      </c>
      <c r="C541" s="56">
        <v>6749</v>
      </c>
      <c r="D541" s="56">
        <v>379</v>
      </c>
      <c r="E541" s="56">
        <v>2679</v>
      </c>
      <c r="F541" s="56">
        <v>1297</v>
      </c>
      <c r="G541" s="56">
        <v>5660</v>
      </c>
      <c r="H541" s="56">
        <v>597</v>
      </c>
      <c r="I541" s="56">
        <v>3680</v>
      </c>
      <c r="J541" s="56">
        <v>102</v>
      </c>
      <c r="K541" s="56">
        <v>466</v>
      </c>
      <c r="L541" s="56">
        <v>4138</v>
      </c>
      <c r="M541" s="56">
        <v>19234</v>
      </c>
      <c r="N541" s="56">
        <v>6769</v>
      </c>
      <c r="O541" s="56">
        <v>21024</v>
      </c>
      <c r="P541" s="56">
        <v>4387</v>
      </c>
      <c r="Q541" s="56">
        <v>19645</v>
      </c>
      <c r="R541" s="16">
        <f t="shared" si="36"/>
        <v>15294</v>
      </c>
      <c r="S541" s="16">
        <f t="shared" si="37"/>
        <v>59903</v>
      </c>
      <c r="T541" s="13"/>
      <c r="U541" s="5">
        <v>15294</v>
      </c>
      <c r="V541" s="5"/>
      <c r="W541" s="8"/>
    </row>
    <row r="542" spans="1:23" ht="15.6" x14ac:dyDescent="0.3">
      <c r="A542" s="55">
        <v>38757</v>
      </c>
      <c r="B542" s="56">
        <v>1644</v>
      </c>
      <c r="C542" s="56">
        <v>7948</v>
      </c>
      <c r="D542" s="56">
        <v>344</v>
      </c>
      <c r="E542" s="56">
        <v>1467</v>
      </c>
      <c r="F542" s="56">
        <v>1170</v>
      </c>
      <c r="G542" s="56">
        <v>5533</v>
      </c>
      <c r="H542" s="56">
        <v>696</v>
      </c>
      <c r="I542" s="56">
        <v>3034</v>
      </c>
      <c r="J542" s="56">
        <v>147</v>
      </c>
      <c r="K542" s="56">
        <v>565</v>
      </c>
      <c r="L542" s="56">
        <v>3999</v>
      </c>
      <c r="M542" s="56">
        <v>18547</v>
      </c>
      <c r="N542" s="56">
        <v>8829</v>
      </c>
      <c r="O542" s="56">
        <v>21340</v>
      </c>
      <c r="P542" s="56">
        <v>3788</v>
      </c>
      <c r="Q542" s="56">
        <v>14946</v>
      </c>
      <c r="R542" s="16">
        <f t="shared" si="36"/>
        <v>16616</v>
      </c>
      <c r="S542" s="16">
        <f t="shared" si="37"/>
        <v>54833</v>
      </c>
      <c r="T542" s="13"/>
      <c r="U542" s="5">
        <v>16616</v>
      </c>
      <c r="V542" s="5"/>
      <c r="W542" s="8"/>
    </row>
    <row r="543" spans="1:23" ht="15.6" x14ac:dyDescent="0.3">
      <c r="A543" s="55">
        <v>38400</v>
      </c>
      <c r="B543" s="56">
        <v>1679</v>
      </c>
      <c r="C543" s="56">
        <v>7014</v>
      </c>
      <c r="D543" s="56">
        <v>389</v>
      </c>
      <c r="E543" s="56">
        <v>2704</v>
      </c>
      <c r="F543" s="56">
        <v>1322</v>
      </c>
      <c r="G543" s="56">
        <v>5865</v>
      </c>
      <c r="H543" s="56">
        <v>629</v>
      </c>
      <c r="I543" s="56">
        <v>3737</v>
      </c>
      <c r="J543" s="56">
        <v>112</v>
      </c>
      <c r="K543" s="56">
        <v>466</v>
      </c>
      <c r="L543" s="56">
        <v>4132</v>
      </c>
      <c r="M543" s="56">
        <v>19787</v>
      </c>
      <c r="N543" s="56">
        <v>6996</v>
      </c>
      <c r="O543" s="56">
        <v>21707</v>
      </c>
      <c r="P543" s="56">
        <v>3824</v>
      </c>
      <c r="Q543" s="56">
        <v>20635</v>
      </c>
      <c r="R543" s="16">
        <f t="shared" si="36"/>
        <v>14952</v>
      </c>
      <c r="S543" s="16">
        <f t="shared" si="37"/>
        <v>62129</v>
      </c>
      <c r="T543" s="13"/>
      <c r="U543" s="5">
        <v>14952</v>
      </c>
      <c r="V543" s="5"/>
      <c r="W543" s="8"/>
    </row>
    <row r="544" spans="1:23" ht="15.6" x14ac:dyDescent="0.3">
      <c r="A544" s="55">
        <v>38764</v>
      </c>
      <c r="B544" s="56">
        <v>1668</v>
      </c>
      <c r="C544" s="56">
        <v>8121</v>
      </c>
      <c r="D544" s="56">
        <v>365</v>
      </c>
      <c r="E544" s="56">
        <v>1518</v>
      </c>
      <c r="F544" s="56">
        <v>1125</v>
      </c>
      <c r="G544" s="56">
        <v>5661</v>
      </c>
      <c r="H544" s="56">
        <v>709</v>
      </c>
      <c r="I544" s="56">
        <v>3130</v>
      </c>
      <c r="J544" s="56">
        <v>192</v>
      </c>
      <c r="K544" s="56">
        <v>568</v>
      </c>
      <c r="L544" s="56">
        <v>4059</v>
      </c>
      <c r="M544" s="56">
        <v>18997</v>
      </c>
      <c r="N544" s="56">
        <v>9281</v>
      </c>
      <c r="O544" s="56">
        <v>22380</v>
      </c>
      <c r="P544" s="56">
        <v>3544</v>
      </c>
      <c r="Q544" s="56">
        <v>15690</v>
      </c>
      <c r="R544" s="16">
        <f t="shared" si="36"/>
        <v>16884</v>
      </c>
      <c r="S544" s="16">
        <f t="shared" si="37"/>
        <v>57067</v>
      </c>
      <c r="T544" s="13"/>
      <c r="U544" s="5">
        <v>16884</v>
      </c>
      <c r="V544" s="5"/>
      <c r="W544" s="8"/>
    </row>
    <row r="545" spans="1:23" ht="15.6" x14ac:dyDescent="0.3">
      <c r="A545" s="55">
        <v>38407</v>
      </c>
      <c r="B545" s="56">
        <v>1637</v>
      </c>
      <c r="C545" s="56">
        <v>7219</v>
      </c>
      <c r="D545" s="56">
        <v>328</v>
      </c>
      <c r="E545" s="56">
        <v>2810</v>
      </c>
      <c r="F545" s="56">
        <v>1373</v>
      </c>
      <c r="G545" s="56">
        <v>6020</v>
      </c>
      <c r="H545" s="56">
        <v>485</v>
      </c>
      <c r="I545" s="56">
        <v>3923</v>
      </c>
      <c r="J545" s="56">
        <v>112</v>
      </c>
      <c r="K545" s="56">
        <v>466</v>
      </c>
      <c r="L545" s="56">
        <v>3935</v>
      </c>
      <c r="M545" s="56">
        <v>20437</v>
      </c>
      <c r="N545" s="56">
        <v>6950</v>
      </c>
      <c r="O545" s="56">
        <v>22564</v>
      </c>
      <c r="P545" s="56">
        <v>3691</v>
      </c>
      <c r="Q545" s="56">
        <v>21405</v>
      </c>
      <c r="R545" s="16">
        <f t="shared" si="36"/>
        <v>14576</v>
      </c>
      <c r="S545" s="16">
        <f t="shared" si="37"/>
        <v>64406</v>
      </c>
      <c r="T545" s="13"/>
      <c r="U545" s="5">
        <v>14576</v>
      </c>
      <c r="V545" s="5"/>
      <c r="W545" s="8"/>
    </row>
    <row r="546" spans="1:23" ht="15.6" x14ac:dyDescent="0.3">
      <c r="A546" s="55">
        <v>38771</v>
      </c>
      <c r="B546" s="56">
        <v>1579</v>
      </c>
      <c r="C546" s="56">
        <v>8300</v>
      </c>
      <c r="D546" s="56">
        <v>375</v>
      </c>
      <c r="E546" s="56">
        <v>1545</v>
      </c>
      <c r="F546" s="56">
        <v>1020</v>
      </c>
      <c r="G546" s="56">
        <v>5805</v>
      </c>
      <c r="H546" s="56">
        <v>674</v>
      </c>
      <c r="I546" s="56">
        <v>3178</v>
      </c>
      <c r="J546" s="56">
        <v>156</v>
      </c>
      <c r="K546" s="56">
        <v>584</v>
      </c>
      <c r="L546" s="56">
        <v>3804</v>
      </c>
      <c r="M546" s="56">
        <v>19412</v>
      </c>
      <c r="N546" s="56">
        <v>8935</v>
      </c>
      <c r="O546" s="56">
        <v>23339</v>
      </c>
      <c r="P546" s="56">
        <v>3406</v>
      </c>
      <c r="Q546" s="56">
        <v>16196</v>
      </c>
      <c r="R546" s="16">
        <f t="shared" si="36"/>
        <v>16145</v>
      </c>
      <c r="S546" s="16">
        <f t="shared" si="37"/>
        <v>58947</v>
      </c>
      <c r="T546" s="13"/>
      <c r="U546" s="5">
        <v>16145</v>
      </c>
      <c r="V546" s="5"/>
      <c r="W546" s="8"/>
    </row>
    <row r="547" spans="1:23" ht="15.6" x14ac:dyDescent="0.3">
      <c r="A547" s="55">
        <v>38414</v>
      </c>
      <c r="B547" s="56">
        <v>1556</v>
      </c>
      <c r="C547" s="56">
        <v>7347</v>
      </c>
      <c r="D547" s="56">
        <v>271</v>
      </c>
      <c r="E547" s="56">
        <v>2869</v>
      </c>
      <c r="F547" s="56">
        <v>1400</v>
      </c>
      <c r="G547" s="56">
        <v>6085</v>
      </c>
      <c r="H547" s="56">
        <v>517</v>
      </c>
      <c r="I547" s="56">
        <v>3965</v>
      </c>
      <c r="J547" s="56">
        <v>107</v>
      </c>
      <c r="K547" s="56">
        <v>481</v>
      </c>
      <c r="L547" s="56">
        <v>3851</v>
      </c>
      <c r="M547" s="56">
        <v>20748</v>
      </c>
      <c r="N547" s="56">
        <v>6746</v>
      </c>
      <c r="O547" s="56">
        <v>23502</v>
      </c>
      <c r="P547" s="56">
        <v>3662</v>
      </c>
      <c r="Q547" s="56">
        <v>22116</v>
      </c>
      <c r="R547" s="16">
        <f t="shared" si="36"/>
        <v>14259</v>
      </c>
      <c r="S547" s="16">
        <f t="shared" si="37"/>
        <v>66366</v>
      </c>
      <c r="T547" s="13"/>
      <c r="U547" s="5">
        <v>14259</v>
      </c>
      <c r="V547" s="5"/>
      <c r="W547" s="8"/>
    </row>
    <row r="548" spans="1:23" ht="15.6" x14ac:dyDescent="0.3">
      <c r="A548" s="55">
        <v>38778</v>
      </c>
      <c r="B548" s="56">
        <v>1444</v>
      </c>
      <c r="C548" s="56">
        <v>8548</v>
      </c>
      <c r="D548" s="56">
        <v>368</v>
      </c>
      <c r="E548" s="56">
        <v>1570</v>
      </c>
      <c r="F548" s="56">
        <v>1039</v>
      </c>
      <c r="G548" s="56">
        <v>5895</v>
      </c>
      <c r="H548" s="56">
        <v>686</v>
      </c>
      <c r="I548" s="56">
        <v>3236</v>
      </c>
      <c r="J548" s="56">
        <v>174</v>
      </c>
      <c r="K548" s="56">
        <v>585</v>
      </c>
      <c r="L548" s="56">
        <v>3710</v>
      </c>
      <c r="M548" s="56">
        <v>19834</v>
      </c>
      <c r="N548" s="56">
        <v>9246</v>
      </c>
      <c r="O548" s="56">
        <v>24441</v>
      </c>
      <c r="P548" s="56">
        <v>3134</v>
      </c>
      <c r="Q548" s="56">
        <v>16973</v>
      </c>
      <c r="R548" s="16">
        <f t="shared" si="36"/>
        <v>16090</v>
      </c>
      <c r="S548" s="16">
        <f t="shared" si="37"/>
        <v>61248</v>
      </c>
      <c r="T548" s="13"/>
      <c r="U548" s="5">
        <v>16090</v>
      </c>
      <c r="V548" s="5"/>
      <c r="W548" s="8"/>
    </row>
    <row r="549" spans="1:23" ht="15.6" x14ac:dyDescent="0.3">
      <c r="A549" s="55">
        <v>38421</v>
      </c>
      <c r="B549" s="56">
        <v>1572</v>
      </c>
      <c r="C549" s="56">
        <v>7518</v>
      </c>
      <c r="D549" s="56">
        <v>268</v>
      </c>
      <c r="E549" s="56">
        <v>2907</v>
      </c>
      <c r="F549" s="56">
        <v>1536</v>
      </c>
      <c r="G549" s="56">
        <v>6142</v>
      </c>
      <c r="H549" s="56">
        <v>612</v>
      </c>
      <c r="I549" s="56">
        <v>3987</v>
      </c>
      <c r="J549" s="56">
        <v>79</v>
      </c>
      <c r="K549" s="56">
        <v>527</v>
      </c>
      <c r="L549" s="56">
        <v>4068</v>
      </c>
      <c r="M549" s="56">
        <v>21082</v>
      </c>
      <c r="N549" s="56">
        <v>7002</v>
      </c>
      <c r="O549" s="56">
        <v>24256</v>
      </c>
      <c r="P549" s="56">
        <v>3241</v>
      </c>
      <c r="Q549" s="56">
        <v>23164</v>
      </c>
      <c r="R549" s="16">
        <f t="shared" si="36"/>
        <v>14311</v>
      </c>
      <c r="S549" s="16">
        <f t="shared" si="37"/>
        <v>68502</v>
      </c>
      <c r="T549" s="13"/>
      <c r="U549" s="5">
        <v>14311</v>
      </c>
      <c r="V549" s="5"/>
      <c r="W549" s="8"/>
    </row>
    <row r="550" spans="1:23" ht="15.6" x14ac:dyDescent="0.3">
      <c r="A550" s="55">
        <v>38785</v>
      </c>
      <c r="B550" s="56">
        <v>1324</v>
      </c>
      <c r="C550" s="56">
        <v>8756</v>
      </c>
      <c r="D550" s="56">
        <v>294</v>
      </c>
      <c r="E550" s="56">
        <v>1640</v>
      </c>
      <c r="F550" s="56">
        <v>1042</v>
      </c>
      <c r="G550" s="56">
        <v>6026</v>
      </c>
      <c r="H550" s="56">
        <v>589</v>
      </c>
      <c r="I550" s="56">
        <v>3391</v>
      </c>
      <c r="J550" s="56">
        <v>225</v>
      </c>
      <c r="K550" s="56">
        <v>594</v>
      </c>
      <c r="L550" s="56">
        <v>3474</v>
      </c>
      <c r="M550" s="56">
        <v>20408</v>
      </c>
      <c r="N550" s="56">
        <v>9443</v>
      </c>
      <c r="O550" s="56">
        <v>25213</v>
      </c>
      <c r="P550" s="56">
        <v>2675</v>
      </c>
      <c r="Q550" s="56">
        <v>17813</v>
      </c>
      <c r="R550" s="16">
        <f t="shared" si="36"/>
        <v>15592</v>
      </c>
      <c r="S550" s="16">
        <f t="shared" si="37"/>
        <v>63434</v>
      </c>
      <c r="T550" s="13"/>
      <c r="U550" s="5">
        <v>15592</v>
      </c>
      <c r="V550" s="5"/>
      <c r="W550" s="8"/>
    </row>
    <row r="551" spans="1:23" ht="15.6" x14ac:dyDescent="0.3">
      <c r="A551" s="55">
        <v>38428</v>
      </c>
      <c r="B551" s="56">
        <v>1576</v>
      </c>
      <c r="C551" s="56">
        <v>7728</v>
      </c>
      <c r="D551" s="56">
        <v>241</v>
      </c>
      <c r="E551" s="56">
        <v>2946</v>
      </c>
      <c r="F551" s="56">
        <v>1343</v>
      </c>
      <c r="G551" s="56">
        <v>6366</v>
      </c>
      <c r="H551" s="56">
        <v>499</v>
      </c>
      <c r="I551" s="56">
        <v>4106</v>
      </c>
      <c r="J551" s="56">
        <v>110</v>
      </c>
      <c r="K551" s="56">
        <v>556</v>
      </c>
      <c r="L551" s="56">
        <v>3769</v>
      </c>
      <c r="M551" s="56">
        <v>21702</v>
      </c>
      <c r="N551" s="56">
        <v>7291</v>
      </c>
      <c r="O551" s="56">
        <v>24894</v>
      </c>
      <c r="P551" s="56">
        <v>3046</v>
      </c>
      <c r="Q551" s="56">
        <v>23694</v>
      </c>
      <c r="R551" s="16">
        <f t="shared" si="36"/>
        <v>14106</v>
      </c>
      <c r="S551" s="16">
        <f t="shared" si="37"/>
        <v>70290</v>
      </c>
      <c r="T551" s="13"/>
      <c r="U551" s="5">
        <v>14106</v>
      </c>
      <c r="V551" s="5"/>
      <c r="W551" s="8"/>
    </row>
    <row r="552" spans="1:23" ht="15.6" x14ac:dyDescent="0.3">
      <c r="A552" s="55">
        <v>38792</v>
      </c>
      <c r="B552" s="56">
        <v>1169</v>
      </c>
      <c r="C552" s="56">
        <v>8949</v>
      </c>
      <c r="D552" s="56">
        <v>288</v>
      </c>
      <c r="E552" s="56">
        <v>1677</v>
      </c>
      <c r="F552" s="56">
        <v>1094</v>
      </c>
      <c r="G552" s="56">
        <v>6143</v>
      </c>
      <c r="H552" s="56">
        <v>737</v>
      </c>
      <c r="I552" s="56">
        <v>3425</v>
      </c>
      <c r="J552" s="56">
        <v>224</v>
      </c>
      <c r="K552" s="56">
        <v>607</v>
      </c>
      <c r="L552" s="56">
        <v>3512</v>
      </c>
      <c r="M552" s="56">
        <v>20802</v>
      </c>
      <c r="N552" s="56">
        <v>9141</v>
      </c>
      <c r="O552" s="56">
        <v>26426</v>
      </c>
      <c r="P552" s="56">
        <v>2368</v>
      </c>
      <c r="Q552" s="56">
        <v>18533</v>
      </c>
      <c r="R552" s="16">
        <f t="shared" si="36"/>
        <v>15021</v>
      </c>
      <c r="S552" s="16">
        <f t="shared" si="37"/>
        <v>65761</v>
      </c>
      <c r="T552" s="13"/>
      <c r="U552" s="5">
        <v>15021</v>
      </c>
      <c r="V552" s="5"/>
      <c r="W552" s="8"/>
    </row>
    <row r="553" spans="1:23" ht="15.6" x14ac:dyDescent="0.3">
      <c r="A553" s="55">
        <v>38435</v>
      </c>
      <c r="B553" s="56">
        <v>1436</v>
      </c>
      <c r="C553" s="56">
        <v>7997</v>
      </c>
      <c r="D553" s="56">
        <v>226</v>
      </c>
      <c r="E553" s="56">
        <v>2983</v>
      </c>
      <c r="F553" s="56">
        <v>1298</v>
      </c>
      <c r="G553" s="56">
        <v>6519</v>
      </c>
      <c r="H553" s="56">
        <v>553</v>
      </c>
      <c r="I553" s="56">
        <v>4158</v>
      </c>
      <c r="J553" s="56">
        <v>98</v>
      </c>
      <c r="K553" s="56">
        <v>569</v>
      </c>
      <c r="L553" s="56">
        <v>3611</v>
      </c>
      <c r="M553" s="56">
        <v>22226</v>
      </c>
      <c r="N553" s="56">
        <v>7636</v>
      </c>
      <c r="O553" s="56">
        <v>25690</v>
      </c>
      <c r="P553" s="56">
        <v>2790</v>
      </c>
      <c r="Q553" s="56">
        <v>24248</v>
      </c>
      <c r="R553" s="16">
        <f t="shared" si="36"/>
        <v>14037</v>
      </c>
      <c r="S553" s="16">
        <f t="shared" si="37"/>
        <v>72164</v>
      </c>
      <c r="U553" s="5">
        <v>14037</v>
      </c>
    </row>
    <row r="554" spans="1:23" ht="15.6" x14ac:dyDescent="0.3">
      <c r="A554" s="55">
        <v>38799</v>
      </c>
      <c r="B554" s="56">
        <v>1325</v>
      </c>
      <c r="C554" s="56">
        <v>9097</v>
      </c>
      <c r="D554" s="56">
        <v>278</v>
      </c>
      <c r="E554" s="56">
        <v>1711</v>
      </c>
      <c r="F554" s="56">
        <v>1056</v>
      </c>
      <c r="G554" s="56">
        <v>6248</v>
      </c>
      <c r="H554" s="56">
        <v>681</v>
      </c>
      <c r="I554" s="56">
        <v>3571</v>
      </c>
      <c r="J554" s="56">
        <v>231</v>
      </c>
      <c r="K554" s="56">
        <v>624</v>
      </c>
      <c r="L554" s="56">
        <v>3571</v>
      </c>
      <c r="M554" s="56">
        <v>21251</v>
      </c>
      <c r="N554" s="56">
        <v>9285</v>
      </c>
      <c r="O554" s="56">
        <v>27321</v>
      </c>
      <c r="P554" s="56">
        <v>1898</v>
      </c>
      <c r="Q554" s="56">
        <v>19044</v>
      </c>
      <c r="R554" s="16">
        <f t="shared" si="36"/>
        <v>14754</v>
      </c>
      <c r="S554" s="16">
        <f t="shared" si="37"/>
        <v>67616</v>
      </c>
      <c r="U554" s="5">
        <v>14754</v>
      </c>
    </row>
    <row r="555" spans="1:23" ht="15.6" x14ac:dyDescent="0.3">
      <c r="A555" s="10">
        <v>38442</v>
      </c>
      <c r="B555" s="6">
        <v>1367</v>
      </c>
      <c r="C555" s="6">
        <v>8124</v>
      </c>
      <c r="D555" s="6">
        <v>231</v>
      </c>
      <c r="E555" s="6">
        <v>2997</v>
      </c>
      <c r="F555" s="6">
        <v>1291</v>
      </c>
      <c r="G555" s="6">
        <v>6614</v>
      </c>
      <c r="H555" s="6">
        <v>556</v>
      </c>
      <c r="I555" s="6">
        <v>4195</v>
      </c>
      <c r="J555" s="6">
        <v>73</v>
      </c>
      <c r="K555" s="6">
        <v>594</v>
      </c>
      <c r="L555" s="6">
        <v>3519</v>
      </c>
      <c r="M555" s="6">
        <v>22524</v>
      </c>
      <c r="N555" s="6">
        <v>7395</v>
      </c>
      <c r="O555" s="6">
        <v>26592</v>
      </c>
      <c r="P555" s="6">
        <v>2640</v>
      </c>
      <c r="Q555" s="6">
        <v>24733</v>
      </c>
      <c r="R555" s="16">
        <f t="shared" si="36"/>
        <v>13554</v>
      </c>
      <c r="S555" s="16">
        <f t="shared" si="37"/>
        <v>73849</v>
      </c>
      <c r="U555" s="5">
        <v>13554</v>
      </c>
    </row>
    <row r="556" spans="1:23" ht="15.6" x14ac:dyDescent="0.3">
      <c r="A556" s="10">
        <v>38806</v>
      </c>
      <c r="B556" s="6">
        <v>1365</v>
      </c>
      <c r="C556" s="6">
        <v>9229</v>
      </c>
      <c r="D556" s="6">
        <v>285</v>
      </c>
      <c r="E556" s="6">
        <v>1720</v>
      </c>
      <c r="F556" s="6">
        <v>1004</v>
      </c>
      <c r="G556" s="6">
        <v>6351</v>
      </c>
      <c r="H556" s="6">
        <v>641</v>
      </c>
      <c r="I556" s="6">
        <v>3622</v>
      </c>
      <c r="J556" s="6">
        <v>234</v>
      </c>
      <c r="K556" s="6">
        <v>645</v>
      </c>
      <c r="L556" s="6">
        <v>3528</v>
      </c>
      <c r="M556" s="6">
        <v>21566</v>
      </c>
      <c r="N556" s="6">
        <v>8755</v>
      </c>
      <c r="O556" s="6">
        <v>28511</v>
      </c>
      <c r="P556" s="6">
        <v>1786</v>
      </c>
      <c r="Q556" s="6">
        <v>19511</v>
      </c>
      <c r="R556" s="16">
        <f t="shared" si="36"/>
        <v>14069</v>
      </c>
      <c r="S556" s="16">
        <f t="shared" si="37"/>
        <v>69588</v>
      </c>
      <c r="U556" s="5">
        <v>14069</v>
      </c>
    </row>
    <row r="557" spans="1:23" ht="15.6" x14ac:dyDescent="0.3">
      <c r="A557" s="10">
        <v>38449</v>
      </c>
      <c r="B557" s="6">
        <v>1394</v>
      </c>
      <c r="C557" s="6">
        <v>8268</v>
      </c>
      <c r="D557" s="6">
        <v>216</v>
      </c>
      <c r="E557" s="6">
        <v>3041</v>
      </c>
      <c r="F557" s="6">
        <v>1194</v>
      </c>
      <c r="G557" s="6">
        <v>6809</v>
      </c>
      <c r="H557" s="6">
        <v>573</v>
      </c>
      <c r="I557" s="6">
        <v>4270</v>
      </c>
      <c r="J557" s="6">
        <v>63</v>
      </c>
      <c r="K557" s="6">
        <v>604</v>
      </c>
      <c r="L557" s="6">
        <v>3440</v>
      </c>
      <c r="M557" s="6">
        <v>22991</v>
      </c>
      <c r="N557" s="6">
        <v>7576</v>
      </c>
      <c r="O557" s="6">
        <v>27326</v>
      </c>
      <c r="P557" s="6">
        <v>2460</v>
      </c>
      <c r="Q557" s="6">
        <v>25032</v>
      </c>
      <c r="R557" s="16">
        <f t="shared" si="36"/>
        <v>13476</v>
      </c>
      <c r="S557" s="16">
        <f t="shared" si="37"/>
        <v>75349</v>
      </c>
      <c r="U557" s="5">
        <v>13476</v>
      </c>
    </row>
    <row r="558" spans="1:23" ht="15.6" x14ac:dyDescent="0.3">
      <c r="A558" s="10">
        <v>38813</v>
      </c>
      <c r="B558" s="6">
        <v>1316</v>
      </c>
      <c r="C558" s="6">
        <v>9412</v>
      </c>
      <c r="D558" s="6">
        <v>291</v>
      </c>
      <c r="E558" s="6">
        <v>1749</v>
      </c>
      <c r="F558" s="6">
        <v>979</v>
      </c>
      <c r="G558" s="6">
        <v>6439</v>
      </c>
      <c r="H558" s="6">
        <v>633</v>
      </c>
      <c r="I558" s="6">
        <v>3643</v>
      </c>
      <c r="J558" s="6">
        <v>221</v>
      </c>
      <c r="K558" s="6">
        <v>670</v>
      </c>
      <c r="L558" s="6">
        <v>3438</v>
      </c>
      <c r="M558" s="6">
        <v>21914</v>
      </c>
      <c r="N558" s="6">
        <v>8687</v>
      </c>
      <c r="O558" s="6">
        <v>29393</v>
      </c>
      <c r="P558" s="6">
        <v>1942</v>
      </c>
      <c r="Q558" s="6">
        <v>19698</v>
      </c>
      <c r="R558" s="16">
        <f t="shared" si="36"/>
        <v>14067</v>
      </c>
      <c r="S558" s="16">
        <f t="shared" si="37"/>
        <v>71005</v>
      </c>
      <c r="U558" s="5">
        <v>14067</v>
      </c>
    </row>
    <row r="559" spans="1:23" ht="15.6" x14ac:dyDescent="0.3">
      <c r="A559" s="10">
        <v>38456</v>
      </c>
      <c r="B559" s="6">
        <v>1358</v>
      </c>
      <c r="C559" s="6">
        <v>8364</v>
      </c>
      <c r="D559" s="6">
        <v>189</v>
      </c>
      <c r="E559" s="6">
        <v>3076</v>
      </c>
      <c r="F559" s="6">
        <v>1273</v>
      </c>
      <c r="G559" s="6">
        <v>6928</v>
      </c>
      <c r="H559" s="6">
        <v>489</v>
      </c>
      <c r="I559" s="6">
        <v>4386</v>
      </c>
      <c r="J559" s="6">
        <v>130</v>
      </c>
      <c r="K559" s="6">
        <v>604</v>
      </c>
      <c r="L559" s="6">
        <v>3438</v>
      </c>
      <c r="M559" s="6">
        <v>23357</v>
      </c>
      <c r="N559" s="6">
        <v>7394</v>
      </c>
      <c r="O559" s="6">
        <v>28177</v>
      </c>
      <c r="P559" s="6">
        <v>2166</v>
      </c>
      <c r="Q559" s="6">
        <v>25484</v>
      </c>
      <c r="R559" s="16">
        <f t="shared" si="36"/>
        <v>12998</v>
      </c>
      <c r="S559" s="16">
        <f t="shared" si="37"/>
        <v>77018</v>
      </c>
      <c r="U559" s="5">
        <v>12998</v>
      </c>
    </row>
    <row r="560" spans="1:23" ht="15.6" x14ac:dyDescent="0.3">
      <c r="A560" s="10">
        <v>38820</v>
      </c>
      <c r="B560" s="6">
        <v>1300</v>
      </c>
      <c r="C560" s="6">
        <v>9498</v>
      </c>
      <c r="D560" s="6">
        <v>269</v>
      </c>
      <c r="E560" s="6">
        <v>1789</v>
      </c>
      <c r="F560" s="6">
        <v>1029</v>
      </c>
      <c r="G560" s="6">
        <v>6513</v>
      </c>
      <c r="H560" s="6">
        <v>611</v>
      </c>
      <c r="I560" s="6">
        <v>3673</v>
      </c>
      <c r="J560" s="6">
        <v>220</v>
      </c>
      <c r="K560" s="6">
        <v>670</v>
      </c>
      <c r="L560" s="6">
        <v>3430</v>
      </c>
      <c r="M560" s="6">
        <v>22133</v>
      </c>
      <c r="N560" s="6">
        <v>8888</v>
      </c>
      <c r="O560" s="6">
        <v>30295</v>
      </c>
      <c r="P560" s="6">
        <v>1848</v>
      </c>
      <c r="Q560" s="6">
        <v>19987</v>
      </c>
      <c r="R560" s="16">
        <f t="shared" si="36"/>
        <v>14166</v>
      </c>
      <c r="S560" s="16">
        <f t="shared" si="37"/>
        <v>72415</v>
      </c>
      <c r="U560" s="5">
        <v>14166</v>
      </c>
    </row>
    <row r="561" spans="1:21" ht="15.6" x14ac:dyDescent="0.3">
      <c r="A561" s="10">
        <v>38463</v>
      </c>
      <c r="B561" s="6">
        <v>1282</v>
      </c>
      <c r="C561" s="6">
        <v>8533</v>
      </c>
      <c r="D561" s="6">
        <v>172</v>
      </c>
      <c r="E561" s="6">
        <v>3101</v>
      </c>
      <c r="F561" s="6">
        <v>1333</v>
      </c>
      <c r="G561" s="6">
        <v>7102</v>
      </c>
      <c r="H561" s="6">
        <v>506</v>
      </c>
      <c r="I561" s="6">
        <v>4422</v>
      </c>
      <c r="J561" s="6">
        <v>135</v>
      </c>
      <c r="K561" s="6">
        <v>621</v>
      </c>
      <c r="L561" s="6">
        <v>3427</v>
      </c>
      <c r="M561" s="6">
        <v>23779</v>
      </c>
      <c r="N561" s="6">
        <v>6885</v>
      </c>
      <c r="O561" s="6">
        <v>29178</v>
      </c>
      <c r="P561" s="6">
        <v>1953</v>
      </c>
      <c r="Q561" s="6">
        <v>25945</v>
      </c>
      <c r="R561" s="16">
        <f t="shared" si="36"/>
        <v>12265</v>
      </c>
      <c r="S561" s="16">
        <f t="shared" si="37"/>
        <v>78902</v>
      </c>
      <c r="U561" s="5">
        <v>12265</v>
      </c>
    </row>
    <row r="562" spans="1:21" ht="15.6" x14ac:dyDescent="0.3">
      <c r="A562" s="10">
        <v>38827</v>
      </c>
      <c r="B562" s="6">
        <v>1177</v>
      </c>
      <c r="C562" s="6">
        <v>9662</v>
      </c>
      <c r="D562" s="6">
        <v>262</v>
      </c>
      <c r="E562" s="6">
        <v>1798</v>
      </c>
      <c r="F562" s="6">
        <v>949</v>
      </c>
      <c r="G562" s="6">
        <v>6637</v>
      </c>
      <c r="H562" s="6">
        <v>537</v>
      </c>
      <c r="I562" s="6">
        <v>3775</v>
      </c>
      <c r="J562" s="6">
        <v>152</v>
      </c>
      <c r="K562" s="6">
        <v>777</v>
      </c>
      <c r="L562" s="6">
        <v>3076</v>
      </c>
      <c r="M562" s="6">
        <v>22649</v>
      </c>
      <c r="N562" s="6">
        <v>8475</v>
      </c>
      <c r="O562" s="6">
        <v>31477</v>
      </c>
      <c r="P562" s="6">
        <v>1687</v>
      </c>
      <c r="Q562" s="6">
        <v>20260</v>
      </c>
      <c r="R562" s="16">
        <f t="shared" si="36"/>
        <v>13238</v>
      </c>
      <c r="S562" s="16">
        <f t="shared" si="37"/>
        <v>74386</v>
      </c>
      <c r="U562" s="5">
        <v>13238</v>
      </c>
    </row>
    <row r="563" spans="1:21" ht="15.6" x14ac:dyDescent="0.3">
      <c r="A563" s="10">
        <v>38470</v>
      </c>
      <c r="B563" s="6">
        <v>1115</v>
      </c>
      <c r="C563" s="6">
        <v>8774</v>
      </c>
      <c r="D563" s="6">
        <v>133</v>
      </c>
      <c r="E563" s="6">
        <v>3161</v>
      </c>
      <c r="F563" s="6">
        <v>1217</v>
      </c>
      <c r="G563" s="6">
        <v>7257</v>
      </c>
      <c r="H563" s="6">
        <v>517</v>
      </c>
      <c r="I563" s="6">
        <v>4518</v>
      </c>
      <c r="J563" s="6">
        <v>123</v>
      </c>
      <c r="K563" s="6">
        <v>635</v>
      </c>
      <c r="L563" s="6">
        <v>3106</v>
      </c>
      <c r="M563" s="6">
        <v>24346</v>
      </c>
      <c r="N563" s="6">
        <v>6566</v>
      </c>
      <c r="O563" s="6">
        <v>30121</v>
      </c>
      <c r="P563" s="6">
        <v>1738</v>
      </c>
      <c r="Q563" s="6">
        <v>26487</v>
      </c>
      <c r="R563" s="16">
        <f t="shared" si="36"/>
        <v>11410</v>
      </c>
      <c r="S563" s="16">
        <f t="shared" si="37"/>
        <v>80954</v>
      </c>
      <c r="U563" s="5">
        <v>11410</v>
      </c>
    </row>
    <row r="564" spans="1:21" ht="15.6" x14ac:dyDescent="0.3">
      <c r="A564" s="10">
        <v>38834</v>
      </c>
      <c r="B564" s="6">
        <v>1066</v>
      </c>
      <c r="C564" s="6">
        <v>9807</v>
      </c>
      <c r="D564" s="6">
        <v>282</v>
      </c>
      <c r="E564" s="6">
        <v>1841</v>
      </c>
      <c r="F564" s="6">
        <v>912</v>
      </c>
      <c r="G564" s="6">
        <v>6793</v>
      </c>
      <c r="H564" s="6">
        <v>436</v>
      </c>
      <c r="I564" s="6">
        <v>4016</v>
      </c>
      <c r="J564" s="6">
        <v>163</v>
      </c>
      <c r="K564" s="6">
        <v>777</v>
      </c>
      <c r="L564" s="6">
        <v>2859</v>
      </c>
      <c r="M564" s="6">
        <v>23233</v>
      </c>
      <c r="N564" s="6">
        <v>8703</v>
      </c>
      <c r="O564" s="6">
        <v>32532</v>
      </c>
      <c r="P564" s="6">
        <v>1509</v>
      </c>
      <c r="Q564" s="6">
        <v>20620</v>
      </c>
      <c r="R564" s="16">
        <f t="shared" si="36"/>
        <v>13071</v>
      </c>
      <c r="S564" s="16">
        <f t="shared" si="37"/>
        <v>76385</v>
      </c>
      <c r="U564" s="5">
        <v>13071</v>
      </c>
    </row>
    <row r="565" spans="1:21" ht="15.6" x14ac:dyDescent="0.3">
      <c r="A565" s="10">
        <v>38477</v>
      </c>
      <c r="B565" s="6">
        <v>1052</v>
      </c>
      <c r="C565" s="6">
        <v>8880</v>
      </c>
      <c r="D565" s="6">
        <v>125</v>
      </c>
      <c r="E565" s="6">
        <v>3170</v>
      </c>
      <c r="F565" s="6">
        <v>1087</v>
      </c>
      <c r="G565" s="6">
        <v>7465</v>
      </c>
      <c r="H565" s="6">
        <v>489</v>
      </c>
      <c r="I565" s="6">
        <v>4568</v>
      </c>
      <c r="J565" s="6">
        <v>121</v>
      </c>
      <c r="K565" s="6">
        <v>637</v>
      </c>
      <c r="L565" s="6">
        <v>2874</v>
      </c>
      <c r="M565" s="6">
        <v>24719</v>
      </c>
      <c r="N565" s="6">
        <v>7098</v>
      </c>
      <c r="O565" s="6">
        <v>30979</v>
      </c>
      <c r="P565" s="6">
        <v>1682</v>
      </c>
      <c r="Q565" s="6">
        <v>26709</v>
      </c>
      <c r="R565" s="16">
        <f t="shared" si="36"/>
        <v>11654</v>
      </c>
      <c r="S565" s="16">
        <f t="shared" si="37"/>
        <v>82407</v>
      </c>
      <c r="U565" s="5">
        <v>11654</v>
      </c>
    </row>
    <row r="566" spans="1:21" ht="15.6" x14ac:dyDescent="0.3">
      <c r="A566" s="10">
        <v>38841</v>
      </c>
      <c r="B566" s="6">
        <v>882</v>
      </c>
      <c r="C566" s="6">
        <v>9939</v>
      </c>
      <c r="D566" s="6">
        <v>305</v>
      </c>
      <c r="E566" s="6">
        <v>1875</v>
      </c>
      <c r="F566" s="6">
        <v>794</v>
      </c>
      <c r="G566" s="6">
        <v>6870</v>
      </c>
      <c r="H566" s="6">
        <v>477</v>
      </c>
      <c r="I566" s="6">
        <v>4032</v>
      </c>
      <c r="J566" s="6">
        <v>122</v>
      </c>
      <c r="K566" s="6">
        <v>830</v>
      </c>
      <c r="L566" s="6">
        <v>2579</v>
      </c>
      <c r="M566" s="6">
        <v>23547</v>
      </c>
      <c r="N566" s="6">
        <v>8703</v>
      </c>
      <c r="O566" s="6">
        <v>33638</v>
      </c>
      <c r="P566" s="6">
        <v>1634</v>
      </c>
      <c r="Q566" s="6">
        <v>20884</v>
      </c>
      <c r="R566" s="16">
        <f t="shared" si="36"/>
        <v>12916</v>
      </c>
      <c r="S566" s="16">
        <f t="shared" si="37"/>
        <v>78069</v>
      </c>
      <c r="U566" s="5">
        <v>12916</v>
      </c>
    </row>
    <row r="567" spans="1:21" ht="15.6" x14ac:dyDescent="0.3">
      <c r="A567" s="10">
        <v>38484</v>
      </c>
      <c r="B567" s="6">
        <v>788</v>
      </c>
      <c r="C567" s="6">
        <v>9047</v>
      </c>
      <c r="D567" s="6">
        <v>121</v>
      </c>
      <c r="E567" s="6">
        <v>3185</v>
      </c>
      <c r="F567" s="6">
        <v>824</v>
      </c>
      <c r="G567" s="6">
        <v>7670</v>
      </c>
      <c r="H567" s="6">
        <v>352</v>
      </c>
      <c r="I567" s="6">
        <v>4651</v>
      </c>
      <c r="J567" s="6">
        <v>104</v>
      </c>
      <c r="K567" s="6">
        <v>640</v>
      </c>
      <c r="L567" s="6">
        <v>2188</v>
      </c>
      <c r="M567" s="6">
        <v>25191</v>
      </c>
      <c r="N567" s="6">
        <v>7136</v>
      </c>
      <c r="O567" s="6">
        <v>31794</v>
      </c>
      <c r="P567" s="6">
        <v>1714</v>
      </c>
      <c r="Q567" s="6">
        <v>27054</v>
      </c>
      <c r="R567" s="16">
        <f t="shared" si="36"/>
        <v>11038</v>
      </c>
      <c r="S567" s="16">
        <f t="shared" si="37"/>
        <v>84039</v>
      </c>
      <c r="U567" s="5">
        <v>11038</v>
      </c>
    </row>
    <row r="568" spans="1:21" ht="15.6" x14ac:dyDescent="0.3">
      <c r="A568" s="10">
        <v>38848</v>
      </c>
      <c r="B568" s="6">
        <v>843</v>
      </c>
      <c r="C568" s="6">
        <v>10072</v>
      </c>
      <c r="D568" s="6">
        <v>283</v>
      </c>
      <c r="E568" s="6">
        <v>1925</v>
      </c>
      <c r="F568" s="6">
        <v>645</v>
      </c>
      <c r="G568" s="6">
        <v>7022</v>
      </c>
      <c r="H568" s="6">
        <v>417</v>
      </c>
      <c r="I568" s="6">
        <v>4073</v>
      </c>
      <c r="J568" s="6">
        <v>86</v>
      </c>
      <c r="K568" s="6">
        <v>859</v>
      </c>
      <c r="L568" s="6">
        <v>2274</v>
      </c>
      <c r="M568" s="6">
        <v>23951</v>
      </c>
      <c r="N568" s="6">
        <v>9157</v>
      </c>
      <c r="O568" s="6">
        <v>34723</v>
      </c>
      <c r="P568" s="6">
        <v>1764</v>
      </c>
      <c r="Q568" s="6">
        <v>21086</v>
      </c>
      <c r="R568" s="16">
        <f t="shared" si="36"/>
        <v>13195</v>
      </c>
      <c r="S568" s="16">
        <f t="shared" si="37"/>
        <v>79760</v>
      </c>
      <c r="U568" s="5">
        <v>13195</v>
      </c>
    </row>
    <row r="569" spans="1:21" ht="15.6" x14ac:dyDescent="0.3">
      <c r="A569" s="10">
        <v>38491</v>
      </c>
      <c r="B569" s="6">
        <v>698</v>
      </c>
      <c r="C569" s="6">
        <v>9177</v>
      </c>
      <c r="D569" s="6">
        <v>99</v>
      </c>
      <c r="E569" s="6">
        <v>3210</v>
      </c>
      <c r="F569" s="6">
        <v>703</v>
      </c>
      <c r="G569" s="6">
        <v>7796</v>
      </c>
      <c r="H569" s="6">
        <v>261</v>
      </c>
      <c r="I569" s="6">
        <v>4707</v>
      </c>
      <c r="J569" s="6">
        <v>104</v>
      </c>
      <c r="K569" s="6">
        <v>640</v>
      </c>
      <c r="L569" s="6">
        <v>1865</v>
      </c>
      <c r="M569" s="6">
        <v>25531</v>
      </c>
      <c r="N569" s="6">
        <v>6734</v>
      </c>
      <c r="O569" s="6">
        <v>32747</v>
      </c>
      <c r="P569" s="6">
        <v>1652</v>
      </c>
      <c r="Q569" s="6">
        <v>27382</v>
      </c>
      <c r="R569" s="16">
        <f t="shared" si="36"/>
        <v>10251</v>
      </c>
      <c r="S569" s="16">
        <f t="shared" si="37"/>
        <v>85660</v>
      </c>
      <c r="U569" s="5">
        <v>10251</v>
      </c>
    </row>
    <row r="570" spans="1:21" ht="15.6" x14ac:dyDescent="0.3">
      <c r="A570" s="10">
        <v>38855</v>
      </c>
      <c r="B570" s="6">
        <v>678</v>
      </c>
      <c r="C570" s="6">
        <v>10253</v>
      </c>
      <c r="D570" s="6">
        <v>244</v>
      </c>
      <c r="E570" s="6">
        <v>1979</v>
      </c>
      <c r="F570" s="6">
        <v>518</v>
      </c>
      <c r="G570" s="6">
        <v>7142</v>
      </c>
      <c r="H570" s="6">
        <v>347</v>
      </c>
      <c r="I570" s="6">
        <v>4122</v>
      </c>
      <c r="J570" s="6">
        <v>35</v>
      </c>
      <c r="K570" s="6">
        <v>912</v>
      </c>
      <c r="L570" s="6">
        <v>1821</v>
      </c>
      <c r="M570" s="6">
        <v>24408</v>
      </c>
      <c r="N570" s="6">
        <v>8816</v>
      </c>
      <c r="O570" s="6">
        <v>36201</v>
      </c>
      <c r="P570" s="6">
        <v>1818</v>
      </c>
      <c r="Q570" s="6">
        <v>21266</v>
      </c>
      <c r="R570" s="16">
        <f t="shared" si="36"/>
        <v>12455</v>
      </c>
      <c r="S570" s="16">
        <f t="shared" si="37"/>
        <v>81875</v>
      </c>
      <c r="U570" s="5">
        <v>12455</v>
      </c>
    </row>
    <row r="571" spans="1:21" ht="15.6" x14ac:dyDescent="0.3">
      <c r="A571" s="10">
        <v>38498</v>
      </c>
      <c r="B571" s="6">
        <v>491</v>
      </c>
      <c r="C571" s="6">
        <v>9407</v>
      </c>
      <c r="D571" s="6">
        <v>94</v>
      </c>
      <c r="E571" s="6">
        <v>3217</v>
      </c>
      <c r="F571" s="6">
        <v>515</v>
      </c>
      <c r="G571" s="6">
        <v>8033</v>
      </c>
      <c r="H571" s="6">
        <v>194</v>
      </c>
      <c r="I571" s="6">
        <v>4773</v>
      </c>
      <c r="J571" s="6">
        <v>57</v>
      </c>
      <c r="K571" s="6">
        <v>686</v>
      </c>
      <c r="L571" s="6">
        <v>1351</v>
      </c>
      <c r="M571" s="6">
        <v>26117</v>
      </c>
      <c r="N571" s="6">
        <v>6668</v>
      </c>
      <c r="O571" s="6">
        <v>33557</v>
      </c>
      <c r="P571" s="6">
        <v>1562</v>
      </c>
      <c r="Q571" s="6">
        <v>27667</v>
      </c>
      <c r="R571" s="16">
        <f t="shared" si="36"/>
        <v>9581</v>
      </c>
      <c r="S571" s="16">
        <f t="shared" si="37"/>
        <v>87341</v>
      </c>
      <c r="U571" s="5">
        <v>9581</v>
      </c>
    </row>
    <row r="572" spans="1:21" ht="15.6" x14ac:dyDescent="0.3">
      <c r="A572" s="10">
        <v>38862</v>
      </c>
      <c r="B572" s="6">
        <v>473</v>
      </c>
      <c r="C572" s="78">
        <v>10459</v>
      </c>
      <c r="D572" s="6">
        <v>167</v>
      </c>
      <c r="E572" s="6">
        <v>2037</v>
      </c>
      <c r="F572" s="6">
        <v>380</v>
      </c>
      <c r="G572" s="6">
        <v>7244</v>
      </c>
      <c r="H572" s="6">
        <v>312</v>
      </c>
      <c r="I572" s="6">
        <v>4159</v>
      </c>
      <c r="J572" s="6">
        <v>9</v>
      </c>
      <c r="K572" s="6">
        <v>930</v>
      </c>
      <c r="L572" s="6">
        <v>1341</v>
      </c>
      <c r="M572" s="6">
        <v>24828</v>
      </c>
      <c r="N572" s="6">
        <v>8717</v>
      </c>
      <c r="O572" s="6">
        <v>37455</v>
      </c>
      <c r="P572" s="6">
        <v>1809</v>
      </c>
      <c r="Q572" s="6">
        <v>21622</v>
      </c>
      <c r="R572" s="16">
        <f t="shared" si="36"/>
        <v>11867</v>
      </c>
      <c r="S572" s="16">
        <f t="shared" si="37"/>
        <v>83905</v>
      </c>
      <c r="U572" s="5">
        <v>11867</v>
      </c>
    </row>
    <row r="573" spans="1:21" ht="15.6" x14ac:dyDescent="0.3">
      <c r="A573" s="10">
        <v>38505</v>
      </c>
      <c r="B573" s="6">
        <v>1465</v>
      </c>
      <c r="C573" s="6">
        <v>48</v>
      </c>
      <c r="D573" s="6">
        <v>354</v>
      </c>
      <c r="E573" s="6">
        <v>5</v>
      </c>
      <c r="F573" s="6">
        <v>1279</v>
      </c>
      <c r="G573" s="6">
        <v>32</v>
      </c>
      <c r="H573" s="6">
        <v>427</v>
      </c>
      <c r="I573" s="6">
        <v>21</v>
      </c>
      <c r="J573" s="6">
        <v>124</v>
      </c>
      <c r="K573" s="6">
        <v>0</v>
      </c>
      <c r="L573" s="6">
        <v>3649</v>
      </c>
      <c r="M573" s="6">
        <v>105</v>
      </c>
      <c r="N573" s="6">
        <v>6386</v>
      </c>
      <c r="O573" s="6">
        <v>34401</v>
      </c>
      <c r="P573" s="6">
        <v>1522</v>
      </c>
      <c r="Q573" s="6">
        <v>27793</v>
      </c>
      <c r="R573" s="16">
        <f t="shared" si="36"/>
        <v>11557</v>
      </c>
      <c r="S573" s="16">
        <f t="shared" si="37"/>
        <v>62299</v>
      </c>
      <c r="U573" s="5">
        <v>11557</v>
      </c>
    </row>
    <row r="574" spans="1:21" ht="15.6" x14ac:dyDescent="0.3">
      <c r="A574" s="10">
        <v>38869</v>
      </c>
      <c r="B574" s="6">
        <v>969</v>
      </c>
      <c r="C574" s="6">
        <v>31</v>
      </c>
      <c r="D574" s="6">
        <v>504</v>
      </c>
      <c r="E574" s="6">
        <v>0</v>
      </c>
      <c r="F574" s="6">
        <v>1192</v>
      </c>
      <c r="G574" s="6">
        <v>2</v>
      </c>
      <c r="H574" s="6">
        <v>761</v>
      </c>
      <c r="I574" s="6">
        <v>4</v>
      </c>
      <c r="J574" s="6">
        <v>225</v>
      </c>
      <c r="K574" s="6">
        <v>0</v>
      </c>
      <c r="L574" s="6">
        <v>3651</v>
      </c>
      <c r="M574" s="6">
        <v>36</v>
      </c>
      <c r="N574" s="6">
        <v>8420</v>
      </c>
      <c r="O574" s="6">
        <v>38619</v>
      </c>
      <c r="P574" s="6">
        <v>1733</v>
      </c>
      <c r="Q574" s="6">
        <v>21878</v>
      </c>
      <c r="R574" s="16">
        <f t="shared" si="36"/>
        <v>13804</v>
      </c>
      <c r="S574" s="16">
        <f t="shared" si="37"/>
        <v>60533</v>
      </c>
      <c r="U574" s="5">
        <v>13804</v>
      </c>
    </row>
    <row r="575" spans="1:21" ht="15.6" x14ac:dyDescent="0.3">
      <c r="A575" s="10">
        <v>38512</v>
      </c>
      <c r="B575" s="6">
        <v>1480</v>
      </c>
      <c r="C575" s="6">
        <v>176</v>
      </c>
      <c r="D575" s="6">
        <v>327</v>
      </c>
      <c r="E575" s="6">
        <v>34</v>
      </c>
      <c r="F575" s="6">
        <v>1248</v>
      </c>
      <c r="G575" s="6">
        <v>207</v>
      </c>
      <c r="H575" s="6">
        <v>436</v>
      </c>
      <c r="I575" s="6">
        <v>50</v>
      </c>
      <c r="J575" s="6">
        <v>100</v>
      </c>
      <c r="K575" s="6">
        <v>27</v>
      </c>
      <c r="L575" s="6">
        <v>3590</v>
      </c>
      <c r="M575" s="6">
        <v>493</v>
      </c>
      <c r="N575" s="6">
        <v>6208</v>
      </c>
      <c r="O575" s="6">
        <v>35212</v>
      </c>
      <c r="P575" s="6">
        <v>1481</v>
      </c>
      <c r="Q575" s="6">
        <v>28017</v>
      </c>
      <c r="R575" s="16">
        <f t="shared" si="36"/>
        <v>11279</v>
      </c>
      <c r="S575" s="16">
        <f t="shared" si="37"/>
        <v>63722</v>
      </c>
      <c r="U575" s="5">
        <v>11279</v>
      </c>
    </row>
    <row r="576" spans="1:21" ht="15.6" x14ac:dyDescent="0.3">
      <c r="A576" s="10">
        <v>38876</v>
      </c>
      <c r="B576" s="6">
        <v>1028</v>
      </c>
      <c r="C576" s="6">
        <v>105</v>
      </c>
      <c r="D576" s="6">
        <v>448</v>
      </c>
      <c r="E576" s="6">
        <v>26</v>
      </c>
      <c r="F576" s="6">
        <v>1217</v>
      </c>
      <c r="G576" s="6">
        <v>166</v>
      </c>
      <c r="H576" s="6">
        <v>727</v>
      </c>
      <c r="I576" s="6">
        <v>123</v>
      </c>
      <c r="J576" s="6">
        <v>305</v>
      </c>
      <c r="K576" s="6">
        <v>4</v>
      </c>
      <c r="L576" s="6">
        <v>3724</v>
      </c>
      <c r="M576" s="6">
        <v>424</v>
      </c>
      <c r="N576" s="6">
        <v>8746</v>
      </c>
      <c r="O576" s="6">
        <v>39758</v>
      </c>
      <c r="P576" s="6">
        <v>1901</v>
      </c>
      <c r="Q576" s="6">
        <v>22094</v>
      </c>
      <c r="R576" s="16">
        <f t="shared" si="36"/>
        <v>14371</v>
      </c>
      <c r="S576" s="16">
        <f t="shared" si="37"/>
        <v>62276</v>
      </c>
      <c r="U576" s="5">
        <v>14371</v>
      </c>
    </row>
    <row r="577" spans="1:21" ht="15.6" x14ac:dyDescent="0.3">
      <c r="A577" s="10">
        <v>38519</v>
      </c>
      <c r="B577" s="6">
        <v>1630</v>
      </c>
      <c r="C577" s="6">
        <v>315</v>
      </c>
      <c r="D577" s="6">
        <v>245</v>
      </c>
      <c r="E577" s="6">
        <v>66</v>
      </c>
      <c r="F577" s="6">
        <v>1300</v>
      </c>
      <c r="G577" s="6">
        <v>335</v>
      </c>
      <c r="H577" s="6">
        <v>483</v>
      </c>
      <c r="I577" s="6">
        <v>69</v>
      </c>
      <c r="J577" s="6">
        <v>117</v>
      </c>
      <c r="K577" s="6">
        <v>36</v>
      </c>
      <c r="L577" s="6">
        <v>3775</v>
      </c>
      <c r="M577" s="6">
        <v>821</v>
      </c>
      <c r="N577" s="6">
        <v>5650</v>
      </c>
      <c r="O577" s="6">
        <v>36279</v>
      </c>
      <c r="P577" s="6">
        <v>1344</v>
      </c>
      <c r="Q577" s="6">
        <v>28300</v>
      </c>
      <c r="R577" s="16">
        <f t="shared" si="36"/>
        <v>10769</v>
      </c>
      <c r="S577" s="16">
        <f t="shared" si="37"/>
        <v>65400</v>
      </c>
      <c r="U577" s="5">
        <v>10769</v>
      </c>
    </row>
    <row r="578" spans="1:21" ht="15.6" x14ac:dyDescent="0.3">
      <c r="A578" s="10">
        <v>38883</v>
      </c>
      <c r="B578" s="6">
        <v>1034</v>
      </c>
      <c r="C578" s="6">
        <v>235</v>
      </c>
      <c r="D578" s="6">
        <v>454</v>
      </c>
      <c r="E578" s="6">
        <v>75</v>
      </c>
      <c r="F578" s="6">
        <v>1172</v>
      </c>
      <c r="G578" s="6">
        <v>301</v>
      </c>
      <c r="H578" s="6">
        <v>683</v>
      </c>
      <c r="I578" s="6">
        <v>202</v>
      </c>
      <c r="J578" s="6">
        <v>257</v>
      </c>
      <c r="K578" s="6">
        <v>51</v>
      </c>
      <c r="L578" s="6">
        <v>3600</v>
      </c>
      <c r="M578" s="6">
        <v>864</v>
      </c>
      <c r="N578" s="6">
        <v>9037</v>
      </c>
      <c r="O578" s="6">
        <v>41042</v>
      </c>
      <c r="P578" s="6">
        <v>1893</v>
      </c>
      <c r="Q578" s="6">
        <v>22302</v>
      </c>
      <c r="R578" s="16">
        <f t="shared" si="36"/>
        <v>14530</v>
      </c>
      <c r="S578" s="16">
        <f t="shared" si="37"/>
        <v>64208</v>
      </c>
      <c r="U578" s="5">
        <v>14530</v>
      </c>
    </row>
    <row r="579" spans="1:21" ht="15.6" x14ac:dyDescent="0.3">
      <c r="A579" s="10">
        <v>38526</v>
      </c>
      <c r="B579" s="6">
        <v>1789</v>
      </c>
      <c r="C579" s="6">
        <v>492</v>
      </c>
      <c r="D579" s="6">
        <v>256</v>
      </c>
      <c r="E579" s="6">
        <v>128</v>
      </c>
      <c r="F579" s="6">
        <v>1305</v>
      </c>
      <c r="G579" s="6">
        <v>458</v>
      </c>
      <c r="H579" s="6">
        <v>487</v>
      </c>
      <c r="I579" s="6">
        <v>113</v>
      </c>
      <c r="J579" s="6">
        <v>108</v>
      </c>
      <c r="K579" s="6">
        <v>48</v>
      </c>
      <c r="L579" s="6">
        <v>3946</v>
      </c>
      <c r="M579" s="6">
        <v>1238</v>
      </c>
      <c r="N579" s="6">
        <v>5809</v>
      </c>
      <c r="O579" s="6">
        <v>37336</v>
      </c>
      <c r="P579" s="6">
        <v>1339</v>
      </c>
      <c r="Q579" s="6">
        <v>28476</v>
      </c>
      <c r="R579" s="16">
        <f t="shared" si="36"/>
        <v>11094</v>
      </c>
      <c r="S579" s="16">
        <f t="shared" si="37"/>
        <v>67050</v>
      </c>
      <c r="U579" s="5">
        <v>11094</v>
      </c>
    </row>
    <row r="580" spans="1:21" ht="15.6" x14ac:dyDescent="0.3">
      <c r="A580" s="10">
        <v>38890</v>
      </c>
      <c r="B580" s="6">
        <v>1094</v>
      </c>
      <c r="C580" s="6">
        <v>328</v>
      </c>
      <c r="D580" s="6">
        <v>481</v>
      </c>
      <c r="E580" s="6">
        <v>177</v>
      </c>
      <c r="F580" s="6">
        <v>1181</v>
      </c>
      <c r="G580" s="6">
        <v>417</v>
      </c>
      <c r="H580" s="6">
        <v>762</v>
      </c>
      <c r="I580" s="6">
        <v>258</v>
      </c>
      <c r="J580" s="6">
        <v>252</v>
      </c>
      <c r="K580" s="6">
        <v>57</v>
      </c>
      <c r="L580" s="6">
        <v>3770</v>
      </c>
      <c r="M580" s="6">
        <v>1237</v>
      </c>
      <c r="N580" s="6">
        <v>9214</v>
      </c>
      <c r="O580" s="6">
        <v>42220</v>
      </c>
      <c r="P580" s="6">
        <v>1954</v>
      </c>
      <c r="Q580" s="6">
        <v>22618</v>
      </c>
      <c r="R580" s="16">
        <f t="shared" si="36"/>
        <v>14938</v>
      </c>
      <c r="S580" s="16">
        <f t="shared" si="37"/>
        <v>66075</v>
      </c>
      <c r="U580" s="5">
        <v>14938</v>
      </c>
    </row>
    <row r="581" spans="1:21" ht="15.6" x14ac:dyDescent="0.3">
      <c r="A581" s="10">
        <v>38533</v>
      </c>
      <c r="B581" s="6">
        <v>1963</v>
      </c>
      <c r="C581" s="6">
        <v>641</v>
      </c>
      <c r="D581" s="6">
        <v>335</v>
      </c>
      <c r="E581" s="6">
        <v>164</v>
      </c>
      <c r="F581" s="6">
        <v>1249</v>
      </c>
      <c r="G581" s="6">
        <v>660</v>
      </c>
      <c r="H581" s="6">
        <v>443</v>
      </c>
      <c r="I581" s="6">
        <v>175</v>
      </c>
      <c r="J581" s="6">
        <v>129</v>
      </c>
      <c r="K581" s="6">
        <v>55</v>
      </c>
      <c r="L581" s="6">
        <v>4119</v>
      </c>
      <c r="M581" s="6">
        <v>1694</v>
      </c>
      <c r="N581" s="6">
        <v>5977</v>
      </c>
      <c r="O581" s="6">
        <v>38110</v>
      </c>
      <c r="P581" s="6">
        <v>1333</v>
      </c>
      <c r="Q581" s="6">
        <v>28643</v>
      </c>
      <c r="R581" s="16">
        <f t="shared" si="36"/>
        <v>11429</v>
      </c>
      <c r="S581" s="16">
        <f t="shared" si="37"/>
        <v>68447</v>
      </c>
      <c r="U581" s="5">
        <v>11429</v>
      </c>
    </row>
    <row r="582" spans="1:21" ht="15.6" x14ac:dyDescent="0.3">
      <c r="A582" s="10">
        <v>38897</v>
      </c>
      <c r="B582" s="6">
        <v>1107</v>
      </c>
      <c r="C582" s="6">
        <v>396</v>
      </c>
      <c r="D582" s="6">
        <v>467</v>
      </c>
      <c r="E582" s="6">
        <v>228</v>
      </c>
      <c r="F582" s="6">
        <v>1154</v>
      </c>
      <c r="G582" s="6">
        <v>555</v>
      </c>
      <c r="H582" s="6">
        <v>692</v>
      </c>
      <c r="I582" s="6">
        <v>356</v>
      </c>
      <c r="J582" s="6">
        <v>266</v>
      </c>
      <c r="K582" s="6">
        <v>84</v>
      </c>
      <c r="L582" s="6">
        <v>3686</v>
      </c>
      <c r="M582" s="6">
        <v>1619</v>
      </c>
      <c r="N582" s="6">
        <v>9000</v>
      </c>
      <c r="O582" s="6">
        <v>43249</v>
      </c>
      <c r="P582" s="6">
        <v>1943</v>
      </c>
      <c r="Q582" s="6">
        <v>22835</v>
      </c>
      <c r="R582" s="16">
        <f t="shared" si="36"/>
        <v>14629</v>
      </c>
      <c r="S582" s="16">
        <f t="shared" si="37"/>
        <v>67703</v>
      </c>
      <c r="U582" s="5">
        <v>14629</v>
      </c>
    </row>
    <row r="583" spans="1:21" ht="15.6" x14ac:dyDescent="0.3">
      <c r="A583" s="10">
        <v>38540</v>
      </c>
      <c r="B583" s="6">
        <v>1994</v>
      </c>
      <c r="C583" s="6">
        <v>782</v>
      </c>
      <c r="D583" s="6">
        <v>326</v>
      </c>
      <c r="E583" s="6">
        <v>185</v>
      </c>
      <c r="F583" s="6">
        <v>1225</v>
      </c>
      <c r="G583" s="6">
        <v>776</v>
      </c>
      <c r="H583" s="6">
        <v>469</v>
      </c>
      <c r="I583" s="6">
        <v>183</v>
      </c>
      <c r="J583" s="6">
        <v>113</v>
      </c>
      <c r="K583" s="6">
        <v>71</v>
      </c>
      <c r="L583" s="6">
        <v>4126</v>
      </c>
      <c r="M583" s="6">
        <v>1996</v>
      </c>
      <c r="N583" s="6">
        <v>5725</v>
      </c>
      <c r="O583" s="6">
        <v>38685</v>
      </c>
      <c r="P583" s="6">
        <v>1297</v>
      </c>
      <c r="Q583" s="6">
        <v>28799</v>
      </c>
      <c r="R583" s="16">
        <f t="shared" si="36"/>
        <v>11148</v>
      </c>
      <c r="S583" s="16">
        <f t="shared" si="37"/>
        <v>69480</v>
      </c>
      <c r="U583" s="5">
        <v>11148</v>
      </c>
    </row>
    <row r="584" spans="1:21" ht="15.6" x14ac:dyDescent="0.3">
      <c r="A584" s="10">
        <v>38904</v>
      </c>
      <c r="B584" s="6">
        <v>1087</v>
      </c>
      <c r="C584" s="6">
        <v>448</v>
      </c>
      <c r="D584" s="6">
        <v>473</v>
      </c>
      <c r="E584" s="6">
        <v>241</v>
      </c>
      <c r="F584" s="6">
        <v>1045</v>
      </c>
      <c r="G584" s="6">
        <v>713</v>
      </c>
      <c r="H584" s="6">
        <v>705</v>
      </c>
      <c r="I584" s="6">
        <v>423</v>
      </c>
      <c r="J584" s="6">
        <v>284</v>
      </c>
      <c r="K584" s="6">
        <v>90</v>
      </c>
      <c r="L584" s="6">
        <v>3592</v>
      </c>
      <c r="M584" s="6">
        <v>1914</v>
      </c>
      <c r="N584" s="6">
        <v>8656</v>
      </c>
      <c r="O584" s="6">
        <v>44157</v>
      </c>
      <c r="P584" s="6">
        <v>2119</v>
      </c>
      <c r="Q584" s="6">
        <v>22976</v>
      </c>
      <c r="R584" s="16">
        <f t="shared" ref="R584:R647" si="38">L584+N584+P584</f>
        <v>14367</v>
      </c>
      <c r="S584" s="16">
        <f t="shared" ref="S584:S647" si="39">M584+O584+Q584</f>
        <v>69047</v>
      </c>
      <c r="U584" s="5">
        <v>14367</v>
      </c>
    </row>
    <row r="585" spans="1:21" ht="15.6" x14ac:dyDescent="0.3">
      <c r="A585" s="10">
        <v>38547</v>
      </c>
      <c r="B585" s="6">
        <v>2077</v>
      </c>
      <c r="C585" s="6">
        <v>992</v>
      </c>
      <c r="D585" s="6">
        <v>348</v>
      </c>
      <c r="E585" s="6">
        <v>199</v>
      </c>
      <c r="F585" s="6">
        <v>1270</v>
      </c>
      <c r="G585" s="6">
        <v>902</v>
      </c>
      <c r="H585" s="6">
        <v>496</v>
      </c>
      <c r="I585" s="6">
        <v>229</v>
      </c>
      <c r="J585" s="6">
        <v>95</v>
      </c>
      <c r="K585" s="6">
        <v>103</v>
      </c>
      <c r="L585" s="6">
        <v>4286</v>
      </c>
      <c r="M585" s="6">
        <v>2425</v>
      </c>
      <c r="N585" s="6">
        <v>5508</v>
      </c>
      <c r="O585" s="6">
        <v>39499</v>
      </c>
      <c r="P585" s="6">
        <v>1267</v>
      </c>
      <c r="Q585" s="6">
        <v>28895</v>
      </c>
      <c r="R585" s="16">
        <f t="shared" si="38"/>
        <v>11061</v>
      </c>
      <c r="S585" s="16">
        <f t="shared" si="39"/>
        <v>70819</v>
      </c>
      <c r="U585" s="5">
        <v>11061</v>
      </c>
    </row>
    <row r="586" spans="1:21" ht="15.6" x14ac:dyDescent="0.3">
      <c r="A586" s="10">
        <v>38911</v>
      </c>
      <c r="B586" s="6">
        <v>989</v>
      </c>
      <c r="C586" s="6">
        <v>646</v>
      </c>
      <c r="D586" s="6">
        <v>511</v>
      </c>
      <c r="E586" s="6">
        <v>285</v>
      </c>
      <c r="F586" s="6">
        <v>982</v>
      </c>
      <c r="G586" s="6">
        <v>877</v>
      </c>
      <c r="H586" s="6">
        <v>696</v>
      </c>
      <c r="I586" s="6">
        <v>477</v>
      </c>
      <c r="J586" s="6">
        <v>283</v>
      </c>
      <c r="K586" s="6">
        <v>90</v>
      </c>
      <c r="L586" s="6">
        <v>3461</v>
      </c>
      <c r="M586" s="6">
        <v>2375</v>
      </c>
      <c r="N586" s="6">
        <v>7794</v>
      </c>
      <c r="O586" s="6">
        <v>45358</v>
      </c>
      <c r="P586" s="6">
        <v>2000</v>
      </c>
      <c r="Q586" s="6">
        <v>23330</v>
      </c>
      <c r="R586" s="16">
        <f t="shared" si="38"/>
        <v>13255</v>
      </c>
      <c r="S586" s="16">
        <f t="shared" si="39"/>
        <v>71063</v>
      </c>
      <c r="U586" s="5">
        <v>13255</v>
      </c>
    </row>
    <row r="587" spans="1:21" ht="15.6" x14ac:dyDescent="0.3">
      <c r="A587" s="10">
        <v>38554</v>
      </c>
      <c r="B587" s="6">
        <v>1975</v>
      </c>
      <c r="C587" s="6">
        <v>1227</v>
      </c>
      <c r="D587" s="6">
        <v>340</v>
      </c>
      <c r="E587" s="6">
        <v>258</v>
      </c>
      <c r="F587" s="6">
        <v>1283</v>
      </c>
      <c r="G587" s="6">
        <v>1029</v>
      </c>
      <c r="H587" s="6">
        <v>617</v>
      </c>
      <c r="I587" s="6">
        <v>285</v>
      </c>
      <c r="J587" s="6">
        <v>117</v>
      </c>
      <c r="K587" s="6">
        <v>103</v>
      </c>
      <c r="L587" s="6">
        <v>4331</v>
      </c>
      <c r="M587" s="6">
        <v>2903</v>
      </c>
      <c r="N587" s="6">
        <v>5160</v>
      </c>
      <c r="O587" s="6">
        <v>40485</v>
      </c>
      <c r="P587" s="6">
        <v>1008</v>
      </c>
      <c r="Q587" s="6">
        <v>29092</v>
      </c>
      <c r="R587" s="16">
        <f t="shared" si="38"/>
        <v>10499</v>
      </c>
      <c r="S587" s="16">
        <f t="shared" si="39"/>
        <v>72480</v>
      </c>
      <c r="U587" s="5">
        <v>10499</v>
      </c>
    </row>
    <row r="588" spans="1:21" ht="15.6" x14ac:dyDescent="0.3">
      <c r="A588" s="10">
        <v>38918</v>
      </c>
      <c r="B588" s="6">
        <v>952</v>
      </c>
      <c r="C588" s="6">
        <v>730</v>
      </c>
      <c r="D588" s="6">
        <v>481</v>
      </c>
      <c r="E588" s="6">
        <v>412</v>
      </c>
      <c r="F588" s="6">
        <v>1001</v>
      </c>
      <c r="G588" s="6">
        <v>1015</v>
      </c>
      <c r="H588" s="6">
        <v>702</v>
      </c>
      <c r="I588" s="6">
        <v>637</v>
      </c>
      <c r="J588" s="6">
        <v>264</v>
      </c>
      <c r="K588" s="6">
        <v>109</v>
      </c>
      <c r="L588" s="6">
        <v>3399</v>
      </c>
      <c r="M588" s="6">
        <v>2902</v>
      </c>
      <c r="N588" s="6">
        <v>7387</v>
      </c>
      <c r="O588" s="6">
        <v>46741</v>
      </c>
      <c r="P588" s="6">
        <v>1901</v>
      </c>
      <c r="Q588" s="6">
        <v>23628</v>
      </c>
      <c r="R588" s="16">
        <f t="shared" si="38"/>
        <v>12687</v>
      </c>
      <c r="S588" s="16">
        <f t="shared" si="39"/>
        <v>73271</v>
      </c>
      <c r="U588" s="5">
        <v>12687</v>
      </c>
    </row>
    <row r="589" spans="1:21" ht="15.6" x14ac:dyDescent="0.3">
      <c r="A589" s="10">
        <v>38561</v>
      </c>
      <c r="B589" s="6">
        <v>2181</v>
      </c>
      <c r="C589" s="6">
        <v>1476</v>
      </c>
      <c r="D589" s="6">
        <v>308</v>
      </c>
      <c r="E589" s="6">
        <v>372</v>
      </c>
      <c r="F589" s="6">
        <v>1266</v>
      </c>
      <c r="G589" s="6">
        <v>1202</v>
      </c>
      <c r="H589" s="6">
        <v>674</v>
      </c>
      <c r="I589" s="6">
        <v>347</v>
      </c>
      <c r="J589" s="6">
        <v>142</v>
      </c>
      <c r="K589" s="6">
        <v>130</v>
      </c>
      <c r="L589" s="6">
        <v>4569</v>
      </c>
      <c r="M589" s="6">
        <v>3527</v>
      </c>
      <c r="N589" s="6">
        <v>4498</v>
      </c>
      <c r="O589" s="6">
        <v>41375</v>
      </c>
      <c r="P589" s="6">
        <v>999</v>
      </c>
      <c r="Q589" s="6">
        <v>29196</v>
      </c>
      <c r="R589" s="16">
        <f t="shared" si="38"/>
        <v>10066</v>
      </c>
      <c r="S589" s="16">
        <f t="shared" si="39"/>
        <v>74098</v>
      </c>
      <c r="U589" s="5">
        <v>10066</v>
      </c>
    </row>
    <row r="590" spans="1:21" ht="15.6" x14ac:dyDescent="0.3">
      <c r="A590" s="10">
        <v>38925</v>
      </c>
      <c r="B590" s="6">
        <v>965</v>
      </c>
      <c r="C590" s="6">
        <v>895</v>
      </c>
      <c r="D590" s="6">
        <v>511</v>
      </c>
      <c r="E590" s="6">
        <v>467</v>
      </c>
      <c r="F590" s="6">
        <v>1086</v>
      </c>
      <c r="G590" s="6">
        <v>1095</v>
      </c>
      <c r="H590" s="6">
        <v>763</v>
      </c>
      <c r="I590" s="6">
        <v>701</v>
      </c>
      <c r="J590" s="6">
        <v>287</v>
      </c>
      <c r="K590" s="6">
        <v>115</v>
      </c>
      <c r="L590" s="6">
        <v>3612</v>
      </c>
      <c r="M590" s="6">
        <v>3272</v>
      </c>
      <c r="N590" s="6">
        <v>7114</v>
      </c>
      <c r="O590" s="6">
        <v>47915</v>
      </c>
      <c r="P590" s="6">
        <v>1842</v>
      </c>
      <c r="Q590" s="6">
        <v>23856</v>
      </c>
      <c r="R590" s="16">
        <f t="shared" si="38"/>
        <v>12568</v>
      </c>
      <c r="S590" s="16">
        <f t="shared" si="39"/>
        <v>75043</v>
      </c>
      <c r="U590" s="5">
        <v>12568</v>
      </c>
    </row>
    <row r="591" spans="1:21" ht="15.6" x14ac:dyDescent="0.3">
      <c r="A591" s="10">
        <v>38568</v>
      </c>
      <c r="B591" s="6">
        <v>2067</v>
      </c>
      <c r="C591" s="6">
        <v>1860</v>
      </c>
      <c r="D591" s="6">
        <v>322</v>
      </c>
      <c r="E591" s="6">
        <v>402</v>
      </c>
      <c r="F591" s="6">
        <v>1200</v>
      </c>
      <c r="G591" s="6">
        <v>1416</v>
      </c>
      <c r="H591" s="6">
        <v>707</v>
      </c>
      <c r="I591" s="6">
        <v>457</v>
      </c>
      <c r="J591" s="6">
        <v>145</v>
      </c>
      <c r="K591" s="6">
        <v>133</v>
      </c>
      <c r="L591" s="6">
        <v>4450</v>
      </c>
      <c r="M591" s="6">
        <v>4267</v>
      </c>
      <c r="N591" s="6">
        <v>4609</v>
      </c>
      <c r="O591" s="6">
        <v>42337</v>
      </c>
      <c r="P591" s="6">
        <v>958</v>
      </c>
      <c r="Q591" s="6">
        <v>29330</v>
      </c>
      <c r="R591" s="16">
        <f t="shared" si="38"/>
        <v>10017</v>
      </c>
      <c r="S591" s="16">
        <f t="shared" si="39"/>
        <v>75934</v>
      </c>
      <c r="U591" s="5">
        <v>10017</v>
      </c>
    </row>
    <row r="592" spans="1:21" ht="15.6" x14ac:dyDescent="0.3">
      <c r="A592" s="10">
        <v>38932</v>
      </c>
      <c r="B592" s="6">
        <v>902</v>
      </c>
      <c r="C592" s="6">
        <v>1054</v>
      </c>
      <c r="D592" s="6">
        <v>437</v>
      </c>
      <c r="E592" s="6">
        <v>592</v>
      </c>
      <c r="F592" s="6">
        <v>1097</v>
      </c>
      <c r="G592" s="6">
        <v>1256</v>
      </c>
      <c r="H592" s="6">
        <v>723</v>
      </c>
      <c r="I592" s="6">
        <v>787</v>
      </c>
      <c r="J592" s="6">
        <v>293</v>
      </c>
      <c r="K592" s="6">
        <v>140</v>
      </c>
      <c r="L592" s="6">
        <v>3451</v>
      </c>
      <c r="M592" s="6">
        <v>3829</v>
      </c>
      <c r="N592" s="6">
        <v>6961</v>
      </c>
      <c r="O592" s="6">
        <v>49226</v>
      </c>
      <c r="P592" s="6">
        <v>1662</v>
      </c>
      <c r="Q592" s="6">
        <v>24310</v>
      </c>
      <c r="R592" s="16">
        <f t="shared" si="38"/>
        <v>12074</v>
      </c>
      <c r="S592" s="16">
        <f t="shared" si="39"/>
        <v>77365</v>
      </c>
      <c r="U592" s="5">
        <v>12074</v>
      </c>
    </row>
    <row r="593" spans="1:21" ht="15.6" x14ac:dyDescent="0.3">
      <c r="A593" s="10">
        <v>38575</v>
      </c>
      <c r="B593" s="6">
        <v>2045</v>
      </c>
      <c r="C593" s="6">
        <v>2133</v>
      </c>
      <c r="D593" s="6">
        <v>303</v>
      </c>
      <c r="E593" s="6">
        <v>490</v>
      </c>
      <c r="F593" s="6">
        <v>1191</v>
      </c>
      <c r="G593" s="6">
        <v>1541</v>
      </c>
      <c r="H593" s="6">
        <v>708</v>
      </c>
      <c r="I593" s="6">
        <v>487</v>
      </c>
      <c r="J593" s="6">
        <v>103</v>
      </c>
      <c r="K593" s="6">
        <v>184</v>
      </c>
      <c r="L593" s="6">
        <v>4350</v>
      </c>
      <c r="M593" s="6">
        <v>4835</v>
      </c>
      <c r="N593" s="6">
        <v>4330</v>
      </c>
      <c r="O593" s="6">
        <v>43081</v>
      </c>
      <c r="P593" s="6">
        <v>901</v>
      </c>
      <c r="Q593" s="6">
        <v>29538</v>
      </c>
      <c r="R593" s="16">
        <f t="shared" si="38"/>
        <v>9581</v>
      </c>
      <c r="S593" s="16">
        <f t="shared" si="39"/>
        <v>77454</v>
      </c>
      <c r="U593" s="5">
        <v>9581</v>
      </c>
    </row>
    <row r="594" spans="1:21" ht="15.6" x14ac:dyDescent="0.3">
      <c r="A594" s="10">
        <v>38939</v>
      </c>
      <c r="B594" s="6">
        <v>887</v>
      </c>
      <c r="C594" s="6">
        <v>1160</v>
      </c>
      <c r="D594" s="6">
        <v>405</v>
      </c>
      <c r="E594" s="6">
        <v>674</v>
      </c>
      <c r="F594" s="6">
        <v>1135</v>
      </c>
      <c r="G594" s="6">
        <v>1344</v>
      </c>
      <c r="H594" s="6">
        <v>756</v>
      </c>
      <c r="I594" s="6">
        <v>874</v>
      </c>
      <c r="J594" s="6">
        <v>268</v>
      </c>
      <c r="K594" s="6">
        <v>165</v>
      </c>
      <c r="L594" s="6">
        <v>3451</v>
      </c>
      <c r="M594" s="6">
        <v>4216</v>
      </c>
      <c r="N594" s="6">
        <v>6306</v>
      </c>
      <c r="O594" s="6">
        <v>50457</v>
      </c>
      <c r="P594" s="6">
        <v>1733</v>
      </c>
      <c r="Q594" s="6">
        <v>24497</v>
      </c>
      <c r="R594" s="16">
        <f t="shared" si="38"/>
        <v>11490</v>
      </c>
      <c r="S594" s="16">
        <f t="shared" si="39"/>
        <v>79170</v>
      </c>
      <c r="U594" s="5">
        <v>11490</v>
      </c>
    </row>
    <row r="595" spans="1:21" ht="15.6" x14ac:dyDescent="0.3">
      <c r="A595" s="10">
        <v>38583</v>
      </c>
      <c r="B595" s="6">
        <v>2376</v>
      </c>
      <c r="C595" s="6">
        <v>2247</v>
      </c>
      <c r="D595" s="6">
        <v>361</v>
      </c>
      <c r="E595" s="6">
        <v>555</v>
      </c>
      <c r="F595" s="6">
        <v>1177</v>
      </c>
      <c r="G595" s="6">
        <v>1660</v>
      </c>
      <c r="H595" s="6">
        <v>819</v>
      </c>
      <c r="I595" s="6">
        <v>555</v>
      </c>
      <c r="J595" s="6">
        <v>83</v>
      </c>
      <c r="K595" s="6">
        <v>207</v>
      </c>
      <c r="L595" s="6">
        <v>4815</v>
      </c>
      <c r="M595" s="6">
        <v>5224</v>
      </c>
      <c r="N595" s="6">
        <v>3799</v>
      </c>
      <c r="O595" s="6">
        <v>43931</v>
      </c>
      <c r="P595" s="6">
        <v>853</v>
      </c>
      <c r="Q595" s="6">
        <v>29686</v>
      </c>
      <c r="R595" s="16">
        <f t="shared" si="38"/>
        <v>9467</v>
      </c>
      <c r="S595" s="16">
        <f t="shared" si="39"/>
        <v>78841</v>
      </c>
      <c r="U595" s="5">
        <v>9467</v>
      </c>
    </row>
    <row r="596" spans="1:21" ht="15.6" x14ac:dyDescent="0.3">
      <c r="A596" s="10">
        <v>38946</v>
      </c>
      <c r="B596" s="6">
        <v>764</v>
      </c>
      <c r="C596" s="6">
        <v>1283</v>
      </c>
      <c r="D596" s="6">
        <v>484</v>
      </c>
      <c r="E596" s="6">
        <v>741</v>
      </c>
      <c r="F596" s="6">
        <v>1159</v>
      </c>
      <c r="G596" s="6">
        <v>1452</v>
      </c>
      <c r="H596" s="6">
        <v>783</v>
      </c>
      <c r="I596" s="6">
        <v>958</v>
      </c>
      <c r="J596" s="6">
        <v>263</v>
      </c>
      <c r="K596" s="6">
        <v>173</v>
      </c>
      <c r="L596" s="6">
        <v>3454</v>
      </c>
      <c r="M596" s="6">
        <v>4607</v>
      </c>
      <c r="N596" s="6">
        <v>5305</v>
      </c>
      <c r="O596" s="6">
        <v>51632</v>
      </c>
      <c r="P596" s="6">
        <v>1451</v>
      </c>
      <c r="Q596" s="6">
        <v>24826</v>
      </c>
      <c r="R596" s="16">
        <f t="shared" si="38"/>
        <v>10210</v>
      </c>
      <c r="S596" s="16">
        <f t="shared" si="39"/>
        <v>81065</v>
      </c>
      <c r="U596" s="5">
        <v>10210</v>
      </c>
    </row>
    <row r="597" spans="1:21" ht="15.6" x14ac:dyDescent="0.3">
      <c r="A597" s="10">
        <v>38590</v>
      </c>
      <c r="B597" s="6">
        <v>2338</v>
      </c>
      <c r="C597" s="6">
        <v>2428</v>
      </c>
      <c r="D597" s="6">
        <v>385</v>
      </c>
      <c r="E597" s="6">
        <v>569</v>
      </c>
      <c r="F597" s="6">
        <v>1182</v>
      </c>
      <c r="G597" s="6">
        <v>1809</v>
      </c>
      <c r="H597" s="6">
        <v>663</v>
      </c>
      <c r="I597" s="6">
        <v>757</v>
      </c>
      <c r="J597" s="6">
        <v>77</v>
      </c>
      <c r="K597" s="6">
        <v>228</v>
      </c>
      <c r="L597" s="6">
        <v>4645</v>
      </c>
      <c r="M597" s="6">
        <v>5791</v>
      </c>
      <c r="N597" s="6">
        <v>2780</v>
      </c>
      <c r="O597" s="6">
        <v>44941</v>
      </c>
      <c r="P597" s="6">
        <v>699</v>
      </c>
      <c r="Q597" s="6">
        <v>29878</v>
      </c>
      <c r="R597" s="16">
        <f t="shared" si="38"/>
        <v>8124</v>
      </c>
      <c r="S597" s="16">
        <f t="shared" si="39"/>
        <v>80610</v>
      </c>
      <c r="U597" s="5">
        <v>8124</v>
      </c>
    </row>
    <row r="598" spans="1:21" ht="15.6" x14ac:dyDescent="0.3">
      <c r="A598" s="10">
        <v>38953</v>
      </c>
      <c r="B598" s="6">
        <v>816</v>
      </c>
      <c r="C598" s="6">
        <v>1350</v>
      </c>
      <c r="D598" s="6">
        <v>598</v>
      </c>
      <c r="E598" s="6">
        <v>815</v>
      </c>
      <c r="F598" s="6">
        <v>1155</v>
      </c>
      <c r="G598" s="6">
        <v>1535</v>
      </c>
      <c r="H598" s="6">
        <v>661</v>
      </c>
      <c r="I598" s="6">
        <v>1138</v>
      </c>
      <c r="J598" s="6">
        <v>252</v>
      </c>
      <c r="K598" s="6">
        <v>194</v>
      </c>
      <c r="L598" s="6">
        <v>3464</v>
      </c>
      <c r="M598" s="6">
        <v>5033</v>
      </c>
      <c r="N598" s="6">
        <v>3470</v>
      </c>
      <c r="O598" s="6">
        <v>53120</v>
      </c>
      <c r="P598" s="6">
        <v>1103</v>
      </c>
      <c r="Q598" s="6">
        <v>25203</v>
      </c>
      <c r="R598" s="16">
        <f t="shared" si="38"/>
        <v>8037</v>
      </c>
      <c r="S598" s="16">
        <f t="shared" si="39"/>
        <v>83356</v>
      </c>
      <c r="U598" s="5">
        <v>8037</v>
      </c>
    </row>
    <row r="599" spans="1:21" ht="15.6" x14ac:dyDescent="0.3">
      <c r="A599" s="10">
        <v>38596</v>
      </c>
      <c r="B599" s="6">
        <v>2482</v>
      </c>
      <c r="C599" s="6">
        <v>2684</v>
      </c>
      <c r="D599" s="6">
        <v>421</v>
      </c>
      <c r="E599" s="6">
        <v>580</v>
      </c>
      <c r="F599" s="6">
        <v>1237</v>
      </c>
      <c r="G599" s="6">
        <v>1932</v>
      </c>
      <c r="H599" s="6">
        <v>830</v>
      </c>
      <c r="I599" s="6">
        <v>799</v>
      </c>
      <c r="J599" s="6">
        <v>97</v>
      </c>
      <c r="K599" s="6">
        <v>228</v>
      </c>
      <c r="L599" s="6">
        <v>5067</v>
      </c>
      <c r="M599" s="6">
        <v>6223</v>
      </c>
      <c r="N599" s="6">
        <v>2247</v>
      </c>
      <c r="O599" s="6">
        <v>45414</v>
      </c>
      <c r="P599" s="6">
        <v>625</v>
      </c>
      <c r="Q599" s="6">
        <v>29966</v>
      </c>
      <c r="R599" s="16">
        <f t="shared" si="38"/>
        <v>7939</v>
      </c>
      <c r="S599" s="16">
        <f t="shared" si="39"/>
        <v>81603</v>
      </c>
      <c r="U599" s="5">
        <v>7939</v>
      </c>
    </row>
    <row r="600" spans="1:21" ht="15.6" x14ac:dyDescent="0.3">
      <c r="A600" s="10">
        <v>38960</v>
      </c>
      <c r="B600" s="6">
        <v>764</v>
      </c>
      <c r="C600" s="6">
        <v>1530</v>
      </c>
      <c r="D600" s="6">
        <v>489</v>
      </c>
      <c r="E600" s="6">
        <v>976</v>
      </c>
      <c r="F600" s="6">
        <v>1011</v>
      </c>
      <c r="G600" s="6">
        <v>1729</v>
      </c>
      <c r="H600" s="6">
        <v>773</v>
      </c>
      <c r="I600" s="6">
        <v>1180</v>
      </c>
      <c r="J600" s="6">
        <v>187</v>
      </c>
      <c r="K600" s="6">
        <v>243</v>
      </c>
      <c r="L600" s="6">
        <v>3222</v>
      </c>
      <c r="M600" s="6">
        <v>5658</v>
      </c>
      <c r="N600" s="6">
        <v>2454</v>
      </c>
      <c r="O600" s="6">
        <v>54354</v>
      </c>
      <c r="P600" s="6">
        <v>814</v>
      </c>
      <c r="Q600" s="6">
        <v>25510</v>
      </c>
      <c r="R600" s="16">
        <f t="shared" si="38"/>
        <v>6490</v>
      </c>
      <c r="S600" s="16">
        <f t="shared" si="39"/>
        <v>85522</v>
      </c>
      <c r="U600" s="5">
        <v>6490</v>
      </c>
    </row>
    <row r="601" spans="1:21" ht="15.6" x14ac:dyDescent="0.3">
      <c r="A601" s="10">
        <v>38603</v>
      </c>
      <c r="B601" s="6">
        <v>2559</v>
      </c>
      <c r="C601" s="6">
        <v>2836</v>
      </c>
      <c r="D601" s="6">
        <v>437</v>
      </c>
      <c r="E601" s="6">
        <v>598</v>
      </c>
      <c r="F601" s="6">
        <v>1321</v>
      </c>
      <c r="G601" s="6">
        <v>2070</v>
      </c>
      <c r="H601" s="6">
        <v>876</v>
      </c>
      <c r="I601" s="6">
        <v>851</v>
      </c>
      <c r="J601" s="6">
        <v>70</v>
      </c>
      <c r="K601" s="6">
        <v>256</v>
      </c>
      <c r="L601" s="6">
        <v>5263</v>
      </c>
      <c r="M601" s="6">
        <v>6611</v>
      </c>
      <c r="N601" s="6">
        <v>7986</v>
      </c>
      <c r="O601" s="6">
        <v>436</v>
      </c>
      <c r="P601" s="6">
        <v>4422</v>
      </c>
      <c r="Q601" s="6">
        <v>155</v>
      </c>
      <c r="R601" s="16">
        <f t="shared" si="38"/>
        <v>17671</v>
      </c>
      <c r="S601" s="16">
        <f t="shared" si="39"/>
        <v>7202</v>
      </c>
      <c r="U601" s="5">
        <v>17671</v>
      </c>
    </row>
    <row r="602" spans="1:21" ht="15.6" x14ac:dyDescent="0.3">
      <c r="A602" s="10">
        <v>38967</v>
      </c>
      <c r="B602" s="6">
        <v>793</v>
      </c>
      <c r="C602" s="6">
        <v>1569</v>
      </c>
      <c r="D602" s="6">
        <v>554</v>
      </c>
      <c r="E602" s="6">
        <v>989</v>
      </c>
      <c r="F602" s="6">
        <v>991</v>
      </c>
      <c r="G602" s="6">
        <v>1823</v>
      </c>
      <c r="H602" s="6">
        <v>815</v>
      </c>
      <c r="I602" s="6">
        <v>1250</v>
      </c>
      <c r="J602" s="6">
        <v>189</v>
      </c>
      <c r="K602" s="6">
        <v>243</v>
      </c>
      <c r="L602" s="6">
        <v>3343</v>
      </c>
      <c r="M602" s="6">
        <v>5874</v>
      </c>
      <c r="N602" s="6">
        <v>11501</v>
      </c>
      <c r="O602" s="6">
        <v>1103</v>
      </c>
      <c r="P602" s="6">
        <v>7004</v>
      </c>
      <c r="Q602" s="6">
        <v>212</v>
      </c>
      <c r="R602" s="16">
        <f t="shared" si="38"/>
        <v>21848</v>
      </c>
      <c r="S602" s="16">
        <f t="shared" si="39"/>
        <v>7189</v>
      </c>
      <c r="U602" s="5">
        <v>21848</v>
      </c>
    </row>
    <row r="603" spans="1:21" ht="15.6" x14ac:dyDescent="0.3">
      <c r="A603" s="10">
        <v>38610</v>
      </c>
      <c r="B603" s="6">
        <v>2496</v>
      </c>
      <c r="C603" s="6">
        <v>3233</v>
      </c>
      <c r="D603" s="6">
        <v>389</v>
      </c>
      <c r="E603" s="6">
        <v>690</v>
      </c>
      <c r="F603" s="6">
        <v>1281</v>
      </c>
      <c r="G603" s="6">
        <v>2317</v>
      </c>
      <c r="H603" s="6">
        <v>993</v>
      </c>
      <c r="I603" s="6">
        <v>918</v>
      </c>
      <c r="J603" s="6">
        <v>94</v>
      </c>
      <c r="K603" s="6">
        <v>259</v>
      </c>
      <c r="L603" s="6">
        <v>5252</v>
      </c>
      <c r="M603" s="6">
        <v>7417</v>
      </c>
      <c r="N603" s="6">
        <v>7818</v>
      </c>
      <c r="O603" s="6">
        <v>1351</v>
      </c>
      <c r="P603" s="6">
        <v>5017</v>
      </c>
      <c r="Q603" s="6">
        <v>312</v>
      </c>
      <c r="R603" s="16">
        <f t="shared" si="38"/>
        <v>18087</v>
      </c>
      <c r="S603" s="16">
        <f t="shared" si="39"/>
        <v>9080</v>
      </c>
      <c r="U603" s="5">
        <v>18087</v>
      </c>
    </row>
    <row r="604" spans="1:21" ht="15.6" x14ac:dyDescent="0.3">
      <c r="A604" s="10">
        <v>38974</v>
      </c>
      <c r="B604" s="6">
        <v>698</v>
      </c>
      <c r="C604" s="6">
        <v>1743</v>
      </c>
      <c r="D604" s="6">
        <v>648</v>
      </c>
      <c r="E604" s="6">
        <v>1062</v>
      </c>
      <c r="F604" s="6">
        <v>980</v>
      </c>
      <c r="G604" s="6">
        <v>1952</v>
      </c>
      <c r="H604" s="6">
        <v>851</v>
      </c>
      <c r="I604" s="6">
        <v>1370</v>
      </c>
      <c r="J604" s="6">
        <v>157</v>
      </c>
      <c r="K604" s="6">
        <v>276</v>
      </c>
      <c r="L604" s="6">
        <v>3334</v>
      </c>
      <c r="M604" s="6">
        <v>6403</v>
      </c>
      <c r="N604" s="6">
        <v>11138</v>
      </c>
      <c r="O604" s="6">
        <v>2496</v>
      </c>
      <c r="P604" s="6">
        <v>7409</v>
      </c>
      <c r="Q604" s="6">
        <v>569</v>
      </c>
      <c r="R604" s="16">
        <f t="shared" si="38"/>
        <v>21881</v>
      </c>
      <c r="S604" s="16">
        <f t="shared" si="39"/>
        <v>9468</v>
      </c>
      <c r="U604" s="5">
        <v>21881</v>
      </c>
    </row>
    <row r="605" spans="1:21" ht="15.6" x14ac:dyDescent="0.3">
      <c r="A605" s="10">
        <v>38617</v>
      </c>
      <c r="B605" s="6">
        <v>2600</v>
      </c>
      <c r="C605" s="6">
        <v>3509</v>
      </c>
      <c r="D605" s="6">
        <v>366</v>
      </c>
      <c r="E605" s="6">
        <v>727</v>
      </c>
      <c r="F605" s="6">
        <v>1178</v>
      </c>
      <c r="G605" s="6">
        <v>2545</v>
      </c>
      <c r="H605" s="6">
        <v>993</v>
      </c>
      <c r="I605" s="6">
        <v>967</v>
      </c>
      <c r="J605" s="6">
        <v>100</v>
      </c>
      <c r="K605" s="6">
        <v>276</v>
      </c>
      <c r="L605" s="6">
        <v>5237</v>
      </c>
      <c r="M605" s="6">
        <v>8023</v>
      </c>
      <c r="N605" s="6">
        <v>7564</v>
      </c>
      <c r="O605" s="6">
        <v>2307</v>
      </c>
      <c r="P605" s="6">
        <v>5473</v>
      </c>
      <c r="Q605" s="6">
        <v>531</v>
      </c>
      <c r="R605" s="16">
        <f t="shared" si="38"/>
        <v>18274</v>
      </c>
      <c r="S605" s="16">
        <f t="shared" si="39"/>
        <v>10861</v>
      </c>
      <c r="U605" s="5">
        <v>18274</v>
      </c>
    </row>
    <row r="606" spans="1:21" ht="15.6" x14ac:dyDescent="0.3">
      <c r="A606" s="10">
        <v>38981</v>
      </c>
      <c r="B606" s="6">
        <v>711</v>
      </c>
      <c r="C606" s="6">
        <v>1809</v>
      </c>
      <c r="D606" s="6">
        <v>601</v>
      </c>
      <c r="E606" s="6">
        <v>1183</v>
      </c>
      <c r="F606" s="6">
        <v>1065</v>
      </c>
      <c r="G606" s="6">
        <v>2051</v>
      </c>
      <c r="H606" s="6">
        <v>897</v>
      </c>
      <c r="I606" s="6">
        <v>1389</v>
      </c>
      <c r="J606" s="6">
        <v>150</v>
      </c>
      <c r="K606" s="6">
        <v>289</v>
      </c>
      <c r="L606" s="6">
        <v>3424</v>
      </c>
      <c r="M606" s="6">
        <v>6721</v>
      </c>
      <c r="N606" s="6">
        <v>10732</v>
      </c>
      <c r="O606" s="6">
        <v>3715</v>
      </c>
      <c r="P606" s="6">
        <v>7971</v>
      </c>
      <c r="Q606" s="6">
        <v>864</v>
      </c>
      <c r="R606" s="16">
        <f t="shared" si="38"/>
        <v>22127</v>
      </c>
      <c r="S606" s="16">
        <f t="shared" si="39"/>
        <v>11300</v>
      </c>
      <c r="U606" s="5">
        <v>22127</v>
      </c>
    </row>
    <row r="607" spans="1:21" ht="15.6" x14ac:dyDescent="0.3">
      <c r="A607" s="10">
        <v>38624</v>
      </c>
      <c r="B607" s="6">
        <v>2520</v>
      </c>
      <c r="C607" s="6">
        <v>3656</v>
      </c>
      <c r="D607" s="6">
        <v>365</v>
      </c>
      <c r="E607" s="6">
        <v>753</v>
      </c>
      <c r="F607" s="6">
        <v>1282</v>
      </c>
      <c r="G607" s="6">
        <v>2749</v>
      </c>
      <c r="H607" s="6">
        <v>871</v>
      </c>
      <c r="I607" s="6">
        <v>1164</v>
      </c>
      <c r="J607" s="6">
        <v>90</v>
      </c>
      <c r="K607" s="6">
        <v>286</v>
      </c>
      <c r="L607" s="6">
        <v>5128</v>
      </c>
      <c r="M607" s="6">
        <v>8608</v>
      </c>
      <c r="N607" s="6">
        <v>7735</v>
      </c>
      <c r="O607" s="6">
        <v>3089</v>
      </c>
      <c r="P607" s="6">
        <v>5809</v>
      </c>
      <c r="Q607" s="6">
        <v>737</v>
      </c>
      <c r="R607" s="16">
        <f t="shared" si="38"/>
        <v>18672</v>
      </c>
      <c r="S607" s="16">
        <f t="shared" si="39"/>
        <v>12434</v>
      </c>
      <c r="U607" s="5">
        <v>18672</v>
      </c>
    </row>
    <row r="608" spans="1:21" ht="15.6" x14ac:dyDescent="0.3">
      <c r="A608" s="10">
        <v>38988</v>
      </c>
      <c r="B608" s="6">
        <v>670</v>
      </c>
      <c r="C608" s="6">
        <v>1915</v>
      </c>
      <c r="D608" s="6">
        <v>610</v>
      </c>
      <c r="E608" s="6">
        <v>1245</v>
      </c>
      <c r="F608" s="6">
        <v>1041</v>
      </c>
      <c r="G608" s="6">
        <v>2213</v>
      </c>
      <c r="H608" s="6">
        <v>873</v>
      </c>
      <c r="I608" s="6">
        <v>1514</v>
      </c>
      <c r="J608" s="6">
        <v>110</v>
      </c>
      <c r="K608" s="6">
        <v>332</v>
      </c>
      <c r="L608" s="6">
        <v>3304</v>
      </c>
      <c r="M608" s="6">
        <v>7219</v>
      </c>
      <c r="N608" s="6">
        <v>10707</v>
      </c>
      <c r="O608" s="6">
        <v>4898</v>
      </c>
      <c r="P608" s="6">
        <v>8592</v>
      </c>
      <c r="Q608" s="6">
        <v>1437</v>
      </c>
      <c r="R608" s="16">
        <f t="shared" si="38"/>
        <v>22603</v>
      </c>
      <c r="S608" s="16">
        <f t="shared" si="39"/>
        <v>13554</v>
      </c>
      <c r="U608" s="5">
        <v>22603</v>
      </c>
    </row>
    <row r="609" spans="1:21" ht="15.6" x14ac:dyDescent="0.3">
      <c r="A609" s="10">
        <v>38631</v>
      </c>
      <c r="B609" s="6">
        <v>2469</v>
      </c>
      <c r="C609" s="6">
        <v>3910</v>
      </c>
      <c r="D609" s="6">
        <v>298</v>
      </c>
      <c r="E609" s="6">
        <v>872</v>
      </c>
      <c r="F609" s="6">
        <v>1158</v>
      </c>
      <c r="G609" s="6">
        <v>2949</v>
      </c>
      <c r="H609" s="6">
        <v>800</v>
      </c>
      <c r="I609" s="6">
        <v>1251</v>
      </c>
      <c r="J609" s="6">
        <v>84</v>
      </c>
      <c r="K609" s="6">
        <v>304</v>
      </c>
      <c r="L609" s="6">
        <v>4808</v>
      </c>
      <c r="M609" s="6">
        <v>9285</v>
      </c>
      <c r="N609" s="6">
        <v>7645</v>
      </c>
      <c r="O609" s="6">
        <v>4106</v>
      </c>
      <c r="P609" s="6">
        <v>6096</v>
      </c>
      <c r="Q609" s="6">
        <v>1134</v>
      </c>
      <c r="R609" s="16">
        <f t="shared" si="38"/>
        <v>18549</v>
      </c>
      <c r="S609" s="16">
        <f t="shared" si="39"/>
        <v>14525</v>
      </c>
      <c r="U609" s="5">
        <v>18549</v>
      </c>
    </row>
    <row r="610" spans="1:21" ht="15.6" x14ac:dyDescent="0.3">
      <c r="A610" s="10">
        <v>38995</v>
      </c>
      <c r="B610" s="6">
        <v>920</v>
      </c>
      <c r="C610" s="6">
        <v>2034</v>
      </c>
      <c r="D610" s="6">
        <v>657</v>
      </c>
      <c r="E610" s="6">
        <v>1267</v>
      </c>
      <c r="F610" s="6">
        <v>1018</v>
      </c>
      <c r="G610" s="6">
        <v>2377</v>
      </c>
      <c r="H610" s="6">
        <v>840</v>
      </c>
      <c r="I610" s="6">
        <v>1651</v>
      </c>
      <c r="J610" s="6">
        <v>110</v>
      </c>
      <c r="K610" s="6">
        <v>341</v>
      </c>
      <c r="L610" s="6">
        <v>3545</v>
      </c>
      <c r="M610" s="6">
        <v>7671</v>
      </c>
      <c r="N610" s="6">
        <v>10893</v>
      </c>
      <c r="O610" s="6">
        <v>5998</v>
      </c>
      <c r="P610" s="6">
        <v>8954</v>
      </c>
      <c r="Q610" s="6">
        <v>2161</v>
      </c>
      <c r="R610" s="16">
        <f t="shared" si="38"/>
        <v>23392</v>
      </c>
      <c r="S610" s="16">
        <f t="shared" si="39"/>
        <v>15830</v>
      </c>
      <c r="U610" s="5">
        <v>23392</v>
      </c>
    </row>
    <row r="611" spans="1:21" ht="15.6" x14ac:dyDescent="0.3">
      <c r="A611" s="10">
        <v>38638</v>
      </c>
      <c r="B611" s="6">
        <v>2355</v>
      </c>
      <c r="C611" s="6">
        <v>4091</v>
      </c>
      <c r="D611" s="6">
        <v>313</v>
      </c>
      <c r="E611" s="6">
        <v>907</v>
      </c>
      <c r="F611" s="6">
        <v>1137</v>
      </c>
      <c r="G611" s="6">
        <v>3135</v>
      </c>
      <c r="H611" s="6">
        <v>777</v>
      </c>
      <c r="I611" s="6">
        <v>1379</v>
      </c>
      <c r="J611" s="6">
        <v>70</v>
      </c>
      <c r="K611" s="6">
        <v>326</v>
      </c>
      <c r="L611" s="6">
        <v>4651</v>
      </c>
      <c r="M611" s="6">
        <v>9837</v>
      </c>
      <c r="N611" s="6">
        <v>7380</v>
      </c>
      <c r="O611" s="6">
        <v>5335</v>
      </c>
      <c r="P611" s="6">
        <v>5987</v>
      </c>
      <c r="Q611" s="6">
        <v>2132</v>
      </c>
      <c r="R611" s="16">
        <f t="shared" si="38"/>
        <v>18018</v>
      </c>
      <c r="S611" s="16">
        <f t="shared" si="39"/>
        <v>17304</v>
      </c>
      <c r="U611" s="5">
        <v>18018</v>
      </c>
    </row>
    <row r="612" spans="1:21" ht="15.6" x14ac:dyDescent="0.3">
      <c r="A612" s="10">
        <v>39002</v>
      </c>
      <c r="B612" s="6">
        <v>953</v>
      </c>
      <c r="C612" s="6">
        <v>2119</v>
      </c>
      <c r="D612" s="6">
        <v>554</v>
      </c>
      <c r="E612" s="6">
        <v>1419</v>
      </c>
      <c r="F612" s="6">
        <v>914</v>
      </c>
      <c r="G612" s="6">
        <v>2575</v>
      </c>
      <c r="H612" s="6">
        <v>905</v>
      </c>
      <c r="I612" s="6">
        <v>1766</v>
      </c>
      <c r="J612" s="6">
        <v>80</v>
      </c>
      <c r="K612" s="6">
        <v>375</v>
      </c>
      <c r="L612" s="6">
        <v>3405</v>
      </c>
      <c r="M612" s="6">
        <v>8255</v>
      </c>
      <c r="N612" s="6">
        <v>10626</v>
      </c>
      <c r="O612" s="6">
        <v>7086</v>
      </c>
      <c r="P612" s="6">
        <v>8996</v>
      </c>
      <c r="Q612" s="6">
        <v>2988</v>
      </c>
      <c r="R612" s="16">
        <f t="shared" si="38"/>
        <v>23027</v>
      </c>
      <c r="S612" s="16">
        <f t="shared" si="39"/>
        <v>18329</v>
      </c>
      <c r="U612" s="5">
        <v>23027</v>
      </c>
    </row>
    <row r="613" spans="1:21" ht="15.6" x14ac:dyDescent="0.3">
      <c r="A613" s="10">
        <v>38645</v>
      </c>
      <c r="B613" s="6">
        <v>2156</v>
      </c>
      <c r="C613" s="6">
        <v>4329</v>
      </c>
      <c r="D613" s="6">
        <v>285</v>
      </c>
      <c r="E613" s="6">
        <v>936</v>
      </c>
      <c r="F613" s="6">
        <v>1112</v>
      </c>
      <c r="G613" s="6">
        <v>3316</v>
      </c>
      <c r="H613" s="6">
        <v>711</v>
      </c>
      <c r="I613" s="6">
        <v>1625</v>
      </c>
      <c r="J613" s="6">
        <v>68</v>
      </c>
      <c r="K613" s="6">
        <v>329</v>
      </c>
      <c r="L613" s="6">
        <v>4332</v>
      </c>
      <c r="M613" s="6">
        <v>10535</v>
      </c>
      <c r="N613" s="6">
        <v>7150</v>
      </c>
      <c r="O613" s="6">
        <v>6284</v>
      </c>
      <c r="P613" s="6">
        <v>5923</v>
      </c>
      <c r="Q613" s="6">
        <v>3038</v>
      </c>
      <c r="R613" s="16">
        <f t="shared" si="38"/>
        <v>17405</v>
      </c>
      <c r="S613" s="16">
        <f t="shared" si="39"/>
        <v>19857</v>
      </c>
      <c r="U613" s="5">
        <v>17405</v>
      </c>
    </row>
    <row r="614" spans="1:21" ht="15.6" x14ac:dyDescent="0.3">
      <c r="A614" s="10">
        <v>39009</v>
      </c>
      <c r="B614" s="6">
        <v>1086</v>
      </c>
      <c r="C614" s="6">
        <v>2141</v>
      </c>
      <c r="D614" s="6">
        <v>418</v>
      </c>
      <c r="E614" s="6">
        <v>1561</v>
      </c>
      <c r="F614" s="6">
        <v>980</v>
      </c>
      <c r="G614" s="6">
        <v>2660</v>
      </c>
      <c r="H614" s="6">
        <v>864</v>
      </c>
      <c r="I614" s="6">
        <v>1921</v>
      </c>
      <c r="J614" s="6">
        <v>90</v>
      </c>
      <c r="K614" s="6">
        <v>392</v>
      </c>
      <c r="L614" s="6">
        <v>3438</v>
      </c>
      <c r="M614" s="6">
        <v>8675</v>
      </c>
      <c r="N614" s="6">
        <v>10872</v>
      </c>
      <c r="O614" s="6">
        <v>7886</v>
      </c>
      <c r="P614" s="6">
        <v>8439</v>
      </c>
      <c r="Q614" s="6">
        <v>4172</v>
      </c>
      <c r="R614" s="16">
        <f t="shared" si="38"/>
        <v>22749</v>
      </c>
      <c r="S614" s="16">
        <f t="shared" si="39"/>
        <v>20733</v>
      </c>
      <c r="U614" s="5">
        <v>22749</v>
      </c>
    </row>
    <row r="615" spans="1:21" ht="15.6" x14ac:dyDescent="0.3">
      <c r="A615" s="10">
        <v>38652</v>
      </c>
      <c r="B615" s="6">
        <v>1967</v>
      </c>
      <c r="C615" s="6">
        <v>4622</v>
      </c>
      <c r="D615" s="6">
        <v>283</v>
      </c>
      <c r="E615" s="6">
        <v>962</v>
      </c>
      <c r="F615" s="6">
        <v>1172</v>
      </c>
      <c r="G615" s="6">
        <v>3450</v>
      </c>
      <c r="H615" s="6">
        <v>695</v>
      </c>
      <c r="I615" s="6">
        <v>1716</v>
      </c>
      <c r="J615" s="6">
        <v>102</v>
      </c>
      <c r="K615" s="6">
        <v>332</v>
      </c>
      <c r="L615" s="6">
        <v>4219</v>
      </c>
      <c r="M615" s="6">
        <v>11082</v>
      </c>
      <c r="N615" s="6">
        <v>7354</v>
      </c>
      <c r="O615" s="6">
        <v>7298</v>
      </c>
      <c r="P615" s="6">
        <v>5673</v>
      </c>
      <c r="Q615" s="6">
        <v>4049</v>
      </c>
      <c r="R615" s="16">
        <f t="shared" si="38"/>
        <v>17246</v>
      </c>
      <c r="S615" s="16">
        <f t="shared" si="39"/>
        <v>22429</v>
      </c>
      <c r="U615" s="5">
        <v>17246</v>
      </c>
    </row>
    <row r="616" spans="1:21" ht="15.6" x14ac:dyDescent="0.3">
      <c r="A616" s="10">
        <v>39016</v>
      </c>
      <c r="B616" s="6">
        <v>1463</v>
      </c>
      <c r="C616" s="6">
        <v>2276</v>
      </c>
      <c r="D616" s="6">
        <v>436</v>
      </c>
      <c r="E616" s="6">
        <v>1605</v>
      </c>
      <c r="F616" s="6">
        <v>1068</v>
      </c>
      <c r="G616" s="6">
        <v>2766</v>
      </c>
      <c r="H616" s="6">
        <v>972</v>
      </c>
      <c r="I616" s="6">
        <v>1985</v>
      </c>
      <c r="J616" s="6">
        <v>90</v>
      </c>
      <c r="K616" s="6">
        <v>392</v>
      </c>
      <c r="L616" s="6">
        <v>4028</v>
      </c>
      <c r="M616" s="6">
        <v>9024</v>
      </c>
      <c r="N616" s="6">
        <v>10797</v>
      </c>
      <c r="O616" s="6">
        <v>8988</v>
      </c>
      <c r="P616" s="6">
        <v>7853</v>
      </c>
      <c r="Q616" s="6">
        <v>5395</v>
      </c>
      <c r="R616" s="16">
        <f t="shared" si="38"/>
        <v>22678</v>
      </c>
      <c r="S616" s="16">
        <f t="shared" si="39"/>
        <v>23407</v>
      </c>
      <c r="U616" s="5">
        <v>22678</v>
      </c>
    </row>
    <row r="617" spans="1:21" ht="15.6" x14ac:dyDescent="0.3">
      <c r="A617" s="10">
        <v>38659</v>
      </c>
      <c r="B617" s="6">
        <v>2861</v>
      </c>
      <c r="C617" s="6">
        <v>4738</v>
      </c>
      <c r="D617" s="6">
        <v>247</v>
      </c>
      <c r="E617" s="6">
        <v>1010</v>
      </c>
      <c r="F617" s="6">
        <v>1133</v>
      </c>
      <c r="G617" s="6">
        <v>3692</v>
      </c>
      <c r="H617" s="6">
        <v>828</v>
      </c>
      <c r="I617" s="6">
        <v>1743</v>
      </c>
      <c r="J617" s="6">
        <v>101</v>
      </c>
      <c r="K617" s="6">
        <v>332</v>
      </c>
      <c r="L617" s="6">
        <v>5169</v>
      </c>
      <c r="M617" s="6">
        <v>11514</v>
      </c>
      <c r="N617" s="6">
        <v>7315</v>
      </c>
      <c r="O617" s="6">
        <v>8221</v>
      </c>
      <c r="P617" s="6">
        <v>5242</v>
      </c>
      <c r="Q617" s="6">
        <v>5060</v>
      </c>
      <c r="R617" s="16">
        <f t="shared" si="38"/>
        <v>17726</v>
      </c>
      <c r="S617" s="16">
        <f t="shared" si="39"/>
        <v>24795</v>
      </c>
      <c r="U617" s="5">
        <v>17726</v>
      </c>
    </row>
    <row r="618" spans="1:21" ht="15.6" x14ac:dyDescent="0.3">
      <c r="A618" s="10">
        <v>39023</v>
      </c>
      <c r="B618" s="6">
        <v>1543</v>
      </c>
      <c r="C618" s="6">
        <v>2348</v>
      </c>
      <c r="D618" s="6">
        <v>456</v>
      </c>
      <c r="E618" s="6">
        <v>1636</v>
      </c>
      <c r="F618" s="6">
        <v>1168</v>
      </c>
      <c r="G618" s="6">
        <v>2832</v>
      </c>
      <c r="H618" s="6">
        <v>1089</v>
      </c>
      <c r="I618" s="6">
        <v>2048</v>
      </c>
      <c r="J618" s="6">
        <v>89</v>
      </c>
      <c r="K618" s="6">
        <v>417</v>
      </c>
      <c r="L618" s="6">
        <v>4344</v>
      </c>
      <c r="M618" s="6">
        <v>9281</v>
      </c>
      <c r="N618" s="6">
        <v>11552</v>
      </c>
      <c r="O618" s="6">
        <v>10162</v>
      </c>
      <c r="P618" s="6">
        <v>7497</v>
      </c>
      <c r="Q618" s="6">
        <v>6519</v>
      </c>
      <c r="R618" s="16">
        <f t="shared" si="38"/>
        <v>23393</v>
      </c>
      <c r="S618" s="16">
        <f t="shared" si="39"/>
        <v>25962</v>
      </c>
      <c r="U618" s="5">
        <v>23393</v>
      </c>
    </row>
    <row r="619" spans="1:21" ht="15.6" x14ac:dyDescent="0.3">
      <c r="A619" s="10">
        <v>38666</v>
      </c>
      <c r="B619" s="6">
        <v>3083</v>
      </c>
      <c r="C619" s="6">
        <v>4841</v>
      </c>
      <c r="D619" s="6">
        <v>269</v>
      </c>
      <c r="E619" s="6">
        <v>1033</v>
      </c>
      <c r="F619" s="6">
        <v>1147</v>
      </c>
      <c r="G619" s="6">
        <v>3827</v>
      </c>
      <c r="H619" s="6">
        <v>765</v>
      </c>
      <c r="I619" s="6">
        <v>1838</v>
      </c>
      <c r="J619" s="6">
        <v>92</v>
      </c>
      <c r="K619" s="6">
        <v>353</v>
      </c>
      <c r="L619" s="6">
        <v>5356</v>
      </c>
      <c r="M619" s="6">
        <v>11892</v>
      </c>
      <c r="N619" s="6">
        <v>7748</v>
      </c>
      <c r="O619" s="6">
        <v>9282</v>
      </c>
      <c r="P619" s="6">
        <v>5147</v>
      </c>
      <c r="Q619" s="6">
        <v>5754</v>
      </c>
      <c r="R619" s="16">
        <f t="shared" si="38"/>
        <v>18251</v>
      </c>
      <c r="S619" s="16">
        <f t="shared" si="39"/>
        <v>26928</v>
      </c>
      <c r="U619" s="5">
        <v>18251</v>
      </c>
    </row>
    <row r="620" spans="1:21" ht="15.6" x14ac:dyDescent="0.3">
      <c r="A620" s="10">
        <v>39030</v>
      </c>
      <c r="B620" s="6">
        <v>1593</v>
      </c>
      <c r="C620" s="6">
        <v>2473</v>
      </c>
      <c r="D620" s="6">
        <v>466</v>
      </c>
      <c r="E620" s="6">
        <v>1665</v>
      </c>
      <c r="F620" s="6">
        <v>1078</v>
      </c>
      <c r="G620" s="6">
        <v>2966</v>
      </c>
      <c r="H620" s="6">
        <v>1083</v>
      </c>
      <c r="I620" s="6">
        <v>2099</v>
      </c>
      <c r="J620" s="6">
        <v>107</v>
      </c>
      <c r="K620" s="6">
        <v>417</v>
      </c>
      <c r="L620" s="6">
        <v>4327</v>
      </c>
      <c r="M620" s="6">
        <v>9621</v>
      </c>
      <c r="N620" s="6">
        <v>11944</v>
      </c>
      <c r="O620" s="6">
        <v>11166</v>
      </c>
      <c r="P620" s="6">
        <v>7080</v>
      </c>
      <c r="Q620" s="6">
        <v>7632</v>
      </c>
      <c r="R620" s="16">
        <f t="shared" si="38"/>
        <v>23351</v>
      </c>
      <c r="S620" s="16">
        <f t="shared" si="39"/>
        <v>28419</v>
      </c>
      <c r="U620" s="5">
        <v>23351</v>
      </c>
    </row>
    <row r="621" spans="1:21" ht="15.6" x14ac:dyDescent="0.3">
      <c r="A621" s="10">
        <v>38673</v>
      </c>
      <c r="B621" s="6">
        <v>2950</v>
      </c>
      <c r="C621" s="6">
        <v>5045</v>
      </c>
      <c r="D621" s="6">
        <v>272</v>
      </c>
      <c r="E621" s="6">
        <v>1083</v>
      </c>
      <c r="F621" s="6">
        <v>1209</v>
      </c>
      <c r="G621" s="6">
        <v>3940</v>
      </c>
      <c r="H621" s="6">
        <v>803</v>
      </c>
      <c r="I621" s="6">
        <v>1915</v>
      </c>
      <c r="J621" s="6">
        <v>103</v>
      </c>
      <c r="K621" s="6">
        <v>361</v>
      </c>
      <c r="L621" s="6">
        <v>5337</v>
      </c>
      <c r="M621" s="6">
        <v>12343</v>
      </c>
      <c r="N621" s="6">
        <v>7814</v>
      </c>
      <c r="O621" s="6">
        <v>10249</v>
      </c>
      <c r="P621" s="6">
        <v>4384</v>
      </c>
      <c r="Q621" s="6">
        <v>6726</v>
      </c>
      <c r="R621" s="16">
        <f t="shared" si="38"/>
        <v>17535</v>
      </c>
      <c r="S621" s="16">
        <f t="shared" si="39"/>
        <v>29318</v>
      </c>
      <c r="U621" s="5">
        <v>17535</v>
      </c>
    </row>
    <row r="622" spans="1:21" ht="15.6" x14ac:dyDescent="0.3">
      <c r="A622" s="10">
        <v>39037</v>
      </c>
      <c r="B622" s="6">
        <v>1615</v>
      </c>
      <c r="C622" s="6">
        <v>2527</v>
      </c>
      <c r="D622" s="6">
        <v>415</v>
      </c>
      <c r="E622" s="6">
        <v>1794</v>
      </c>
      <c r="F622" s="6">
        <v>1135</v>
      </c>
      <c r="G622" s="6">
        <v>3016</v>
      </c>
      <c r="H622" s="6">
        <v>1094</v>
      </c>
      <c r="I622" s="6">
        <v>2178</v>
      </c>
      <c r="J622" s="6">
        <v>113</v>
      </c>
      <c r="K622" s="6">
        <v>421</v>
      </c>
      <c r="L622" s="6">
        <v>4373</v>
      </c>
      <c r="M622" s="6">
        <v>9936</v>
      </c>
      <c r="N622" s="6">
        <v>11765</v>
      </c>
      <c r="O622" s="6">
        <v>12387</v>
      </c>
      <c r="P622" s="6">
        <v>7273</v>
      </c>
      <c r="Q622" s="6">
        <v>8242</v>
      </c>
      <c r="R622" s="16">
        <f t="shared" si="38"/>
        <v>23411</v>
      </c>
      <c r="S622" s="16">
        <f t="shared" si="39"/>
        <v>30565</v>
      </c>
      <c r="U622" s="5">
        <v>23411</v>
      </c>
    </row>
    <row r="623" spans="1:21" ht="15.6" x14ac:dyDescent="0.3">
      <c r="A623" s="10">
        <v>38680</v>
      </c>
      <c r="B623" s="6">
        <v>2738</v>
      </c>
      <c r="C623" s="6">
        <v>5334</v>
      </c>
      <c r="D623" s="6">
        <v>297</v>
      </c>
      <c r="E623" s="6">
        <v>1100</v>
      </c>
      <c r="F623" s="6">
        <v>1089</v>
      </c>
      <c r="G623" s="6">
        <v>4120</v>
      </c>
      <c r="H623" s="6">
        <v>822</v>
      </c>
      <c r="I623" s="6">
        <v>1975</v>
      </c>
      <c r="J623" s="6">
        <v>95</v>
      </c>
      <c r="K623" s="6">
        <v>361</v>
      </c>
      <c r="L623" s="6">
        <v>5041</v>
      </c>
      <c r="M623" s="6">
        <v>12890</v>
      </c>
      <c r="N623" s="6">
        <v>7759</v>
      </c>
      <c r="O623" s="6">
        <v>10915</v>
      </c>
      <c r="P623" s="6">
        <v>3926</v>
      </c>
      <c r="Q623" s="6">
        <v>7515</v>
      </c>
      <c r="R623" s="16">
        <f t="shared" si="38"/>
        <v>16726</v>
      </c>
      <c r="S623" s="16">
        <f t="shared" si="39"/>
        <v>31320</v>
      </c>
      <c r="U623" s="5">
        <v>16726</v>
      </c>
    </row>
    <row r="624" spans="1:21" ht="15.6" x14ac:dyDescent="0.3">
      <c r="A624" s="10">
        <v>39044</v>
      </c>
      <c r="B624" s="6">
        <v>1602</v>
      </c>
      <c r="C624" s="6">
        <v>2615</v>
      </c>
      <c r="D624" s="6">
        <v>451</v>
      </c>
      <c r="E624" s="6">
        <v>1849</v>
      </c>
      <c r="F624" s="6">
        <v>1252</v>
      </c>
      <c r="G624" s="6">
        <v>3171</v>
      </c>
      <c r="H624" s="6">
        <v>1047</v>
      </c>
      <c r="I624" s="6">
        <v>2264</v>
      </c>
      <c r="J624" s="6">
        <v>161</v>
      </c>
      <c r="K624" s="6">
        <v>447</v>
      </c>
      <c r="L624" s="6">
        <v>4512</v>
      </c>
      <c r="M624" s="6">
        <v>10345</v>
      </c>
      <c r="N624" s="6">
        <v>11889</v>
      </c>
      <c r="O624" s="6">
        <v>13284</v>
      </c>
      <c r="P624" s="6">
        <v>7331</v>
      </c>
      <c r="Q624" s="6">
        <v>8912</v>
      </c>
      <c r="R624" s="16">
        <f t="shared" si="38"/>
        <v>23732</v>
      </c>
      <c r="S624" s="16">
        <f t="shared" si="39"/>
        <v>32541</v>
      </c>
      <c r="U624" s="5">
        <v>23732</v>
      </c>
    </row>
    <row r="625" spans="1:21" ht="15.6" x14ac:dyDescent="0.3">
      <c r="A625" s="10">
        <v>38687</v>
      </c>
      <c r="B625" s="6">
        <v>2728</v>
      </c>
      <c r="C625" s="6">
        <v>5615</v>
      </c>
      <c r="D625" s="6">
        <v>288</v>
      </c>
      <c r="E625" s="6">
        <v>1124</v>
      </c>
      <c r="F625" s="6">
        <v>1067</v>
      </c>
      <c r="G625" s="6">
        <v>4231</v>
      </c>
      <c r="H625" s="6">
        <v>842</v>
      </c>
      <c r="I625" s="6">
        <v>2010</v>
      </c>
      <c r="J625" s="6">
        <v>77</v>
      </c>
      <c r="K625" s="6">
        <v>383</v>
      </c>
      <c r="L625" s="6">
        <v>5001</v>
      </c>
      <c r="M625" s="6">
        <v>13363</v>
      </c>
      <c r="N625" s="6">
        <v>7432</v>
      </c>
      <c r="O625" s="6">
        <v>11936</v>
      </c>
      <c r="P625" s="6">
        <v>4079</v>
      </c>
      <c r="Q625" s="6">
        <v>8314</v>
      </c>
      <c r="R625" s="16">
        <f t="shared" si="38"/>
        <v>16512</v>
      </c>
      <c r="S625" s="16">
        <f t="shared" si="39"/>
        <v>33613</v>
      </c>
      <c r="U625" s="5">
        <v>16512</v>
      </c>
    </row>
    <row r="626" spans="1:21" ht="15.6" x14ac:dyDescent="0.3">
      <c r="A626" s="10">
        <v>39051</v>
      </c>
      <c r="B626" s="6">
        <v>1565</v>
      </c>
      <c r="C626" s="6">
        <v>2710</v>
      </c>
      <c r="D626" s="6">
        <v>531</v>
      </c>
      <c r="E626" s="6">
        <v>1868</v>
      </c>
      <c r="F626" s="6">
        <v>1164</v>
      </c>
      <c r="G626" s="6">
        <v>3388</v>
      </c>
      <c r="H626" s="6">
        <v>1019</v>
      </c>
      <c r="I626" s="6">
        <v>2400</v>
      </c>
      <c r="J626" s="6">
        <v>139</v>
      </c>
      <c r="K626" s="6">
        <v>477</v>
      </c>
      <c r="L626" s="6">
        <v>4417</v>
      </c>
      <c r="M626" s="6">
        <v>10843</v>
      </c>
      <c r="N626" s="6">
        <v>11329</v>
      </c>
      <c r="O626" s="6">
        <v>14656</v>
      </c>
      <c r="P626" s="6">
        <v>7068</v>
      </c>
      <c r="Q626" s="6">
        <v>9843</v>
      </c>
      <c r="R626" s="16">
        <f t="shared" si="38"/>
        <v>22814</v>
      </c>
      <c r="S626" s="16">
        <f t="shared" si="39"/>
        <v>35342</v>
      </c>
      <c r="U626" s="5">
        <v>22814</v>
      </c>
    </row>
    <row r="627" spans="1:21" ht="15.6" x14ac:dyDescent="0.3">
      <c r="A627" s="10">
        <v>38694</v>
      </c>
      <c r="B627" s="6">
        <v>2807</v>
      </c>
      <c r="C627" s="6">
        <v>5796</v>
      </c>
      <c r="D627" s="6">
        <v>292</v>
      </c>
      <c r="E627" s="6">
        <v>1156</v>
      </c>
      <c r="F627" s="6">
        <v>1092</v>
      </c>
      <c r="G627" s="6">
        <v>4452</v>
      </c>
      <c r="H627" s="6">
        <v>793</v>
      </c>
      <c r="I627" s="6">
        <v>2216</v>
      </c>
      <c r="J627" s="6">
        <v>35</v>
      </c>
      <c r="K627" s="6">
        <v>438</v>
      </c>
      <c r="L627" s="6">
        <v>5018</v>
      </c>
      <c r="M627" s="6">
        <v>14059</v>
      </c>
      <c r="N627" s="6">
        <v>7334</v>
      </c>
      <c r="O627" s="6">
        <v>12951</v>
      </c>
      <c r="P627" s="6">
        <v>3944</v>
      </c>
      <c r="Q627" s="6">
        <v>8862</v>
      </c>
      <c r="R627" s="16">
        <f t="shared" si="38"/>
        <v>16296</v>
      </c>
      <c r="S627" s="16">
        <f t="shared" si="39"/>
        <v>35872</v>
      </c>
      <c r="U627" s="5">
        <v>16296</v>
      </c>
    </row>
    <row r="628" spans="1:21" ht="15.6" x14ac:dyDescent="0.3">
      <c r="A628" s="10">
        <v>39058</v>
      </c>
      <c r="B628" s="6">
        <v>1697</v>
      </c>
      <c r="C628" s="6">
        <v>2815</v>
      </c>
      <c r="D628" s="6">
        <v>489</v>
      </c>
      <c r="E628" s="6">
        <v>1940</v>
      </c>
      <c r="F628" s="6">
        <v>1173</v>
      </c>
      <c r="G628" s="6">
        <v>3501</v>
      </c>
      <c r="H628" s="6">
        <v>977</v>
      </c>
      <c r="I628" s="6">
        <v>2523</v>
      </c>
      <c r="J628" s="6">
        <v>139</v>
      </c>
      <c r="K628" s="6">
        <v>477</v>
      </c>
      <c r="L628" s="6">
        <v>4475</v>
      </c>
      <c r="M628" s="6">
        <v>11256</v>
      </c>
      <c r="N628" s="6">
        <v>11493</v>
      </c>
      <c r="O628" s="6">
        <v>15893</v>
      </c>
      <c r="P628" s="6">
        <v>6898</v>
      </c>
      <c r="Q628" s="6">
        <v>10916</v>
      </c>
      <c r="R628" s="16">
        <f t="shared" si="38"/>
        <v>22866</v>
      </c>
      <c r="S628" s="16">
        <f t="shared" si="39"/>
        <v>38065</v>
      </c>
      <c r="U628" s="5">
        <v>22866</v>
      </c>
    </row>
    <row r="629" spans="1:21" ht="15.6" x14ac:dyDescent="0.3">
      <c r="A629" s="10">
        <v>38701</v>
      </c>
      <c r="B629" s="6">
        <v>2868</v>
      </c>
      <c r="C629" s="6">
        <v>5932</v>
      </c>
      <c r="D629" s="6">
        <v>279</v>
      </c>
      <c r="E629" s="6">
        <v>1207</v>
      </c>
      <c r="F629" s="6">
        <v>1139</v>
      </c>
      <c r="G629" s="6">
        <v>4556</v>
      </c>
      <c r="H629" s="6">
        <v>800</v>
      </c>
      <c r="I629" s="6">
        <v>2309</v>
      </c>
      <c r="J629" s="6">
        <v>30</v>
      </c>
      <c r="K629" s="6">
        <v>480</v>
      </c>
      <c r="L629" s="6">
        <v>5116</v>
      </c>
      <c r="M629" s="6">
        <v>14484</v>
      </c>
      <c r="N629" s="6">
        <v>7037</v>
      </c>
      <c r="O629" s="6">
        <v>14130</v>
      </c>
      <c r="P629" s="6">
        <v>4004</v>
      </c>
      <c r="Q629" s="6">
        <v>9632</v>
      </c>
      <c r="R629" s="16">
        <f t="shared" si="38"/>
        <v>16157</v>
      </c>
      <c r="S629" s="16">
        <f t="shared" si="39"/>
        <v>38246</v>
      </c>
      <c r="U629" s="5">
        <v>16157</v>
      </c>
    </row>
    <row r="630" spans="1:21" ht="15.6" x14ac:dyDescent="0.3">
      <c r="A630" s="10">
        <v>39065</v>
      </c>
      <c r="B630" s="6">
        <v>1673</v>
      </c>
      <c r="C630" s="6">
        <v>2991</v>
      </c>
      <c r="D630" s="6">
        <v>532</v>
      </c>
      <c r="E630" s="6">
        <v>1976</v>
      </c>
      <c r="F630" s="6">
        <v>1234</v>
      </c>
      <c r="G630" s="6">
        <v>3548</v>
      </c>
      <c r="H630" s="6">
        <v>1026</v>
      </c>
      <c r="I630" s="6">
        <v>2590</v>
      </c>
      <c r="J630" s="6">
        <v>103</v>
      </c>
      <c r="K630" s="6">
        <v>514</v>
      </c>
      <c r="L630" s="6">
        <v>4568</v>
      </c>
      <c r="M630" s="6">
        <v>11619</v>
      </c>
      <c r="N630" s="6">
        <v>11855</v>
      </c>
      <c r="O630" s="6">
        <v>16796</v>
      </c>
      <c r="P630" s="6">
        <v>7011</v>
      </c>
      <c r="Q630" s="6">
        <v>11545</v>
      </c>
      <c r="R630" s="16">
        <f t="shared" si="38"/>
        <v>23434</v>
      </c>
      <c r="S630" s="16">
        <f t="shared" si="39"/>
        <v>39960</v>
      </c>
      <c r="U630" s="5">
        <v>23434</v>
      </c>
    </row>
    <row r="631" spans="1:21" ht="15.6" x14ac:dyDescent="0.3">
      <c r="A631" s="10">
        <v>38708</v>
      </c>
      <c r="B631" s="6">
        <v>2719</v>
      </c>
      <c r="C631" s="6">
        <v>6202</v>
      </c>
      <c r="D631" s="6">
        <v>291</v>
      </c>
      <c r="E631" s="6">
        <v>1213</v>
      </c>
      <c r="F631" s="6">
        <v>1092</v>
      </c>
      <c r="G631" s="6">
        <v>4727</v>
      </c>
      <c r="H631" s="6">
        <v>704</v>
      </c>
      <c r="I631" s="6">
        <v>2476</v>
      </c>
      <c r="J631" s="6">
        <v>28</v>
      </c>
      <c r="K631" s="6">
        <v>504</v>
      </c>
      <c r="L631" s="6">
        <v>4834</v>
      </c>
      <c r="M631" s="6">
        <v>15122</v>
      </c>
      <c r="N631" s="6">
        <v>6619</v>
      </c>
      <c r="O631" s="6">
        <v>14891</v>
      </c>
      <c r="P631" s="6">
        <v>4286</v>
      </c>
      <c r="Q631" s="6">
        <v>10240</v>
      </c>
      <c r="R631" s="16">
        <f t="shared" si="38"/>
        <v>15739</v>
      </c>
      <c r="S631" s="16">
        <f t="shared" si="39"/>
        <v>40253</v>
      </c>
      <c r="U631" s="5">
        <v>15739</v>
      </c>
    </row>
    <row r="632" spans="1:21" ht="15.6" x14ac:dyDescent="0.3">
      <c r="A632" s="10">
        <v>39072</v>
      </c>
      <c r="B632" s="6">
        <v>1681</v>
      </c>
      <c r="C632" s="6">
        <v>3152</v>
      </c>
      <c r="D632" s="6">
        <v>553</v>
      </c>
      <c r="E632" s="6">
        <v>1987</v>
      </c>
      <c r="F632" s="6">
        <v>1280</v>
      </c>
      <c r="G632" s="6">
        <v>3622</v>
      </c>
      <c r="H632" s="6">
        <v>1033</v>
      </c>
      <c r="I632" s="6">
        <v>2616</v>
      </c>
      <c r="J632" s="6">
        <v>83</v>
      </c>
      <c r="K632" s="6">
        <v>534</v>
      </c>
      <c r="L632" s="6">
        <v>4630</v>
      </c>
      <c r="M632" s="6">
        <v>11911</v>
      </c>
      <c r="N632" s="6">
        <v>11890</v>
      </c>
      <c r="O632" s="6">
        <v>17911</v>
      </c>
      <c r="P632" s="6">
        <v>7376</v>
      </c>
      <c r="Q632" s="6">
        <v>12218</v>
      </c>
      <c r="R632" s="16">
        <f t="shared" si="38"/>
        <v>23896</v>
      </c>
      <c r="S632" s="16">
        <f t="shared" si="39"/>
        <v>42040</v>
      </c>
      <c r="U632" s="5">
        <v>23896</v>
      </c>
    </row>
    <row r="633" spans="1:21" ht="15.6" x14ac:dyDescent="0.3">
      <c r="A633" s="10">
        <v>38715</v>
      </c>
      <c r="B633" s="6">
        <v>2692</v>
      </c>
      <c r="C633" s="6">
        <v>6320</v>
      </c>
      <c r="D633" s="6">
        <v>307</v>
      </c>
      <c r="E633" s="6">
        <v>1229</v>
      </c>
      <c r="F633" s="6">
        <v>1036</v>
      </c>
      <c r="G633" s="6">
        <v>4825</v>
      </c>
      <c r="H633" s="6">
        <v>661</v>
      </c>
      <c r="I633" s="6">
        <v>2571</v>
      </c>
      <c r="J633" s="6">
        <v>31</v>
      </c>
      <c r="K633" s="6">
        <v>508</v>
      </c>
      <c r="L633" s="6">
        <v>4727</v>
      </c>
      <c r="M633" s="6">
        <v>15453</v>
      </c>
      <c r="N633" s="6">
        <v>5991</v>
      </c>
      <c r="O633" s="6">
        <v>15978</v>
      </c>
      <c r="P633" s="6">
        <v>4375</v>
      </c>
      <c r="Q633" s="6">
        <v>10613</v>
      </c>
      <c r="R633" s="16">
        <f t="shared" si="38"/>
        <v>15093</v>
      </c>
      <c r="S633" s="16">
        <f t="shared" si="39"/>
        <v>42044</v>
      </c>
      <c r="U633" s="5">
        <v>15093</v>
      </c>
    </row>
    <row r="634" spans="1:21" ht="15.6" x14ac:dyDescent="0.3">
      <c r="A634" s="10">
        <v>39079</v>
      </c>
      <c r="B634" s="6">
        <v>1460</v>
      </c>
      <c r="C634" s="6">
        <v>3389</v>
      </c>
      <c r="D634" s="6">
        <v>550</v>
      </c>
      <c r="E634" s="6">
        <v>2008</v>
      </c>
      <c r="F634" s="6">
        <v>1301</v>
      </c>
      <c r="G634" s="6">
        <v>3683</v>
      </c>
      <c r="H634" s="6">
        <v>880</v>
      </c>
      <c r="I634" s="6">
        <v>2786</v>
      </c>
      <c r="J634" s="6">
        <v>86</v>
      </c>
      <c r="K634" s="6">
        <v>554</v>
      </c>
      <c r="L634" s="6">
        <v>4277</v>
      </c>
      <c r="M634" s="6">
        <v>12399</v>
      </c>
      <c r="N634" s="6">
        <v>11503</v>
      </c>
      <c r="O634" s="6">
        <v>18872</v>
      </c>
      <c r="P634" s="6">
        <v>6886</v>
      </c>
      <c r="Q634" s="6">
        <v>13046</v>
      </c>
      <c r="R634" s="16">
        <f t="shared" si="38"/>
        <v>22666</v>
      </c>
      <c r="S634" s="16">
        <f t="shared" si="39"/>
        <v>44317</v>
      </c>
      <c r="U634" s="5">
        <v>22666</v>
      </c>
    </row>
    <row r="635" spans="1:21" ht="15.6" x14ac:dyDescent="0.3">
      <c r="A635" s="10">
        <v>38722</v>
      </c>
      <c r="B635" s="6">
        <v>2412</v>
      </c>
      <c r="C635" s="6">
        <v>6701</v>
      </c>
      <c r="D635" s="6">
        <v>337</v>
      </c>
      <c r="E635" s="6">
        <v>1277</v>
      </c>
      <c r="F635" s="6">
        <v>1003</v>
      </c>
      <c r="G635" s="6">
        <v>4935</v>
      </c>
      <c r="H635" s="6">
        <v>657</v>
      </c>
      <c r="I635" s="6">
        <v>2607</v>
      </c>
      <c r="J635" s="6">
        <v>84</v>
      </c>
      <c r="K635" s="6">
        <v>509</v>
      </c>
      <c r="L635" s="6">
        <v>4494</v>
      </c>
      <c r="M635" s="6">
        <v>16029</v>
      </c>
      <c r="N635" s="6">
        <v>5905</v>
      </c>
      <c r="O635" s="6">
        <v>16696</v>
      </c>
      <c r="P635" s="6">
        <v>4149</v>
      </c>
      <c r="Q635" s="6">
        <v>11287</v>
      </c>
      <c r="R635" s="16">
        <f t="shared" si="38"/>
        <v>14548</v>
      </c>
      <c r="S635" s="16">
        <f t="shared" si="39"/>
        <v>44012</v>
      </c>
      <c r="U635" s="5">
        <v>14548</v>
      </c>
    </row>
    <row r="636" spans="1:21" ht="15.6" x14ac:dyDescent="0.3">
      <c r="A636" s="10">
        <v>39086</v>
      </c>
      <c r="B636" s="6">
        <v>1334</v>
      </c>
      <c r="C636" s="6">
        <v>3544</v>
      </c>
      <c r="D636" s="6">
        <v>512</v>
      </c>
      <c r="E636" s="6">
        <v>2071</v>
      </c>
      <c r="F636" s="6">
        <v>1132</v>
      </c>
      <c r="G636" s="6">
        <v>3869</v>
      </c>
      <c r="H636" s="6">
        <v>963</v>
      </c>
      <c r="I636" s="6">
        <v>2875</v>
      </c>
      <c r="J636" s="6">
        <v>86</v>
      </c>
      <c r="K636" s="6">
        <v>534</v>
      </c>
      <c r="L636" s="6">
        <v>4028</v>
      </c>
      <c r="M636" s="6">
        <v>12893</v>
      </c>
      <c r="N636" s="6">
        <v>11827</v>
      </c>
      <c r="O636" s="6">
        <v>19724</v>
      </c>
      <c r="P636" s="6">
        <v>6918</v>
      </c>
      <c r="Q636" s="6">
        <v>13591</v>
      </c>
      <c r="R636" s="16">
        <f t="shared" si="38"/>
        <v>22773</v>
      </c>
      <c r="S636" s="16">
        <f t="shared" si="39"/>
        <v>46208</v>
      </c>
      <c r="U636" s="5">
        <v>22773</v>
      </c>
    </row>
    <row r="637" spans="1:21" ht="15.6" x14ac:dyDescent="0.3">
      <c r="A637" s="10">
        <v>38729</v>
      </c>
      <c r="B637" s="6">
        <v>2319</v>
      </c>
      <c r="C637" s="6">
        <v>6893</v>
      </c>
      <c r="D637" s="6">
        <v>309</v>
      </c>
      <c r="E637" s="6">
        <v>1311</v>
      </c>
      <c r="F637" s="6">
        <v>1067</v>
      </c>
      <c r="G637" s="6">
        <v>5010</v>
      </c>
      <c r="H637" s="6">
        <v>732</v>
      </c>
      <c r="I637" s="6">
        <v>2619</v>
      </c>
      <c r="J637" s="6">
        <v>97</v>
      </c>
      <c r="K637" s="6">
        <v>516</v>
      </c>
      <c r="L637" s="6">
        <v>4525</v>
      </c>
      <c r="M637" s="6">
        <v>16350</v>
      </c>
      <c r="N637" s="6">
        <v>6184</v>
      </c>
      <c r="O637" s="6">
        <v>17639</v>
      </c>
      <c r="P637" s="6">
        <v>4870</v>
      </c>
      <c r="Q637" s="6">
        <v>11844</v>
      </c>
      <c r="R637" s="16">
        <f t="shared" si="38"/>
        <v>15579</v>
      </c>
      <c r="S637" s="16">
        <f t="shared" si="39"/>
        <v>45833</v>
      </c>
      <c r="U637" s="5">
        <v>15579</v>
      </c>
    </row>
    <row r="638" spans="1:21" ht="15.6" x14ac:dyDescent="0.3">
      <c r="A638" s="10">
        <v>39093</v>
      </c>
      <c r="B638" s="6">
        <v>1545</v>
      </c>
      <c r="C638" s="6">
        <v>3661</v>
      </c>
      <c r="D638" s="6">
        <v>570</v>
      </c>
      <c r="E638" s="6">
        <v>2104</v>
      </c>
      <c r="F638" s="6">
        <v>1191</v>
      </c>
      <c r="G638" s="6">
        <v>3998</v>
      </c>
      <c r="H638" s="6">
        <v>1088</v>
      </c>
      <c r="I638" s="6">
        <v>2973</v>
      </c>
      <c r="J638" s="6">
        <v>74</v>
      </c>
      <c r="K638" s="6">
        <v>540</v>
      </c>
      <c r="L638" s="6">
        <v>4468</v>
      </c>
      <c r="M638" s="6">
        <v>13277</v>
      </c>
      <c r="N638" s="6">
        <v>12246</v>
      </c>
      <c r="O638" s="6">
        <v>20731</v>
      </c>
      <c r="P638" s="6">
        <v>7139</v>
      </c>
      <c r="Q638" s="6">
        <v>14466</v>
      </c>
      <c r="R638" s="16">
        <f t="shared" si="38"/>
        <v>23853</v>
      </c>
      <c r="S638" s="16">
        <f t="shared" si="39"/>
        <v>48474</v>
      </c>
      <c r="U638" s="5">
        <v>23853</v>
      </c>
    </row>
    <row r="639" spans="1:21" ht="15.6" x14ac:dyDescent="0.3">
      <c r="A639" s="10">
        <v>38736</v>
      </c>
      <c r="B639" s="6">
        <v>2159</v>
      </c>
      <c r="C639" s="6">
        <v>7121</v>
      </c>
      <c r="D639" s="6">
        <v>310</v>
      </c>
      <c r="E639" s="6">
        <v>1364</v>
      </c>
      <c r="F639" s="6">
        <v>1083</v>
      </c>
      <c r="G639" s="6">
        <v>5143</v>
      </c>
      <c r="H639" s="6">
        <v>742</v>
      </c>
      <c r="I639" s="6">
        <v>2694</v>
      </c>
      <c r="J639" s="6">
        <v>116</v>
      </c>
      <c r="K639" s="6">
        <v>517</v>
      </c>
      <c r="L639" s="6">
        <v>4410</v>
      </c>
      <c r="M639" s="6">
        <v>16840</v>
      </c>
      <c r="N639" s="6">
        <v>7416</v>
      </c>
      <c r="O639" s="6">
        <v>18565</v>
      </c>
      <c r="P639" s="6">
        <v>4523</v>
      </c>
      <c r="Q639" s="6">
        <v>12713</v>
      </c>
      <c r="R639" s="16">
        <f t="shared" si="38"/>
        <v>16349</v>
      </c>
      <c r="S639" s="16">
        <f t="shared" si="39"/>
        <v>48118</v>
      </c>
      <c r="U639" s="5">
        <v>16349</v>
      </c>
    </row>
    <row r="640" spans="1:21" ht="15.6" x14ac:dyDescent="0.3">
      <c r="A640" s="10">
        <v>39100</v>
      </c>
      <c r="B640" s="6">
        <v>1456</v>
      </c>
      <c r="C640" s="6">
        <v>3856</v>
      </c>
      <c r="D640" s="6">
        <v>496</v>
      </c>
      <c r="E640" s="6">
        <v>2202</v>
      </c>
      <c r="F640" s="6">
        <v>1126</v>
      </c>
      <c r="G640" s="6">
        <v>4120</v>
      </c>
      <c r="H640" s="6">
        <v>1031</v>
      </c>
      <c r="I640" s="6">
        <v>3085</v>
      </c>
      <c r="J640" s="6">
        <v>74</v>
      </c>
      <c r="K640" s="6">
        <v>544</v>
      </c>
      <c r="L640" s="6">
        <v>4184</v>
      </c>
      <c r="M640" s="6">
        <v>13807</v>
      </c>
      <c r="N640" s="6">
        <v>12204</v>
      </c>
      <c r="O640" s="6">
        <v>21764</v>
      </c>
      <c r="P640" s="6">
        <v>7124</v>
      </c>
      <c r="Q640" s="6">
        <v>15096</v>
      </c>
      <c r="R640" s="16">
        <f t="shared" si="38"/>
        <v>23512</v>
      </c>
      <c r="S640" s="16">
        <f t="shared" si="39"/>
        <v>50667</v>
      </c>
      <c r="U640" s="5">
        <v>23512</v>
      </c>
    </row>
    <row r="641" spans="1:21" ht="15.6" x14ac:dyDescent="0.3">
      <c r="A641" s="10">
        <v>38743</v>
      </c>
      <c r="B641" s="6">
        <v>2039</v>
      </c>
      <c r="C641" s="6">
        <v>7386</v>
      </c>
      <c r="D641" s="6">
        <v>264</v>
      </c>
      <c r="E641" s="6">
        <v>1382</v>
      </c>
      <c r="F641" s="6">
        <v>1057</v>
      </c>
      <c r="G641" s="6">
        <v>5297</v>
      </c>
      <c r="H641" s="6">
        <v>700</v>
      </c>
      <c r="I641" s="6">
        <v>2829</v>
      </c>
      <c r="J641" s="6">
        <v>126</v>
      </c>
      <c r="K641" s="6">
        <v>522</v>
      </c>
      <c r="L641" s="6">
        <v>4185</v>
      </c>
      <c r="M641" s="6">
        <v>17417</v>
      </c>
      <c r="N641" s="6">
        <v>7858</v>
      </c>
      <c r="O641" s="6">
        <v>19500</v>
      </c>
      <c r="P641" s="6">
        <v>4403</v>
      </c>
      <c r="Q641" s="6">
        <v>13280</v>
      </c>
      <c r="R641" s="16">
        <f t="shared" si="38"/>
        <v>16446</v>
      </c>
      <c r="S641" s="16">
        <f t="shared" si="39"/>
        <v>50197</v>
      </c>
      <c r="U641" s="5">
        <v>16446</v>
      </c>
    </row>
    <row r="642" spans="1:21" ht="15.6" x14ac:dyDescent="0.3">
      <c r="A642" s="10" t="s">
        <v>172</v>
      </c>
      <c r="B642" s="6">
        <v>1528</v>
      </c>
      <c r="C642" s="6">
        <v>4044</v>
      </c>
      <c r="D642" s="6">
        <v>590</v>
      </c>
      <c r="E642" s="6">
        <v>2241</v>
      </c>
      <c r="F642" s="6">
        <v>1074</v>
      </c>
      <c r="G642" s="6">
        <v>4230</v>
      </c>
      <c r="H642" s="6">
        <v>884</v>
      </c>
      <c r="I642" s="6">
        <v>3289</v>
      </c>
      <c r="J642" s="6">
        <v>94</v>
      </c>
      <c r="K642" s="6">
        <v>579</v>
      </c>
      <c r="L642" s="6">
        <v>4170</v>
      </c>
      <c r="M642" s="6">
        <v>14382</v>
      </c>
      <c r="N642" s="6">
        <v>11800</v>
      </c>
      <c r="O642" s="6">
        <v>22957</v>
      </c>
      <c r="P642" s="6">
        <v>6778</v>
      </c>
      <c r="Q642" s="6">
        <v>16120</v>
      </c>
      <c r="R642" s="16">
        <f t="shared" si="38"/>
        <v>22748</v>
      </c>
      <c r="S642" s="16">
        <f t="shared" si="39"/>
        <v>53459</v>
      </c>
      <c r="U642" s="5">
        <v>22748</v>
      </c>
    </row>
    <row r="643" spans="1:21" ht="15.6" x14ac:dyDescent="0.3">
      <c r="A643" s="10">
        <v>38750</v>
      </c>
      <c r="B643" s="6">
        <v>1751</v>
      </c>
      <c r="C643" s="6">
        <v>7725</v>
      </c>
      <c r="D643" s="6">
        <v>299</v>
      </c>
      <c r="E643" s="6">
        <v>1424</v>
      </c>
      <c r="F643" s="6">
        <v>1057</v>
      </c>
      <c r="G643" s="6">
        <v>5431</v>
      </c>
      <c r="H643" s="6">
        <v>687</v>
      </c>
      <c r="I643" s="6">
        <v>2920</v>
      </c>
      <c r="J643" s="6">
        <v>104</v>
      </c>
      <c r="K643" s="6">
        <v>555</v>
      </c>
      <c r="L643" s="6">
        <v>3898</v>
      </c>
      <c r="M643" s="6">
        <v>18055</v>
      </c>
      <c r="N643" s="6">
        <v>8455</v>
      </c>
      <c r="O643" s="6">
        <v>20518</v>
      </c>
      <c r="P643" s="6">
        <v>4247</v>
      </c>
      <c r="Q643" s="6">
        <v>13954</v>
      </c>
      <c r="R643" s="16">
        <f t="shared" si="38"/>
        <v>16600</v>
      </c>
      <c r="S643" s="16">
        <f t="shared" si="39"/>
        <v>52527</v>
      </c>
      <c r="U643" s="5">
        <v>16600</v>
      </c>
    </row>
    <row r="644" spans="1:21" ht="15.6" x14ac:dyDescent="0.3">
      <c r="A644" s="10">
        <v>39114</v>
      </c>
      <c r="B644" s="6">
        <v>1526</v>
      </c>
      <c r="C644" s="6">
        <v>4293</v>
      </c>
      <c r="D644" s="6">
        <v>656</v>
      </c>
      <c r="E644" s="6">
        <v>2332</v>
      </c>
      <c r="F644" s="6">
        <v>1013</v>
      </c>
      <c r="G644" s="6">
        <v>4384</v>
      </c>
      <c r="H644" s="6">
        <v>1004</v>
      </c>
      <c r="I644" s="6">
        <v>3377</v>
      </c>
      <c r="J644" s="6">
        <v>114</v>
      </c>
      <c r="K644" s="6">
        <v>587</v>
      </c>
      <c r="L644" s="6">
        <v>4313</v>
      </c>
      <c r="M644" s="6">
        <v>14971</v>
      </c>
      <c r="N644" s="6">
        <v>11687</v>
      </c>
      <c r="O644" s="6">
        <v>23987</v>
      </c>
      <c r="P644" s="6">
        <v>6686</v>
      </c>
      <c r="Q644" s="6">
        <v>17016</v>
      </c>
      <c r="R644" s="16">
        <f t="shared" si="38"/>
        <v>22686</v>
      </c>
      <c r="S644" s="16">
        <f t="shared" si="39"/>
        <v>55974</v>
      </c>
      <c r="U644" s="5">
        <v>22686</v>
      </c>
    </row>
    <row r="645" spans="1:21" ht="15.6" x14ac:dyDescent="0.3">
      <c r="A645" s="10">
        <v>38757</v>
      </c>
      <c r="B645" s="6">
        <v>1644</v>
      </c>
      <c r="C645" s="6">
        <v>7948</v>
      </c>
      <c r="D645" s="6">
        <v>344</v>
      </c>
      <c r="E645" s="6">
        <v>1467</v>
      </c>
      <c r="F645" s="6">
        <v>1170</v>
      </c>
      <c r="G645" s="6">
        <v>5533</v>
      </c>
      <c r="H645" s="6">
        <v>696</v>
      </c>
      <c r="I645" s="6">
        <v>3034</v>
      </c>
      <c r="J645" s="6">
        <v>146</v>
      </c>
      <c r="K645" s="6">
        <v>565</v>
      </c>
      <c r="L645" s="6">
        <v>3999</v>
      </c>
      <c r="M645" s="6">
        <v>18547</v>
      </c>
      <c r="N645" s="6">
        <v>8829</v>
      </c>
      <c r="O645" s="6">
        <v>21340</v>
      </c>
      <c r="P645" s="6">
        <v>3788</v>
      </c>
      <c r="Q645" s="6">
        <v>14942</v>
      </c>
      <c r="R645" s="16">
        <f t="shared" si="38"/>
        <v>16616</v>
      </c>
      <c r="S645" s="16">
        <f t="shared" si="39"/>
        <v>54829</v>
      </c>
      <c r="U645" s="5">
        <v>16616</v>
      </c>
    </row>
    <row r="646" spans="1:21" ht="15.6" x14ac:dyDescent="0.3">
      <c r="A646" s="10">
        <v>39121</v>
      </c>
      <c r="B646" s="6">
        <v>1452</v>
      </c>
      <c r="C646" s="6">
        <v>4441</v>
      </c>
      <c r="D646" s="6">
        <v>715</v>
      </c>
      <c r="E646" s="6">
        <v>2388</v>
      </c>
      <c r="F646" s="6">
        <v>1035</v>
      </c>
      <c r="G646" s="6">
        <v>4482</v>
      </c>
      <c r="H646" s="6">
        <v>948</v>
      </c>
      <c r="I646" s="6">
        <v>3483</v>
      </c>
      <c r="J646" s="6">
        <v>116</v>
      </c>
      <c r="K646" s="6">
        <v>587</v>
      </c>
      <c r="L646" s="6">
        <v>4265</v>
      </c>
      <c r="M646" s="6">
        <v>15380</v>
      </c>
      <c r="N646" s="6">
        <v>12077</v>
      </c>
      <c r="O646" s="6">
        <v>24984</v>
      </c>
      <c r="P646" s="6">
        <v>5863</v>
      </c>
      <c r="Q646" s="6">
        <v>18220</v>
      </c>
      <c r="R646" s="16">
        <f t="shared" si="38"/>
        <v>22205</v>
      </c>
      <c r="S646" s="16">
        <f t="shared" si="39"/>
        <v>58584</v>
      </c>
      <c r="U646" s="5">
        <v>22205</v>
      </c>
    </row>
    <row r="647" spans="1:21" ht="15.6" x14ac:dyDescent="0.3">
      <c r="A647" s="10">
        <v>38764</v>
      </c>
      <c r="B647" s="6">
        <v>1668</v>
      </c>
      <c r="C647" s="6">
        <v>8121</v>
      </c>
      <c r="D647" s="6">
        <v>365</v>
      </c>
      <c r="E647" s="6">
        <v>1518</v>
      </c>
      <c r="F647" s="6">
        <v>1125</v>
      </c>
      <c r="G647" s="6">
        <v>5661</v>
      </c>
      <c r="H647" s="6">
        <v>709</v>
      </c>
      <c r="I647" s="6">
        <v>3130</v>
      </c>
      <c r="J647" s="6">
        <v>192</v>
      </c>
      <c r="K647" s="6">
        <v>568</v>
      </c>
      <c r="L647" s="6">
        <v>4059</v>
      </c>
      <c r="M647" s="6">
        <v>18997</v>
      </c>
      <c r="N647" s="6">
        <v>9281</v>
      </c>
      <c r="O647" s="6">
        <v>22372</v>
      </c>
      <c r="P647" s="6">
        <v>3544</v>
      </c>
      <c r="Q647" s="6">
        <v>15691</v>
      </c>
      <c r="R647" s="16">
        <f t="shared" si="38"/>
        <v>16884</v>
      </c>
      <c r="S647" s="16">
        <f t="shared" si="39"/>
        <v>57060</v>
      </c>
      <c r="U647" s="5">
        <v>16884</v>
      </c>
    </row>
    <row r="648" spans="1:21" ht="15.6" x14ac:dyDescent="0.3">
      <c r="A648" s="10">
        <v>39128</v>
      </c>
      <c r="B648" s="6">
        <v>1403</v>
      </c>
      <c r="C648" s="6">
        <v>4575</v>
      </c>
      <c r="D648" s="6">
        <v>729</v>
      </c>
      <c r="E648" s="6">
        <v>2481</v>
      </c>
      <c r="F648" s="6">
        <v>1126</v>
      </c>
      <c r="G648" s="6">
        <v>4569</v>
      </c>
      <c r="H648" s="6">
        <v>914</v>
      </c>
      <c r="I648" s="6">
        <v>3589</v>
      </c>
      <c r="J648" s="6">
        <v>116</v>
      </c>
      <c r="K648" s="6">
        <v>596</v>
      </c>
      <c r="L648" s="6">
        <v>4287</v>
      </c>
      <c r="M648" s="6">
        <v>15809</v>
      </c>
      <c r="N648" s="6">
        <v>11657</v>
      </c>
      <c r="O648" s="6">
        <v>26233</v>
      </c>
      <c r="P648" s="6">
        <v>5736</v>
      </c>
      <c r="Q648" s="6">
        <v>18959</v>
      </c>
      <c r="R648" s="16">
        <f t="shared" ref="R648:R711" si="40">L648+N648+P648</f>
        <v>21680</v>
      </c>
      <c r="S648" s="16">
        <f t="shared" ref="S648:S713" si="41">M648+O648+Q648</f>
        <v>61001</v>
      </c>
      <c r="U648" s="5">
        <v>21680</v>
      </c>
    </row>
    <row r="649" spans="1:21" ht="15.6" x14ac:dyDescent="0.3">
      <c r="A649" s="10">
        <v>38771</v>
      </c>
      <c r="B649" s="6">
        <v>1579</v>
      </c>
      <c r="C649" s="6">
        <v>8300</v>
      </c>
      <c r="D649" s="6">
        <v>375</v>
      </c>
      <c r="E649" s="6">
        <v>1545</v>
      </c>
      <c r="F649" s="6">
        <v>1020</v>
      </c>
      <c r="G649" s="6">
        <v>5805</v>
      </c>
      <c r="H649" s="6">
        <v>674</v>
      </c>
      <c r="I649" s="6">
        <v>3178</v>
      </c>
      <c r="J649" s="6">
        <v>156</v>
      </c>
      <c r="K649" s="6">
        <v>584</v>
      </c>
      <c r="L649" s="6">
        <v>3804</v>
      </c>
      <c r="M649" s="6">
        <v>19412</v>
      </c>
      <c r="N649" s="6">
        <v>8935</v>
      </c>
      <c r="O649" s="6">
        <v>23325</v>
      </c>
      <c r="P649" s="6">
        <v>3406</v>
      </c>
      <c r="Q649" s="6">
        <v>16196</v>
      </c>
      <c r="R649" s="16">
        <f t="shared" si="40"/>
        <v>16145</v>
      </c>
      <c r="S649" s="16">
        <f t="shared" si="41"/>
        <v>58933</v>
      </c>
      <c r="U649" s="5">
        <v>16145</v>
      </c>
    </row>
    <row r="650" spans="1:21" ht="15.6" x14ac:dyDescent="0.3">
      <c r="A650" s="10">
        <v>39135</v>
      </c>
      <c r="B650" s="6">
        <v>1315</v>
      </c>
      <c r="C650" s="6">
        <v>4783</v>
      </c>
      <c r="D650" s="6">
        <v>653</v>
      </c>
      <c r="E650" s="6">
        <v>2569</v>
      </c>
      <c r="F650" s="6">
        <v>1065</v>
      </c>
      <c r="G650" s="6">
        <v>4689</v>
      </c>
      <c r="H650" s="6">
        <v>861</v>
      </c>
      <c r="I650" s="6">
        <v>3767</v>
      </c>
      <c r="J650" s="6">
        <v>103</v>
      </c>
      <c r="K650" s="6">
        <v>614</v>
      </c>
      <c r="L650" s="6">
        <v>3997</v>
      </c>
      <c r="M650" s="6">
        <v>16421</v>
      </c>
      <c r="N650" s="6">
        <v>11084</v>
      </c>
      <c r="O650" s="6">
        <v>27106</v>
      </c>
      <c r="P650" s="6">
        <v>5217</v>
      </c>
      <c r="Q650" s="6">
        <v>19886</v>
      </c>
      <c r="R650" s="16">
        <f t="shared" si="40"/>
        <v>20298</v>
      </c>
      <c r="S650" s="16">
        <f t="shared" si="41"/>
        <v>63413</v>
      </c>
      <c r="U650" s="5">
        <v>20298</v>
      </c>
    </row>
    <row r="651" spans="1:21" ht="15.6" x14ac:dyDescent="0.3">
      <c r="A651" s="10">
        <v>38778</v>
      </c>
      <c r="B651" s="6">
        <v>1444</v>
      </c>
      <c r="C651" s="6">
        <v>8526</v>
      </c>
      <c r="D651" s="6">
        <v>368</v>
      </c>
      <c r="E651" s="6">
        <v>1570</v>
      </c>
      <c r="F651" s="6">
        <v>1039</v>
      </c>
      <c r="G651" s="6">
        <v>5895</v>
      </c>
      <c r="H651" s="6">
        <v>686</v>
      </c>
      <c r="I651" s="6">
        <v>3236</v>
      </c>
      <c r="J651" s="6">
        <v>174</v>
      </c>
      <c r="K651" s="6">
        <v>585</v>
      </c>
      <c r="L651" s="6">
        <v>3710</v>
      </c>
      <c r="M651" s="6">
        <v>19812</v>
      </c>
      <c r="N651" s="6">
        <v>9246</v>
      </c>
      <c r="O651" s="6">
        <v>24376</v>
      </c>
      <c r="P651" s="6">
        <v>3134</v>
      </c>
      <c r="Q651" s="6">
        <v>16973</v>
      </c>
      <c r="R651" s="16">
        <f t="shared" si="40"/>
        <v>16090</v>
      </c>
      <c r="S651" s="16">
        <f t="shared" si="41"/>
        <v>61161</v>
      </c>
      <c r="U651" s="5">
        <v>16090</v>
      </c>
    </row>
    <row r="652" spans="1:21" ht="15.6" x14ac:dyDescent="0.3">
      <c r="A652" s="10">
        <v>39142</v>
      </c>
      <c r="B652" s="6">
        <v>1324</v>
      </c>
      <c r="C652" s="6">
        <v>4927</v>
      </c>
      <c r="D652" s="6">
        <v>733</v>
      </c>
      <c r="E652" s="6">
        <v>2607</v>
      </c>
      <c r="F652" s="6">
        <v>984</v>
      </c>
      <c r="G652" s="6">
        <v>4847</v>
      </c>
      <c r="H652" s="6">
        <v>826</v>
      </c>
      <c r="I652" s="6">
        <v>3871</v>
      </c>
      <c r="J652" s="6">
        <v>98</v>
      </c>
      <c r="K652" s="6">
        <v>616</v>
      </c>
      <c r="L652" s="6">
        <v>3965</v>
      </c>
      <c r="M652" s="6">
        <v>16875</v>
      </c>
      <c r="N652" s="6">
        <v>10731</v>
      </c>
      <c r="O652" s="6">
        <v>28647</v>
      </c>
      <c r="P652" s="6">
        <v>4920</v>
      </c>
      <c r="Q652" s="6">
        <v>20749</v>
      </c>
      <c r="R652" s="16">
        <f t="shared" si="40"/>
        <v>19616</v>
      </c>
      <c r="S652" s="16">
        <f t="shared" si="41"/>
        <v>66271</v>
      </c>
      <c r="U652" s="5">
        <v>19616</v>
      </c>
    </row>
    <row r="653" spans="1:21" ht="15.6" x14ac:dyDescent="0.3">
      <c r="A653" s="10">
        <v>38785</v>
      </c>
      <c r="B653" s="6">
        <v>1324</v>
      </c>
      <c r="C653" s="6">
        <v>8734</v>
      </c>
      <c r="D653" s="6">
        <v>294</v>
      </c>
      <c r="E653" s="6">
        <v>1640</v>
      </c>
      <c r="F653" s="6">
        <v>1042</v>
      </c>
      <c r="G653" s="6">
        <v>6026</v>
      </c>
      <c r="H653" s="6">
        <v>589</v>
      </c>
      <c r="I653" s="6">
        <v>3391</v>
      </c>
      <c r="J653" s="6">
        <v>225</v>
      </c>
      <c r="K653" s="6">
        <v>594</v>
      </c>
      <c r="L653" s="6">
        <v>3474</v>
      </c>
      <c r="M653" s="6">
        <v>20386</v>
      </c>
      <c r="N653" s="6">
        <v>9443</v>
      </c>
      <c r="O653" s="6">
        <v>25210</v>
      </c>
      <c r="P653" s="6">
        <v>2675</v>
      </c>
      <c r="Q653" s="6">
        <v>17813</v>
      </c>
      <c r="R653" s="16">
        <f t="shared" si="40"/>
        <v>15592</v>
      </c>
      <c r="S653" s="16">
        <f t="shared" si="41"/>
        <v>63409</v>
      </c>
      <c r="U653" s="5">
        <v>15592</v>
      </c>
    </row>
    <row r="654" spans="1:21" ht="15.6" x14ac:dyDescent="0.3">
      <c r="A654" s="10">
        <v>39149</v>
      </c>
      <c r="B654" s="6">
        <v>1275</v>
      </c>
      <c r="C654" s="6">
        <v>5062</v>
      </c>
      <c r="D654" s="6">
        <v>642</v>
      </c>
      <c r="E654" s="6">
        <v>2803</v>
      </c>
      <c r="F654" s="6">
        <v>990</v>
      </c>
      <c r="G654" s="6">
        <v>4979</v>
      </c>
      <c r="H654" s="6">
        <v>895</v>
      </c>
      <c r="I654" s="6">
        <v>3908</v>
      </c>
      <c r="J654" s="6">
        <v>65</v>
      </c>
      <c r="K654" s="6">
        <v>665</v>
      </c>
      <c r="L654" s="6">
        <v>3865</v>
      </c>
      <c r="M654" s="6">
        <v>17418</v>
      </c>
      <c r="N654" s="6">
        <v>10330</v>
      </c>
      <c r="O654" s="6">
        <v>29682</v>
      </c>
      <c r="P654" s="6">
        <v>4587</v>
      </c>
      <c r="Q654" s="6">
        <v>21533</v>
      </c>
      <c r="R654" s="16">
        <f t="shared" si="40"/>
        <v>18782</v>
      </c>
      <c r="S654" s="16">
        <f t="shared" si="41"/>
        <v>68633</v>
      </c>
      <c r="U654" s="5">
        <v>18782</v>
      </c>
    </row>
    <row r="655" spans="1:21" ht="15.6" x14ac:dyDescent="0.3">
      <c r="A655" s="10">
        <v>38792</v>
      </c>
      <c r="B655" s="6">
        <v>1169</v>
      </c>
      <c r="C655" s="6">
        <v>8927</v>
      </c>
      <c r="D655" s="6">
        <v>288</v>
      </c>
      <c r="E655" s="6">
        <v>1677</v>
      </c>
      <c r="F655" s="6">
        <v>1094</v>
      </c>
      <c r="G655" s="6">
        <v>6143</v>
      </c>
      <c r="H655" s="6">
        <v>737</v>
      </c>
      <c r="I655" s="6">
        <v>3425</v>
      </c>
      <c r="J655" s="6">
        <v>224</v>
      </c>
      <c r="K655" s="6">
        <v>607</v>
      </c>
      <c r="L655" s="6">
        <v>3512</v>
      </c>
      <c r="M655" s="6">
        <v>20780</v>
      </c>
      <c r="N655" s="6">
        <v>9141</v>
      </c>
      <c r="O655" s="6">
        <v>26414</v>
      </c>
      <c r="P655" s="6">
        <v>2368</v>
      </c>
      <c r="Q655" s="6">
        <v>18353</v>
      </c>
      <c r="R655" s="16">
        <f t="shared" si="40"/>
        <v>15021</v>
      </c>
      <c r="S655" s="16">
        <f t="shared" si="41"/>
        <v>65547</v>
      </c>
      <c r="U655" s="5">
        <v>15021</v>
      </c>
    </row>
    <row r="656" spans="1:21" ht="15.6" x14ac:dyDescent="0.3">
      <c r="A656" s="10">
        <v>39156</v>
      </c>
      <c r="B656" s="6">
        <v>1268</v>
      </c>
      <c r="C656" s="6">
        <v>5189</v>
      </c>
      <c r="D656" s="6">
        <v>595</v>
      </c>
      <c r="E656" s="6">
        <v>2907</v>
      </c>
      <c r="F656" s="6">
        <v>1044</v>
      </c>
      <c r="G656" s="6">
        <v>5060</v>
      </c>
      <c r="H656" s="6">
        <v>932</v>
      </c>
      <c r="I656" s="6">
        <v>4024</v>
      </c>
      <c r="J656" s="6">
        <v>74</v>
      </c>
      <c r="K656" s="6">
        <v>665</v>
      </c>
      <c r="L656" s="6">
        <v>3913</v>
      </c>
      <c r="M656" s="6">
        <v>17845</v>
      </c>
      <c r="N656" s="6">
        <v>10066</v>
      </c>
      <c r="O656" s="6">
        <v>30587</v>
      </c>
      <c r="P656" s="6">
        <v>4602</v>
      </c>
      <c r="Q656" s="6">
        <v>22033</v>
      </c>
      <c r="R656" s="16">
        <f t="shared" si="40"/>
        <v>18581</v>
      </c>
      <c r="S656" s="16">
        <f t="shared" si="41"/>
        <v>70465</v>
      </c>
      <c r="U656" s="5">
        <v>18581</v>
      </c>
    </row>
    <row r="657" spans="1:21" ht="15.6" x14ac:dyDescent="0.3">
      <c r="A657" s="10">
        <v>38799</v>
      </c>
      <c r="B657" s="6">
        <v>1325</v>
      </c>
      <c r="C657" s="6">
        <v>9075</v>
      </c>
      <c r="D657" s="6">
        <v>278</v>
      </c>
      <c r="E657" s="6">
        <v>1711</v>
      </c>
      <c r="F657" s="6">
        <v>1056</v>
      </c>
      <c r="G657" s="6">
        <v>6248</v>
      </c>
      <c r="H657" s="6">
        <v>681</v>
      </c>
      <c r="I657" s="6">
        <v>3571</v>
      </c>
      <c r="J657" s="6">
        <v>231</v>
      </c>
      <c r="K657" s="6">
        <v>624</v>
      </c>
      <c r="L657" s="6">
        <v>3571</v>
      </c>
      <c r="M657" s="6">
        <v>21229</v>
      </c>
      <c r="N657" s="6">
        <v>9285</v>
      </c>
      <c r="O657" s="6">
        <v>27309</v>
      </c>
      <c r="P657" s="6">
        <v>1898</v>
      </c>
      <c r="Q657" s="6">
        <v>19044</v>
      </c>
      <c r="R657" s="16">
        <f t="shared" si="40"/>
        <v>14754</v>
      </c>
      <c r="S657" s="16">
        <f t="shared" si="41"/>
        <v>67582</v>
      </c>
      <c r="U657" s="5">
        <v>14754</v>
      </c>
    </row>
    <row r="658" spans="1:21" ht="15.6" x14ac:dyDescent="0.3">
      <c r="A658" s="10">
        <v>39163</v>
      </c>
      <c r="B658" s="6">
        <v>1237</v>
      </c>
      <c r="C658" s="6">
        <v>5349</v>
      </c>
      <c r="D658" s="6">
        <v>784</v>
      </c>
      <c r="E658" s="6">
        <v>2956</v>
      </c>
      <c r="F658" s="6">
        <v>1025</v>
      </c>
      <c r="G658" s="6">
        <v>5185</v>
      </c>
      <c r="H658" s="6">
        <v>931</v>
      </c>
      <c r="I658" s="6">
        <v>4064</v>
      </c>
      <c r="J658" s="6">
        <v>87</v>
      </c>
      <c r="K658" s="6">
        <v>669</v>
      </c>
      <c r="L658" s="6">
        <v>4064</v>
      </c>
      <c r="M658" s="6">
        <v>18223</v>
      </c>
      <c r="N658" s="6">
        <v>10043</v>
      </c>
      <c r="O658" s="6">
        <v>31734</v>
      </c>
      <c r="P658" s="6">
        <v>4316</v>
      </c>
      <c r="Q658" s="6">
        <v>22590</v>
      </c>
      <c r="R658" s="16">
        <f t="shared" si="40"/>
        <v>18423</v>
      </c>
      <c r="S658" s="16">
        <f t="shared" si="41"/>
        <v>72547</v>
      </c>
      <c r="U658" s="5">
        <v>18423</v>
      </c>
    </row>
    <row r="659" spans="1:21" ht="15.6" x14ac:dyDescent="0.3">
      <c r="A659" s="10">
        <v>38806</v>
      </c>
      <c r="B659" s="6">
        <v>1365</v>
      </c>
      <c r="C659" s="6">
        <v>9208</v>
      </c>
      <c r="D659" s="6">
        <v>285</v>
      </c>
      <c r="E659" s="6">
        <v>1719</v>
      </c>
      <c r="F659" s="6">
        <v>1004</v>
      </c>
      <c r="G659" s="6">
        <v>6351</v>
      </c>
      <c r="H659" s="6">
        <v>641</v>
      </c>
      <c r="I659" s="6">
        <v>3622</v>
      </c>
      <c r="J659" s="6">
        <v>234</v>
      </c>
      <c r="K659" s="6">
        <v>645</v>
      </c>
      <c r="L659" s="6">
        <v>3528</v>
      </c>
      <c r="M659" s="6">
        <v>21544</v>
      </c>
      <c r="N659" s="6">
        <v>8755</v>
      </c>
      <c r="O659" s="6">
        <v>28499</v>
      </c>
      <c r="P659" s="6">
        <v>1786</v>
      </c>
      <c r="Q659" s="6">
        <v>19511</v>
      </c>
      <c r="R659" s="16">
        <f t="shared" si="40"/>
        <v>14069</v>
      </c>
      <c r="S659" s="16">
        <f t="shared" si="41"/>
        <v>69554</v>
      </c>
      <c r="U659" s="5">
        <v>14069</v>
      </c>
    </row>
    <row r="660" spans="1:21" ht="15.6" x14ac:dyDescent="0.3">
      <c r="A660" s="10">
        <v>39170</v>
      </c>
      <c r="B660" s="6">
        <v>1192</v>
      </c>
      <c r="C660" s="6">
        <v>5442</v>
      </c>
      <c r="D660" s="6">
        <v>729</v>
      </c>
      <c r="E660" s="6">
        <v>3080</v>
      </c>
      <c r="F660" s="6">
        <v>1003</v>
      </c>
      <c r="G660" s="6">
        <v>5291</v>
      </c>
      <c r="H660" s="6">
        <v>879</v>
      </c>
      <c r="I660" s="6">
        <v>4134</v>
      </c>
      <c r="J660" s="6">
        <v>81</v>
      </c>
      <c r="K660" s="6">
        <v>669</v>
      </c>
      <c r="L660" s="6">
        <v>3884</v>
      </c>
      <c r="M660" s="6">
        <v>18617</v>
      </c>
      <c r="N660" s="6">
        <v>9656</v>
      </c>
      <c r="O660" s="6">
        <v>32670</v>
      </c>
      <c r="P660" s="6">
        <v>3789</v>
      </c>
      <c r="Q660" s="6">
        <v>23375</v>
      </c>
      <c r="R660" s="16">
        <f t="shared" si="40"/>
        <v>17329</v>
      </c>
      <c r="S660" s="16">
        <f t="shared" si="41"/>
        <v>74662</v>
      </c>
      <c r="U660" s="5">
        <v>17329</v>
      </c>
    </row>
    <row r="661" spans="1:21" ht="15.6" x14ac:dyDescent="0.3">
      <c r="A661" s="10">
        <v>38813</v>
      </c>
      <c r="B661" s="6">
        <v>1316</v>
      </c>
      <c r="C661" s="6">
        <v>9391</v>
      </c>
      <c r="D661" s="6">
        <v>291</v>
      </c>
      <c r="E661" s="6">
        <v>1748</v>
      </c>
      <c r="F661" s="6">
        <v>979</v>
      </c>
      <c r="G661" s="6">
        <v>6439</v>
      </c>
      <c r="H661" s="6">
        <v>633</v>
      </c>
      <c r="I661" s="6">
        <v>3643</v>
      </c>
      <c r="J661" s="6">
        <v>221</v>
      </c>
      <c r="K661" s="6">
        <v>670</v>
      </c>
      <c r="L661" s="6">
        <v>3438</v>
      </c>
      <c r="M661" s="6">
        <v>21890</v>
      </c>
      <c r="N661" s="6">
        <v>8687</v>
      </c>
      <c r="O661" s="6">
        <v>29381</v>
      </c>
      <c r="P661" s="6">
        <v>1942</v>
      </c>
      <c r="Q661" s="6">
        <v>19698</v>
      </c>
      <c r="R661" s="16">
        <f t="shared" si="40"/>
        <v>14067</v>
      </c>
      <c r="S661" s="16">
        <f t="shared" si="41"/>
        <v>70969</v>
      </c>
    </row>
    <row r="662" spans="1:21" ht="15.6" x14ac:dyDescent="0.3">
      <c r="A662" s="10">
        <v>39177</v>
      </c>
      <c r="B662" s="6">
        <v>1277</v>
      </c>
      <c r="C662" s="6">
        <v>5567</v>
      </c>
      <c r="D662" s="6">
        <v>830</v>
      </c>
      <c r="E662" s="6">
        <v>3126</v>
      </c>
      <c r="F662" s="6">
        <v>1139</v>
      </c>
      <c r="G662" s="6">
        <v>5411</v>
      </c>
      <c r="H662" s="6">
        <v>832</v>
      </c>
      <c r="I662" s="6">
        <v>4228</v>
      </c>
      <c r="J662" s="6">
        <v>114</v>
      </c>
      <c r="K662" s="6">
        <v>669</v>
      </c>
      <c r="L662" s="6">
        <v>4193</v>
      </c>
      <c r="M662" s="6">
        <v>19001</v>
      </c>
      <c r="N662" s="6">
        <v>10247</v>
      </c>
      <c r="O662" s="6">
        <v>33405</v>
      </c>
      <c r="P662" s="6">
        <v>3394</v>
      </c>
      <c r="Q662" s="6">
        <v>23908</v>
      </c>
      <c r="R662" s="16">
        <f t="shared" si="40"/>
        <v>17834</v>
      </c>
      <c r="S662" s="16">
        <f t="shared" si="41"/>
        <v>76314</v>
      </c>
    </row>
    <row r="663" spans="1:21" ht="15.6" x14ac:dyDescent="0.3">
      <c r="A663" s="10">
        <v>38820</v>
      </c>
      <c r="B663" s="6">
        <v>1300</v>
      </c>
      <c r="C663" s="6">
        <v>9467</v>
      </c>
      <c r="D663" s="6">
        <v>269</v>
      </c>
      <c r="E663" s="6">
        <v>1788</v>
      </c>
      <c r="F663" s="6">
        <v>1029</v>
      </c>
      <c r="G663" s="6">
        <v>6513</v>
      </c>
      <c r="H663" s="6">
        <v>611</v>
      </c>
      <c r="I663" s="6">
        <v>3673</v>
      </c>
      <c r="J663" s="6">
        <v>220</v>
      </c>
      <c r="K663" s="6">
        <v>670</v>
      </c>
      <c r="L663" s="6">
        <v>3430</v>
      </c>
      <c r="M663" s="6">
        <v>22110</v>
      </c>
      <c r="N663" s="6">
        <v>8888</v>
      </c>
      <c r="O663" s="6">
        <v>30282</v>
      </c>
      <c r="P663" s="6">
        <v>1848</v>
      </c>
      <c r="Q663" s="6">
        <v>19987</v>
      </c>
      <c r="R663" s="16">
        <f t="shared" si="40"/>
        <v>14166</v>
      </c>
      <c r="S663" s="16">
        <f t="shared" si="41"/>
        <v>72379</v>
      </c>
    </row>
    <row r="664" spans="1:21" ht="15.6" x14ac:dyDescent="0.3">
      <c r="A664" s="10">
        <v>39184</v>
      </c>
      <c r="B664" s="6">
        <v>1169</v>
      </c>
      <c r="C664" s="6">
        <v>5761</v>
      </c>
      <c r="D664" s="6">
        <v>740</v>
      </c>
      <c r="E664" s="6">
        <v>3271</v>
      </c>
      <c r="F664" s="6">
        <v>1084</v>
      </c>
      <c r="G664" s="6">
        <v>5572</v>
      </c>
      <c r="H664" s="6">
        <v>722</v>
      </c>
      <c r="I664" s="6">
        <v>4413</v>
      </c>
      <c r="J664" s="6">
        <v>128</v>
      </c>
      <c r="K664" s="6">
        <v>678</v>
      </c>
      <c r="L664" s="6">
        <v>3842</v>
      </c>
      <c r="M664" s="6">
        <v>19695</v>
      </c>
      <c r="N664" s="6">
        <v>10152</v>
      </c>
      <c r="O664" s="6">
        <v>34302</v>
      </c>
      <c r="P664" s="6">
        <v>3201</v>
      </c>
      <c r="Q664" s="6">
        <v>24385</v>
      </c>
      <c r="R664" s="16">
        <f t="shared" si="40"/>
        <v>17195</v>
      </c>
      <c r="S664" s="16">
        <f t="shared" si="41"/>
        <v>78382</v>
      </c>
    </row>
    <row r="665" spans="1:21" ht="15.6" x14ac:dyDescent="0.3">
      <c r="A665" s="10">
        <v>38827</v>
      </c>
      <c r="B665" s="6">
        <v>1177</v>
      </c>
      <c r="C665" s="6">
        <v>9640</v>
      </c>
      <c r="D665" s="6">
        <v>262</v>
      </c>
      <c r="E665" s="6">
        <v>1798</v>
      </c>
      <c r="F665" s="6">
        <v>949</v>
      </c>
      <c r="G665" s="6">
        <v>6637</v>
      </c>
      <c r="H665" s="6">
        <v>537</v>
      </c>
      <c r="I665" s="6">
        <v>3775</v>
      </c>
      <c r="J665" s="6">
        <v>152</v>
      </c>
      <c r="K665" s="6">
        <v>777</v>
      </c>
      <c r="L665" s="6">
        <v>3076</v>
      </c>
      <c r="M665" s="6">
        <v>22627</v>
      </c>
      <c r="N665" s="6">
        <v>8475</v>
      </c>
      <c r="O665" s="6">
        <v>31478</v>
      </c>
      <c r="P665" s="6">
        <v>1687</v>
      </c>
      <c r="Q665" s="6">
        <v>20260</v>
      </c>
      <c r="R665" s="16">
        <f t="shared" si="40"/>
        <v>13238</v>
      </c>
      <c r="S665" s="16">
        <f t="shared" si="41"/>
        <v>74365</v>
      </c>
    </row>
    <row r="666" spans="1:21" ht="15.6" x14ac:dyDescent="0.3">
      <c r="A666" s="10">
        <v>39191</v>
      </c>
      <c r="B666" s="6">
        <v>1196</v>
      </c>
      <c r="C666" s="6">
        <v>5887</v>
      </c>
      <c r="D666" s="6">
        <v>716</v>
      </c>
      <c r="E666" s="6">
        <v>3325</v>
      </c>
      <c r="F666" s="6">
        <v>1051</v>
      </c>
      <c r="G666" s="6">
        <v>5653</v>
      </c>
      <c r="H666" s="6">
        <v>685</v>
      </c>
      <c r="I666" s="6">
        <v>4501</v>
      </c>
      <c r="J666" s="6">
        <v>123</v>
      </c>
      <c r="K666" s="6">
        <v>678</v>
      </c>
      <c r="L666" s="6">
        <v>3771</v>
      </c>
      <c r="M666" s="6">
        <v>20044</v>
      </c>
      <c r="N666" s="6">
        <v>10350</v>
      </c>
      <c r="O666" s="6">
        <v>35210</v>
      </c>
      <c r="P666" s="6">
        <v>3169</v>
      </c>
      <c r="Q666" s="6">
        <v>24839</v>
      </c>
      <c r="R666" s="16">
        <f t="shared" si="40"/>
        <v>17290</v>
      </c>
      <c r="S666" s="16">
        <f t="shared" si="41"/>
        <v>80093</v>
      </c>
    </row>
    <row r="667" spans="1:21" ht="15.6" x14ac:dyDescent="0.3">
      <c r="A667" s="10">
        <v>38834</v>
      </c>
      <c r="B667" s="6">
        <v>1066</v>
      </c>
      <c r="C667" s="6">
        <v>9807</v>
      </c>
      <c r="D667" s="6">
        <v>282</v>
      </c>
      <c r="E667" s="6">
        <v>1841</v>
      </c>
      <c r="F667" s="6">
        <v>912</v>
      </c>
      <c r="G667" s="6">
        <v>6793</v>
      </c>
      <c r="H667" s="6">
        <v>437</v>
      </c>
      <c r="I667" s="6">
        <v>4016</v>
      </c>
      <c r="J667" s="6">
        <v>163</v>
      </c>
      <c r="K667" s="6">
        <v>777</v>
      </c>
      <c r="L667" s="6">
        <v>2859</v>
      </c>
      <c r="M667" s="6">
        <v>23233</v>
      </c>
      <c r="N667" s="6">
        <v>8703</v>
      </c>
      <c r="O667" s="6">
        <v>32533</v>
      </c>
      <c r="P667" s="6">
        <v>1509</v>
      </c>
      <c r="Q667" s="6">
        <v>20620</v>
      </c>
      <c r="R667" s="16">
        <f t="shared" si="40"/>
        <v>13071</v>
      </c>
      <c r="S667" s="16">
        <f t="shared" si="41"/>
        <v>76386</v>
      </c>
    </row>
    <row r="668" spans="1:21" ht="15.6" x14ac:dyDescent="0.3">
      <c r="A668" s="10">
        <v>39198</v>
      </c>
      <c r="B668" s="6">
        <v>1141</v>
      </c>
      <c r="C668" s="6">
        <v>6050</v>
      </c>
      <c r="D668" s="6">
        <v>651</v>
      </c>
      <c r="E668" s="6">
        <v>3402</v>
      </c>
      <c r="F668" s="6">
        <v>946</v>
      </c>
      <c r="G668" s="6">
        <v>5768</v>
      </c>
      <c r="H668" s="6">
        <v>617</v>
      </c>
      <c r="I668" s="6">
        <v>4590</v>
      </c>
      <c r="J668" s="6">
        <v>123</v>
      </c>
      <c r="K668" s="6">
        <v>681</v>
      </c>
      <c r="L668" s="6">
        <v>3478</v>
      </c>
      <c r="M668" s="6">
        <v>20490</v>
      </c>
      <c r="N668" s="6">
        <v>9880</v>
      </c>
      <c r="O668" s="6">
        <v>36296</v>
      </c>
      <c r="P668" s="6">
        <v>2667</v>
      </c>
      <c r="Q668" s="6">
        <v>25270</v>
      </c>
      <c r="R668" s="16">
        <f t="shared" si="40"/>
        <v>16025</v>
      </c>
      <c r="S668" s="16">
        <f t="shared" si="41"/>
        <v>82056</v>
      </c>
    </row>
    <row r="669" spans="1:21" ht="15.6" x14ac:dyDescent="0.3">
      <c r="A669" s="10">
        <v>38841</v>
      </c>
      <c r="B669" s="6">
        <v>882</v>
      </c>
      <c r="C669" s="6">
        <v>9939</v>
      </c>
      <c r="D669" s="6">
        <v>305</v>
      </c>
      <c r="E669" s="6">
        <v>1875</v>
      </c>
      <c r="F669" s="6">
        <v>794</v>
      </c>
      <c r="G669" s="6">
        <v>6870</v>
      </c>
      <c r="H669" s="6">
        <v>477</v>
      </c>
      <c r="I669" s="6">
        <v>4032</v>
      </c>
      <c r="J669" s="6">
        <v>122</v>
      </c>
      <c r="K669" s="6">
        <v>830</v>
      </c>
      <c r="L669" s="6">
        <v>2579</v>
      </c>
      <c r="M669" s="6">
        <v>23547</v>
      </c>
      <c r="N669" s="6">
        <v>8703</v>
      </c>
      <c r="O669" s="6">
        <v>33638</v>
      </c>
      <c r="P669" s="6">
        <v>1634</v>
      </c>
      <c r="Q669" s="6">
        <v>20884</v>
      </c>
      <c r="R669" s="16">
        <f t="shared" si="40"/>
        <v>12916</v>
      </c>
      <c r="S669" s="16">
        <f t="shared" si="41"/>
        <v>78069</v>
      </c>
    </row>
    <row r="670" spans="1:21" ht="15.6" x14ac:dyDescent="0.3">
      <c r="A670" s="10">
        <v>39205</v>
      </c>
      <c r="B670" s="6">
        <v>1036</v>
      </c>
      <c r="C670" s="6">
        <v>6215</v>
      </c>
      <c r="D670" s="6">
        <v>526</v>
      </c>
      <c r="E670" s="6">
        <v>3527</v>
      </c>
      <c r="F670" s="6">
        <v>950</v>
      </c>
      <c r="G670" s="6">
        <v>5839</v>
      </c>
      <c r="H670" s="6">
        <v>609</v>
      </c>
      <c r="I670" s="6">
        <v>4615</v>
      </c>
      <c r="J670" s="6">
        <v>105</v>
      </c>
      <c r="K670" s="6">
        <v>731</v>
      </c>
      <c r="L670" s="6">
        <v>3226</v>
      </c>
      <c r="M670" s="6">
        <v>20927</v>
      </c>
      <c r="N670" s="6">
        <v>9468</v>
      </c>
      <c r="O670" s="6">
        <v>37232</v>
      </c>
      <c r="P670" s="6">
        <v>2475</v>
      </c>
      <c r="Q670" s="6">
        <v>25666</v>
      </c>
      <c r="R670" s="16">
        <f t="shared" si="40"/>
        <v>15169</v>
      </c>
      <c r="S670" s="16">
        <f t="shared" si="41"/>
        <v>83825</v>
      </c>
    </row>
    <row r="671" spans="1:21" ht="15.6" x14ac:dyDescent="0.3">
      <c r="A671" s="10">
        <v>38848</v>
      </c>
      <c r="B671" s="6">
        <v>843</v>
      </c>
      <c r="C671" s="6">
        <v>10072</v>
      </c>
      <c r="D671" s="6">
        <v>283</v>
      </c>
      <c r="E671" s="6">
        <v>1925</v>
      </c>
      <c r="F671" s="6">
        <v>645</v>
      </c>
      <c r="G671" s="6">
        <v>7022</v>
      </c>
      <c r="H671" s="6">
        <v>417</v>
      </c>
      <c r="I671" s="6">
        <v>4073</v>
      </c>
      <c r="J671" s="6">
        <v>86</v>
      </c>
      <c r="K671" s="6">
        <v>859</v>
      </c>
      <c r="L671" s="6">
        <v>2274</v>
      </c>
      <c r="M671" s="6">
        <v>23951</v>
      </c>
      <c r="N671" s="6">
        <v>9157</v>
      </c>
      <c r="O671" s="6">
        <v>34723</v>
      </c>
      <c r="P671" s="6">
        <v>1764</v>
      </c>
      <c r="Q671" s="6">
        <v>21086</v>
      </c>
      <c r="R671" s="16">
        <f t="shared" si="40"/>
        <v>13195</v>
      </c>
      <c r="S671" s="16">
        <f t="shared" si="41"/>
        <v>79760</v>
      </c>
    </row>
    <row r="672" spans="1:21" ht="15.6" x14ac:dyDescent="0.3">
      <c r="A672" s="10">
        <v>39212</v>
      </c>
      <c r="B672" s="6">
        <v>971</v>
      </c>
      <c r="C672" s="6">
        <v>6320</v>
      </c>
      <c r="D672" s="6">
        <v>426</v>
      </c>
      <c r="E672" s="6">
        <v>3661</v>
      </c>
      <c r="F672" s="6">
        <v>789</v>
      </c>
      <c r="G672" s="6">
        <v>5995</v>
      </c>
      <c r="H672" s="6">
        <v>432</v>
      </c>
      <c r="I672" s="6">
        <v>4782</v>
      </c>
      <c r="J672" s="6">
        <v>99</v>
      </c>
      <c r="K672" s="6">
        <v>737</v>
      </c>
      <c r="L672" s="6">
        <v>2716</v>
      </c>
      <c r="M672" s="6">
        <v>21494</v>
      </c>
      <c r="N672" s="6">
        <v>9835</v>
      </c>
      <c r="O672" s="6">
        <v>38309</v>
      </c>
      <c r="P672" s="6">
        <v>2454</v>
      </c>
      <c r="Q672" s="6">
        <v>25910</v>
      </c>
      <c r="R672" s="16">
        <f t="shared" si="40"/>
        <v>15005</v>
      </c>
      <c r="S672" s="16">
        <f t="shared" si="41"/>
        <v>85713</v>
      </c>
    </row>
    <row r="673" spans="1:19" ht="15.6" x14ac:dyDescent="0.3">
      <c r="A673" s="10">
        <v>38855</v>
      </c>
      <c r="B673" s="6">
        <v>678</v>
      </c>
      <c r="C673" s="6">
        <v>10253</v>
      </c>
      <c r="D673" s="6">
        <v>244</v>
      </c>
      <c r="E673" s="6">
        <v>1979</v>
      </c>
      <c r="F673" s="6">
        <v>518</v>
      </c>
      <c r="G673" s="6">
        <v>7142</v>
      </c>
      <c r="H673" s="6">
        <v>347</v>
      </c>
      <c r="I673" s="6">
        <v>4122</v>
      </c>
      <c r="J673" s="6">
        <v>35</v>
      </c>
      <c r="K673" s="6">
        <v>912</v>
      </c>
      <c r="L673" s="6">
        <v>1821</v>
      </c>
      <c r="M673" s="6">
        <v>24408</v>
      </c>
      <c r="N673" s="6">
        <v>8816</v>
      </c>
      <c r="O673" s="6">
        <v>36201</v>
      </c>
      <c r="P673" s="6">
        <v>1818</v>
      </c>
      <c r="Q673" s="6">
        <v>21266</v>
      </c>
      <c r="R673" s="16">
        <f t="shared" si="40"/>
        <v>12455</v>
      </c>
      <c r="S673" s="16">
        <f t="shared" si="41"/>
        <v>81875</v>
      </c>
    </row>
    <row r="674" spans="1:19" ht="15.6" x14ac:dyDescent="0.3">
      <c r="A674" s="10">
        <v>39219</v>
      </c>
      <c r="B674" s="6">
        <v>820</v>
      </c>
      <c r="C674" s="6">
        <v>6540</v>
      </c>
      <c r="D674" s="6">
        <v>336</v>
      </c>
      <c r="E674" s="6">
        <v>3733</v>
      </c>
      <c r="F674" s="6">
        <v>577</v>
      </c>
      <c r="G674" s="6">
        <v>6125</v>
      </c>
      <c r="H674" s="6">
        <v>287</v>
      </c>
      <c r="I674" s="6">
        <v>4889</v>
      </c>
      <c r="J674" s="6">
        <v>28</v>
      </c>
      <c r="K674" s="6">
        <v>739</v>
      </c>
      <c r="L674" s="6">
        <v>2048</v>
      </c>
      <c r="M674" s="6">
        <v>22025</v>
      </c>
      <c r="N674" s="6">
        <v>9682</v>
      </c>
      <c r="O674" s="6">
        <v>39119</v>
      </c>
      <c r="P674" s="6">
        <v>2207</v>
      </c>
      <c r="Q674" s="6">
        <v>26240</v>
      </c>
      <c r="R674" s="16">
        <f t="shared" si="40"/>
        <v>13937</v>
      </c>
      <c r="S674" s="16">
        <f t="shared" si="41"/>
        <v>87384</v>
      </c>
    </row>
    <row r="675" spans="1:19" ht="15.6" x14ac:dyDescent="0.3">
      <c r="A675" s="10">
        <v>38862</v>
      </c>
      <c r="B675" s="6">
        <v>473</v>
      </c>
      <c r="C675" s="6">
        <v>10459</v>
      </c>
      <c r="D675" s="6">
        <v>167</v>
      </c>
      <c r="E675" s="6">
        <v>2037</v>
      </c>
      <c r="F675" s="6">
        <v>380</v>
      </c>
      <c r="G675" s="6">
        <v>7244</v>
      </c>
      <c r="H675" s="6">
        <v>312</v>
      </c>
      <c r="I675" s="6">
        <v>4159</v>
      </c>
      <c r="J675" s="6">
        <v>9</v>
      </c>
      <c r="K675" s="6">
        <v>930</v>
      </c>
      <c r="L675" s="6">
        <v>1341</v>
      </c>
      <c r="M675" s="6">
        <v>24828</v>
      </c>
      <c r="N675" s="6">
        <v>8717</v>
      </c>
      <c r="O675" s="6">
        <v>37455</v>
      </c>
      <c r="P675" s="6">
        <v>1809</v>
      </c>
      <c r="Q675" s="6">
        <v>21622</v>
      </c>
      <c r="R675" s="16">
        <f t="shared" si="40"/>
        <v>11867</v>
      </c>
      <c r="S675" s="16">
        <f t="shared" si="41"/>
        <v>83905</v>
      </c>
    </row>
    <row r="676" spans="1:19" ht="15.6" x14ac:dyDescent="0.3">
      <c r="A676" s="10">
        <v>39226</v>
      </c>
      <c r="B676" s="6">
        <v>560</v>
      </c>
      <c r="C676" s="6">
        <v>6650</v>
      </c>
      <c r="D676" s="6">
        <v>290</v>
      </c>
      <c r="E676" s="6">
        <v>3793</v>
      </c>
      <c r="F676" s="6">
        <v>375</v>
      </c>
      <c r="G676" s="6">
        <v>6265</v>
      </c>
      <c r="H676" s="6">
        <v>167</v>
      </c>
      <c r="I676" s="6">
        <v>4960</v>
      </c>
      <c r="J676" s="6">
        <v>27</v>
      </c>
      <c r="K676" s="6">
        <v>739</v>
      </c>
      <c r="L676" s="6">
        <v>1419</v>
      </c>
      <c r="M676" s="6">
        <v>22406</v>
      </c>
      <c r="N676" s="6">
        <v>9268</v>
      </c>
      <c r="O676" s="6">
        <v>40209</v>
      </c>
      <c r="P676" s="6">
        <v>2332</v>
      </c>
      <c r="Q676" s="6">
        <v>26461</v>
      </c>
      <c r="R676" s="16">
        <f t="shared" si="40"/>
        <v>13019</v>
      </c>
      <c r="S676" s="16">
        <f t="shared" si="41"/>
        <v>89076</v>
      </c>
    </row>
    <row r="677" spans="1:19" ht="15.6" x14ac:dyDescent="0.3">
      <c r="A677" s="10">
        <v>38869</v>
      </c>
      <c r="B677" s="6">
        <v>256</v>
      </c>
      <c r="C677" s="6">
        <v>10644</v>
      </c>
      <c r="D677" s="6">
        <v>154</v>
      </c>
      <c r="E677" s="6">
        <v>2053</v>
      </c>
      <c r="F677" s="6">
        <v>268</v>
      </c>
      <c r="G677" s="6">
        <v>7395</v>
      </c>
      <c r="H677" s="6">
        <v>185</v>
      </c>
      <c r="I677" s="6">
        <v>4287</v>
      </c>
      <c r="J677" s="6">
        <v>4</v>
      </c>
      <c r="K677" s="6">
        <v>941</v>
      </c>
      <c r="L677" s="6">
        <v>866</v>
      </c>
      <c r="M677" s="6">
        <v>25320</v>
      </c>
      <c r="N677" s="6">
        <v>8420</v>
      </c>
      <c r="O677" s="6">
        <v>38620</v>
      </c>
      <c r="P677" s="6">
        <v>1733</v>
      </c>
      <c r="Q677" s="6">
        <v>21878</v>
      </c>
      <c r="R677" s="16">
        <f t="shared" si="40"/>
        <v>11019</v>
      </c>
      <c r="S677" s="16">
        <f t="shared" si="41"/>
        <v>85818</v>
      </c>
    </row>
    <row r="678" spans="1:19" ht="15.6" x14ac:dyDescent="0.3">
      <c r="A678" s="10">
        <v>39233</v>
      </c>
      <c r="B678" s="6">
        <v>362</v>
      </c>
      <c r="C678" s="80">
        <v>6800</v>
      </c>
      <c r="D678" s="6">
        <v>216</v>
      </c>
      <c r="E678" s="80">
        <v>3866</v>
      </c>
      <c r="F678" s="6">
        <v>171</v>
      </c>
      <c r="G678" s="80">
        <v>6480</v>
      </c>
      <c r="H678" s="6">
        <v>132</v>
      </c>
      <c r="I678" s="80">
        <v>4996</v>
      </c>
      <c r="J678" s="6">
        <v>6</v>
      </c>
      <c r="K678" s="80">
        <v>761</v>
      </c>
      <c r="L678" s="6">
        <v>886</v>
      </c>
      <c r="M678" s="80">
        <v>22902</v>
      </c>
      <c r="N678" s="6">
        <v>8642</v>
      </c>
      <c r="O678" s="80">
        <v>41211</v>
      </c>
      <c r="P678" s="6">
        <v>2392</v>
      </c>
      <c r="Q678" s="80">
        <v>26601</v>
      </c>
      <c r="R678" s="16">
        <f t="shared" si="40"/>
        <v>11920</v>
      </c>
      <c r="S678" s="16">
        <f t="shared" si="41"/>
        <v>90714</v>
      </c>
    </row>
    <row r="679" spans="1:19" ht="15.6" x14ac:dyDescent="0.3">
      <c r="A679" s="10">
        <v>38876</v>
      </c>
      <c r="B679" s="6">
        <v>1028</v>
      </c>
      <c r="C679" s="6">
        <v>105</v>
      </c>
      <c r="D679" s="6">
        <v>448</v>
      </c>
      <c r="E679" s="6">
        <v>26</v>
      </c>
      <c r="F679" s="6">
        <v>1217</v>
      </c>
      <c r="G679" s="6">
        <v>166</v>
      </c>
      <c r="H679" s="6">
        <v>727</v>
      </c>
      <c r="I679" s="6">
        <v>123</v>
      </c>
      <c r="J679" s="6">
        <v>305</v>
      </c>
      <c r="K679" s="6">
        <v>4</v>
      </c>
      <c r="L679" s="6">
        <v>3724</v>
      </c>
      <c r="M679" s="6">
        <v>424</v>
      </c>
      <c r="N679" s="6">
        <v>8746</v>
      </c>
      <c r="O679" s="6">
        <v>39759</v>
      </c>
      <c r="P679" s="6">
        <v>1901</v>
      </c>
      <c r="Q679" s="6">
        <v>22094</v>
      </c>
      <c r="R679" s="16">
        <f t="shared" si="40"/>
        <v>14371</v>
      </c>
      <c r="S679" s="16">
        <f t="shared" si="41"/>
        <v>62277</v>
      </c>
    </row>
    <row r="680" spans="1:19" ht="15.6" x14ac:dyDescent="0.3">
      <c r="A680" s="10">
        <v>39240</v>
      </c>
      <c r="B680" s="6">
        <v>1595</v>
      </c>
      <c r="C680" s="6">
        <v>62</v>
      </c>
      <c r="D680" s="6">
        <v>1033</v>
      </c>
      <c r="E680" s="6">
        <v>45</v>
      </c>
      <c r="F680" s="6">
        <v>922</v>
      </c>
      <c r="G680" s="6">
        <v>92</v>
      </c>
      <c r="H680" s="6">
        <v>718</v>
      </c>
      <c r="I680" s="6">
        <v>56</v>
      </c>
      <c r="J680" s="6">
        <v>209</v>
      </c>
      <c r="K680" s="6">
        <v>12</v>
      </c>
      <c r="L680" s="6">
        <v>4476</v>
      </c>
      <c r="M680" s="6">
        <v>268</v>
      </c>
      <c r="N680" s="6">
        <v>8343</v>
      </c>
      <c r="O680" s="6">
        <v>42042</v>
      </c>
      <c r="P680" s="6">
        <v>2262</v>
      </c>
      <c r="Q680" s="6">
        <v>26952</v>
      </c>
      <c r="R680" s="16">
        <f t="shared" si="40"/>
        <v>15081</v>
      </c>
      <c r="S680" s="16">
        <f t="shared" si="41"/>
        <v>69262</v>
      </c>
    </row>
    <row r="681" spans="1:19" ht="15.6" x14ac:dyDescent="0.3">
      <c r="A681" s="10">
        <v>38883</v>
      </c>
      <c r="B681" s="6">
        <v>1034</v>
      </c>
      <c r="C681" s="6">
        <v>235</v>
      </c>
      <c r="D681" s="6">
        <v>454</v>
      </c>
      <c r="E681" s="6">
        <v>76</v>
      </c>
      <c r="F681" s="6">
        <v>1172</v>
      </c>
      <c r="G681" s="6">
        <v>301</v>
      </c>
      <c r="H681" s="6">
        <v>683</v>
      </c>
      <c r="I681" s="6">
        <v>202</v>
      </c>
      <c r="J681" s="6">
        <v>257</v>
      </c>
      <c r="K681" s="6">
        <v>51</v>
      </c>
      <c r="L681" s="6">
        <v>3600</v>
      </c>
      <c r="M681" s="6">
        <v>865</v>
      </c>
      <c r="N681" s="6">
        <v>9037</v>
      </c>
      <c r="O681" s="6">
        <v>41043</v>
      </c>
      <c r="P681" s="6">
        <v>1893</v>
      </c>
      <c r="Q681" s="6">
        <v>22302</v>
      </c>
      <c r="R681" s="16">
        <f t="shared" si="40"/>
        <v>14530</v>
      </c>
      <c r="S681" s="16">
        <f t="shared" si="41"/>
        <v>64210</v>
      </c>
    </row>
    <row r="682" spans="1:19" ht="15.6" x14ac:dyDescent="0.3">
      <c r="A682" s="10">
        <v>39247</v>
      </c>
      <c r="B682" s="6">
        <v>1560</v>
      </c>
      <c r="C682" s="6">
        <v>244</v>
      </c>
      <c r="D682" s="6">
        <v>1100</v>
      </c>
      <c r="E682" s="6">
        <v>101</v>
      </c>
      <c r="F682" s="6">
        <v>1023</v>
      </c>
      <c r="G682" s="6">
        <v>149</v>
      </c>
      <c r="H682" s="6">
        <v>754</v>
      </c>
      <c r="I682" s="6">
        <v>133</v>
      </c>
      <c r="J682" s="6">
        <v>209</v>
      </c>
      <c r="K682" s="6">
        <v>12</v>
      </c>
      <c r="L682" s="6">
        <v>4646</v>
      </c>
      <c r="M682" s="6">
        <v>639</v>
      </c>
      <c r="N682" s="6">
        <v>8274</v>
      </c>
      <c r="O682" s="6">
        <v>42933</v>
      </c>
      <c r="P682" s="6">
        <v>2454</v>
      </c>
      <c r="Q682" s="6">
        <v>27119</v>
      </c>
      <c r="R682" s="16">
        <f t="shared" si="40"/>
        <v>15374</v>
      </c>
      <c r="S682" s="16">
        <f t="shared" si="41"/>
        <v>70691</v>
      </c>
    </row>
    <row r="683" spans="1:19" ht="15.6" x14ac:dyDescent="0.3">
      <c r="A683" s="10">
        <v>38890</v>
      </c>
      <c r="B683" s="6">
        <v>1092</v>
      </c>
      <c r="C683" s="6">
        <v>328</v>
      </c>
      <c r="D683" s="6">
        <v>481</v>
      </c>
      <c r="E683" s="6">
        <v>177</v>
      </c>
      <c r="F683" s="6">
        <v>1181</v>
      </c>
      <c r="G683" s="6">
        <v>417</v>
      </c>
      <c r="H683" s="6">
        <v>762</v>
      </c>
      <c r="I683" s="6">
        <v>258</v>
      </c>
      <c r="J683" s="6">
        <v>252</v>
      </c>
      <c r="K683" s="6">
        <v>57</v>
      </c>
      <c r="L683" s="6">
        <v>3770</v>
      </c>
      <c r="M683" s="6">
        <v>1237</v>
      </c>
      <c r="N683" s="6">
        <v>9214</v>
      </c>
      <c r="O683" s="6">
        <v>42220</v>
      </c>
      <c r="P683" s="6">
        <v>1954</v>
      </c>
      <c r="Q683" s="6">
        <v>22600</v>
      </c>
      <c r="R683" s="16">
        <f t="shared" si="40"/>
        <v>14938</v>
      </c>
      <c r="S683" s="16">
        <f t="shared" si="41"/>
        <v>66057</v>
      </c>
    </row>
    <row r="684" spans="1:19" ht="15.6" x14ac:dyDescent="0.3">
      <c r="A684" s="10">
        <v>39254</v>
      </c>
      <c r="B684" s="6">
        <v>1572</v>
      </c>
      <c r="C684" s="6">
        <v>363</v>
      </c>
      <c r="D684" s="6">
        <v>985</v>
      </c>
      <c r="E684" s="6">
        <v>337</v>
      </c>
      <c r="F684" s="6">
        <v>1325</v>
      </c>
      <c r="G684" s="6">
        <v>165</v>
      </c>
      <c r="H684" s="6">
        <v>719</v>
      </c>
      <c r="I684" s="6">
        <v>205</v>
      </c>
      <c r="J684" s="6">
        <v>225</v>
      </c>
      <c r="K684" s="6">
        <v>12</v>
      </c>
      <c r="L684" s="6">
        <v>4825</v>
      </c>
      <c r="M684" s="6">
        <v>1083</v>
      </c>
      <c r="N684" s="6">
        <v>8171</v>
      </c>
      <c r="O684" s="6">
        <v>43799</v>
      </c>
      <c r="P684" s="6">
        <v>2282</v>
      </c>
      <c r="Q684" s="6">
        <v>27531</v>
      </c>
      <c r="R684" s="16">
        <f t="shared" si="40"/>
        <v>15278</v>
      </c>
      <c r="S684" s="16">
        <f t="shared" si="41"/>
        <v>72413</v>
      </c>
    </row>
    <row r="685" spans="1:19" ht="15.6" x14ac:dyDescent="0.3">
      <c r="A685" s="10">
        <v>38897</v>
      </c>
      <c r="B685" s="6">
        <v>1107</v>
      </c>
      <c r="C685" s="6">
        <v>396</v>
      </c>
      <c r="D685" s="6">
        <v>467</v>
      </c>
      <c r="E685" s="6">
        <v>228</v>
      </c>
      <c r="F685" s="6">
        <v>1154</v>
      </c>
      <c r="G685" s="6">
        <v>555</v>
      </c>
      <c r="H685" s="6">
        <v>692</v>
      </c>
      <c r="I685" s="6">
        <v>356</v>
      </c>
      <c r="J685" s="6">
        <v>266</v>
      </c>
      <c r="K685" s="6">
        <v>84</v>
      </c>
      <c r="L685" s="6">
        <v>3686</v>
      </c>
      <c r="M685" s="6">
        <v>1619</v>
      </c>
      <c r="N685" s="6">
        <v>9000</v>
      </c>
      <c r="O685" s="6">
        <v>43223</v>
      </c>
      <c r="P685" s="6">
        <v>1943</v>
      </c>
      <c r="Q685" s="6">
        <v>22826</v>
      </c>
      <c r="R685" s="16">
        <f t="shared" si="40"/>
        <v>14629</v>
      </c>
      <c r="S685" s="16">
        <f t="shared" si="41"/>
        <v>67668</v>
      </c>
    </row>
    <row r="686" spans="1:19" ht="15.6" x14ac:dyDescent="0.3">
      <c r="A686" s="10">
        <v>39261</v>
      </c>
      <c r="B686" s="6">
        <v>1625</v>
      </c>
      <c r="C686" s="6">
        <v>538</v>
      </c>
      <c r="D686" s="6">
        <v>925</v>
      </c>
      <c r="E686" s="6">
        <v>522</v>
      </c>
      <c r="F686" s="6">
        <v>1244</v>
      </c>
      <c r="G686" s="6">
        <v>346</v>
      </c>
      <c r="H686" s="6">
        <v>759</v>
      </c>
      <c r="I686" s="6">
        <v>247</v>
      </c>
      <c r="J686" s="6">
        <v>219</v>
      </c>
      <c r="K686" s="6">
        <v>20</v>
      </c>
      <c r="L686" s="6">
        <v>4773</v>
      </c>
      <c r="M686" s="6">
        <v>1673</v>
      </c>
      <c r="N686" s="6">
        <v>8378</v>
      </c>
      <c r="O686" s="6">
        <v>44650</v>
      </c>
      <c r="P686" s="6">
        <v>2190</v>
      </c>
      <c r="Q686" s="6">
        <v>27815</v>
      </c>
      <c r="R686" s="16">
        <f t="shared" si="40"/>
        <v>15341</v>
      </c>
      <c r="S686" s="16">
        <f t="shared" si="41"/>
        <v>74138</v>
      </c>
    </row>
    <row r="687" spans="1:19" ht="15.6" x14ac:dyDescent="0.3">
      <c r="A687" s="10">
        <v>38904</v>
      </c>
      <c r="B687" s="6">
        <v>1087</v>
      </c>
      <c r="C687" s="6">
        <v>448</v>
      </c>
      <c r="D687" s="6">
        <v>473</v>
      </c>
      <c r="E687" s="6">
        <v>241</v>
      </c>
      <c r="F687" s="6">
        <v>1045</v>
      </c>
      <c r="G687" s="6">
        <v>713</v>
      </c>
      <c r="H687" s="6">
        <v>705</v>
      </c>
      <c r="I687" s="6">
        <v>423</v>
      </c>
      <c r="J687" s="6">
        <v>284</v>
      </c>
      <c r="K687" s="6">
        <v>90</v>
      </c>
      <c r="L687" s="6">
        <v>3592</v>
      </c>
      <c r="M687" s="6">
        <v>1914</v>
      </c>
      <c r="N687" s="6">
        <v>8656</v>
      </c>
      <c r="O687" s="6">
        <v>44157</v>
      </c>
      <c r="P687" s="6">
        <v>2119</v>
      </c>
      <c r="Q687" s="6">
        <v>22967</v>
      </c>
      <c r="R687" s="16">
        <f t="shared" si="40"/>
        <v>14367</v>
      </c>
      <c r="S687" s="16">
        <f t="shared" si="41"/>
        <v>69038</v>
      </c>
    </row>
    <row r="688" spans="1:19" ht="15.6" x14ac:dyDescent="0.3">
      <c r="A688" s="10">
        <v>39268</v>
      </c>
      <c r="B688" s="6">
        <v>1842</v>
      </c>
      <c r="C688" s="6">
        <v>671</v>
      </c>
      <c r="D688" s="6">
        <v>1205</v>
      </c>
      <c r="E688" s="6">
        <v>606</v>
      </c>
      <c r="F688" s="6">
        <v>1390</v>
      </c>
      <c r="G688" s="6">
        <v>384</v>
      </c>
      <c r="H688" s="6">
        <v>949</v>
      </c>
      <c r="I688" s="6">
        <v>316</v>
      </c>
      <c r="J688" s="6">
        <v>248</v>
      </c>
      <c r="K688" s="6">
        <v>20</v>
      </c>
      <c r="L688" s="6">
        <v>5633</v>
      </c>
      <c r="M688" s="6">
        <v>1997</v>
      </c>
      <c r="N688" s="6">
        <v>8573</v>
      </c>
      <c r="O688" s="6">
        <v>45462</v>
      </c>
      <c r="P688" s="6">
        <v>2147</v>
      </c>
      <c r="Q688" s="6">
        <v>28002</v>
      </c>
      <c r="R688" s="16">
        <f t="shared" si="40"/>
        <v>16353</v>
      </c>
      <c r="S688" s="16">
        <f t="shared" si="41"/>
        <v>75461</v>
      </c>
    </row>
    <row r="689" spans="1:19" ht="15.6" x14ac:dyDescent="0.3">
      <c r="A689" s="10">
        <v>38911</v>
      </c>
      <c r="B689" s="6">
        <v>989</v>
      </c>
      <c r="C689" s="6">
        <v>646</v>
      </c>
      <c r="D689" s="6">
        <v>511</v>
      </c>
      <c r="E689" s="6">
        <v>285</v>
      </c>
      <c r="F689" s="6">
        <v>982</v>
      </c>
      <c r="G689" s="6">
        <v>877</v>
      </c>
      <c r="H689" s="6">
        <v>696</v>
      </c>
      <c r="I689" s="6">
        <v>477</v>
      </c>
      <c r="J689" s="6">
        <v>284</v>
      </c>
      <c r="K689" s="6">
        <v>90</v>
      </c>
      <c r="L689" s="6">
        <v>3461</v>
      </c>
      <c r="M689" s="6">
        <v>2375</v>
      </c>
      <c r="N689" s="6">
        <v>7794</v>
      </c>
      <c r="O689" s="6">
        <v>45355</v>
      </c>
      <c r="P689" s="6">
        <v>2000</v>
      </c>
      <c r="Q689" s="6">
        <v>23322</v>
      </c>
      <c r="R689" s="16">
        <f t="shared" si="40"/>
        <v>13255</v>
      </c>
      <c r="S689" s="16">
        <f t="shared" si="41"/>
        <v>71052</v>
      </c>
    </row>
    <row r="690" spans="1:19" ht="15.6" x14ac:dyDescent="0.3">
      <c r="A690" s="10">
        <v>39275</v>
      </c>
      <c r="B690" s="6">
        <v>1915</v>
      </c>
      <c r="C690" s="6">
        <v>946</v>
      </c>
      <c r="D690" s="6">
        <v>1280</v>
      </c>
      <c r="E690" s="6">
        <v>649</v>
      </c>
      <c r="F690" s="6">
        <v>1495</v>
      </c>
      <c r="G690" s="6">
        <v>500</v>
      </c>
      <c r="H690" s="6">
        <v>960</v>
      </c>
      <c r="I690" s="6">
        <v>351</v>
      </c>
      <c r="J690" s="6">
        <v>277</v>
      </c>
      <c r="K690" s="6">
        <v>20</v>
      </c>
      <c r="L690" s="6">
        <v>5927</v>
      </c>
      <c r="M690" s="6">
        <v>2466</v>
      </c>
      <c r="N690" s="6">
        <v>8041</v>
      </c>
      <c r="O690" s="6">
        <v>46663</v>
      </c>
      <c r="P690" s="6">
        <v>2005</v>
      </c>
      <c r="Q690" s="6">
        <v>28325</v>
      </c>
      <c r="R690" s="16">
        <f t="shared" si="40"/>
        <v>15973</v>
      </c>
      <c r="S690" s="16">
        <f t="shared" si="41"/>
        <v>77454</v>
      </c>
    </row>
    <row r="691" spans="1:19" ht="15.6" x14ac:dyDescent="0.3">
      <c r="A691" s="10">
        <v>38918</v>
      </c>
      <c r="B691" s="6">
        <v>952</v>
      </c>
      <c r="C691" s="6">
        <v>730</v>
      </c>
      <c r="D691" s="6">
        <v>481</v>
      </c>
      <c r="E691" s="6">
        <v>412</v>
      </c>
      <c r="F691" s="6">
        <v>1001</v>
      </c>
      <c r="G691" s="6">
        <v>1015</v>
      </c>
      <c r="H691" s="6">
        <v>702</v>
      </c>
      <c r="I691" s="6">
        <v>637</v>
      </c>
      <c r="J691" s="6">
        <v>264</v>
      </c>
      <c r="K691" s="6">
        <v>109</v>
      </c>
      <c r="L691" s="6">
        <v>3399</v>
      </c>
      <c r="M691" s="6">
        <v>2902</v>
      </c>
      <c r="N691" s="6">
        <v>7387</v>
      </c>
      <c r="O691" s="6">
        <v>46738</v>
      </c>
      <c r="P691" s="6">
        <v>1901</v>
      </c>
      <c r="Q691" s="6">
        <v>23619</v>
      </c>
      <c r="R691" s="16">
        <f t="shared" si="40"/>
        <v>12687</v>
      </c>
      <c r="S691" s="16">
        <f t="shared" si="41"/>
        <v>73259</v>
      </c>
    </row>
    <row r="692" spans="1:19" ht="15.6" x14ac:dyDescent="0.3">
      <c r="A692" s="10">
        <v>39282</v>
      </c>
      <c r="B692" s="6">
        <v>2714</v>
      </c>
      <c r="C692" s="6">
        <v>1087</v>
      </c>
      <c r="D692" s="6">
        <v>1859</v>
      </c>
      <c r="E692" s="6">
        <v>787</v>
      </c>
      <c r="F692" s="6">
        <v>1587</v>
      </c>
      <c r="G692" s="6">
        <v>598</v>
      </c>
      <c r="H692" s="6">
        <v>948</v>
      </c>
      <c r="I692" s="6">
        <v>384</v>
      </c>
      <c r="J692" s="6">
        <v>464</v>
      </c>
      <c r="K692" s="6">
        <v>27</v>
      </c>
      <c r="L692" s="6">
        <v>7572</v>
      </c>
      <c r="M692" s="6">
        <v>2884</v>
      </c>
      <c r="N692" s="6">
        <v>7540</v>
      </c>
      <c r="O692" s="6">
        <v>47577</v>
      </c>
      <c r="P692" s="6">
        <v>2119</v>
      </c>
      <c r="Q692" s="6">
        <v>28500</v>
      </c>
      <c r="R692" s="16">
        <f t="shared" si="40"/>
        <v>17231</v>
      </c>
      <c r="S692" s="16">
        <f t="shared" si="41"/>
        <v>78961</v>
      </c>
    </row>
    <row r="693" spans="1:19" ht="15.6" x14ac:dyDescent="0.3">
      <c r="A693" s="10">
        <v>38925</v>
      </c>
      <c r="B693" s="6">
        <v>965</v>
      </c>
      <c r="C693" s="6">
        <v>895</v>
      </c>
      <c r="D693" s="6">
        <v>511</v>
      </c>
      <c r="E693" s="6">
        <v>467</v>
      </c>
      <c r="F693" s="6">
        <v>1086</v>
      </c>
      <c r="G693" s="6">
        <v>1095</v>
      </c>
      <c r="H693" s="6">
        <v>763</v>
      </c>
      <c r="I693" s="6">
        <v>701</v>
      </c>
      <c r="J693" s="6">
        <v>287</v>
      </c>
      <c r="K693" s="6">
        <v>115</v>
      </c>
      <c r="L693" s="6">
        <v>3612</v>
      </c>
      <c r="M693" s="6">
        <v>3272</v>
      </c>
      <c r="N693" s="6">
        <v>7114</v>
      </c>
      <c r="O693" s="6">
        <v>47911</v>
      </c>
      <c r="P693" s="6">
        <v>1842</v>
      </c>
      <c r="Q693" s="6">
        <v>23856</v>
      </c>
      <c r="R693" s="16">
        <f t="shared" si="40"/>
        <v>12568</v>
      </c>
      <c r="S693" s="16">
        <f>M693+O693+Q693</f>
        <v>75039</v>
      </c>
    </row>
    <row r="694" spans="1:19" ht="15.6" x14ac:dyDescent="0.3">
      <c r="A694" s="10">
        <v>39289</v>
      </c>
      <c r="B694" s="6">
        <v>3567</v>
      </c>
      <c r="C694" s="6">
        <v>1224</v>
      </c>
      <c r="D694" s="6">
        <v>1930</v>
      </c>
      <c r="E694" s="6">
        <v>917</v>
      </c>
      <c r="F694" s="6">
        <v>1957</v>
      </c>
      <c r="G694" s="6">
        <v>670</v>
      </c>
      <c r="H694" s="6">
        <v>974</v>
      </c>
      <c r="I694" s="6">
        <v>467</v>
      </c>
      <c r="J694" s="6">
        <v>427</v>
      </c>
      <c r="K694" s="6">
        <v>64</v>
      </c>
      <c r="L694" s="6">
        <v>8855</v>
      </c>
      <c r="M694" s="6">
        <v>3343</v>
      </c>
      <c r="N694" s="6">
        <v>7270</v>
      </c>
      <c r="O694" s="6">
        <v>48653</v>
      </c>
      <c r="P694" s="6">
        <v>2149</v>
      </c>
      <c r="Q694" s="6">
        <v>28655</v>
      </c>
      <c r="R694" s="16">
        <f t="shared" si="40"/>
        <v>18274</v>
      </c>
      <c r="S694" s="16">
        <f>M694+O694+Q694</f>
        <v>80651</v>
      </c>
    </row>
    <row r="695" spans="1:19" ht="15.6" x14ac:dyDescent="0.3">
      <c r="A695" s="10">
        <v>38932</v>
      </c>
      <c r="B695" s="6">
        <v>902</v>
      </c>
      <c r="C695" s="6">
        <v>1054</v>
      </c>
      <c r="D695" s="6">
        <v>437</v>
      </c>
      <c r="E695" s="6">
        <v>592</v>
      </c>
      <c r="F695" s="6">
        <v>1097</v>
      </c>
      <c r="G695" s="6">
        <v>1256</v>
      </c>
      <c r="H695" s="6">
        <v>723</v>
      </c>
      <c r="I695" s="6">
        <v>787</v>
      </c>
      <c r="J695" s="6">
        <v>293</v>
      </c>
      <c r="K695" s="6">
        <v>140</v>
      </c>
      <c r="L695" s="6">
        <v>3451</v>
      </c>
      <c r="M695" s="6">
        <v>3829</v>
      </c>
      <c r="N695" s="6">
        <v>6961</v>
      </c>
      <c r="O695" s="6">
        <v>49226</v>
      </c>
      <c r="P695" s="6">
        <v>1662</v>
      </c>
      <c r="Q695" s="6">
        <v>24310</v>
      </c>
      <c r="R695" s="16">
        <f t="shared" si="40"/>
        <v>12074</v>
      </c>
      <c r="S695" s="16">
        <f t="shared" si="41"/>
        <v>77365</v>
      </c>
    </row>
    <row r="696" spans="1:19" ht="15.6" x14ac:dyDescent="0.3">
      <c r="A696" s="10">
        <v>39296</v>
      </c>
      <c r="B696" s="6">
        <v>3672</v>
      </c>
      <c r="C696" s="6">
        <v>1554</v>
      </c>
      <c r="D696" s="6">
        <v>1801</v>
      </c>
      <c r="E696" s="6">
        <v>1144</v>
      </c>
      <c r="F696" s="6">
        <v>1995</v>
      </c>
      <c r="G696" s="6">
        <v>844</v>
      </c>
      <c r="H696" s="6">
        <v>994</v>
      </c>
      <c r="I696" s="6">
        <v>555</v>
      </c>
      <c r="J696" s="6">
        <v>452</v>
      </c>
      <c r="K696" s="6">
        <v>79</v>
      </c>
      <c r="L696" s="6">
        <v>8914</v>
      </c>
      <c r="M696" s="6">
        <v>4175</v>
      </c>
      <c r="N696" s="6">
        <v>6844</v>
      </c>
      <c r="O696" s="6">
        <v>49391</v>
      </c>
      <c r="P696" s="6">
        <v>1853</v>
      </c>
      <c r="Q696" s="6">
        <v>29105</v>
      </c>
      <c r="R696" s="16">
        <f t="shared" si="40"/>
        <v>17611</v>
      </c>
      <c r="S696" s="16">
        <f t="shared" si="41"/>
        <v>82671</v>
      </c>
    </row>
    <row r="697" spans="1:19" ht="15.6" x14ac:dyDescent="0.3">
      <c r="A697" s="10">
        <v>38939</v>
      </c>
      <c r="B697" s="6">
        <v>887</v>
      </c>
      <c r="C697" s="6">
        <v>1125</v>
      </c>
      <c r="D697" s="6">
        <v>405</v>
      </c>
      <c r="E697" s="6">
        <v>674</v>
      </c>
      <c r="F697" s="6">
        <v>1135</v>
      </c>
      <c r="G697" s="6">
        <v>1378</v>
      </c>
      <c r="H697" s="6">
        <v>756</v>
      </c>
      <c r="I697" s="6">
        <v>874</v>
      </c>
      <c r="J697" s="6">
        <v>268</v>
      </c>
      <c r="K697" s="6">
        <v>165</v>
      </c>
      <c r="L697" s="6">
        <v>3451</v>
      </c>
      <c r="M697" s="6">
        <v>4216</v>
      </c>
      <c r="N697" s="6">
        <v>6306</v>
      </c>
      <c r="O697" s="6">
        <v>50450</v>
      </c>
      <c r="P697" s="6">
        <v>1733</v>
      </c>
      <c r="Q697" s="6">
        <v>24497</v>
      </c>
      <c r="R697" s="16">
        <f t="shared" si="40"/>
        <v>11490</v>
      </c>
      <c r="S697" s="16">
        <f t="shared" si="41"/>
        <v>79163</v>
      </c>
    </row>
    <row r="698" spans="1:19" ht="15.6" x14ac:dyDescent="0.3">
      <c r="A698" s="10">
        <v>39303</v>
      </c>
      <c r="B698" s="6">
        <v>3788</v>
      </c>
      <c r="C698" s="6">
        <v>1774</v>
      </c>
      <c r="D698" s="6">
        <v>1729</v>
      </c>
      <c r="E698" s="6">
        <v>1357</v>
      </c>
      <c r="F698" s="6">
        <v>2228</v>
      </c>
      <c r="G698" s="6">
        <v>984</v>
      </c>
      <c r="H698" s="6">
        <v>1176</v>
      </c>
      <c r="I698" s="6">
        <v>629</v>
      </c>
      <c r="J698" s="6">
        <v>521</v>
      </c>
      <c r="K698" s="6">
        <v>88</v>
      </c>
      <c r="L698" s="6">
        <v>9443</v>
      </c>
      <c r="M698" s="6">
        <v>4831</v>
      </c>
      <c r="N698" s="6">
        <v>5489</v>
      </c>
      <c r="O698" s="6">
        <v>50510</v>
      </c>
      <c r="P698" s="6">
        <v>1915</v>
      </c>
      <c r="Q698" s="6">
        <v>29279</v>
      </c>
      <c r="R698" s="16">
        <f t="shared" si="40"/>
        <v>16847</v>
      </c>
      <c r="S698" s="16">
        <f t="shared" si="41"/>
        <v>84620</v>
      </c>
    </row>
    <row r="699" spans="1:19" ht="15.6" x14ac:dyDescent="0.3">
      <c r="A699" s="10">
        <v>38946</v>
      </c>
      <c r="B699" s="6">
        <v>764</v>
      </c>
      <c r="C699" s="6">
        <v>1295</v>
      </c>
      <c r="D699" s="6">
        <v>484</v>
      </c>
      <c r="E699" s="6">
        <v>729</v>
      </c>
      <c r="F699" s="6">
        <v>1159</v>
      </c>
      <c r="G699" s="6">
        <v>1452</v>
      </c>
      <c r="H699" s="6">
        <v>783</v>
      </c>
      <c r="I699" s="6">
        <v>958</v>
      </c>
      <c r="J699" s="6">
        <v>263</v>
      </c>
      <c r="K699" s="6">
        <v>173</v>
      </c>
      <c r="L699" s="6">
        <v>3454</v>
      </c>
      <c r="M699" s="6">
        <v>4607</v>
      </c>
      <c r="N699" s="6">
        <v>5305</v>
      </c>
      <c r="O699" s="6">
        <v>51632</v>
      </c>
      <c r="P699" s="6">
        <v>1451</v>
      </c>
      <c r="Q699" s="6">
        <v>24826</v>
      </c>
      <c r="R699" s="16">
        <f t="shared" si="40"/>
        <v>10210</v>
      </c>
      <c r="S699" s="16">
        <f t="shared" si="41"/>
        <v>81065</v>
      </c>
    </row>
    <row r="700" spans="1:19" ht="15.6" x14ac:dyDescent="0.3">
      <c r="A700" s="10">
        <v>39310</v>
      </c>
      <c r="B700" s="6">
        <v>3646</v>
      </c>
      <c r="C700" s="6">
        <v>2269</v>
      </c>
      <c r="D700" s="6">
        <v>1848</v>
      </c>
      <c r="E700" s="6">
        <v>1619</v>
      </c>
      <c r="F700" s="6">
        <v>2228</v>
      </c>
      <c r="G700" s="6">
        <v>1134</v>
      </c>
      <c r="H700" s="6">
        <v>1128</v>
      </c>
      <c r="I700" s="6">
        <v>819</v>
      </c>
      <c r="J700" s="6">
        <v>494</v>
      </c>
      <c r="K700" s="6">
        <v>136</v>
      </c>
      <c r="L700" s="6">
        <v>9344</v>
      </c>
      <c r="M700" s="6">
        <v>5976</v>
      </c>
      <c r="N700" s="6">
        <v>4677</v>
      </c>
      <c r="O700" s="6">
        <v>51460</v>
      </c>
      <c r="P700" s="6">
        <v>1650</v>
      </c>
      <c r="Q700" s="6">
        <v>29549</v>
      </c>
      <c r="R700" s="16">
        <f t="shared" si="40"/>
        <v>15671</v>
      </c>
      <c r="S700" s="16">
        <f t="shared" si="41"/>
        <v>86985</v>
      </c>
    </row>
    <row r="701" spans="1:19" ht="15.6" x14ac:dyDescent="0.3">
      <c r="A701" s="10">
        <v>38953</v>
      </c>
      <c r="B701" s="78">
        <v>816</v>
      </c>
      <c r="C701" s="78">
        <v>1350</v>
      </c>
      <c r="D701" s="78">
        <v>580</v>
      </c>
      <c r="E701" s="78">
        <v>815</v>
      </c>
      <c r="F701" s="78">
        <v>1155</v>
      </c>
      <c r="G701" s="78">
        <v>1535</v>
      </c>
      <c r="H701" s="78">
        <v>661</v>
      </c>
      <c r="I701" s="78">
        <v>1139</v>
      </c>
      <c r="J701" s="78">
        <v>252</v>
      </c>
      <c r="K701" s="78">
        <v>194</v>
      </c>
      <c r="L701" s="78">
        <v>3464</v>
      </c>
      <c r="M701" s="78">
        <v>5033</v>
      </c>
      <c r="N701" s="78">
        <v>3470</v>
      </c>
      <c r="O701" s="78">
        <v>53120</v>
      </c>
      <c r="P701" s="78">
        <v>1103</v>
      </c>
      <c r="Q701" s="78">
        <v>25203</v>
      </c>
      <c r="R701" s="16">
        <f t="shared" si="40"/>
        <v>8037</v>
      </c>
      <c r="S701" s="16">
        <f t="shared" si="41"/>
        <v>83356</v>
      </c>
    </row>
    <row r="702" spans="1:19" ht="15.6" x14ac:dyDescent="0.3">
      <c r="A702" s="10">
        <v>39317</v>
      </c>
      <c r="B702" s="6">
        <v>3744</v>
      </c>
      <c r="C702" s="6">
        <v>2636</v>
      </c>
      <c r="D702" s="6">
        <v>1964</v>
      </c>
      <c r="E702" s="6">
        <v>1882</v>
      </c>
      <c r="F702" s="6">
        <v>2194</v>
      </c>
      <c r="G702" s="6">
        <v>1391</v>
      </c>
      <c r="H702" s="6">
        <v>1214</v>
      </c>
      <c r="I702" s="6">
        <v>876</v>
      </c>
      <c r="J702" s="6">
        <v>448</v>
      </c>
      <c r="K702" s="6">
        <v>203</v>
      </c>
      <c r="L702" s="6">
        <v>9564</v>
      </c>
      <c r="M702" s="6">
        <v>6987</v>
      </c>
      <c r="N702" s="6">
        <v>3584</v>
      </c>
      <c r="O702" s="6">
        <v>52726</v>
      </c>
      <c r="P702" s="6">
        <v>1246</v>
      </c>
      <c r="Q702" s="6">
        <v>29871</v>
      </c>
      <c r="R702" s="16">
        <f t="shared" si="40"/>
        <v>14394</v>
      </c>
      <c r="S702" s="16">
        <f t="shared" si="41"/>
        <v>89584</v>
      </c>
    </row>
    <row r="703" spans="1:19" ht="15.6" x14ac:dyDescent="0.3">
      <c r="A703" s="10">
        <v>38960</v>
      </c>
      <c r="B703" s="78">
        <v>764</v>
      </c>
      <c r="C703" s="78">
        <v>1530</v>
      </c>
      <c r="D703" s="78">
        <v>489</v>
      </c>
      <c r="E703" s="78">
        <v>976</v>
      </c>
      <c r="F703" s="78">
        <v>1011</v>
      </c>
      <c r="G703" s="78">
        <v>1729</v>
      </c>
      <c r="H703" s="78">
        <v>773</v>
      </c>
      <c r="I703" s="78">
        <v>1180</v>
      </c>
      <c r="J703" s="78">
        <v>187</v>
      </c>
      <c r="K703" s="78">
        <v>243</v>
      </c>
      <c r="L703" s="78">
        <v>3222</v>
      </c>
      <c r="M703" s="78">
        <v>5658</v>
      </c>
      <c r="N703" s="78">
        <v>2454</v>
      </c>
      <c r="O703" s="78">
        <v>54354</v>
      </c>
      <c r="P703" s="78">
        <v>814</v>
      </c>
      <c r="Q703" s="78">
        <v>25510</v>
      </c>
      <c r="R703" s="16">
        <f t="shared" si="40"/>
        <v>6490</v>
      </c>
      <c r="S703" s="16">
        <f t="shared" si="41"/>
        <v>85522</v>
      </c>
    </row>
    <row r="704" spans="1:19" ht="15.6" x14ac:dyDescent="0.3">
      <c r="A704" s="10">
        <v>39324</v>
      </c>
      <c r="B704" s="6">
        <v>3654</v>
      </c>
      <c r="C704" s="6">
        <v>3044</v>
      </c>
      <c r="D704" s="6">
        <v>1687</v>
      </c>
      <c r="E704" s="6">
        <v>2183</v>
      </c>
      <c r="F704" s="6">
        <v>2152</v>
      </c>
      <c r="G704" s="6">
        <v>1622</v>
      </c>
      <c r="H704" s="6">
        <v>1177</v>
      </c>
      <c r="I704" s="6">
        <v>1088</v>
      </c>
      <c r="J704" s="6">
        <v>454</v>
      </c>
      <c r="K704" s="6">
        <v>209</v>
      </c>
      <c r="L704" s="6">
        <v>9124</v>
      </c>
      <c r="M704" s="6">
        <v>8146</v>
      </c>
      <c r="N704" s="6">
        <v>2771</v>
      </c>
      <c r="O704" s="80">
        <v>53799</v>
      </c>
      <c r="P704" s="6">
        <v>990</v>
      </c>
      <c r="Q704" s="80">
        <v>30261</v>
      </c>
      <c r="R704" s="16">
        <f t="shared" si="40"/>
        <v>12885</v>
      </c>
      <c r="S704" s="16">
        <f t="shared" si="41"/>
        <v>92206</v>
      </c>
    </row>
    <row r="705" spans="1:19" ht="15.6" x14ac:dyDescent="0.3">
      <c r="A705" s="10">
        <v>38967</v>
      </c>
      <c r="B705" s="78">
        <v>793</v>
      </c>
      <c r="C705" s="78">
        <v>1569</v>
      </c>
      <c r="D705" s="78">
        <v>554</v>
      </c>
      <c r="E705" s="78">
        <v>989</v>
      </c>
      <c r="F705" s="78">
        <v>991</v>
      </c>
      <c r="G705" s="78">
        <v>1823</v>
      </c>
      <c r="H705" s="78">
        <v>815</v>
      </c>
      <c r="I705" s="78">
        <v>1250</v>
      </c>
      <c r="J705" s="78">
        <v>189</v>
      </c>
      <c r="K705" s="78">
        <v>243</v>
      </c>
      <c r="L705" s="78">
        <v>3343</v>
      </c>
      <c r="M705" s="78">
        <v>5874</v>
      </c>
      <c r="N705" s="78">
        <v>11501</v>
      </c>
      <c r="O705" s="78">
        <v>1103</v>
      </c>
      <c r="P705" s="78">
        <v>7004</v>
      </c>
      <c r="Q705" s="78">
        <v>207</v>
      </c>
      <c r="R705" s="16">
        <f t="shared" si="40"/>
        <v>21848</v>
      </c>
      <c r="S705" s="16">
        <f t="shared" si="41"/>
        <v>7184</v>
      </c>
    </row>
    <row r="706" spans="1:19" ht="15.6" x14ac:dyDescent="0.3">
      <c r="A706" s="10">
        <v>39331</v>
      </c>
      <c r="B706" s="6">
        <v>4667</v>
      </c>
      <c r="C706" s="6">
        <v>3435</v>
      </c>
      <c r="D706" s="6">
        <v>1642</v>
      </c>
      <c r="E706" s="6">
        <v>2314</v>
      </c>
      <c r="F706" s="6">
        <v>2500</v>
      </c>
      <c r="G706" s="6">
        <v>1748</v>
      </c>
      <c r="H706" s="6">
        <v>1283</v>
      </c>
      <c r="I706" s="6">
        <v>1138</v>
      </c>
      <c r="J706" s="6">
        <v>435</v>
      </c>
      <c r="K706" s="6">
        <v>232</v>
      </c>
      <c r="L706" s="6">
        <v>10528</v>
      </c>
      <c r="M706" s="6">
        <v>8867</v>
      </c>
      <c r="N706" s="6">
        <v>15762</v>
      </c>
      <c r="O706" s="6">
        <v>904</v>
      </c>
      <c r="P706" s="6">
        <v>7997</v>
      </c>
      <c r="Q706" s="6">
        <v>111</v>
      </c>
      <c r="R706" s="16">
        <f t="shared" si="40"/>
        <v>34287</v>
      </c>
      <c r="S706" s="16">
        <f t="shared" si="41"/>
        <v>9882</v>
      </c>
    </row>
    <row r="707" spans="1:19" ht="15.6" x14ac:dyDescent="0.3">
      <c r="A707" s="10">
        <v>38974</v>
      </c>
      <c r="B707" s="78">
        <v>698</v>
      </c>
      <c r="C707" s="78">
        <v>1731</v>
      </c>
      <c r="D707" s="78">
        <v>648</v>
      </c>
      <c r="E707" s="78">
        <v>1062</v>
      </c>
      <c r="F707" s="78">
        <v>980</v>
      </c>
      <c r="G707" s="78">
        <v>1952</v>
      </c>
      <c r="H707" s="78">
        <v>851</v>
      </c>
      <c r="I707" s="78">
        <v>1370</v>
      </c>
      <c r="J707" s="78">
        <v>157</v>
      </c>
      <c r="K707" s="78">
        <v>288</v>
      </c>
      <c r="L707" s="78">
        <v>3334</v>
      </c>
      <c r="M707" s="78">
        <v>6403</v>
      </c>
      <c r="N707" s="78">
        <v>11138</v>
      </c>
      <c r="O707" s="78">
        <v>2478</v>
      </c>
      <c r="P707" s="78">
        <v>7409</v>
      </c>
      <c r="Q707" s="78">
        <v>559</v>
      </c>
      <c r="R707" s="16">
        <f t="shared" si="40"/>
        <v>21881</v>
      </c>
      <c r="S707" s="16">
        <f t="shared" si="41"/>
        <v>9440</v>
      </c>
    </row>
    <row r="708" spans="1:19" ht="15.6" x14ac:dyDescent="0.3">
      <c r="A708" s="10">
        <v>39338</v>
      </c>
      <c r="B708" s="6">
        <v>4885</v>
      </c>
      <c r="C708" s="6">
        <v>3794</v>
      </c>
      <c r="D708" s="6">
        <v>1686</v>
      </c>
      <c r="E708" s="6">
        <v>2494</v>
      </c>
      <c r="F708" s="6">
        <v>2647</v>
      </c>
      <c r="G708" s="6">
        <v>1990</v>
      </c>
      <c r="H708" s="6">
        <v>1405</v>
      </c>
      <c r="I708" s="6">
        <v>1239</v>
      </c>
      <c r="J708" s="6">
        <v>425</v>
      </c>
      <c r="K708" s="6">
        <v>270</v>
      </c>
      <c r="L708" s="6">
        <v>11047</v>
      </c>
      <c r="M708" s="6">
        <v>9787</v>
      </c>
      <c r="N708" s="6">
        <v>16920</v>
      </c>
      <c r="O708" s="6">
        <v>1778</v>
      </c>
      <c r="P708" s="6">
        <v>8106</v>
      </c>
      <c r="Q708" s="6">
        <v>515</v>
      </c>
      <c r="R708" s="16">
        <f t="shared" si="40"/>
        <v>36073</v>
      </c>
      <c r="S708" s="16">
        <f t="shared" si="41"/>
        <v>12080</v>
      </c>
    </row>
    <row r="709" spans="1:19" ht="15.6" x14ac:dyDescent="0.3">
      <c r="A709" s="10">
        <v>38981</v>
      </c>
      <c r="B709" s="78">
        <v>711</v>
      </c>
      <c r="C709" s="78">
        <v>1809</v>
      </c>
      <c r="D709" s="78">
        <v>601</v>
      </c>
      <c r="E709" s="78">
        <v>1183</v>
      </c>
      <c r="F709" s="78">
        <v>1065</v>
      </c>
      <c r="G709" s="78">
        <v>2051</v>
      </c>
      <c r="H709" s="78">
        <v>897</v>
      </c>
      <c r="I709" s="78">
        <v>1389</v>
      </c>
      <c r="J709" s="78">
        <v>150</v>
      </c>
      <c r="K709" s="78">
        <v>289</v>
      </c>
      <c r="L709" s="78">
        <v>3424</v>
      </c>
      <c r="M709" s="78">
        <v>6721</v>
      </c>
      <c r="N709" s="78">
        <v>10732</v>
      </c>
      <c r="O709" s="78">
        <v>3715</v>
      </c>
      <c r="P709" s="78">
        <v>7971</v>
      </c>
      <c r="Q709" s="78">
        <v>864</v>
      </c>
      <c r="R709" s="16">
        <f t="shared" si="40"/>
        <v>22127</v>
      </c>
      <c r="S709" s="16">
        <f t="shared" si="41"/>
        <v>11300</v>
      </c>
    </row>
    <row r="710" spans="1:19" ht="15.6" x14ac:dyDescent="0.3">
      <c r="A710" s="10">
        <v>39345</v>
      </c>
      <c r="B710" s="6">
        <v>5440</v>
      </c>
      <c r="C710" s="6">
        <v>4211</v>
      </c>
      <c r="D710" s="6">
        <v>1389</v>
      </c>
      <c r="E710" s="6">
        <v>2793</v>
      </c>
      <c r="F710" s="6">
        <v>2777</v>
      </c>
      <c r="G710" s="6">
        <v>2174</v>
      </c>
      <c r="H710" s="6">
        <v>1472</v>
      </c>
      <c r="I710" s="6">
        <v>1351</v>
      </c>
      <c r="J710" s="6">
        <v>449</v>
      </c>
      <c r="K710" s="6">
        <v>293</v>
      </c>
      <c r="L710" s="6">
        <v>11527</v>
      </c>
      <c r="M710" s="6">
        <v>10822</v>
      </c>
      <c r="N710" s="6">
        <v>17415</v>
      </c>
      <c r="O710" s="6">
        <v>2981</v>
      </c>
      <c r="P710" s="6">
        <v>8366</v>
      </c>
      <c r="Q710" s="6">
        <v>1000</v>
      </c>
      <c r="R710" s="16">
        <f t="shared" si="40"/>
        <v>37308</v>
      </c>
      <c r="S710" s="16">
        <f t="shared" si="41"/>
        <v>14803</v>
      </c>
    </row>
    <row r="711" spans="1:19" ht="15.6" x14ac:dyDescent="0.3">
      <c r="A711" s="10">
        <v>38988</v>
      </c>
      <c r="B711" s="78">
        <v>670</v>
      </c>
      <c r="C711" s="78">
        <v>1915</v>
      </c>
      <c r="D711" s="78">
        <v>610</v>
      </c>
      <c r="E711" s="78">
        <v>1245</v>
      </c>
      <c r="F711" s="78">
        <v>1041</v>
      </c>
      <c r="G711" s="78">
        <v>2213</v>
      </c>
      <c r="H711" s="78">
        <v>873</v>
      </c>
      <c r="I711" s="78">
        <v>1514</v>
      </c>
      <c r="J711" s="78">
        <v>110</v>
      </c>
      <c r="K711" s="78">
        <v>332</v>
      </c>
      <c r="L711" s="78">
        <v>3304</v>
      </c>
      <c r="M711" s="78">
        <v>7219</v>
      </c>
      <c r="N711" s="78">
        <v>10707</v>
      </c>
      <c r="O711" s="78">
        <v>4898</v>
      </c>
      <c r="P711" s="78">
        <v>8592</v>
      </c>
      <c r="Q711" s="78">
        <v>1437</v>
      </c>
      <c r="R711" s="16">
        <f t="shared" si="40"/>
        <v>22603</v>
      </c>
      <c r="S711" s="16">
        <f t="shared" si="41"/>
        <v>13554</v>
      </c>
    </row>
    <row r="712" spans="1:19" ht="15.6" x14ac:dyDescent="0.3">
      <c r="A712" s="10">
        <v>39352</v>
      </c>
      <c r="B712" s="6">
        <v>5857</v>
      </c>
      <c r="C712" s="6">
        <v>4833</v>
      </c>
      <c r="D712" s="6">
        <v>1239</v>
      </c>
      <c r="E712" s="6">
        <v>3010</v>
      </c>
      <c r="F712" s="6">
        <v>2854</v>
      </c>
      <c r="G712" s="6">
        <v>2405</v>
      </c>
      <c r="H712" s="6">
        <v>1619</v>
      </c>
      <c r="I712" s="6">
        <v>1366</v>
      </c>
      <c r="J712" s="6">
        <v>404</v>
      </c>
      <c r="K712" s="6">
        <v>359</v>
      </c>
      <c r="L712" s="6">
        <v>11973</v>
      </c>
      <c r="M712" s="6">
        <v>11973</v>
      </c>
      <c r="N712" s="6">
        <v>17341</v>
      </c>
      <c r="O712" s="6">
        <v>4206</v>
      </c>
      <c r="P712" s="6">
        <v>8753</v>
      </c>
      <c r="Q712" s="6">
        <v>1279</v>
      </c>
      <c r="R712" s="16">
        <f t="shared" ref="R712:R775" si="42">L712+N712+P712</f>
        <v>38067</v>
      </c>
      <c r="S712" s="16">
        <f t="shared" si="41"/>
        <v>17458</v>
      </c>
    </row>
    <row r="713" spans="1:19" ht="15.6" x14ac:dyDescent="0.3">
      <c r="A713" s="10">
        <v>38993</v>
      </c>
      <c r="B713" s="78">
        <v>920</v>
      </c>
      <c r="C713" s="78">
        <v>2034</v>
      </c>
      <c r="D713" s="78">
        <v>657</v>
      </c>
      <c r="E713" s="78">
        <v>1259</v>
      </c>
      <c r="F713" s="78">
        <v>1018</v>
      </c>
      <c r="G713" s="78">
        <v>2377</v>
      </c>
      <c r="H713" s="78">
        <v>840</v>
      </c>
      <c r="I713" s="78">
        <v>1651</v>
      </c>
      <c r="J713" s="78">
        <v>110</v>
      </c>
      <c r="K713" s="78">
        <v>341</v>
      </c>
      <c r="L713" s="78">
        <v>3545</v>
      </c>
      <c r="M713" s="78">
        <v>7662</v>
      </c>
      <c r="N713" s="78">
        <v>10893</v>
      </c>
      <c r="O713" s="78">
        <v>5998</v>
      </c>
      <c r="P713" s="78">
        <v>8954</v>
      </c>
      <c r="Q713" s="78">
        <v>2161</v>
      </c>
      <c r="R713" s="16">
        <f t="shared" si="42"/>
        <v>23392</v>
      </c>
      <c r="S713" s="16">
        <f t="shared" si="41"/>
        <v>15821</v>
      </c>
    </row>
    <row r="714" spans="1:19" ht="15.6" x14ac:dyDescent="0.3">
      <c r="A714" s="10">
        <v>39359</v>
      </c>
      <c r="B714" s="6">
        <v>5758</v>
      </c>
      <c r="C714" s="6">
        <v>5096</v>
      </c>
      <c r="D714" s="6">
        <v>1174</v>
      </c>
      <c r="E714" s="6">
        <v>3263</v>
      </c>
      <c r="F714" s="6">
        <v>3091</v>
      </c>
      <c r="G714" s="6">
        <v>2606</v>
      </c>
      <c r="H714" s="6">
        <v>1576</v>
      </c>
      <c r="I714" s="6">
        <v>1493</v>
      </c>
      <c r="J714" s="6">
        <v>426</v>
      </c>
      <c r="K714" s="6">
        <v>397</v>
      </c>
      <c r="L714" s="6">
        <v>12025</v>
      </c>
      <c r="M714" s="6">
        <v>12856</v>
      </c>
      <c r="N714" s="6">
        <v>18468</v>
      </c>
      <c r="O714" s="6">
        <v>5398</v>
      </c>
      <c r="P714" s="6">
        <v>8772</v>
      </c>
      <c r="Q714" s="6">
        <v>1811</v>
      </c>
      <c r="R714" s="16">
        <f t="shared" si="42"/>
        <v>39265</v>
      </c>
      <c r="S714" s="16">
        <f t="shared" ref="S714:S744" si="43">M714+O714+Q714</f>
        <v>20065</v>
      </c>
    </row>
    <row r="715" spans="1:19" ht="15.6" x14ac:dyDescent="0.3">
      <c r="A715" s="10">
        <v>39000</v>
      </c>
      <c r="B715" s="78">
        <v>953</v>
      </c>
      <c r="C715" s="78">
        <v>2119</v>
      </c>
      <c r="D715" s="78">
        <v>554</v>
      </c>
      <c r="E715" s="78">
        <v>1411</v>
      </c>
      <c r="F715" s="78">
        <v>914</v>
      </c>
      <c r="G715" s="78">
        <v>2575</v>
      </c>
      <c r="H715" s="78">
        <v>905</v>
      </c>
      <c r="I715" s="78">
        <v>1766</v>
      </c>
      <c r="J715" s="78">
        <v>80</v>
      </c>
      <c r="K715" s="78">
        <v>375</v>
      </c>
      <c r="L715" s="78">
        <v>3405</v>
      </c>
      <c r="M715" s="78">
        <v>8247</v>
      </c>
      <c r="N715" s="78">
        <v>10626</v>
      </c>
      <c r="O715" s="78">
        <v>7086</v>
      </c>
      <c r="P715" s="78">
        <v>8996</v>
      </c>
      <c r="Q715" s="78">
        <v>2988</v>
      </c>
      <c r="R715" s="16">
        <f t="shared" si="42"/>
        <v>23027</v>
      </c>
      <c r="S715" s="16">
        <f t="shared" si="43"/>
        <v>18321</v>
      </c>
    </row>
    <row r="716" spans="1:19" ht="15.6" x14ac:dyDescent="0.3">
      <c r="A716" s="10">
        <v>39366</v>
      </c>
      <c r="B716" s="6">
        <v>5793</v>
      </c>
      <c r="C716" s="6">
        <v>5419</v>
      </c>
      <c r="D716" s="6">
        <v>1090</v>
      </c>
      <c r="E716" s="6">
        <v>3458</v>
      </c>
      <c r="F716" s="6">
        <v>3070</v>
      </c>
      <c r="G716" s="6">
        <v>2876</v>
      </c>
      <c r="H716" s="6">
        <v>1647</v>
      </c>
      <c r="I716" s="6">
        <v>1640</v>
      </c>
      <c r="J716" s="6">
        <v>420</v>
      </c>
      <c r="K716" s="6">
        <v>454</v>
      </c>
      <c r="L716" s="6">
        <v>12019</v>
      </c>
      <c r="M716" s="6">
        <v>13846</v>
      </c>
      <c r="N716" s="6">
        <v>19158</v>
      </c>
      <c r="O716" s="6">
        <v>6560</v>
      </c>
      <c r="P716" s="6">
        <v>8536</v>
      </c>
      <c r="Q716" s="6">
        <v>2797</v>
      </c>
      <c r="R716" s="16">
        <f t="shared" si="42"/>
        <v>39713</v>
      </c>
      <c r="S716" s="16">
        <f t="shared" si="43"/>
        <v>23203</v>
      </c>
    </row>
    <row r="717" spans="1:19" ht="15.6" x14ac:dyDescent="0.3">
      <c r="A717" s="10">
        <v>39007</v>
      </c>
      <c r="B717" s="78">
        <v>1086</v>
      </c>
      <c r="C717" s="78">
        <v>2141</v>
      </c>
      <c r="D717" s="78">
        <v>418</v>
      </c>
      <c r="E717" s="78">
        <v>1561</v>
      </c>
      <c r="F717" s="78">
        <v>980</v>
      </c>
      <c r="G717" s="78">
        <v>2660</v>
      </c>
      <c r="H717" s="78">
        <v>864</v>
      </c>
      <c r="I717" s="78">
        <v>1921</v>
      </c>
      <c r="J717" s="78">
        <v>90</v>
      </c>
      <c r="K717" s="78">
        <v>392</v>
      </c>
      <c r="L717" s="78">
        <v>3438</v>
      </c>
      <c r="M717" s="78">
        <v>8675</v>
      </c>
      <c r="N717" s="78">
        <v>10872</v>
      </c>
      <c r="O717" s="78">
        <v>7886</v>
      </c>
      <c r="P717" s="78">
        <v>8439</v>
      </c>
      <c r="Q717" s="78">
        <v>4169</v>
      </c>
      <c r="R717" s="16">
        <f t="shared" si="42"/>
        <v>22749</v>
      </c>
      <c r="S717" s="16">
        <f t="shared" si="43"/>
        <v>20730</v>
      </c>
    </row>
    <row r="718" spans="1:19" ht="15.6" x14ac:dyDescent="0.3">
      <c r="A718" s="10">
        <v>39373</v>
      </c>
      <c r="B718" s="6">
        <v>5490</v>
      </c>
      <c r="C718" s="6">
        <v>5799</v>
      </c>
      <c r="D718" s="6">
        <v>1111</v>
      </c>
      <c r="E718" s="6">
        <v>3555</v>
      </c>
      <c r="F718" s="6">
        <v>3170</v>
      </c>
      <c r="G718" s="6">
        <v>3089</v>
      </c>
      <c r="H718" s="6">
        <v>1569</v>
      </c>
      <c r="I718" s="6">
        <v>1756</v>
      </c>
      <c r="J718" s="6">
        <v>374</v>
      </c>
      <c r="K718" s="6">
        <v>495</v>
      </c>
      <c r="L718" s="6">
        <v>11714</v>
      </c>
      <c r="M718" s="6">
        <v>14694</v>
      </c>
      <c r="N718" s="6">
        <v>19421</v>
      </c>
      <c r="O718" s="6">
        <v>7786</v>
      </c>
      <c r="P718" s="6">
        <v>8133</v>
      </c>
      <c r="Q718" s="6">
        <v>3664</v>
      </c>
      <c r="R718" s="16">
        <f t="shared" si="42"/>
        <v>39268</v>
      </c>
      <c r="S718" s="16">
        <f t="shared" si="43"/>
        <v>26144</v>
      </c>
    </row>
    <row r="719" spans="1:19" ht="15.6" x14ac:dyDescent="0.3">
      <c r="A719" s="10">
        <v>39014</v>
      </c>
      <c r="B719" s="78">
        <v>1463</v>
      </c>
      <c r="C719" s="78">
        <v>2276</v>
      </c>
      <c r="D719" s="78">
        <v>436</v>
      </c>
      <c r="E719" s="78">
        <v>1605</v>
      </c>
      <c r="F719" s="78">
        <v>1068</v>
      </c>
      <c r="G719" s="78">
        <v>2766</v>
      </c>
      <c r="H719" s="78">
        <v>972</v>
      </c>
      <c r="I719" s="78">
        <v>1985</v>
      </c>
      <c r="J719" s="78">
        <v>90</v>
      </c>
      <c r="K719" s="78">
        <v>392</v>
      </c>
      <c r="L719" s="78">
        <v>4028</v>
      </c>
      <c r="M719" s="78">
        <v>9024</v>
      </c>
      <c r="N719" s="78">
        <v>10797</v>
      </c>
      <c r="O719" s="78">
        <v>8988</v>
      </c>
      <c r="P719" s="78">
        <v>7853</v>
      </c>
      <c r="Q719" s="78">
        <v>5395</v>
      </c>
      <c r="R719" s="16">
        <f t="shared" si="42"/>
        <v>22678</v>
      </c>
      <c r="S719" s="16">
        <f t="shared" si="43"/>
        <v>23407</v>
      </c>
    </row>
    <row r="720" spans="1:19" ht="15.6" x14ac:dyDescent="0.3">
      <c r="A720" s="10">
        <v>39380</v>
      </c>
      <c r="B720" s="6">
        <v>5262</v>
      </c>
      <c r="C720" s="6">
        <v>6145</v>
      </c>
      <c r="D720" s="6">
        <v>993</v>
      </c>
      <c r="E720" s="6">
        <v>3660</v>
      </c>
      <c r="F720" s="6">
        <v>2965</v>
      </c>
      <c r="G720" s="6">
        <v>3307</v>
      </c>
      <c r="H720" s="6">
        <v>1474</v>
      </c>
      <c r="I720" s="6">
        <v>1900</v>
      </c>
      <c r="J720" s="6">
        <v>355</v>
      </c>
      <c r="K720" s="6">
        <v>522</v>
      </c>
      <c r="L720" s="6">
        <v>11048</v>
      </c>
      <c r="M720" s="6">
        <v>15533</v>
      </c>
      <c r="N720" s="6">
        <v>18806</v>
      </c>
      <c r="O720" s="6">
        <v>9011</v>
      </c>
      <c r="P720" s="6">
        <v>8069</v>
      </c>
      <c r="Q720" s="6">
        <v>4468</v>
      </c>
      <c r="R720" s="16">
        <f t="shared" si="42"/>
        <v>37923</v>
      </c>
      <c r="S720" s="16">
        <f t="shared" si="43"/>
        <v>29012</v>
      </c>
    </row>
    <row r="721" spans="1:19" ht="15.6" x14ac:dyDescent="0.3">
      <c r="A721" s="10">
        <v>39023</v>
      </c>
      <c r="B721" s="78">
        <v>1543</v>
      </c>
      <c r="C721" s="78">
        <v>2348</v>
      </c>
      <c r="D721" s="78">
        <v>456</v>
      </c>
      <c r="E721" s="78">
        <v>1636</v>
      </c>
      <c r="F721" s="78">
        <v>1168</v>
      </c>
      <c r="G721" s="78">
        <v>2832</v>
      </c>
      <c r="H721" s="78">
        <v>1089</v>
      </c>
      <c r="I721" s="78">
        <v>2048</v>
      </c>
      <c r="J721" s="78">
        <v>89</v>
      </c>
      <c r="K721" s="78">
        <v>417</v>
      </c>
      <c r="L721" s="78">
        <v>4344</v>
      </c>
      <c r="M721" s="78">
        <v>9281</v>
      </c>
      <c r="N721" s="78">
        <v>11552</v>
      </c>
      <c r="O721" s="78">
        <v>10162</v>
      </c>
      <c r="P721" s="78">
        <v>7497</v>
      </c>
      <c r="Q721" s="78">
        <v>6460</v>
      </c>
      <c r="R721" s="16">
        <f t="shared" si="42"/>
        <v>23393</v>
      </c>
      <c r="S721" s="16">
        <f t="shared" si="43"/>
        <v>25903</v>
      </c>
    </row>
    <row r="722" spans="1:19" ht="15.6" x14ac:dyDescent="0.3">
      <c r="A722" s="10">
        <v>39387</v>
      </c>
      <c r="B722" s="6">
        <v>4845</v>
      </c>
      <c r="C722" s="6">
        <v>6560</v>
      </c>
      <c r="D722" s="6">
        <v>973</v>
      </c>
      <c r="E722" s="6">
        <v>3685</v>
      </c>
      <c r="F722" s="6">
        <v>2683</v>
      </c>
      <c r="G722" s="6">
        <v>3563</v>
      </c>
      <c r="H722" s="6">
        <v>1443</v>
      </c>
      <c r="I722" s="6">
        <v>1967</v>
      </c>
      <c r="J722" s="6">
        <v>355</v>
      </c>
      <c r="K722" s="6">
        <v>522</v>
      </c>
      <c r="L722" s="6">
        <v>10300</v>
      </c>
      <c r="M722" s="6">
        <v>16296</v>
      </c>
      <c r="N722" s="6">
        <v>18788</v>
      </c>
      <c r="O722" s="6">
        <v>10534</v>
      </c>
      <c r="P722" s="6">
        <v>7856</v>
      </c>
      <c r="Q722" s="6">
        <v>5296</v>
      </c>
      <c r="R722" s="16">
        <f t="shared" si="42"/>
        <v>36944</v>
      </c>
      <c r="S722" s="16">
        <f t="shared" si="43"/>
        <v>32126</v>
      </c>
    </row>
    <row r="723" spans="1:19" ht="15.6" x14ac:dyDescent="0.3">
      <c r="A723" s="10">
        <v>39030</v>
      </c>
      <c r="B723" s="78">
        <v>1593</v>
      </c>
      <c r="C723" s="78">
        <v>2473</v>
      </c>
      <c r="D723" s="78">
        <v>466</v>
      </c>
      <c r="E723" s="78">
        <v>1665</v>
      </c>
      <c r="F723" s="78">
        <v>1078</v>
      </c>
      <c r="G723" s="78">
        <v>2966</v>
      </c>
      <c r="H723" s="78">
        <v>1083</v>
      </c>
      <c r="I723" s="78">
        <v>2099</v>
      </c>
      <c r="J723" s="78">
        <v>107</v>
      </c>
      <c r="K723" s="78">
        <v>417</v>
      </c>
      <c r="L723" s="78">
        <v>4327</v>
      </c>
      <c r="M723" s="78">
        <v>9620</v>
      </c>
      <c r="N723" s="78">
        <v>11944</v>
      </c>
      <c r="O723" s="78">
        <v>11166</v>
      </c>
      <c r="P723" s="78">
        <v>7080</v>
      </c>
      <c r="Q723" s="78">
        <v>7624</v>
      </c>
      <c r="R723" s="16">
        <f t="shared" si="42"/>
        <v>23351</v>
      </c>
      <c r="S723" s="16">
        <f t="shared" si="43"/>
        <v>28410</v>
      </c>
    </row>
    <row r="724" spans="1:19" ht="15.6" x14ac:dyDescent="0.3">
      <c r="A724" s="10">
        <v>39394</v>
      </c>
      <c r="B724" s="6">
        <v>4718</v>
      </c>
      <c r="C724" s="6">
        <v>6851</v>
      </c>
      <c r="D724" s="6">
        <v>994</v>
      </c>
      <c r="E724" s="6">
        <v>3706</v>
      </c>
      <c r="F724" s="6">
        <v>2660</v>
      </c>
      <c r="G724" s="6">
        <v>3709</v>
      </c>
      <c r="H724" s="6">
        <v>1391</v>
      </c>
      <c r="I724" s="6">
        <v>2075</v>
      </c>
      <c r="J724" s="6">
        <v>362</v>
      </c>
      <c r="K724" s="6">
        <v>544</v>
      </c>
      <c r="L724" s="6">
        <v>10126</v>
      </c>
      <c r="M724" s="6">
        <v>16886</v>
      </c>
      <c r="N724" s="6">
        <v>18642</v>
      </c>
      <c r="O724" s="6">
        <v>12044</v>
      </c>
      <c r="P724" s="6">
        <v>8440</v>
      </c>
      <c r="Q724" s="6">
        <v>6008</v>
      </c>
      <c r="R724" s="16">
        <f t="shared" si="42"/>
        <v>37208</v>
      </c>
      <c r="S724" s="16">
        <f t="shared" si="43"/>
        <v>34938</v>
      </c>
    </row>
    <row r="725" spans="1:19" ht="15.6" x14ac:dyDescent="0.3">
      <c r="A725" s="10">
        <v>39037</v>
      </c>
      <c r="B725" s="78">
        <v>1615.4</v>
      </c>
      <c r="C725" s="78">
        <v>2527.1</v>
      </c>
      <c r="D725" s="78">
        <v>415</v>
      </c>
      <c r="E725" s="78">
        <v>1794</v>
      </c>
      <c r="F725" s="78">
        <v>1135.0999999999999</v>
      </c>
      <c r="G725" s="78">
        <v>3015.9</v>
      </c>
      <c r="H725" s="78">
        <v>1094.3</v>
      </c>
      <c r="I725" s="78">
        <v>2178</v>
      </c>
      <c r="J725" s="78">
        <v>113.3</v>
      </c>
      <c r="K725" s="78">
        <v>420.7</v>
      </c>
      <c r="L725" s="78">
        <v>4373.1000000000004</v>
      </c>
      <c r="M725" s="78">
        <v>9935.7999999999993</v>
      </c>
      <c r="N725" s="78">
        <v>11765.1</v>
      </c>
      <c r="O725" s="78">
        <v>12386.6</v>
      </c>
      <c r="P725" s="78">
        <v>7272.5</v>
      </c>
      <c r="Q725" s="78">
        <v>8233.6</v>
      </c>
      <c r="R725" s="16">
        <f t="shared" si="42"/>
        <v>23410.7</v>
      </c>
      <c r="S725" s="16">
        <f t="shared" si="43"/>
        <v>30556</v>
      </c>
    </row>
    <row r="726" spans="1:19" ht="15.6" x14ac:dyDescent="0.3">
      <c r="A726" s="10">
        <v>39401</v>
      </c>
      <c r="B726" s="6">
        <v>4647.1000000000004</v>
      </c>
      <c r="C726" s="6">
        <v>7031.9</v>
      </c>
      <c r="D726" s="6">
        <v>984.2</v>
      </c>
      <c r="E726" s="6">
        <v>3730.1</v>
      </c>
      <c r="F726" s="6">
        <v>2651.8</v>
      </c>
      <c r="G726" s="6">
        <v>3964</v>
      </c>
      <c r="H726" s="6">
        <v>1408.3</v>
      </c>
      <c r="I726" s="6">
        <v>2129.1</v>
      </c>
      <c r="J726" s="6">
        <v>308.8</v>
      </c>
      <c r="K726" s="6">
        <v>648.5</v>
      </c>
      <c r="L726" s="6">
        <v>10000.200000000001</v>
      </c>
      <c r="M726" s="6">
        <v>17503.599999999999</v>
      </c>
      <c r="N726" s="6">
        <v>19111.3</v>
      </c>
      <c r="O726" s="6">
        <v>13420.3</v>
      </c>
      <c r="P726" s="6">
        <v>9589.9</v>
      </c>
      <c r="Q726" s="6">
        <v>6665.5</v>
      </c>
      <c r="R726" s="16">
        <f t="shared" si="42"/>
        <v>38701.4</v>
      </c>
      <c r="S726" s="16">
        <f t="shared" si="43"/>
        <v>37589.399999999994</v>
      </c>
    </row>
    <row r="727" spans="1:19" ht="15.6" x14ac:dyDescent="0.3">
      <c r="A727" s="10">
        <v>39044</v>
      </c>
      <c r="B727" s="78">
        <v>1602</v>
      </c>
      <c r="C727" s="78">
        <v>2615</v>
      </c>
      <c r="D727" s="78">
        <v>451</v>
      </c>
      <c r="E727" s="78">
        <v>1849</v>
      </c>
      <c r="F727" s="78">
        <v>1252</v>
      </c>
      <c r="G727" s="78">
        <v>3170</v>
      </c>
      <c r="H727" s="78">
        <v>1047</v>
      </c>
      <c r="I727" s="78">
        <v>2264</v>
      </c>
      <c r="J727" s="78">
        <v>161</v>
      </c>
      <c r="K727" s="78">
        <v>447</v>
      </c>
      <c r="L727" s="78">
        <v>4512</v>
      </c>
      <c r="M727" s="78">
        <v>10345</v>
      </c>
      <c r="N727" s="78">
        <v>11889</v>
      </c>
      <c r="O727" s="78">
        <v>13284</v>
      </c>
      <c r="P727" s="78">
        <v>7331</v>
      </c>
      <c r="Q727" s="78">
        <v>8904</v>
      </c>
      <c r="R727" s="16">
        <f t="shared" si="42"/>
        <v>23732</v>
      </c>
      <c r="S727" s="16">
        <f t="shared" si="43"/>
        <v>32533</v>
      </c>
    </row>
    <row r="728" spans="1:19" ht="15.6" x14ac:dyDescent="0.3">
      <c r="A728" s="10">
        <v>39408</v>
      </c>
      <c r="B728" s="6">
        <v>4427</v>
      </c>
      <c r="C728" s="6">
        <v>7344</v>
      </c>
      <c r="D728" s="6">
        <v>934</v>
      </c>
      <c r="E728" s="6">
        <v>3824</v>
      </c>
      <c r="F728" s="6">
        <v>2646</v>
      </c>
      <c r="G728" s="6">
        <v>4066</v>
      </c>
      <c r="H728" s="6">
        <v>1518</v>
      </c>
      <c r="I728" s="6">
        <v>2197</v>
      </c>
      <c r="J728" s="6">
        <v>307</v>
      </c>
      <c r="K728" s="6">
        <v>648.5</v>
      </c>
      <c r="L728" s="6">
        <v>9832</v>
      </c>
      <c r="M728" s="6">
        <v>18079</v>
      </c>
      <c r="N728" s="6">
        <v>19513</v>
      </c>
      <c r="O728" s="6">
        <v>14860</v>
      </c>
      <c r="P728" s="6">
        <v>9733</v>
      </c>
      <c r="Q728" s="6">
        <v>7641</v>
      </c>
      <c r="R728" s="16">
        <f t="shared" si="42"/>
        <v>39078</v>
      </c>
      <c r="S728" s="16">
        <f t="shared" si="43"/>
        <v>40580</v>
      </c>
    </row>
    <row r="729" spans="1:19" ht="15.6" x14ac:dyDescent="0.3">
      <c r="A729" s="10">
        <v>39051</v>
      </c>
      <c r="B729" s="78">
        <v>1565</v>
      </c>
      <c r="C729" s="78">
        <v>2710</v>
      </c>
      <c r="D729" s="78">
        <v>531</v>
      </c>
      <c r="E729" s="78">
        <v>1868</v>
      </c>
      <c r="F729" s="78">
        <v>1164</v>
      </c>
      <c r="G729" s="78">
        <v>3388</v>
      </c>
      <c r="H729" s="78">
        <v>1019</v>
      </c>
      <c r="I729" s="78">
        <v>2400</v>
      </c>
      <c r="J729" s="78">
        <v>139</v>
      </c>
      <c r="K729" s="78">
        <v>477</v>
      </c>
      <c r="L729" s="78">
        <v>4417</v>
      </c>
      <c r="M729" s="78">
        <v>10843</v>
      </c>
      <c r="N729" s="78">
        <v>11329</v>
      </c>
      <c r="O729" s="78">
        <v>14656</v>
      </c>
      <c r="P729" s="78">
        <v>7068</v>
      </c>
      <c r="Q729" s="78">
        <v>9834</v>
      </c>
      <c r="R729" s="16">
        <f t="shared" si="42"/>
        <v>22814</v>
      </c>
      <c r="S729" s="16">
        <f t="shared" si="43"/>
        <v>35333</v>
      </c>
    </row>
    <row r="730" spans="1:19" ht="15.6" x14ac:dyDescent="0.3">
      <c r="A730" s="10">
        <v>39415</v>
      </c>
      <c r="B730" s="6">
        <v>4357</v>
      </c>
      <c r="C730" s="6">
        <v>7580</v>
      </c>
      <c r="D730" s="6">
        <v>829</v>
      </c>
      <c r="E730" s="6">
        <v>3948</v>
      </c>
      <c r="F730" s="6">
        <v>2519</v>
      </c>
      <c r="G730" s="6">
        <v>4231</v>
      </c>
      <c r="H730" s="6">
        <v>1460</v>
      </c>
      <c r="I730" s="6">
        <v>2267</v>
      </c>
      <c r="J730" s="6">
        <v>251</v>
      </c>
      <c r="K730" s="6">
        <v>706</v>
      </c>
      <c r="L730" s="6">
        <v>9416</v>
      </c>
      <c r="M730" s="6">
        <v>18731</v>
      </c>
      <c r="N730" s="6">
        <v>19044</v>
      </c>
      <c r="O730" s="6">
        <v>16388</v>
      </c>
      <c r="P730" s="6">
        <v>9797</v>
      </c>
      <c r="Q730" s="6">
        <v>8380</v>
      </c>
      <c r="R730" s="16">
        <f t="shared" si="42"/>
        <v>38257</v>
      </c>
      <c r="S730" s="16">
        <f t="shared" si="43"/>
        <v>43499</v>
      </c>
    </row>
    <row r="731" spans="1:19" ht="15.6" x14ac:dyDescent="0.3">
      <c r="A731" s="10">
        <v>39058</v>
      </c>
      <c r="B731" s="78">
        <v>1697</v>
      </c>
      <c r="C731" s="78">
        <v>2815</v>
      </c>
      <c r="D731" s="78">
        <v>489</v>
      </c>
      <c r="E731" s="78">
        <v>1940</v>
      </c>
      <c r="F731" s="78">
        <v>1173</v>
      </c>
      <c r="G731" s="78">
        <v>3501</v>
      </c>
      <c r="H731" s="78">
        <v>977</v>
      </c>
      <c r="I731" s="78">
        <v>2523</v>
      </c>
      <c r="J731" s="78">
        <v>139</v>
      </c>
      <c r="K731" s="78">
        <v>477</v>
      </c>
      <c r="L731" s="78">
        <v>4475</v>
      </c>
      <c r="M731" s="78">
        <v>11256</v>
      </c>
      <c r="N731" s="78">
        <v>11493</v>
      </c>
      <c r="O731" s="78">
        <v>15893</v>
      </c>
      <c r="P731" s="78">
        <v>6898</v>
      </c>
      <c r="Q731" s="78">
        <v>10896</v>
      </c>
      <c r="R731" s="16">
        <f t="shared" si="42"/>
        <v>22866</v>
      </c>
      <c r="S731" s="16">
        <f t="shared" si="43"/>
        <v>38045</v>
      </c>
    </row>
    <row r="732" spans="1:19" ht="15.6" x14ac:dyDescent="0.3">
      <c r="A732" s="10">
        <v>39422</v>
      </c>
      <c r="B732" s="6">
        <v>4268</v>
      </c>
      <c r="C732" s="6">
        <v>7796</v>
      </c>
      <c r="D732" s="6">
        <v>951</v>
      </c>
      <c r="E732" s="6">
        <v>4016</v>
      </c>
      <c r="F732" s="6">
        <v>2458</v>
      </c>
      <c r="G732" s="6">
        <v>4471</v>
      </c>
      <c r="H732" s="6">
        <v>1410</v>
      </c>
      <c r="I732" s="6">
        <v>2369</v>
      </c>
      <c r="J732" s="6">
        <v>179</v>
      </c>
      <c r="K732" s="6">
        <v>744</v>
      </c>
      <c r="L732" s="6">
        <v>9266</v>
      </c>
      <c r="M732" s="6">
        <v>19395</v>
      </c>
      <c r="N732" s="6">
        <v>19144</v>
      </c>
      <c r="O732" s="6">
        <v>17444</v>
      </c>
      <c r="P732" s="6">
        <v>9869</v>
      </c>
      <c r="Q732" s="6">
        <v>9280</v>
      </c>
      <c r="R732" s="16">
        <f t="shared" si="42"/>
        <v>38279</v>
      </c>
      <c r="S732" s="16">
        <f t="shared" si="43"/>
        <v>46119</v>
      </c>
    </row>
    <row r="733" spans="1:19" ht="15.6" x14ac:dyDescent="0.3">
      <c r="A733" s="10">
        <v>39065</v>
      </c>
      <c r="B733" s="78">
        <v>1673</v>
      </c>
      <c r="C733" s="78">
        <v>2991</v>
      </c>
      <c r="D733" s="78">
        <v>532</v>
      </c>
      <c r="E733" s="78">
        <v>1976</v>
      </c>
      <c r="F733" s="78">
        <v>1234</v>
      </c>
      <c r="G733" s="78">
        <v>3548</v>
      </c>
      <c r="H733" s="78">
        <v>1026</v>
      </c>
      <c r="I733" s="78">
        <v>2590</v>
      </c>
      <c r="J733" s="78">
        <v>103</v>
      </c>
      <c r="K733" s="78">
        <v>514</v>
      </c>
      <c r="L733" s="78">
        <v>4568</v>
      </c>
      <c r="M733" s="78">
        <v>11619</v>
      </c>
      <c r="N733" s="78">
        <v>11855</v>
      </c>
      <c r="O733" s="78">
        <v>16793</v>
      </c>
      <c r="P733" s="78">
        <v>7011</v>
      </c>
      <c r="Q733" s="78">
        <v>11525</v>
      </c>
      <c r="R733" s="16">
        <f t="shared" si="42"/>
        <v>23434</v>
      </c>
      <c r="S733" s="16">
        <f t="shared" si="43"/>
        <v>39937</v>
      </c>
    </row>
    <row r="734" spans="1:19" ht="15.6" x14ac:dyDescent="0.3">
      <c r="A734" s="10">
        <v>39429</v>
      </c>
      <c r="B734" s="6">
        <v>4229</v>
      </c>
      <c r="C734" s="6">
        <v>7956</v>
      </c>
      <c r="D734" s="6">
        <v>830</v>
      </c>
      <c r="E734" s="6">
        <v>4053</v>
      </c>
      <c r="F734" s="6">
        <v>2353</v>
      </c>
      <c r="G734" s="6">
        <v>4653</v>
      </c>
      <c r="H734" s="6">
        <v>1361</v>
      </c>
      <c r="I734" s="6">
        <v>2478</v>
      </c>
      <c r="J734" s="6">
        <v>173</v>
      </c>
      <c r="K734" s="6">
        <v>766</v>
      </c>
      <c r="L734" s="6">
        <v>8946</v>
      </c>
      <c r="M734" s="6">
        <v>19906</v>
      </c>
      <c r="N734" s="6">
        <v>19083</v>
      </c>
      <c r="O734" s="6">
        <v>18662</v>
      </c>
      <c r="P734" s="6">
        <v>9638</v>
      </c>
      <c r="Q734" s="6">
        <v>10368</v>
      </c>
      <c r="R734" s="16">
        <f t="shared" si="42"/>
        <v>37667</v>
      </c>
      <c r="S734" s="16">
        <f t="shared" si="43"/>
        <v>48936</v>
      </c>
    </row>
    <row r="735" spans="1:19" ht="15.6" x14ac:dyDescent="0.3">
      <c r="A735" s="10">
        <v>39072</v>
      </c>
      <c r="B735" s="78">
        <v>1681.3</v>
      </c>
      <c r="C735" s="78">
        <v>3151.8</v>
      </c>
      <c r="D735" s="78">
        <v>552.6</v>
      </c>
      <c r="E735" s="78">
        <v>1987.4</v>
      </c>
      <c r="F735" s="78">
        <v>1280.2</v>
      </c>
      <c r="G735" s="78">
        <v>3622</v>
      </c>
      <c r="H735" s="78">
        <v>1032.5999999999999</v>
      </c>
      <c r="I735" s="78">
        <v>2615.6999999999998</v>
      </c>
      <c r="J735" s="78">
        <v>83.4</v>
      </c>
      <c r="K735" s="78">
        <v>533.9</v>
      </c>
      <c r="L735" s="78">
        <v>4630.1000000000004</v>
      </c>
      <c r="M735" s="78">
        <v>11910.7</v>
      </c>
      <c r="N735" s="78">
        <v>11890.1</v>
      </c>
      <c r="O735" s="78">
        <v>17911</v>
      </c>
      <c r="P735" s="78">
        <v>7375.7</v>
      </c>
      <c r="Q735" s="78">
        <v>12196.8</v>
      </c>
      <c r="R735" s="16">
        <f t="shared" si="42"/>
        <v>23895.9</v>
      </c>
      <c r="S735" s="16">
        <f t="shared" si="43"/>
        <v>42018.5</v>
      </c>
    </row>
    <row r="736" spans="1:19" ht="15.6" x14ac:dyDescent="0.3">
      <c r="A736" s="10">
        <v>39436</v>
      </c>
      <c r="B736" s="6">
        <v>4080.7</v>
      </c>
      <c r="C736" s="6">
        <v>8134.2</v>
      </c>
      <c r="D736" s="6">
        <v>830.2</v>
      </c>
      <c r="E736" s="6">
        <v>4067.5</v>
      </c>
      <c r="F736" s="6">
        <v>2419.9</v>
      </c>
      <c r="G736" s="6">
        <v>4755.8</v>
      </c>
      <c r="H736" s="6">
        <v>1372.4</v>
      </c>
      <c r="I736" s="6">
        <v>2557.6999999999998</v>
      </c>
      <c r="J736" s="6">
        <v>173</v>
      </c>
      <c r="K736" s="6">
        <v>772.1</v>
      </c>
      <c r="L736" s="6">
        <v>8863.7999999999993</v>
      </c>
      <c r="M736" s="6">
        <v>20287.2</v>
      </c>
      <c r="N736" s="6">
        <v>19243.400000000001</v>
      </c>
      <c r="O736" s="6">
        <v>19924.599999999999</v>
      </c>
      <c r="P736" s="6">
        <v>9486.7999999999993</v>
      </c>
      <c r="Q736" s="6">
        <v>11201.9</v>
      </c>
      <c r="R736" s="16">
        <f t="shared" si="42"/>
        <v>37594</v>
      </c>
      <c r="S736" s="16">
        <f t="shared" si="43"/>
        <v>51413.700000000004</v>
      </c>
    </row>
    <row r="737" spans="1:19" ht="15.6" x14ac:dyDescent="0.3">
      <c r="A737" s="10">
        <v>39079</v>
      </c>
      <c r="B737" s="78">
        <v>1460</v>
      </c>
      <c r="C737" s="78">
        <v>3388</v>
      </c>
      <c r="D737" s="78">
        <v>550</v>
      </c>
      <c r="E737" s="78">
        <v>2008</v>
      </c>
      <c r="F737" s="78">
        <v>1301</v>
      </c>
      <c r="G737" s="78">
        <v>3683</v>
      </c>
      <c r="H737" s="78">
        <v>880</v>
      </c>
      <c r="I737" s="78">
        <v>2786</v>
      </c>
      <c r="J737" s="78">
        <v>86</v>
      </c>
      <c r="K737" s="78">
        <v>533.9</v>
      </c>
      <c r="L737" s="78">
        <v>4277</v>
      </c>
      <c r="M737" s="78">
        <v>12399</v>
      </c>
      <c r="N737" s="78">
        <v>11503</v>
      </c>
      <c r="O737" s="78">
        <v>18863</v>
      </c>
      <c r="P737" s="78">
        <v>6886</v>
      </c>
      <c r="Q737" s="78">
        <v>13025</v>
      </c>
      <c r="R737" s="16">
        <f t="shared" si="42"/>
        <v>22666</v>
      </c>
      <c r="S737" s="16">
        <f t="shared" si="43"/>
        <v>44287</v>
      </c>
    </row>
    <row r="738" spans="1:19" ht="15.6" x14ac:dyDescent="0.3">
      <c r="A738" s="10">
        <v>39443</v>
      </c>
      <c r="B738" s="6">
        <v>3986</v>
      </c>
      <c r="C738" s="6">
        <v>8302</v>
      </c>
      <c r="D738" s="6">
        <v>740</v>
      </c>
      <c r="E738" s="6">
        <v>4148</v>
      </c>
      <c r="F738" s="6">
        <v>2322</v>
      </c>
      <c r="G738" s="6">
        <v>4894</v>
      </c>
      <c r="H738" s="6">
        <v>1324</v>
      </c>
      <c r="I738" s="6">
        <v>2609</v>
      </c>
      <c r="J738" s="6">
        <v>173</v>
      </c>
      <c r="K738" s="6">
        <v>772</v>
      </c>
      <c r="L738" s="6">
        <v>8545</v>
      </c>
      <c r="M738" s="6">
        <v>20725</v>
      </c>
      <c r="N738" s="6">
        <v>18804</v>
      </c>
      <c r="O738" s="6">
        <v>21065</v>
      </c>
      <c r="P738" s="6">
        <v>9041</v>
      </c>
      <c r="Q738" s="6">
        <v>11789</v>
      </c>
      <c r="R738" s="16">
        <f t="shared" si="42"/>
        <v>36390</v>
      </c>
      <c r="S738" s="16">
        <f t="shared" si="43"/>
        <v>53579</v>
      </c>
    </row>
    <row r="739" spans="1:19" ht="15.6" x14ac:dyDescent="0.3">
      <c r="A739" s="10">
        <v>39086</v>
      </c>
      <c r="B739" s="78">
        <v>1334</v>
      </c>
      <c r="C739" s="78">
        <v>3544</v>
      </c>
      <c r="D739" s="78">
        <v>512</v>
      </c>
      <c r="E739" s="78">
        <v>2071</v>
      </c>
      <c r="F739" s="78">
        <v>1132</v>
      </c>
      <c r="G739" s="78">
        <v>3869</v>
      </c>
      <c r="H739" s="78">
        <v>963</v>
      </c>
      <c r="I739" s="78">
        <v>2875</v>
      </c>
      <c r="J739" s="78">
        <v>86</v>
      </c>
      <c r="K739" s="78">
        <v>533.9</v>
      </c>
      <c r="L739" s="78">
        <v>4028</v>
      </c>
      <c r="M739" s="78">
        <v>12893</v>
      </c>
      <c r="N739" s="78">
        <v>11827</v>
      </c>
      <c r="O739" s="78">
        <v>19716</v>
      </c>
      <c r="P739" s="78">
        <v>6918</v>
      </c>
      <c r="Q739" s="78">
        <v>13583</v>
      </c>
      <c r="R739" s="16">
        <f t="shared" si="42"/>
        <v>22773</v>
      </c>
      <c r="S739" s="16">
        <f t="shared" si="43"/>
        <v>46192</v>
      </c>
    </row>
    <row r="740" spans="1:19" ht="15.6" x14ac:dyDescent="0.3">
      <c r="A740" s="10">
        <v>39450</v>
      </c>
      <c r="B740" s="6">
        <v>3785</v>
      </c>
      <c r="C740" s="6">
        <v>8525</v>
      </c>
      <c r="D740" s="6">
        <v>820</v>
      </c>
      <c r="E740" s="6">
        <v>4197</v>
      </c>
      <c r="F740" s="6">
        <v>2207</v>
      </c>
      <c r="G740" s="6">
        <v>5037</v>
      </c>
      <c r="H740" s="6">
        <v>1282</v>
      </c>
      <c r="I740" s="6">
        <v>2642</v>
      </c>
      <c r="J740" s="6">
        <v>171</v>
      </c>
      <c r="K740" s="6">
        <v>794</v>
      </c>
      <c r="L740" s="6">
        <v>8265</v>
      </c>
      <c r="M740" s="6">
        <v>21195</v>
      </c>
      <c r="N740" s="6">
        <v>18496</v>
      </c>
      <c r="O740" s="6">
        <v>22043</v>
      </c>
      <c r="P740" s="6">
        <v>8218</v>
      </c>
      <c r="Q740" s="6">
        <v>12729</v>
      </c>
      <c r="R740" s="16">
        <f t="shared" si="42"/>
        <v>34979</v>
      </c>
      <c r="S740" s="16">
        <f t="shared" si="43"/>
        <v>55967</v>
      </c>
    </row>
    <row r="741" spans="1:19" ht="15.6" x14ac:dyDescent="0.3">
      <c r="A741" s="10">
        <v>39093</v>
      </c>
      <c r="B741" s="78">
        <v>1545</v>
      </c>
      <c r="C741" s="78">
        <v>3661</v>
      </c>
      <c r="D741" s="78">
        <v>570</v>
      </c>
      <c r="E741" s="78">
        <v>2104</v>
      </c>
      <c r="F741" s="78">
        <v>1191</v>
      </c>
      <c r="G741" s="78">
        <v>3998</v>
      </c>
      <c r="H741" s="78">
        <v>1088</v>
      </c>
      <c r="I741" s="78">
        <v>2973</v>
      </c>
      <c r="J741" s="78">
        <v>74</v>
      </c>
      <c r="K741" s="78">
        <v>540</v>
      </c>
      <c r="L741" s="78">
        <v>4468</v>
      </c>
      <c r="M741" s="78">
        <v>13277</v>
      </c>
      <c r="N741" s="78">
        <v>12246</v>
      </c>
      <c r="O741" s="78">
        <v>20721</v>
      </c>
      <c r="P741" s="78">
        <v>7139</v>
      </c>
      <c r="Q741" s="78">
        <v>14458</v>
      </c>
      <c r="R741" s="16">
        <f t="shared" si="42"/>
        <v>23853</v>
      </c>
      <c r="S741" s="16">
        <f t="shared" si="43"/>
        <v>48456</v>
      </c>
    </row>
    <row r="742" spans="1:19" ht="15.6" x14ac:dyDescent="0.3">
      <c r="A742" s="10">
        <v>39457</v>
      </c>
      <c r="B742" s="6">
        <v>3597</v>
      </c>
      <c r="C742" s="6">
        <v>8781</v>
      </c>
      <c r="D742" s="6">
        <v>853</v>
      </c>
      <c r="E742" s="6">
        <v>4234</v>
      </c>
      <c r="F742" s="6">
        <v>2142</v>
      </c>
      <c r="G742" s="6">
        <v>5277</v>
      </c>
      <c r="H742" s="6">
        <v>1249</v>
      </c>
      <c r="I742" s="6">
        <v>2781</v>
      </c>
      <c r="J742" s="6">
        <v>125</v>
      </c>
      <c r="K742" s="6">
        <v>827</v>
      </c>
      <c r="L742" s="6">
        <v>7966</v>
      </c>
      <c r="M742" s="6">
        <v>21899</v>
      </c>
      <c r="N742" s="6">
        <v>19363</v>
      </c>
      <c r="O742" s="6">
        <v>23482</v>
      </c>
      <c r="P742" s="6">
        <v>8428</v>
      </c>
      <c r="Q742" s="6">
        <v>13484</v>
      </c>
      <c r="R742" s="16">
        <f t="shared" si="42"/>
        <v>35757</v>
      </c>
      <c r="S742" s="16">
        <f t="shared" si="43"/>
        <v>58865</v>
      </c>
    </row>
    <row r="743" spans="1:19" ht="15.6" x14ac:dyDescent="0.3">
      <c r="A743" s="10">
        <v>39100</v>
      </c>
      <c r="B743" s="78">
        <v>1456</v>
      </c>
      <c r="C743" s="78">
        <v>3856</v>
      </c>
      <c r="D743" s="78">
        <v>496</v>
      </c>
      <c r="E743" s="78">
        <v>2202</v>
      </c>
      <c r="F743" s="78">
        <v>1126</v>
      </c>
      <c r="G743" s="78">
        <v>4120</v>
      </c>
      <c r="H743" s="78">
        <v>1031</v>
      </c>
      <c r="I743" s="78">
        <v>3085</v>
      </c>
      <c r="J743" s="78">
        <v>74</v>
      </c>
      <c r="K743" s="78">
        <v>544</v>
      </c>
      <c r="L743" s="78">
        <v>4184</v>
      </c>
      <c r="M743" s="78">
        <v>13807</v>
      </c>
      <c r="N743" s="78">
        <v>12204</v>
      </c>
      <c r="O743" s="78">
        <v>21755</v>
      </c>
      <c r="P743" s="78">
        <v>7124</v>
      </c>
      <c r="Q743" s="78">
        <v>15088</v>
      </c>
      <c r="R743" s="16">
        <f t="shared" si="42"/>
        <v>23512</v>
      </c>
      <c r="S743" s="16">
        <f t="shared" si="43"/>
        <v>50650</v>
      </c>
    </row>
    <row r="744" spans="1:19" ht="15.6" x14ac:dyDescent="0.3">
      <c r="A744" s="10">
        <v>39464</v>
      </c>
      <c r="B744" s="6">
        <v>3679</v>
      </c>
      <c r="C744" s="6">
        <v>8958</v>
      </c>
      <c r="D744" s="6">
        <v>846</v>
      </c>
      <c r="E744" s="6">
        <v>4240</v>
      </c>
      <c r="F744" s="6">
        <v>2084</v>
      </c>
      <c r="G744" s="6">
        <v>5461</v>
      </c>
      <c r="H744" s="6">
        <v>1165</v>
      </c>
      <c r="I744" s="6">
        <v>2904</v>
      </c>
      <c r="J744" s="6">
        <v>120</v>
      </c>
      <c r="K744" s="6">
        <v>832</v>
      </c>
      <c r="L744" s="6">
        <v>7894</v>
      </c>
      <c r="M744" s="6">
        <v>22394</v>
      </c>
      <c r="N744" s="6">
        <v>19623</v>
      </c>
      <c r="O744" s="6">
        <v>24817</v>
      </c>
      <c r="P744" s="6">
        <v>8085</v>
      </c>
      <c r="Q744" s="6">
        <v>14491</v>
      </c>
      <c r="R744" s="16">
        <f t="shared" si="42"/>
        <v>35602</v>
      </c>
      <c r="S744" s="16">
        <f t="shared" si="43"/>
        <v>61702</v>
      </c>
    </row>
    <row r="745" spans="1:19" ht="15.6" x14ac:dyDescent="0.3">
      <c r="A745" s="10">
        <v>39107</v>
      </c>
      <c r="B745" s="78">
        <v>1528</v>
      </c>
      <c r="C745" s="78">
        <v>4044</v>
      </c>
      <c r="D745" s="78">
        <v>590</v>
      </c>
      <c r="E745" s="78">
        <v>2241</v>
      </c>
      <c r="F745" s="78">
        <v>1074</v>
      </c>
      <c r="G745" s="78">
        <v>4230</v>
      </c>
      <c r="H745" s="78">
        <v>884</v>
      </c>
      <c r="I745" s="78">
        <v>3289</v>
      </c>
      <c r="J745" s="78">
        <v>94</v>
      </c>
      <c r="K745" s="78">
        <v>579</v>
      </c>
      <c r="L745" s="78">
        <v>4170</v>
      </c>
      <c r="M745" s="78">
        <v>14382</v>
      </c>
      <c r="N745" s="78">
        <v>11800</v>
      </c>
      <c r="O745" s="78">
        <v>22957</v>
      </c>
      <c r="P745" s="78">
        <v>6778</v>
      </c>
      <c r="Q745" s="78">
        <v>16112</v>
      </c>
      <c r="R745" s="16">
        <f t="shared" si="42"/>
        <v>22748</v>
      </c>
    </row>
    <row r="746" spans="1:19" ht="15.6" x14ac:dyDescent="0.3">
      <c r="A746" s="10">
        <v>39471</v>
      </c>
      <c r="B746" s="6">
        <v>3604</v>
      </c>
      <c r="C746" s="6">
        <v>9230</v>
      </c>
      <c r="D746" s="6">
        <v>854</v>
      </c>
      <c r="E746" s="6">
        <v>4302</v>
      </c>
      <c r="F746" s="6">
        <v>2028</v>
      </c>
      <c r="G746" s="6">
        <v>5653</v>
      </c>
      <c r="H746" s="6">
        <v>1197</v>
      </c>
      <c r="I746" s="6">
        <v>2978</v>
      </c>
      <c r="J746" s="6">
        <v>95</v>
      </c>
      <c r="K746" s="6">
        <v>854</v>
      </c>
      <c r="L746" s="6">
        <v>7779</v>
      </c>
      <c r="M746" s="6">
        <v>23018</v>
      </c>
      <c r="N746" s="6">
        <v>20020</v>
      </c>
      <c r="O746" s="6">
        <v>26308</v>
      </c>
      <c r="P746" s="6">
        <v>7841</v>
      </c>
      <c r="Q746" s="6">
        <v>15223</v>
      </c>
      <c r="R746" s="16">
        <f t="shared" si="42"/>
        <v>35640</v>
      </c>
    </row>
    <row r="747" spans="1:19" ht="15.6" x14ac:dyDescent="0.3">
      <c r="A747" s="10">
        <v>39114</v>
      </c>
      <c r="B747" s="78">
        <v>1526</v>
      </c>
      <c r="C747" s="78">
        <v>4293</v>
      </c>
      <c r="D747" s="78">
        <v>656</v>
      </c>
      <c r="E747" s="78">
        <v>2332</v>
      </c>
      <c r="F747" s="78">
        <v>1013</v>
      </c>
      <c r="G747" s="78">
        <v>4384</v>
      </c>
      <c r="H747" s="78">
        <v>1004</v>
      </c>
      <c r="I747" s="78">
        <v>3377</v>
      </c>
      <c r="J747" s="78">
        <v>114</v>
      </c>
      <c r="K747" s="78">
        <v>587</v>
      </c>
      <c r="L747" s="78">
        <v>4313</v>
      </c>
      <c r="M747" s="78">
        <v>14971</v>
      </c>
      <c r="N747" s="78">
        <v>11687</v>
      </c>
      <c r="O747" s="78">
        <v>23977</v>
      </c>
      <c r="P747" s="78">
        <v>6686</v>
      </c>
      <c r="Q747" s="78">
        <v>16952</v>
      </c>
      <c r="R747" s="16">
        <f t="shared" si="42"/>
        <v>22686</v>
      </c>
    </row>
    <row r="748" spans="1:19" ht="15.6" x14ac:dyDescent="0.3">
      <c r="A748" s="10">
        <v>39478</v>
      </c>
      <c r="B748" s="6">
        <v>3636</v>
      </c>
      <c r="C748" s="6">
        <v>9394</v>
      </c>
      <c r="D748" s="6">
        <v>818</v>
      </c>
      <c r="E748" s="6">
        <v>4343</v>
      </c>
      <c r="F748" s="6">
        <v>1966</v>
      </c>
      <c r="G748" s="6">
        <v>5812</v>
      </c>
      <c r="H748" s="6">
        <v>1126</v>
      </c>
      <c r="I748" s="6">
        <v>3051</v>
      </c>
      <c r="J748" s="6">
        <v>85</v>
      </c>
      <c r="K748" s="6">
        <v>879</v>
      </c>
      <c r="L748" s="6">
        <v>7631</v>
      </c>
      <c r="M748" s="6">
        <v>23478</v>
      </c>
      <c r="N748" s="6">
        <v>19799</v>
      </c>
      <c r="O748" s="6">
        <v>27558</v>
      </c>
      <c r="P748" s="6">
        <v>7986</v>
      </c>
      <c r="Q748" s="6">
        <v>16115</v>
      </c>
      <c r="R748" s="16">
        <f t="shared" si="42"/>
        <v>35416</v>
      </c>
    </row>
    <row r="749" spans="1:19" ht="15.6" x14ac:dyDescent="0.3">
      <c r="A749" s="10">
        <v>39121</v>
      </c>
      <c r="B749" s="78">
        <v>1452</v>
      </c>
      <c r="C749" s="78">
        <v>4441</v>
      </c>
      <c r="D749" s="78">
        <v>715</v>
      </c>
      <c r="E749" s="78">
        <v>2388</v>
      </c>
      <c r="F749" s="78">
        <v>1035</v>
      </c>
      <c r="G749" s="78">
        <v>4482</v>
      </c>
      <c r="H749" s="78">
        <v>948</v>
      </c>
      <c r="I749" s="78">
        <v>3483</v>
      </c>
      <c r="J749" s="78">
        <v>116</v>
      </c>
      <c r="K749" s="78">
        <v>587</v>
      </c>
      <c r="L749" s="78">
        <v>4265</v>
      </c>
      <c r="M749" s="78">
        <v>15380</v>
      </c>
      <c r="N749" s="78">
        <v>12077</v>
      </c>
      <c r="O749" s="78">
        <v>24974</v>
      </c>
      <c r="P749" s="78">
        <v>5863</v>
      </c>
      <c r="Q749" s="78">
        <v>18148</v>
      </c>
      <c r="R749" s="16">
        <f t="shared" si="42"/>
        <v>22205</v>
      </c>
    </row>
    <row r="750" spans="1:19" ht="15.6" x14ac:dyDescent="0.3">
      <c r="A750" s="10">
        <v>39485</v>
      </c>
      <c r="B750" s="6">
        <v>3356</v>
      </c>
      <c r="C750" s="6">
        <v>9665</v>
      </c>
      <c r="D750" s="6">
        <v>842</v>
      </c>
      <c r="E750" s="6">
        <v>4384</v>
      </c>
      <c r="F750" s="6">
        <v>1832</v>
      </c>
      <c r="G750" s="6">
        <v>5964</v>
      </c>
      <c r="H750" s="6">
        <v>1056</v>
      </c>
      <c r="I750" s="6">
        <v>3125</v>
      </c>
      <c r="J750" s="6">
        <v>82</v>
      </c>
      <c r="K750" s="6">
        <v>887</v>
      </c>
      <c r="L750" s="6">
        <v>7168</v>
      </c>
      <c r="M750" s="6">
        <v>24025</v>
      </c>
      <c r="N750" s="6">
        <v>19586</v>
      </c>
      <c r="O750" s="6">
        <v>28695</v>
      </c>
      <c r="P750" s="6">
        <v>7289</v>
      </c>
      <c r="Q750" s="6">
        <v>17140</v>
      </c>
      <c r="R750" s="16">
        <f t="shared" si="42"/>
        <v>34043</v>
      </c>
    </row>
    <row r="751" spans="1:19" ht="15.6" x14ac:dyDescent="0.3">
      <c r="A751" s="10">
        <v>39128</v>
      </c>
      <c r="B751" s="78">
        <v>1403</v>
      </c>
      <c r="C751" s="78">
        <v>4575</v>
      </c>
      <c r="D751" s="78">
        <v>729</v>
      </c>
      <c r="E751" s="78">
        <v>2481</v>
      </c>
      <c r="F751" s="78">
        <v>1126</v>
      </c>
      <c r="G751" s="78">
        <v>4569</v>
      </c>
      <c r="H751" s="78">
        <v>914</v>
      </c>
      <c r="I751" s="78">
        <v>3589</v>
      </c>
      <c r="J751" s="78">
        <v>116</v>
      </c>
      <c r="K751" s="78">
        <v>596</v>
      </c>
      <c r="L751" s="78">
        <v>4287</v>
      </c>
      <c r="M751" s="78">
        <v>15809</v>
      </c>
      <c r="N751" s="78">
        <v>11657</v>
      </c>
      <c r="O751" s="78">
        <v>26214</v>
      </c>
      <c r="P751" s="78">
        <v>5736</v>
      </c>
      <c r="Q751" s="78">
        <v>18943</v>
      </c>
      <c r="R751" s="16">
        <f t="shared" si="42"/>
        <v>21680</v>
      </c>
    </row>
    <row r="752" spans="1:19" ht="15.6" x14ac:dyDescent="0.3">
      <c r="A752" s="10">
        <v>39492</v>
      </c>
      <c r="B752" s="6">
        <v>3190</v>
      </c>
      <c r="C752" s="6">
        <v>9990</v>
      </c>
      <c r="D752" s="6">
        <v>736</v>
      </c>
      <c r="E752" s="6">
        <v>4407</v>
      </c>
      <c r="F752" s="6">
        <v>1689</v>
      </c>
      <c r="G752" s="6">
        <v>6128</v>
      </c>
      <c r="H752" s="6">
        <v>966</v>
      </c>
      <c r="I752" s="6">
        <v>3213</v>
      </c>
      <c r="J752" s="6">
        <v>77</v>
      </c>
      <c r="K752" s="6">
        <v>898</v>
      </c>
      <c r="L752" s="6">
        <v>6658</v>
      </c>
      <c r="M752" s="6">
        <v>24636</v>
      </c>
      <c r="N752" s="6">
        <v>19316</v>
      </c>
      <c r="O752" s="6">
        <v>30107</v>
      </c>
      <c r="P752" s="6">
        <v>6977</v>
      </c>
      <c r="Q752" s="6">
        <v>18083</v>
      </c>
      <c r="R752" s="16">
        <f t="shared" si="42"/>
        <v>32951</v>
      </c>
    </row>
    <row r="753" spans="1:18" ht="15.6" x14ac:dyDescent="0.3">
      <c r="A753" s="10">
        <v>39135</v>
      </c>
      <c r="B753" s="78">
        <v>1315</v>
      </c>
      <c r="C753" s="78">
        <v>4783</v>
      </c>
      <c r="D753" s="78">
        <v>653</v>
      </c>
      <c r="E753" s="78">
        <v>2569</v>
      </c>
      <c r="F753" s="78">
        <v>1065</v>
      </c>
      <c r="G753" s="78">
        <v>4689</v>
      </c>
      <c r="H753" s="78">
        <v>861</v>
      </c>
      <c r="I753" s="78">
        <v>3767</v>
      </c>
      <c r="J753" s="78">
        <v>103</v>
      </c>
      <c r="K753" s="78">
        <v>614</v>
      </c>
      <c r="L753" s="78">
        <v>3997</v>
      </c>
      <c r="M753" s="78">
        <v>16421</v>
      </c>
      <c r="N753" s="78">
        <v>11084</v>
      </c>
      <c r="O753" s="78">
        <v>27106</v>
      </c>
      <c r="P753" s="78">
        <v>5217</v>
      </c>
      <c r="Q753" s="78">
        <v>19877</v>
      </c>
      <c r="R753" s="16">
        <f t="shared" si="42"/>
        <v>20298</v>
      </c>
    </row>
    <row r="754" spans="1:18" ht="15.6" x14ac:dyDescent="0.3">
      <c r="A754" s="10">
        <v>39499</v>
      </c>
      <c r="B754" s="6">
        <v>3187</v>
      </c>
      <c r="C754" s="6">
        <v>10141</v>
      </c>
      <c r="D754" s="6">
        <v>746</v>
      </c>
      <c r="E754" s="6">
        <v>4454</v>
      </c>
      <c r="F754" s="6">
        <v>1586</v>
      </c>
      <c r="G754" s="6">
        <v>6300</v>
      </c>
      <c r="H754" s="6">
        <v>860</v>
      </c>
      <c r="I754" s="6">
        <v>3325</v>
      </c>
      <c r="J754" s="6">
        <v>77</v>
      </c>
      <c r="K754" s="6">
        <v>926</v>
      </c>
      <c r="L754" s="6">
        <v>6456</v>
      </c>
      <c r="M754" s="6">
        <v>25146</v>
      </c>
      <c r="N754" s="6">
        <v>18670</v>
      </c>
      <c r="O754" s="6">
        <v>31355</v>
      </c>
      <c r="P754" s="6">
        <v>6893</v>
      </c>
      <c r="Q754" s="6">
        <v>18750</v>
      </c>
      <c r="R754" s="16">
        <f t="shared" si="42"/>
        <v>32019</v>
      </c>
    </row>
    <row r="755" spans="1:18" ht="15.6" x14ac:dyDescent="0.3">
      <c r="A755" s="10">
        <v>39142</v>
      </c>
      <c r="B755" s="78">
        <v>1324</v>
      </c>
      <c r="C755" s="78">
        <v>4927</v>
      </c>
      <c r="D755" s="78">
        <v>733</v>
      </c>
      <c r="E755" s="78">
        <v>2607</v>
      </c>
      <c r="F755" s="78">
        <v>984</v>
      </c>
      <c r="G755" s="78">
        <v>4847</v>
      </c>
      <c r="H755" s="78">
        <v>826</v>
      </c>
      <c r="I755" s="78">
        <v>3878</v>
      </c>
      <c r="J755" s="78">
        <v>98</v>
      </c>
      <c r="K755" s="78">
        <v>616</v>
      </c>
      <c r="L755" s="78">
        <v>3965</v>
      </c>
      <c r="M755" s="78">
        <v>16875</v>
      </c>
      <c r="N755" s="78">
        <v>10731</v>
      </c>
      <c r="O755" s="78">
        <v>28532</v>
      </c>
      <c r="P755" s="78">
        <v>4920</v>
      </c>
      <c r="Q755" s="78">
        <v>20741</v>
      </c>
      <c r="R755" s="16">
        <f t="shared" si="42"/>
        <v>19616</v>
      </c>
    </row>
    <row r="756" spans="1:18" ht="15.6" x14ac:dyDescent="0.3">
      <c r="A756" s="10">
        <v>39506</v>
      </c>
      <c r="B756" s="6">
        <v>3297</v>
      </c>
      <c r="C756" s="6">
        <v>10381</v>
      </c>
      <c r="D756" s="6">
        <v>746</v>
      </c>
      <c r="E756" s="6">
        <v>4537</v>
      </c>
      <c r="F756" s="6">
        <v>1480</v>
      </c>
      <c r="G756" s="6">
        <v>6398</v>
      </c>
      <c r="H756" s="6">
        <v>818</v>
      </c>
      <c r="I756" s="6">
        <v>3369</v>
      </c>
      <c r="J756" s="6">
        <v>67</v>
      </c>
      <c r="K756" s="6">
        <v>941</v>
      </c>
      <c r="L756" s="6">
        <v>6409</v>
      </c>
      <c r="M756" s="6">
        <v>25626</v>
      </c>
      <c r="N756" s="6">
        <v>17986</v>
      </c>
      <c r="O756" s="6">
        <v>32687</v>
      </c>
      <c r="P756" s="6">
        <v>6138</v>
      </c>
      <c r="Q756" s="6">
        <v>19709</v>
      </c>
      <c r="R756" s="16">
        <f t="shared" si="42"/>
        <v>30533</v>
      </c>
    </row>
    <row r="757" spans="1:18" ht="15.6" x14ac:dyDescent="0.3">
      <c r="A757" s="10">
        <v>39149</v>
      </c>
      <c r="B757" s="78">
        <v>1275</v>
      </c>
      <c r="C757" s="78">
        <v>5062</v>
      </c>
      <c r="D757" s="78">
        <v>642</v>
      </c>
      <c r="E757" s="78">
        <v>2803</v>
      </c>
      <c r="F757" s="78">
        <v>990</v>
      </c>
      <c r="G757" s="78">
        <v>4979</v>
      </c>
      <c r="H757" s="78">
        <v>895</v>
      </c>
      <c r="I757" s="78">
        <v>3909</v>
      </c>
      <c r="J757" s="78">
        <v>65</v>
      </c>
      <c r="K757" s="78">
        <v>665</v>
      </c>
      <c r="L757" s="78">
        <v>3865</v>
      </c>
      <c r="M757" s="78">
        <v>17418</v>
      </c>
      <c r="N757" s="78">
        <v>10330</v>
      </c>
      <c r="O757" s="78">
        <v>29682</v>
      </c>
      <c r="P757" s="78">
        <v>4587</v>
      </c>
      <c r="Q757" s="78">
        <v>21525</v>
      </c>
      <c r="R757" s="16">
        <f t="shared" si="42"/>
        <v>18782</v>
      </c>
    </row>
    <row r="758" spans="1:18" ht="15.6" x14ac:dyDescent="0.3">
      <c r="A758" s="10">
        <v>39513</v>
      </c>
      <c r="B758" s="6">
        <v>3224</v>
      </c>
      <c r="C758" s="6">
        <v>10602</v>
      </c>
      <c r="D758" s="6">
        <v>678</v>
      </c>
      <c r="E758" s="6">
        <v>4613</v>
      </c>
      <c r="F758" s="6">
        <v>1388</v>
      </c>
      <c r="G758" s="6">
        <v>6534</v>
      </c>
      <c r="H758" s="6">
        <v>747</v>
      </c>
      <c r="I758" s="6">
        <v>3427</v>
      </c>
      <c r="J758" s="6">
        <v>76</v>
      </c>
      <c r="K758" s="6">
        <v>956</v>
      </c>
      <c r="L758" s="6">
        <v>6113</v>
      </c>
      <c r="M758" s="6">
        <v>26132</v>
      </c>
      <c r="N758" s="6">
        <v>17692</v>
      </c>
      <c r="O758" s="6">
        <v>33749</v>
      </c>
      <c r="P758" s="6">
        <v>5509</v>
      </c>
      <c r="Q758" s="6">
        <v>20595</v>
      </c>
      <c r="R758" s="16">
        <f t="shared" si="42"/>
        <v>29314</v>
      </c>
    </row>
    <row r="759" spans="1:18" ht="15.6" x14ac:dyDescent="0.3">
      <c r="A759" s="10">
        <v>39156</v>
      </c>
      <c r="B759" s="78">
        <v>1268</v>
      </c>
      <c r="C759" s="78">
        <v>5189</v>
      </c>
      <c r="D759" s="78">
        <v>595</v>
      </c>
      <c r="E759" s="78">
        <v>2907</v>
      </c>
      <c r="F759" s="78">
        <v>1044</v>
      </c>
      <c r="G759" s="78">
        <v>5060</v>
      </c>
      <c r="H759" s="78">
        <v>932</v>
      </c>
      <c r="I759" s="78">
        <v>4024</v>
      </c>
      <c r="J759" s="78">
        <v>74</v>
      </c>
      <c r="K759" s="78">
        <v>665</v>
      </c>
      <c r="L759" s="78">
        <v>3913</v>
      </c>
      <c r="M759" s="78">
        <v>17845</v>
      </c>
      <c r="N759" s="78">
        <v>10066</v>
      </c>
      <c r="O759" s="78">
        <v>30587</v>
      </c>
      <c r="P759" s="78">
        <v>4602</v>
      </c>
      <c r="Q759" s="78">
        <v>22033</v>
      </c>
      <c r="R759" s="16">
        <f t="shared" si="42"/>
        <v>18581</v>
      </c>
    </row>
    <row r="760" spans="1:18" ht="15.6" x14ac:dyDescent="0.3">
      <c r="A760" s="10">
        <v>39520</v>
      </c>
      <c r="B760" s="6">
        <v>2794</v>
      </c>
      <c r="C760" s="6">
        <v>10921</v>
      </c>
      <c r="D760" s="6">
        <v>664</v>
      </c>
      <c r="E760" s="6">
        <v>4771</v>
      </c>
      <c r="F760" s="6">
        <v>1304</v>
      </c>
      <c r="G760" s="6">
        <v>6599</v>
      </c>
      <c r="H760" s="6">
        <v>728</v>
      </c>
      <c r="I760" s="6">
        <v>3449</v>
      </c>
      <c r="J760" s="6">
        <v>76</v>
      </c>
      <c r="K760" s="6">
        <v>956</v>
      </c>
      <c r="L760" s="6">
        <v>5566</v>
      </c>
      <c r="M760" s="6">
        <v>26696</v>
      </c>
      <c r="N760" s="6">
        <v>16969</v>
      </c>
      <c r="O760" s="6">
        <v>35222</v>
      </c>
      <c r="P760" s="6">
        <v>5191</v>
      </c>
      <c r="Q760" s="6">
        <v>21351</v>
      </c>
      <c r="R760" s="16">
        <f t="shared" si="42"/>
        <v>27726</v>
      </c>
    </row>
    <row r="761" spans="1:18" ht="15.6" x14ac:dyDescent="0.3">
      <c r="A761" s="10">
        <v>39163</v>
      </c>
      <c r="B761" s="78">
        <v>1237</v>
      </c>
      <c r="C761" s="78">
        <v>5349</v>
      </c>
      <c r="D761" s="78">
        <v>784</v>
      </c>
      <c r="E761" s="78">
        <v>2956</v>
      </c>
      <c r="F761" s="78">
        <v>1025</v>
      </c>
      <c r="G761" s="78">
        <v>5184</v>
      </c>
      <c r="H761" s="78">
        <v>931</v>
      </c>
      <c r="I761" s="78">
        <v>4064</v>
      </c>
      <c r="J761" s="78">
        <v>87</v>
      </c>
      <c r="K761" s="78">
        <v>669</v>
      </c>
      <c r="L761" s="78">
        <v>4064</v>
      </c>
      <c r="M761" s="78">
        <v>18223</v>
      </c>
      <c r="N761" s="78">
        <v>10043</v>
      </c>
      <c r="O761" s="78">
        <v>31734</v>
      </c>
      <c r="P761" s="78">
        <v>4316</v>
      </c>
      <c r="Q761" s="78">
        <v>22590</v>
      </c>
      <c r="R761" s="16">
        <f t="shared" si="42"/>
        <v>18423</v>
      </c>
    </row>
    <row r="762" spans="1:18" ht="15.6" x14ac:dyDescent="0.3">
      <c r="A762" s="10">
        <v>39527</v>
      </c>
      <c r="B762" s="6">
        <v>2704</v>
      </c>
      <c r="C762" s="6">
        <v>11126</v>
      </c>
      <c r="D762" s="6">
        <v>761</v>
      </c>
      <c r="E762" s="6">
        <v>4795</v>
      </c>
      <c r="F762" s="6">
        <v>1200</v>
      </c>
      <c r="G762" s="6">
        <v>6760</v>
      </c>
      <c r="H762" s="6">
        <v>696</v>
      </c>
      <c r="I762" s="6">
        <v>3566</v>
      </c>
      <c r="J762" s="6">
        <v>53</v>
      </c>
      <c r="K762" s="6">
        <v>980</v>
      </c>
      <c r="L762" s="6">
        <v>5414</v>
      </c>
      <c r="M762" s="6">
        <v>27228</v>
      </c>
      <c r="N762" s="6">
        <v>16312</v>
      </c>
      <c r="O762" s="6">
        <v>36511</v>
      </c>
      <c r="P762" s="6">
        <v>4924</v>
      </c>
      <c r="Q762" s="6">
        <v>21988</v>
      </c>
      <c r="R762" s="16">
        <f t="shared" si="42"/>
        <v>26650</v>
      </c>
    </row>
    <row r="763" spans="1:18" ht="15.6" x14ac:dyDescent="0.3">
      <c r="A763" s="10">
        <v>39170</v>
      </c>
      <c r="B763" s="78">
        <v>1192</v>
      </c>
      <c r="C763" s="78">
        <v>5442</v>
      </c>
      <c r="D763" s="78">
        <v>729</v>
      </c>
      <c r="E763" s="78">
        <v>3080</v>
      </c>
      <c r="F763" s="78">
        <v>1003</v>
      </c>
      <c r="G763" s="78">
        <v>5291</v>
      </c>
      <c r="H763" s="78">
        <v>879</v>
      </c>
      <c r="I763" s="78">
        <v>4134</v>
      </c>
      <c r="J763" s="78">
        <v>81</v>
      </c>
      <c r="K763" s="78">
        <v>669</v>
      </c>
      <c r="L763" s="78">
        <v>3884</v>
      </c>
      <c r="M763" s="78">
        <v>18616</v>
      </c>
      <c r="N763" s="78">
        <v>9656</v>
      </c>
      <c r="O763" s="78">
        <v>32671</v>
      </c>
      <c r="P763" s="78">
        <v>3789</v>
      </c>
      <c r="Q763" s="78">
        <v>23375</v>
      </c>
      <c r="R763" s="16">
        <f t="shared" si="42"/>
        <v>17329</v>
      </c>
    </row>
    <row r="764" spans="1:18" ht="15.6" x14ac:dyDescent="0.3">
      <c r="A764" s="10">
        <v>39534</v>
      </c>
      <c r="B764" s="6">
        <v>2557</v>
      </c>
      <c r="C764" s="6">
        <v>11318</v>
      </c>
      <c r="D764" s="6">
        <v>914</v>
      </c>
      <c r="E764" s="6">
        <v>4826</v>
      </c>
      <c r="F764" s="6">
        <v>1052</v>
      </c>
      <c r="G764" s="6">
        <v>6931</v>
      </c>
      <c r="H764" s="6">
        <v>627</v>
      </c>
      <c r="I764" s="6">
        <v>3652</v>
      </c>
      <c r="J764" s="6">
        <v>53</v>
      </c>
      <c r="K764" s="6">
        <v>978</v>
      </c>
      <c r="L764" s="6">
        <v>5203</v>
      </c>
      <c r="M764" s="6">
        <v>27706</v>
      </c>
      <c r="N764" s="6">
        <v>15871</v>
      </c>
      <c r="O764" s="6">
        <v>37657</v>
      </c>
      <c r="P764" s="6">
        <v>4381</v>
      </c>
      <c r="Q764" s="6">
        <v>22716</v>
      </c>
      <c r="R764" s="16">
        <f t="shared" si="42"/>
        <v>25455</v>
      </c>
    </row>
    <row r="765" spans="1:18" ht="15.6" x14ac:dyDescent="0.3">
      <c r="A765" s="10">
        <v>39177</v>
      </c>
      <c r="B765" s="78">
        <v>1277</v>
      </c>
      <c r="C765" s="78">
        <v>5567</v>
      </c>
      <c r="D765" s="78">
        <v>830</v>
      </c>
      <c r="E765" s="78">
        <v>3126</v>
      </c>
      <c r="F765" s="78">
        <v>1139</v>
      </c>
      <c r="G765" s="78">
        <v>5412</v>
      </c>
      <c r="H765" s="78">
        <v>832</v>
      </c>
      <c r="I765" s="78">
        <v>4228</v>
      </c>
      <c r="J765" s="78">
        <v>114</v>
      </c>
      <c r="K765" s="78">
        <v>669</v>
      </c>
      <c r="L765" s="78">
        <v>4193</v>
      </c>
      <c r="M765" s="78">
        <v>19001</v>
      </c>
      <c r="N765" s="78">
        <v>10247</v>
      </c>
      <c r="O765" s="78">
        <v>33404</v>
      </c>
      <c r="P765" s="78">
        <v>3394</v>
      </c>
      <c r="Q765" s="78">
        <v>23908</v>
      </c>
      <c r="R765" s="16">
        <f t="shared" si="42"/>
        <v>17834</v>
      </c>
    </row>
    <row r="766" spans="1:18" ht="15.6" x14ac:dyDescent="0.3">
      <c r="A766" s="10">
        <v>39541</v>
      </c>
      <c r="B766" s="6">
        <v>2431</v>
      </c>
      <c r="C766" s="6">
        <v>11743</v>
      </c>
      <c r="D766" s="6">
        <v>786</v>
      </c>
      <c r="E766" s="6">
        <v>4993</v>
      </c>
      <c r="F766" s="6">
        <v>1023</v>
      </c>
      <c r="G766" s="6">
        <v>7029</v>
      </c>
      <c r="H766" s="6">
        <v>580</v>
      </c>
      <c r="I766" s="6">
        <v>3710</v>
      </c>
      <c r="J766" s="6">
        <v>77</v>
      </c>
      <c r="K766" s="6">
        <v>992</v>
      </c>
      <c r="L766" s="6">
        <v>4897</v>
      </c>
      <c r="M766" s="6">
        <v>28466</v>
      </c>
      <c r="N766" s="6">
        <v>15090</v>
      </c>
      <c r="O766" s="6">
        <v>38906</v>
      </c>
      <c r="P766" s="6">
        <v>4538</v>
      </c>
      <c r="Q766" s="6">
        <v>23142</v>
      </c>
      <c r="R766" s="16">
        <f t="shared" si="42"/>
        <v>24525</v>
      </c>
    </row>
    <row r="767" spans="1:18" ht="15.6" x14ac:dyDescent="0.3">
      <c r="A767" s="10">
        <v>39184</v>
      </c>
      <c r="B767" s="78">
        <v>1169</v>
      </c>
      <c r="C767" s="78">
        <v>5761</v>
      </c>
      <c r="D767" s="78">
        <v>740</v>
      </c>
      <c r="E767" s="78">
        <v>3271</v>
      </c>
      <c r="F767" s="78">
        <v>1084</v>
      </c>
      <c r="G767" s="78">
        <v>5572</v>
      </c>
      <c r="H767" s="78">
        <v>722</v>
      </c>
      <c r="I767" s="78">
        <v>4413</v>
      </c>
      <c r="J767" s="78">
        <v>128</v>
      </c>
      <c r="K767" s="78">
        <v>678</v>
      </c>
      <c r="L767" s="78">
        <v>3842</v>
      </c>
      <c r="M767" s="78">
        <v>19695</v>
      </c>
      <c r="N767" s="78">
        <v>10152</v>
      </c>
      <c r="O767" s="78">
        <v>34301</v>
      </c>
      <c r="P767" s="78">
        <v>3201</v>
      </c>
      <c r="Q767" s="78">
        <v>24385</v>
      </c>
      <c r="R767" s="16">
        <f t="shared" si="42"/>
        <v>17195</v>
      </c>
    </row>
    <row r="768" spans="1:18" ht="15.6" x14ac:dyDescent="0.3">
      <c r="A768" s="10">
        <v>39548</v>
      </c>
      <c r="B768" s="6">
        <v>2341</v>
      </c>
      <c r="C768" s="6">
        <v>11941</v>
      </c>
      <c r="D768" s="6">
        <v>737</v>
      </c>
      <c r="E768" s="6">
        <v>5073</v>
      </c>
      <c r="F768" s="6">
        <v>972</v>
      </c>
      <c r="G768" s="6">
        <v>7060</v>
      </c>
      <c r="H768" s="6">
        <v>571</v>
      </c>
      <c r="I768" s="6">
        <v>3722</v>
      </c>
      <c r="J768" s="6">
        <v>83</v>
      </c>
      <c r="K768" s="6">
        <v>992</v>
      </c>
      <c r="L768" s="6">
        <v>4704</v>
      </c>
      <c r="M768" s="6">
        <v>28788</v>
      </c>
      <c r="N768" s="6">
        <v>14847</v>
      </c>
      <c r="O768" s="6">
        <v>40012</v>
      </c>
      <c r="P768" s="6">
        <v>4607</v>
      </c>
      <c r="Q768" s="6">
        <v>23550</v>
      </c>
      <c r="R768" s="16">
        <f t="shared" si="42"/>
        <v>24158</v>
      </c>
    </row>
    <row r="769" spans="1:18" ht="15.6" x14ac:dyDescent="0.3">
      <c r="A769" s="10">
        <v>39191</v>
      </c>
      <c r="B769" s="78">
        <v>1196</v>
      </c>
      <c r="C769" s="78">
        <v>5887</v>
      </c>
      <c r="D769" s="78">
        <v>716</v>
      </c>
      <c r="E769" s="78">
        <v>3325</v>
      </c>
      <c r="F769" s="78">
        <v>1051</v>
      </c>
      <c r="G769" s="78">
        <v>5653</v>
      </c>
      <c r="H769" s="78">
        <v>685</v>
      </c>
      <c r="I769" s="78">
        <v>4501</v>
      </c>
      <c r="J769" s="78">
        <v>123</v>
      </c>
      <c r="K769" s="78">
        <v>678</v>
      </c>
      <c r="L769" s="78">
        <v>3771</v>
      </c>
      <c r="M769" s="78">
        <v>20045</v>
      </c>
      <c r="N769" s="78">
        <v>10350</v>
      </c>
      <c r="O769" s="78">
        <v>35209</v>
      </c>
      <c r="P769" s="78">
        <v>3169</v>
      </c>
      <c r="Q769" s="78">
        <v>24839</v>
      </c>
      <c r="R769" s="16">
        <f t="shared" si="42"/>
        <v>17290</v>
      </c>
    </row>
    <row r="770" spans="1:18" ht="15.6" x14ac:dyDescent="0.3">
      <c r="A770" s="10">
        <v>39555</v>
      </c>
      <c r="B770" s="6">
        <v>2136</v>
      </c>
      <c r="C770" s="6">
        <v>12265</v>
      </c>
      <c r="D770" s="6">
        <v>734</v>
      </c>
      <c r="E770" s="6">
        <v>5080</v>
      </c>
      <c r="F770" s="6">
        <v>893</v>
      </c>
      <c r="G770" s="6">
        <v>7174</v>
      </c>
      <c r="H770" s="6">
        <v>482</v>
      </c>
      <c r="I770" s="6">
        <v>3794</v>
      </c>
      <c r="J770" s="6">
        <v>67</v>
      </c>
      <c r="K770" s="6">
        <v>1026</v>
      </c>
      <c r="L770" s="6">
        <v>4312</v>
      </c>
      <c r="M770" s="6">
        <v>29339</v>
      </c>
      <c r="N770" s="6">
        <v>14512</v>
      </c>
      <c r="O770" s="6">
        <v>41128</v>
      </c>
      <c r="P770" s="6">
        <v>4444</v>
      </c>
      <c r="Q770" s="6">
        <v>24090</v>
      </c>
      <c r="R770" s="16">
        <f t="shared" si="42"/>
        <v>23268</v>
      </c>
    </row>
    <row r="771" spans="1:18" ht="15.6" x14ac:dyDescent="0.3">
      <c r="A771" s="10">
        <v>39198</v>
      </c>
      <c r="B771" s="78">
        <v>1141</v>
      </c>
      <c r="C771" s="78">
        <v>6050</v>
      </c>
      <c r="D771" s="78">
        <v>651</v>
      </c>
      <c r="E771" s="78">
        <v>3402</v>
      </c>
      <c r="F771" s="78">
        <v>946</v>
      </c>
      <c r="G771" s="78">
        <v>5768</v>
      </c>
      <c r="H771" s="78">
        <v>617</v>
      </c>
      <c r="I771" s="78">
        <v>4590</v>
      </c>
      <c r="J771" s="78">
        <v>123</v>
      </c>
      <c r="K771" s="78">
        <v>681</v>
      </c>
      <c r="L771" s="78">
        <v>3478</v>
      </c>
      <c r="M771" s="78">
        <v>20490</v>
      </c>
      <c r="N771" s="78">
        <v>9880</v>
      </c>
      <c r="O771" s="78">
        <v>36294</v>
      </c>
      <c r="P771" s="78">
        <v>2667</v>
      </c>
      <c r="Q771" s="78">
        <v>25270</v>
      </c>
      <c r="R771" s="16">
        <f t="shared" si="42"/>
        <v>16025</v>
      </c>
    </row>
    <row r="772" spans="1:18" ht="15.6" x14ac:dyDescent="0.3">
      <c r="A772" s="10">
        <v>39562</v>
      </c>
      <c r="B772" s="6">
        <v>1888</v>
      </c>
      <c r="C772" s="6">
        <v>12573</v>
      </c>
      <c r="D772" s="6">
        <v>786</v>
      </c>
      <c r="E772" s="6">
        <v>5109</v>
      </c>
      <c r="F772" s="6">
        <v>860</v>
      </c>
      <c r="G772" s="6">
        <v>7229</v>
      </c>
      <c r="H772" s="6">
        <v>317</v>
      </c>
      <c r="I772" s="6">
        <v>3971</v>
      </c>
      <c r="J772" s="6">
        <v>63</v>
      </c>
      <c r="K772" s="6">
        <v>1032</v>
      </c>
      <c r="L772" s="6">
        <v>3913</v>
      </c>
      <c r="M772" s="6">
        <v>29914</v>
      </c>
      <c r="N772" s="6">
        <v>14060</v>
      </c>
      <c r="O772" s="6">
        <v>42132</v>
      </c>
      <c r="P772" s="6">
        <v>4210</v>
      </c>
      <c r="Q772" s="6">
        <v>24635</v>
      </c>
      <c r="R772" s="16">
        <f t="shared" si="42"/>
        <v>22183</v>
      </c>
    </row>
    <row r="773" spans="1:18" ht="15.6" x14ac:dyDescent="0.3">
      <c r="A773" s="10">
        <v>39205</v>
      </c>
      <c r="B773" s="78">
        <v>1036</v>
      </c>
      <c r="C773" s="78">
        <v>6215</v>
      </c>
      <c r="D773" s="78">
        <v>526</v>
      </c>
      <c r="E773" s="78">
        <v>3527</v>
      </c>
      <c r="F773" s="78">
        <v>950</v>
      </c>
      <c r="G773" s="78">
        <v>5839</v>
      </c>
      <c r="H773" s="78">
        <v>609</v>
      </c>
      <c r="I773" s="78">
        <v>4615</v>
      </c>
      <c r="J773" s="78">
        <v>105</v>
      </c>
      <c r="K773" s="78">
        <v>730</v>
      </c>
      <c r="L773" s="78">
        <v>3226</v>
      </c>
      <c r="M773" s="78">
        <v>20927</v>
      </c>
      <c r="N773" s="78">
        <v>9468</v>
      </c>
      <c r="O773" s="78">
        <v>37162</v>
      </c>
      <c r="P773" s="78">
        <v>2475</v>
      </c>
      <c r="Q773" s="78">
        <v>25666</v>
      </c>
      <c r="R773" s="16">
        <f t="shared" si="42"/>
        <v>15169</v>
      </c>
    </row>
    <row r="774" spans="1:18" ht="15.6" x14ac:dyDescent="0.3">
      <c r="A774" s="10">
        <v>39569</v>
      </c>
      <c r="B774" s="6">
        <v>1683</v>
      </c>
      <c r="C774" s="6">
        <v>12867</v>
      </c>
      <c r="D774" s="6">
        <v>743</v>
      </c>
      <c r="E774" s="6">
        <v>5220</v>
      </c>
      <c r="F774" s="6">
        <v>712</v>
      </c>
      <c r="G774" s="6">
        <v>7393</v>
      </c>
      <c r="H774" s="6">
        <v>257</v>
      </c>
      <c r="I774" s="6">
        <v>4035</v>
      </c>
      <c r="J774" s="6">
        <v>64</v>
      </c>
      <c r="K774" s="6">
        <v>1032</v>
      </c>
      <c r="L774" s="6">
        <v>3460</v>
      </c>
      <c r="M774" s="6">
        <v>30546</v>
      </c>
      <c r="N774" s="6">
        <v>13460</v>
      </c>
      <c r="O774" s="6">
        <v>43069</v>
      </c>
      <c r="P774" s="6">
        <v>3889</v>
      </c>
      <c r="Q774" s="6">
        <v>24997</v>
      </c>
      <c r="R774" s="16">
        <f t="shared" si="42"/>
        <v>20809</v>
      </c>
    </row>
    <row r="775" spans="1:18" ht="15.6" x14ac:dyDescent="0.3">
      <c r="A775" s="10">
        <v>39212</v>
      </c>
      <c r="B775" s="78">
        <v>971</v>
      </c>
      <c r="C775" s="78">
        <v>6320</v>
      </c>
      <c r="D775" s="78">
        <v>426</v>
      </c>
      <c r="E775" s="78">
        <v>3661</v>
      </c>
      <c r="F775" s="78">
        <v>789</v>
      </c>
      <c r="G775" s="78">
        <v>5995</v>
      </c>
      <c r="H775" s="78">
        <v>432</v>
      </c>
      <c r="I775" s="78">
        <v>4782</v>
      </c>
      <c r="J775" s="78">
        <v>98</v>
      </c>
      <c r="K775" s="78">
        <v>737</v>
      </c>
      <c r="L775" s="78">
        <v>2716</v>
      </c>
      <c r="M775" s="78">
        <v>21494</v>
      </c>
      <c r="N775" s="78">
        <v>9835</v>
      </c>
      <c r="O775" s="78">
        <v>38309</v>
      </c>
      <c r="P775" s="78">
        <v>2454</v>
      </c>
      <c r="Q775" s="78">
        <v>25910</v>
      </c>
      <c r="R775" s="16">
        <f t="shared" si="42"/>
        <v>15005</v>
      </c>
    </row>
    <row r="776" spans="1:18" ht="15.6" x14ac:dyDescent="0.3">
      <c r="A776" s="10">
        <v>39576</v>
      </c>
      <c r="B776" s="6">
        <v>1484</v>
      </c>
      <c r="C776" s="6">
        <v>13066</v>
      </c>
      <c r="D776" s="6">
        <v>715</v>
      </c>
      <c r="E776" s="6">
        <v>5372</v>
      </c>
      <c r="F776" s="6">
        <v>534</v>
      </c>
      <c r="G776" s="6">
        <v>7567</v>
      </c>
      <c r="H776" s="6">
        <v>209</v>
      </c>
      <c r="I776" s="6">
        <v>4084</v>
      </c>
      <c r="J776" s="6">
        <v>38</v>
      </c>
      <c r="K776" s="6">
        <v>1057</v>
      </c>
      <c r="L776" s="6">
        <v>2980</v>
      </c>
      <c r="M776" s="6">
        <v>31146</v>
      </c>
      <c r="N776" s="6">
        <v>13012</v>
      </c>
      <c r="O776" s="6">
        <v>44064</v>
      </c>
      <c r="P776" s="6">
        <v>3603</v>
      </c>
      <c r="Q776" s="6">
        <v>25484</v>
      </c>
      <c r="R776" s="16">
        <f t="shared" ref="R776:R839" si="44">L776+N776+P776</f>
        <v>19595</v>
      </c>
    </row>
    <row r="777" spans="1:18" ht="15.6" x14ac:dyDescent="0.3">
      <c r="A777" s="10">
        <v>39219</v>
      </c>
      <c r="B777" s="78">
        <v>820</v>
      </c>
      <c r="C777" s="78">
        <v>6540</v>
      </c>
      <c r="D777" s="78">
        <v>336</v>
      </c>
      <c r="E777" s="78">
        <v>3733</v>
      </c>
      <c r="F777" s="78">
        <v>577</v>
      </c>
      <c r="G777" s="78">
        <v>6125</v>
      </c>
      <c r="H777" s="78">
        <v>287</v>
      </c>
      <c r="I777" s="78">
        <v>4889</v>
      </c>
      <c r="J777" s="78">
        <v>28</v>
      </c>
      <c r="K777" s="78">
        <v>739</v>
      </c>
      <c r="L777" s="78">
        <v>2048</v>
      </c>
      <c r="M777" s="78">
        <v>22025</v>
      </c>
      <c r="N777" s="78">
        <v>9682</v>
      </c>
      <c r="O777" s="78">
        <v>39119</v>
      </c>
      <c r="P777" s="78">
        <v>2207</v>
      </c>
      <c r="Q777" s="78">
        <v>26240</v>
      </c>
      <c r="R777" s="16">
        <f t="shared" si="44"/>
        <v>13937</v>
      </c>
    </row>
    <row r="778" spans="1:18" ht="15.6" x14ac:dyDescent="0.3">
      <c r="A778" s="10">
        <v>39583</v>
      </c>
      <c r="B778" s="6">
        <v>1362</v>
      </c>
      <c r="C778" s="6">
        <v>13249</v>
      </c>
      <c r="D778" s="6">
        <v>720</v>
      </c>
      <c r="E778" s="6">
        <v>5404</v>
      </c>
      <c r="F778" s="6">
        <v>485</v>
      </c>
      <c r="G778" s="6">
        <v>7615</v>
      </c>
      <c r="H778" s="6">
        <v>160</v>
      </c>
      <c r="I778" s="6">
        <v>4134</v>
      </c>
      <c r="J778" s="6">
        <v>26</v>
      </c>
      <c r="K778" s="6">
        <v>1069</v>
      </c>
      <c r="L778" s="6">
        <v>2752</v>
      </c>
      <c r="M778" s="6">
        <v>31472</v>
      </c>
      <c r="N778" s="6">
        <v>12775</v>
      </c>
      <c r="O778" s="6">
        <v>44808</v>
      </c>
      <c r="P778" s="6">
        <v>3714</v>
      </c>
      <c r="Q778" s="6">
        <v>25756</v>
      </c>
      <c r="R778" s="16">
        <f t="shared" si="44"/>
        <v>19241</v>
      </c>
    </row>
    <row r="779" spans="1:18" ht="15.6" x14ac:dyDescent="0.3">
      <c r="A779" s="10">
        <v>39226</v>
      </c>
      <c r="B779" s="78">
        <v>560</v>
      </c>
      <c r="C779" s="78">
        <v>6650</v>
      </c>
      <c r="D779" s="78">
        <v>290</v>
      </c>
      <c r="E779" s="78">
        <v>3793</v>
      </c>
      <c r="F779" s="78">
        <v>375</v>
      </c>
      <c r="G779" s="78">
        <v>6265</v>
      </c>
      <c r="H779" s="78">
        <v>167</v>
      </c>
      <c r="I779" s="78">
        <v>4960</v>
      </c>
      <c r="J779" s="78">
        <v>27</v>
      </c>
      <c r="K779" s="78">
        <v>739</v>
      </c>
      <c r="L779" s="78">
        <v>1419</v>
      </c>
      <c r="M779" s="78">
        <v>22406</v>
      </c>
      <c r="N779" s="78">
        <v>9268</v>
      </c>
      <c r="O779" s="78">
        <v>40209</v>
      </c>
      <c r="P779" s="78">
        <v>2332</v>
      </c>
      <c r="Q779" s="78">
        <v>26460</v>
      </c>
      <c r="R779" s="16">
        <f t="shared" si="44"/>
        <v>13019</v>
      </c>
    </row>
    <row r="780" spans="1:18" ht="15.6" x14ac:dyDescent="0.3">
      <c r="A780" s="10">
        <v>39590</v>
      </c>
      <c r="B780" s="6">
        <v>891</v>
      </c>
      <c r="C780" s="6">
        <v>13415</v>
      </c>
      <c r="D780" s="6">
        <v>603</v>
      </c>
      <c r="E780" s="6">
        <v>5475</v>
      </c>
      <c r="F780" s="6">
        <v>387</v>
      </c>
      <c r="G780" s="6">
        <v>7699</v>
      </c>
      <c r="H780" s="6">
        <v>137</v>
      </c>
      <c r="I780" s="6">
        <v>4156</v>
      </c>
      <c r="J780" s="6">
        <v>26</v>
      </c>
      <c r="K780" s="6">
        <v>1069</v>
      </c>
      <c r="L780" s="6">
        <v>2044</v>
      </c>
      <c r="M780" s="6">
        <v>31815</v>
      </c>
      <c r="N780" s="6">
        <v>12180</v>
      </c>
      <c r="O780" s="6">
        <v>45881</v>
      </c>
      <c r="P780" s="6">
        <v>3575</v>
      </c>
      <c r="Q780" s="6">
        <v>26141</v>
      </c>
      <c r="R780" s="16">
        <f t="shared" si="44"/>
        <v>17799</v>
      </c>
    </row>
    <row r="781" spans="1:18" ht="15.6" x14ac:dyDescent="0.3">
      <c r="A781" s="10">
        <v>39233</v>
      </c>
      <c r="B781" s="78">
        <v>362</v>
      </c>
      <c r="C781" s="78">
        <v>6800</v>
      </c>
      <c r="D781" s="78">
        <v>216</v>
      </c>
      <c r="E781" s="78">
        <v>3866</v>
      </c>
      <c r="F781" s="78">
        <v>171</v>
      </c>
      <c r="G781" s="78">
        <v>6480</v>
      </c>
      <c r="H781" s="78">
        <v>132</v>
      </c>
      <c r="I781" s="78">
        <v>4996</v>
      </c>
      <c r="J781" s="78">
        <v>6</v>
      </c>
      <c r="K781" s="78">
        <v>761</v>
      </c>
      <c r="L781" s="78">
        <v>886</v>
      </c>
      <c r="M781" s="78">
        <v>22902</v>
      </c>
      <c r="N781" s="78">
        <v>8642</v>
      </c>
      <c r="O781" s="78">
        <v>41211</v>
      </c>
      <c r="P781" s="78">
        <v>2392</v>
      </c>
      <c r="Q781" s="78">
        <v>26600</v>
      </c>
      <c r="R781" s="16">
        <f t="shared" si="44"/>
        <v>11920</v>
      </c>
    </row>
    <row r="782" spans="1:18" ht="15.6" x14ac:dyDescent="0.3">
      <c r="A782" s="10">
        <v>39597</v>
      </c>
      <c r="B782" s="6">
        <v>697</v>
      </c>
      <c r="C782" s="80">
        <v>13709</v>
      </c>
      <c r="D782" s="6">
        <v>525</v>
      </c>
      <c r="E782" s="80">
        <v>5568</v>
      </c>
      <c r="F782" s="6">
        <v>271</v>
      </c>
      <c r="G782" s="80">
        <v>7842</v>
      </c>
      <c r="H782" s="6">
        <v>103</v>
      </c>
      <c r="I782" s="80">
        <v>4191</v>
      </c>
      <c r="J782" s="6">
        <v>22</v>
      </c>
      <c r="K782" s="80">
        <v>1075</v>
      </c>
      <c r="L782" s="6">
        <v>1614</v>
      </c>
      <c r="M782" s="80">
        <v>32385</v>
      </c>
      <c r="N782" s="6">
        <v>11725</v>
      </c>
      <c r="O782" s="80">
        <v>46866</v>
      </c>
      <c r="P782" s="6">
        <v>3591</v>
      </c>
      <c r="Q782" s="80">
        <v>26424</v>
      </c>
      <c r="R782" s="16">
        <f t="shared" si="44"/>
        <v>16930</v>
      </c>
    </row>
    <row r="783" spans="1:18" ht="15.6" x14ac:dyDescent="0.3">
      <c r="A783" s="10">
        <v>39240</v>
      </c>
      <c r="B783" s="78">
        <v>1595</v>
      </c>
      <c r="C783" s="78">
        <v>62</v>
      </c>
      <c r="D783" s="78">
        <v>1033</v>
      </c>
      <c r="E783" s="78">
        <v>45</v>
      </c>
      <c r="F783" s="78">
        <v>922</v>
      </c>
      <c r="G783" s="78">
        <v>92</v>
      </c>
      <c r="H783" s="78">
        <v>718</v>
      </c>
      <c r="I783" s="78">
        <v>56</v>
      </c>
      <c r="J783" s="78">
        <v>209</v>
      </c>
      <c r="K783" s="78">
        <v>12</v>
      </c>
      <c r="L783" s="78">
        <v>4476</v>
      </c>
      <c r="M783" s="78">
        <v>268</v>
      </c>
      <c r="N783" s="78">
        <v>8343</v>
      </c>
      <c r="O783" s="78">
        <v>42037</v>
      </c>
      <c r="P783" s="78">
        <v>2262</v>
      </c>
      <c r="Q783" s="78">
        <v>26951</v>
      </c>
      <c r="R783" s="16">
        <f t="shared" si="44"/>
        <v>15081</v>
      </c>
    </row>
    <row r="784" spans="1:18" ht="15.6" x14ac:dyDescent="0.3">
      <c r="A784" s="10">
        <v>39604</v>
      </c>
      <c r="B784" s="6">
        <v>3458</v>
      </c>
      <c r="C784" s="6">
        <v>206</v>
      </c>
      <c r="D784" s="6">
        <v>1544</v>
      </c>
      <c r="E784" s="6">
        <v>75</v>
      </c>
      <c r="F784" s="6">
        <v>1129</v>
      </c>
      <c r="G784" s="6">
        <v>77</v>
      </c>
      <c r="H784" s="6">
        <v>812</v>
      </c>
      <c r="I784" s="96">
        <v>0.4</v>
      </c>
      <c r="J784" s="6">
        <v>235</v>
      </c>
      <c r="K784" s="6">
        <v>8</v>
      </c>
      <c r="L784" s="6">
        <v>7177</v>
      </c>
      <c r="M784" s="6">
        <v>367</v>
      </c>
      <c r="N784" s="6">
        <v>11085</v>
      </c>
      <c r="O784" s="6">
        <v>48031</v>
      </c>
      <c r="P784" s="6">
        <v>3658</v>
      </c>
      <c r="Q784" s="6">
        <v>26629</v>
      </c>
      <c r="R784" s="16">
        <f t="shared" si="44"/>
        <v>21920</v>
      </c>
    </row>
    <row r="785" spans="1:18" ht="15.6" x14ac:dyDescent="0.3">
      <c r="A785" s="10">
        <v>39247</v>
      </c>
      <c r="B785" s="78">
        <v>1560</v>
      </c>
      <c r="C785" s="78">
        <v>244</v>
      </c>
      <c r="D785" s="78">
        <v>1100</v>
      </c>
      <c r="E785" s="78">
        <v>101</v>
      </c>
      <c r="F785" s="78">
        <v>1023</v>
      </c>
      <c r="G785" s="78">
        <v>149</v>
      </c>
      <c r="H785" s="78">
        <v>754</v>
      </c>
      <c r="I785" s="78">
        <v>133</v>
      </c>
      <c r="J785" s="78">
        <v>209</v>
      </c>
      <c r="K785" s="78">
        <v>12</v>
      </c>
      <c r="L785" s="78">
        <v>4646</v>
      </c>
      <c r="M785" s="78">
        <v>639</v>
      </c>
      <c r="N785" s="78">
        <v>8274</v>
      </c>
      <c r="O785" s="78">
        <v>42933</v>
      </c>
      <c r="P785" s="78">
        <v>2454</v>
      </c>
      <c r="Q785" s="78">
        <v>27119</v>
      </c>
      <c r="R785" s="16">
        <f t="shared" si="44"/>
        <v>15374</v>
      </c>
    </row>
    <row r="786" spans="1:18" ht="15.6" x14ac:dyDescent="0.3">
      <c r="A786" s="10">
        <v>39611</v>
      </c>
      <c r="B786" s="6">
        <v>3481</v>
      </c>
      <c r="C786" s="6">
        <v>496</v>
      </c>
      <c r="D786" s="6">
        <v>1577</v>
      </c>
      <c r="E786" s="6">
        <v>97</v>
      </c>
      <c r="F786" s="6">
        <v>1194</v>
      </c>
      <c r="G786" s="6">
        <v>101</v>
      </c>
      <c r="H786" s="6">
        <v>855</v>
      </c>
      <c r="I786" s="6">
        <v>38</v>
      </c>
      <c r="J786" s="6">
        <v>235</v>
      </c>
      <c r="K786" s="6">
        <v>11</v>
      </c>
      <c r="L786" s="6">
        <v>7342</v>
      </c>
      <c r="M786" s="6">
        <v>741</v>
      </c>
      <c r="N786" s="6">
        <v>10341</v>
      </c>
      <c r="O786" s="6">
        <v>49118</v>
      </c>
      <c r="P786" s="6">
        <v>3473</v>
      </c>
      <c r="Q786" s="6">
        <v>26985</v>
      </c>
      <c r="R786" s="16">
        <f t="shared" si="44"/>
        <v>21156</v>
      </c>
    </row>
    <row r="787" spans="1:18" ht="15.6" x14ac:dyDescent="0.3">
      <c r="A787" s="10">
        <v>39254</v>
      </c>
      <c r="B787" s="78">
        <v>1572</v>
      </c>
      <c r="C787" s="78">
        <v>363</v>
      </c>
      <c r="D787" s="78">
        <v>985</v>
      </c>
      <c r="E787" s="78">
        <v>337</v>
      </c>
      <c r="F787" s="78">
        <v>1325</v>
      </c>
      <c r="G787" s="78">
        <v>165</v>
      </c>
      <c r="H787" s="78">
        <v>719</v>
      </c>
      <c r="I787" s="78">
        <v>205</v>
      </c>
      <c r="J787" s="78">
        <v>225</v>
      </c>
      <c r="K787" s="78">
        <v>12</v>
      </c>
      <c r="L787" s="78">
        <v>4825</v>
      </c>
      <c r="M787" s="78">
        <v>1083</v>
      </c>
      <c r="N787" s="78">
        <v>8171</v>
      </c>
      <c r="O787" s="78">
        <v>43789</v>
      </c>
      <c r="P787" s="78">
        <v>2282</v>
      </c>
      <c r="Q787" s="78">
        <v>27530</v>
      </c>
      <c r="R787" s="16">
        <f t="shared" si="44"/>
        <v>15278</v>
      </c>
    </row>
    <row r="788" spans="1:18" ht="15.6" x14ac:dyDescent="0.3">
      <c r="A788" s="10">
        <v>39618</v>
      </c>
      <c r="B788" s="6">
        <v>3379</v>
      </c>
      <c r="C788" s="6">
        <v>745</v>
      </c>
      <c r="D788" s="6">
        <v>1593</v>
      </c>
      <c r="E788" s="6">
        <v>232</v>
      </c>
      <c r="F788" s="6">
        <v>1261</v>
      </c>
      <c r="G788" s="6">
        <v>186</v>
      </c>
      <c r="H788" s="6">
        <v>867</v>
      </c>
      <c r="I788" s="6">
        <v>69</v>
      </c>
      <c r="J788" s="6">
        <v>236</v>
      </c>
      <c r="K788" s="6">
        <v>12</v>
      </c>
      <c r="L788" s="6">
        <v>7336</v>
      </c>
      <c r="M788" s="6">
        <v>1245</v>
      </c>
      <c r="N788" s="6">
        <v>9588</v>
      </c>
      <c r="O788" s="6">
        <v>50102</v>
      </c>
      <c r="P788" s="6">
        <v>2877</v>
      </c>
      <c r="Q788" s="6">
        <v>27313</v>
      </c>
      <c r="R788" s="16">
        <f t="shared" si="44"/>
        <v>19801</v>
      </c>
    </row>
    <row r="789" spans="1:18" ht="15.6" x14ac:dyDescent="0.3">
      <c r="A789" s="10">
        <v>39261</v>
      </c>
      <c r="B789" s="78">
        <v>1625.3</v>
      </c>
      <c r="C789" s="78">
        <v>523.6</v>
      </c>
      <c r="D789" s="78">
        <v>925</v>
      </c>
      <c r="E789" s="78">
        <v>518.29999999999995</v>
      </c>
      <c r="F789" s="78">
        <v>1244</v>
      </c>
      <c r="G789" s="78">
        <v>346.4</v>
      </c>
      <c r="H789" s="78">
        <v>759.1</v>
      </c>
      <c r="I789" s="78">
        <v>247</v>
      </c>
      <c r="J789" s="78">
        <v>219.3</v>
      </c>
      <c r="K789" s="78">
        <v>19.899999999999999</v>
      </c>
      <c r="L789" s="78">
        <v>4772.7</v>
      </c>
      <c r="M789" s="78">
        <v>1655.2</v>
      </c>
      <c r="N789" s="78">
        <v>8377.6</v>
      </c>
      <c r="O789" s="78">
        <v>44649.8</v>
      </c>
      <c r="P789" s="78">
        <v>2189.9</v>
      </c>
      <c r="Q789" s="78">
        <v>27814.6</v>
      </c>
      <c r="R789" s="16">
        <f t="shared" si="44"/>
        <v>15340.199999999999</v>
      </c>
    </row>
    <row r="790" spans="1:18" ht="15.6" x14ac:dyDescent="0.3">
      <c r="A790" s="10">
        <v>39625</v>
      </c>
      <c r="B790" s="78">
        <v>3519.7</v>
      </c>
      <c r="C790" s="6">
        <v>974.8</v>
      </c>
      <c r="D790" s="6">
        <v>1548.3</v>
      </c>
      <c r="E790" s="6">
        <v>387.1</v>
      </c>
      <c r="F790" s="6">
        <v>1345</v>
      </c>
      <c r="G790" s="6">
        <v>233.5</v>
      </c>
      <c r="H790" s="6">
        <v>917.9</v>
      </c>
      <c r="I790" s="6">
        <v>72.5</v>
      </c>
      <c r="J790" s="6">
        <v>236.5</v>
      </c>
      <c r="K790" s="6">
        <v>13.4</v>
      </c>
      <c r="L790" s="6">
        <v>7567.4</v>
      </c>
      <c r="M790" s="6">
        <v>1681.2</v>
      </c>
      <c r="N790" s="6">
        <v>8724.4</v>
      </c>
      <c r="O790" s="6">
        <v>51286.1</v>
      </c>
      <c r="P790" s="6">
        <v>2786.9</v>
      </c>
      <c r="Q790" s="6">
        <v>27868.5</v>
      </c>
      <c r="R790" s="16">
        <f t="shared" si="44"/>
        <v>19078.7</v>
      </c>
    </row>
    <row r="791" spans="1:18" ht="15.6" x14ac:dyDescent="0.3">
      <c r="A791" s="10">
        <v>39268</v>
      </c>
      <c r="B791" s="78">
        <v>1842</v>
      </c>
      <c r="C791" s="78">
        <v>657</v>
      </c>
      <c r="D791" s="78">
        <v>1205</v>
      </c>
      <c r="E791" s="78">
        <v>602</v>
      </c>
      <c r="F791" s="78">
        <v>1390</v>
      </c>
      <c r="G791" s="78">
        <v>384</v>
      </c>
      <c r="H791" s="78">
        <v>949</v>
      </c>
      <c r="I791" s="78">
        <v>316</v>
      </c>
      <c r="J791" s="78">
        <v>248</v>
      </c>
      <c r="K791" s="78">
        <v>19.899999999999999</v>
      </c>
      <c r="L791" s="78">
        <v>5633</v>
      </c>
      <c r="M791" s="78">
        <v>1978</v>
      </c>
      <c r="N791" s="78">
        <v>8573</v>
      </c>
      <c r="O791" s="78">
        <v>45462</v>
      </c>
      <c r="P791" s="78">
        <v>2147</v>
      </c>
      <c r="Q791" s="78">
        <v>28002</v>
      </c>
      <c r="R791" s="16">
        <f t="shared" si="44"/>
        <v>16353</v>
      </c>
    </row>
    <row r="792" spans="1:18" ht="15.6" x14ac:dyDescent="0.3">
      <c r="A792" s="10">
        <v>39632</v>
      </c>
      <c r="B792" s="78">
        <v>3542</v>
      </c>
      <c r="C792" s="6">
        <v>1221</v>
      </c>
      <c r="D792" s="6">
        <v>1521</v>
      </c>
      <c r="E792" s="6">
        <v>615</v>
      </c>
      <c r="F792" s="6">
        <v>1393</v>
      </c>
      <c r="G792" s="6">
        <v>301</v>
      </c>
      <c r="H792" s="6">
        <v>920</v>
      </c>
      <c r="I792" s="6">
        <v>103</v>
      </c>
      <c r="J792" s="6">
        <v>236.5</v>
      </c>
      <c r="K792" s="6">
        <v>13.4</v>
      </c>
      <c r="L792" s="6">
        <v>7612</v>
      </c>
      <c r="M792" s="6">
        <v>2253</v>
      </c>
      <c r="N792" s="6">
        <v>8131</v>
      </c>
      <c r="O792" s="6">
        <v>52217</v>
      </c>
      <c r="P792" s="6">
        <v>2550</v>
      </c>
      <c r="Q792" s="6">
        <v>28172</v>
      </c>
      <c r="R792" s="16">
        <f t="shared" si="44"/>
        <v>18293</v>
      </c>
    </row>
    <row r="793" spans="1:18" ht="15.6" x14ac:dyDescent="0.3">
      <c r="A793" s="10">
        <v>39275</v>
      </c>
      <c r="B793" s="78">
        <v>1915</v>
      </c>
      <c r="C793" s="78">
        <v>932</v>
      </c>
      <c r="D793" s="78">
        <v>1280</v>
      </c>
      <c r="E793" s="78">
        <v>649</v>
      </c>
      <c r="F793" s="78">
        <v>1495</v>
      </c>
      <c r="G793" s="78">
        <v>497</v>
      </c>
      <c r="H793" s="78">
        <v>960</v>
      </c>
      <c r="I793" s="78">
        <v>351</v>
      </c>
      <c r="J793" s="78">
        <v>277</v>
      </c>
      <c r="K793" s="78">
        <v>19.899999999999999</v>
      </c>
      <c r="L793" s="78">
        <v>5927</v>
      </c>
      <c r="M793" s="78">
        <v>2449</v>
      </c>
      <c r="N793" s="78">
        <v>8041</v>
      </c>
      <c r="O793" s="78">
        <v>46663</v>
      </c>
      <c r="P793" s="78">
        <v>2005</v>
      </c>
      <c r="Q793" s="78">
        <v>28325</v>
      </c>
      <c r="R793" s="16">
        <f t="shared" si="44"/>
        <v>15973</v>
      </c>
    </row>
    <row r="794" spans="1:18" ht="15.6" x14ac:dyDescent="0.3">
      <c r="A794" s="10">
        <v>39639</v>
      </c>
      <c r="B794" s="78">
        <v>3529</v>
      </c>
      <c r="C794" s="6">
        <v>1582</v>
      </c>
      <c r="D794" s="6">
        <v>1520</v>
      </c>
      <c r="E794" s="6">
        <v>815</v>
      </c>
      <c r="F794" s="6">
        <v>1414</v>
      </c>
      <c r="G794" s="6">
        <v>366</v>
      </c>
      <c r="H794" s="6">
        <v>1017</v>
      </c>
      <c r="I794" s="6">
        <v>123</v>
      </c>
      <c r="J794" s="6">
        <v>236.5</v>
      </c>
      <c r="K794" s="6">
        <v>13.4</v>
      </c>
      <c r="L794" s="6">
        <v>7716</v>
      </c>
      <c r="M794" s="6">
        <v>2898</v>
      </c>
      <c r="N794" s="6">
        <v>7811</v>
      </c>
      <c r="O794" s="6">
        <v>52906</v>
      </c>
      <c r="P794" s="6">
        <v>2360</v>
      </c>
      <c r="Q794" s="6">
        <v>28425</v>
      </c>
      <c r="R794" s="16">
        <f t="shared" si="44"/>
        <v>17887</v>
      </c>
    </row>
    <row r="795" spans="1:18" ht="15.6" x14ac:dyDescent="0.3">
      <c r="A795" s="10">
        <v>39282</v>
      </c>
      <c r="B795" s="78">
        <v>2714</v>
      </c>
      <c r="C795" s="78">
        <v>1088</v>
      </c>
      <c r="D795" s="78">
        <v>1859</v>
      </c>
      <c r="E795" s="78">
        <v>786</v>
      </c>
      <c r="F795" s="78">
        <v>1587</v>
      </c>
      <c r="G795" s="78">
        <v>595</v>
      </c>
      <c r="H795" s="78">
        <v>948</v>
      </c>
      <c r="I795" s="78">
        <v>384</v>
      </c>
      <c r="J795" s="78">
        <v>464</v>
      </c>
      <c r="K795" s="78">
        <v>27</v>
      </c>
      <c r="L795" s="78">
        <v>7572</v>
      </c>
      <c r="M795" s="78">
        <v>2880</v>
      </c>
      <c r="N795" s="78">
        <v>7540</v>
      </c>
      <c r="O795" s="78">
        <v>47577</v>
      </c>
      <c r="P795" s="78">
        <v>2119</v>
      </c>
      <c r="Q795" s="78">
        <v>28500</v>
      </c>
      <c r="R795" s="16">
        <f t="shared" si="44"/>
        <v>17231</v>
      </c>
    </row>
    <row r="796" spans="1:18" ht="15.6" x14ac:dyDescent="0.3">
      <c r="A796" s="10">
        <v>39646</v>
      </c>
      <c r="B796" s="78">
        <v>3378</v>
      </c>
      <c r="C796" s="6">
        <v>1939</v>
      </c>
      <c r="D796" s="6">
        <v>1333</v>
      </c>
      <c r="E796" s="6">
        <v>1228</v>
      </c>
      <c r="F796" s="6">
        <v>1475</v>
      </c>
      <c r="G796" s="6">
        <v>403</v>
      </c>
      <c r="H796" s="6">
        <v>1094</v>
      </c>
      <c r="I796" s="6">
        <v>123</v>
      </c>
      <c r="J796" s="6">
        <v>212</v>
      </c>
      <c r="K796" s="6">
        <v>41</v>
      </c>
      <c r="L796" s="6">
        <v>7491</v>
      </c>
      <c r="M796" s="6">
        <v>3733</v>
      </c>
      <c r="N796" s="6">
        <v>7388</v>
      </c>
      <c r="O796" s="6">
        <v>53653</v>
      </c>
      <c r="P796" s="6">
        <v>2343</v>
      </c>
      <c r="Q796" s="6">
        <v>28625</v>
      </c>
      <c r="R796" s="16">
        <f t="shared" si="44"/>
        <v>17222</v>
      </c>
    </row>
    <row r="797" spans="1:18" ht="15.6" x14ac:dyDescent="0.3">
      <c r="A797" s="10">
        <v>39289</v>
      </c>
      <c r="B797" s="78">
        <v>3567</v>
      </c>
      <c r="C797" s="78">
        <v>1224</v>
      </c>
      <c r="D797" s="78">
        <v>1930</v>
      </c>
      <c r="E797" s="78">
        <v>916</v>
      </c>
      <c r="F797" s="78">
        <v>1957</v>
      </c>
      <c r="G797" s="78">
        <v>667</v>
      </c>
      <c r="H797" s="78">
        <v>974</v>
      </c>
      <c r="I797" s="78">
        <v>467</v>
      </c>
      <c r="J797" s="78">
        <v>427</v>
      </c>
      <c r="K797" s="78">
        <v>64</v>
      </c>
      <c r="L797" s="78">
        <v>8855</v>
      </c>
      <c r="M797" s="78">
        <v>3338</v>
      </c>
      <c r="N797" s="78">
        <v>7270</v>
      </c>
      <c r="O797" s="78">
        <v>48623</v>
      </c>
      <c r="P797" s="78">
        <v>2149</v>
      </c>
      <c r="Q797" s="78">
        <v>28655</v>
      </c>
      <c r="R797" s="16">
        <f t="shared" si="44"/>
        <v>18274</v>
      </c>
    </row>
    <row r="798" spans="1:18" ht="15.6" x14ac:dyDescent="0.3">
      <c r="A798" s="10">
        <v>39653</v>
      </c>
      <c r="B798" s="78">
        <v>3439</v>
      </c>
      <c r="C798" s="6">
        <v>2258</v>
      </c>
      <c r="D798" s="6">
        <v>1393</v>
      </c>
      <c r="E798" s="6">
        <v>1402</v>
      </c>
      <c r="F798" s="6">
        <v>1509</v>
      </c>
      <c r="G798" s="6">
        <v>448</v>
      </c>
      <c r="H798" s="6">
        <v>1087</v>
      </c>
      <c r="I798" s="6">
        <v>156</v>
      </c>
      <c r="J798" s="6">
        <v>212</v>
      </c>
      <c r="K798" s="6">
        <v>47</v>
      </c>
      <c r="L798" s="6">
        <v>7640</v>
      </c>
      <c r="M798" s="6">
        <v>4311</v>
      </c>
      <c r="N798" s="6">
        <v>6216</v>
      </c>
      <c r="O798" s="6">
        <v>54888</v>
      </c>
      <c r="P798" s="6">
        <v>2233</v>
      </c>
      <c r="Q798" s="6">
        <v>29007</v>
      </c>
      <c r="R798" s="16">
        <f t="shared" si="44"/>
        <v>16089</v>
      </c>
    </row>
    <row r="799" spans="1:18" ht="15.6" x14ac:dyDescent="0.3">
      <c r="A799" s="10">
        <v>39296</v>
      </c>
      <c r="B799" s="78">
        <v>3672</v>
      </c>
      <c r="C799" s="78">
        <v>1554</v>
      </c>
      <c r="D799" s="78">
        <v>1801</v>
      </c>
      <c r="E799" s="78">
        <v>1142</v>
      </c>
      <c r="F799" s="78">
        <v>1995</v>
      </c>
      <c r="G799" s="78">
        <v>841</v>
      </c>
      <c r="H799" s="78">
        <v>994</v>
      </c>
      <c r="I799" s="78">
        <v>555</v>
      </c>
      <c r="J799" s="78">
        <v>452</v>
      </c>
      <c r="K799" s="78">
        <v>79</v>
      </c>
      <c r="L799" s="78">
        <v>8914</v>
      </c>
      <c r="M799" s="78">
        <v>4171</v>
      </c>
      <c r="N799" s="78">
        <v>6844</v>
      </c>
      <c r="O799" s="78">
        <v>49361</v>
      </c>
      <c r="P799" s="78">
        <v>1853</v>
      </c>
      <c r="Q799" s="78">
        <v>29105</v>
      </c>
      <c r="R799" s="16">
        <f t="shared" si="44"/>
        <v>17611</v>
      </c>
    </row>
    <row r="800" spans="1:18" ht="15.6" x14ac:dyDescent="0.3">
      <c r="A800" s="10">
        <v>39660</v>
      </c>
      <c r="B800" s="78">
        <v>3433</v>
      </c>
      <c r="C800" s="6">
        <v>2765</v>
      </c>
      <c r="D800" s="6">
        <v>1339</v>
      </c>
      <c r="E800" s="6">
        <v>1549</v>
      </c>
      <c r="F800" s="6">
        <v>1467</v>
      </c>
      <c r="G800" s="6">
        <v>548</v>
      </c>
      <c r="H800" s="6">
        <v>1071</v>
      </c>
      <c r="I800" s="6">
        <v>197</v>
      </c>
      <c r="J800" s="6">
        <v>212</v>
      </c>
      <c r="K800" s="6">
        <v>54</v>
      </c>
      <c r="L800" s="6">
        <v>7522</v>
      </c>
      <c r="M800" s="6">
        <v>5112</v>
      </c>
      <c r="N800" s="6">
        <v>5677</v>
      </c>
      <c r="O800" s="6">
        <v>55764</v>
      </c>
      <c r="P800" s="6">
        <v>2223</v>
      </c>
      <c r="Q800" s="6">
        <v>29391</v>
      </c>
      <c r="R800" s="16">
        <f t="shared" si="44"/>
        <v>15422</v>
      </c>
    </row>
    <row r="801" spans="1:18" ht="15.6" x14ac:dyDescent="0.3">
      <c r="A801" s="10">
        <v>39303</v>
      </c>
      <c r="B801" s="78">
        <v>3788</v>
      </c>
      <c r="C801" s="78">
        <v>1774</v>
      </c>
      <c r="D801" s="78">
        <v>1729</v>
      </c>
      <c r="E801" s="78">
        <v>1356</v>
      </c>
      <c r="F801" s="78">
        <v>2228</v>
      </c>
      <c r="G801" s="78">
        <v>981</v>
      </c>
      <c r="H801" s="78">
        <v>1176</v>
      </c>
      <c r="I801" s="78">
        <v>629</v>
      </c>
      <c r="J801" s="78">
        <v>521</v>
      </c>
      <c r="K801" s="78">
        <v>88</v>
      </c>
      <c r="L801" s="78">
        <v>9443</v>
      </c>
      <c r="M801" s="78">
        <v>4827</v>
      </c>
      <c r="N801" s="78">
        <v>5489</v>
      </c>
      <c r="O801" s="78">
        <v>50504</v>
      </c>
      <c r="P801" s="78">
        <v>1915</v>
      </c>
      <c r="Q801" s="78">
        <v>29279</v>
      </c>
      <c r="R801" s="16">
        <f t="shared" si="44"/>
        <v>16847</v>
      </c>
    </row>
    <row r="802" spans="1:18" ht="15.6" x14ac:dyDescent="0.3">
      <c r="A802" s="10">
        <v>39667</v>
      </c>
      <c r="B802" s="78">
        <v>3328</v>
      </c>
      <c r="C802" s="6">
        <v>3140</v>
      </c>
      <c r="D802" s="6">
        <v>1251</v>
      </c>
      <c r="E802" s="6">
        <v>1777</v>
      </c>
      <c r="F802" s="6">
        <v>1579</v>
      </c>
      <c r="G802" s="6">
        <v>646</v>
      </c>
      <c r="H802" s="6">
        <v>1023</v>
      </c>
      <c r="I802" s="6">
        <v>272</v>
      </c>
      <c r="J802" s="6">
        <v>179</v>
      </c>
      <c r="K802" s="6">
        <v>91</v>
      </c>
      <c r="L802" s="6">
        <v>7359</v>
      </c>
      <c r="M802" s="6">
        <v>5925</v>
      </c>
      <c r="N802" s="6">
        <v>5124</v>
      </c>
      <c r="O802" s="6">
        <v>56703</v>
      </c>
      <c r="P802" s="6">
        <v>1889</v>
      </c>
      <c r="Q802" s="6">
        <v>29676</v>
      </c>
      <c r="R802" s="16">
        <f t="shared" si="44"/>
        <v>14372</v>
      </c>
    </row>
    <row r="803" spans="1:18" ht="15.6" x14ac:dyDescent="0.3">
      <c r="A803" s="10">
        <v>39310</v>
      </c>
      <c r="B803" s="78">
        <v>3646</v>
      </c>
      <c r="C803" s="78">
        <v>2269</v>
      </c>
      <c r="D803" s="78">
        <v>1848</v>
      </c>
      <c r="E803" s="78">
        <v>1618</v>
      </c>
      <c r="F803" s="78">
        <v>2228</v>
      </c>
      <c r="G803" s="78">
        <v>1134</v>
      </c>
      <c r="H803" s="78">
        <v>1128</v>
      </c>
      <c r="I803" s="78">
        <v>819</v>
      </c>
      <c r="J803" s="78">
        <v>494</v>
      </c>
      <c r="K803" s="78">
        <v>136</v>
      </c>
      <c r="L803" s="78">
        <v>9344</v>
      </c>
      <c r="M803" s="78">
        <v>5976</v>
      </c>
      <c r="N803" s="78">
        <v>4677</v>
      </c>
      <c r="O803" s="78">
        <v>51454</v>
      </c>
      <c r="P803" s="78">
        <v>1650</v>
      </c>
      <c r="Q803" s="78">
        <v>29549</v>
      </c>
      <c r="R803" s="16">
        <f t="shared" si="44"/>
        <v>15671</v>
      </c>
    </row>
    <row r="804" spans="1:18" ht="15.6" x14ac:dyDescent="0.3">
      <c r="A804" s="10">
        <v>39674</v>
      </c>
      <c r="B804" s="78">
        <v>3350</v>
      </c>
      <c r="C804" s="6">
        <v>3834</v>
      </c>
      <c r="D804" s="6">
        <v>1180</v>
      </c>
      <c r="E804" s="6">
        <v>1929</v>
      </c>
      <c r="F804" s="6">
        <v>1638</v>
      </c>
      <c r="G804" s="6">
        <v>680</v>
      </c>
      <c r="H804" s="6">
        <v>953</v>
      </c>
      <c r="I804" s="6">
        <v>364</v>
      </c>
      <c r="J804" s="6">
        <v>149</v>
      </c>
      <c r="K804" s="6">
        <v>124</v>
      </c>
      <c r="L804" s="6">
        <v>7270</v>
      </c>
      <c r="M804" s="6">
        <v>6930</v>
      </c>
      <c r="N804" s="6">
        <v>4230</v>
      </c>
      <c r="O804" s="6">
        <v>57794</v>
      </c>
      <c r="P804" s="6">
        <v>1642</v>
      </c>
      <c r="Q804" s="6">
        <v>29841</v>
      </c>
      <c r="R804" s="16">
        <f t="shared" si="44"/>
        <v>13142</v>
      </c>
    </row>
    <row r="805" spans="1:18" ht="15.6" x14ac:dyDescent="0.3">
      <c r="A805" s="10">
        <v>39317</v>
      </c>
      <c r="B805" s="78">
        <v>3744</v>
      </c>
      <c r="C805" s="78">
        <v>2636</v>
      </c>
      <c r="D805" s="78">
        <v>1964</v>
      </c>
      <c r="E805" s="78">
        <v>1882</v>
      </c>
      <c r="F805" s="78">
        <v>2194</v>
      </c>
      <c r="G805" s="78">
        <v>1391</v>
      </c>
      <c r="H805" s="78">
        <v>1214</v>
      </c>
      <c r="I805" s="78">
        <v>876</v>
      </c>
      <c r="J805" s="78">
        <v>448</v>
      </c>
      <c r="K805" s="78">
        <v>203</v>
      </c>
      <c r="L805" s="78">
        <v>9564</v>
      </c>
      <c r="M805" s="78">
        <v>6987</v>
      </c>
      <c r="N805" s="78">
        <v>3584</v>
      </c>
      <c r="O805" s="78">
        <v>52721</v>
      </c>
      <c r="P805" s="78">
        <v>1246</v>
      </c>
      <c r="Q805" s="78">
        <v>29871</v>
      </c>
      <c r="R805" s="16">
        <f t="shared" si="44"/>
        <v>14394</v>
      </c>
    </row>
    <row r="806" spans="1:18" ht="15.6" x14ac:dyDescent="0.3">
      <c r="A806" s="10">
        <v>39681</v>
      </c>
      <c r="B806" s="78">
        <v>3236</v>
      </c>
      <c r="C806" s="6">
        <v>4143</v>
      </c>
      <c r="D806" s="6">
        <v>1083</v>
      </c>
      <c r="E806" s="6">
        <v>2097</v>
      </c>
      <c r="F806" s="6">
        <v>1546</v>
      </c>
      <c r="G806" s="6">
        <v>790</v>
      </c>
      <c r="H806" s="6">
        <v>905</v>
      </c>
      <c r="I806" s="6">
        <v>473</v>
      </c>
      <c r="J806" s="6">
        <v>150</v>
      </c>
      <c r="K806" s="6">
        <v>146</v>
      </c>
      <c r="L806" s="6">
        <v>6919</v>
      </c>
      <c r="M806" s="6">
        <v>7649</v>
      </c>
      <c r="N806" s="6">
        <v>3712</v>
      </c>
      <c r="O806" s="6">
        <v>58615</v>
      </c>
      <c r="P806" s="6">
        <v>1225</v>
      </c>
      <c r="Q806" s="6">
        <v>30065</v>
      </c>
      <c r="R806" s="16">
        <f t="shared" si="44"/>
        <v>11856</v>
      </c>
    </row>
    <row r="807" spans="1:18" ht="15.6" x14ac:dyDescent="0.3">
      <c r="A807" s="10">
        <v>39324</v>
      </c>
      <c r="B807" s="78">
        <v>3654</v>
      </c>
      <c r="C807" s="78">
        <v>3044</v>
      </c>
      <c r="D807" s="78">
        <v>1687</v>
      </c>
      <c r="E807" s="78">
        <v>2176</v>
      </c>
      <c r="F807" s="78">
        <v>2152</v>
      </c>
      <c r="G807" s="78">
        <v>1622</v>
      </c>
      <c r="H807" s="78">
        <v>1177</v>
      </c>
      <c r="I807" s="78">
        <v>1088</v>
      </c>
      <c r="J807" s="78">
        <v>454</v>
      </c>
      <c r="K807" s="78">
        <v>209</v>
      </c>
      <c r="L807" s="78">
        <v>9124</v>
      </c>
      <c r="M807" s="78">
        <v>8138</v>
      </c>
      <c r="N807" s="78">
        <v>2771</v>
      </c>
      <c r="O807" s="78">
        <v>53794</v>
      </c>
      <c r="P807" s="78">
        <v>990</v>
      </c>
      <c r="Q807" s="78">
        <v>30261</v>
      </c>
      <c r="R807" s="16">
        <f t="shared" si="44"/>
        <v>12885</v>
      </c>
    </row>
    <row r="808" spans="1:18" ht="15.6" x14ac:dyDescent="0.3">
      <c r="A808" s="10">
        <v>39688</v>
      </c>
      <c r="B808" s="78">
        <v>2880</v>
      </c>
      <c r="C808" s="6">
        <v>4577</v>
      </c>
      <c r="D808" s="6">
        <v>1031</v>
      </c>
      <c r="E808" s="6">
        <v>2246</v>
      </c>
      <c r="F808" s="6">
        <v>1647</v>
      </c>
      <c r="G808" s="6">
        <v>895</v>
      </c>
      <c r="H808" s="6">
        <v>796</v>
      </c>
      <c r="I808" s="6">
        <v>622</v>
      </c>
      <c r="J808" s="6">
        <v>149</v>
      </c>
      <c r="K808" s="6">
        <v>160</v>
      </c>
      <c r="L808" s="6">
        <v>6504</v>
      </c>
      <c r="M808" s="6">
        <v>8500</v>
      </c>
      <c r="N808" s="6">
        <v>2861</v>
      </c>
      <c r="O808" s="6">
        <v>59666</v>
      </c>
      <c r="P808" s="6">
        <v>923</v>
      </c>
      <c r="Q808" s="6">
        <v>30411</v>
      </c>
      <c r="R808" s="16">
        <f t="shared" si="44"/>
        <v>10288</v>
      </c>
    </row>
    <row r="809" spans="1:18" ht="15.6" x14ac:dyDescent="0.3">
      <c r="A809" s="10">
        <v>39331</v>
      </c>
      <c r="B809" s="78">
        <v>4667</v>
      </c>
      <c r="C809" s="78">
        <v>3421</v>
      </c>
      <c r="D809" s="78">
        <v>1643</v>
      </c>
      <c r="E809" s="78">
        <v>2314</v>
      </c>
      <c r="F809" s="78">
        <v>2500</v>
      </c>
      <c r="G809" s="78">
        <v>1748</v>
      </c>
      <c r="H809" s="78">
        <v>1283</v>
      </c>
      <c r="I809" s="78">
        <v>1138</v>
      </c>
      <c r="J809" s="78">
        <v>435</v>
      </c>
      <c r="K809" s="78">
        <v>232</v>
      </c>
      <c r="L809" s="78">
        <v>10528</v>
      </c>
      <c r="M809" s="78">
        <v>8853</v>
      </c>
      <c r="N809" s="78">
        <v>15762</v>
      </c>
      <c r="O809" s="78">
        <v>884</v>
      </c>
      <c r="P809" s="78">
        <v>7997</v>
      </c>
      <c r="Q809" s="78">
        <v>111</v>
      </c>
      <c r="R809" s="16">
        <f t="shared" si="44"/>
        <v>34287</v>
      </c>
    </row>
    <row r="810" spans="1:18" ht="15.6" x14ac:dyDescent="0.3">
      <c r="A810" s="10">
        <v>39695</v>
      </c>
      <c r="B810" s="78">
        <v>2663</v>
      </c>
      <c r="C810" s="6">
        <v>4934</v>
      </c>
      <c r="D810" s="6">
        <v>1088</v>
      </c>
      <c r="E810" s="6">
        <v>2307</v>
      </c>
      <c r="F810" s="6">
        <v>1635</v>
      </c>
      <c r="G810" s="6">
        <v>1069</v>
      </c>
      <c r="H810" s="6">
        <v>738</v>
      </c>
      <c r="I810" s="6">
        <v>718</v>
      </c>
      <c r="J810" s="6">
        <v>149</v>
      </c>
      <c r="K810" s="6">
        <v>160</v>
      </c>
      <c r="L810" s="6">
        <v>6273</v>
      </c>
      <c r="M810" s="6">
        <v>9188</v>
      </c>
      <c r="N810" s="6">
        <v>11884</v>
      </c>
      <c r="O810" s="6">
        <v>199</v>
      </c>
      <c r="P810" s="6">
        <v>8913</v>
      </c>
      <c r="Q810" s="6">
        <v>33</v>
      </c>
      <c r="R810" s="16">
        <f t="shared" si="44"/>
        <v>27070</v>
      </c>
    </row>
    <row r="811" spans="1:18" ht="15.6" x14ac:dyDescent="0.3">
      <c r="A811" s="10">
        <v>39338</v>
      </c>
      <c r="B811" s="78">
        <v>4885</v>
      </c>
      <c r="C811" s="78">
        <v>3780</v>
      </c>
      <c r="D811" s="78">
        <v>1686</v>
      </c>
      <c r="E811" s="78">
        <v>2494</v>
      </c>
      <c r="F811" s="78">
        <v>2647</v>
      </c>
      <c r="G811" s="78">
        <v>1990</v>
      </c>
      <c r="H811" s="78">
        <v>1405</v>
      </c>
      <c r="I811" s="78">
        <v>1239</v>
      </c>
      <c r="J811" s="78">
        <v>425</v>
      </c>
      <c r="K811" s="78">
        <v>270</v>
      </c>
      <c r="L811" s="78">
        <v>11047</v>
      </c>
      <c r="M811" s="78">
        <v>9774</v>
      </c>
      <c r="N811" s="78">
        <v>16920</v>
      </c>
      <c r="O811" s="78">
        <v>1757</v>
      </c>
      <c r="P811" s="78">
        <v>8106</v>
      </c>
      <c r="Q811" s="78">
        <v>111</v>
      </c>
      <c r="R811" s="16">
        <f t="shared" si="44"/>
        <v>36073</v>
      </c>
    </row>
    <row r="812" spans="1:18" ht="15.6" x14ac:dyDescent="0.3">
      <c r="A812" s="10">
        <v>39702</v>
      </c>
      <c r="B812" s="78">
        <v>2728</v>
      </c>
      <c r="C812" s="6">
        <v>5171</v>
      </c>
      <c r="D812" s="6">
        <v>1063</v>
      </c>
      <c r="E812" s="6">
        <v>2422</v>
      </c>
      <c r="F812" s="6">
        <v>1640</v>
      </c>
      <c r="G812" s="6">
        <v>1211</v>
      </c>
      <c r="H812" s="6">
        <v>813</v>
      </c>
      <c r="I812" s="6">
        <v>759</v>
      </c>
      <c r="J812" s="6">
        <v>149</v>
      </c>
      <c r="K812" s="6">
        <v>162</v>
      </c>
      <c r="L812" s="6">
        <v>6394</v>
      </c>
      <c r="M812" s="6">
        <v>9725</v>
      </c>
      <c r="N812" s="6">
        <v>11346</v>
      </c>
      <c r="O812" s="6">
        <v>1062</v>
      </c>
      <c r="P812" s="6">
        <v>9103</v>
      </c>
      <c r="Q812" s="6">
        <v>515</v>
      </c>
      <c r="R812" s="16">
        <f t="shared" si="44"/>
        <v>26843</v>
      </c>
    </row>
    <row r="813" spans="1:18" ht="15.6" x14ac:dyDescent="0.3">
      <c r="A813" s="10">
        <v>39345</v>
      </c>
      <c r="B813" s="78">
        <v>5440</v>
      </c>
      <c r="C813" s="78">
        <v>4197</v>
      </c>
      <c r="D813" s="78">
        <v>1389</v>
      </c>
      <c r="E813" s="78">
        <v>2793</v>
      </c>
      <c r="F813" s="78">
        <v>2777</v>
      </c>
      <c r="G813" s="78">
        <v>2174</v>
      </c>
      <c r="H813" s="78">
        <v>1472</v>
      </c>
      <c r="I813" s="78">
        <v>1351</v>
      </c>
      <c r="J813" s="78">
        <v>449</v>
      </c>
      <c r="K813" s="78">
        <v>293</v>
      </c>
      <c r="L813" s="78">
        <v>11527</v>
      </c>
      <c r="M813" s="78">
        <v>10808</v>
      </c>
      <c r="N813" s="78">
        <v>17415</v>
      </c>
      <c r="O813" s="78">
        <v>2960</v>
      </c>
      <c r="P813" s="78">
        <v>8366</v>
      </c>
      <c r="Q813" s="78">
        <v>1000</v>
      </c>
      <c r="R813" s="16">
        <f t="shared" si="44"/>
        <v>37308</v>
      </c>
    </row>
    <row r="814" spans="1:18" ht="15.6" x14ac:dyDescent="0.3">
      <c r="A814" s="10">
        <v>39709</v>
      </c>
      <c r="B814" s="78">
        <v>2565</v>
      </c>
      <c r="C814" s="6">
        <v>5371</v>
      </c>
      <c r="D814" s="6">
        <v>989</v>
      </c>
      <c r="E814" s="6">
        <v>2594</v>
      </c>
      <c r="F814" s="6">
        <v>1502</v>
      </c>
      <c r="G814" s="6">
        <v>1478</v>
      </c>
      <c r="H814" s="6">
        <v>743</v>
      </c>
      <c r="I814" s="6">
        <v>851</v>
      </c>
      <c r="J814" s="6">
        <v>149</v>
      </c>
      <c r="K814" s="6">
        <v>162</v>
      </c>
      <c r="L814" s="6">
        <v>5948</v>
      </c>
      <c r="M814" s="6">
        <v>10455</v>
      </c>
      <c r="N814" s="6">
        <v>10900</v>
      </c>
      <c r="O814" s="6">
        <v>2056</v>
      </c>
      <c r="P814" s="6">
        <v>9651</v>
      </c>
      <c r="Q814" s="6">
        <v>319</v>
      </c>
      <c r="R814" s="16">
        <f t="shared" si="44"/>
        <v>26499</v>
      </c>
    </row>
    <row r="815" spans="1:18" ht="15.6" x14ac:dyDescent="0.3">
      <c r="A815" s="10">
        <v>39352</v>
      </c>
      <c r="B815" s="78">
        <v>5857</v>
      </c>
      <c r="C815" s="78">
        <v>4819</v>
      </c>
      <c r="D815" s="78">
        <v>1239</v>
      </c>
      <c r="E815" s="78">
        <v>3010</v>
      </c>
      <c r="F815" s="78">
        <v>2854</v>
      </c>
      <c r="G815" s="78">
        <v>2405</v>
      </c>
      <c r="H815" s="78">
        <v>1619</v>
      </c>
      <c r="I815" s="78">
        <v>1366</v>
      </c>
      <c r="J815" s="78">
        <v>404</v>
      </c>
      <c r="K815" s="78">
        <v>359</v>
      </c>
      <c r="L815" s="78">
        <v>11973</v>
      </c>
      <c r="M815" s="78">
        <v>11960</v>
      </c>
      <c r="N815" s="78">
        <v>17341</v>
      </c>
      <c r="O815" s="78">
        <v>4150</v>
      </c>
      <c r="P815" s="78">
        <v>8753</v>
      </c>
      <c r="Q815" s="78">
        <v>1279</v>
      </c>
      <c r="R815" s="16">
        <f t="shared" si="44"/>
        <v>38067</v>
      </c>
    </row>
    <row r="816" spans="1:18" ht="15.6" x14ac:dyDescent="0.3">
      <c r="A816" s="10">
        <v>39716</v>
      </c>
      <c r="B816" s="78">
        <v>2757</v>
      </c>
      <c r="C816" s="6">
        <v>5584</v>
      </c>
      <c r="D816" s="6">
        <v>1000</v>
      </c>
      <c r="E816" s="6">
        <v>2640</v>
      </c>
      <c r="F816" s="6">
        <v>1461</v>
      </c>
      <c r="G816" s="6">
        <v>1649</v>
      </c>
      <c r="H816" s="6">
        <v>645</v>
      </c>
      <c r="I816" s="6">
        <v>1000</v>
      </c>
      <c r="J816" s="6">
        <v>104</v>
      </c>
      <c r="K816" s="6">
        <v>215</v>
      </c>
      <c r="L816" s="6">
        <v>5967</v>
      </c>
      <c r="M816" s="6">
        <v>11088</v>
      </c>
      <c r="N816" s="6">
        <v>10303</v>
      </c>
      <c r="O816" s="6">
        <v>3222</v>
      </c>
      <c r="P816" s="6">
        <v>9960</v>
      </c>
      <c r="Q816" s="6">
        <v>481</v>
      </c>
      <c r="R816" s="16">
        <f t="shared" si="44"/>
        <v>26230</v>
      </c>
    </row>
    <row r="817" spans="1:18" ht="15.6" x14ac:dyDescent="0.3">
      <c r="A817" s="10">
        <v>39359</v>
      </c>
      <c r="B817" s="78">
        <v>5758</v>
      </c>
      <c r="C817" s="78">
        <v>5083</v>
      </c>
      <c r="D817" s="78">
        <v>1174</v>
      </c>
      <c r="E817" s="78">
        <v>3263</v>
      </c>
      <c r="F817" s="78">
        <v>3091</v>
      </c>
      <c r="G817" s="78">
        <v>2606</v>
      </c>
      <c r="H817" s="78">
        <v>1576</v>
      </c>
      <c r="I817" s="78">
        <v>1493</v>
      </c>
      <c r="J817" s="78">
        <v>426</v>
      </c>
      <c r="K817" s="78">
        <v>397</v>
      </c>
      <c r="L817" s="78">
        <v>12025</v>
      </c>
      <c r="M817" s="78">
        <v>12842</v>
      </c>
      <c r="N817" s="78">
        <v>18468</v>
      </c>
      <c r="O817" s="78">
        <v>5317</v>
      </c>
      <c r="P817" s="78">
        <v>8772</v>
      </c>
      <c r="Q817" s="78">
        <v>1811</v>
      </c>
      <c r="R817" s="16">
        <f t="shared" si="44"/>
        <v>39265</v>
      </c>
    </row>
    <row r="818" spans="1:18" ht="15.6" x14ac:dyDescent="0.3">
      <c r="A818" s="10">
        <v>39723</v>
      </c>
      <c r="B818" s="78">
        <v>2408</v>
      </c>
      <c r="C818" s="6">
        <v>6046</v>
      </c>
      <c r="D818" s="6">
        <v>935</v>
      </c>
      <c r="E818" s="6">
        <v>2845</v>
      </c>
      <c r="F818" s="6">
        <v>1415</v>
      </c>
      <c r="G818" s="6">
        <v>1800</v>
      </c>
      <c r="H818" s="6">
        <v>724</v>
      </c>
      <c r="I818" s="6">
        <v>1075</v>
      </c>
      <c r="J818" s="6">
        <v>104</v>
      </c>
      <c r="K818" s="6">
        <v>215</v>
      </c>
      <c r="L818" s="6">
        <v>5586</v>
      </c>
      <c r="M818" s="6">
        <v>11981</v>
      </c>
      <c r="N818" s="6">
        <v>10435</v>
      </c>
      <c r="O818" s="6">
        <v>4046</v>
      </c>
      <c r="P818" s="6">
        <v>10164</v>
      </c>
      <c r="Q818" s="6">
        <v>880</v>
      </c>
      <c r="R818" s="16">
        <f t="shared" si="44"/>
        <v>26185</v>
      </c>
    </row>
    <row r="819" spans="1:18" ht="15.6" x14ac:dyDescent="0.3">
      <c r="A819" s="10">
        <v>39366</v>
      </c>
      <c r="B819" s="78">
        <v>5793</v>
      </c>
      <c r="C819" s="78">
        <v>5405</v>
      </c>
      <c r="D819" s="78">
        <v>1090</v>
      </c>
      <c r="E819" s="78">
        <v>3458</v>
      </c>
      <c r="F819" s="78">
        <v>3070</v>
      </c>
      <c r="G819" s="78">
        <v>2876</v>
      </c>
      <c r="H819" s="78">
        <v>1647</v>
      </c>
      <c r="I819" s="78">
        <v>1640</v>
      </c>
      <c r="J819" s="78">
        <v>420</v>
      </c>
      <c r="K819" s="78">
        <v>454</v>
      </c>
      <c r="L819" s="78">
        <v>12019</v>
      </c>
      <c r="M819" s="78">
        <v>13832</v>
      </c>
      <c r="N819" s="78">
        <v>19158</v>
      </c>
      <c r="O819" s="78">
        <v>6478</v>
      </c>
      <c r="P819" s="78">
        <v>8536</v>
      </c>
      <c r="Q819" s="78">
        <v>2782</v>
      </c>
      <c r="R819" s="16">
        <f t="shared" si="44"/>
        <v>39713</v>
      </c>
    </row>
    <row r="820" spans="1:18" ht="15.6" x14ac:dyDescent="0.3">
      <c r="A820" s="10">
        <v>39730</v>
      </c>
      <c r="B820" s="78">
        <v>2331</v>
      </c>
      <c r="C820" s="6">
        <v>6379</v>
      </c>
      <c r="D820" s="6">
        <v>967</v>
      </c>
      <c r="E820" s="6">
        <v>2922</v>
      </c>
      <c r="F820" s="6">
        <v>1337</v>
      </c>
      <c r="G820" s="6">
        <v>2010</v>
      </c>
      <c r="H820" s="6">
        <v>659</v>
      </c>
      <c r="I820" s="6">
        <v>1107</v>
      </c>
      <c r="J820" s="6">
        <v>76</v>
      </c>
      <c r="K820" s="6">
        <v>215</v>
      </c>
      <c r="L820" s="6">
        <v>5370</v>
      </c>
      <c r="M820" s="6">
        <v>12633</v>
      </c>
      <c r="N820" s="6">
        <v>10487</v>
      </c>
      <c r="O820" s="6">
        <v>4969</v>
      </c>
      <c r="P820" s="6">
        <v>10784</v>
      </c>
      <c r="Q820" s="6">
        <v>1288</v>
      </c>
      <c r="R820" s="16">
        <f t="shared" si="44"/>
        <v>26641</v>
      </c>
    </row>
    <row r="821" spans="1:18" ht="15.6" x14ac:dyDescent="0.3">
      <c r="A821" s="10">
        <v>39373</v>
      </c>
      <c r="B821" s="78">
        <v>5490</v>
      </c>
      <c r="C821" s="78">
        <v>5793</v>
      </c>
      <c r="D821" s="78">
        <v>1111</v>
      </c>
      <c r="E821" s="78">
        <v>3555</v>
      </c>
      <c r="F821" s="78">
        <v>3170</v>
      </c>
      <c r="G821" s="78">
        <v>3089</v>
      </c>
      <c r="H821" s="78">
        <v>1569</v>
      </c>
      <c r="I821" s="78">
        <v>1756</v>
      </c>
      <c r="J821" s="78">
        <v>374</v>
      </c>
      <c r="K821" s="78">
        <v>495</v>
      </c>
      <c r="L821" s="78">
        <v>11714</v>
      </c>
      <c r="M821" s="78">
        <v>14688</v>
      </c>
      <c r="N821" s="78">
        <v>19421</v>
      </c>
      <c r="O821" s="78">
        <v>7761</v>
      </c>
      <c r="P821" s="78">
        <v>8133</v>
      </c>
      <c r="Q821" s="78">
        <v>3648</v>
      </c>
      <c r="R821" s="16">
        <f t="shared" si="44"/>
        <v>39268</v>
      </c>
    </row>
    <row r="822" spans="1:18" ht="15.6" x14ac:dyDescent="0.3">
      <c r="A822" s="10">
        <v>39737</v>
      </c>
      <c r="B822" s="78">
        <v>2221</v>
      </c>
      <c r="C822" s="6">
        <v>6651</v>
      </c>
      <c r="D822" s="6">
        <v>1031</v>
      </c>
      <c r="E822" s="6">
        <v>2979</v>
      </c>
      <c r="F822" s="6">
        <v>1245</v>
      </c>
      <c r="G822" s="6">
        <v>2171</v>
      </c>
      <c r="H822" s="6">
        <v>662</v>
      </c>
      <c r="I822" s="6">
        <v>1130</v>
      </c>
      <c r="J822" s="6">
        <v>76</v>
      </c>
      <c r="K822" s="6">
        <v>222</v>
      </c>
      <c r="L822" s="6">
        <v>5234</v>
      </c>
      <c r="M822" s="6">
        <v>13152</v>
      </c>
      <c r="N822" s="6">
        <v>10523</v>
      </c>
      <c r="O822" s="6">
        <v>5723</v>
      </c>
      <c r="P822" s="78">
        <v>10489</v>
      </c>
      <c r="Q822" s="6">
        <v>2367</v>
      </c>
      <c r="R822" s="16">
        <f t="shared" si="44"/>
        <v>26246</v>
      </c>
    </row>
    <row r="823" spans="1:18" ht="15.6" x14ac:dyDescent="0.3">
      <c r="A823" s="10">
        <v>39380</v>
      </c>
      <c r="B823" s="78">
        <v>5262</v>
      </c>
      <c r="C823" s="78">
        <v>6145</v>
      </c>
      <c r="D823" s="78">
        <v>993</v>
      </c>
      <c r="E823" s="78">
        <v>3660</v>
      </c>
      <c r="F823" s="78">
        <v>2965</v>
      </c>
      <c r="G823" s="78">
        <v>3307</v>
      </c>
      <c r="H823" s="78">
        <v>1474</v>
      </c>
      <c r="I823" s="78">
        <v>1900</v>
      </c>
      <c r="J823" s="78">
        <v>355</v>
      </c>
      <c r="K823" s="78">
        <v>512</v>
      </c>
      <c r="L823" s="78">
        <v>11048</v>
      </c>
      <c r="M823" s="78">
        <v>15524</v>
      </c>
      <c r="N823" s="78">
        <v>18806</v>
      </c>
      <c r="O823" s="78">
        <v>9011</v>
      </c>
      <c r="P823" s="78">
        <v>8069</v>
      </c>
      <c r="Q823" s="78">
        <v>4452</v>
      </c>
      <c r="R823" s="16">
        <f t="shared" si="44"/>
        <v>37923</v>
      </c>
    </row>
    <row r="824" spans="1:18" ht="15.6" x14ac:dyDescent="0.3">
      <c r="A824" s="10">
        <v>39744</v>
      </c>
      <c r="B824" s="78">
        <v>2161</v>
      </c>
      <c r="C824" s="6">
        <v>6893</v>
      </c>
      <c r="D824" s="6">
        <v>1001</v>
      </c>
      <c r="E824" s="6">
        <v>3118</v>
      </c>
      <c r="F824" s="6">
        <v>1265</v>
      </c>
      <c r="G824" s="6">
        <v>2307</v>
      </c>
      <c r="H824" s="6">
        <v>603</v>
      </c>
      <c r="I824" s="6">
        <v>1203</v>
      </c>
      <c r="J824" s="6">
        <v>76</v>
      </c>
      <c r="K824" s="6">
        <v>222</v>
      </c>
      <c r="L824" s="6">
        <v>5104</v>
      </c>
      <c r="M824" s="6">
        <v>13743</v>
      </c>
      <c r="N824" s="6">
        <v>10333</v>
      </c>
      <c r="O824" s="6">
        <v>6326</v>
      </c>
      <c r="P824" s="78">
        <v>10597</v>
      </c>
      <c r="Q824" s="6">
        <v>3651</v>
      </c>
      <c r="R824" s="16">
        <f t="shared" si="44"/>
        <v>26034</v>
      </c>
    </row>
    <row r="825" spans="1:18" ht="15.6" x14ac:dyDescent="0.3">
      <c r="A825" s="10">
        <v>39387</v>
      </c>
      <c r="B825" s="78">
        <v>4845</v>
      </c>
      <c r="C825" s="78">
        <v>6560</v>
      </c>
      <c r="D825" s="78">
        <v>973</v>
      </c>
      <c r="E825" s="78">
        <v>3685</v>
      </c>
      <c r="F825" s="78">
        <v>2683</v>
      </c>
      <c r="G825" s="78">
        <v>3561</v>
      </c>
      <c r="H825" s="78">
        <v>1443</v>
      </c>
      <c r="I825" s="78">
        <v>1967</v>
      </c>
      <c r="J825" s="78">
        <v>355</v>
      </c>
      <c r="K825" s="78">
        <v>513</v>
      </c>
      <c r="L825" s="78">
        <v>10300</v>
      </c>
      <c r="M825" s="78">
        <v>16285</v>
      </c>
      <c r="N825" s="78">
        <v>18788</v>
      </c>
      <c r="O825" s="78">
        <v>10534</v>
      </c>
      <c r="P825" s="78">
        <v>7856</v>
      </c>
      <c r="Q825" s="78">
        <v>5281</v>
      </c>
      <c r="R825" s="16">
        <f t="shared" si="44"/>
        <v>36944</v>
      </c>
    </row>
    <row r="826" spans="1:18" ht="15.6" x14ac:dyDescent="0.3">
      <c r="A826" s="10">
        <v>39751</v>
      </c>
      <c r="B826" s="78">
        <v>2121</v>
      </c>
      <c r="C826" s="6">
        <v>7114</v>
      </c>
      <c r="D826" s="6">
        <v>980</v>
      </c>
      <c r="E826" s="6">
        <v>3151</v>
      </c>
      <c r="F826" s="6">
        <v>1305</v>
      </c>
      <c r="G826" s="6">
        <v>2406</v>
      </c>
      <c r="H826" s="6">
        <v>608</v>
      </c>
      <c r="I826" s="6">
        <v>1223</v>
      </c>
      <c r="J826" s="6">
        <v>80</v>
      </c>
      <c r="K826" s="6">
        <v>227</v>
      </c>
      <c r="L826" s="6">
        <v>5093</v>
      </c>
      <c r="M826" s="6">
        <v>14120</v>
      </c>
      <c r="N826" s="6">
        <v>10186</v>
      </c>
      <c r="O826" s="6">
        <v>6944</v>
      </c>
      <c r="P826" s="78">
        <v>10003</v>
      </c>
      <c r="Q826" s="6">
        <v>5140</v>
      </c>
      <c r="R826" s="16">
        <f t="shared" si="44"/>
        <v>25282</v>
      </c>
    </row>
    <row r="827" spans="1:18" ht="15.6" x14ac:dyDescent="0.3">
      <c r="A827" s="10">
        <v>39393</v>
      </c>
      <c r="B827" s="78">
        <v>4718</v>
      </c>
      <c r="C827" s="78">
        <v>6851</v>
      </c>
      <c r="D827" s="78">
        <v>994</v>
      </c>
      <c r="E827" s="78">
        <v>3706</v>
      </c>
      <c r="F827" s="78">
        <v>2660</v>
      </c>
      <c r="G827" s="78">
        <v>3708</v>
      </c>
      <c r="H827" s="78">
        <v>1391</v>
      </c>
      <c r="I827" s="78">
        <v>2075</v>
      </c>
      <c r="J827" s="78">
        <v>362</v>
      </c>
      <c r="K827" s="78">
        <v>535</v>
      </c>
      <c r="L827" s="78">
        <v>10126</v>
      </c>
      <c r="M827" s="78">
        <v>16875</v>
      </c>
      <c r="N827" s="78">
        <v>18643</v>
      </c>
      <c r="O827" s="78">
        <v>12044</v>
      </c>
      <c r="P827" s="78">
        <v>8440</v>
      </c>
      <c r="Q827" s="78">
        <v>5992</v>
      </c>
      <c r="R827" s="16">
        <f t="shared" si="44"/>
        <v>37209</v>
      </c>
    </row>
    <row r="828" spans="1:18" ht="15.6" x14ac:dyDescent="0.3">
      <c r="A828" s="10">
        <v>39758</v>
      </c>
      <c r="B828" s="78">
        <v>2046</v>
      </c>
      <c r="C828" s="6">
        <v>7272</v>
      </c>
      <c r="D828" s="6">
        <v>972</v>
      </c>
      <c r="E828" s="6">
        <v>3274</v>
      </c>
      <c r="F828" s="6">
        <v>1248</v>
      </c>
      <c r="G828" s="6">
        <v>2499</v>
      </c>
      <c r="H828" s="6">
        <v>548</v>
      </c>
      <c r="I828" s="6">
        <v>1291</v>
      </c>
      <c r="J828" s="6">
        <v>80</v>
      </c>
      <c r="K828" s="6">
        <v>233</v>
      </c>
      <c r="L828" s="6">
        <v>4893</v>
      </c>
      <c r="M828" s="6">
        <v>14568</v>
      </c>
      <c r="N828" s="6">
        <v>9733</v>
      </c>
      <c r="O828" s="6">
        <v>7753</v>
      </c>
      <c r="P828" s="78">
        <v>9439</v>
      </c>
      <c r="Q828" s="6">
        <v>6182</v>
      </c>
      <c r="R828" s="16">
        <f t="shared" si="44"/>
        <v>24065</v>
      </c>
    </row>
    <row r="829" spans="1:18" ht="15.6" x14ac:dyDescent="0.3">
      <c r="A829" s="10">
        <v>39400</v>
      </c>
      <c r="B829" s="78">
        <v>4647</v>
      </c>
      <c r="C829" s="78">
        <v>7032</v>
      </c>
      <c r="D829" s="78">
        <v>984</v>
      </c>
      <c r="E829" s="78">
        <v>3730</v>
      </c>
      <c r="F829" s="78">
        <v>2652</v>
      </c>
      <c r="G829" s="78">
        <v>3962</v>
      </c>
      <c r="H829" s="78">
        <v>1408</v>
      </c>
      <c r="I829" s="78">
        <v>2129</v>
      </c>
      <c r="J829" s="78">
        <v>309</v>
      </c>
      <c r="K829" s="78">
        <v>639</v>
      </c>
      <c r="L829" s="78">
        <v>10000</v>
      </c>
      <c r="M829" s="78">
        <v>17492</v>
      </c>
      <c r="N829" s="78">
        <v>19111</v>
      </c>
      <c r="O829" s="78">
        <v>13420</v>
      </c>
      <c r="P829" s="78">
        <v>9590</v>
      </c>
      <c r="Q829" s="78">
        <v>6650</v>
      </c>
      <c r="R829" s="16">
        <f t="shared" si="44"/>
        <v>38701</v>
      </c>
    </row>
    <row r="830" spans="1:18" ht="15.6" x14ac:dyDescent="0.3">
      <c r="A830" s="10">
        <v>39765</v>
      </c>
      <c r="B830" s="78">
        <v>2037</v>
      </c>
      <c r="C830" s="6">
        <v>7443</v>
      </c>
      <c r="D830" s="6">
        <v>1033</v>
      </c>
      <c r="E830" s="6">
        <v>3352</v>
      </c>
      <c r="F830" s="6">
        <v>1233</v>
      </c>
      <c r="G830" s="6">
        <v>2647</v>
      </c>
      <c r="H830" s="6">
        <v>570</v>
      </c>
      <c r="I830" s="6">
        <v>1345</v>
      </c>
      <c r="J830" s="6">
        <v>81</v>
      </c>
      <c r="K830" s="6">
        <v>234</v>
      </c>
      <c r="L830" s="6">
        <v>4952</v>
      </c>
      <c r="M830" s="6">
        <v>15020</v>
      </c>
      <c r="N830" s="6">
        <v>9411</v>
      </c>
      <c r="O830" s="6">
        <v>8458</v>
      </c>
      <c r="P830" s="78">
        <v>9163</v>
      </c>
      <c r="Q830" s="6">
        <v>7249</v>
      </c>
      <c r="R830" s="16">
        <f t="shared" si="44"/>
        <v>23526</v>
      </c>
    </row>
    <row r="831" spans="1:18" ht="15.6" x14ac:dyDescent="0.3">
      <c r="A831" s="10">
        <v>39407</v>
      </c>
      <c r="B831" s="78">
        <v>4427</v>
      </c>
      <c r="C831" s="78">
        <v>7342</v>
      </c>
      <c r="D831" s="78">
        <v>934</v>
      </c>
      <c r="E831" s="78">
        <v>3824</v>
      </c>
      <c r="F831" s="78">
        <v>2646</v>
      </c>
      <c r="G831" s="78">
        <v>4064</v>
      </c>
      <c r="H831" s="78">
        <v>1518</v>
      </c>
      <c r="I831" s="78">
        <v>2197</v>
      </c>
      <c r="J831" s="78">
        <v>307</v>
      </c>
      <c r="K831" s="78">
        <v>639</v>
      </c>
      <c r="L831" s="78">
        <v>9832</v>
      </c>
      <c r="M831" s="78">
        <v>18066</v>
      </c>
      <c r="N831" s="78">
        <v>19513</v>
      </c>
      <c r="O831" s="78">
        <v>14848</v>
      </c>
      <c r="P831" s="78">
        <v>9733</v>
      </c>
      <c r="Q831" s="78">
        <v>7625</v>
      </c>
      <c r="R831" s="16">
        <f t="shared" si="44"/>
        <v>39078</v>
      </c>
    </row>
    <row r="832" spans="1:18" ht="15.6" x14ac:dyDescent="0.3">
      <c r="A832" s="10">
        <v>39772</v>
      </c>
      <c r="B832" s="78">
        <v>2008</v>
      </c>
      <c r="C832" s="6">
        <v>7715</v>
      </c>
      <c r="D832" s="6">
        <v>959</v>
      </c>
      <c r="E832" s="6">
        <v>3446</v>
      </c>
      <c r="F832" s="6">
        <v>1174</v>
      </c>
      <c r="G832" s="6">
        <v>2812</v>
      </c>
      <c r="H832" s="6">
        <v>563</v>
      </c>
      <c r="I832" s="6">
        <v>1384</v>
      </c>
      <c r="J832" s="6">
        <v>115</v>
      </c>
      <c r="K832" s="6">
        <v>236</v>
      </c>
      <c r="L832" s="6">
        <v>4818</v>
      </c>
      <c r="M832" s="6">
        <v>15593</v>
      </c>
      <c r="N832" s="6">
        <v>9110</v>
      </c>
      <c r="O832" s="6">
        <v>9224</v>
      </c>
      <c r="P832" s="78">
        <v>8929</v>
      </c>
      <c r="Q832" s="6">
        <v>8265</v>
      </c>
      <c r="R832" s="16">
        <f t="shared" si="44"/>
        <v>22857</v>
      </c>
    </row>
    <row r="833" spans="1:18" ht="15.6" x14ac:dyDescent="0.3">
      <c r="A833" s="10">
        <v>39414</v>
      </c>
      <c r="B833" s="78">
        <v>4357</v>
      </c>
      <c r="C833" s="78">
        <v>7578</v>
      </c>
      <c r="D833" s="78">
        <v>829</v>
      </c>
      <c r="E833" s="78">
        <v>3948</v>
      </c>
      <c r="F833" s="78">
        <v>2519</v>
      </c>
      <c r="G833" s="78">
        <v>4229</v>
      </c>
      <c r="H833" s="78">
        <v>1460</v>
      </c>
      <c r="I833" s="78">
        <v>2267</v>
      </c>
      <c r="J833" s="78">
        <v>251</v>
      </c>
      <c r="K833" s="78">
        <v>697</v>
      </c>
      <c r="L833" s="78">
        <v>9416</v>
      </c>
      <c r="M833" s="78">
        <v>18718</v>
      </c>
      <c r="N833" s="78">
        <v>19044</v>
      </c>
      <c r="O833" s="78">
        <v>16371</v>
      </c>
      <c r="P833" s="78">
        <v>9797</v>
      </c>
      <c r="Q833" s="78">
        <v>8365</v>
      </c>
      <c r="R833" s="16">
        <f t="shared" si="44"/>
        <v>38257</v>
      </c>
    </row>
    <row r="834" spans="1:18" ht="15.6" x14ac:dyDescent="0.3">
      <c r="A834" s="10">
        <v>39779</v>
      </c>
      <c r="B834" s="78">
        <v>1842</v>
      </c>
      <c r="C834" s="6">
        <v>7899</v>
      </c>
      <c r="D834" s="6">
        <v>924</v>
      </c>
      <c r="E834" s="6">
        <v>3492</v>
      </c>
      <c r="F834" s="6">
        <v>1040</v>
      </c>
      <c r="G834" s="6">
        <v>2977</v>
      </c>
      <c r="H834" s="6">
        <v>653</v>
      </c>
      <c r="I834" s="6">
        <v>1420</v>
      </c>
      <c r="J834" s="6">
        <v>104</v>
      </c>
      <c r="K834" s="6">
        <v>268</v>
      </c>
      <c r="L834" s="6">
        <v>4563</v>
      </c>
      <c r="M834" s="6">
        <v>16056</v>
      </c>
      <c r="N834" s="6">
        <v>8524</v>
      </c>
      <c r="O834" s="6">
        <v>10198</v>
      </c>
      <c r="P834" s="78">
        <v>8026</v>
      </c>
      <c r="Q834" s="6">
        <v>9527</v>
      </c>
      <c r="R834" s="16">
        <f t="shared" si="44"/>
        <v>21113</v>
      </c>
    </row>
    <row r="835" spans="1:18" ht="15.6" x14ac:dyDescent="0.3">
      <c r="A835" s="10">
        <v>39422</v>
      </c>
      <c r="B835" s="78">
        <v>4268</v>
      </c>
      <c r="C835" s="78">
        <v>7794</v>
      </c>
      <c r="D835" s="78">
        <v>951</v>
      </c>
      <c r="E835" s="78">
        <v>4016</v>
      </c>
      <c r="F835" s="78">
        <v>2458</v>
      </c>
      <c r="G835" s="78">
        <v>4470</v>
      </c>
      <c r="H835" s="78">
        <v>1410</v>
      </c>
      <c r="I835" s="78">
        <v>2369</v>
      </c>
      <c r="J835" s="78">
        <v>179</v>
      </c>
      <c r="K835" s="78">
        <v>734</v>
      </c>
      <c r="L835" s="78">
        <v>9266</v>
      </c>
      <c r="M835" s="78">
        <v>19382</v>
      </c>
      <c r="N835" s="78">
        <v>19114</v>
      </c>
      <c r="O835" s="78">
        <v>17427</v>
      </c>
      <c r="P835" s="78">
        <v>9869</v>
      </c>
      <c r="Q835" s="78">
        <v>9265</v>
      </c>
      <c r="R835" s="16">
        <f t="shared" si="44"/>
        <v>38249</v>
      </c>
    </row>
    <row r="836" spans="1:18" ht="15.6" x14ac:dyDescent="0.3">
      <c r="A836" s="10">
        <v>39786</v>
      </c>
      <c r="B836" s="78">
        <v>1836</v>
      </c>
      <c r="C836" s="6">
        <v>7970</v>
      </c>
      <c r="D836" s="6">
        <v>901</v>
      </c>
      <c r="E836" s="6">
        <v>3534</v>
      </c>
      <c r="F836" s="6">
        <v>1096</v>
      </c>
      <c r="G836" s="6">
        <v>3032</v>
      </c>
      <c r="H836" s="6">
        <v>543</v>
      </c>
      <c r="I836" s="6">
        <v>1573</v>
      </c>
      <c r="J836" s="6">
        <v>104</v>
      </c>
      <c r="K836" s="6">
        <v>270</v>
      </c>
      <c r="L836" s="6">
        <v>4480</v>
      </c>
      <c r="M836" s="6">
        <v>16378</v>
      </c>
      <c r="N836" s="6">
        <v>8764</v>
      </c>
      <c r="O836" s="6">
        <v>10843</v>
      </c>
      <c r="P836" s="78">
        <v>7889</v>
      </c>
      <c r="Q836" s="6">
        <v>10474</v>
      </c>
      <c r="R836" s="16">
        <f t="shared" si="44"/>
        <v>21133</v>
      </c>
    </row>
    <row r="837" spans="1:18" ht="15.6" x14ac:dyDescent="0.3">
      <c r="A837" s="10">
        <v>39429</v>
      </c>
      <c r="B837" s="78">
        <v>4229</v>
      </c>
      <c r="C837" s="78">
        <v>7956</v>
      </c>
      <c r="D837" s="78">
        <v>830</v>
      </c>
      <c r="E837" s="78">
        <v>4053</v>
      </c>
      <c r="F837" s="78">
        <v>2353</v>
      </c>
      <c r="G837" s="78">
        <v>4653</v>
      </c>
      <c r="H837" s="78">
        <v>1361</v>
      </c>
      <c r="I837" s="78">
        <v>2478</v>
      </c>
      <c r="J837" s="78">
        <v>173</v>
      </c>
      <c r="K837" s="78">
        <v>766</v>
      </c>
      <c r="L837" s="78">
        <v>8946</v>
      </c>
      <c r="M837" s="78">
        <v>19906</v>
      </c>
      <c r="N837" s="78">
        <v>19083</v>
      </c>
      <c r="O837" s="78">
        <v>18657</v>
      </c>
      <c r="P837" s="78">
        <v>9638</v>
      </c>
      <c r="Q837" s="78">
        <v>10368</v>
      </c>
      <c r="R837" s="16">
        <f t="shared" si="44"/>
        <v>37667</v>
      </c>
    </row>
    <row r="838" spans="1:18" ht="15.6" x14ac:dyDescent="0.3">
      <c r="A838" s="10">
        <v>39793</v>
      </c>
      <c r="B838" s="78">
        <v>1841</v>
      </c>
      <c r="C838" s="6">
        <v>8060</v>
      </c>
      <c r="D838" s="6">
        <v>920</v>
      </c>
      <c r="E838" s="6">
        <v>3567</v>
      </c>
      <c r="F838" s="6">
        <v>979</v>
      </c>
      <c r="G838" s="6">
        <v>3224</v>
      </c>
      <c r="H838" s="6">
        <v>511</v>
      </c>
      <c r="I838" s="6">
        <v>1639</v>
      </c>
      <c r="J838" s="6">
        <v>75</v>
      </c>
      <c r="K838" s="6">
        <v>303</v>
      </c>
      <c r="L838" s="6">
        <v>4327</v>
      </c>
      <c r="M838" s="6">
        <v>16793</v>
      </c>
      <c r="N838" s="6">
        <v>8666</v>
      </c>
      <c r="O838" s="6">
        <v>11553</v>
      </c>
      <c r="P838" s="78">
        <v>7628</v>
      </c>
      <c r="Q838" s="6">
        <v>11629</v>
      </c>
      <c r="R838" s="16">
        <f t="shared" si="44"/>
        <v>20621</v>
      </c>
    </row>
    <row r="839" spans="1:18" ht="15.6" x14ac:dyDescent="0.3">
      <c r="A839" s="10">
        <v>39436</v>
      </c>
      <c r="B839" s="78">
        <v>4080.7</v>
      </c>
      <c r="C839" s="78">
        <v>8134.2</v>
      </c>
      <c r="D839" s="78">
        <v>818</v>
      </c>
      <c r="E839" s="78">
        <v>4067.5</v>
      </c>
      <c r="F839" s="78">
        <v>2419.9</v>
      </c>
      <c r="G839" s="78">
        <v>4755.8</v>
      </c>
      <c r="H839" s="78">
        <v>1372.4</v>
      </c>
      <c r="I839" s="78">
        <v>2557.6999999999998</v>
      </c>
      <c r="J839" s="78">
        <v>173</v>
      </c>
      <c r="K839" s="78">
        <v>772.1</v>
      </c>
      <c r="L839" s="78">
        <v>8863.7999999999993</v>
      </c>
      <c r="M839" s="78">
        <v>20287.2</v>
      </c>
      <c r="N839" s="78">
        <v>19243.400000000001</v>
      </c>
      <c r="O839" s="78">
        <v>19916.599999999999</v>
      </c>
      <c r="P839" s="78">
        <v>9486.7999999999993</v>
      </c>
      <c r="Q839" s="78">
        <v>11201.9</v>
      </c>
      <c r="R839" s="16">
        <f t="shared" si="44"/>
        <v>37594</v>
      </c>
    </row>
    <row r="840" spans="1:18" ht="15.6" x14ac:dyDescent="0.3">
      <c r="A840" s="10">
        <v>39800</v>
      </c>
      <c r="B840" s="78">
        <v>1807.1</v>
      </c>
      <c r="C840" s="6">
        <v>8176.6</v>
      </c>
      <c r="D840" s="6">
        <v>899.7</v>
      </c>
      <c r="E840" s="6">
        <v>3651.4</v>
      </c>
      <c r="F840" s="6">
        <v>937.8</v>
      </c>
      <c r="G840" s="6">
        <v>3292.7</v>
      </c>
      <c r="H840" s="6">
        <v>569.79999999999995</v>
      </c>
      <c r="I840" s="6">
        <v>1659.9</v>
      </c>
      <c r="J840" s="6">
        <v>75.099999999999994</v>
      </c>
      <c r="K840" s="6">
        <v>303.39999999999998</v>
      </c>
      <c r="L840" s="6">
        <v>4289.5</v>
      </c>
      <c r="M840" s="6">
        <v>17084</v>
      </c>
      <c r="N840" s="6">
        <v>8386</v>
      </c>
      <c r="O840" s="6">
        <v>12384.6</v>
      </c>
      <c r="P840" s="78">
        <v>7260.9</v>
      </c>
      <c r="Q840" s="6">
        <v>12580.5</v>
      </c>
      <c r="R840" s="16">
        <f t="shared" ref="R840:R903" si="45">L840+N840+P840</f>
        <v>19936.400000000001</v>
      </c>
    </row>
    <row r="841" spans="1:18" ht="15.6" x14ac:dyDescent="0.3">
      <c r="A841" s="10">
        <v>39443</v>
      </c>
      <c r="B841" s="78">
        <v>3986</v>
      </c>
      <c r="C841" s="78">
        <v>8302</v>
      </c>
      <c r="D841" s="78">
        <v>740</v>
      </c>
      <c r="E841" s="78">
        <v>4148</v>
      </c>
      <c r="F841" s="78">
        <v>2322</v>
      </c>
      <c r="G841" s="78">
        <v>4894</v>
      </c>
      <c r="H841" s="78">
        <v>1324</v>
      </c>
      <c r="I841" s="78">
        <v>2609</v>
      </c>
      <c r="J841" s="78">
        <v>173</v>
      </c>
      <c r="K841" s="78">
        <v>772.1</v>
      </c>
      <c r="L841" s="78">
        <v>8545</v>
      </c>
      <c r="M841" s="78">
        <v>20725</v>
      </c>
      <c r="N841" s="78">
        <v>18804</v>
      </c>
      <c r="O841" s="78">
        <v>21057</v>
      </c>
      <c r="P841" s="78">
        <v>9041</v>
      </c>
      <c r="Q841" s="78">
        <v>11789</v>
      </c>
      <c r="R841" s="16">
        <f t="shared" si="45"/>
        <v>36390</v>
      </c>
    </row>
    <row r="842" spans="1:18" ht="15.6" x14ac:dyDescent="0.3">
      <c r="A842" s="10">
        <v>39807</v>
      </c>
      <c r="B842" s="78">
        <v>1878</v>
      </c>
      <c r="C842" s="6">
        <v>8210</v>
      </c>
      <c r="D842" s="6">
        <v>956</v>
      </c>
      <c r="E842" s="6">
        <v>3661</v>
      </c>
      <c r="F842" s="6">
        <v>950</v>
      </c>
      <c r="G842" s="6">
        <v>3349</v>
      </c>
      <c r="H842" s="6">
        <v>656</v>
      </c>
      <c r="I842" s="6">
        <v>1738</v>
      </c>
      <c r="J842" s="6">
        <v>91</v>
      </c>
      <c r="K842" s="6">
        <v>303.39999999999998</v>
      </c>
      <c r="L842" s="6">
        <v>4531</v>
      </c>
      <c r="M842" s="6">
        <v>17261</v>
      </c>
      <c r="N842" s="6">
        <v>8054</v>
      </c>
      <c r="O842" s="6">
        <v>12987</v>
      </c>
      <c r="P842" s="78">
        <v>6851</v>
      </c>
      <c r="Q842" s="6">
        <v>13501</v>
      </c>
      <c r="R842" s="16">
        <f t="shared" si="45"/>
        <v>19436</v>
      </c>
    </row>
    <row r="843" spans="1:18" ht="15.6" x14ac:dyDescent="0.3">
      <c r="A843" s="10">
        <v>39450</v>
      </c>
      <c r="B843" s="78">
        <v>3785</v>
      </c>
      <c r="C843" s="78">
        <v>8525</v>
      </c>
      <c r="D843" s="78">
        <v>820</v>
      </c>
      <c r="E843" s="78">
        <v>4197</v>
      </c>
      <c r="F843" s="78">
        <v>2207</v>
      </c>
      <c r="G843" s="78">
        <v>5037</v>
      </c>
      <c r="H843" s="78">
        <v>1282</v>
      </c>
      <c r="I843" s="78">
        <v>2642</v>
      </c>
      <c r="J843" s="78">
        <v>171</v>
      </c>
      <c r="K843" s="78">
        <v>794</v>
      </c>
      <c r="L843" s="78">
        <v>8265</v>
      </c>
      <c r="M843" s="78">
        <v>21195</v>
      </c>
      <c r="N843" s="78">
        <v>18496</v>
      </c>
      <c r="O843" s="78">
        <v>21971</v>
      </c>
      <c r="P843" s="78">
        <v>8218</v>
      </c>
      <c r="Q843" s="78">
        <v>12729</v>
      </c>
      <c r="R843" s="16">
        <f t="shared" si="45"/>
        <v>34979</v>
      </c>
    </row>
    <row r="844" spans="1:18" ht="15.6" x14ac:dyDescent="0.3">
      <c r="A844" s="10">
        <v>39814</v>
      </c>
      <c r="B844" s="78">
        <v>1797</v>
      </c>
      <c r="C844" s="6">
        <v>8335</v>
      </c>
      <c r="D844" s="6">
        <v>869</v>
      </c>
      <c r="E844" s="6">
        <v>3743</v>
      </c>
      <c r="F844" s="6">
        <v>885</v>
      </c>
      <c r="G844" s="6">
        <v>3417</v>
      </c>
      <c r="H844" s="6">
        <v>579</v>
      </c>
      <c r="I844" s="6">
        <v>1815</v>
      </c>
      <c r="J844" s="6">
        <v>91</v>
      </c>
      <c r="K844" s="6">
        <v>304</v>
      </c>
      <c r="L844" s="6">
        <v>4221</v>
      </c>
      <c r="M844" s="6">
        <v>17613</v>
      </c>
      <c r="N844" s="6">
        <v>7703</v>
      </c>
      <c r="O844" s="6">
        <v>13598</v>
      </c>
      <c r="P844" s="78">
        <v>6576</v>
      </c>
      <c r="Q844" s="6">
        <v>14306</v>
      </c>
      <c r="R844" s="16">
        <f t="shared" si="45"/>
        <v>18500</v>
      </c>
    </row>
    <row r="845" spans="1:18" ht="15.6" x14ac:dyDescent="0.3">
      <c r="A845" s="10">
        <v>39457</v>
      </c>
      <c r="B845" s="78">
        <v>3597</v>
      </c>
      <c r="C845" s="78">
        <v>8781</v>
      </c>
      <c r="D845" s="78">
        <v>853</v>
      </c>
      <c r="E845" s="78">
        <v>4234</v>
      </c>
      <c r="F845" s="78">
        <v>2142</v>
      </c>
      <c r="G845" s="78">
        <v>5277</v>
      </c>
      <c r="H845" s="78">
        <v>1249</v>
      </c>
      <c r="I845" s="78">
        <v>2781</v>
      </c>
      <c r="J845" s="78">
        <v>125</v>
      </c>
      <c r="K845" s="78">
        <v>827</v>
      </c>
      <c r="L845" s="78">
        <v>7966</v>
      </c>
      <c r="M845" s="78">
        <v>21899</v>
      </c>
      <c r="N845" s="78">
        <v>19363</v>
      </c>
      <c r="O845" s="78">
        <v>23474</v>
      </c>
      <c r="P845" s="78">
        <v>8428</v>
      </c>
      <c r="Q845" s="78">
        <v>13484</v>
      </c>
      <c r="R845" s="16">
        <f t="shared" si="45"/>
        <v>35757</v>
      </c>
    </row>
    <row r="846" spans="1:18" ht="15.6" x14ac:dyDescent="0.3">
      <c r="A846" s="10">
        <v>39821</v>
      </c>
      <c r="B846" s="78">
        <v>1577</v>
      </c>
      <c r="C846" s="6">
        <v>8640</v>
      </c>
      <c r="D846" s="6">
        <v>705</v>
      </c>
      <c r="E846" s="6">
        <v>3810</v>
      </c>
      <c r="F846" s="6">
        <v>804</v>
      </c>
      <c r="G846" s="6">
        <v>3578</v>
      </c>
      <c r="H846" s="6">
        <v>561</v>
      </c>
      <c r="I846" s="6">
        <v>1853</v>
      </c>
      <c r="J846" s="6">
        <v>91</v>
      </c>
      <c r="K846" s="6">
        <v>304</v>
      </c>
      <c r="L846" s="6">
        <v>3738</v>
      </c>
      <c r="M846" s="6">
        <v>18184</v>
      </c>
      <c r="N846" s="6">
        <v>7307</v>
      </c>
      <c r="O846" s="6">
        <v>14210</v>
      </c>
      <c r="P846" s="78">
        <v>7211</v>
      </c>
      <c r="Q846" s="6">
        <v>15033</v>
      </c>
      <c r="R846" s="16">
        <f t="shared" si="45"/>
        <v>18256</v>
      </c>
    </row>
    <row r="847" spans="1:18" ht="15.6" x14ac:dyDescent="0.3">
      <c r="A847" s="10">
        <v>39464</v>
      </c>
      <c r="B847" s="78">
        <v>3679</v>
      </c>
      <c r="C847" s="78">
        <v>8958</v>
      </c>
      <c r="D847" s="78">
        <v>846</v>
      </c>
      <c r="E847" s="78">
        <v>4240</v>
      </c>
      <c r="F847" s="78">
        <v>2084</v>
      </c>
      <c r="G847" s="78">
        <v>5461</v>
      </c>
      <c r="H847" s="78">
        <v>1165</v>
      </c>
      <c r="I847" s="78">
        <v>2904</v>
      </c>
      <c r="J847" s="78">
        <v>120</v>
      </c>
      <c r="K847" s="78">
        <v>832</v>
      </c>
      <c r="L847" s="78">
        <v>7894</v>
      </c>
      <c r="M847" s="78">
        <v>22394</v>
      </c>
      <c r="N847" s="78">
        <v>19623</v>
      </c>
      <c r="O847" s="78">
        <v>24809</v>
      </c>
      <c r="P847" s="78">
        <v>8085</v>
      </c>
      <c r="Q847" s="78">
        <v>14491</v>
      </c>
      <c r="R847" s="16">
        <f t="shared" si="45"/>
        <v>35602</v>
      </c>
    </row>
    <row r="848" spans="1:18" ht="15.6" x14ac:dyDescent="0.3">
      <c r="A848" s="10">
        <v>39828</v>
      </c>
      <c r="B848" s="78">
        <v>1693</v>
      </c>
      <c r="C848" s="6">
        <v>8682</v>
      </c>
      <c r="D848" s="6">
        <v>666</v>
      </c>
      <c r="E848" s="6">
        <v>3853</v>
      </c>
      <c r="F848" s="6">
        <v>932</v>
      </c>
      <c r="G848" s="6">
        <v>3627</v>
      </c>
      <c r="H848" s="6">
        <v>583</v>
      </c>
      <c r="I848" s="6">
        <v>1898</v>
      </c>
      <c r="J848" s="6">
        <v>91</v>
      </c>
      <c r="K848" s="6">
        <v>305</v>
      </c>
      <c r="L848" s="6">
        <v>3966</v>
      </c>
      <c r="M848" s="6">
        <v>18366</v>
      </c>
      <c r="N848" s="6">
        <v>7709</v>
      </c>
      <c r="O848" s="6">
        <v>14894</v>
      </c>
      <c r="P848" s="78">
        <v>7518</v>
      </c>
      <c r="Q848" s="6">
        <v>16050</v>
      </c>
      <c r="R848" s="16">
        <f t="shared" si="45"/>
        <v>19193</v>
      </c>
    </row>
    <row r="849" spans="1:18" ht="15.6" x14ac:dyDescent="0.3">
      <c r="A849" s="10">
        <v>39471</v>
      </c>
      <c r="B849" s="78">
        <v>3604</v>
      </c>
      <c r="C849" s="78">
        <v>9230</v>
      </c>
      <c r="D849" s="78">
        <v>854</v>
      </c>
      <c r="E849" s="78">
        <v>4302</v>
      </c>
      <c r="F849" s="78">
        <v>2028</v>
      </c>
      <c r="G849" s="78">
        <v>5653</v>
      </c>
      <c r="H849" s="78">
        <v>1197</v>
      </c>
      <c r="I849" s="78">
        <v>2978</v>
      </c>
      <c r="J849" s="78">
        <v>95</v>
      </c>
      <c r="K849" s="78">
        <v>854</v>
      </c>
      <c r="L849" s="78">
        <v>7779</v>
      </c>
      <c r="M849" s="78">
        <v>23018</v>
      </c>
      <c r="N849" s="78">
        <v>20020</v>
      </c>
      <c r="O849" s="78">
        <v>26300</v>
      </c>
      <c r="P849" s="78">
        <v>7841</v>
      </c>
      <c r="Q849" s="78">
        <v>15223</v>
      </c>
      <c r="R849" s="16">
        <f t="shared" si="45"/>
        <v>35640</v>
      </c>
    </row>
    <row r="850" spans="1:18" ht="15.6" x14ac:dyDescent="0.3">
      <c r="A850" s="10">
        <v>39835</v>
      </c>
      <c r="B850" s="78">
        <v>1294</v>
      </c>
      <c r="C850" s="6">
        <v>8833</v>
      </c>
      <c r="D850" s="6">
        <v>699</v>
      </c>
      <c r="E850" s="6">
        <v>3892</v>
      </c>
      <c r="F850" s="6">
        <v>850</v>
      </c>
      <c r="G850" s="6">
        <v>3745</v>
      </c>
      <c r="H850" s="6">
        <v>725</v>
      </c>
      <c r="I850" s="6">
        <v>1922</v>
      </c>
      <c r="J850" s="6">
        <v>75</v>
      </c>
      <c r="K850" s="6">
        <v>320</v>
      </c>
      <c r="L850" s="6">
        <v>3644</v>
      </c>
      <c r="M850" s="6">
        <v>18711</v>
      </c>
      <c r="N850" s="6">
        <v>8078</v>
      </c>
      <c r="O850" s="6">
        <v>15633</v>
      </c>
      <c r="P850" s="78">
        <v>7086</v>
      </c>
      <c r="Q850" s="6">
        <v>17008</v>
      </c>
      <c r="R850" s="16">
        <f t="shared" si="45"/>
        <v>18808</v>
      </c>
    </row>
    <row r="851" spans="1:18" ht="15.6" x14ac:dyDescent="0.3">
      <c r="A851" s="10">
        <v>39478</v>
      </c>
      <c r="B851" s="78">
        <v>3636</v>
      </c>
      <c r="C851" s="78">
        <v>9394</v>
      </c>
      <c r="D851" s="78">
        <v>818</v>
      </c>
      <c r="E851" s="78">
        <v>4343</v>
      </c>
      <c r="F851" s="78">
        <v>1966</v>
      </c>
      <c r="G851" s="78">
        <v>5812</v>
      </c>
      <c r="H851" s="78">
        <v>1126</v>
      </c>
      <c r="I851" s="78">
        <v>3051</v>
      </c>
      <c r="J851" s="78">
        <v>85</v>
      </c>
      <c r="K851" s="78">
        <v>879</v>
      </c>
      <c r="L851" s="78">
        <v>7631</v>
      </c>
      <c r="M851" s="78">
        <v>23478</v>
      </c>
      <c r="N851" s="78">
        <v>19799</v>
      </c>
      <c r="O851" s="78">
        <v>27550</v>
      </c>
      <c r="P851" s="78">
        <v>7986</v>
      </c>
      <c r="Q851" s="78">
        <v>16115</v>
      </c>
      <c r="R851" s="16">
        <f t="shared" si="45"/>
        <v>35416</v>
      </c>
    </row>
    <row r="852" spans="1:18" ht="15.6" x14ac:dyDescent="0.3">
      <c r="A852" s="10">
        <v>39842</v>
      </c>
      <c r="B852" s="78">
        <v>1307</v>
      </c>
      <c r="C852" s="6">
        <v>8960</v>
      </c>
      <c r="D852" s="6">
        <v>678</v>
      </c>
      <c r="E852" s="6">
        <v>3928</v>
      </c>
      <c r="F852" s="6">
        <v>837</v>
      </c>
      <c r="G852" s="6">
        <v>3823</v>
      </c>
      <c r="H852" s="6">
        <v>692</v>
      </c>
      <c r="I852" s="6">
        <v>2046</v>
      </c>
      <c r="J852" s="6">
        <v>53</v>
      </c>
      <c r="K852" s="6">
        <v>358</v>
      </c>
      <c r="L852" s="6">
        <v>3568</v>
      </c>
      <c r="M852" s="6">
        <v>19114</v>
      </c>
      <c r="N852" s="6">
        <v>8497</v>
      </c>
      <c r="O852" s="6">
        <v>16378</v>
      </c>
      <c r="P852" s="78">
        <v>6359</v>
      </c>
      <c r="Q852" s="6">
        <v>18072</v>
      </c>
      <c r="R852" s="16">
        <f t="shared" si="45"/>
        <v>18424</v>
      </c>
    </row>
    <row r="853" spans="1:18" ht="15.6" x14ac:dyDescent="0.3">
      <c r="A853" s="10">
        <v>39485</v>
      </c>
      <c r="B853" s="78">
        <v>3356</v>
      </c>
      <c r="C853" s="78">
        <v>9665</v>
      </c>
      <c r="D853" s="78">
        <v>842</v>
      </c>
      <c r="E853" s="78">
        <v>4384</v>
      </c>
      <c r="F853" s="78">
        <v>1832</v>
      </c>
      <c r="G853" s="78">
        <v>5964</v>
      </c>
      <c r="H853" s="78">
        <v>1056</v>
      </c>
      <c r="I853" s="78">
        <v>3125</v>
      </c>
      <c r="J853" s="78">
        <v>82</v>
      </c>
      <c r="K853" s="78">
        <v>887</v>
      </c>
      <c r="L853" s="78">
        <v>7168</v>
      </c>
      <c r="M853" s="78">
        <v>24025</v>
      </c>
      <c r="N853" s="78">
        <v>19586</v>
      </c>
      <c r="O853" s="78">
        <v>28695</v>
      </c>
      <c r="P853" s="78">
        <v>7289</v>
      </c>
      <c r="Q853" s="78">
        <v>17140</v>
      </c>
      <c r="R853" s="16">
        <f t="shared" si="45"/>
        <v>34043</v>
      </c>
    </row>
    <row r="854" spans="1:18" ht="15.6" x14ac:dyDescent="0.3">
      <c r="A854" s="10">
        <v>39849</v>
      </c>
      <c r="B854" s="78">
        <v>1191</v>
      </c>
      <c r="C854" s="6">
        <v>9199</v>
      </c>
      <c r="D854" s="6">
        <v>748</v>
      </c>
      <c r="E854" s="6">
        <v>3979</v>
      </c>
      <c r="F854" s="6">
        <v>792</v>
      </c>
      <c r="G854" s="6">
        <v>3930</v>
      </c>
      <c r="H854" s="6">
        <v>679</v>
      </c>
      <c r="I854" s="6">
        <v>2165</v>
      </c>
      <c r="J854" s="6">
        <v>53</v>
      </c>
      <c r="K854" s="6">
        <v>358</v>
      </c>
      <c r="L854" s="6">
        <v>3462</v>
      </c>
      <c r="M854" s="6">
        <v>19632</v>
      </c>
      <c r="N854" s="6">
        <v>9473</v>
      </c>
      <c r="O854" s="6">
        <v>16946</v>
      </c>
      <c r="P854" s="78">
        <v>6035</v>
      </c>
      <c r="Q854" s="6">
        <v>19465</v>
      </c>
      <c r="R854" s="16">
        <f t="shared" si="45"/>
        <v>18970</v>
      </c>
    </row>
    <row r="855" spans="1:18" ht="15.6" x14ac:dyDescent="0.3">
      <c r="A855" s="10">
        <v>39492</v>
      </c>
      <c r="B855" s="78">
        <v>3190</v>
      </c>
      <c r="C855" s="78">
        <v>9990</v>
      </c>
      <c r="D855" s="78">
        <v>736</v>
      </c>
      <c r="E855" s="78">
        <v>4407</v>
      </c>
      <c r="F855" s="78">
        <v>1689</v>
      </c>
      <c r="G855" s="78">
        <v>6128</v>
      </c>
      <c r="H855" s="78">
        <v>966</v>
      </c>
      <c r="I855" s="78">
        <v>3213</v>
      </c>
      <c r="J855" s="78">
        <v>77</v>
      </c>
      <c r="K855" s="78">
        <v>898</v>
      </c>
      <c r="L855" s="78">
        <v>6658</v>
      </c>
      <c r="M855" s="78">
        <v>24636</v>
      </c>
      <c r="N855" s="78">
        <v>19316</v>
      </c>
      <c r="O855" s="78">
        <v>30107</v>
      </c>
      <c r="P855" s="78">
        <v>6977</v>
      </c>
      <c r="Q855" s="78">
        <v>18083</v>
      </c>
      <c r="R855" s="16">
        <f t="shared" si="45"/>
        <v>32951</v>
      </c>
    </row>
    <row r="856" spans="1:18" ht="15.6" x14ac:dyDescent="0.3">
      <c r="A856" s="10">
        <v>39856</v>
      </c>
      <c r="B856" s="78">
        <v>1232</v>
      </c>
      <c r="C856" s="6">
        <v>9271</v>
      </c>
      <c r="D856" s="6">
        <v>733</v>
      </c>
      <c r="E856" s="6">
        <v>4051</v>
      </c>
      <c r="F856" s="6">
        <v>858</v>
      </c>
      <c r="G856" s="6">
        <v>4007</v>
      </c>
      <c r="H856" s="6">
        <v>768</v>
      </c>
      <c r="I856" s="6">
        <v>2197</v>
      </c>
      <c r="J856" s="6">
        <v>53</v>
      </c>
      <c r="K856" s="6">
        <v>359</v>
      </c>
      <c r="L856" s="6">
        <v>3643</v>
      </c>
      <c r="M856" s="6">
        <v>19884</v>
      </c>
      <c r="N856" s="6">
        <v>9894</v>
      </c>
      <c r="O856" s="6">
        <v>17857</v>
      </c>
      <c r="P856" s="78">
        <v>5870</v>
      </c>
      <c r="Q856" s="6">
        <v>20724</v>
      </c>
      <c r="R856" s="16">
        <f t="shared" si="45"/>
        <v>19407</v>
      </c>
    </row>
    <row r="857" spans="1:18" ht="15.6" x14ac:dyDescent="0.3">
      <c r="A857" s="10">
        <v>39499</v>
      </c>
      <c r="B857" s="78">
        <v>3187</v>
      </c>
      <c r="C857" s="78">
        <v>10141</v>
      </c>
      <c r="D857" s="78">
        <v>746</v>
      </c>
      <c r="E857" s="78">
        <v>4454</v>
      </c>
      <c r="F857" s="78">
        <v>1586</v>
      </c>
      <c r="G857" s="78">
        <v>6300</v>
      </c>
      <c r="H857" s="78">
        <v>860</v>
      </c>
      <c r="I857" s="78">
        <v>3325</v>
      </c>
      <c r="J857" s="78">
        <v>77</v>
      </c>
      <c r="K857" s="78">
        <v>926</v>
      </c>
      <c r="L857" s="78">
        <v>6456</v>
      </c>
      <c r="M857" s="78">
        <v>25146</v>
      </c>
      <c r="N857" s="78">
        <v>18670</v>
      </c>
      <c r="O857" s="78">
        <v>31355</v>
      </c>
      <c r="P857" s="78">
        <v>6893</v>
      </c>
      <c r="Q857" s="78">
        <v>18750</v>
      </c>
      <c r="R857" s="16">
        <f t="shared" si="45"/>
        <v>32019</v>
      </c>
    </row>
    <row r="858" spans="1:18" ht="15.6" x14ac:dyDescent="0.3">
      <c r="A858" s="10">
        <v>39863</v>
      </c>
      <c r="B858" s="78">
        <v>1344</v>
      </c>
      <c r="C858" s="6">
        <v>9346</v>
      </c>
      <c r="D858" s="6">
        <v>765</v>
      </c>
      <c r="E858" s="6">
        <v>4081</v>
      </c>
      <c r="F858" s="6">
        <v>900</v>
      </c>
      <c r="G858" s="6">
        <v>4070</v>
      </c>
      <c r="H858" s="6">
        <v>751</v>
      </c>
      <c r="I858" s="6">
        <v>2324</v>
      </c>
      <c r="J858" s="6">
        <v>51</v>
      </c>
      <c r="K858" s="6">
        <v>360</v>
      </c>
      <c r="L858" s="6">
        <v>3811</v>
      </c>
      <c r="M858" s="6">
        <v>20181</v>
      </c>
      <c r="N858" s="6">
        <v>9572</v>
      </c>
      <c r="O858" s="6">
        <v>18629</v>
      </c>
      <c r="P858" s="78">
        <v>5301</v>
      </c>
      <c r="Q858" s="6">
        <v>21632</v>
      </c>
      <c r="R858" s="16">
        <f t="shared" si="45"/>
        <v>18684</v>
      </c>
    </row>
    <row r="859" spans="1:18" ht="15.6" x14ac:dyDescent="0.3">
      <c r="A859" s="10">
        <v>39506</v>
      </c>
      <c r="B859" s="78">
        <v>3297</v>
      </c>
      <c r="C859" s="78">
        <v>10381</v>
      </c>
      <c r="D859" s="78">
        <v>746</v>
      </c>
      <c r="E859" s="78">
        <v>4537</v>
      </c>
      <c r="F859" s="78">
        <v>1480</v>
      </c>
      <c r="G859" s="78">
        <v>6398</v>
      </c>
      <c r="H859" s="78">
        <v>818</v>
      </c>
      <c r="I859" s="78">
        <v>3369</v>
      </c>
      <c r="J859" s="78">
        <v>67</v>
      </c>
      <c r="K859" s="78">
        <v>941</v>
      </c>
      <c r="L859" s="78">
        <v>6409</v>
      </c>
      <c r="M859" s="78">
        <v>25626</v>
      </c>
      <c r="N859" s="78">
        <v>17986</v>
      </c>
      <c r="O859" s="78">
        <v>32687</v>
      </c>
      <c r="P859" s="78">
        <v>6138</v>
      </c>
      <c r="Q859" s="78">
        <v>19709</v>
      </c>
      <c r="R859" s="16">
        <f t="shared" si="45"/>
        <v>30533</v>
      </c>
    </row>
    <row r="860" spans="1:18" ht="15.6" x14ac:dyDescent="0.3">
      <c r="A860" s="10">
        <v>39870</v>
      </c>
      <c r="B860" s="78">
        <v>1289</v>
      </c>
      <c r="C860" s="6">
        <v>9473</v>
      </c>
      <c r="D860" s="6">
        <v>729</v>
      </c>
      <c r="E860" s="6">
        <v>4160</v>
      </c>
      <c r="F860" s="6">
        <v>954</v>
      </c>
      <c r="G860" s="6">
        <v>4099</v>
      </c>
      <c r="H860" s="6">
        <v>822</v>
      </c>
      <c r="I860" s="6">
        <v>2341</v>
      </c>
      <c r="J860" s="6">
        <v>51</v>
      </c>
      <c r="K860" s="6">
        <v>360</v>
      </c>
      <c r="L860" s="6">
        <v>3844</v>
      </c>
      <c r="M860" s="6">
        <v>20433</v>
      </c>
      <c r="N860" s="6">
        <v>9455</v>
      </c>
      <c r="O860" s="6">
        <v>19537</v>
      </c>
      <c r="P860" s="78">
        <v>4705</v>
      </c>
      <c r="Q860" s="6">
        <v>22384</v>
      </c>
      <c r="R860" s="16">
        <f t="shared" si="45"/>
        <v>18004</v>
      </c>
    </row>
    <row r="861" spans="1:18" ht="15.6" x14ac:dyDescent="0.3">
      <c r="A861" s="10">
        <v>39513</v>
      </c>
      <c r="B861" s="78">
        <v>3224</v>
      </c>
      <c r="C861" s="78">
        <v>10602</v>
      </c>
      <c r="D861" s="78">
        <v>678</v>
      </c>
      <c r="E861" s="78">
        <v>4613</v>
      </c>
      <c r="F861" s="78">
        <v>1388</v>
      </c>
      <c r="G861" s="78">
        <v>6534</v>
      </c>
      <c r="H861" s="78">
        <v>747</v>
      </c>
      <c r="I861" s="78">
        <v>3427</v>
      </c>
      <c r="J861" s="78">
        <v>76</v>
      </c>
      <c r="K861" s="78">
        <v>956</v>
      </c>
      <c r="L861" s="78">
        <v>6113</v>
      </c>
      <c r="M861" s="78">
        <v>26132</v>
      </c>
      <c r="N861" s="78">
        <v>17692</v>
      </c>
      <c r="O861" s="78">
        <v>33749</v>
      </c>
      <c r="P861" s="78">
        <v>5509</v>
      </c>
      <c r="Q861" s="78">
        <v>20595</v>
      </c>
      <c r="R861" s="16">
        <f t="shared" si="45"/>
        <v>29314</v>
      </c>
    </row>
    <row r="862" spans="1:18" ht="15.6" x14ac:dyDescent="0.3">
      <c r="A862" s="10">
        <v>39877</v>
      </c>
      <c r="B862" s="78">
        <v>1240</v>
      </c>
      <c r="C862" s="6">
        <v>9640</v>
      </c>
      <c r="D862" s="6">
        <v>758</v>
      </c>
      <c r="E862" s="6">
        <v>4193</v>
      </c>
      <c r="F862" s="6">
        <v>915</v>
      </c>
      <c r="G862" s="6">
        <v>4257</v>
      </c>
      <c r="H862" s="6">
        <v>764</v>
      </c>
      <c r="I862" s="6">
        <v>2436</v>
      </c>
      <c r="J862" s="6">
        <v>79</v>
      </c>
      <c r="K862" s="6">
        <v>360</v>
      </c>
      <c r="L862" s="6">
        <v>3755</v>
      </c>
      <c r="M862" s="6">
        <v>20885</v>
      </c>
      <c r="N862" s="6">
        <v>9478</v>
      </c>
      <c r="O862" s="6">
        <v>20606</v>
      </c>
      <c r="P862" s="78">
        <v>4656</v>
      </c>
      <c r="Q862" s="6">
        <v>23270</v>
      </c>
      <c r="R862" s="16">
        <f t="shared" si="45"/>
        <v>17889</v>
      </c>
    </row>
    <row r="863" spans="1:18" ht="15.6" x14ac:dyDescent="0.3">
      <c r="A863" s="10">
        <v>39520</v>
      </c>
      <c r="B863" s="78">
        <v>2794</v>
      </c>
      <c r="C863" s="78">
        <v>10921</v>
      </c>
      <c r="D863" s="78">
        <v>664</v>
      </c>
      <c r="E863" s="78">
        <v>4771</v>
      </c>
      <c r="F863" s="78">
        <v>1304</v>
      </c>
      <c r="G863" s="78">
        <v>6599</v>
      </c>
      <c r="H863" s="78">
        <v>728</v>
      </c>
      <c r="I863" s="78">
        <v>3449</v>
      </c>
      <c r="J863" s="78">
        <v>76</v>
      </c>
      <c r="K863" s="78">
        <v>956</v>
      </c>
      <c r="L863" s="78">
        <v>5566</v>
      </c>
      <c r="M863" s="78">
        <v>26696</v>
      </c>
      <c r="N863" s="78">
        <v>16969</v>
      </c>
      <c r="O863" s="78">
        <v>35222</v>
      </c>
      <c r="P863" s="78">
        <v>5191</v>
      </c>
      <c r="Q863" s="78">
        <v>21351</v>
      </c>
      <c r="R863" s="16">
        <f t="shared" si="45"/>
        <v>27726</v>
      </c>
    </row>
    <row r="864" spans="1:18" ht="15.6" x14ac:dyDescent="0.3">
      <c r="A864" s="10">
        <v>39884</v>
      </c>
      <c r="B864" s="78">
        <v>1166</v>
      </c>
      <c r="C864" s="6">
        <v>9770</v>
      </c>
      <c r="D864" s="6">
        <v>717</v>
      </c>
      <c r="E864" s="6">
        <v>4262</v>
      </c>
      <c r="F864" s="6">
        <v>934</v>
      </c>
      <c r="G864" s="6">
        <v>4310</v>
      </c>
      <c r="H864" s="6">
        <v>762</v>
      </c>
      <c r="I864" s="6">
        <v>2495</v>
      </c>
      <c r="J864" s="6">
        <v>79</v>
      </c>
      <c r="K864" s="6">
        <v>360</v>
      </c>
      <c r="L864" s="6">
        <v>3658</v>
      </c>
      <c r="M864" s="6">
        <v>21197</v>
      </c>
      <c r="N864" s="6">
        <v>8986</v>
      </c>
      <c r="O864" s="6">
        <v>21540</v>
      </c>
      <c r="P864" s="78">
        <v>4170</v>
      </c>
      <c r="Q864" s="6">
        <v>23899</v>
      </c>
      <c r="R864" s="16">
        <f t="shared" si="45"/>
        <v>16814</v>
      </c>
    </row>
    <row r="865" spans="1:18" ht="15.6" x14ac:dyDescent="0.3">
      <c r="A865" s="10">
        <v>39527</v>
      </c>
      <c r="B865" s="78">
        <v>2704</v>
      </c>
      <c r="C865" s="78">
        <v>11126</v>
      </c>
      <c r="D865" s="78">
        <v>761</v>
      </c>
      <c r="E865" s="78">
        <v>4795</v>
      </c>
      <c r="F865" s="78">
        <v>1200</v>
      </c>
      <c r="G865" s="78">
        <v>6760</v>
      </c>
      <c r="H865" s="78">
        <v>696</v>
      </c>
      <c r="I865" s="78">
        <v>3566</v>
      </c>
      <c r="J865" s="78">
        <v>53</v>
      </c>
      <c r="K865" s="78">
        <v>980</v>
      </c>
      <c r="L865" s="78">
        <v>5414</v>
      </c>
      <c r="M865" s="78">
        <v>27228</v>
      </c>
      <c r="N865" s="78">
        <v>16312</v>
      </c>
      <c r="O865" s="78">
        <v>36511</v>
      </c>
      <c r="P865" s="78">
        <v>4924</v>
      </c>
      <c r="Q865" s="78">
        <v>21988</v>
      </c>
      <c r="R865" s="16">
        <f t="shared" si="45"/>
        <v>26650</v>
      </c>
    </row>
    <row r="866" spans="1:18" ht="15.6" x14ac:dyDescent="0.3">
      <c r="A866" s="10">
        <v>39891</v>
      </c>
      <c r="B866" s="78">
        <v>1091</v>
      </c>
      <c r="C866" s="6">
        <v>9968</v>
      </c>
      <c r="D866" s="6">
        <v>556</v>
      </c>
      <c r="E866" s="6">
        <v>4458</v>
      </c>
      <c r="F866" s="6">
        <v>930</v>
      </c>
      <c r="G866" s="6">
        <v>4381</v>
      </c>
      <c r="H866" s="6">
        <v>673</v>
      </c>
      <c r="I866" s="6">
        <v>2622</v>
      </c>
      <c r="J866" s="6">
        <v>79</v>
      </c>
      <c r="K866" s="6">
        <v>362</v>
      </c>
      <c r="L866" s="6">
        <v>3329</v>
      </c>
      <c r="M866" s="6">
        <v>21790</v>
      </c>
      <c r="N866" s="6">
        <v>9400</v>
      </c>
      <c r="O866" s="6">
        <v>22316</v>
      </c>
      <c r="P866" s="78">
        <v>4105</v>
      </c>
      <c r="Q866" s="6">
        <v>24393</v>
      </c>
      <c r="R866" s="16">
        <f t="shared" si="45"/>
        <v>16834</v>
      </c>
    </row>
    <row r="867" spans="1:18" ht="15.6" x14ac:dyDescent="0.3">
      <c r="A867" s="10">
        <v>39534</v>
      </c>
      <c r="B867" s="78">
        <v>2557</v>
      </c>
      <c r="C867" s="78">
        <v>11318</v>
      </c>
      <c r="D867" s="78">
        <v>914</v>
      </c>
      <c r="E867" s="78">
        <v>4826</v>
      </c>
      <c r="F867" s="78">
        <v>1052</v>
      </c>
      <c r="G867" s="78">
        <v>6931</v>
      </c>
      <c r="H867" s="78">
        <v>627</v>
      </c>
      <c r="I867" s="78">
        <v>3652</v>
      </c>
      <c r="J867" s="78">
        <v>53</v>
      </c>
      <c r="K867" s="78">
        <v>980</v>
      </c>
      <c r="L867" s="78">
        <v>5203</v>
      </c>
      <c r="M867" s="78">
        <v>27706</v>
      </c>
      <c r="N867" s="78">
        <v>15871</v>
      </c>
      <c r="O867" s="78">
        <v>37651</v>
      </c>
      <c r="P867" s="78">
        <v>4381</v>
      </c>
      <c r="Q867" s="78">
        <v>22716</v>
      </c>
      <c r="R867" s="16">
        <f t="shared" si="45"/>
        <v>25455</v>
      </c>
    </row>
    <row r="868" spans="1:18" ht="15.6" x14ac:dyDescent="0.3">
      <c r="A868" s="10">
        <v>39898</v>
      </c>
      <c r="B868" s="78">
        <v>1010</v>
      </c>
      <c r="C868" s="6">
        <v>10115</v>
      </c>
      <c r="D868" s="6">
        <v>486</v>
      </c>
      <c r="E868" s="6">
        <v>4541</v>
      </c>
      <c r="F868" s="6">
        <v>965</v>
      </c>
      <c r="G868" s="6">
        <v>4469</v>
      </c>
      <c r="H868" s="6">
        <v>709</v>
      </c>
      <c r="I868" s="6">
        <v>2677</v>
      </c>
      <c r="J868" s="6">
        <v>66</v>
      </c>
      <c r="K868" s="6">
        <v>365</v>
      </c>
      <c r="L868" s="6">
        <v>3236</v>
      </c>
      <c r="M868" s="6">
        <v>22167</v>
      </c>
      <c r="N868" s="6">
        <v>9657</v>
      </c>
      <c r="O868" s="6">
        <v>23310</v>
      </c>
      <c r="P868" s="78">
        <v>3955</v>
      </c>
      <c r="Q868" s="6">
        <v>25144</v>
      </c>
      <c r="R868" s="16">
        <f t="shared" si="45"/>
        <v>16848</v>
      </c>
    </row>
    <row r="869" spans="1:18" ht="15.6" x14ac:dyDescent="0.3">
      <c r="A869" s="10">
        <v>39541</v>
      </c>
      <c r="B869" s="78">
        <v>2431</v>
      </c>
      <c r="C869" s="78">
        <v>11743</v>
      </c>
      <c r="D869" s="78">
        <v>786</v>
      </c>
      <c r="E869" s="78">
        <v>4993</v>
      </c>
      <c r="F869" s="78">
        <v>1023</v>
      </c>
      <c r="G869" s="78">
        <v>7029</v>
      </c>
      <c r="H869" s="78">
        <v>580</v>
      </c>
      <c r="I869" s="78">
        <v>3710</v>
      </c>
      <c r="J869" s="78">
        <v>77</v>
      </c>
      <c r="K869" s="78">
        <v>992</v>
      </c>
      <c r="L869" s="78">
        <v>4897</v>
      </c>
      <c r="M869" s="78">
        <v>28466</v>
      </c>
      <c r="N869" s="78">
        <v>15090</v>
      </c>
      <c r="O869" s="78">
        <v>38906</v>
      </c>
      <c r="P869" s="78">
        <v>4538</v>
      </c>
      <c r="Q869" s="78">
        <v>23142</v>
      </c>
      <c r="R869" s="16">
        <f t="shared" si="45"/>
        <v>24525</v>
      </c>
    </row>
    <row r="870" spans="1:18" ht="15.6" x14ac:dyDescent="0.3">
      <c r="A870" s="10">
        <v>39905</v>
      </c>
      <c r="B870" s="78">
        <v>965</v>
      </c>
      <c r="C870" s="6">
        <v>10252</v>
      </c>
      <c r="D870" s="6">
        <v>401</v>
      </c>
      <c r="E870" s="6">
        <v>4656</v>
      </c>
      <c r="F870" s="6">
        <v>899</v>
      </c>
      <c r="G870" s="6">
        <v>4582</v>
      </c>
      <c r="H870" s="6">
        <v>586</v>
      </c>
      <c r="I870" s="6">
        <v>2822</v>
      </c>
      <c r="J870" s="6">
        <v>66</v>
      </c>
      <c r="K870" s="6">
        <v>365</v>
      </c>
      <c r="L870" s="6">
        <v>2916</v>
      </c>
      <c r="M870" s="6">
        <v>22675</v>
      </c>
      <c r="N870" s="6">
        <v>9664</v>
      </c>
      <c r="O870" s="6">
        <v>24367</v>
      </c>
      <c r="P870" s="78">
        <v>3802</v>
      </c>
      <c r="Q870" s="6">
        <v>25728</v>
      </c>
      <c r="R870" s="16">
        <f t="shared" si="45"/>
        <v>16382</v>
      </c>
    </row>
    <row r="871" spans="1:18" ht="15.6" x14ac:dyDescent="0.3">
      <c r="A871" s="10">
        <v>39548</v>
      </c>
      <c r="B871" s="78">
        <v>2341</v>
      </c>
      <c r="C871" s="78">
        <v>11941</v>
      </c>
      <c r="D871" s="78">
        <v>737</v>
      </c>
      <c r="E871" s="78">
        <v>5073</v>
      </c>
      <c r="F871" s="78">
        <v>972</v>
      </c>
      <c r="G871" s="78">
        <v>7060</v>
      </c>
      <c r="H871" s="78">
        <v>571</v>
      </c>
      <c r="I871" s="78">
        <v>3722</v>
      </c>
      <c r="J871" s="78">
        <v>83</v>
      </c>
      <c r="K871" s="78">
        <v>992</v>
      </c>
      <c r="L871" s="78">
        <v>4704</v>
      </c>
      <c r="M871" s="78">
        <v>28788</v>
      </c>
      <c r="N871" s="78">
        <v>14848</v>
      </c>
      <c r="O871" s="78">
        <v>40018</v>
      </c>
      <c r="P871" s="78">
        <v>4607</v>
      </c>
      <c r="Q871" s="78">
        <v>23550</v>
      </c>
      <c r="R871" s="16">
        <f t="shared" si="45"/>
        <v>24159</v>
      </c>
    </row>
    <row r="872" spans="1:18" ht="15.6" x14ac:dyDescent="0.3">
      <c r="A872" s="10">
        <v>39912</v>
      </c>
      <c r="B872" s="78">
        <v>814</v>
      </c>
      <c r="C872" s="6">
        <v>10434</v>
      </c>
      <c r="D872" s="6">
        <v>370</v>
      </c>
      <c r="E872" s="6">
        <v>4706</v>
      </c>
      <c r="F872" s="6">
        <v>769</v>
      </c>
      <c r="G872" s="6">
        <v>4721</v>
      </c>
      <c r="H872" s="6">
        <v>533</v>
      </c>
      <c r="I872" s="6">
        <v>2919</v>
      </c>
      <c r="J872" s="6">
        <v>66</v>
      </c>
      <c r="K872" s="6">
        <v>382</v>
      </c>
      <c r="L872" s="6">
        <v>2551</v>
      </c>
      <c r="M872" s="6">
        <v>23162</v>
      </c>
      <c r="N872" s="6">
        <v>9679</v>
      </c>
      <c r="O872" s="6">
        <v>25231</v>
      </c>
      <c r="P872" s="78">
        <v>4073</v>
      </c>
      <c r="Q872" s="6">
        <v>26265</v>
      </c>
      <c r="R872" s="16">
        <f t="shared" si="45"/>
        <v>16303</v>
      </c>
    </row>
    <row r="873" spans="1:18" ht="15.6" x14ac:dyDescent="0.3">
      <c r="A873" s="10">
        <v>39555</v>
      </c>
      <c r="B873" s="78">
        <v>2136</v>
      </c>
      <c r="C873" s="78">
        <v>12265</v>
      </c>
      <c r="D873" s="78">
        <v>734</v>
      </c>
      <c r="E873" s="78">
        <v>5080</v>
      </c>
      <c r="F873" s="78">
        <v>893</v>
      </c>
      <c r="G873" s="78">
        <v>7174</v>
      </c>
      <c r="H873" s="78">
        <v>482</v>
      </c>
      <c r="I873" s="78">
        <v>3794</v>
      </c>
      <c r="J873" s="78">
        <v>67</v>
      </c>
      <c r="K873" s="78">
        <v>1026</v>
      </c>
      <c r="L873" s="78">
        <v>4312</v>
      </c>
      <c r="M873" s="78">
        <v>29339</v>
      </c>
      <c r="N873" s="78">
        <v>14512</v>
      </c>
      <c r="O873" s="78">
        <v>41128</v>
      </c>
      <c r="P873" s="78">
        <v>4444</v>
      </c>
      <c r="Q873" s="78">
        <v>24090</v>
      </c>
      <c r="R873" s="16">
        <f t="shared" si="45"/>
        <v>23268</v>
      </c>
    </row>
    <row r="874" spans="1:18" ht="15.6" x14ac:dyDescent="0.3">
      <c r="A874" s="10">
        <v>39919</v>
      </c>
      <c r="B874" s="78">
        <v>906</v>
      </c>
      <c r="C874" s="6">
        <v>10505</v>
      </c>
      <c r="D874" s="6">
        <v>312</v>
      </c>
      <c r="E874" s="6">
        <v>4798</v>
      </c>
      <c r="F874" s="6">
        <v>668</v>
      </c>
      <c r="G874" s="6">
        <v>4854</v>
      </c>
      <c r="H874" s="6">
        <v>469</v>
      </c>
      <c r="I874" s="6">
        <v>2987</v>
      </c>
      <c r="J874" s="6">
        <v>43</v>
      </c>
      <c r="K874" s="6">
        <v>405</v>
      </c>
      <c r="L874" s="6">
        <v>2396</v>
      </c>
      <c r="M874" s="6">
        <v>23549</v>
      </c>
      <c r="N874" s="6">
        <v>9866</v>
      </c>
      <c r="O874" s="6">
        <v>26248</v>
      </c>
      <c r="P874" s="78">
        <v>4029</v>
      </c>
      <c r="Q874" s="6">
        <v>26926</v>
      </c>
      <c r="R874" s="16">
        <f t="shared" si="45"/>
        <v>16291</v>
      </c>
    </row>
    <row r="875" spans="1:18" ht="15.6" x14ac:dyDescent="0.3">
      <c r="A875" s="10">
        <v>39562</v>
      </c>
      <c r="B875" s="78">
        <v>1888</v>
      </c>
      <c r="C875" s="78">
        <v>12573</v>
      </c>
      <c r="D875" s="78">
        <v>786</v>
      </c>
      <c r="E875" s="78">
        <v>5109</v>
      </c>
      <c r="F875" s="78">
        <v>860</v>
      </c>
      <c r="G875" s="78">
        <v>7229</v>
      </c>
      <c r="H875" s="78">
        <v>317</v>
      </c>
      <c r="I875" s="78">
        <v>3971</v>
      </c>
      <c r="J875" s="78">
        <v>63</v>
      </c>
      <c r="K875" s="78">
        <v>1032</v>
      </c>
      <c r="L875" s="78">
        <v>3913</v>
      </c>
      <c r="M875" s="78">
        <v>29914</v>
      </c>
      <c r="N875" s="78">
        <v>14060</v>
      </c>
      <c r="O875" s="78">
        <v>42132</v>
      </c>
      <c r="P875" s="78">
        <v>4210</v>
      </c>
      <c r="Q875" s="78">
        <v>24635</v>
      </c>
      <c r="R875" s="16">
        <f t="shared" si="45"/>
        <v>22183</v>
      </c>
    </row>
    <row r="876" spans="1:18" ht="15.6" x14ac:dyDescent="0.3">
      <c r="A876" s="10">
        <v>39926</v>
      </c>
      <c r="B876" s="78">
        <v>755</v>
      </c>
      <c r="C876" s="6">
        <v>10664</v>
      </c>
      <c r="D876" s="6">
        <v>291</v>
      </c>
      <c r="E876" s="6">
        <v>4839</v>
      </c>
      <c r="F876" s="6">
        <v>583</v>
      </c>
      <c r="G876" s="6">
        <v>4979</v>
      </c>
      <c r="H876" s="6">
        <v>515</v>
      </c>
      <c r="I876" s="6">
        <v>3013</v>
      </c>
      <c r="J876" s="6">
        <v>32</v>
      </c>
      <c r="K876" s="6">
        <v>417</v>
      </c>
      <c r="L876" s="6">
        <v>2175</v>
      </c>
      <c r="M876" s="6">
        <v>23912</v>
      </c>
      <c r="N876" s="6">
        <v>10253</v>
      </c>
      <c r="O876" s="6">
        <v>27086</v>
      </c>
      <c r="P876" s="78">
        <v>4583</v>
      </c>
      <c r="Q876" s="6">
        <v>27206</v>
      </c>
      <c r="R876" s="16">
        <f t="shared" si="45"/>
        <v>17011</v>
      </c>
    </row>
    <row r="877" spans="1:18" ht="15.6" x14ac:dyDescent="0.3">
      <c r="A877" s="10">
        <v>39569</v>
      </c>
      <c r="B877" s="78">
        <v>1683</v>
      </c>
      <c r="C877" s="78">
        <v>12867</v>
      </c>
      <c r="D877" s="78">
        <v>743</v>
      </c>
      <c r="E877" s="78">
        <v>5195</v>
      </c>
      <c r="F877" s="78">
        <v>712</v>
      </c>
      <c r="G877" s="78">
        <v>7393</v>
      </c>
      <c r="H877" s="78">
        <v>257</v>
      </c>
      <c r="I877" s="78">
        <v>4035</v>
      </c>
      <c r="J877" s="78">
        <v>64</v>
      </c>
      <c r="K877" s="78">
        <v>1032</v>
      </c>
      <c r="L877" s="78">
        <v>3460</v>
      </c>
      <c r="M877" s="78">
        <v>30521</v>
      </c>
      <c r="N877" s="78">
        <v>13460</v>
      </c>
      <c r="O877" s="78">
        <v>43069</v>
      </c>
      <c r="P877" s="78">
        <v>3889</v>
      </c>
      <c r="Q877" s="78">
        <v>24997</v>
      </c>
      <c r="R877" s="16">
        <f t="shared" si="45"/>
        <v>20809</v>
      </c>
    </row>
    <row r="878" spans="1:18" ht="15.6" x14ac:dyDescent="0.3">
      <c r="A878" s="10">
        <v>39933</v>
      </c>
      <c r="B878" s="78">
        <v>693</v>
      </c>
      <c r="C878" s="6">
        <v>10775</v>
      </c>
      <c r="D878" s="6">
        <v>275</v>
      </c>
      <c r="E878" s="6">
        <v>4872</v>
      </c>
      <c r="F878" s="6">
        <v>613</v>
      </c>
      <c r="G878" s="6">
        <v>5055</v>
      </c>
      <c r="H878" s="6">
        <v>552</v>
      </c>
      <c r="I878" s="6">
        <v>3059</v>
      </c>
      <c r="J878" s="6">
        <v>29</v>
      </c>
      <c r="K878" s="6">
        <v>420</v>
      </c>
      <c r="L878" s="6">
        <v>2161</v>
      </c>
      <c r="M878" s="6">
        <v>24181</v>
      </c>
      <c r="N878" s="6">
        <v>10052</v>
      </c>
      <c r="O878" s="6">
        <v>27876</v>
      </c>
      <c r="P878" s="78">
        <v>4851</v>
      </c>
      <c r="Q878" s="6">
        <v>27593</v>
      </c>
      <c r="R878" s="16">
        <f t="shared" si="45"/>
        <v>17064</v>
      </c>
    </row>
    <row r="879" spans="1:18" ht="15.6" x14ac:dyDescent="0.3">
      <c r="A879" s="10">
        <v>39576</v>
      </c>
      <c r="B879" s="78">
        <v>1484</v>
      </c>
      <c r="C879" s="78">
        <v>13066</v>
      </c>
      <c r="D879" s="78">
        <v>715</v>
      </c>
      <c r="E879" s="78">
        <v>5348</v>
      </c>
      <c r="F879" s="78">
        <v>534</v>
      </c>
      <c r="G879" s="78">
        <v>7567</v>
      </c>
      <c r="H879" s="78">
        <v>209</v>
      </c>
      <c r="I879" s="78">
        <v>4084</v>
      </c>
      <c r="J879" s="78">
        <v>38</v>
      </c>
      <c r="K879" s="78">
        <v>1057</v>
      </c>
      <c r="L879" s="78">
        <v>2980</v>
      </c>
      <c r="M879" s="78">
        <v>31121</v>
      </c>
      <c r="N879" s="78">
        <v>13012</v>
      </c>
      <c r="O879" s="78">
        <v>44064</v>
      </c>
      <c r="P879" s="78">
        <v>3603</v>
      </c>
      <c r="Q879" s="78">
        <v>25484</v>
      </c>
      <c r="R879" s="16">
        <f t="shared" si="45"/>
        <v>19595</v>
      </c>
    </row>
    <row r="880" spans="1:18" ht="15.6" x14ac:dyDescent="0.3">
      <c r="A880" s="10">
        <v>39940</v>
      </c>
      <c r="B880" s="78">
        <v>660</v>
      </c>
      <c r="C880" s="6">
        <v>10884</v>
      </c>
      <c r="D880" s="6">
        <v>208</v>
      </c>
      <c r="E880" s="6">
        <v>4943</v>
      </c>
      <c r="F880" s="6">
        <v>525</v>
      </c>
      <c r="G880" s="6">
        <v>5158</v>
      </c>
      <c r="H880" s="6">
        <v>532</v>
      </c>
      <c r="I880" s="6">
        <v>3087</v>
      </c>
      <c r="J880" s="6">
        <v>29</v>
      </c>
      <c r="K880" s="6">
        <v>420</v>
      </c>
      <c r="L880" s="6">
        <v>1953</v>
      </c>
      <c r="M880" s="6">
        <v>24492</v>
      </c>
      <c r="N880" s="6">
        <v>9717</v>
      </c>
      <c r="O880" s="6">
        <v>29149</v>
      </c>
      <c r="P880" s="78">
        <v>4811</v>
      </c>
      <c r="Q880" s="6">
        <v>28035</v>
      </c>
      <c r="R880" s="16">
        <f t="shared" si="45"/>
        <v>16481</v>
      </c>
    </row>
    <row r="881" spans="1:18" ht="15.6" x14ac:dyDescent="0.3">
      <c r="A881" s="10">
        <v>39583</v>
      </c>
      <c r="B881" s="78">
        <v>1362</v>
      </c>
      <c r="C881" s="78">
        <v>13249</v>
      </c>
      <c r="D881" s="78">
        <v>720</v>
      </c>
      <c r="E881" s="78">
        <v>5380</v>
      </c>
      <c r="F881" s="78">
        <v>485</v>
      </c>
      <c r="G881" s="78">
        <v>7615</v>
      </c>
      <c r="H881" s="78">
        <v>160</v>
      </c>
      <c r="I881" s="78">
        <v>4134</v>
      </c>
      <c r="J881" s="78">
        <v>26</v>
      </c>
      <c r="K881" s="78">
        <v>1069</v>
      </c>
      <c r="L881" s="78">
        <v>2752</v>
      </c>
      <c r="M881" s="78">
        <v>31448</v>
      </c>
      <c r="N881" s="78">
        <v>12775</v>
      </c>
      <c r="O881" s="78">
        <v>44808</v>
      </c>
      <c r="P881" s="78">
        <v>3714</v>
      </c>
      <c r="Q881" s="78">
        <v>25756</v>
      </c>
      <c r="R881" s="16">
        <f t="shared" si="45"/>
        <v>19241</v>
      </c>
    </row>
    <row r="882" spans="1:18" ht="15.6" x14ac:dyDescent="0.3">
      <c r="A882" s="10">
        <v>39947</v>
      </c>
      <c r="B882" s="78">
        <v>619</v>
      </c>
      <c r="C882" s="6">
        <v>10969</v>
      </c>
      <c r="D882" s="6">
        <v>180</v>
      </c>
      <c r="E882" s="6">
        <v>4996</v>
      </c>
      <c r="F882" s="6">
        <v>353</v>
      </c>
      <c r="G882" s="6">
        <v>5315</v>
      </c>
      <c r="H882" s="6">
        <v>389</v>
      </c>
      <c r="I882" s="6">
        <v>3159</v>
      </c>
      <c r="J882" s="6">
        <v>20</v>
      </c>
      <c r="K882" s="6">
        <v>440</v>
      </c>
      <c r="L882" s="6">
        <v>1561</v>
      </c>
      <c r="M882" s="6">
        <v>24878</v>
      </c>
      <c r="N882" s="6">
        <v>9692</v>
      </c>
      <c r="O882" s="6">
        <v>29857</v>
      </c>
      <c r="P882" s="78">
        <v>5098</v>
      </c>
      <c r="Q882" s="6">
        <v>28448</v>
      </c>
      <c r="R882" s="16">
        <f t="shared" si="45"/>
        <v>16351</v>
      </c>
    </row>
    <row r="883" spans="1:18" ht="15.6" x14ac:dyDescent="0.3">
      <c r="A883" s="10">
        <v>39590</v>
      </c>
      <c r="B883" s="78">
        <v>891</v>
      </c>
      <c r="C883" s="78">
        <v>13415</v>
      </c>
      <c r="D883" s="78">
        <v>603</v>
      </c>
      <c r="E883" s="78">
        <v>5475</v>
      </c>
      <c r="F883" s="78">
        <v>387</v>
      </c>
      <c r="G883" s="78">
        <v>7699</v>
      </c>
      <c r="H883" s="78">
        <v>137</v>
      </c>
      <c r="I883" s="78">
        <v>4156</v>
      </c>
      <c r="J883" s="78">
        <v>26</v>
      </c>
      <c r="K883" s="78">
        <v>1069</v>
      </c>
      <c r="L883" s="78">
        <v>2044</v>
      </c>
      <c r="M883" s="78">
        <v>31815</v>
      </c>
      <c r="N883" s="78">
        <v>12180</v>
      </c>
      <c r="O883" s="78">
        <v>45881</v>
      </c>
      <c r="P883" s="78">
        <v>3575</v>
      </c>
      <c r="Q883" s="78">
        <v>26141</v>
      </c>
      <c r="R883" s="16">
        <f t="shared" si="45"/>
        <v>17799</v>
      </c>
    </row>
    <row r="884" spans="1:18" ht="15.6" x14ac:dyDescent="0.3">
      <c r="A884" s="10">
        <v>39954</v>
      </c>
      <c r="B884" s="78">
        <v>461</v>
      </c>
      <c r="C884" s="6">
        <v>11138</v>
      </c>
      <c r="D884" s="6">
        <v>145</v>
      </c>
      <c r="E884" s="6">
        <v>5051</v>
      </c>
      <c r="F884" s="6">
        <v>361</v>
      </c>
      <c r="G884" s="6">
        <v>5350</v>
      </c>
      <c r="H884" s="6">
        <v>232</v>
      </c>
      <c r="I884" s="6">
        <v>3345</v>
      </c>
      <c r="J884" s="6">
        <v>5</v>
      </c>
      <c r="K884" s="6">
        <v>454</v>
      </c>
      <c r="L884" s="6">
        <v>1205</v>
      </c>
      <c r="M884" s="6">
        <v>25338</v>
      </c>
      <c r="N884" s="6">
        <v>9638</v>
      </c>
      <c r="O884" s="6">
        <v>30667</v>
      </c>
      <c r="P884" s="78">
        <v>4779</v>
      </c>
      <c r="Q884" s="6">
        <v>28981</v>
      </c>
      <c r="R884" s="16">
        <f t="shared" si="45"/>
        <v>15622</v>
      </c>
    </row>
    <row r="885" spans="1:18" ht="15.6" x14ac:dyDescent="0.3">
      <c r="A885" s="10">
        <v>39597</v>
      </c>
      <c r="B885" s="78">
        <v>697</v>
      </c>
      <c r="C885" s="78">
        <v>13709</v>
      </c>
      <c r="D885" s="78">
        <v>525</v>
      </c>
      <c r="E885" s="78">
        <v>5568</v>
      </c>
      <c r="F885" s="78">
        <v>271</v>
      </c>
      <c r="G885" s="78">
        <v>7842</v>
      </c>
      <c r="H885" s="78">
        <v>103</v>
      </c>
      <c r="I885" s="78">
        <v>4191</v>
      </c>
      <c r="J885" s="78">
        <v>20</v>
      </c>
      <c r="K885" s="78">
        <v>1075</v>
      </c>
      <c r="L885" s="78">
        <v>1614</v>
      </c>
      <c r="M885" s="78">
        <v>32385</v>
      </c>
      <c r="N885" s="78">
        <v>11725</v>
      </c>
      <c r="O885" s="78">
        <v>46866</v>
      </c>
      <c r="P885" s="78">
        <v>3591</v>
      </c>
      <c r="Q885" s="78">
        <v>26424</v>
      </c>
      <c r="R885" s="16">
        <f t="shared" si="45"/>
        <v>16930</v>
      </c>
    </row>
    <row r="886" spans="1:18" ht="15.6" x14ac:dyDescent="0.3">
      <c r="A886" s="10">
        <v>39961</v>
      </c>
      <c r="B886" s="78">
        <v>358</v>
      </c>
      <c r="C886" s="6">
        <v>11244</v>
      </c>
      <c r="D886" s="6">
        <v>170</v>
      </c>
      <c r="E886" s="6">
        <v>5100</v>
      </c>
      <c r="F886" s="6">
        <v>304</v>
      </c>
      <c r="G886" s="6">
        <v>5408</v>
      </c>
      <c r="H886" s="6">
        <v>168</v>
      </c>
      <c r="I886" s="6">
        <v>3420</v>
      </c>
      <c r="J886" s="6">
        <v>5</v>
      </c>
      <c r="K886" s="6">
        <v>454</v>
      </c>
      <c r="L886" s="6">
        <v>1005</v>
      </c>
      <c r="M886" s="6">
        <v>25626</v>
      </c>
      <c r="N886" s="6">
        <v>9386</v>
      </c>
      <c r="O886" s="6">
        <v>31523</v>
      </c>
      <c r="P886" s="78">
        <v>4443</v>
      </c>
      <c r="Q886" s="6">
        <v>29293</v>
      </c>
      <c r="R886" s="16">
        <f t="shared" si="45"/>
        <v>14834</v>
      </c>
    </row>
    <row r="887" spans="1:18" ht="15.6" x14ac:dyDescent="0.3">
      <c r="A887" s="10">
        <v>39604</v>
      </c>
      <c r="B887" s="78">
        <v>3458</v>
      </c>
      <c r="C887" s="78">
        <v>206</v>
      </c>
      <c r="D887" s="78">
        <v>1544</v>
      </c>
      <c r="E887" s="78">
        <v>75</v>
      </c>
      <c r="F887" s="78">
        <v>1129</v>
      </c>
      <c r="G887" s="78">
        <v>77</v>
      </c>
      <c r="H887" s="78">
        <v>812</v>
      </c>
      <c r="I887" s="78">
        <v>0.4</v>
      </c>
      <c r="J887" s="78">
        <v>235</v>
      </c>
      <c r="K887" s="78">
        <v>8</v>
      </c>
      <c r="L887" s="78">
        <v>7177</v>
      </c>
      <c r="M887" s="78">
        <v>367</v>
      </c>
      <c r="N887" s="78">
        <v>11085</v>
      </c>
      <c r="O887" s="78">
        <v>48031</v>
      </c>
      <c r="P887" s="78">
        <v>3658</v>
      </c>
      <c r="Q887" s="78">
        <v>26629</v>
      </c>
      <c r="R887" s="16">
        <f t="shared" si="45"/>
        <v>21920</v>
      </c>
    </row>
    <row r="888" spans="1:18" ht="15.6" x14ac:dyDescent="0.3">
      <c r="A888" s="10">
        <v>39968</v>
      </c>
      <c r="B888" s="78">
        <v>1074</v>
      </c>
      <c r="C888" s="6">
        <v>62</v>
      </c>
      <c r="D888" s="6">
        <v>462</v>
      </c>
      <c r="E888" s="6">
        <v>0</v>
      </c>
      <c r="F888" s="6">
        <v>801</v>
      </c>
      <c r="G888" s="6">
        <v>5</v>
      </c>
      <c r="H888" s="6">
        <v>888</v>
      </c>
      <c r="I888" s="6">
        <v>9</v>
      </c>
      <c r="J888" s="6">
        <v>186</v>
      </c>
      <c r="K888" s="6">
        <v>0</v>
      </c>
      <c r="L888" s="6">
        <v>3410</v>
      </c>
      <c r="M888" s="6">
        <v>77</v>
      </c>
      <c r="N888" s="6">
        <v>9475</v>
      </c>
      <c r="O888" s="6">
        <v>32147</v>
      </c>
      <c r="P888" s="78">
        <v>4081</v>
      </c>
      <c r="Q888" s="6">
        <v>29595</v>
      </c>
      <c r="R888" s="16">
        <f t="shared" si="45"/>
        <v>16966</v>
      </c>
    </row>
    <row r="889" spans="1:18" ht="15.6" x14ac:dyDescent="0.3">
      <c r="A889" s="10">
        <v>39611</v>
      </c>
      <c r="B889" s="78">
        <v>3481</v>
      </c>
      <c r="C889" s="78">
        <v>496</v>
      </c>
      <c r="D889" s="78">
        <v>1577</v>
      </c>
      <c r="E889" s="78">
        <v>97</v>
      </c>
      <c r="F889" s="78">
        <v>1194</v>
      </c>
      <c r="G889" s="78">
        <v>101</v>
      </c>
      <c r="H889" s="78">
        <v>855</v>
      </c>
      <c r="I889" s="78">
        <v>36</v>
      </c>
      <c r="J889" s="78">
        <v>235</v>
      </c>
      <c r="K889" s="78">
        <v>11</v>
      </c>
      <c r="L889" s="78">
        <v>7342</v>
      </c>
      <c r="M889" s="78">
        <v>741</v>
      </c>
      <c r="N889" s="78">
        <v>10341</v>
      </c>
      <c r="O889" s="78">
        <v>49113</v>
      </c>
      <c r="P889" s="78">
        <v>3473</v>
      </c>
      <c r="Q889" s="78">
        <v>26985</v>
      </c>
      <c r="R889" s="16">
        <f t="shared" si="45"/>
        <v>21156</v>
      </c>
    </row>
    <row r="890" spans="1:18" ht="15.6" x14ac:dyDescent="0.3">
      <c r="A890" s="10">
        <v>39975</v>
      </c>
      <c r="B890" s="78">
        <v>1016</v>
      </c>
      <c r="C890" s="6">
        <v>206</v>
      </c>
      <c r="D890" s="6">
        <v>504</v>
      </c>
      <c r="E890" s="6">
        <v>24</v>
      </c>
      <c r="F890" s="6">
        <v>763</v>
      </c>
      <c r="G890" s="6">
        <v>123</v>
      </c>
      <c r="H890" s="6">
        <v>807</v>
      </c>
      <c r="I890" s="6">
        <v>110</v>
      </c>
      <c r="J890" s="6">
        <v>196</v>
      </c>
      <c r="K890" s="6">
        <v>7</v>
      </c>
      <c r="L890" s="6">
        <v>3286</v>
      </c>
      <c r="M890" s="6">
        <v>468</v>
      </c>
      <c r="N890" s="6">
        <v>9424</v>
      </c>
      <c r="O890" s="6">
        <v>32965</v>
      </c>
      <c r="P890" s="78">
        <v>3877</v>
      </c>
      <c r="Q890" s="6">
        <v>29944</v>
      </c>
      <c r="R890" s="16">
        <f t="shared" si="45"/>
        <v>16587</v>
      </c>
    </row>
    <row r="891" spans="1:18" ht="15.6" x14ac:dyDescent="0.3">
      <c r="A891" s="10">
        <v>39618</v>
      </c>
      <c r="B891" s="78">
        <v>3379</v>
      </c>
      <c r="C891" s="78">
        <v>745</v>
      </c>
      <c r="D891" s="78">
        <v>1593</v>
      </c>
      <c r="E891" s="78">
        <v>232</v>
      </c>
      <c r="F891" s="78">
        <v>1261</v>
      </c>
      <c r="G891" s="78">
        <v>186</v>
      </c>
      <c r="H891" s="78">
        <v>867</v>
      </c>
      <c r="I891" s="78">
        <v>69</v>
      </c>
      <c r="J891" s="78">
        <v>236</v>
      </c>
      <c r="K891" s="78">
        <v>12</v>
      </c>
      <c r="L891" s="78">
        <v>7336</v>
      </c>
      <c r="M891" s="78">
        <v>1245</v>
      </c>
      <c r="N891" s="78">
        <v>9588</v>
      </c>
      <c r="O891" s="78">
        <v>50097</v>
      </c>
      <c r="P891" s="78">
        <v>2877</v>
      </c>
      <c r="Q891" s="78">
        <v>27313</v>
      </c>
      <c r="R891" s="16">
        <f t="shared" si="45"/>
        <v>19801</v>
      </c>
    </row>
    <row r="892" spans="1:18" ht="15.6" x14ac:dyDescent="0.3">
      <c r="A892" s="10">
        <v>39982</v>
      </c>
      <c r="B892" s="78">
        <v>1041</v>
      </c>
      <c r="C892" s="6">
        <v>329</v>
      </c>
      <c r="D892" s="6">
        <v>534</v>
      </c>
      <c r="E892" s="6">
        <v>57</v>
      </c>
      <c r="F892" s="6">
        <v>751</v>
      </c>
      <c r="G892" s="6">
        <v>212</v>
      </c>
      <c r="H892" s="6">
        <v>809</v>
      </c>
      <c r="I892" s="6">
        <v>187</v>
      </c>
      <c r="J892" s="6">
        <v>196</v>
      </c>
      <c r="K892" s="6">
        <v>7</v>
      </c>
      <c r="L892" s="6">
        <v>3331</v>
      </c>
      <c r="M892" s="6">
        <v>792</v>
      </c>
      <c r="N892" s="6">
        <v>9072</v>
      </c>
      <c r="O892" s="6">
        <v>34003</v>
      </c>
      <c r="P892" s="78">
        <v>3527</v>
      </c>
      <c r="Q892" s="6">
        <v>30322</v>
      </c>
      <c r="R892" s="16">
        <f t="shared" si="45"/>
        <v>15930</v>
      </c>
    </row>
    <row r="893" spans="1:18" ht="15.6" x14ac:dyDescent="0.3">
      <c r="A893" s="10">
        <v>39625</v>
      </c>
      <c r="B893" s="78">
        <v>3519.7</v>
      </c>
      <c r="C893" s="78">
        <v>974.8</v>
      </c>
      <c r="D893" s="78">
        <v>1548.3</v>
      </c>
      <c r="E893" s="78">
        <v>387.1</v>
      </c>
      <c r="F893" s="78">
        <v>1345</v>
      </c>
      <c r="G893" s="78">
        <v>233.5</v>
      </c>
      <c r="H893" s="78">
        <v>917.9</v>
      </c>
      <c r="I893" s="78">
        <v>72.5</v>
      </c>
      <c r="J893" s="78">
        <v>236.5</v>
      </c>
      <c r="K893" s="78">
        <v>13.4</v>
      </c>
      <c r="L893" s="78">
        <v>7567.4</v>
      </c>
      <c r="M893" s="78">
        <v>1681.2</v>
      </c>
      <c r="N893" s="78">
        <v>8724.4</v>
      </c>
      <c r="O893" s="78">
        <v>51286.1</v>
      </c>
      <c r="P893" s="78">
        <v>2186.9</v>
      </c>
      <c r="Q893" s="78">
        <v>27868.5</v>
      </c>
      <c r="R893" s="16">
        <f t="shared" si="45"/>
        <v>18478.7</v>
      </c>
    </row>
    <row r="894" spans="1:18" ht="15.6" x14ac:dyDescent="0.3">
      <c r="A894" s="10">
        <v>39989</v>
      </c>
      <c r="B894" s="78">
        <v>1064.5999999999999</v>
      </c>
      <c r="C894" s="6">
        <v>418.7</v>
      </c>
      <c r="D894" s="6">
        <v>510.1</v>
      </c>
      <c r="E894" s="6">
        <v>112</v>
      </c>
      <c r="F894" s="6">
        <v>741.1</v>
      </c>
      <c r="G894" s="6">
        <v>274.7</v>
      </c>
      <c r="H894" s="6">
        <v>714.7</v>
      </c>
      <c r="I894" s="6">
        <v>306.5</v>
      </c>
      <c r="J894" s="6">
        <v>175.5</v>
      </c>
      <c r="K894" s="6">
        <v>47</v>
      </c>
      <c r="L894" s="6">
        <v>3206.1</v>
      </c>
      <c r="M894" s="6">
        <v>1158.9000000000001</v>
      </c>
      <c r="N894" s="6">
        <v>9485</v>
      </c>
      <c r="O894" s="6">
        <v>34746.199999999997</v>
      </c>
      <c r="P894" s="78">
        <v>3333.2</v>
      </c>
      <c r="Q894" s="6">
        <v>30709.200000000001</v>
      </c>
      <c r="R894" s="16">
        <f t="shared" si="45"/>
        <v>16024.3</v>
      </c>
    </row>
    <row r="895" spans="1:18" ht="15.6" x14ac:dyDescent="0.3">
      <c r="A895" s="107">
        <v>39632</v>
      </c>
      <c r="B895" s="108">
        <v>3542</v>
      </c>
      <c r="C895" s="108">
        <v>1221</v>
      </c>
      <c r="D895" s="108">
        <v>1521</v>
      </c>
      <c r="E895" s="108">
        <v>615</v>
      </c>
      <c r="F895" s="108">
        <v>1393</v>
      </c>
      <c r="G895" s="108">
        <v>301</v>
      </c>
      <c r="H895" s="108">
        <v>920</v>
      </c>
      <c r="I895" s="108">
        <v>103</v>
      </c>
      <c r="J895" s="108">
        <v>237</v>
      </c>
      <c r="K895" s="108">
        <v>13.4</v>
      </c>
      <c r="L895" s="108">
        <v>7612</v>
      </c>
      <c r="M895" s="108">
        <v>2253</v>
      </c>
      <c r="N895" s="108">
        <v>8131</v>
      </c>
      <c r="O895" s="108">
        <v>52217</v>
      </c>
      <c r="P895" s="108">
        <v>2550</v>
      </c>
      <c r="Q895" s="108">
        <v>28172</v>
      </c>
      <c r="R895" s="16">
        <f t="shared" si="45"/>
        <v>18293</v>
      </c>
    </row>
    <row r="896" spans="1:18" ht="15.6" x14ac:dyDescent="0.3">
      <c r="A896" s="107">
        <v>39996</v>
      </c>
      <c r="B896" s="108">
        <v>1093</v>
      </c>
      <c r="C896" s="106">
        <v>524</v>
      </c>
      <c r="D896" s="106">
        <v>462</v>
      </c>
      <c r="E896" s="106">
        <v>193</v>
      </c>
      <c r="F896" s="106">
        <v>896</v>
      </c>
      <c r="G896" s="106">
        <v>338</v>
      </c>
      <c r="H896" s="106">
        <v>785</v>
      </c>
      <c r="I896" s="106">
        <v>419</v>
      </c>
      <c r="J896" s="106">
        <v>185</v>
      </c>
      <c r="K896" s="106">
        <v>54</v>
      </c>
      <c r="L896" s="106">
        <v>3422</v>
      </c>
      <c r="M896" s="106">
        <v>1527</v>
      </c>
      <c r="N896" s="106">
        <v>9266</v>
      </c>
      <c r="O896" s="106">
        <v>35714</v>
      </c>
      <c r="P896" s="108">
        <v>3202</v>
      </c>
      <c r="Q896" s="106">
        <v>31127</v>
      </c>
      <c r="R896" s="16">
        <f t="shared" si="45"/>
        <v>15890</v>
      </c>
    </row>
    <row r="897" spans="1:18" ht="15.6" x14ac:dyDescent="0.3">
      <c r="A897" s="107">
        <v>39639</v>
      </c>
      <c r="B897" s="108">
        <v>3529</v>
      </c>
      <c r="C897" s="108">
        <v>1582</v>
      </c>
      <c r="D897" s="108">
        <v>1520</v>
      </c>
      <c r="E897" s="108">
        <v>815</v>
      </c>
      <c r="F897" s="108">
        <v>1414</v>
      </c>
      <c r="G897" s="108">
        <v>366</v>
      </c>
      <c r="H897" s="108">
        <v>1017</v>
      </c>
      <c r="I897" s="108">
        <v>123</v>
      </c>
      <c r="J897" s="108">
        <v>237</v>
      </c>
      <c r="K897" s="108">
        <v>13.4</v>
      </c>
      <c r="L897" s="108">
        <v>7716</v>
      </c>
      <c r="M897" s="108">
        <v>2898</v>
      </c>
      <c r="N897" s="108">
        <v>7811</v>
      </c>
      <c r="O897" s="108">
        <v>52906</v>
      </c>
      <c r="P897" s="108">
        <v>2360</v>
      </c>
      <c r="Q897" s="108">
        <v>28425</v>
      </c>
      <c r="R897" s="16">
        <f t="shared" si="45"/>
        <v>17887</v>
      </c>
    </row>
    <row r="898" spans="1:18" ht="15.6" x14ac:dyDescent="0.3">
      <c r="A898" s="107">
        <v>40003</v>
      </c>
      <c r="B898" s="108">
        <v>1326</v>
      </c>
      <c r="C898" s="106">
        <v>623</v>
      </c>
      <c r="D898" s="106">
        <v>518</v>
      </c>
      <c r="E898" s="106">
        <v>207</v>
      </c>
      <c r="F898" s="106">
        <v>878</v>
      </c>
      <c r="G898" s="106">
        <v>372</v>
      </c>
      <c r="H898" s="106">
        <v>772</v>
      </c>
      <c r="I898" s="106">
        <v>436</v>
      </c>
      <c r="J898" s="106">
        <v>185</v>
      </c>
      <c r="K898" s="106">
        <v>54</v>
      </c>
      <c r="L898" s="106">
        <v>3680</v>
      </c>
      <c r="M898" s="106">
        <v>1691</v>
      </c>
      <c r="N898" s="106">
        <v>8996</v>
      </c>
      <c r="O898" s="106">
        <v>36684</v>
      </c>
      <c r="P898" s="108">
        <v>2947</v>
      </c>
      <c r="Q898" s="106">
        <v>31517</v>
      </c>
      <c r="R898" s="16">
        <f t="shared" si="45"/>
        <v>15623</v>
      </c>
    </row>
    <row r="899" spans="1:18" ht="15.6" x14ac:dyDescent="0.3">
      <c r="A899" s="107">
        <v>39646</v>
      </c>
      <c r="B899" s="108">
        <v>3378</v>
      </c>
      <c r="C899" s="108">
        <v>1939</v>
      </c>
      <c r="D899" s="108">
        <v>1333</v>
      </c>
      <c r="E899" s="108">
        <v>1228</v>
      </c>
      <c r="F899" s="108">
        <v>1475</v>
      </c>
      <c r="G899" s="108">
        <v>403</v>
      </c>
      <c r="H899" s="108">
        <v>1094</v>
      </c>
      <c r="I899" s="108">
        <v>123</v>
      </c>
      <c r="J899" s="108">
        <v>212</v>
      </c>
      <c r="K899" s="108">
        <v>41</v>
      </c>
      <c r="L899" s="108">
        <v>7491</v>
      </c>
      <c r="M899" s="108">
        <v>3733</v>
      </c>
      <c r="N899" s="108">
        <v>7388</v>
      </c>
      <c r="O899" s="108">
        <v>53653</v>
      </c>
      <c r="P899" s="108">
        <v>2343</v>
      </c>
      <c r="Q899" s="108">
        <v>28625</v>
      </c>
      <c r="R899" s="16">
        <f t="shared" si="45"/>
        <v>17222</v>
      </c>
    </row>
    <row r="900" spans="1:18" ht="15.6" x14ac:dyDescent="0.3">
      <c r="A900" s="107">
        <v>40010</v>
      </c>
      <c r="B900" s="108">
        <v>1308</v>
      </c>
      <c r="C900" s="106">
        <v>819</v>
      </c>
      <c r="D900" s="106">
        <v>538</v>
      </c>
      <c r="E900" s="106">
        <v>267</v>
      </c>
      <c r="F900" s="106">
        <v>851</v>
      </c>
      <c r="G900" s="106">
        <v>450</v>
      </c>
      <c r="H900" s="106">
        <v>705</v>
      </c>
      <c r="I900" s="106">
        <v>538</v>
      </c>
      <c r="J900" s="106">
        <v>183</v>
      </c>
      <c r="K900" s="106">
        <v>55</v>
      </c>
      <c r="L900" s="106">
        <v>3586</v>
      </c>
      <c r="M900" s="106">
        <v>2128</v>
      </c>
      <c r="N900" s="106">
        <v>8833</v>
      </c>
      <c r="O900" s="106">
        <v>37605</v>
      </c>
      <c r="P900" s="108">
        <v>2984</v>
      </c>
      <c r="Q900" s="106">
        <v>31800</v>
      </c>
      <c r="R900" s="16">
        <f t="shared" si="45"/>
        <v>15403</v>
      </c>
    </row>
    <row r="901" spans="1:18" ht="15.6" x14ac:dyDescent="0.3">
      <c r="A901" s="107">
        <v>39653</v>
      </c>
      <c r="B901" s="108">
        <v>3439</v>
      </c>
      <c r="C901" s="108">
        <v>2258</v>
      </c>
      <c r="D901" s="108">
        <v>1393</v>
      </c>
      <c r="E901" s="108">
        <v>1402</v>
      </c>
      <c r="F901" s="108">
        <v>1509</v>
      </c>
      <c r="G901" s="108">
        <v>448</v>
      </c>
      <c r="H901" s="108">
        <v>1087</v>
      </c>
      <c r="I901" s="108">
        <v>156</v>
      </c>
      <c r="J901" s="108">
        <v>212</v>
      </c>
      <c r="K901" s="108">
        <v>47</v>
      </c>
      <c r="L901" s="108">
        <v>7640</v>
      </c>
      <c r="M901" s="108">
        <v>4311</v>
      </c>
      <c r="N901" s="108">
        <v>6216</v>
      </c>
      <c r="O901" s="108">
        <v>54888</v>
      </c>
      <c r="P901" s="108">
        <v>2233</v>
      </c>
      <c r="Q901" s="108">
        <v>28625</v>
      </c>
      <c r="R901" s="16">
        <f t="shared" si="45"/>
        <v>16089</v>
      </c>
    </row>
    <row r="902" spans="1:18" ht="15.6" x14ac:dyDescent="0.3">
      <c r="A902" s="107">
        <v>40017</v>
      </c>
      <c r="B902" s="108">
        <v>1326</v>
      </c>
      <c r="C902" s="106">
        <v>946</v>
      </c>
      <c r="D902" s="106">
        <v>598</v>
      </c>
      <c r="E902" s="106">
        <v>372</v>
      </c>
      <c r="F902" s="106">
        <v>929</v>
      </c>
      <c r="G902" s="106">
        <v>494</v>
      </c>
      <c r="H902" s="106">
        <v>787</v>
      </c>
      <c r="I902" s="106">
        <v>565</v>
      </c>
      <c r="J902" s="106">
        <v>213</v>
      </c>
      <c r="K902" s="106">
        <v>61</v>
      </c>
      <c r="L902" s="106">
        <v>3853</v>
      </c>
      <c r="M902" s="106">
        <v>2436</v>
      </c>
      <c r="N902" s="106">
        <v>7837</v>
      </c>
      <c r="O902" s="106">
        <v>39086</v>
      </c>
      <c r="P902" s="108">
        <v>2887</v>
      </c>
      <c r="Q902" s="106">
        <v>32142</v>
      </c>
      <c r="R902" s="16">
        <f t="shared" si="45"/>
        <v>14577</v>
      </c>
    </row>
    <row r="903" spans="1:18" ht="15.6" x14ac:dyDescent="0.3">
      <c r="A903" s="107">
        <v>39660</v>
      </c>
      <c r="B903" s="108">
        <v>3433</v>
      </c>
      <c r="C903" s="108">
        <v>2765</v>
      </c>
      <c r="D903" s="108">
        <v>1339</v>
      </c>
      <c r="E903" s="108">
        <v>1549</v>
      </c>
      <c r="F903" s="108">
        <v>1467</v>
      </c>
      <c r="G903" s="108">
        <v>548</v>
      </c>
      <c r="H903" s="108">
        <v>1071</v>
      </c>
      <c r="I903" s="108">
        <v>197</v>
      </c>
      <c r="J903" s="108">
        <v>212</v>
      </c>
      <c r="K903" s="108">
        <v>54</v>
      </c>
      <c r="L903" s="108">
        <v>7522</v>
      </c>
      <c r="M903" s="108">
        <v>5112</v>
      </c>
      <c r="N903" s="108">
        <v>5677</v>
      </c>
      <c r="O903" s="108">
        <v>55764</v>
      </c>
      <c r="P903" s="108">
        <v>2223</v>
      </c>
      <c r="Q903" s="108">
        <v>29391</v>
      </c>
      <c r="R903" s="16">
        <f t="shared" si="45"/>
        <v>15422</v>
      </c>
    </row>
    <row r="904" spans="1:18" ht="15.6" x14ac:dyDescent="0.3">
      <c r="A904" s="107">
        <v>40024</v>
      </c>
      <c r="B904" s="108">
        <v>1364</v>
      </c>
      <c r="C904" s="106">
        <v>1136</v>
      </c>
      <c r="D904" s="106">
        <v>569</v>
      </c>
      <c r="E904" s="106">
        <v>498</v>
      </c>
      <c r="F904" s="106">
        <v>944</v>
      </c>
      <c r="G904" s="106">
        <v>546</v>
      </c>
      <c r="H904" s="106">
        <v>898</v>
      </c>
      <c r="I904" s="106">
        <v>583</v>
      </c>
      <c r="J904" s="106">
        <v>241</v>
      </c>
      <c r="K904" s="106">
        <v>64</v>
      </c>
      <c r="L904" s="106">
        <v>4016</v>
      </c>
      <c r="M904" s="106">
        <v>2826</v>
      </c>
      <c r="N904" s="106">
        <v>7070</v>
      </c>
      <c r="O904" s="106">
        <v>40249</v>
      </c>
      <c r="P904" s="108">
        <v>3164</v>
      </c>
      <c r="Q904" s="106">
        <v>32360</v>
      </c>
      <c r="R904" s="16">
        <f t="shared" ref="R904:R926" si="46">L904+N904+P904</f>
        <v>14250</v>
      </c>
    </row>
    <row r="905" spans="1:18" ht="15.6" x14ac:dyDescent="0.3">
      <c r="A905" s="107">
        <v>39667</v>
      </c>
      <c r="B905" s="108">
        <v>3328</v>
      </c>
      <c r="C905" s="108">
        <v>3140</v>
      </c>
      <c r="D905" s="108">
        <v>1251</v>
      </c>
      <c r="E905" s="108">
        <v>1777</v>
      </c>
      <c r="F905" s="108">
        <v>1579</v>
      </c>
      <c r="G905" s="108">
        <v>646</v>
      </c>
      <c r="H905" s="108">
        <v>1023</v>
      </c>
      <c r="I905" s="108">
        <v>272</v>
      </c>
      <c r="J905" s="108">
        <v>179</v>
      </c>
      <c r="K905" s="108">
        <v>91</v>
      </c>
      <c r="L905" s="108">
        <v>7359</v>
      </c>
      <c r="M905" s="108">
        <v>5925</v>
      </c>
      <c r="N905" s="108">
        <v>5124</v>
      </c>
      <c r="O905" s="108">
        <v>56703</v>
      </c>
      <c r="P905" s="108">
        <v>1889</v>
      </c>
      <c r="Q905" s="108">
        <v>29676</v>
      </c>
      <c r="R905" s="16">
        <f t="shared" si="46"/>
        <v>14372</v>
      </c>
    </row>
    <row r="906" spans="1:18" ht="15.6" x14ac:dyDescent="0.3">
      <c r="A906" s="107">
        <v>40031</v>
      </c>
      <c r="B906" s="108">
        <v>1328</v>
      </c>
      <c r="C906" s="106">
        <v>1282</v>
      </c>
      <c r="D906" s="106">
        <v>634</v>
      </c>
      <c r="E906" s="106">
        <v>523</v>
      </c>
      <c r="F906" s="106">
        <v>945</v>
      </c>
      <c r="G906" s="106">
        <v>652</v>
      </c>
      <c r="H906" s="106">
        <v>985</v>
      </c>
      <c r="I906" s="106">
        <v>653</v>
      </c>
      <c r="J906" s="106">
        <v>229</v>
      </c>
      <c r="K906" s="106">
        <v>96</v>
      </c>
      <c r="L906" s="106">
        <v>4115</v>
      </c>
      <c r="M906" s="106">
        <v>3206</v>
      </c>
      <c r="N906" s="106">
        <v>6654</v>
      </c>
      <c r="O906" s="106">
        <v>41206</v>
      </c>
      <c r="P906" s="108">
        <v>3153</v>
      </c>
      <c r="Q906" s="106">
        <v>32630</v>
      </c>
      <c r="R906" s="16">
        <f t="shared" si="46"/>
        <v>13922</v>
      </c>
    </row>
    <row r="907" spans="1:18" ht="15.6" x14ac:dyDescent="0.3">
      <c r="A907" s="107">
        <v>39674</v>
      </c>
      <c r="B907" s="108">
        <v>3350</v>
      </c>
      <c r="C907" s="108">
        <v>3834</v>
      </c>
      <c r="D907" s="108">
        <v>1180</v>
      </c>
      <c r="E907" s="108">
        <v>1929</v>
      </c>
      <c r="F907" s="108">
        <v>1638</v>
      </c>
      <c r="G907" s="108">
        <v>680</v>
      </c>
      <c r="H907" s="108">
        <v>953</v>
      </c>
      <c r="I907" s="108">
        <v>364</v>
      </c>
      <c r="J907" s="108">
        <v>149</v>
      </c>
      <c r="K907" s="108">
        <v>124</v>
      </c>
      <c r="L907" s="108">
        <v>7270</v>
      </c>
      <c r="M907" s="108">
        <v>6930</v>
      </c>
      <c r="N907" s="108">
        <v>4230</v>
      </c>
      <c r="O907" s="108">
        <v>57794</v>
      </c>
      <c r="P907" s="108">
        <v>1642</v>
      </c>
      <c r="Q907" s="108">
        <v>29841</v>
      </c>
      <c r="R907" s="16">
        <f t="shared" si="46"/>
        <v>13142</v>
      </c>
    </row>
    <row r="908" spans="1:18" ht="15.6" x14ac:dyDescent="0.3">
      <c r="A908" s="107">
        <v>40038</v>
      </c>
      <c r="B908" s="108">
        <v>1329</v>
      </c>
      <c r="C908" s="106">
        <v>1414</v>
      </c>
      <c r="D908" s="106">
        <v>625</v>
      </c>
      <c r="E908" s="106">
        <v>584</v>
      </c>
      <c r="F908" s="106">
        <v>930</v>
      </c>
      <c r="G908" s="106">
        <v>763</v>
      </c>
      <c r="H908" s="106">
        <v>983</v>
      </c>
      <c r="I908" s="106">
        <v>702</v>
      </c>
      <c r="J908" s="106">
        <v>233</v>
      </c>
      <c r="K908" s="106">
        <v>118</v>
      </c>
      <c r="L908" s="106">
        <v>4099</v>
      </c>
      <c r="M908" s="106">
        <v>3581</v>
      </c>
      <c r="N908" s="106">
        <v>6107</v>
      </c>
      <c r="O908" s="106">
        <v>42330</v>
      </c>
      <c r="P908" s="108">
        <v>3273</v>
      </c>
      <c r="Q908" s="106">
        <v>32786</v>
      </c>
      <c r="R908" s="16">
        <f t="shared" si="46"/>
        <v>13479</v>
      </c>
    </row>
    <row r="909" spans="1:18" ht="15.6" x14ac:dyDescent="0.3">
      <c r="A909" s="107">
        <v>39681</v>
      </c>
      <c r="B909" s="108">
        <v>3236</v>
      </c>
      <c r="C909" s="108">
        <v>4143</v>
      </c>
      <c r="D909" s="108">
        <v>1083</v>
      </c>
      <c r="E909" s="108">
        <v>2097</v>
      </c>
      <c r="F909" s="108">
        <v>1546</v>
      </c>
      <c r="G909" s="108">
        <v>790</v>
      </c>
      <c r="H909" s="108">
        <v>905</v>
      </c>
      <c r="I909" s="108">
        <v>473</v>
      </c>
      <c r="J909" s="108">
        <v>149</v>
      </c>
      <c r="K909" s="108">
        <v>146</v>
      </c>
      <c r="L909" s="108">
        <v>6919</v>
      </c>
      <c r="M909" s="108">
        <v>7649</v>
      </c>
      <c r="N909" s="108">
        <v>3712</v>
      </c>
      <c r="O909" s="108">
        <v>58615</v>
      </c>
      <c r="P909" s="108">
        <v>1225</v>
      </c>
      <c r="Q909" s="108">
        <v>30065</v>
      </c>
      <c r="R909" s="16">
        <f t="shared" si="46"/>
        <v>11856</v>
      </c>
    </row>
    <row r="910" spans="1:18" ht="15.6" x14ac:dyDescent="0.3">
      <c r="A910" s="107">
        <v>40045</v>
      </c>
      <c r="B910" s="108">
        <v>1402</v>
      </c>
      <c r="C910" s="106">
        <v>1597</v>
      </c>
      <c r="D910" s="106">
        <v>729</v>
      </c>
      <c r="E910" s="106">
        <v>628</v>
      </c>
      <c r="F910" s="106">
        <v>959</v>
      </c>
      <c r="G910" s="106">
        <v>888</v>
      </c>
      <c r="H910" s="106">
        <v>969</v>
      </c>
      <c r="I910" s="106">
        <v>798</v>
      </c>
      <c r="J910" s="106">
        <v>243</v>
      </c>
      <c r="K910" s="106">
        <v>120</v>
      </c>
      <c r="L910" s="106">
        <v>4302</v>
      </c>
      <c r="M910" s="106">
        <v>4031</v>
      </c>
      <c r="N910" s="106">
        <v>5098</v>
      </c>
      <c r="O910" s="106">
        <v>43605</v>
      </c>
      <c r="P910" s="108">
        <v>3049</v>
      </c>
      <c r="Q910" s="106">
        <v>33097</v>
      </c>
      <c r="R910" s="16">
        <f t="shared" si="46"/>
        <v>12449</v>
      </c>
    </row>
    <row r="911" spans="1:18" ht="15.6" x14ac:dyDescent="0.3">
      <c r="A911" s="107">
        <v>39688</v>
      </c>
      <c r="B911" s="108">
        <v>2880</v>
      </c>
      <c r="C911" s="108">
        <v>4577</v>
      </c>
      <c r="D911" s="108">
        <v>1031</v>
      </c>
      <c r="E911" s="108">
        <v>2246</v>
      </c>
      <c r="F911" s="108">
        <v>1647</v>
      </c>
      <c r="G911" s="108">
        <v>895</v>
      </c>
      <c r="H911" s="108">
        <v>796</v>
      </c>
      <c r="I911" s="108">
        <v>622</v>
      </c>
      <c r="J911" s="108">
        <v>149</v>
      </c>
      <c r="K911" s="108">
        <v>160</v>
      </c>
      <c r="L911" s="108">
        <v>6504</v>
      </c>
      <c r="M911" s="108">
        <v>8500</v>
      </c>
      <c r="N911" s="108">
        <v>2861</v>
      </c>
      <c r="O911" s="108">
        <v>59666</v>
      </c>
      <c r="P911" s="108">
        <v>923</v>
      </c>
      <c r="Q911" s="108">
        <v>30411</v>
      </c>
      <c r="R911" s="16">
        <f t="shared" si="46"/>
        <v>10288</v>
      </c>
    </row>
    <row r="912" spans="1:18" ht="15.6" x14ac:dyDescent="0.3">
      <c r="A912" s="107">
        <v>40052</v>
      </c>
      <c r="B912" s="108">
        <v>1271</v>
      </c>
      <c r="C912" s="106">
        <v>1802</v>
      </c>
      <c r="D912" s="106">
        <v>813</v>
      </c>
      <c r="E912" s="106">
        <v>739</v>
      </c>
      <c r="F912" s="106">
        <v>954</v>
      </c>
      <c r="G912" s="106">
        <v>962</v>
      </c>
      <c r="H912" s="106">
        <v>963</v>
      </c>
      <c r="I912" s="106">
        <v>836</v>
      </c>
      <c r="J912" s="106">
        <v>270</v>
      </c>
      <c r="K912" s="106">
        <v>128</v>
      </c>
      <c r="L912" s="106">
        <v>4272</v>
      </c>
      <c r="M912" s="106">
        <v>4466</v>
      </c>
      <c r="N912" s="106">
        <v>4398</v>
      </c>
      <c r="O912" s="106">
        <v>44650</v>
      </c>
      <c r="P912" s="108">
        <v>2382</v>
      </c>
      <c r="Q912" s="106">
        <v>33705</v>
      </c>
      <c r="R912" s="16">
        <f t="shared" si="46"/>
        <v>11052</v>
      </c>
    </row>
    <row r="913" spans="1:18" ht="15.6" x14ac:dyDescent="0.3">
      <c r="A913" s="107">
        <v>39695</v>
      </c>
      <c r="B913" s="108">
        <v>2663</v>
      </c>
      <c r="C913" s="108">
        <v>4934</v>
      </c>
      <c r="D913" s="108">
        <v>1088</v>
      </c>
      <c r="E913" s="108">
        <v>2307</v>
      </c>
      <c r="F913" s="108">
        <v>1635</v>
      </c>
      <c r="G913" s="108">
        <v>1069</v>
      </c>
      <c r="H913" s="108">
        <v>738</v>
      </c>
      <c r="I913" s="108">
        <v>718</v>
      </c>
      <c r="J913" s="108">
        <v>149</v>
      </c>
      <c r="K913" s="108">
        <v>160</v>
      </c>
      <c r="L913" s="108">
        <v>6273</v>
      </c>
      <c r="M913" s="108">
        <v>9188</v>
      </c>
      <c r="N913" s="108">
        <v>11884</v>
      </c>
      <c r="O913" s="108">
        <v>199</v>
      </c>
      <c r="P913" s="108">
        <v>8913</v>
      </c>
      <c r="Q913" s="108">
        <v>33</v>
      </c>
      <c r="R913" s="16">
        <f t="shared" si="46"/>
        <v>27070</v>
      </c>
    </row>
    <row r="914" spans="1:18" ht="15.6" x14ac:dyDescent="0.3">
      <c r="A914" s="107">
        <v>40059</v>
      </c>
      <c r="B914" s="108">
        <v>1282</v>
      </c>
      <c r="C914" s="106">
        <v>1935</v>
      </c>
      <c r="D914" s="106">
        <v>870</v>
      </c>
      <c r="E914" s="106">
        <v>773</v>
      </c>
      <c r="F914" s="106">
        <v>981</v>
      </c>
      <c r="G914" s="106">
        <v>1047</v>
      </c>
      <c r="H914" s="106">
        <v>962</v>
      </c>
      <c r="I914" s="106">
        <v>970</v>
      </c>
      <c r="J914" s="106">
        <v>275</v>
      </c>
      <c r="K914" s="106">
        <v>195</v>
      </c>
      <c r="L914" s="106">
        <v>4371</v>
      </c>
      <c r="M914" s="106">
        <v>4919</v>
      </c>
      <c r="N914" s="106">
        <v>12131</v>
      </c>
      <c r="O914" s="106">
        <v>537</v>
      </c>
      <c r="P914" s="108">
        <v>16947</v>
      </c>
      <c r="Q914" s="106">
        <v>194</v>
      </c>
      <c r="R914" s="16">
        <f t="shared" si="46"/>
        <v>33449</v>
      </c>
    </row>
    <row r="915" spans="1:18" ht="15.6" x14ac:dyDescent="0.3">
      <c r="A915" s="107">
        <v>39702</v>
      </c>
      <c r="B915" s="108">
        <v>2728</v>
      </c>
      <c r="C915" s="108">
        <v>5171</v>
      </c>
      <c r="D915" s="108">
        <v>1063</v>
      </c>
      <c r="E915" s="108">
        <v>2422</v>
      </c>
      <c r="F915" s="108">
        <v>1640</v>
      </c>
      <c r="G915" s="108">
        <v>1211</v>
      </c>
      <c r="H915" s="108">
        <v>813</v>
      </c>
      <c r="I915" s="108">
        <v>759</v>
      </c>
      <c r="J915" s="108">
        <v>149</v>
      </c>
      <c r="K915" s="108">
        <v>162</v>
      </c>
      <c r="L915" s="108">
        <v>6394</v>
      </c>
      <c r="M915" s="108">
        <v>9725</v>
      </c>
      <c r="N915" s="108">
        <v>11346</v>
      </c>
      <c r="O915" s="108">
        <v>1062</v>
      </c>
      <c r="P915" s="108">
        <v>9103</v>
      </c>
      <c r="Q915" s="108">
        <v>255</v>
      </c>
      <c r="R915" s="16">
        <f t="shared" si="46"/>
        <v>26843</v>
      </c>
    </row>
    <row r="916" spans="1:18" ht="15.6" x14ac:dyDescent="0.3">
      <c r="A916" s="107">
        <v>40066</v>
      </c>
      <c r="B916" s="108">
        <v>1284</v>
      </c>
      <c r="C916" s="106">
        <v>2121</v>
      </c>
      <c r="D916" s="106">
        <v>802</v>
      </c>
      <c r="E916" s="106">
        <v>912</v>
      </c>
      <c r="F916" s="106">
        <v>917</v>
      </c>
      <c r="G916" s="106">
        <v>1230</v>
      </c>
      <c r="H916" s="106">
        <v>930</v>
      </c>
      <c r="I916" s="106">
        <v>1043</v>
      </c>
      <c r="J916" s="106">
        <v>290</v>
      </c>
      <c r="K916" s="106">
        <v>208</v>
      </c>
      <c r="L916" s="106">
        <v>4224</v>
      </c>
      <c r="M916" s="106">
        <v>5515</v>
      </c>
      <c r="N916" s="106">
        <v>11935</v>
      </c>
      <c r="O916" s="106">
        <v>1699</v>
      </c>
      <c r="P916" s="108">
        <v>17173</v>
      </c>
      <c r="Q916" s="106">
        <v>458</v>
      </c>
      <c r="R916" s="16">
        <f t="shared" si="46"/>
        <v>33332</v>
      </c>
    </row>
    <row r="917" spans="1:18" ht="15.6" x14ac:dyDescent="0.3">
      <c r="A917" s="107">
        <v>39709</v>
      </c>
      <c r="B917" s="108">
        <v>2565</v>
      </c>
      <c r="C917" s="108">
        <v>5371</v>
      </c>
      <c r="D917" s="108">
        <v>989</v>
      </c>
      <c r="E917" s="108">
        <v>2594</v>
      </c>
      <c r="F917" s="108">
        <v>1502</v>
      </c>
      <c r="G917" s="108">
        <v>1478</v>
      </c>
      <c r="H917" s="108">
        <v>743</v>
      </c>
      <c r="I917" s="108">
        <v>851</v>
      </c>
      <c r="J917" s="108">
        <v>149</v>
      </c>
      <c r="K917" s="108">
        <v>162</v>
      </c>
      <c r="L917" s="108">
        <v>5948</v>
      </c>
      <c r="M917" s="108">
        <v>10455</v>
      </c>
      <c r="N917" s="108">
        <v>10900</v>
      </c>
      <c r="O917" s="108">
        <v>2056</v>
      </c>
      <c r="P917" s="108">
        <v>9651</v>
      </c>
      <c r="Q917" s="108">
        <v>319</v>
      </c>
      <c r="R917" s="16">
        <f t="shared" si="46"/>
        <v>26499</v>
      </c>
    </row>
    <row r="918" spans="1:18" ht="15.6" x14ac:dyDescent="0.3">
      <c r="A918" s="107">
        <v>40073</v>
      </c>
      <c r="B918" s="108">
        <v>1244</v>
      </c>
      <c r="C918" s="106">
        <v>2347</v>
      </c>
      <c r="D918" s="106">
        <v>769</v>
      </c>
      <c r="E918" s="106">
        <v>997</v>
      </c>
      <c r="F918" s="106">
        <v>892</v>
      </c>
      <c r="G918" s="106">
        <v>1392</v>
      </c>
      <c r="H918" s="106">
        <v>897</v>
      </c>
      <c r="I918" s="106">
        <v>1157</v>
      </c>
      <c r="J918" s="106">
        <v>312</v>
      </c>
      <c r="K918" s="106">
        <v>224</v>
      </c>
      <c r="L918" s="106">
        <v>4114</v>
      </c>
      <c r="M918" s="106">
        <v>6117</v>
      </c>
      <c r="N918" s="106">
        <v>11570</v>
      </c>
      <c r="O918" s="106">
        <v>2738</v>
      </c>
      <c r="P918" s="108">
        <v>18242</v>
      </c>
      <c r="Q918" s="106">
        <v>541</v>
      </c>
      <c r="R918" s="16">
        <f t="shared" si="46"/>
        <v>33926</v>
      </c>
    </row>
    <row r="919" spans="1:18" ht="15.6" x14ac:dyDescent="0.3">
      <c r="A919" s="107">
        <v>39716</v>
      </c>
      <c r="B919" s="108">
        <v>2757</v>
      </c>
      <c r="C919" s="108">
        <v>5584</v>
      </c>
      <c r="D919" s="108">
        <v>1000</v>
      </c>
      <c r="E919" s="108">
        <v>2640</v>
      </c>
      <c r="F919" s="108">
        <v>1461</v>
      </c>
      <c r="G919" s="108">
        <v>1649</v>
      </c>
      <c r="H919" s="108">
        <v>645</v>
      </c>
      <c r="I919" s="108">
        <v>1000</v>
      </c>
      <c r="J919" s="108">
        <v>104</v>
      </c>
      <c r="K919" s="108">
        <v>215</v>
      </c>
      <c r="L919" s="108">
        <v>5967</v>
      </c>
      <c r="M919" s="108">
        <v>11088</v>
      </c>
      <c r="N919" s="108">
        <v>10303</v>
      </c>
      <c r="O919" s="108">
        <v>3220</v>
      </c>
      <c r="P919" s="108">
        <v>9960</v>
      </c>
      <c r="Q919" s="108">
        <v>481</v>
      </c>
      <c r="R919" s="16">
        <f t="shared" si="46"/>
        <v>26230</v>
      </c>
    </row>
    <row r="920" spans="1:18" ht="15.6" x14ac:dyDescent="0.3">
      <c r="A920" s="107">
        <v>40080</v>
      </c>
      <c r="B920" s="108">
        <v>1189</v>
      </c>
      <c r="C920" s="106">
        <v>2523</v>
      </c>
      <c r="D920" s="106">
        <v>714</v>
      </c>
      <c r="E920" s="106">
        <v>1106</v>
      </c>
      <c r="F920" s="106">
        <v>915</v>
      </c>
      <c r="G920" s="106">
        <v>1559</v>
      </c>
      <c r="H920" s="106">
        <v>831</v>
      </c>
      <c r="I920" s="106">
        <v>1315</v>
      </c>
      <c r="J920" s="106">
        <v>372</v>
      </c>
      <c r="K920" s="106">
        <v>246</v>
      </c>
      <c r="L920" s="106">
        <v>4021</v>
      </c>
      <c r="M920" s="106">
        <v>6748</v>
      </c>
      <c r="N920" s="106">
        <v>11828</v>
      </c>
      <c r="O920" s="106">
        <v>3703</v>
      </c>
      <c r="P920" s="108">
        <v>19418</v>
      </c>
      <c r="Q920" s="106">
        <v>750</v>
      </c>
      <c r="R920" s="16">
        <f t="shared" si="46"/>
        <v>35267</v>
      </c>
    </row>
    <row r="921" spans="1:18" ht="15.6" x14ac:dyDescent="0.3">
      <c r="A921" s="107">
        <v>39723</v>
      </c>
      <c r="B921" s="108">
        <v>2408</v>
      </c>
      <c r="C921" s="108">
        <v>6046</v>
      </c>
      <c r="D921" s="108">
        <v>935</v>
      </c>
      <c r="E921" s="108">
        <v>2845</v>
      </c>
      <c r="F921" s="108">
        <v>1405</v>
      </c>
      <c r="G921" s="108">
        <v>1800</v>
      </c>
      <c r="H921" s="108">
        <v>724</v>
      </c>
      <c r="I921" s="108">
        <v>1075</v>
      </c>
      <c r="J921" s="108">
        <v>104</v>
      </c>
      <c r="K921" s="108">
        <v>215</v>
      </c>
      <c r="L921" s="108">
        <v>5586</v>
      </c>
      <c r="M921" s="108">
        <v>11981</v>
      </c>
      <c r="N921" s="108">
        <v>10435</v>
      </c>
      <c r="O921" s="108">
        <v>4046</v>
      </c>
      <c r="P921" s="108">
        <v>10164</v>
      </c>
      <c r="Q921" s="108">
        <v>880</v>
      </c>
      <c r="R921" s="16">
        <f t="shared" si="46"/>
        <v>26185</v>
      </c>
    </row>
    <row r="922" spans="1:18" ht="15.6" x14ac:dyDescent="0.3">
      <c r="A922" s="107">
        <v>40087</v>
      </c>
      <c r="B922" s="108">
        <v>1205</v>
      </c>
      <c r="C922" s="106">
        <v>2772</v>
      </c>
      <c r="D922" s="106">
        <v>643</v>
      </c>
      <c r="E922" s="106">
        <v>1205</v>
      </c>
      <c r="F922" s="106">
        <v>998</v>
      </c>
      <c r="G922" s="106">
        <v>1706</v>
      </c>
      <c r="H922" s="106">
        <v>871</v>
      </c>
      <c r="I922" s="106">
        <v>1427</v>
      </c>
      <c r="J922" s="106">
        <v>397</v>
      </c>
      <c r="K922" s="106">
        <v>303</v>
      </c>
      <c r="L922" s="106">
        <v>4113</v>
      </c>
      <c r="M922" s="106">
        <v>7414</v>
      </c>
      <c r="N922" s="106">
        <v>11206</v>
      </c>
      <c r="O922" s="106">
        <v>4847</v>
      </c>
      <c r="P922" s="108">
        <v>19528</v>
      </c>
      <c r="Q922" s="106">
        <v>1091</v>
      </c>
      <c r="R922" s="16">
        <f t="shared" si="46"/>
        <v>34847</v>
      </c>
    </row>
    <row r="923" spans="1:18" ht="15.6" x14ac:dyDescent="0.3">
      <c r="A923" s="107">
        <v>39730</v>
      </c>
      <c r="B923" s="108">
        <v>2331</v>
      </c>
      <c r="C923" s="108">
        <v>6379</v>
      </c>
      <c r="D923" s="108">
        <v>967</v>
      </c>
      <c r="E923" s="108">
        <v>2922</v>
      </c>
      <c r="F923" s="108">
        <v>1337</v>
      </c>
      <c r="G923" s="108">
        <v>2010</v>
      </c>
      <c r="H923" s="108">
        <v>659</v>
      </c>
      <c r="I923" s="108">
        <v>1107</v>
      </c>
      <c r="J923" s="108">
        <v>76</v>
      </c>
      <c r="K923" s="108">
        <v>215</v>
      </c>
      <c r="L923" s="108">
        <v>5370</v>
      </c>
      <c r="M923" s="108">
        <v>12633</v>
      </c>
      <c r="N923" s="108">
        <v>10487</v>
      </c>
      <c r="O923" s="108">
        <v>4919</v>
      </c>
      <c r="P923" s="108">
        <v>10784</v>
      </c>
      <c r="Q923" s="108">
        <v>1288</v>
      </c>
      <c r="R923" s="16">
        <f t="shared" si="46"/>
        <v>26641</v>
      </c>
    </row>
    <row r="924" spans="1:18" ht="15.6" x14ac:dyDescent="0.3">
      <c r="A924" s="107">
        <v>40094</v>
      </c>
      <c r="B924" s="108">
        <v>1100</v>
      </c>
      <c r="C924" s="106">
        <v>2981</v>
      </c>
      <c r="D924" s="106">
        <v>623</v>
      </c>
      <c r="E924" s="106">
        <v>1262</v>
      </c>
      <c r="F924" s="106">
        <v>1009</v>
      </c>
      <c r="G924" s="106">
        <v>1849</v>
      </c>
      <c r="H924" s="106">
        <v>932</v>
      </c>
      <c r="I924" s="106">
        <v>1488</v>
      </c>
      <c r="J924" s="106">
        <v>404</v>
      </c>
      <c r="K924" s="106">
        <v>357</v>
      </c>
      <c r="L924" s="106">
        <v>4069</v>
      </c>
      <c r="M924" s="106">
        <v>7938</v>
      </c>
      <c r="N924" s="106">
        <v>11167</v>
      </c>
      <c r="O924" s="106">
        <v>5517</v>
      </c>
      <c r="P924" s="108">
        <v>19577</v>
      </c>
      <c r="Q924" s="106">
        <v>1696</v>
      </c>
      <c r="R924" s="16">
        <f t="shared" si="46"/>
        <v>34813</v>
      </c>
    </row>
    <row r="925" spans="1:18" ht="15.6" x14ac:dyDescent="0.3">
      <c r="A925" s="107">
        <v>39737</v>
      </c>
      <c r="B925" s="108">
        <v>2221</v>
      </c>
      <c r="C925" s="108">
        <v>6651</v>
      </c>
      <c r="D925" s="108">
        <v>1031</v>
      </c>
      <c r="E925" s="108">
        <v>2979</v>
      </c>
      <c r="F925" s="108">
        <v>1245</v>
      </c>
      <c r="G925" s="108">
        <v>2171</v>
      </c>
      <c r="H925" s="108">
        <v>662</v>
      </c>
      <c r="I925" s="108">
        <v>1130</v>
      </c>
      <c r="J925" s="108">
        <v>76</v>
      </c>
      <c r="K925" s="108">
        <v>222</v>
      </c>
      <c r="L925" s="108">
        <v>5234</v>
      </c>
      <c r="M925" s="108">
        <v>13252</v>
      </c>
      <c r="N925" s="108">
        <v>10523</v>
      </c>
      <c r="O925" s="108">
        <v>5672</v>
      </c>
      <c r="P925" s="108">
        <v>10489</v>
      </c>
      <c r="Q925" s="108">
        <v>2302</v>
      </c>
      <c r="R925" s="16">
        <f t="shared" si="46"/>
        <v>26246</v>
      </c>
    </row>
    <row r="926" spans="1:18" ht="15.6" x14ac:dyDescent="0.3">
      <c r="A926" s="107">
        <v>40101</v>
      </c>
      <c r="B926" s="108">
        <v>1252</v>
      </c>
      <c r="C926" s="106">
        <v>3130</v>
      </c>
      <c r="D926" s="106">
        <v>589</v>
      </c>
      <c r="E926" s="106">
        <v>1373</v>
      </c>
      <c r="F926" s="106">
        <v>1008</v>
      </c>
      <c r="G926" s="106">
        <v>1967</v>
      </c>
      <c r="H926" s="106">
        <v>995</v>
      </c>
      <c r="I926" s="106">
        <v>1544</v>
      </c>
      <c r="J926" s="106">
        <v>385</v>
      </c>
      <c r="K926" s="106">
        <v>390</v>
      </c>
      <c r="L926" s="106">
        <v>4229</v>
      </c>
      <c r="M926" s="106">
        <v>8405</v>
      </c>
      <c r="N926" s="106">
        <v>10584</v>
      </c>
      <c r="O926" s="106">
        <v>6335</v>
      </c>
      <c r="P926" s="108">
        <v>19708</v>
      </c>
      <c r="Q926" s="106">
        <v>2552</v>
      </c>
      <c r="R926" s="16">
        <f t="shared" si="46"/>
        <v>34521</v>
      </c>
    </row>
    <row r="927" spans="1:18" ht="15.6" x14ac:dyDescent="0.3">
      <c r="A927" s="107">
        <v>39744</v>
      </c>
      <c r="B927" s="108">
        <v>2161</v>
      </c>
      <c r="C927" s="108">
        <v>6893</v>
      </c>
      <c r="D927" s="108">
        <v>1001</v>
      </c>
      <c r="E927" s="108">
        <v>3118</v>
      </c>
      <c r="F927" s="108">
        <v>1265</v>
      </c>
      <c r="G927" s="108">
        <v>2307</v>
      </c>
      <c r="H927" s="108">
        <v>603</v>
      </c>
      <c r="I927" s="108">
        <v>1203</v>
      </c>
      <c r="J927" s="108">
        <v>76</v>
      </c>
      <c r="K927" s="108">
        <v>222</v>
      </c>
      <c r="L927" s="108">
        <v>5104</v>
      </c>
      <c r="M927" s="108">
        <v>13743</v>
      </c>
      <c r="N927" s="108">
        <v>10333</v>
      </c>
      <c r="O927" s="108">
        <v>6275</v>
      </c>
      <c r="P927" s="108">
        <v>10597</v>
      </c>
      <c r="Q927" s="108">
        <v>3651</v>
      </c>
      <c r="R927" s="16">
        <f t="shared" ref="R927:R934" si="47">P927+N927+L927</f>
        <v>26034</v>
      </c>
    </row>
    <row r="928" spans="1:18" ht="15.6" x14ac:dyDescent="0.3">
      <c r="A928" s="107">
        <v>40108</v>
      </c>
      <c r="B928" s="108">
        <v>1256</v>
      </c>
      <c r="C928" s="106">
        <v>3244</v>
      </c>
      <c r="D928" s="106">
        <v>594</v>
      </c>
      <c r="E928" s="106">
        <v>1386</v>
      </c>
      <c r="F928" s="106">
        <v>1013</v>
      </c>
      <c r="G928" s="106">
        <v>2109</v>
      </c>
      <c r="H928" s="106">
        <v>961</v>
      </c>
      <c r="I928" s="106">
        <v>1647</v>
      </c>
      <c r="J928" s="106">
        <v>322</v>
      </c>
      <c r="K928" s="106">
        <v>444</v>
      </c>
      <c r="L928" s="106">
        <v>4146</v>
      </c>
      <c r="M928" s="106">
        <v>8830</v>
      </c>
      <c r="N928" s="106">
        <v>10284</v>
      </c>
      <c r="O928" s="106">
        <v>7002</v>
      </c>
      <c r="P928" s="108">
        <v>18965</v>
      </c>
      <c r="Q928" s="106">
        <v>3986</v>
      </c>
      <c r="R928" s="16">
        <f t="shared" si="47"/>
        <v>33395</v>
      </c>
    </row>
    <row r="929" spans="1:18" ht="15.6" x14ac:dyDescent="0.3">
      <c r="A929" s="107">
        <v>39751</v>
      </c>
      <c r="B929" s="108">
        <v>2121</v>
      </c>
      <c r="C929" s="108">
        <v>7114</v>
      </c>
      <c r="D929" s="108">
        <v>980</v>
      </c>
      <c r="E929" s="108">
        <v>3151</v>
      </c>
      <c r="F929" s="108">
        <v>1305</v>
      </c>
      <c r="G929" s="108">
        <v>2406</v>
      </c>
      <c r="H929" s="108">
        <v>608</v>
      </c>
      <c r="I929" s="108">
        <v>1223</v>
      </c>
      <c r="J929" s="108">
        <v>80</v>
      </c>
      <c r="K929" s="108">
        <v>227</v>
      </c>
      <c r="L929" s="108">
        <v>5093</v>
      </c>
      <c r="M929" s="108">
        <v>14120</v>
      </c>
      <c r="N929" s="108">
        <v>10186</v>
      </c>
      <c r="O929" s="108">
        <v>6894</v>
      </c>
      <c r="P929" s="108">
        <v>10003</v>
      </c>
      <c r="Q929" s="108">
        <v>5140</v>
      </c>
      <c r="R929" s="16">
        <f t="shared" si="47"/>
        <v>25282</v>
      </c>
    </row>
    <row r="930" spans="1:18" ht="15.6" x14ac:dyDescent="0.3">
      <c r="A930" s="107">
        <v>40115</v>
      </c>
      <c r="B930" s="108">
        <v>1263</v>
      </c>
      <c r="C930" s="106">
        <v>3346</v>
      </c>
      <c r="D930" s="106">
        <v>557</v>
      </c>
      <c r="E930" s="106">
        <v>1462</v>
      </c>
      <c r="F930" s="106">
        <v>1020</v>
      </c>
      <c r="G930" s="106">
        <v>2167</v>
      </c>
      <c r="H930" s="106">
        <v>980</v>
      </c>
      <c r="I930" s="106">
        <v>1677</v>
      </c>
      <c r="J930" s="106">
        <v>322</v>
      </c>
      <c r="K930" s="106">
        <v>468</v>
      </c>
      <c r="L930" s="106">
        <v>4141</v>
      </c>
      <c r="M930" s="106">
        <v>9120</v>
      </c>
      <c r="N930" s="106">
        <v>10140</v>
      </c>
      <c r="O930" s="106">
        <v>7710</v>
      </c>
      <c r="P930" s="108">
        <v>17795</v>
      </c>
      <c r="Q930" s="106">
        <v>5679</v>
      </c>
      <c r="R930" s="16">
        <f t="shared" si="47"/>
        <v>32076</v>
      </c>
    </row>
    <row r="931" spans="1:18" ht="15.6" x14ac:dyDescent="0.3">
      <c r="A931" s="107">
        <v>39758</v>
      </c>
      <c r="B931" s="108">
        <v>2046</v>
      </c>
      <c r="C931" s="108">
        <v>7272</v>
      </c>
      <c r="D931" s="108">
        <v>972</v>
      </c>
      <c r="E931" s="108">
        <v>3274</v>
      </c>
      <c r="F931" s="108">
        <v>1248</v>
      </c>
      <c r="G931" s="108">
        <v>2499</v>
      </c>
      <c r="H931" s="108">
        <v>548</v>
      </c>
      <c r="I931" s="108">
        <v>1291</v>
      </c>
      <c r="J931" s="108">
        <v>80</v>
      </c>
      <c r="K931" s="108">
        <v>233</v>
      </c>
      <c r="L931" s="108">
        <v>4893</v>
      </c>
      <c r="M931" s="108">
        <v>14568</v>
      </c>
      <c r="N931" s="108">
        <v>9733</v>
      </c>
      <c r="O931" s="108">
        <v>7702</v>
      </c>
      <c r="P931" s="108">
        <v>9439</v>
      </c>
      <c r="Q931" s="108">
        <v>6182</v>
      </c>
      <c r="R931" s="16">
        <f t="shared" si="47"/>
        <v>24065</v>
      </c>
    </row>
    <row r="932" spans="1:18" ht="15.6" x14ac:dyDescent="0.3">
      <c r="A932" s="107">
        <v>40122</v>
      </c>
      <c r="B932" s="108">
        <v>1406</v>
      </c>
      <c r="C932" s="106">
        <v>3431</v>
      </c>
      <c r="D932" s="106">
        <v>540</v>
      </c>
      <c r="E932" s="106">
        <v>1506</v>
      </c>
      <c r="F932" s="106">
        <v>1026</v>
      </c>
      <c r="G932" s="106">
        <v>2250</v>
      </c>
      <c r="H932" s="106">
        <v>826</v>
      </c>
      <c r="I932" s="106">
        <v>1876</v>
      </c>
      <c r="J932" s="106">
        <v>300</v>
      </c>
      <c r="K932" s="106">
        <v>514</v>
      </c>
      <c r="L932" s="106">
        <v>4097</v>
      </c>
      <c r="M932" s="106">
        <v>9576</v>
      </c>
      <c r="N932" s="106">
        <v>9871</v>
      </c>
      <c r="O932" s="106">
        <v>8468</v>
      </c>
      <c r="P932" s="108">
        <v>17431</v>
      </c>
      <c r="Q932" s="106">
        <v>7251</v>
      </c>
      <c r="R932" s="16">
        <f t="shared" si="47"/>
        <v>31399</v>
      </c>
    </row>
    <row r="933" spans="1:18" ht="15.6" x14ac:dyDescent="0.3">
      <c r="A933" s="107">
        <v>39765</v>
      </c>
      <c r="B933" s="108">
        <v>2037</v>
      </c>
      <c r="C933" s="108">
        <v>7443</v>
      </c>
      <c r="D933" s="108">
        <v>1033</v>
      </c>
      <c r="E933" s="108">
        <v>3352</v>
      </c>
      <c r="F933" s="108">
        <v>1233</v>
      </c>
      <c r="G933" s="108">
        <v>2647</v>
      </c>
      <c r="H933" s="108">
        <v>570</v>
      </c>
      <c r="I933" s="108">
        <v>1345</v>
      </c>
      <c r="J933" s="108">
        <v>81</v>
      </c>
      <c r="K933" s="108">
        <v>234</v>
      </c>
      <c r="L933" s="108">
        <v>4952</v>
      </c>
      <c r="M933" s="108">
        <v>15020</v>
      </c>
      <c r="N933" s="108">
        <v>9411</v>
      </c>
      <c r="O933" s="108">
        <v>8458</v>
      </c>
      <c r="P933" s="108">
        <v>9163</v>
      </c>
      <c r="Q933" s="108">
        <v>7249</v>
      </c>
      <c r="R933" s="16">
        <f t="shared" si="47"/>
        <v>23526</v>
      </c>
    </row>
    <row r="934" spans="1:18" ht="15.6" x14ac:dyDescent="0.3">
      <c r="A934" s="107">
        <v>40129</v>
      </c>
      <c r="B934" s="108">
        <v>1318</v>
      </c>
      <c r="C934" s="106">
        <v>3642</v>
      </c>
      <c r="D934" s="106">
        <v>505</v>
      </c>
      <c r="E934" s="106">
        <v>1573</v>
      </c>
      <c r="F934" s="106">
        <v>1044</v>
      </c>
      <c r="G934" s="106">
        <v>2366</v>
      </c>
      <c r="H934" s="106">
        <v>793</v>
      </c>
      <c r="I934" s="106">
        <v>1955</v>
      </c>
      <c r="J934" s="106">
        <v>312</v>
      </c>
      <c r="K934" s="106">
        <v>528</v>
      </c>
      <c r="L934" s="106">
        <v>3972</v>
      </c>
      <c r="M934" s="106">
        <v>10063</v>
      </c>
      <c r="N934" s="106">
        <v>9540</v>
      </c>
      <c r="O934" s="106">
        <v>9151</v>
      </c>
      <c r="P934" s="108">
        <v>17057</v>
      </c>
      <c r="Q934" s="106">
        <v>8975</v>
      </c>
      <c r="R934" s="16">
        <f t="shared" si="47"/>
        <v>30569</v>
      </c>
    </row>
    <row r="935" spans="1:18" ht="15.6" x14ac:dyDescent="0.3">
      <c r="A935" s="107">
        <v>39772</v>
      </c>
      <c r="B935" s="108">
        <v>2008</v>
      </c>
      <c r="C935" s="108">
        <v>7715</v>
      </c>
      <c r="D935" s="108">
        <v>959</v>
      </c>
      <c r="E935" s="108">
        <v>3446</v>
      </c>
      <c r="F935" s="108">
        <v>1174</v>
      </c>
      <c r="G935" s="108">
        <v>2812</v>
      </c>
      <c r="H935" s="108">
        <v>563</v>
      </c>
      <c r="I935" s="108">
        <v>1384</v>
      </c>
      <c r="J935" s="108">
        <v>115</v>
      </c>
      <c r="K935" s="108">
        <v>236</v>
      </c>
      <c r="L935" s="108">
        <v>4818</v>
      </c>
      <c r="M935" s="108">
        <v>15593</v>
      </c>
      <c r="N935" s="108">
        <v>9110</v>
      </c>
      <c r="O935" s="108">
        <v>9224</v>
      </c>
      <c r="P935" s="108">
        <v>8929</v>
      </c>
      <c r="Q935" s="108">
        <v>8265</v>
      </c>
      <c r="R935" s="16">
        <f t="shared" ref="R935:R942" si="48">P935+N935+L935</f>
        <v>22857</v>
      </c>
    </row>
    <row r="936" spans="1:18" ht="15.6" x14ac:dyDescent="0.3">
      <c r="A936" s="107">
        <v>40136</v>
      </c>
      <c r="B936" s="108">
        <v>1300</v>
      </c>
      <c r="C936" s="106">
        <v>3799</v>
      </c>
      <c r="D936" s="106">
        <v>473</v>
      </c>
      <c r="E936" s="106">
        <v>1617</v>
      </c>
      <c r="F936" s="106">
        <v>1108</v>
      </c>
      <c r="G936" s="106">
        <v>2450</v>
      </c>
      <c r="H936" s="106">
        <v>724</v>
      </c>
      <c r="I936" s="106">
        <v>2055</v>
      </c>
      <c r="J936" s="106">
        <v>303</v>
      </c>
      <c r="K936" s="106">
        <v>558</v>
      </c>
      <c r="L936" s="106">
        <v>3907</v>
      </c>
      <c r="M936" s="106">
        <v>10479</v>
      </c>
      <c r="N936" s="106">
        <v>10136</v>
      </c>
      <c r="O936" s="106">
        <v>9779</v>
      </c>
      <c r="P936" s="108">
        <v>15758</v>
      </c>
      <c r="Q936" s="106">
        <v>11334</v>
      </c>
      <c r="R936" s="16">
        <f t="shared" si="48"/>
        <v>29801</v>
      </c>
    </row>
    <row r="937" spans="1:18" ht="15.6" x14ac:dyDescent="0.3">
      <c r="A937" s="107">
        <v>39779</v>
      </c>
      <c r="B937" s="108">
        <v>1842</v>
      </c>
      <c r="C937" s="108">
        <v>7899</v>
      </c>
      <c r="D937" s="108">
        <v>924</v>
      </c>
      <c r="E937" s="108">
        <v>3492</v>
      </c>
      <c r="F937" s="108">
        <v>1040</v>
      </c>
      <c r="G937" s="108">
        <v>2977</v>
      </c>
      <c r="H937" s="108">
        <v>653</v>
      </c>
      <c r="I937" s="108">
        <v>1420</v>
      </c>
      <c r="J937" s="108">
        <v>104</v>
      </c>
      <c r="K937" s="108">
        <v>268</v>
      </c>
      <c r="L937" s="108">
        <v>4563</v>
      </c>
      <c r="M937" s="108">
        <v>16056</v>
      </c>
      <c r="N937" s="108">
        <v>8524</v>
      </c>
      <c r="O937" s="108">
        <v>10155</v>
      </c>
      <c r="P937" s="108">
        <v>8026</v>
      </c>
      <c r="Q937" s="108">
        <v>9527</v>
      </c>
      <c r="R937" s="16">
        <f t="shared" si="48"/>
        <v>21113</v>
      </c>
    </row>
    <row r="938" spans="1:18" ht="15.6" x14ac:dyDescent="0.3">
      <c r="A938" s="107">
        <v>40143</v>
      </c>
      <c r="B938" s="108">
        <v>1461</v>
      </c>
      <c r="C938" s="106">
        <v>3869</v>
      </c>
      <c r="D938" s="106">
        <v>474</v>
      </c>
      <c r="E938" s="106">
        <v>1646</v>
      </c>
      <c r="F938" s="106">
        <v>1001</v>
      </c>
      <c r="G938" s="106">
        <v>2597</v>
      </c>
      <c r="H938" s="106">
        <v>699</v>
      </c>
      <c r="I938" s="106">
        <v>2150</v>
      </c>
      <c r="J938" s="106">
        <v>278</v>
      </c>
      <c r="K938" s="106">
        <v>603</v>
      </c>
      <c r="L938" s="106">
        <v>3913</v>
      </c>
      <c r="M938" s="106">
        <v>10864</v>
      </c>
      <c r="N938" s="106">
        <v>9915</v>
      </c>
      <c r="O938" s="106">
        <v>10659</v>
      </c>
      <c r="P938" s="108">
        <v>15116</v>
      </c>
      <c r="Q938" s="106">
        <v>12698</v>
      </c>
      <c r="R938" s="16">
        <f t="shared" si="48"/>
        <v>28944</v>
      </c>
    </row>
    <row r="939" spans="1:18" ht="15.6" x14ac:dyDescent="0.3">
      <c r="A939" s="107">
        <v>39786</v>
      </c>
      <c r="B939" s="108">
        <v>1836</v>
      </c>
      <c r="C939" s="108">
        <v>7970</v>
      </c>
      <c r="D939" s="108">
        <v>901</v>
      </c>
      <c r="E939" s="108">
        <v>3534</v>
      </c>
      <c r="F939" s="108">
        <v>1096</v>
      </c>
      <c r="G939" s="108">
        <v>3032</v>
      </c>
      <c r="H939" s="108">
        <v>543</v>
      </c>
      <c r="I939" s="108">
        <v>1573</v>
      </c>
      <c r="J939" s="108">
        <v>104</v>
      </c>
      <c r="K939" s="108">
        <v>270</v>
      </c>
      <c r="L939" s="108">
        <v>4480</v>
      </c>
      <c r="M939" s="108">
        <v>16378</v>
      </c>
      <c r="N939" s="108">
        <v>8764</v>
      </c>
      <c r="O939" s="108">
        <v>10843</v>
      </c>
      <c r="P939" s="108">
        <v>7889</v>
      </c>
      <c r="Q939" s="108">
        <v>10474</v>
      </c>
      <c r="R939" s="16">
        <f t="shared" si="48"/>
        <v>21133</v>
      </c>
    </row>
    <row r="940" spans="1:18" ht="15.6" x14ac:dyDescent="0.3">
      <c r="A940" s="107">
        <v>40150</v>
      </c>
      <c r="B940" s="108">
        <v>1467</v>
      </c>
      <c r="C940" s="106">
        <v>3980</v>
      </c>
      <c r="D940" s="106">
        <v>489</v>
      </c>
      <c r="E940" s="106">
        <v>1675</v>
      </c>
      <c r="F940" s="106">
        <v>930</v>
      </c>
      <c r="G940" s="106">
        <v>2700</v>
      </c>
      <c r="H940" s="106">
        <v>725</v>
      </c>
      <c r="I940" s="106">
        <v>2176</v>
      </c>
      <c r="J940" s="106">
        <v>241</v>
      </c>
      <c r="K940" s="106">
        <v>640</v>
      </c>
      <c r="L940" s="106">
        <v>3851</v>
      </c>
      <c r="M940" s="106">
        <v>11170</v>
      </c>
      <c r="N940" s="106">
        <v>10057</v>
      </c>
      <c r="O940" s="106">
        <v>11365</v>
      </c>
      <c r="P940" s="108">
        <v>13977</v>
      </c>
      <c r="Q940" s="106">
        <v>14642</v>
      </c>
      <c r="R940" s="16">
        <f t="shared" si="48"/>
        <v>27885</v>
      </c>
    </row>
    <row r="941" spans="1:18" ht="15.6" x14ac:dyDescent="0.3">
      <c r="A941" s="107">
        <v>39793</v>
      </c>
      <c r="B941" s="108">
        <v>1841</v>
      </c>
      <c r="C941" s="108">
        <v>8060</v>
      </c>
      <c r="D941" s="108">
        <v>920</v>
      </c>
      <c r="E941" s="108">
        <v>3567</v>
      </c>
      <c r="F941" s="108">
        <v>979</v>
      </c>
      <c r="G941" s="108">
        <v>3224</v>
      </c>
      <c r="H941" s="108">
        <v>511</v>
      </c>
      <c r="I941" s="108">
        <v>1639</v>
      </c>
      <c r="J941" s="108">
        <v>75</v>
      </c>
      <c r="K941" s="108">
        <v>303</v>
      </c>
      <c r="L941" s="108">
        <v>4327</v>
      </c>
      <c r="M941" s="108">
        <v>16793</v>
      </c>
      <c r="N941" s="108">
        <v>8666</v>
      </c>
      <c r="O941" s="108">
        <v>11553</v>
      </c>
      <c r="P941" s="108">
        <v>7628</v>
      </c>
      <c r="Q941" s="108">
        <v>11629</v>
      </c>
      <c r="R941" s="16">
        <f t="shared" si="48"/>
        <v>20621</v>
      </c>
    </row>
    <row r="942" spans="1:18" ht="15.6" x14ac:dyDescent="0.3">
      <c r="A942" s="107">
        <v>40157</v>
      </c>
      <c r="B942" s="108">
        <v>1424</v>
      </c>
      <c r="C942" s="106">
        <v>4172</v>
      </c>
      <c r="D942" s="106">
        <v>512</v>
      </c>
      <c r="E942" s="106">
        <v>1698</v>
      </c>
      <c r="F942" s="106">
        <v>973</v>
      </c>
      <c r="G942" s="106">
        <v>2749</v>
      </c>
      <c r="H942" s="106">
        <v>708</v>
      </c>
      <c r="I942" s="106">
        <v>2251</v>
      </c>
      <c r="J942" s="106">
        <v>241</v>
      </c>
      <c r="K942" s="106">
        <v>640</v>
      </c>
      <c r="L942" s="106">
        <v>3858</v>
      </c>
      <c r="M942" s="106">
        <v>11509</v>
      </c>
      <c r="N942" s="106">
        <v>10507</v>
      </c>
      <c r="O942" s="106">
        <v>12142</v>
      </c>
      <c r="P942" s="108">
        <v>13248</v>
      </c>
      <c r="Q942" s="106">
        <v>16305</v>
      </c>
      <c r="R942" s="16">
        <f t="shared" si="48"/>
        <v>27613</v>
      </c>
    </row>
    <row r="943" spans="1:18" ht="15.6" x14ac:dyDescent="0.3">
      <c r="A943" s="107">
        <v>39800</v>
      </c>
      <c r="B943" s="108">
        <v>1807</v>
      </c>
      <c r="C943" s="108">
        <v>8177</v>
      </c>
      <c r="D943" s="108">
        <v>900</v>
      </c>
      <c r="E943" s="108">
        <v>3651</v>
      </c>
      <c r="F943" s="108">
        <v>938</v>
      </c>
      <c r="G943" s="108">
        <v>3293</v>
      </c>
      <c r="H943" s="108">
        <v>570</v>
      </c>
      <c r="I943" s="108">
        <v>1660</v>
      </c>
      <c r="J943" s="108">
        <v>75</v>
      </c>
      <c r="K943" s="108">
        <v>303</v>
      </c>
      <c r="L943" s="108">
        <v>4290</v>
      </c>
      <c r="M943" s="108">
        <v>17084</v>
      </c>
      <c r="N943" s="108">
        <v>8386</v>
      </c>
      <c r="O943" s="108">
        <v>12385</v>
      </c>
      <c r="P943" s="108">
        <v>7261</v>
      </c>
      <c r="Q943" s="108">
        <v>12581</v>
      </c>
      <c r="R943" s="16">
        <f t="shared" ref="R943:R948" si="49">P943+N943+L943</f>
        <v>19937</v>
      </c>
    </row>
    <row r="944" spans="1:18" ht="15.6" x14ac:dyDescent="0.3">
      <c r="A944" s="107">
        <v>40164</v>
      </c>
      <c r="B944" s="108">
        <v>1369</v>
      </c>
      <c r="C944" s="106">
        <v>4325</v>
      </c>
      <c r="D944" s="106">
        <v>502</v>
      </c>
      <c r="E944" s="106">
        <v>1732</v>
      </c>
      <c r="F944" s="106">
        <v>972</v>
      </c>
      <c r="G944" s="106">
        <v>2800</v>
      </c>
      <c r="H944" s="106">
        <v>670</v>
      </c>
      <c r="I944" s="106">
        <v>2341</v>
      </c>
      <c r="J944" s="106">
        <v>241</v>
      </c>
      <c r="K944" s="106">
        <v>640</v>
      </c>
      <c r="L944" s="106">
        <v>3752</v>
      </c>
      <c r="M944" s="106">
        <v>11837</v>
      </c>
      <c r="N944" s="106">
        <v>11684</v>
      </c>
      <c r="O944" s="106">
        <v>12556</v>
      </c>
      <c r="P944" s="108">
        <v>13551</v>
      </c>
      <c r="Q944" s="106">
        <v>17199</v>
      </c>
      <c r="R944" s="16">
        <f t="shared" si="49"/>
        <v>28987</v>
      </c>
    </row>
    <row r="945" spans="1:18" ht="15.6" x14ac:dyDescent="0.3">
      <c r="A945" s="107">
        <v>39807</v>
      </c>
      <c r="B945" s="108">
        <v>1877</v>
      </c>
      <c r="C945" s="108">
        <v>8210</v>
      </c>
      <c r="D945" s="108">
        <v>956</v>
      </c>
      <c r="E945" s="108">
        <v>3661</v>
      </c>
      <c r="F945" s="108">
        <v>950</v>
      </c>
      <c r="G945" s="108">
        <v>3349</v>
      </c>
      <c r="H945" s="108">
        <v>656</v>
      </c>
      <c r="I945" s="108">
        <v>1738</v>
      </c>
      <c r="J945" s="108">
        <v>91</v>
      </c>
      <c r="K945" s="108">
        <v>303</v>
      </c>
      <c r="L945" s="108">
        <v>4531</v>
      </c>
      <c r="M945" s="108">
        <v>17261</v>
      </c>
      <c r="N945" s="108">
        <v>8054</v>
      </c>
      <c r="O945" s="108">
        <v>12987</v>
      </c>
      <c r="P945" s="108">
        <v>6851</v>
      </c>
      <c r="Q945" s="108">
        <v>13501</v>
      </c>
      <c r="R945" s="16">
        <f t="shared" si="49"/>
        <v>19436</v>
      </c>
    </row>
    <row r="946" spans="1:18" ht="15.6" x14ac:dyDescent="0.3">
      <c r="A946" s="107">
        <v>40171</v>
      </c>
      <c r="B946" s="108">
        <v>1406</v>
      </c>
      <c r="C946" s="106">
        <v>4434</v>
      </c>
      <c r="D946" s="106">
        <v>502</v>
      </c>
      <c r="E946" s="106">
        <v>1762</v>
      </c>
      <c r="F946" s="106">
        <v>955</v>
      </c>
      <c r="G946" s="106">
        <v>2895</v>
      </c>
      <c r="H946" s="106">
        <v>724</v>
      </c>
      <c r="I946" s="106">
        <v>2394</v>
      </c>
      <c r="J946" s="106">
        <v>241</v>
      </c>
      <c r="K946" s="106">
        <v>645</v>
      </c>
      <c r="L946" s="106">
        <v>3828</v>
      </c>
      <c r="M946" s="106">
        <v>12131</v>
      </c>
      <c r="N946" s="106">
        <v>11593</v>
      </c>
      <c r="O946" s="106">
        <v>13420</v>
      </c>
      <c r="P946" s="108">
        <v>12970</v>
      </c>
      <c r="Q946" s="106">
        <v>18579</v>
      </c>
      <c r="R946" s="16">
        <f t="shared" si="49"/>
        <v>28391</v>
      </c>
    </row>
    <row r="947" spans="1:18" ht="15.6" x14ac:dyDescent="0.3">
      <c r="A947" s="107">
        <v>39814</v>
      </c>
      <c r="B947" s="108">
        <v>1797</v>
      </c>
      <c r="C947" s="108">
        <v>8335</v>
      </c>
      <c r="D947" s="108">
        <v>869</v>
      </c>
      <c r="E947" s="108">
        <v>3743</v>
      </c>
      <c r="F947" s="108">
        <v>885</v>
      </c>
      <c r="G947" s="108">
        <v>3417</v>
      </c>
      <c r="H947" s="108">
        <v>579</v>
      </c>
      <c r="I947" s="108">
        <v>1815</v>
      </c>
      <c r="J947" s="108">
        <v>91</v>
      </c>
      <c r="K947" s="108">
        <v>304</v>
      </c>
      <c r="L947" s="108">
        <v>4221</v>
      </c>
      <c r="M947" s="108">
        <v>17613</v>
      </c>
      <c r="N947" s="108">
        <v>7703</v>
      </c>
      <c r="O947" s="108">
        <v>13598</v>
      </c>
      <c r="P947" s="108">
        <v>6576</v>
      </c>
      <c r="Q947" s="108">
        <v>14306</v>
      </c>
      <c r="R947" s="16">
        <f t="shared" si="49"/>
        <v>18500</v>
      </c>
    </row>
    <row r="948" spans="1:18" ht="15.6" x14ac:dyDescent="0.3">
      <c r="A948" s="107">
        <v>40178</v>
      </c>
      <c r="B948" s="108">
        <v>1368</v>
      </c>
      <c r="C948" s="106">
        <v>4544</v>
      </c>
      <c r="D948" s="106">
        <v>482</v>
      </c>
      <c r="E948" s="106">
        <v>1797</v>
      </c>
      <c r="F948" s="106">
        <v>914</v>
      </c>
      <c r="G948" s="106">
        <v>2940</v>
      </c>
      <c r="H948" s="106">
        <v>695</v>
      </c>
      <c r="I948" s="106">
        <v>2425</v>
      </c>
      <c r="J948" s="106">
        <v>218</v>
      </c>
      <c r="K948" s="106">
        <v>669</v>
      </c>
      <c r="L948" s="106">
        <v>3677</v>
      </c>
      <c r="M948" s="106">
        <v>12375</v>
      </c>
      <c r="N948" s="106">
        <v>11160</v>
      </c>
      <c r="O948" s="106">
        <v>14218</v>
      </c>
      <c r="P948" s="108">
        <v>12517</v>
      </c>
      <c r="Q948" s="106">
        <v>19749</v>
      </c>
      <c r="R948" s="16">
        <f t="shared" si="49"/>
        <v>27354</v>
      </c>
    </row>
    <row r="949" spans="1:18" ht="15.6" x14ac:dyDescent="0.3">
      <c r="A949" s="107">
        <v>39821</v>
      </c>
      <c r="B949" s="108">
        <v>1577</v>
      </c>
      <c r="C949" s="108">
        <v>8640</v>
      </c>
      <c r="D949" s="108">
        <v>705</v>
      </c>
      <c r="E949" s="108">
        <v>3810</v>
      </c>
      <c r="F949" s="108">
        <v>804</v>
      </c>
      <c r="G949" s="108">
        <v>3578</v>
      </c>
      <c r="H949" s="108">
        <v>561</v>
      </c>
      <c r="I949" s="108">
        <v>1853</v>
      </c>
      <c r="J949" s="108">
        <v>91</v>
      </c>
      <c r="K949" s="108">
        <v>304</v>
      </c>
      <c r="L949" s="108">
        <v>3738</v>
      </c>
      <c r="M949" s="108">
        <v>18184</v>
      </c>
      <c r="N949" s="108">
        <v>7307</v>
      </c>
      <c r="O949" s="108">
        <v>14210</v>
      </c>
      <c r="P949" s="108">
        <v>7211</v>
      </c>
      <c r="Q949" s="108">
        <v>15033</v>
      </c>
      <c r="R949" s="16">
        <f t="shared" ref="R949:R954" si="50">P949+N949+L949</f>
        <v>18256</v>
      </c>
    </row>
    <row r="950" spans="1:18" ht="15.6" x14ac:dyDescent="0.3">
      <c r="A950" s="107">
        <v>40185</v>
      </c>
      <c r="B950" s="108">
        <v>1323</v>
      </c>
      <c r="C950" s="106">
        <v>4719</v>
      </c>
      <c r="D950" s="106">
        <v>478</v>
      </c>
      <c r="E950" s="106">
        <v>1803</v>
      </c>
      <c r="F950" s="106">
        <v>882</v>
      </c>
      <c r="G950" s="106">
        <v>2995</v>
      </c>
      <c r="H950" s="106">
        <v>671</v>
      </c>
      <c r="I950" s="106">
        <v>2475</v>
      </c>
      <c r="J950" s="106">
        <v>214</v>
      </c>
      <c r="K950" s="106">
        <v>674</v>
      </c>
      <c r="L950" s="106">
        <v>3568</v>
      </c>
      <c r="M950" s="106">
        <v>12666</v>
      </c>
      <c r="N950" s="106">
        <v>10829</v>
      </c>
      <c r="O950" s="106">
        <v>14876</v>
      </c>
      <c r="P950" s="108">
        <v>11648</v>
      </c>
      <c r="Q950" s="106">
        <v>21314</v>
      </c>
      <c r="R950" s="16">
        <f t="shared" si="50"/>
        <v>26045</v>
      </c>
    </row>
    <row r="951" spans="1:18" ht="15.6" x14ac:dyDescent="0.3">
      <c r="A951" s="107">
        <v>39828</v>
      </c>
      <c r="B951" s="108">
        <v>1693</v>
      </c>
      <c r="C951" s="108">
        <v>8682</v>
      </c>
      <c r="D951" s="108">
        <v>666</v>
      </c>
      <c r="E951" s="108">
        <v>3853</v>
      </c>
      <c r="F951" s="108">
        <v>933</v>
      </c>
      <c r="G951" s="108">
        <v>3627</v>
      </c>
      <c r="H951" s="108">
        <v>583</v>
      </c>
      <c r="I951" s="108">
        <v>1898</v>
      </c>
      <c r="J951" s="108">
        <v>91</v>
      </c>
      <c r="K951" s="108">
        <v>305</v>
      </c>
      <c r="L951" s="108">
        <v>3966</v>
      </c>
      <c r="M951" s="108">
        <v>18366</v>
      </c>
      <c r="N951" s="108">
        <v>7709</v>
      </c>
      <c r="O951" s="108">
        <v>14894</v>
      </c>
      <c r="P951" s="108">
        <v>7518</v>
      </c>
      <c r="Q951" s="108">
        <v>16050</v>
      </c>
      <c r="R951" s="16">
        <f t="shared" si="50"/>
        <v>19193</v>
      </c>
    </row>
    <row r="952" spans="1:18" ht="15.6" x14ac:dyDescent="0.3">
      <c r="A952" s="107">
        <v>40192</v>
      </c>
      <c r="B952" s="108">
        <v>1552</v>
      </c>
      <c r="C952" s="106">
        <v>4806</v>
      </c>
      <c r="D952" s="106">
        <v>465</v>
      </c>
      <c r="E952" s="106">
        <v>1876</v>
      </c>
      <c r="F952" s="106">
        <v>1052</v>
      </c>
      <c r="G952" s="106">
        <v>3086</v>
      </c>
      <c r="H952" s="106">
        <v>798</v>
      </c>
      <c r="I952" s="106">
        <v>2514</v>
      </c>
      <c r="J952" s="106">
        <v>210</v>
      </c>
      <c r="K952" s="106">
        <v>701</v>
      </c>
      <c r="L952" s="106">
        <v>4077</v>
      </c>
      <c r="M952" s="106">
        <v>12983</v>
      </c>
      <c r="N952" s="106">
        <v>11604</v>
      </c>
      <c r="O952" s="106">
        <v>15712</v>
      </c>
      <c r="P952" s="108">
        <v>11031</v>
      </c>
      <c r="Q952" s="106">
        <v>22860</v>
      </c>
      <c r="R952" s="16">
        <f t="shared" si="50"/>
        <v>26712</v>
      </c>
    </row>
    <row r="953" spans="1:18" ht="15.6" x14ac:dyDescent="0.3">
      <c r="A953" s="107">
        <v>39835</v>
      </c>
      <c r="B953" s="108">
        <v>1294</v>
      </c>
      <c r="C953" s="108">
        <v>8833</v>
      </c>
      <c r="D953" s="108">
        <v>699</v>
      </c>
      <c r="E953" s="108">
        <v>3892</v>
      </c>
      <c r="F953" s="108">
        <v>850</v>
      </c>
      <c r="G953" s="108">
        <v>3745</v>
      </c>
      <c r="H953" s="108">
        <v>725</v>
      </c>
      <c r="I953" s="108">
        <v>1922</v>
      </c>
      <c r="J953" s="108">
        <v>75</v>
      </c>
      <c r="K953" s="108">
        <v>320</v>
      </c>
      <c r="L953" s="108">
        <v>3644</v>
      </c>
      <c r="M953" s="108">
        <v>18711</v>
      </c>
      <c r="N953" s="108">
        <v>8078</v>
      </c>
      <c r="O953" s="108">
        <v>15633</v>
      </c>
      <c r="P953" s="108">
        <v>7086</v>
      </c>
      <c r="Q953" s="108">
        <v>17008</v>
      </c>
      <c r="R953" s="16">
        <f t="shared" si="50"/>
        <v>18808</v>
      </c>
    </row>
    <row r="954" spans="1:18" ht="15.6" x14ac:dyDescent="0.3">
      <c r="A954" s="107">
        <v>40199</v>
      </c>
      <c r="B954" s="108">
        <v>1677</v>
      </c>
      <c r="C954" s="106">
        <v>5028</v>
      </c>
      <c r="D954" s="106">
        <v>470</v>
      </c>
      <c r="E954" s="106">
        <v>1918</v>
      </c>
      <c r="F954" s="106">
        <v>1078</v>
      </c>
      <c r="G954" s="106">
        <v>3173</v>
      </c>
      <c r="H954" s="106">
        <v>900</v>
      </c>
      <c r="I954" s="106">
        <v>2586</v>
      </c>
      <c r="J954" s="106">
        <v>189</v>
      </c>
      <c r="K954" s="106">
        <v>703</v>
      </c>
      <c r="L954" s="106">
        <v>4313</v>
      </c>
      <c r="M954" s="106">
        <v>13407</v>
      </c>
      <c r="N954" s="106">
        <v>11974</v>
      </c>
      <c r="O954" s="106">
        <v>16244</v>
      </c>
      <c r="P954" s="108">
        <v>10310</v>
      </c>
      <c r="Q954" s="106">
        <v>24254</v>
      </c>
      <c r="R954" s="16">
        <f t="shared" si="50"/>
        <v>26597</v>
      </c>
    </row>
    <row r="955" spans="1:18" ht="15.6" x14ac:dyDescent="0.3">
      <c r="A955" s="107">
        <v>39842</v>
      </c>
      <c r="B955" s="108">
        <v>1307</v>
      </c>
      <c r="C955" s="108">
        <v>8960</v>
      </c>
      <c r="D955" s="108">
        <v>678</v>
      </c>
      <c r="E955" s="108">
        <v>3928</v>
      </c>
      <c r="F955" s="108">
        <v>837</v>
      </c>
      <c r="G955" s="108">
        <v>3823</v>
      </c>
      <c r="H955" s="108">
        <v>692</v>
      </c>
      <c r="I955" s="108">
        <v>2046</v>
      </c>
      <c r="J955" s="108">
        <v>53</v>
      </c>
      <c r="K955" s="108">
        <v>358</v>
      </c>
      <c r="L955" s="108">
        <v>3568</v>
      </c>
      <c r="M955" s="108">
        <v>19114</v>
      </c>
      <c r="N955" s="108">
        <v>8497</v>
      </c>
      <c r="O955" s="108">
        <v>16378</v>
      </c>
      <c r="P955" s="108">
        <v>6359</v>
      </c>
      <c r="Q955" s="108">
        <v>18072</v>
      </c>
      <c r="R955" s="16">
        <f t="shared" ref="R955:R960" si="51">P955+N955+L955</f>
        <v>18424</v>
      </c>
    </row>
    <row r="956" spans="1:18" ht="15.6" x14ac:dyDescent="0.3">
      <c r="A956" s="107">
        <v>40206</v>
      </c>
      <c r="B956" s="108">
        <v>1644</v>
      </c>
      <c r="C956" s="106">
        <v>5208</v>
      </c>
      <c r="D956" s="106">
        <v>484</v>
      </c>
      <c r="E956" s="106">
        <v>1977</v>
      </c>
      <c r="F956" s="106">
        <v>1073</v>
      </c>
      <c r="G956" s="106">
        <v>3299</v>
      </c>
      <c r="H956" s="106">
        <v>886</v>
      </c>
      <c r="I956" s="106">
        <v>2647</v>
      </c>
      <c r="J956" s="106">
        <v>194</v>
      </c>
      <c r="K956" s="106">
        <v>705</v>
      </c>
      <c r="L956" s="106">
        <v>4282</v>
      </c>
      <c r="M956" s="106">
        <v>13857</v>
      </c>
      <c r="N956" s="106">
        <v>11775</v>
      </c>
      <c r="O956" s="106">
        <v>17367</v>
      </c>
      <c r="P956" s="108">
        <v>9417</v>
      </c>
      <c r="Q956" s="106">
        <v>25529</v>
      </c>
      <c r="R956" s="16">
        <f t="shared" si="51"/>
        <v>25474</v>
      </c>
    </row>
    <row r="957" spans="1:18" ht="15.6" x14ac:dyDescent="0.3">
      <c r="A957" s="107">
        <v>39849</v>
      </c>
      <c r="B957" s="108">
        <v>1191</v>
      </c>
      <c r="C957" s="108">
        <v>9199</v>
      </c>
      <c r="D957" s="108">
        <v>748</v>
      </c>
      <c r="E957" s="108">
        <v>3979</v>
      </c>
      <c r="F957" s="108">
        <v>792</v>
      </c>
      <c r="G957" s="108">
        <v>3930</v>
      </c>
      <c r="H957" s="108">
        <v>679</v>
      </c>
      <c r="I957" s="108">
        <v>2165</v>
      </c>
      <c r="J957" s="108">
        <v>53</v>
      </c>
      <c r="K957" s="108">
        <v>358</v>
      </c>
      <c r="L957" s="108">
        <v>3462</v>
      </c>
      <c r="M957" s="108">
        <v>19632</v>
      </c>
      <c r="N957" s="108">
        <v>9473</v>
      </c>
      <c r="O957" s="108">
        <v>16946</v>
      </c>
      <c r="P957" s="108">
        <v>6035</v>
      </c>
      <c r="Q957" s="108">
        <v>19465</v>
      </c>
      <c r="R957" s="16">
        <f t="shared" si="51"/>
        <v>18970</v>
      </c>
    </row>
    <row r="958" spans="1:18" ht="15.6" x14ac:dyDescent="0.3">
      <c r="A958" s="107">
        <v>40213</v>
      </c>
      <c r="B958" s="108">
        <v>1653</v>
      </c>
      <c r="C958" s="106">
        <v>5385</v>
      </c>
      <c r="D958" s="106">
        <v>506</v>
      </c>
      <c r="E958" s="106">
        <v>2040</v>
      </c>
      <c r="F958" s="106">
        <v>1061</v>
      </c>
      <c r="G958" s="106">
        <v>3366</v>
      </c>
      <c r="H958" s="106">
        <v>952</v>
      </c>
      <c r="I958" s="106">
        <v>2801</v>
      </c>
      <c r="J958" s="106">
        <v>210</v>
      </c>
      <c r="K958" s="106">
        <v>713</v>
      </c>
      <c r="L958" s="106">
        <v>4382</v>
      </c>
      <c r="M958" s="106">
        <v>14305</v>
      </c>
      <c r="N958" s="106">
        <v>11914</v>
      </c>
      <c r="O958" s="106">
        <v>17971</v>
      </c>
      <c r="P958" s="108">
        <v>8531</v>
      </c>
      <c r="Q958" s="106">
        <v>26728</v>
      </c>
      <c r="R958" s="16">
        <f t="shared" si="51"/>
        <v>24827</v>
      </c>
    </row>
    <row r="959" spans="1:18" ht="15.6" x14ac:dyDescent="0.3">
      <c r="A959" s="107">
        <v>39856</v>
      </c>
      <c r="B959" s="108">
        <v>1232</v>
      </c>
      <c r="C959" s="108">
        <v>9271</v>
      </c>
      <c r="D959" s="108">
        <v>733</v>
      </c>
      <c r="E959" s="108">
        <v>4051</v>
      </c>
      <c r="F959" s="108">
        <v>856</v>
      </c>
      <c r="G959" s="108">
        <v>4007</v>
      </c>
      <c r="H959" s="108">
        <v>768</v>
      </c>
      <c r="I959" s="108">
        <v>2197</v>
      </c>
      <c r="J959" s="108">
        <v>53</v>
      </c>
      <c r="K959" s="108">
        <v>359</v>
      </c>
      <c r="L959" s="108">
        <v>3643</v>
      </c>
      <c r="M959" s="108">
        <v>19884</v>
      </c>
      <c r="N959" s="108">
        <v>9894</v>
      </c>
      <c r="O959" s="108">
        <v>17857</v>
      </c>
      <c r="P959" s="108">
        <v>5870</v>
      </c>
      <c r="Q959" s="108">
        <v>20724</v>
      </c>
      <c r="R959" s="16">
        <f t="shared" si="51"/>
        <v>19407</v>
      </c>
    </row>
    <row r="960" spans="1:18" ht="15.6" x14ac:dyDescent="0.3">
      <c r="A960" s="107">
        <v>40220</v>
      </c>
      <c r="B960" s="108">
        <v>1714</v>
      </c>
      <c r="C960" s="106">
        <v>5577</v>
      </c>
      <c r="D960" s="106">
        <v>531</v>
      </c>
      <c r="E960" s="106">
        <v>2062</v>
      </c>
      <c r="F960" s="106">
        <v>1115</v>
      </c>
      <c r="G960" s="106">
        <v>3444</v>
      </c>
      <c r="H960" s="106">
        <v>880</v>
      </c>
      <c r="I960" s="106">
        <v>2849</v>
      </c>
      <c r="J960" s="106">
        <v>186</v>
      </c>
      <c r="K960" s="106">
        <v>738</v>
      </c>
      <c r="L960" s="106">
        <v>4427</v>
      </c>
      <c r="M960" s="106">
        <v>14670</v>
      </c>
      <c r="N960" s="106">
        <v>12236</v>
      </c>
      <c r="O960" s="106">
        <v>18623</v>
      </c>
      <c r="P960" s="108">
        <v>7615</v>
      </c>
      <c r="Q960" s="106">
        <v>27847</v>
      </c>
      <c r="R960" s="16">
        <f t="shared" si="51"/>
        <v>24278</v>
      </c>
    </row>
    <row r="961" spans="1:18" ht="15.6" x14ac:dyDescent="0.3">
      <c r="A961" s="107">
        <v>39863</v>
      </c>
      <c r="B961" s="108">
        <v>1344</v>
      </c>
      <c r="C961" s="108">
        <v>9346</v>
      </c>
      <c r="D961" s="108">
        <v>765</v>
      </c>
      <c r="E961" s="108">
        <v>4081</v>
      </c>
      <c r="F961" s="108">
        <v>900</v>
      </c>
      <c r="G961" s="108">
        <v>4070</v>
      </c>
      <c r="H961" s="108">
        <v>751</v>
      </c>
      <c r="I961" s="108">
        <v>2324</v>
      </c>
      <c r="J961" s="108">
        <v>51</v>
      </c>
      <c r="K961" s="108">
        <v>360</v>
      </c>
      <c r="L961" s="108">
        <v>3811</v>
      </c>
      <c r="M961" s="108">
        <v>20181</v>
      </c>
      <c r="N961" s="108">
        <v>9572</v>
      </c>
      <c r="O961" s="108">
        <v>18629</v>
      </c>
      <c r="P961" s="108">
        <v>5301</v>
      </c>
      <c r="Q961" s="108">
        <v>21632</v>
      </c>
      <c r="R961" s="16">
        <f t="shared" ref="R961:R966" si="52">P961+N961+L961</f>
        <v>18684</v>
      </c>
    </row>
    <row r="962" spans="1:18" ht="15.6" x14ac:dyDescent="0.3">
      <c r="A962" s="107">
        <v>40227</v>
      </c>
      <c r="B962" s="108">
        <v>1748</v>
      </c>
      <c r="C962" s="106">
        <v>5798</v>
      </c>
      <c r="D962" s="106">
        <v>534</v>
      </c>
      <c r="E962" s="106">
        <v>2092</v>
      </c>
      <c r="F962" s="106">
        <v>1052</v>
      </c>
      <c r="G962" s="106">
        <v>3578</v>
      </c>
      <c r="H962" s="106">
        <v>822</v>
      </c>
      <c r="I962" s="106">
        <v>2922</v>
      </c>
      <c r="J962" s="106">
        <v>186</v>
      </c>
      <c r="K962" s="106">
        <v>738</v>
      </c>
      <c r="L962" s="106">
        <v>4342</v>
      </c>
      <c r="M962" s="106">
        <v>15129</v>
      </c>
      <c r="N962" s="106">
        <v>11397</v>
      </c>
      <c r="O962" s="106">
        <v>19839</v>
      </c>
      <c r="P962" s="108">
        <v>6732</v>
      </c>
      <c r="Q962" s="106">
        <v>28969</v>
      </c>
      <c r="R962" s="16">
        <f t="shared" si="52"/>
        <v>22471</v>
      </c>
    </row>
    <row r="963" spans="1:18" ht="15.6" x14ac:dyDescent="0.3">
      <c r="A963" s="107">
        <v>39870</v>
      </c>
      <c r="B963" s="108">
        <v>1289</v>
      </c>
      <c r="C963" s="108">
        <v>9473</v>
      </c>
      <c r="D963" s="108">
        <v>729</v>
      </c>
      <c r="E963" s="108">
        <v>4160</v>
      </c>
      <c r="F963" s="108">
        <v>954</v>
      </c>
      <c r="G963" s="108">
        <v>4099</v>
      </c>
      <c r="H963" s="108">
        <v>822</v>
      </c>
      <c r="I963" s="108">
        <v>2341</v>
      </c>
      <c r="J963" s="108">
        <v>51</v>
      </c>
      <c r="K963" s="108">
        <v>360</v>
      </c>
      <c r="L963" s="108">
        <v>3844</v>
      </c>
      <c r="M963" s="108">
        <v>20433</v>
      </c>
      <c r="N963" s="108">
        <v>9455</v>
      </c>
      <c r="O963" s="108">
        <v>19537</v>
      </c>
      <c r="P963" s="108">
        <v>4705</v>
      </c>
      <c r="Q963" s="108">
        <v>22384</v>
      </c>
      <c r="R963" s="16">
        <f t="shared" si="52"/>
        <v>18004</v>
      </c>
    </row>
    <row r="964" spans="1:18" ht="15.6" x14ac:dyDescent="0.3">
      <c r="A964" s="107">
        <v>40234</v>
      </c>
      <c r="B964" s="108">
        <v>1563</v>
      </c>
      <c r="C964" s="106">
        <v>6036</v>
      </c>
      <c r="D964" s="106">
        <v>526</v>
      </c>
      <c r="E964" s="106">
        <v>2120</v>
      </c>
      <c r="F964" s="106">
        <v>962</v>
      </c>
      <c r="G964" s="106">
        <v>3697</v>
      </c>
      <c r="H964" s="106">
        <v>736</v>
      </c>
      <c r="I964" s="106">
        <v>3011</v>
      </c>
      <c r="J964" s="106">
        <v>186</v>
      </c>
      <c r="K964" s="106">
        <v>738</v>
      </c>
      <c r="L964" s="106">
        <v>3971</v>
      </c>
      <c r="M964" s="106">
        <v>15602</v>
      </c>
      <c r="N964" s="106">
        <v>11103</v>
      </c>
      <c r="O964" s="106">
        <v>20894</v>
      </c>
      <c r="P964" s="108">
        <v>5817</v>
      </c>
      <c r="Q964" s="106">
        <v>30667</v>
      </c>
      <c r="R964" s="16">
        <f t="shared" si="52"/>
        <v>20891</v>
      </c>
    </row>
    <row r="965" spans="1:18" ht="15.6" x14ac:dyDescent="0.3">
      <c r="A965" s="107">
        <v>39877</v>
      </c>
      <c r="B965" s="108">
        <v>1240</v>
      </c>
      <c r="C965" s="108">
        <v>9640</v>
      </c>
      <c r="D965" s="108">
        <v>758</v>
      </c>
      <c r="E965" s="108">
        <v>4193</v>
      </c>
      <c r="F965" s="108">
        <v>915</v>
      </c>
      <c r="G965" s="108">
        <v>4257</v>
      </c>
      <c r="H965" s="108">
        <v>764</v>
      </c>
      <c r="I965" s="108">
        <v>2436</v>
      </c>
      <c r="J965" s="108">
        <v>79</v>
      </c>
      <c r="K965" s="108">
        <v>360</v>
      </c>
      <c r="L965" s="108">
        <v>3755</v>
      </c>
      <c r="M965" s="108">
        <v>20885</v>
      </c>
      <c r="N965" s="108">
        <v>9478</v>
      </c>
      <c r="O965" s="108">
        <v>20606</v>
      </c>
      <c r="P965" s="108">
        <v>4656</v>
      </c>
      <c r="Q965" s="108">
        <v>23270</v>
      </c>
      <c r="R965" s="16">
        <f t="shared" si="52"/>
        <v>17889</v>
      </c>
    </row>
    <row r="966" spans="1:18" ht="15.6" x14ac:dyDescent="0.3">
      <c r="A966" s="107">
        <v>40241</v>
      </c>
      <c r="B966" s="108">
        <v>1524</v>
      </c>
      <c r="C966" s="106">
        <v>6272</v>
      </c>
      <c r="D966" s="106">
        <v>531</v>
      </c>
      <c r="E966" s="106">
        <v>2168</v>
      </c>
      <c r="F966" s="106">
        <v>940</v>
      </c>
      <c r="G966" s="106">
        <v>3825</v>
      </c>
      <c r="H966" s="106">
        <v>638</v>
      </c>
      <c r="I966" s="106">
        <v>3134</v>
      </c>
      <c r="J966" s="106">
        <v>207</v>
      </c>
      <c r="K966" s="106">
        <v>743</v>
      </c>
      <c r="L966" s="106">
        <v>3838</v>
      </c>
      <c r="M966" s="106">
        <v>16143</v>
      </c>
      <c r="N966" s="106">
        <v>10477</v>
      </c>
      <c r="O966" s="106">
        <v>21859</v>
      </c>
      <c r="P966" s="108">
        <v>4768</v>
      </c>
      <c r="Q966" s="106">
        <v>31000</v>
      </c>
      <c r="R966" s="16">
        <f t="shared" si="52"/>
        <v>19083</v>
      </c>
    </row>
    <row r="967" spans="1:18" ht="15.6" x14ac:dyDescent="0.3">
      <c r="A967" s="107">
        <v>39884</v>
      </c>
      <c r="B967" s="108">
        <v>1166</v>
      </c>
      <c r="C967" s="108">
        <v>9770</v>
      </c>
      <c r="D967" s="108">
        <v>717</v>
      </c>
      <c r="E967" s="108">
        <v>4262</v>
      </c>
      <c r="F967" s="108">
        <v>934</v>
      </c>
      <c r="G967" s="108">
        <v>4310</v>
      </c>
      <c r="H967" s="108">
        <v>761</v>
      </c>
      <c r="I967" s="108">
        <v>2495</v>
      </c>
      <c r="J967" s="108">
        <v>79</v>
      </c>
      <c r="K967" s="108">
        <v>360</v>
      </c>
      <c r="L967" s="108">
        <v>3658</v>
      </c>
      <c r="M967" s="108">
        <v>21197</v>
      </c>
      <c r="N967" s="108">
        <v>8985</v>
      </c>
      <c r="O967" s="108">
        <v>21540</v>
      </c>
      <c r="P967" s="108">
        <v>4170</v>
      </c>
      <c r="Q967" s="108">
        <v>23899</v>
      </c>
      <c r="R967" s="16">
        <f t="shared" ref="R967:R974" si="53">P967+N967+L967</f>
        <v>16813</v>
      </c>
    </row>
    <row r="968" spans="1:18" ht="15.6" x14ac:dyDescent="0.3">
      <c r="A968" s="107">
        <v>40248</v>
      </c>
      <c r="B968" s="108">
        <v>1476</v>
      </c>
      <c r="C968" s="106">
        <v>6399</v>
      </c>
      <c r="D968" s="106">
        <v>518</v>
      </c>
      <c r="E968" s="106">
        <v>2180</v>
      </c>
      <c r="F968" s="106">
        <v>1070</v>
      </c>
      <c r="G968" s="106">
        <v>3868</v>
      </c>
      <c r="H968" s="106">
        <v>677</v>
      </c>
      <c r="I968" s="106">
        <v>3144</v>
      </c>
      <c r="J968" s="106">
        <v>165</v>
      </c>
      <c r="K968" s="106">
        <v>808</v>
      </c>
      <c r="L968" s="106">
        <v>3906</v>
      </c>
      <c r="M968" s="106">
        <v>16400</v>
      </c>
      <c r="N968" s="106">
        <v>10269</v>
      </c>
      <c r="O968" s="106">
        <v>22814</v>
      </c>
      <c r="P968" s="108">
        <v>4069</v>
      </c>
      <c r="Q968" s="106">
        <v>31913</v>
      </c>
      <c r="R968" s="16">
        <f t="shared" si="53"/>
        <v>18244</v>
      </c>
    </row>
    <row r="969" spans="1:18" ht="15.6" x14ac:dyDescent="0.3">
      <c r="A969" s="107">
        <v>39891</v>
      </c>
      <c r="B969" s="108">
        <v>1191</v>
      </c>
      <c r="C969" s="108">
        <v>9968</v>
      </c>
      <c r="D969" s="108">
        <v>556</v>
      </c>
      <c r="E969" s="108">
        <v>4458</v>
      </c>
      <c r="F969" s="108">
        <v>930</v>
      </c>
      <c r="G969" s="108">
        <v>4380</v>
      </c>
      <c r="H969" s="108">
        <v>673</v>
      </c>
      <c r="I969" s="108">
        <v>2622</v>
      </c>
      <c r="J969" s="108">
        <v>79</v>
      </c>
      <c r="K969" s="108">
        <v>632</v>
      </c>
      <c r="L969" s="108">
        <v>3329</v>
      </c>
      <c r="M969" s="108">
        <v>21790</v>
      </c>
      <c r="N969" s="108">
        <v>9400</v>
      </c>
      <c r="O969" s="108">
        <v>22316</v>
      </c>
      <c r="P969" s="108">
        <v>4105</v>
      </c>
      <c r="Q969" s="108">
        <v>24393</v>
      </c>
      <c r="R969" s="16">
        <f t="shared" si="53"/>
        <v>16834</v>
      </c>
    </row>
    <row r="970" spans="1:18" ht="15.6" x14ac:dyDescent="0.3">
      <c r="A970" s="107">
        <v>40255</v>
      </c>
      <c r="B970" s="108">
        <v>1490</v>
      </c>
      <c r="C970" s="106">
        <v>6588</v>
      </c>
      <c r="D970" s="106">
        <v>497</v>
      </c>
      <c r="E970" s="106">
        <v>2271</v>
      </c>
      <c r="F970" s="106">
        <v>1031</v>
      </c>
      <c r="G970" s="106">
        <v>3951</v>
      </c>
      <c r="H970" s="106">
        <v>656</v>
      </c>
      <c r="I970" s="106">
        <v>3212</v>
      </c>
      <c r="J970" s="106">
        <v>151</v>
      </c>
      <c r="K970" s="106">
        <v>831</v>
      </c>
      <c r="L970" s="106">
        <v>3824</v>
      </c>
      <c r="M970" s="106">
        <v>16854</v>
      </c>
      <c r="N970" s="106">
        <v>9715</v>
      </c>
      <c r="O970" s="106">
        <v>23975</v>
      </c>
      <c r="P970" s="108">
        <v>3546</v>
      </c>
      <c r="Q970" s="106">
        <v>32652</v>
      </c>
      <c r="R970" s="16">
        <f t="shared" si="53"/>
        <v>17085</v>
      </c>
    </row>
    <row r="971" spans="1:18" ht="15.6" x14ac:dyDescent="0.3">
      <c r="A971" s="107">
        <v>39898</v>
      </c>
      <c r="B971" s="108">
        <v>1010</v>
      </c>
      <c r="C971" s="108">
        <v>10115</v>
      </c>
      <c r="D971" s="108">
        <v>486</v>
      </c>
      <c r="E971" s="108">
        <v>4541</v>
      </c>
      <c r="F971" s="108">
        <v>965</v>
      </c>
      <c r="G971" s="108">
        <v>4469</v>
      </c>
      <c r="H971" s="108">
        <v>709</v>
      </c>
      <c r="I971" s="108">
        <v>2677</v>
      </c>
      <c r="J971" s="108">
        <v>66</v>
      </c>
      <c r="K971" s="108">
        <v>365</v>
      </c>
      <c r="L971" s="108">
        <v>3236</v>
      </c>
      <c r="M971" s="108">
        <v>22167</v>
      </c>
      <c r="N971" s="108">
        <v>9657</v>
      </c>
      <c r="O971" s="108">
        <v>23310</v>
      </c>
      <c r="P971" s="108">
        <v>3955</v>
      </c>
      <c r="Q971" s="108">
        <v>25144</v>
      </c>
      <c r="R971" s="16">
        <f t="shared" si="53"/>
        <v>16848</v>
      </c>
    </row>
    <row r="972" spans="1:18" ht="15.6" x14ac:dyDescent="0.3">
      <c r="A972" s="107">
        <v>40262</v>
      </c>
      <c r="B972" s="108">
        <v>1268</v>
      </c>
      <c r="C972" s="106">
        <v>6881</v>
      </c>
      <c r="D972" s="106">
        <v>478</v>
      </c>
      <c r="E972" s="106">
        <v>2309</v>
      </c>
      <c r="F972" s="106">
        <v>977</v>
      </c>
      <c r="G972" s="106">
        <v>4282</v>
      </c>
      <c r="H972" s="106">
        <v>685</v>
      </c>
      <c r="I972" s="106">
        <v>3243</v>
      </c>
      <c r="J972" s="106">
        <v>155</v>
      </c>
      <c r="K972" s="106">
        <v>831</v>
      </c>
      <c r="L972" s="106">
        <v>3562</v>
      </c>
      <c r="M972" s="106">
        <v>17546</v>
      </c>
      <c r="N972" s="106">
        <v>9327</v>
      </c>
      <c r="O972" s="106">
        <v>25190</v>
      </c>
      <c r="P972" s="108">
        <v>2691</v>
      </c>
      <c r="Q972" s="106">
        <v>33686</v>
      </c>
      <c r="R972" s="16">
        <f t="shared" si="53"/>
        <v>15580</v>
      </c>
    </row>
    <row r="973" spans="1:18" ht="15.6" x14ac:dyDescent="0.3">
      <c r="A973" s="107">
        <v>39905</v>
      </c>
      <c r="B973" s="108">
        <v>965</v>
      </c>
      <c r="C973" s="108">
        <v>10252</v>
      </c>
      <c r="D973" s="108">
        <v>401</v>
      </c>
      <c r="E973" s="108">
        <v>4656</v>
      </c>
      <c r="F973" s="108">
        <v>899</v>
      </c>
      <c r="G973" s="108">
        <v>4582</v>
      </c>
      <c r="H973" s="108">
        <v>586</v>
      </c>
      <c r="I973" s="108">
        <v>2822</v>
      </c>
      <c r="J973" s="108">
        <v>66</v>
      </c>
      <c r="K973" s="108">
        <v>365</v>
      </c>
      <c r="L973" s="108">
        <v>2916</v>
      </c>
      <c r="M973" s="108">
        <v>22675</v>
      </c>
      <c r="N973" s="108">
        <v>9664</v>
      </c>
      <c r="O973" s="108">
        <v>24367</v>
      </c>
      <c r="P973" s="108">
        <v>3802</v>
      </c>
      <c r="Q973" s="108">
        <v>25728</v>
      </c>
      <c r="R973" s="16">
        <f t="shared" si="53"/>
        <v>16382</v>
      </c>
    </row>
    <row r="974" spans="1:18" ht="15.6" x14ac:dyDescent="0.3">
      <c r="A974" s="107">
        <v>40269</v>
      </c>
      <c r="B974" s="108">
        <v>1117</v>
      </c>
      <c r="C974" s="106">
        <v>7089</v>
      </c>
      <c r="D974" s="106">
        <v>451</v>
      </c>
      <c r="E974" s="106">
        <v>2368</v>
      </c>
      <c r="F974" s="106">
        <v>1118</v>
      </c>
      <c r="G974" s="106">
        <v>4342</v>
      </c>
      <c r="H974" s="106">
        <v>610</v>
      </c>
      <c r="I974" s="106">
        <v>3351</v>
      </c>
      <c r="J974" s="106">
        <v>139</v>
      </c>
      <c r="K974" s="106">
        <v>847</v>
      </c>
      <c r="L974" s="106">
        <v>3435</v>
      </c>
      <c r="M974" s="106">
        <v>17997</v>
      </c>
      <c r="N974" s="106">
        <v>9809</v>
      </c>
      <c r="O974" s="106">
        <v>26065</v>
      </c>
      <c r="P974" s="108">
        <v>2456</v>
      </c>
      <c r="Q974" s="106">
        <v>34127</v>
      </c>
      <c r="R974" s="16">
        <f t="shared" si="53"/>
        <v>15700</v>
      </c>
    </row>
    <row r="975" spans="1:18" ht="15.6" x14ac:dyDescent="0.3">
      <c r="A975" s="107">
        <v>39912</v>
      </c>
      <c r="B975" s="108">
        <v>814</v>
      </c>
      <c r="C975" s="108">
        <v>10434</v>
      </c>
      <c r="D975" s="108">
        <v>370</v>
      </c>
      <c r="E975" s="108">
        <v>4706</v>
      </c>
      <c r="F975" s="108">
        <v>769</v>
      </c>
      <c r="G975" s="108">
        <v>4721</v>
      </c>
      <c r="H975" s="108">
        <v>533</v>
      </c>
      <c r="I975" s="108">
        <v>2919</v>
      </c>
      <c r="J975" s="108">
        <v>66</v>
      </c>
      <c r="K975" s="108">
        <v>382</v>
      </c>
      <c r="L975" s="108">
        <v>2551</v>
      </c>
      <c r="M975" s="108">
        <v>23162</v>
      </c>
      <c r="N975" s="108">
        <v>9679</v>
      </c>
      <c r="O975" s="108">
        <v>25222</v>
      </c>
      <c r="P975" s="108">
        <v>4073</v>
      </c>
      <c r="Q975" s="108">
        <v>26265</v>
      </c>
      <c r="R975" s="16">
        <f t="shared" ref="R975:R980" si="54">P975+N975+L975</f>
        <v>16303</v>
      </c>
    </row>
    <row r="976" spans="1:18" ht="15.6" x14ac:dyDescent="0.3">
      <c r="A976" s="107">
        <v>40276</v>
      </c>
      <c r="B976" s="108">
        <v>961</v>
      </c>
      <c r="C976" s="106">
        <v>7281</v>
      </c>
      <c r="D976" s="106">
        <v>385</v>
      </c>
      <c r="E976" s="106">
        <v>2439</v>
      </c>
      <c r="F976" s="106">
        <v>988</v>
      </c>
      <c r="G976" s="106">
        <v>4495</v>
      </c>
      <c r="H976" s="106">
        <v>619</v>
      </c>
      <c r="I976" s="106">
        <v>3381</v>
      </c>
      <c r="J976" s="106">
        <v>107</v>
      </c>
      <c r="K976" s="106">
        <v>877</v>
      </c>
      <c r="L976" s="106">
        <v>3060</v>
      </c>
      <c r="M976" s="106">
        <v>18473</v>
      </c>
      <c r="N976" s="106">
        <v>9702</v>
      </c>
      <c r="O976" s="106">
        <v>27178</v>
      </c>
      <c r="P976" s="108">
        <v>2175</v>
      </c>
      <c r="Q976" s="106">
        <v>34566</v>
      </c>
      <c r="R976" s="16">
        <f t="shared" si="54"/>
        <v>14937</v>
      </c>
    </row>
    <row r="977" spans="1:18" ht="15.6" x14ac:dyDescent="0.3">
      <c r="A977" s="107">
        <v>39919</v>
      </c>
      <c r="B977" s="108">
        <v>906</v>
      </c>
      <c r="C977" s="108">
        <v>10505</v>
      </c>
      <c r="D977" s="108">
        <v>312</v>
      </c>
      <c r="E977" s="108">
        <v>4798</v>
      </c>
      <c r="F977" s="108">
        <v>668</v>
      </c>
      <c r="G977" s="108">
        <v>4828</v>
      </c>
      <c r="H977" s="108">
        <v>468</v>
      </c>
      <c r="I977" s="108">
        <v>2987</v>
      </c>
      <c r="J977" s="108">
        <v>43</v>
      </c>
      <c r="K977" s="108">
        <v>405</v>
      </c>
      <c r="L977" s="108">
        <v>2396</v>
      </c>
      <c r="M977" s="108">
        <v>23523</v>
      </c>
      <c r="N977" s="108">
        <v>9866</v>
      </c>
      <c r="O977" s="108">
        <v>26248</v>
      </c>
      <c r="P977" s="108">
        <v>4029</v>
      </c>
      <c r="Q977" s="108">
        <v>26926</v>
      </c>
      <c r="R977" s="16">
        <f t="shared" si="54"/>
        <v>16291</v>
      </c>
    </row>
    <row r="978" spans="1:18" ht="15.6" x14ac:dyDescent="0.3">
      <c r="A978" s="107">
        <v>40283</v>
      </c>
      <c r="B978" s="108">
        <v>1006</v>
      </c>
      <c r="C978" s="106">
        <v>7406</v>
      </c>
      <c r="D978" s="106">
        <v>331</v>
      </c>
      <c r="E978" s="106">
        <v>2503</v>
      </c>
      <c r="F978" s="106">
        <v>865</v>
      </c>
      <c r="G978" s="106">
        <v>4632</v>
      </c>
      <c r="H978" s="106">
        <v>475</v>
      </c>
      <c r="I978" s="106">
        <v>3486</v>
      </c>
      <c r="J978" s="106">
        <v>118</v>
      </c>
      <c r="K978" s="106">
        <v>878</v>
      </c>
      <c r="L978" s="106">
        <v>2794</v>
      </c>
      <c r="M978" s="106">
        <v>18905</v>
      </c>
      <c r="N978" s="106">
        <v>10028</v>
      </c>
      <c r="O978" s="106">
        <v>28334</v>
      </c>
      <c r="P978" s="108">
        <v>2057</v>
      </c>
      <c r="Q978" s="106">
        <v>34993</v>
      </c>
      <c r="R978" s="16">
        <f t="shared" si="54"/>
        <v>14879</v>
      </c>
    </row>
    <row r="979" spans="1:18" ht="15.6" x14ac:dyDescent="0.3">
      <c r="A979" s="107">
        <v>39926</v>
      </c>
      <c r="B979" s="108">
        <v>755</v>
      </c>
      <c r="C979" s="108">
        <v>10664</v>
      </c>
      <c r="D979" s="108">
        <v>291</v>
      </c>
      <c r="E979" s="108">
        <v>4839</v>
      </c>
      <c r="F979" s="108">
        <v>583</v>
      </c>
      <c r="G979" s="108">
        <v>4953</v>
      </c>
      <c r="H979" s="108">
        <v>515</v>
      </c>
      <c r="I979" s="108">
        <v>3013</v>
      </c>
      <c r="J979" s="108">
        <v>32</v>
      </c>
      <c r="K979" s="108">
        <v>417</v>
      </c>
      <c r="L979" s="108">
        <v>2175</v>
      </c>
      <c r="M979" s="108">
        <v>23886</v>
      </c>
      <c r="N979" s="108">
        <v>10253</v>
      </c>
      <c r="O979" s="108">
        <v>27086</v>
      </c>
      <c r="P979" s="108">
        <v>4583</v>
      </c>
      <c r="Q979" s="108">
        <v>27206</v>
      </c>
      <c r="R979" s="16">
        <f t="shared" si="54"/>
        <v>17011</v>
      </c>
    </row>
    <row r="980" spans="1:18" ht="15.6" x14ac:dyDescent="0.3">
      <c r="A980" s="107">
        <v>40290</v>
      </c>
      <c r="B980" s="108">
        <v>1013</v>
      </c>
      <c r="C980" s="106">
        <v>7479</v>
      </c>
      <c r="D980" s="106">
        <v>281</v>
      </c>
      <c r="E980" s="106">
        <v>2577</v>
      </c>
      <c r="F980" s="106">
        <v>833</v>
      </c>
      <c r="G980" s="106">
        <v>4701</v>
      </c>
      <c r="H980" s="106">
        <v>471</v>
      </c>
      <c r="I980" s="106">
        <v>3525</v>
      </c>
      <c r="J980" s="106">
        <v>90</v>
      </c>
      <c r="K980" s="106">
        <v>903</v>
      </c>
      <c r="L980" s="106">
        <v>2689</v>
      </c>
      <c r="M980" s="106">
        <v>19184</v>
      </c>
      <c r="N980" s="106">
        <v>10343</v>
      </c>
      <c r="O980" s="106">
        <v>29248</v>
      </c>
      <c r="P980" s="108">
        <v>1880</v>
      </c>
      <c r="Q980" s="106">
        <v>35270</v>
      </c>
      <c r="R980" s="16">
        <f t="shared" si="54"/>
        <v>14912</v>
      </c>
    </row>
    <row r="981" spans="1:18" ht="15.6" x14ac:dyDescent="0.3">
      <c r="A981" s="107">
        <v>39933</v>
      </c>
      <c r="B981" s="108">
        <v>693</v>
      </c>
      <c r="C981" s="108">
        <v>10775</v>
      </c>
      <c r="D981" s="108">
        <v>275</v>
      </c>
      <c r="E981" s="108">
        <v>4872</v>
      </c>
      <c r="F981" s="108">
        <v>613</v>
      </c>
      <c r="G981" s="108">
        <v>5029</v>
      </c>
      <c r="H981" s="108">
        <v>552</v>
      </c>
      <c r="I981" s="108">
        <v>3059</v>
      </c>
      <c r="J981" s="108">
        <v>29</v>
      </c>
      <c r="K981" s="108">
        <v>420</v>
      </c>
      <c r="L981" s="108">
        <v>2161</v>
      </c>
      <c r="M981" s="108">
        <v>24155</v>
      </c>
      <c r="N981" s="108">
        <v>10052</v>
      </c>
      <c r="O981" s="108">
        <v>27876</v>
      </c>
      <c r="P981" s="108">
        <v>4851</v>
      </c>
      <c r="Q981" s="108">
        <v>27593</v>
      </c>
      <c r="R981" s="16">
        <f t="shared" ref="R981:R986" si="55">P981+N981+L981</f>
        <v>17064</v>
      </c>
    </row>
    <row r="982" spans="1:18" ht="15.6" x14ac:dyDescent="0.3">
      <c r="A982" s="107">
        <v>40297</v>
      </c>
      <c r="B982" s="108">
        <v>910</v>
      </c>
      <c r="C982" s="106">
        <v>7651</v>
      </c>
      <c r="D982" s="106">
        <v>258</v>
      </c>
      <c r="E982" s="106">
        <v>2610</v>
      </c>
      <c r="F982" s="106">
        <v>683</v>
      </c>
      <c r="G982" s="106">
        <v>4906</v>
      </c>
      <c r="H982" s="106">
        <v>406</v>
      </c>
      <c r="I982" s="106">
        <v>3605</v>
      </c>
      <c r="J982" s="106">
        <v>93</v>
      </c>
      <c r="K982" s="106">
        <v>903</v>
      </c>
      <c r="L982" s="106">
        <v>2348</v>
      </c>
      <c r="M982" s="106">
        <v>19675</v>
      </c>
      <c r="N982" s="106">
        <v>11338</v>
      </c>
      <c r="O982" s="106">
        <v>30084</v>
      </c>
      <c r="P982" s="108">
        <v>1874</v>
      </c>
      <c r="Q982" s="106">
        <v>35560</v>
      </c>
      <c r="R982" s="16">
        <f t="shared" si="55"/>
        <v>15560</v>
      </c>
    </row>
    <row r="983" spans="1:18" ht="15.6" x14ac:dyDescent="0.3">
      <c r="A983" s="107">
        <v>39940</v>
      </c>
      <c r="B983" s="108">
        <v>660</v>
      </c>
      <c r="C983" s="108">
        <v>10884</v>
      </c>
      <c r="D983" s="108">
        <v>208</v>
      </c>
      <c r="E983" s="108">
        <v>4943</v>
      </c>
      <c r="F983" s="108">
        <v>525</v>
      </c>
      <c r="G983" s="108">
        <v>5132</v>
      </c>
      <c r="H983" s="108">
        <v>532</v>
      </c>
      <c r="I983" s="108">
        <v>3087</v>
      </c>
      <c r="J983" s="108">
        <v>29</v>
      </c>
      <c r="K983" s="108">
        <v>420</v>
      </c>
      <c r="L983" s="108">
        <v>1953</v>
      </c>
      <c r="M983" s="108">
        <v>24466</v>
      </c>
      <c r="N983" s="108">
        <v>9717</v>
      </c>
      <c r="O983" s="108">
        <v>29149</v>
      </c>
      <c r="P983" s="108">
        <v>4811</v>
      </c>
      <c r="Q983" s="108">
        <v>28035</v>
      </c>
      <c r="R983" s="16">
        <f t="shared" si="55"/>
        <v>16481</v>
      </c>
    </row>
    <row r="984" spans="1:18" ht="15.6" x14ac:dyDescent="0.3">
      <c r="A984" s="107">
        <v>40304</v>
      </c>
      <c r="B984" s="108">
        <v>813</v>
      </c>
      <c r="C984" s="106">
        <v>7879</v>
      </c>
      <c r="D984" s="106">
        <v>247</v>
      </c>
      <c r="E984" s="106">
        <v>2635</v>
      </c>
      <c r="F984" s="106">
        <v>507</v>
      </c>
      <c r="G984" s="106">
        <v>5083</v>
      </c>
      <c r="H984" s="106">
        <v>397</v>
      </c>
      <c r="I984" s="106">
        <v>3688</v>
      </c>
      <c r="J984" s="106">
        <v>111</v>
      </c>
      <c r="K984" s="106">
        <v>909</v>
      </c>
      <c r="L984" s="106">
        <v>2074</v>
      </c>
      <c r="M984" s="106">
        <v>20193</v>
      </c>
      <c r="N984" s="106">
        <v>11124</v>
      </c>
      <c r="O984" s="106">
        <v>31117</v>
      </c>
      <c r="P984" s="108">
        <v>1942</v>
      </c>
      <c r="Q984" s="106">
        <v>35700</v>
      </c>
      <c r="R984" s="16">
        <f t="shared" si="55"/>
        <v>15140</v>
      </c>
    </row>
    <row r="985" spans="1:18" ht="15.6" x14ac:dyDescent="0.3">
      <c r="A985" s="107">
        <v>39947</v>
      </c>
      <c r="B985" s="108">
        <v>619</v>
      </c>
      <c r="C985" s="108">
        <v>10969</v>
      </c>
      <c r="D985" s="108">
        <v>180</v>
      </c>
      <c r="E985" s="108">
        <v>4996</v>
      </c>
      <c r="F985" s="108">
        <v>353</v>
      </c>
      <c r="G985" s="108">
        <v>5315</v>
      </c>
      <c r="H985" s="108">
        <v>389</v>
      </c>
      <c r="I985" s="108">
        <v>3159</v>
      </c>
      <c r="J985" s="108">
        <v>20</v>
      </c>
      <c r="K985" s="108">
        <v>440</v>
      </c>
      <c r="L985" s="108">
        <v>1561</v>
      </c>
      <c r="M985" s="108">
        <v>24878</v>
      </c>
      <c r="N985" s="108">
        <v>9692</v>
      </c>
      <c r="O985" s="108">
        <v>29857</v>
      </c>
      <c r="P985" s="108">
        <v>5098</v>
      </c>
      <c r="Q985" s="108">
        <v>28425</v>
      </c>
      <c r="R985" s="16">
        <f t="shared" si="55"/>
        <v>16351</v>
      </c>
    </row>
    <row r="986" spans="1:18" ht="15.6" x14ac:dyDescent="0.3">
      <c r="A986" s="107">
        <v>40311</v>
      </c>
      <c r="B986" s="108">
        <v>743</v>
      </c>
      <c r="C986" s="106">
        <v>8037</v>
      </c>
      <c r="D986" s="106">
        <v>235</v>
      </c>
      <c r="E986" s="106">
        <v>2662</v>
      </c>
      <c r="F986" s="106">
        <v>493</v>
      </c>
      <c r="G986" s="106">
        <v>5162</v>
      </c>
      <c r="H986" s="106">
        <v>392</v>
      </c>
      <c r="I986" s="106">
        <v>3751</v>
      </c>
      <c r="J986" s="106">
        <v>125</v>
      </c>
      <c r="K986" s="106">
        <v>916</v>
      </c>
      <c r="L986" s="106">
        <v>1989</v>
      </c>
      <c r="M986" s="106">
        <v>20528</v>
      </c>
      <c r="N986" s="106">
        <v>11499</v>
      </c>
      <c r="O986" s="106">
        <v>32096</v>
      </c>
      <c r="P986" s="108">
        <v>2149</v>
      </c>
      <c r="Q986" s="106">
        <v>35970</v>
      </c>
      <c r="R986" s="16">
        <f t="shared" si="55"/>
        <v>15637</v>
      </c>
    </row>
    <row r="987" spans="1:18" ht="15.6" x14ac:dyDescent="0.3">
      <c r="A987" s="107">
        <v>39954</v>
      </c>
      <c r="B987" s="108">
        <v>461</v>
      </c>
      <c r="C987" s="108">
        <v>11138</v>
      </c>
      <c r="D987" s="108">
        <v>145</v>
      </c>
      <c r="E987" s="108">
        <v>5051</v>
      </c>
      <c r="F987" s="108">
        <v>361</v>
      </c>
      <c r="G987" s="108">
        <v>5350</v>
      </c>
      <c r="H987" s="108">
        <v>232</v>
      </c>
      <c r="I987" s="108">
        <v>3345</v>
      </c>
      <c r="J987" s="108">
        <v>5</v>
      </c>
      <c r="K987" s="108">
        <v>454</v>
      </c>
      <c r="L987" s="108">
        <v>1205</v>
      </c>
      <c r="M987" s="108">
        <v>25338</v>
      </c>
      <c r="N987" s="108">
        <v>9638</v>
      </c>
      <c r="O987" s="108">
        <v>30667</v>
      </c>
      <c r="P987" s="108">
        <v>4779</v>
      </c>
      <c r="Q987" s="108">
        <v>28981</v>
      </c>
      <c r="R987" s="16">
        <f t="shared" ref="R987:R994" si="56">P987+N987+L987</f>
        <v>15622</v>
      </c>
    </row>
    <row r="988" spans="1:18" ht="15.6" x14ac:dyDescent="0.3">
      <c r="A988" s="107">
        <v>40318</v>
      </c>
      <c r="B988" s="108">
        <v>591</v>
      </c>
      <c r="C988" s="106">
        <v>8285</v>
      </c>
      <c r="D988" s="106">
        <v>256</v>
      </c>
      <c r="E988" s="106">
        <v>2695</v>
      </c>
      <c r="F988" s="106">
        <v>369</v>
      </c>
      <c r="G988" s="106">
        <v>5290</v>
      </c>
      <c r="H988" s="106">
        <v>269</v>
      </c>
      <c r="I988" s="106">
        <v>3873</v>
      </c>
      <c r="J988" s="106">
        <v>81</v>
      </c>
      <c r="K988" s="106">
        <v>957</v>
      </c>
      <c r="L988" s="106">
        <v>1566</v>
      </c>
      <c r="M988" s="106">
        <v>21100</v>
      </c>
      <c r="N988" s="106">
        <v>11290</v>
      </c>
      <c r="O988" s="106">
        <v>33336</v>
      </c>
      <c r="P988" s="108">
        <v>2180</v>
      </c>
      <c r="Q988" s="106">
        <v>36115</v>
      </c>
      <c r="R988" s="16">
        <f t="shared" si="56"/>
        <v>15036</v>
      </c>
    </row>
    <row r="989" spans="1:18" ht="15.6" x14ac:dyDescent="0.3">
      <c r="A989" s="107">
        <v>39961</v>
      </c>
      <c r="B989" s="108">
        <v>358</v>
      </c>
      <c r="C989" s="108">
        <v>11244</v>
      </c>
      <c r="D989" s="108">
        <v>170</v>
      </c>
      <c r="E989" s="108">
        <v>5100</v>
      </c>
      <c r="F989" s="108">
        <v>304</v>
      </c>
      <c r="G989" s="108">
        <v>5408</v>
      </c>
      <c r="H989" s="108">
        <v>168</v>
      </c>
      <c r="I989" s="108">
        <v>3420</v>
      </c>
      <c r="J989" s="108">
        <v>5</v>
      </c>
      <c r="K989" s="108">
        <v>454</v>
      </c>
      <c r="L989" s="108">
        <v>1005</v>
      </c>
      <c r="M989" s="108">
        <v>25626</v>
      </c>
      <c r="N989" s="108">
        <v>9386</v>
      </c>
      <c r="O989" s="108">
        <v>31523</v>
      </c>
      <c r="P989" s="108">
        <v>4443</v>
      </c>
      <c r="Q989" s="108">
        <v>29293</v>
      </c>
      <c r="R989" s="16">
        <f t="shared" si="56"/>
        <v>14834</v>
      </c>
    </row>
    <row r="990" spans="1:18" ht="15.6" x14ac:dyDescent="0.3">
      <c r="A990" s="107">
        <v>40325</v>
      </c>
      <c r="B990" s="108">
        <v>340</v>
      </c>
      <c r="C990" s="106">
        <v>8458</v>
      </c>
      <c r="D990" s="106">
        <v>252</v>
      </c>
      <c r="E990" s="106">
        <v>2733</v>
      </c>
      <c r="F990" s="106">
        <v>323</v>
      </c>
      <c r="G990" s="106">
        <v>5329</v>
      </c>
      <c r="H990" s="106">
        <v>258</v>
      </c>
      <c r="I990" s="106">
        <v>3897</v>
      </c>
      <c r="J990" s="106">
        <v>40</v>
      </c>
      <c r="K990" s="106">
        <v>983</v>
      </c>
      <c r="L990" s="106">
        <v>1213</v>
      </c>
      <c r="M990" s="106">
        <v>21400</v>
      </c>
      <c r="N990" s="106">
        <v>10262</v>
      </c>
      <c r="O990" s="106">
        <v>34562</v>
      </c>
      <c r="P990" s="108">
        <v>2166</v>
      </c>
      <c r="Q990" s="106">
        <v>36264</v>
      </c>
      <c r="R990" s="16">
        <f t="shared" si="56"/>
        <v>13641</v>
      </c>
    </row>
    <row r="991" spans="1:18" ht="15.6" x14ac:dyDescent="0.3">
      <c r="A991" s="107">
        <v>39968</v>
      </c>
      <c r="B991" s="108">
        <v>1074</v>
      </c>
      <c r="C991" s="108">
        <v>62</v>
      </c>
      <c r="D991" s="108">
        <v>462</v>
      </c>
      <c r="E991" s="108">
        <v>0</v>
      </c>
      <c r="F991" s="108">
        <v>801</v>
      </c>
      <c r="G991" s="108">
        <v>5</v>
      </c>
      <c r="H991" s="108">
        <v>888</v>
      </c>
      <c r="I991" s="108">
        <v>9</v>
      </c>
      <c r="J991" s="108">
        <v>186</v>
      </c>
      <c r="K991" s="108">
        <v>0</v>
      </c>
      <c r="L991" s="108">
        <v>3410</v>
      </c>
      <c r="M991" s="108">
        <v>76</v>
      </c>
      <c r="N991" s="108">
        <v>9475</v>
      </c>
      <c r="O991" s="108">
        <v>32147</v>
      </c>
      <c r="P991" s="108">
        <v>4081</v>
      </c>
      <c r="Q991" s="108">
        <v>29595</v>
      </c>
      <c r="R991" s="16">
        <f t="shared" si="56"/>
        <v>16966</v>
      </c>
    </row>
    <row r="992" spans="1:18" ht="15.6" x14ac:dyDescent="0.3">
      <c r="A992" s="107">
        <v>40332</v>
      </c>
      <c r="B992" s="108">
        <v>1462</v>
      </c>
      <c r="C992" s="106">
        <v>71</v>
      </c>
      <c r="D992" s="106">
        <v>470</v>
      </c>
      <c r="E992" s="106">
        <v>43</v>
      </c>
      <c r="F992" s="106">
        <v>966</v>
      </c>
      <c r="G992" s="106">
        <v>14</v>
      </c>
      <c r="H992" s="106">
        <v>898</v>
      </c>
      <c r="I992" s="106">
        <v>12</v>
      </c>
      <c r="J992" s="106">
        <v>231</v>
      </c>
      <c r="K992" s="106">
        <v>6</v>
      </c>
      <c r="L992" s="106">
        <v>4028</v>
      </c>
      <c r="M992" s="106">
        <v>146</v>
      </c>
      <c r="N992" s="106">
        <v>10369</v>
      </c>
      <c r="O992" s="106">
        <v>35474</v>
      </c>
      <c r="P992" s="108">
        <v>2419</v>
      </c>
      <c r="Q992" s="106">
        <v>36432</v>
      </c>
      <c r="R992" s="16">
        <f t="shared" si="56"/>
        <v>16816</v>
      </c>
    </row>
    <row r="993" spans="1:18" ht="15.6" x14ac:dyDescent="0.3">
      <c r="A993" s="107">
        <v>39975</v>
      </c>
      <c r="B993" s="108">
        <v>1016</v>
      </c>
      <c r="C993" s="108">
        <v>206</v>
      </c>
      <c r="D993" s="108">
        <v>504</v>
      </c>
      <c r="E993" s="108">
        <v>24</v>
      </c>
      <c r="F993" s="108">
        <v>763</v>
      </c>
      <c r="G993" s="108">
        <v>121</v>
      </c>
      <c r="H993" s="108">
        <v>807</v>
      </c>
      <c r="I993" s="108">
        <v>110</v>
      </c>
      <c r="J993" s="108">
        <v>196</v>
      </c>
      <c r="K993" s="108">
        <v>7</v>
      </c>
      <c r="L993" s="108">
        <v>3286</v>
      </c>
      <c r="M993" s="108">
        <v>468</v>
      </c>
      <c r="N993" s="108">
        <v>9424</v>
      </c>
      <c r="O993" s="108">
        <v>32965</v>
      </c>
      <c r="P993" s="108">
        <v>3877</v>
      </c>
      <c r="Q993" s="108">
        <v>29944</v>
      </c>
      <c r="R993" s="16">
        <f t="shared" si="56"/>
        <v>16587</v>
      </c>
    </row>
    <row r="994" spans="1:18" ht="15.6" x14ac:dyDescent="0.3">
      <c r="A994" s="107">
        <v>40339</v>
      </c>
      <c r="B994" s="108">
        <v>1878</v>
      </c>
      <c r="C994" s="106">
        <v>206</v>
      </c>
      <c r="D994" s="106">
        <v>485</v>
      </c>
      <c r="E994" s="106">
        <v>79</v>
      </c>
      <c r="F994" s="106">
        <v>995</v>
      </c>
      <c r="G994" s="106">
        <v>121</v>
      </c>
      <c r="H994" s="106">
        <v>992</v>
      </c>
      <c r="I994" s="106">
        <v>98</v>
      </c>
      <c r="J994" s="106">
        <v>243</v>
      </c>
      <c r="K994" s="106">
        <v>36</v>
      </c>
      <c r="L994" s="106">
        <v>4592</v>
      </c>
      <c r="M994" s="106">
        <v>540</v>
      </c>
      <c r="N994" s="106">
        <v>10386</v>
      </c>
      <c r="O994" s="106">
        <v>36547</v>
      </c>
      <c r="P994" s="108">
        <v>2071</v>
      </c>
      <c r="Q994" s="106">
        <v>36643</v>
      </c>
      <c r="R994" s="16">
        <f t="shared" si="56"/>
        <v>17049</v>
      </c>
    </row>
    <row r="995" spans="1:18" ht="15.6" x14ac:dyDescent="0.3">
      <c r="A995" s="107">
        <v>39982</v>
      </c>
      <c r="B995" s="108">
        <v>1041</v>
      </c>
      <c r="C995" s="108">
        <v>329</v>
      </c>
      <c r="D995" s="108">
        <v>534</v>
      </c>
      <c r="E995" s="108">
        <v>57</v>
      </c>
      <c r="F995" s="108">
        <v>751</v>
      </c>
      <c r="G995" s="108">
        <v>212</v>
      </c>
      <c r="H995" s="108">
        <v>809</v>
      </c>
      <c r="I995" s="108">
        <v>187</v>
      </c>
      <c r="J995" s="108">
        <v>196</v>
      </c>
      <c r="K995" s="108">
        <v>7</v>
      </c>
      <c r="L995" s="108">
        <v>3331</v>
      </c>
      <c r="M995" s="108">
        <v>792</v>
      </c>
      <c r="N995" s="108">
        <v>9072</v>
      </c>
      <c r="O995" s="108">
        <v>34004</v>
      </c>
      <c r="P995" s="108">
        <v>3527</v>
      </c>
      <c r="Q995" s="108">
        <v>30322</v>
      </c>
      <c r="R995" s="16">
        <f t="shared" ref="R995:R1000" si="57">P995+N995+L995</f>
        <v>15930</v>
      </c>
    </row>
    <row r="996" spans="1:18" ht="15.6" x14ac:dyDescent="0.3">
      <c r="A996" s="107">
        <v>40346</v>
      </c>
      <c r="B996" s="108">
        <v>2169</v>
      </c>
      <c r="C996" s="106">
        <v>302</v>
      </c>
      <c r="D996" s="106">
        <v>514</v>
      </c>
      <c r="E996" s="106">
        <v>117</v>
      </c>
      <c r="F996" s="106">
        <v>1021</v>
      </c>
      <c r="G996" s="106">
        <v>211</v>
      </c>
      <c r="H996" s="106">
        <v>1079</v>
      </c>
      <c r="I996" s="106">
        <v>156</v>
      </c>
      <c r="J996" s="106">
        <v>250</v>
      </c>
      <c r="K996" s="106">
        <v>36</v>
      </c>
      <c r="L996" s="106">
        <v>5033</v>
      </c>
      <c r="M996" s="106">
        <v>821</v>
      </c>
      <c r="N996" s="106">
        <v>10692</v>
      </c>
      <c r="O996" s="106">
        <v>37365</v>
      </c>
      <c r="P996" s="108">
        <v>2140</v>
      </c>
      <c r="Q996" s="106">
        <v>36882</v>
      </c>
      <c r="R996" s="16">
        <f t="shared" si="57"/>
        <v>17865</v>
      </c>
    </row>
    <row r="997" spans="1:18" ht="15.6" x14ac:dyDescent="0.3">
      <c r="A997" s="107">
        <v>39989</v>
      </c>
      <c r="B997" s="108">
        <v>1065</v>
      </c>
      <c r="C997" s="108">
        <v>419</v>
      </c>
      <c r="D997" s="108">
        <v>510</v>
      </c>
      <c r="E997" s="108">
        <v>112</v>
      </c>
      <c r="F997" s="108">
        <v>741</v>
      </c>
      <c r="G997" s="108">
        <v>275</v>
      </c>
      <c r="H997" s="108">
        <v>715</v>
      </c>
      <c r="I997" s="108">
        <v>307</v>
      </c>
      <c r="J997" s="108">
        <v>176</v>
      </c>
      <c r="K997" s="108">
        <v>47</v>
      </c>
      <c r="L997" s="108">
        <v>3206</v>
      </c>
      <c r="M997" s="108">
        <v>1159</v>
      </c>
      <c r="N997" s="108">
        <v>9485</v>
      </c>
      <c r="O997" s="108">
        <v>34746</v>
      </c>
      <c r="P997" s="108">
        <v>3333</v>
      </c>
      <c r="Q997" s="108">
        <v>30709</v>
      </c>
      <c r="R997" s="16">
        <f t="shared" si="57"/>
        <v>16024</v>
      </c>
    </row>
    <row r="998" spans="1:18" ht="15.6" x14ac:dyDescent="0.3">
      <c r="A998" s="107">
        <v>40353</v>
      </c>
      <c r="B998" s="108">
        <v>2104</v>
      </c>
      <c r="C998" s="106">
        <v>528</v>
      </c>
      <c r="D998" s="106">
        <v>548</v>
      </c>
      <c r="E998" s="106">
        <v>167</v>
      </c>
      <c r="F998" s="106">
        <v>961</v>
      </c>
      <c r="G998" s="106">
        <v>365</v>
      </c>
      <c r="H998" s="106">
        <v>1039</v>
      </c>
      <c r="I998" s="106">
        <v>274</v>
      </c>
      <c r="J998" s="106">
        <v>250</v>
      </c>
      <c r="K998" s="106">
        <v>36</v>
      </c>
      <c r="L998" s="106">
        <v>4902</v>
      </c>
      <c r="M998" s="106">
        <v>1369</v>
      </c>
      <c r="N998" s="106">
        <v>10389</v>
      </c>
      <c r="O998" s="106">
        <v>38318</v>
      </c>
      <c r="P998" s="108">
        <v>2266</v>
      </c>
      <c r="Q998" s="106">
        <v>37021</v>
      </c>
      <c r="R998" s="16">
        <f t="shared" si="57"/>
        <v>17557</v>
      </c>
    </row>
    <row r="999" spans="1:18" ht="15.6" x14ac:dyDescent="0.3">
      <c r="A999" s="107">
        <v>39996</v>
      </c>
      <c r="B999" s="108">
        <v>1093</v>
      </c>
      <c r="C999" s="108">
        <v>524</v>
      </c>
      <c r="D999" s="108">
        <v>462</v>
      </c>
      <c r="E999" s="108">
        <v>193</v>
      </c>
      <c r="F999" s="108">
        <v>896</v>
      </c>
      <c r="G999" s="108">
        <v>338</v>
      </c>
      <c r="H999" s="108">
        <v>785</v>
      </c>
      <c r="I999" s="108">
        <v>419</v>
      </c>
      <c r="J999" s="108">
        <v>185</v>
      </c>
      <c r="K999" s="108">
        <v>54</v>
      </c>
      <c r="L999" s="108">
        <v>3422</v>
      </c>
      <c r="M999" s="108">
        <v>1527</v>
      </c>
      <c r="N999" s="108">
        <v>9266</v>
      </c>
      <c r="O999" s="108">
        <v>35714</v>
      </c>
      <c r="P999" s="108">
        <v>3202</v>
      </c>
      <c r="Q999" s="108">
        <v>31127</v>
      </c>
      <c r="R999" s="16">
        <f t="shared" si="57"/>
        <v>15890</v>
      </c>
    </row>
    <row r="1000" spans="1:18" ht="15.6" x14ac:dyDescent="0.3">
      <c r="A1000" s="107">
        <v>40360</v>
      </c>
      <c r="B1000" s="108">
        <v>2066</v>
      </c>
      <c r="C1000" s="106">
        <v>792</v>
      </c>
      <c r="D1000" s="106">
        <v>540</v>
      </c>
      <c r="E1000" s="106">
        <v>212</v>
      </c>
      <c r="F1000" s="106">
        <v>1013</v>
      </c>
      <c r="G1000" s="106">
        <v>453</v>
      </c>
      <c r="H1000" s="106">
        <v>959</v>
      </c>
      <c r="I1000" s="106">
        <v>433</v>
      </c>
      <c r="J1000" s="106">
        <v>280</v>
      </c>
      <c r="K1000" s="106">
        <v>37</v>
      </c>
      <c r="L1000" s="106">
        <v>4858</v>
      </c>
      <c r="M1000" s="106">
        <v>1927</v>
      </c>
      <c r="N1000" s="106">
        <v>9860</v>
      </c>
      <c r="O1000" s="106">
        <v>39348</v>
      </c>
      <c r="P1000" s="108">
        <v>2452</v>
      </c>
      <c r="Q1000" s="106">
        <v>37097</v>
      </c>
      <c r="R1000" s="16">
        <f t="shared" si="57"/>
        <v>17170</v>
      </c>
    </row>
    <row r="1001" spans="1:18" ht="15.6" x14ac:dyDescent="0.3">
      <c r="A1001" s="107">
        <v>40003</v>
      </c>
      <c r="B1001" s="108">
        <v>1327</v>
      </c>
      <c r="C1001" s="108">
        <v>623</v>
      </c>
      <c r="D1001" s="108">
        <v>518</v>
      </c>
      <c r="E1001" s="108">
        <v>207</v>
      </c>
      <c r="F1001" s="108">
        <v>878</v>
      </c>
      <c r="G1001" s="108">
        <v>372</v>
      </c>
      <c r="H1001" s="108">
        <v>772</v>
      </c>
      <c r="I1001" s="108">
        <v>436</v>
      </c>
      <c r="J1001" s="108">
        <v>185</v>
      </c>
      <c r="K1001" s="108">
        <v>54</v>
      </c>
      <c r="L1001" s="108">
        <v>3680</v>
      </c>
      <c r="M1001" s="108">
        <v>1691</v>
      </c>
      <c r="N1001" s="108">
        <v>8996</v>
      </c>
      <c r="O1001" s="108">
        <v>36684</v>
      </c>
      <c r="P1001" s="108">
        <v>2947</v>
      </c>
      <c r="Q1001" s="108">
        <v>31517</v>
      </c>
      <c r="R1001" s="16">
        <f t="shared" ref="R1001:R1006" si="58">P1001+N1001+L1001</f>
        <v>15623</v>
      </c>
    </row>
    <row r="1002" spans="1:18" ht="15.6" x14ac:dyDescent="0.3">
      <c r="A1002" s="107">
        <v>40367</v>
      </c>
      <c r="B1002" s="108">
        <v>1980</v>
      </c>
      <c r="C1002" s="106">
        <v>1051</v>
      </c>
      <c r="D1002" s="106">
        <v>523</v>
      </c>
      <c r="E1002" s="106">
        <v>238</v>
      </c>
      <c r="F1002" s="106">
        <v>1044</v>
      </c>
      <c r="G1002" s="106">
        <v>506</v>
      </c>
      <c r="H1002" s="106">
        <v>978</v>
      </c>
      <c r="I1002" s="106">
        <v>451</v>
      </c>
      <c r="J1002" s="106">
        <v>286</v>
      </c>
      <c r="K1002" s="106">
        <v>37</v>
      </c>
      <c r="L1002" s="106">
        <v>4812</v>
      </c>
      <c r="M1002" s="106">
        <v>2283</v>
      </c>
      <c r="N1002" s="106">
        <v>9495</v>
      </c>
      <c r="O1002" s="106">
        <v>40391</v>
      </c>
      <c r="P1002" s="108">
        <v>2912</v>
      </c>
      <c r="Q1002" s="106">
        <v>37303</v>
      </c>
      <c r="R1002" s="16">
        <f t="shared" si="58"/>
        <v>17219</v>
      </c>
    </row>
    <row r="1003" spans="1:18" ht="15.6" x14ac:dyDescent="0.3">
      <c r="A1003" s="107">
        <v>40010</v>
      </c>
      <c r="B1003" s="108">
        <v>1308</v>
      </c>
      <c r="C1003" s="108">
        <v>819</v>
      </c>
      <c r="D1003" s="108">
        <v>538</v>
      </c>
      <c r="E1003" s="108">
        <v>267</v>
      </c>
      <c r="F1003" s="108">
        <v>851</v>
      </c>
      <c r="G1003" s="108">
        <v>450</v>
      </c>
      <c r="H1003" s="108">
        <v>705</v>
      </c>
      <c r="I1003" s="108">
        <v>538</v>
      </c>
      <c r="J1003" s="108">
        <v>183</v>
      </c>
      <c r="K1003" s="108">
        <v>55</v>
      </c>
      <c r="L1003" s="108">
        <v>3586</v>
      </c>
      <c r="M1003" s="108">
        <v>2128</v>
      </c>
      <c r="N1003" s="108">
        <v>8833</v>
      </c>
      <c r="O1003" s="108">
        <v>37605</v>
      </c>
      <c r="P1003" s="108">
        <v>2984</v>
      </c>
      <c r="Q1003" s="108">
        <v>31800</v>
      </c>
      <c r="R1003" s="16">
        <f t="shared" si="58"/>
        <v>15403</v>
      </c>
    </row>
    <row r="1004" spans="1:18" ht="15.6" x14ac:dyDescent="0.3">
      <c r="A1004" s="107">
        <v>40374</v>
      </c>
      <c r="B1004" s="108">
        <v>1825</v>
      </c>
      <c r="C1004" s="106">
        <v>1317</v>
      </c>
      <c r="D1004" s="106">
        <v>519</v>
      </c>
      <c r="E1004" s="106">
        <v>291</v>
      </c>
      <c r="F1004" s="106">
        <v>1035</v>
      </c>
      <c r="G1004" s="106">
        <v>598</v>
      </c>
      <c r="H1004" s="106">
        <v>976</v>
      </c>
      <c r="I1004" s="106">
        <v>559</v>
      </c>
      <c r="J1004" s="106">
        <v>294</v>
      </c>
      <c r="K1004" s="106">
        <v>64</v>
      </c>
      <c r="L1004" s="106">
        <v>4649</v>
      </c>
      <c r="M1004" s="106">
        <v>2828</v>
      </c>
      <c r="N1004" s="106">
        <v>9161</v>
      </c>
      <c r="O1004" s="106">
        <v>41339</v>
      </c>
      <c r="P1004" s="108">
        <v>2749</v>
      </c>
      <c r="Q1004" s="106">
        <v>37578</v>
      </c>
      <c r="R1004" s="16">
        <f t="shared" si="58"/>
        <v>16559</v>
      </c>
    </row>
    <row r="1005" spans="1:18" ht="15.6" x14ac:dyDescent="0.3">
      <c r="A1005" s="107">
        <v>40017</v>
      </c>
      <c r="B1005" s="108">
        <v>1326</v>
      </c>
      <c r="C1005" s="108">
        <v>946</v>
      </c>
      <c r="D1005" s="108">
        <v>598</v>
      </c>
      <c r="E1005" s="108">
        <v>372</v>
      </c>
      <c r="F1005" s="108">
        <v>929</v>
      </c>
      <c r="G1005" s="108">
        <v>494</v>
      </c>
      <c r="H1005" s="108">
        <v>787</v>
      </c>
      <c r="I1005" s="108">
        <v>565</v>
      </c>
      <c r="J1005" s="108">
        <v>213</v>
      </c>
      <c r="K1005" s="108">
        <v>61</v>
      </c>
      <c r="L1005" s="108">
        <v>3853</v>
      </c>
      <c r="M1005" s="108">
        <v>2436</v>
      </c>
      <c r="N1005" s="108">
        <v>7837</v>
      </c>
      <c r="O1005" s="108">
        <v>39059</v>
      </c>
      <c r="P1005" s="108">
        <v>2887</v>
      </c>
      <c r="Q1005" s="108">
        <v>32142</v>
      </c>
      <c r="R1005" s="16">
        <f t="shared" si="58"/>
        <v>14577</v>
      </c>
    </row>
    <row r="1006" spans="1:18" ht="15.6" x14ac:dyDescent="0.3">
      <c r="A1006" s="107">
        <v>40381</v>
      </c>
      <c r="B1006" s="108">
        <v>2013</v>
      </c>
      <c r="C1006" s="106">
        <v>1539</v>
      </c>
      <c r="D1006" s="106">
        <v>540</v>
      </c>
      <c r="E1006" s="106">
        <v>336</v>
      </c>
      <c r="F1006" s="106">
        <v>1187</v>
      </c>
      <c r="G1006" s="106">
        <v>747</v>
      </c>
      <c r="H1006" s="106">
        <v>1021</v>
      </c>
      <c r="I1006" s="106">
        <v>581</v>
      </c>
      <c r="J1006" s="106">
        <v>356</v>
      </c>
      <c r="K1006" s="106">
        <v>76</v>
      </c>
      <c r="L1006" s="106">
        <v>5118</v>
      </c>
      <c r="M1006" s="106">
        <v>3279</v>
      </c>
      <c r="N1006" s="106">
        <v>8394</v>
      </c>
      <c r="O1006" s="106">
        <v>42539</v>
      </c>
      <c r="P1006" s="108">
        <v>2910</v>
      </c>
      <c r="Q1006" s="106">
        <v>37756</v>
      </c>
      <c r="R1006" s="16">
        <f t="shared" si="58"/>
        <v>16422</v>
      </c>
    </row>
    <row r="1007" spans="1:18" ht="15.6" x14ac:dyDescent="0.3">
      <c r="A1007" s="107">
        <v>40024</v>
      </c>
      <c r="B1007" s="108">
        <v>1364</v>
      </c>
      <c r="C1007" s="108">
        <v>1136</v>
      </c>
      <c r="D1007" s="108">
        <v>569</v>
      </c>
      <c r="E1007" s="108">
        <v>498</v>
      </c>
      <c r="F1007" s="108">
        <v>944</v>
      </c>
      <c r="G1007" s="108">
        <v>546</v>
      </c>
      <c r="H1007" s="108">
        <v>898</v>
      </c>
      <c r="I1007" s="108">
        <v>583</v>
      </c>
      <c r="J1007" s="108">
        <v>241</v>
      </c>
      <c r="K1007" s="108">
        <v>64</v>
      </c>
      <c r="L1007" s="108">
        <v>4016</v>
      </c>
      <c r="M1007" s="108">
        <v>2826</v>
      </c>
      <c r="N1007" s="108">
        <v>7070</v>
      </c>
      <c r="O1007" s="108">
        <v>40249</v>
      </c>
      <c r="P1007" s="108">
        <v>3164</v>
      </c>
      <c r="Q1007" s="108">
        <v>32360</v>
      </c>
      <c r="R1007" s="16">
        <f t="shared" ref="R1007:R1012" si="59">P1007+N1007+L1007</f>
        <v>14250</v>
      </c>
    </row>
    <row r="1008" spans="1:18" ht="15.6" x14ac:dyDescent="0.3">
      <c r="A1008" s="107">
        <v>40388</v>
      </c>
      <c r="B1008" s="108">
        <v>2116</v>
      </c>
      <c r="C1008" s="106">
        <v>1836</v>
      </c>
      <c r="D1008" s="106">
        <v>601</v>
      </c>
      <c r="E1008" s="106">
        <v>357</v>
      </c>
      <c r="F1008" s="106">
        <v>1229</v>
      </c>
      <c r="G1008" s="106">
        <v>938</v>
      </c>
      <c r="H1008" s="106">
        <v>1144</v>
      </c>
      <c r="I1008" s="106">
        <v>629</v>
      </c>
      <c r="J1008" s="106">
        <v>309</v>
      </c>
      <c r="K1008" s="106">
        <v>94</v>
      </c>
      <c r="L1008" s="106">
        <v>5400</v>
      </c>
      <c r="M1008" s="106">
        <v>3852</v>
      </c>
      <c r="N1008" s="106">
        <v>8033</v>
      </c>
      <c r="O1008" s="106">
        <v>43372</v>
      </c>
      <c r="P1008" s="108">
        <v>2656</v>
      </c>
      <c r="Q1008" s="106">
        <v>38016</v>
      </c>
      <c r="R1008" s="16">
        <f t="shared" si="59"/>
        <v>16089</v>
      </c>
    </row>
    <row r="1009" spans="1:18" ht="15.6" x14ac:dyDescent="0.3">
      <c r="A1009" s="107">
        <v>40031</v>
      </c>
      <c r="B1009" s="108">
        <v>1324</v>
      </c>
      <c r="C1009" s="108">
        <v>1282</v>
      </c>
      <c r="D1009" s="108">
        <v>634</v>
      </c>
      <c r="E1009" s="108">
        <v>523</v>
      </c>
      <c r="F1009" s="108">
        <v>945</v>
      </c>
      <c r="G1009" s="108">
        <v>652</v>
      </c>
      <c r="H1009" s="108">
        <v>985</v>
      </c>
      <c r="I1009" s="108">
        <v>653</v>
      </c>
      <c r="J1009" s="108">
        <v>229</v>
      </c>
      <c r="K1009" s="108">
        <v>96</v>
      </c>
      <c r="L1009" s="108">
        <v>4115</v>
      </c>
      <c r="M1009" s="108">
        <v>3206</v>
      </c>
      <c r="N1009" s="108">
        <v>6654</v>
      </c>
      <c r="O1009" s="108">
        <v>41206</v>
      </c>
      <c r="P1009" s="108">
        <v>3153</v>
      </c>
      <c r="Q1009" s="108">
        <v>32630</v>
      </c>
      <c r="R1009" s="16">
        <f t="shared" si="59"/>
        <v>13922</v>
      </c>
    </row>
    <row r="1010" spans="1:18" ht="15.6" x14ac:dyDescent="0.3">
      <c r="A1010" s="107">
        <v>40395</v>
      </c>
      <c r="B1010" s="108">
        <v>2753</v>
      </c>
      <c r="C1010" s="106">
        <v>1998</v>
      </c>
      <c r="D1010" s="106">
        <v>584</v>
      </c>
      <c r="E1010" s="106">
        <v>399</v>
      </c>
      <c r="F1010" s="106">
        <v>1391</v>
      </c>
      <c r="G1010" s="106">
        <v>1046</v>
      </c>
      <c r="H1010" s="106">
        <v>1261</v>
      </c>
      <c r="I1010" s="106">
        <v>708</v>
      </c>
      <c r="J1010" s="106">
        <v>307</v>
      </c>
      <c r="K1010" s="106">
        <v>123</v>
      </c>
      <c r="L1010" s="106">
        <v>6295</v>
      </c>
      <c r="M1010" s="106">
        <v>4274</v>
      </c>
      <c r="N1010" s="106">
        <v>7464</v>
      </c>
      <c r="O1010" s="106">
        <v>44379</v>
      </c>
      <c r="P1010" s="108">
        <v>2707</v>
      </c>
      <c r="Q1010" s="106">
        <v>38232</v>
      </c>
      <c r="R1010" s="16">
        <f t="shared" si="59"/>
        <v>16466</v>
      </c>
    </row>
    <row r="1011" spans="1:18" ht="15.6" x14ac:dyDescent="0.3">
      <c r="A1011" s="107">
        <v>40038</v>
      </c>
      <c r="B1011" s="108">
        <v>1329</v>
      </c>
      <c r="C1011" s="108">
        <v>1414</v>
      </c>
      <c r="D1011" s="108">
        <v>625</v>
      </c>
      <c r="E1011" s="108">
        <v>584</v>
      </c>
      <c r="F1011" s="108">
        <v>930</v>
      </c>
      <c r="G1011" s="108">
        <v>763</v>
      </c>
      <c r="H1011" s="108">
        <v>983</v>
      </c>
      <c r="I1011" s="108">
        <v>702</v>
      </c>
      <c r="J1011" s="108">
        <v>233</v>
      </c>
      <c r="K1011" s="108">
        <v>118</v>
      </c>
      <c r="L1011" s="108">
        <v>4099</v>
      </c>
      <c r="M1011" s="108">
        <v>3581</v>
      </c>
      <c r="N1011" s="108">
        <v>6107</v>
      </c>
      <c r="O1011" s="108">
        <v>42330</v>
      </c>
      <c r="P1011" s="108">
        <v>3273</v>
      </c>
      <c r="Q1011" s="108">
        <v>32786</v>
      </c>
      <c r="R1011" s="16">
        <f t="shared" si="59"/>
        <v>13479</v>
      </c>
    </row>
    <row r="1012" spans="1:18" ht="15.6" x14ac:dyDescent="0.3">
      <c r="A1012" s="107">
        <v>40402</v>
      </c>
      <c r="B1012" s="108">
        <v>3191</v>
      </c>
      <c r="C1012" s="106">
        <v>2242</v>
      </c>
      <c r="D1012" s="106">
        <v>559</v>
      </c>
      <c r="E1012" s="106">
        <v>437</v>
      </c>
      <c r="F1012" s="106">
        <v>1781</v>
      </c>
      <c r="G1012" s="106">
        <v>1170</v>
      </c>
      <c r="H1012" s="106">
        <v>1230</v>
      </c>
      <c r="I1012" s="106">
        <v>859</v>
      </c>
      <c r="J1012" s="106">
        <v>370</v>
      </c>
      <c r="K1012" s="106">
        <v>144</v>
      </c>
      <c r="L1012" s="106">
        <v>7131</v>
      </c>
      <c r="M1012" s="106">
        <v>4851</v>
      </c>
      <c r="N1012" s="106">
        <v>7053</v>
      </c>
      <c r="O1012" s="106">
        <v>45386</v>
      </c>
      <c r="P1012" s="108">
        <v>2391</v>
      </c>
      <c r="Q1012" s="106">
        <v>38729</v>
      </c>
      <c r="R1012" s="16">
        <f t="shared" si="59"/>
        <v>16575</v>
      </c>
    </row>
    <row r="1013" spans="1:18" ht="15.6" x14ac:dyDescent="0.3">
      <c r="A1013" s="107">
        <v>40045</v>
      </c>
      <c r="B1013" s="108">
        <v>1402</v>
      </c>
      <c r="C1013" s="108">
        <v>1597</v>
      </c>
      <c r="D1013" s="108">
        <v>729</v>
      </c>
      <c r="E1013" s="108">
        <v>628</v>
      </c>
      <c r="F1013" s="108">
        <v>959</v>
      </c>
      <c r="G1013" s="108">
        <v>888</v>
      </c>
      <c r="H1013" s="108">
        <v>969</v>
      </c>
      <c r="I1013" s="108">
        <v>798</v>
      </c>
      <c r="J1013" s="108">
        <v>243</v>
      </c>
      <c r="K1013" s="108">
        <v>120</v>
      </c>
      <c r="L1013" s="108">
        <v>4302</v>
      </c>
      <c r="M1013" s="108">
        <v>4031</v>
      </c>
      <c r="N1013" s="108">
        <v>7053</v>
      </c>
      <c r="O1013" s="108">
        <v>43605</v>
      </c>
      <c r="P1013" s="108">
        <v>3049</v>
      </c>
      <c r="Q1013" s="108">
        <v>33097</v>
      </c>
      <c r="R1013" s="16">
        <f t="shared" ref="R1013:R1018" si="60">P1013+N1013+L1013</f>
        <v>14404</v>
      </c>
    </row>
    <row r="1014" spans="1:18" ht="15.6" x14ac:dyDescent="0.3">
      <c r="A1014" s="107">
        <v>40409</v>
      </c>
      <c r="B1014" s="108">
        <v>3565</v>
      </c>
      <c r="C1014" s="106">
        <v>2518</v>
      </c>
      <c r="D1014" s="106">
        <v>608</v>
      </c>
      <c r="E1014" s="106">
        <v>464</v>
      </c>
      <c r="F1014" s="106">
        <v>1952</v>
      </c>
      <c r="G1014" s="106">
        <v>1245</v>
      </c>
      <c r="H1014" s="106">
        <v>1246</v>
      </c>
      <c r="I1014" s="106">
        <v>947</v>
      </c>
      <c r="J1014" s="106">
        <v>331</v>
      </c>
      <c r="K1014" s="106">
        <v>185</v>
      </c>
      <c r="L1014" s="106">
        <v>7702</v>
      </c>
      <c r="M1014" s="106">
        <v>5358</v>
      </c>
      <c r="N1014" s="106">
        <v>5923</v>
      </c>
      <c r="O1014" s="106">
        <v>46557</v>
      </c>
      <c r="P1014" s="108">
        <v>2237</v>
      </c>
      <c r="Q1014" s="106">
        <v>39050</v>
      </c>
      <c r="R1014" s="16">
        <f t="shared" si="60"/>
        <v>15862</v>
      </c>
    </row>
    <row r="1015" spans="1:18" ht="15.6" x14ac:dyDescent="0.3">
      <c r="A1015" s="107">
        <v>40052</v>
      </c>
      <c r="B1015" s="108">
        <v>1271</v>
      </c>
      <c r="C1015" s="108">
        <v>1802</v>
      </c>
      <c r="D1015" s="108">
        <v>813</v>
      </c>
      <c r="E1015" s="108">
        <v>739</v>
      </c>
      <c r="F1015" s="108">
        <v>954</v>
      </c>
      <c r="G1015" s="108">
        <v>962</v>
      </c>
      <c r="H1015" s="108">
        <v>963</v>
      </c>
      <c r="I1015" s="108">
        <v>836</v>
      </c>
      <c r="J1015" s="108">
        <v>270</v>
      </c>
      <c r="K1015" s="108">
        <v>128</v>
      </c>
      <c r="L1015" s="108">
        <v>4272</v>
      </c>
      <c r="M1015" s="108">
        <v>4466</v>
      </c>
      <c r="N1015" s="108">
        <v>4398</v>
      </c>
      <c r="O1015" s="108">
        <v>44650</v>
      </c>
      <c r="P1015" s="108">
        <v>2382</v>
      </c>
      <c r="Q1015" s="108">
        <v>33705</v>
      </c>
      <c r="R1015" s="16">
        <f t="shared" si="60"/>
        <v>11052</v>
      </c>
    </row>
    <row r="1016" spans="1:18" ht="15.6" x14ac:dyDescent="0.3">
      <c r="A1016" s="107">
        <v>40416</v>
      </c>
      <c r="B1016" s="108">
        <v>3585</v>
      </c>
      <c r="C1016" s="106">
        <v>2903</v>
      </c>
      <c r="D1016" s="106">
        <v>629</v>
      </c>
      <c r="E1016" s="106">
        <v>497</v>
      </c>
      <c r="F1016" s="106">
        <v>2232</v>
      </c>
      <c r="G1016" s="106">
        <v>1365</v>
      </c>
      <c r="H1016" s="106">
        <v>1329</v>
      </c>
      <c r="I1016" s="106">
        <v>998</v>
      </c>
      <c r="J1016" s="106">
        <v>357</v>
      </c>
      <c r="K1016" s="106">
        <v>188</v>
      </c>
      <c r="L1016" s="106">
        <v>8133</v>
      </c>
      <c r="M1016" s="106">
        <v>5951</v>
      </c>
      <c r="N1016" s="106">
        <v>4753</v>
      </c>
      <c r="O1016" s="106">
        <v>47700</v>
      </c>
      <c r="P1016" s="108">
        <v>2004</v>
      </c>
      <c r="Q1016" s="106">
        <v>39285</v>
      </c>
      <c r="R1016" s="16">
        <f t="shared" si="60"/>
        <v>14890</v>
      </c>
    </row>
    <row r="1017" spans="1:18" ht="15.6" x14ac:dyDescent="0.3">
      <c r="A1017" s="107">
        <v>40059</v>
      </c>
      <c r="B1017" s="108">
        <v>1282</v>
      </c>
      <c r="C1017" s="108">
        <v>1935</v>
      </c>
      <c r="D1017" s="108">
        <v>870</v>
      </c>
      <c r="E1017" s="108">
        <v>773</v>
      </c>
      <c r="F1017" s="108">
        <v>981</v>
      </c>
      <c r="G1017" s="108">
        <v>1047</v>
      </c>
      <c r="H1017" s="108">
        <v>962</v>
      </c>
      <c r="I1017" s="108">
        <v>970</v>
      </c>
      <c r="J1017" s="108">
        <v>275</v>
      </c>
      <c r="K1017" s="108">
        <v>189</v>
      </c>
      <c r="L1017" s="108">
        <v>4371</v>
      </c>
      <c r="M1017" s="108">
        <v>4913</v>
      </c>
      <c r="N1017" s="108">
        <v>12131</v>
      </c>
      <c r="O1017" s="108">
        <v>537</v>
      </c>
      <c r="P1017" s="108">
        <v>16947</v>
      </c>
      <c r="Q1017" s="108">
        <v>194</v>
      </c>
      <c r="R1017" s="16">
        <f t="shared" si="60"/>
        <v>33449</v>
      </c>
    </row>
    <row r="1018" spans="1:18" ht="15.6" x14ac:dyDescent="0.3">
      <c r="A1018" s="107">
        <v>40423</v>
      </c>
      <c r="B1018" s="108">
        <v>3899</v>
      </c>
      <c r="C1018" s="106">
        <v>3152</v>
      </c>
      <c r="D1018" s="106">
        <v>599</v>
      </c>
      <c r="E1018" s="106">
        <v>541</v>
      </c>
      <c r="F1018" s="106">
        <v>2230</v>
      </c>
      <c r="G1018" s="106">
        <v>1608</v>
      </c>
      <c r="H1018" s="106">
        <v>1341</v>
      </c>
      <c r="I1018" s="106">
        <v>1121</v>
      </c>
      <c r="J1018" s="106">
        <v>358</v>
      </c>
      <c r="K1018" s="106">
        <v>190</v>
      </c>
      <c r="L1018" s="106">
        <v>8426</v>
      </c>
      <c r="M1018" s="106">
        <v>6611</v>
      </c>
      <c r="N1018" s="106">
        <v>15102</v>
      </c>
      <c r="O1018" s="106">
        <v>259</v>
      </c>
      <c r="P1018" s="108">
        <v>17705</v>
      </c>
      <c r="Q1018" s="106">
        <v>81</v>
      </c>
      <c r="R1018" s="16">
        <f t="shared" si="60"/>
        <v>41233</v>
      </c>
    </row>
    <row r="1019" spans="1:18" ht="15.6" x14ac:dyDescent="0.3">
      <c r="A1019" s="107">
        <v>40066</v>
      </c>
      <c r="B1019" s="108">
        <v>1284</v>
      </c>
      <c r="C1019" s="108">
        <v>2121</v>
      </c>
      <c r="D1019" s="108">
        <v>802</v>
      </c>
      <c r="E1019" s="108">
        <v>912</v>
      </c>
      <c r="F1019" s="108">
        <v>917</v>
      </c>
      <c r="G1019" s="108">
        <v>1212</v>
      </c>
      <c r="H1019" s="108">
        <v>930</v>
      </c>
      <c r="I1019" s="108">
        <v>1036</v>
      </c>
      <c r="J1019" s="108">
        <v>290</v>
      </c>
      <c r="K1019" s="108">
        <v>202</v>
      </c>
      <c r="L1019" s="108">
        <v>4224</v>
      </c>
      <c r="M1019" s="108">
        <v>5484</v>
      </c>
      <c r="N1019" s="108">
        <v>11935</v>
      </c>
      <c r="O1019" s="108">
        <v>1699</v>
      </c>
      <c r="P1019" s="108">
        <v>17173</v>
      </c>
      <c r="Q1019" s="108">
        <v>458</v>
      </c>
      <c r="R1019" s="16">
        <f t="shared" ref="R1019:R1024" si="61">P1019+N1019+L1019</f>
        <v>33332</v>
      </c>
    </row>
    <row r="1020" spans="1:18" ht="15.6" x14ac:dyDescent="0.3">
      <c r="A1020" s="107">
        <v>40430</v>
      </c>
      <c r="B1020" s="108">
        <v>3506</v>
      </c>
      <c r="C1020" s="106">
        <v>3712</v>
      </c>
      <c r="D1020" s="106">
        <v>598</v>
      </c>
      <c r="E1020" s="106">
        <v>560</v>
      </c>
      <c r="F1020" s="106">
        <v>2177</v>
      </c>
      <c r="G1020" s="106">
        <v>1828</v>
      </c>
      <c r="H1020" s="106">
        <v>1385</v>
      </c>
      <c r="I1020" s="106">
        <v>1162</v>
      </c>
      <c r="J1020" s="106">
        <v>373</v>
      </c>
      <c r="K1020" s="106">
        <v>221</v>
      </c>
      <c r="L1020" s="106">
        <v>8039</v>
      </c>
      <c r="M1020" s="106">
        <v>7483</v>
      </c>
      <c r="N1020" s="106">
        <v>14588</v>
      </c>
      <c r="O1020" s="106">
        <v>1385</v>
      </c>
      <c r="P1020" s="108">
        <v>18201</v>
      </c>
      <c r="Q1020" s="106">
        <v>254</v>
      </c>
      <c r="R1020" s="16">
        <f t="shared" si="61"/>
        <v>40828</v>
      </c>
    </row>
    <row r="1021" spans="1:18" ht="15.6" x14ac:dyDescent="0.3">
      <c r="A1021" s="107">
        <v>40073</v>
      </c>
      <c r="B1021" s="108">
        <v>1244</v>
      </c>
      <c r="C1021" s="108">
        <v>2347</v>
      </c>
      <c r="D1021" s="108">
        <v>769</v>
      </c>
      <c r="E1021" s="108">
        <v>997</v>
      </c>
      <c r="F1021" s="108">
        <v>892</v>
      </c>
      <c r="G1021" s="108">
        <v>1389</v>
      </c>
      <c r="H1021" s="108">
        <v>897</v>
      </c>
      <c r="I1021" s="108">
        <v>1150</v>
      </c>
      <c r="J1021" s="108">
        <v>312</v>
      </c>
      <c r="K1021" s="108">
        <v>218</v>
      </c>
      <c r="L1021" s="108">
        <v>4114</v>
      </c>
      <c r="M1021" s="108">
        <v>6101</v>
      </c>
      <c r="N1021" s="108">
        <v>11570</v>
      </c>
      <c r="O1021" s="108">
        <v>2738</v>
      </c>
      <c r="P1021" s="108">
        <v>18242</v>
      </c>
      <c r="Q1021" s="108">
        <v>541</v>
      </c>
      <c r="R1021" s="16">
        <f t="shared" si="61"/>
        <v>33926</v>
      </c>
    </row>
    <row r="1022" spans="1:18" ht="15.6" x14ac:dyDescent="0.3">
      <c r="A1022" s="107">
        <v>40437</v>
      </c>
      <c r="B1022" s="108">
        <v>3697</v>
      </c>
      <c r="C1022" s="106">
        <v>4153</v>
      </c>
      <c r="D1022" s="106">
        <v>591</v>
      </c>
      <c r="E1022" s="106">
        <v>573</v>
      </c>
      <c r="F1022" s="106">
        <v>2225</v>
      </c>
      <c r="G1022" s="106">
        <v>1998</v>
      </c>
      <c r="H1022" s="106">
        <v>1305</v>
      </c>
      <c r="I1022" s="106">
        <v>1378</v>
      </c>
      <c r="J1022" s="106">
        <v>253</v>
      </c>
      <c r="K1022" s="106">
        <v>300</v>
      </c>
      <c r="L1022" s="106">
        <v>8070</v>
      </c>
      <c r="M1022" s="106">
        <v>8402</v>
      </c>
      <c r="N1022" s="106">
        <v>14158</v>
      </c>
      <c r="O1022" s="106">
        <v>2377</v>
      </c>
      <c r="P1022" s="108">
        <v>18939</v>
      </c>
      <c r="Q1022" s="106">
        <v>600</v>
      </c>
      <c r="R1022" s="16">
        <f t="shared" si="61"/>
        <v>41167</v>
      </c>
    </row>
    <row r="1023" spans="1:18" ht="15.6" x14ac:dyDescent="0.3">
      <c r="A1023" s="107">
        <v>40080</v>
      </c>
      <c r="B1023" s="108">
        <v>1189</v>
      </c>
      <c r="C1023" s="108">
        <v>2523</v>
      </c>
      <c r="D1023" s="108">
        <v>714</v>
      </c>
      <c r="E1023" s="108">
        <v>1106</v>
      </c>
      <c r="F1023" s="108">
        <v>915</v>
      </c>
      <c r="G1023" s="108">
        <v>1556</v>
      </c>
      <c r="H1023" s="108">
        <v>831</v>
      </c>
      <c r="I1023" s="108">
        <v>1308</v>
      </c>
      <c r="J1023" s="108">
        <v>372</v>
      </c>
      <c r="K1023" s="108">
        <v>240</v>
      </c>
      <c r="L1023" s="108">
        <v>4021</v>
      </c>
      <c r="M1023" s="108">
        <v>6732</v>
      </c>
      <c r="N1023" s="108">
        <v>11828</v>
      </c>
      <c r="O1023" s="108">
        <v>3702</v>
      </c>
      <c r="P1023" s="108">
        <v>19418</v>
      </c>
      <c r="Q1023" s="108">
        <v>750</v>
      </c>
      <c r="R1023" s="16">
        <f t="shared" si="61"/>
        <v>35267</v>
      </c>
    </row>
    <row r="1024" spans="1:18" ht="15.6" x14ac:dyDescent="0.3">
      <c r="A1024" s="107">
        <v>40444</v>
      </c>
      <c r="B1024" s="108">
        <v>3734</v>
      </c>
      <c r="C1024" s="106">
        <v>4417</v>
      </c>
      <c r="D1024" s="106">
        <v>609</v>
      </c>
      <c r="E1024" s="106">
        <v>589</v>
      </c>
      <c r="F1024" s="106">
        <v>2119</v>
      </c>
      <c r="G1024" s="106">
        <v>2331</v>
      </c>
      <c r="H1024" s="106">
        <v>1216</v>
      </c>
      <c r="I1024" s="106">
        <v>1519</v>
      </c>
      <c r="J1024" s="106">
        <v>238</v>
      </c>
      <c r="K1024" s="106">
        <v>331</v>
      </c>
      <c r="L1024" s="106">
        <v>7916</v>
      </c>
      <c r="M1024" s="106">
        <v>9187</v>
      </c>
      <c r="N1024" s="106">
        <v>14142</v>
      </c>
      <c r="O1024" s="106">
        <v>3319</v>
      </c>
      <c r="P1024" s="108">
        <v>20155</v>
      </c>
      <c r="Q1024" s="106">
        <v>1121</v>
      </c>
      <c r="R1024" s="16">
        <f t="shared" si="61"/>
        <v>42213</v>
      </c>
    </row>
    <row r="1025" spans="1:18" ht="15.6" x14ac:dyDescent="0.3">
      <c r="A1025" s="107">
        <v>40087</v>
      </c>
      <c r="B1025" s="108">
        <v>1205</v>
      </c>
      <c r="C1025" s="108">
        <v>2772</v>
      </c>
      <c r="D1025" s="108">
        <v>643</v>
      </c>
      <c r="E1025" s="108">
        <v>1205</v>
      </c>
      <c r="F1025" s="108">
        <v>997</v>
      </c>
      <c r="G1025" s="108">
        <v>1706</v>
      </c>
      <c r="H1025" s="108">
        <v>871</v>
      </c>
      <c r="I1025" s="108">
        <v>1427</v>
      </c>
      <c r="J1025" s="108">
        <v>397</v>
      </c>
      <c r="K1025" s="108">
        <v>297</v>
      </c>
      <c r="L1025" s="108">
        <v>4113</v>
      </c>
      <c r="M1025" s="108">
        <v>7408</v>
      </c>
      <c r="N1025" s="108">
        <v>11206</v>
      </c>
      <c r="O1025" s="108">
        <v>4847</v>
      </c>
      <c r="P1025" s="108">
        <v>19528</v>
      </c>
      <c r="Q1025" s="108">
        <v>1091</v>
      </c>
      <c r="R1025" s="16">
        <f t="shared" ref="R1025:R1030" si="62">P1025+N1025+L1025</f>
        <v>34847</v>
      </c>
    </row>
    <row r="1026" spans="1:18" ht="15.6" x14ac:dyDescent="0.3">
      <c r="A1026" s="107">
        <v>40451</v>
      </c>
      <c r="B1026" s="108">
        <v>3600</v>
      </c>
      <c r="C1026" s="106">
        <v>4788</v>
      </c>
      <c r="D1026" s="106">
        <v>560</v>
      </c>
      <c r="E1026" s="106">
        <v>676</v>
      </c>
      <c r="F1026" s="106">
        <v>2245</v>
      </c>
      <c r="G1026" s="106">
        <v>2572</v>
      </c>
      <c r="H1026" s="106">
        <v>1228</v>
      </c>
      <c r="I1026" s="106">
        <v>1657</v>
      </c>
      <c r="J1026" s="106">
        <v>213</v>
      </c>
      <c r="K1026" s="106">
        <v>373</v>
      </c>
      <c r="L1026" s="106">
        <v>7846</v>
      </c>
      <c r="M1026" s="106">
        <v>10066</v>
      </c>
      <c r="N1026" s="106">
        <v>13770</v>
      </c>
      <c r="O1026" s="106">
        <v>4297</v>
      </c>
      <c r="P1026" s="108">
        <v>20449</v>
      </c>
      <c r="Q1026" s="106">
        <v>1776</v>
      </c>
      <c r="R1026" s="16">
        <f t="shared" si="62"/>
        <v>42065</v>
      </c>
    </row>
    <row r="1027" spans="1:18" ht="15.6" x14ac:dyDescent="0.3">
      <c r="A1027" s="107">
        <v>40094</v>
      </c>
      <c r="B1027" s="108">
        <v>1100</v>
      </c>
      <c r="C1027" s="108">
        <v>2981</v>
      </c>
      <c r="D1027" s="108">
        <v>623</v>
      </c>
      <c r="E1027" s="108">
        <v>1262</v>
      </c>
      <c r="F1027" s="108">
        <v>1009</v>
      </c>
      <c r="G1027" s="108">
        <v>1849</v>
      </c>
      <c r="H1027" s="108">
        <v>932</v>
      </c>
      <c r="I1027" s="108">
        <v>1488</v>
      </c>
      <c r="J1027" s="108">
        <v>404</v>
      </c>
      <c r="K1027" s="108">
        <v>351</v>
      </c>
      <c r="L1027" s="108">
        <v>4069</v>
      </c>
      <c r="M1027" s="108">
        <v>7932</v>
      </c>
      <c r="N1027" s="108">
        <v>11167</v>
      </c>
      <c r="O1027" s="108">
        <v>5517</v>
      </c>
      <c r="P1027" s="108">
        <v>19577</v>
      </c>
      <c r="Q1027" s="108">
        <v>1696</v>
      </c>
      <c r="R1027" s="16">
        <f t="shared" si="62"/>
        <v>34813</v>
      </c>
    </row>
    <row r="1028" spans="1:18" ht="15.6" x14ac:dyDescent="0.3">
      <c r="A1028" s="107">
        <v>40458</v>
      </c>
      <c r="B1028" s="108">
        <v>3505</v>
      </c>
      <c r="C1028" s="106">
        <v>5058</v>
      </c>
      <c r="D1028" s="106">
        <v>488</v>
      </c>
      <c r="E1028" s="106">
        <v>714</v>
      </c>
      <c r="F1028" s="106">
        <v>2110</v>
      </c>
      <c r="G1028" s="106">
        <v>2798</v>
      </c>
      <c r="H1028" s="106">
        <v>1254</v>
      </c>
      <c r="I1028" s="106">
        <v>1764</v>
      </c>
      <c r="J1028" s="106">
        <v>197</v>
      </c>
      <c r="K1028" s="106">
        <v>395</v>
      </c>
      <c r="L1028" s="106">
        <v>7554</v>
      </c>
      <c r="M1028" s="106">
        <v>10729</v>
      </c>
      <c r="N1028" s="106">
        <v>13868</v>
      </c>
      <c r="O1028" s="106">
        <v>5105</v>
      </c>
      <c r="P1028" s="108">
        <v>20368</v>
      </c>
      <c r="Q1028" s="106">
        <v>2965</v>
      </c>
      <c r="R1028" s="16">
        <f t="shared" si="62"/>
        <v>41790</v>
      </c>
    </row>
    <row r="1029" spans="1:18" ht="15.6" x14ac:dyDescent="0.3">
      <c r="A1029" s="107">
        <v>40101</v>
      </c>
      <c r="B1029" s="108">
        <v>1252</v>
      </c>
      <c r="C1029" s="108">
        <v>3130</v>
      </c>
      <c r="D1029" s="108">
        <v>589</v>
      </c>
      <c r="E1029" s="108">
        <v>1373</v>
      </c>
      <c r="F1029" s="108">
        <v>1008</v>
      </c>
      <c r="G1029" s="108">
        <v>1967</v>
      </c>
      <c r="H1029" s="108">
        <v>995</v>
      </c>
      <c r="I1029" s="108">
        <v>1544</v>
      </c>
      <c r="J1029" s="108">
        <v>385</v>
      </c>
      <c r="K1029" s="108">
        <v>384</v>
      </c>
      <c r="L1029" s="108">
        <v>4229</v>
      </c>
      <c r="M1029" s="108">
        <v>8399</v>
      </c>
      <c r="N1029" s="108">
        <v>10584</v>
      </c>
      <c r="O1029" s="108">
        <v>6335</v>
      </c>
      <c r="P1029" s="108">
        <v>19708</v>
      </c>
      <c r="Q1029" s="108">
        <v>2552</v>
      </c>
      <c r="R1029" s="16">
        <f t="shared" si="62"/>
        <v>34521</v>
      </c>
    </row>
    <row r="1030" spans="1:18" ht="15.6" x14ac:dyDescent="0.3">
      <c r="A1030" s="107">
        <v>40465</v>
      </c>
      <c r="B1030" s="108">
        <v>3531</v>
      </c>
      <c r="C1030" s="106">
        <v>5363</v>
      </c>
      <c r="D1030" s="106">
        <v>546</v>
      </c>
      <c r="E1030" s="106">
        <v>734</v>
      </c>
      <c r="F1030" s="106">
        <v>2029</v>
      </c>
      <c r="G1030" s="106">
        <v>3004</v>
      </c>
      <c r="H1030" s="106">
        <v>1220</v>
      </c>
      <c r="I1030" s="106">
        <v>1820</v>
      </c>
      <c r="J1030" s="106">
        <v>211</v>
      </c>
      <c r="K1030" s="106">
        <v>401</v>
      </c>
      <c r="L1030" s="106">
        <v>7536</v>
      </c>
      <c r="M1030" s="106">
        <v>11321</v>
      </c>
      <c r="N1030" s="106">
        <v>13247</v>
      </c>
      <c r="O1030" s="106">
        <v>5938</v>
      </c>
      <c r="P1030" s="108">
        <v>20760</v>
      </c>
      <c r="Q1030" s="106">
        <v>4569</v>
      </c>
      <c r="R1030" s="16">
        <f t="shared" si="62"/>
        <v>41543</v>
      </c>
    </row>
    <row r="1031" spans="1:18" ht="15.6" x14ac:dyDescent="0.3">
      <c r="A1031" s="107">
        <v>40108</v>
      </c>
      <c r="B1031" s="108">
        <v>1256</v>
      </c>
      <c r="C1031" s="108">
        <v>3244</v>
      </c>
      <c r="D1031" s="108">
        <v>594</v>
      </c>
      <c r="E1031" s="108">
        <v>1386</v>
      </c>
      <c r="F1031" s="108">
        <v>1013</v>
      </c>
      <c r="G1031" s="108">
        <v>2109</v>
      </c>
      <c r="H1031" s="108">
        <v>960</v>
      </c>
      <c r="I1031" s="108">
        <v>1647</v>
      </c>
      <c r="J1031" s="108">
        <v>322</v>
      </c>
      <c r="K1031" s="108">
        <v>444</v>
      </c>
      <c r="L1031" s="108">
        <v>4146</v>
      </c>
      <c r="M1031" s="108">
        <v>8830</v>
      </c>
      <c r="N1031" s="108">
        <v>10284</v>
      </c>
      <c r="O1031" s="108">
        <v>7002</v>
      </c>
      <c r="P1031" s="108">
        <v>18965</v>
      </c>
      <c r="Q1031" s="108">
        <v>3986</v>
      </c>
      <c r="R1031" s="16">
        <f t="shared" ref="R1031:R1038" si="63">P1031+N1031+L1031</f>
        <v>33395</v>
      </c>
    </row>
    <row r="1032" spans="1:18" ht="15.6" x14ac:dyDescent="0.3">
      <c r="A1032" s="107">
        <v>40472</v>
      </c>
      <c r="B1032" s="108">
        <v>3320</v>
      </c>
      <c r="C1032" s="106">
        <v>5631</v>
      </c>
      <c r="D1032" s="106">
        <v>624</v>
      </c>
      <c r="E1032" s="106">
        <v>788</v>
      </c>
      <c r="F1032" s="106">
        <v>2193</v>
      </c>
      <c r="G1032" s="106">
        <v>3155</v>
      </c>
      <c r="H1032" s="106">
        <v>1191</v>
      </c>
      <c r="I1032" s="106">
        <v>1927</v>
      </c>
      <c r="J1032" s="106">
        <v>160</v>
      </c>
      <c r="K1032" s="106">
        <v>465</v>
      </c>
      <c r="L1032" s="106">
        <v>7487</v>
      </c>
      <c r="M1032" s="106">
        <v>11965</v>
      </c>
      <c r="N1032" s="106">
        <v>13217</v>
      </c>
      <c r="O1032" s="106">
        <v>6502</v>
      </c>
      <c r="P1032" s="108">
        <v>20852</v>
      </c>
      <c r="Q1032" s="106">
        <v>6503</v>
      </c>
      <c r="R1032" s="16">
        <f t="shared" si="63"/>
        <v>41556</v>
      </c>
    </row>
    <row r="1033" spans="1:18" ht="15.6" x14ac:dyDescent="0.3">
      <c r="A1033" s="107">
        <v>40115</v>
      </c>
      <c r="B1033" s="108">
        <v>1263</v>
      </c>
      <c r="C1033" s="108">
        <v>3346</v>
      </c>
      <c r="D1033" s="108">
        <v>557</v>
      </c>
      <c r="E1033" s="108">
        <v>1462</v>
      </c>
      <c r="F1033" s="108">
        <v>1020</v>
      </c>
      <c r="G1033" s="108">
        <v>2167</v>
      </c>
      <c r="H1033" s="108">
        <v>980</v>
      </c>
      <c r="I1033" s="108">
        <v>1677</v>
      </c>
      <c r="J1033" s="108">
        <v>322</v>
      </c>
      <c r="K1033" s="108">
        <v>468</v>
      </c>
      <c r="L1033" s="108">
        <v>4141</v>
      </c>
      <c r="M1033" s="108">
        <v>9120</v>
      </c>
      <c r="N1033" s="108">
        <v>10140</v>
      </c>
      <c r="O1033" s="108">
        <v>7710</v>
      </c>
      <c r="P1033" s="108">
        <v>17795</v>
      </c>
      <c r="Q1033" s="108">
        <v>5539</v>
      </c>
      <c r="R1033" s="16">
        <f t="shared" si="63"/>
        <v>32076</v>
      </c>
    </row>
    <row r="1034" spans="1:18" ht="15.6" x14ac:dyDescent="0.3">
      <c r="A1034" s="107">
        <v>40479</v>
      </c>
      <c r="B1034" s="108">
        <v>3365</v>
      </c>
      <c r="C1034" s="106">
        <v>5834</v>
      </c>
      <c r="D1034" s="106">
        <v>553</v>
      </c>
      <c r="E1034" s="106">
        <v>868</v>
      </c>
      <c r="F1034" s="106">
        <v>2326</v>
      </c>
      <c r="G1034" s="106">
        <v>3230</v>
      </c>
      <c r="H1034" s="106">
        <v>1185</v>
      </c>
      <c r="I1034" s="106">
        <v>1993</v>
      </c>
      <c r="J1034" s="106">
        <v>194</v>
      </c>
      <c r="K1034" s="106">
        <v>469</v>
      </c>
      <c r="L1034" s="106">
        <v>7623</v>
      </c>
      <c r="M1034" s="106">
        <v>12394</v>
      </c>
      <c r="N1034" s="106">
        <v>12798</v>
      </c>
      <c r="O1034" s="106">
        <v>7382</v>
      </c>
      <c r="P1034" s="108">
        <v>20473</v>
      </c>
      <c r="Q1034" s="106">
        <v>8459</v>
      </c>
      <c r="R1034" s="16">
        <f t="shared" si="63"/>
        <v>40894</v>
      </c>
    </row>
    <row r="1035" spans="1:18" ht="15.6" x14ac:dyDescent="0.3">
      <c r="A1035" s="107">
        <v>40122</v>
      </c>
      <c r="B1035" s="108">
        <v>1406</v>
      </c>
      <c r="C1035" s="108">
        <v>3431</v>
      </c>
      <c r="D1035" s="108">
        <v>540</v>
      </c>
      <c r="E1035" s="108">
        <v>1506</v>
      </c>
      <c r="F1035" s="108">
        <v>1026</v>
      </c>
      <c r="G1035" s="108">
        <v>2250</v>
      </c>
      <c r="H1035" s="108">
        <v>826</v>
      </c>
      <c r="I1035" s="108">
        <v>1876</v>
      </c>
      <c r="J1035" s="108">
        <v>300</v>
      </c>
      <c r="K1035" s="108">
        <v>514</v>
      </c>
      <c r="L1035" s="108">
        <v>4097</v>
      </c>
      <c r="M1035" s="108">
        <v>9576</v>
      </c>
      <c r="N1035" s="108">
        <v>9871</v>
      </c>
      <c r="O1035" s="108">
        <v>8468</v>
      </c>
      <c r="P1035" s="108">
        <v>17431</v>
      </c>
      <c r="Q1035" s="108">
        <v>7060</v>
      </c>
      <c r="R1035" s="16">
        <f t="shared" si="63"/>
        <v>31399</v>
      </c>
    </row>
    <row r="1036" spans="1:18" ht="15.6" x14ac:dyDescent="0.3">
      <c r="A1036" s="107">
        <v>40486</v>
      </c>
      <c r="B1036" s="108">
        <v>3546</v>
      </c>
      <c r="C1036" s="106">
        <v>6004</v>
      </c>
      <c r="D1036" s="106">
        <v>560</v>
      </c>
      <c r="E1036" s="106">
        <v>870</v>
      </c>
      <c r="F1036" s="106">
        <v>2509</v>
      </c>
      <c r="G1036" s="106">
        <v>3414</v>
      </c>
      <c r="H1036" s="106">
        <v>1169</v>
      </c>
      <c r="I1036" s="106">
        <v>2112</v>
      </c>
      <c r="J1036" s="106">
        <v>156</v>
      </c>
      <c r="K1036" s="106">
        <v>511</v>
      </c>
      <c r="L1036" s="106">
        <v>7939</v>
      </c>
      <c r="M1036" s="106">
        <v>12911</v>
      </c>
      <c r="N1036" s="106">
        <v>12620</v>
      </c>
      <c r="O1036" s="106">
        <v>8133</v>
      </c>
      <c r="P1036" s="108">
        <v>19603</v>
      </c>
      <c r="Q1036" s="106">
        <v>10138</v>
      </c>
      <c r="R1036" s="16">
        <f t="shared" si="63"/>
        <v>40162</v>
      </c>
    </row>
    <row r="1037" spans="1:18" ht="15.6" x14ac:dyDescent="0.3">
      <c r="A1037" s="107">
        <v>40129</v>
      </c>
      <c r="B1037" s="108">
        <v>1318</v>
      </c>
      <c r="C1037" s="108">
        <v>3642</v>
      </c>
      <c r="D1037" s="108">
        <v>505</v>
      </c>
      <c r="E1037" s="108">
        <v>1573</v>
      </c>
      <c r="F1037" s="108">
        <v>1044</v>
      </c>
      <c r="G1037" s="108">
        <v>2366</v>
      </c>
      <c r="H1037" s="108">
        <v>793</v>
      </c>
      <c r="I1037" s="108">
        <v>1955</v>
      </c>
      <c r="J1037" s="108">
        <v>312</v>
      </c>
      <c r="K1037" s="108">
        <v>528</v>
      </c>
      <c r="L1037" s="108">
        <v>3972</v>
      </c>
      <c r="M1037" s="108">
        <v>10063</v>
      </c>
      <c r="N1037" s="108">
        <v>9540</v>
      </c>
      <c r="O1037" s="108">
        <v>9151</v>
      </c>
      <c r="P1037" s="108">
        <v>17057</v>
      </c>
      <c r="Q1037" s="108">
        <v>8784</v>
      </c>
      <c r="R1037" s="16">
        <f t="shared" si="63"/>
        <v>30569</v>
      </c>
    </row>
    <row r="1038" spans="1:18" ht="15.6" x14ac:dyDescent="0.3">
      <c r="A1038" s="107">
        <v>40493</v>
      </c>
      <c r="B1038" s="108">
        <v>3801</v>
      </c>
      <c r="C1038" s="106">
        <v>6236</v>
      </c>
      <c r="D1038" s="106">
        <v>596</v>
      </c>
      <c r="E1038" s="106">
        <v>913</v>
      </c>
      <c r="F1038" s="106">
        <v>2646</v>
      </c>
      <c r="G1038" s="106">
        <v>3546</v>
      </c>
      <c r="H1038" s="106">
        <v>1246</v>
      </c>
      <c r="I1038" s="106">
        <v>2143</v>
      </c>
      <c r="J1038" s="106">
        <v>157</v>
      </c>
      <c r="K1038" s="106">
        <v>512</v>
      </c>
      <c r="L1038" s="106">
        <v>8444</v>
      </c>
      <c r="M1038" s="106">
        <v>13349</v>
      </c>
      <c r="N1038" s="106">
        <v>12375</v>
      </c>
      <c r="O1038" s="106">
        <v>8912</v>
      </c>
      <c r="P1038" s="108">
        <v>18843</v>
      </c>
      <c r="Q1038" s="106">
        <v>11905</v>
      </c>
      <c r="R1038" s="16">
        <f t="shared" si="63"/>
        <v>39662</v>
      </c>
    </row>
    <row r="1039" spans="1:18" ht="15.6" x14ac:dyDescent="0.3">
      <c r="A1039" s="107">
        <v>40136</v>
      </c>
      <c r="B1039" s="108">
        <v>1300</v>
      </c>
      <c r="C1039" s="108">
        <v>3799</v>
      </c>
      <c r="D1039" s="108">
        <v>473</v>
      </c>
      <c r="E1039" s="108">
        <v>1617</v>
      </c>
      <c r="F1039" s="108">
        <v>1108</v>
      </c>
      <c r="G1039" s="108">
        <v>2450</v>
      </c>
      <c r="H1039" s="108">
        <v>724</v>
      </c>
      <c r="I1039" s="108">
        <v>2055</v>
      </c>
      <c r="J1039" s="108">
        <v>303</v>
      </c>
      <c r="K1039" s="108">
        <v>558</v>
      </c>
      <c r="L1039" s="108">
        <v>3908</v>
      </c>
      <c r="M1039" s="108">
        <v>10479</v>
      </c>
      <c r="N1039" s="108">
        <v>10136</v>
      </c>
      <c r="O1039" s="108">
        <v>9779</v>
      </c>
      <c r="P1039" s="108">
        <v>15758</v>
      </c>
      <c r="Q1039" s="108">
        <v>11219</v>
      </c>
      <c r="R1039" s="16">
        <f t="shared" ref="R1039:R1062" si="64">P1039+N1039+L1039</f>
        <v>29802</v>
      </c>
    </row>
    <row r="1040" spans="1:18" ht="15.6" x14ac:dyDescent="0.3">
      <c r="A1040" s="107">
        <v>40500</v>
      </c>
      <c r="B1040" s="108">
        <v>3660</v>
      </c>
      <c r="C1040" s="106">
        <v>6562</v>
      </c>
      <c r="D1040" s="106">
        <v>694</v>
      </c>
      <c r="E1040" s="106">
        <v>934</v>
      </c>
      <c r="F1040" s="106">
        <v>2772</v>
      </c>
      <c r="G1040" s="106">
        <v>3654</v>
      </c>
      <c r="H1040" s="106">
        <v>1344</v>
      </c>
      <c r="I1040" s="106">
        <v>2198</v>
      </c>
      <c r="J1040" s="106">
        <v>195</v>
      </c>
      <c r="K1040" s="106">
        <v>526</v>
      </c>
      <c r="L1040" s="106">
        <v>8665</v>
      </c>
      <c r="M1040" s="106">
        <v>13873</v>
      </c>
      <c r="N1040" s="106">
        <v>12416</v>
      </c>
      <c r="O1040" s="106">
        <v>9695</v>
      </c>
      <c r="P1040" s="108">
        <v>17885</v>
      </c>
      <c r="Q1040" s="106">
        <v>13537</v>
      </c>
      <c r="R1040" s="16">
        <f t="shared" si="64"/>
        <v>38966</v>
      </c>
    </row>
    <row r="1041" spans="1:19" ht="15.6" x14ac:dyDescent="0.3">
      <c r="A1041" s="107">
        <v>40143</v>
      </c>
      <c r="B1041" s="108">
        <v>1461</v>
      </c>
      <c r="C1041" s="108">
        <v>3869</v>
      </c>
      <c r="D1041" s="108">
        <v>474</v>
      </c>
      <c r="E1041" s="108">
        <v>1646</v>
      </c>
      <c r="F1041" s="108">
        <v>1001</v>
      </c>
      <c r="G1041" s="108">
        <v>2597</v>
      </c>
      <c r="H1041" s="108">
        <v>699</v>
      </c>
      <c r="I1041" s="108">
        <v>2150</v>
      </c>
      <c r="J1041" s="108">
        <v>278</v>
      </c>
      <c r="K1041" s="108">
        <v>603</v>
      </c>
      <c r="L1041" s="108">
        <v>3913</v>
      </c>
      <c r="M1041" s="108">
        <v>10864</v>
      </c>
      <c r="N1041" s="108">
        <v>9915</v>
      </c>
      <c r="O1041" s="108">
        <v>10659</v>
      </c>
      <c r="P1041" s="108">
        <v>15116</v>
      </c>
      <c r="Q1041" s="108">
        <v>12517</v>
      </c>
      <c r="R1041" s="16">
        <f t="shared" si="64"/>
        <v>28944</v>
      </c>
    </row>
    <row r="1042" spans="1:19" ht="15.6" x14ac:dyDescent="0.3">
      <c r="A1042" s="107">
        <v>40507</v>
      </c>
      <c r="B1042" s="108">
        <v>3650</v>
      </c>
      <c r="C1042" s="106">
        <v>6895</v>
      </c>
      <c r="D1042" s="106">
        <v>780</v>
      </c>
      <c r="E1042" s="106">
        <v>952</v>
      </c>
      <c r="F1042" s="106">
        <v>2808</v>
      </c>
      <c r="G1042" s="106">
        <v>3820</v>
      </c>
      <c r="H1042" s="106">
        <v>1329</v>
      </c>
      <c r="I1042" s="106">
        <v>2239</v>
      </c>
      <c r="J1042" s="106">
        <v>174</v>
      </c>
      <c r="K1042" s="106">
        <v>556</v>
      </c>
      <c r="L1042" s="106">
        <v>8740</v>
      </c>
      <c r="M1042" s="106">
        <v>14461</v>
      </c>
      <c r="N1042" s="106">
        <v>12389</v>
      </c>
      <c r="O1042" s="106">
        <v>10479</v>
      </c>
      <c r="P1042" s="108">
        <v>17599</v>
      </c>
      <c r="Q1042" s="106">
        <v>15165</v>
      </c>
      <c r="R1042" s="16">
        <f t="shared" si="64"/>
        <v>38728</v>
      </c>
    </row>
    <row r="1043" spans="1:19" ht="15.6" x14ac:dyDescent="0.3">
      <c r="A1043" s="107">
        <v>40150</v>
      </c>
      <c r="B1043" s="108">
        <v>1467</v>
      </c>
      <c r="C1043" s="108">
        <v>3980</v>
      </c>
      <c r="D1043" s="108">
        <v>489</v>
      </c>
      <c r="E1043" s="108">
        <v>1675</v>
      </c>
      <c r="F1043" s="108">
        <v>930</v>
      </c>
      <c r="G1043" s="108">
        <v>2700</v>
      </c>
      <c r="H1043" s="108">
        <v>725</v>
      </c>
      <c r="I1043" s="108">
        <v>2176</v>
      </c>
      <c r="J1043" s="108">
        <v>241</v>
      </c>
      <c r="K1043" s="108">
        <v>640</v>
      </c>
      <c r="L1043" s="108">
        <v>3851</v>
      </c>
      <c r="M1043" s="108">
        <v>11171</v>
      </c>
      <c r="N1043" s="108">
        <v>10057</v>
      </c>
      <c r="O1043" s="108">
        <v>11365</v>
      </c>
      <c r="P1043" s="108">
        <v>13977</v>
      </c>
      <c r="Q1043" s="108">
        <v>14584</v>
      </c>
      <c r="R1043" s="16">
        <f t="shared" si="64"/>
        <v>27885</v>
      </c>
      <c r="S1043" s="12"/>
    </row>
    <row r="1044" spans="1:19" ht="15.6" x14ac:dyDescent="0.3">
      <c r="A1044" s="107">
        <v>40514</v>
      </c>
      <c r="B1044" s="108">
        <v>3613</v>
      </c>
      <c r="C1044" s="106">
        <v>7156</v>
      </c>
      <c r="D1044" s="106">
        <v>802</v>
      </c>
      <c r="E1044" s="106">
        <v>998</v>
      </c>
      <c r="F1044" s="106">
        <v>2750</v>
      </c>
      <c r="G1044" s="106">
        <v>4057</v>
      </c>
      <c r="H1044" s="106">
        <v>1273</v>
      </c>
      <c r="I1044" s="106">
        <v>2358</v>
      </c>
      <c r="J1044" s="106">
        <v>163</v>
      </c>
      <c r="K1044" s="106">
        <v>568</v>
      </c>
      <c r="L1044" s="106">
        <v>8601</v>
      </c>
      <c r="M1044" s="106">
        <v>15136</v>
      </c>
      <c r="N1044" s="106">
        <v>12365</v>
      </c>
      <c r="O1044" s="106">
        <v>11174</v>
      </c>
      <c r="P1044" s="108">
        <v>16742</v>
      </c>
      <c r="Q1044" s="106">
        <v>16659</v>
      </c>
      <c r="R1044" s="16">
        <f t="shared" si="64"/>
        <v>37708</v>
      </c>
      <c r="S1044" s="12"/>
    </row>
    <row r="1045" spans="1:19" ht="15.6" x14ac:dyDescent="0.3">
      <c r="A1045" s="107">
        <v>40157</v>
      </c>
      <c r="B1045" s="108">
        <v>1424</v>
      </c>
      <c r="C1045" s="108">
        <v>4172</v>
      </c>
      <c r="D1045" s="108">
        <v>512</v>
      </c>
      <c r="E1045" s="108">
        <v>1698</v>
      </c>
      <c r="F1045" s="108">
        <v>973</v>
      </c>
      <c r="G1045" s="108">
        <v>2749</v>
      </c>
      <c r="H1045" s="108">
        <v>708</v>
      </c>
      <c r="I1045" s="108">
        <v>2251</v>
      </c>
      <c r="J1045" s="108">
        <v>241</v>
      </c>
      <c r="K1045" s="108">
        <v>640</v>
      </c>
      <c r="L1045" s="108">
        <v>3858</v>
      </c>
      <c r="M1045" s="108">
        <v>11509</v>
      </c>
      <c r="N1045" s="108">
        <v>10507</v>
      </c>
      <c r="O1045" s="108">
        <v>12142</v>
      </c>
      <c r="P1045" s="108">
        <v>13248</v>
      </c>
      <c r="Q1045" s="108">
        <v>16248</v>
      </c>
      <c r="R1045" s="16">
        <f t="shared" si="64"/>
        <v>27613</v>
      </c>
      <c r="S1045" s="12"/>
    </row>
    <row r="1046" spans="1:19" ht="15.6" x14ac:dyDescent="0.3">
      <c r="A1046" s="107">
        <v>40521</v>
      </c>
      <c r="B1046" s="108">
        <v>4012</v>
      </c>
      <c r="C1046" s="106">
        <v>7257</v>
      </c>
      <c r="D1046" s="106">
        <v>810</v>
      </c>
      <c r="E1046" s="106">
        <v>1037</v>
      </c>
      <c r="F1046" s="106">
        <v>2737</v>
      </c>
      <c r="G1046" s="106">
        <v>4273</v>
      </c>
      <c r="H1046" s="106">
        <v>1273</v>
      </c>
      <c r="I1046" s="106">
        <v>2479</v>
      </c>
      <c r="J1046" s="106">
        <v>164</v>
      </c>
      <c r="K1046" s="106">
        <v>590</v>
      </c>
      <c r="L1046" s="106">
        <v>8996</v>
      </c>
      <c r="M1046" s="106">
        <v>15635</v>
      </c>
      <c r="N1046" s="106">
        <v>12365</v>
      </c>
      <c r="O1046" s="106">
        <v>11985</v>
      </c>
      <c r="P1046" s="108">
        <v>15478</v>
      </c>
      <c r="Q1046" s="106">
        <v>18008</v>
      </c>
      <c r="R1046" s="16">
        <f t="shared" si="64"/>
        <v>36839</v>
      </c>
      <c r="S1046" s="12"/>
    </row>
    <row r="1047" spans="1:19" ht="15.6" x14ac:dyDescent="0.3">
      <c r="A1047" s="107">
        <v>40164</v>
      </c>
      <c r="B1047" s="108">
        <v>1368.5</v>
      </c>
      <c r="C1047" s="108">
        <v>4342.5</v>
      </c>
      <c r="D1047" s="108">
        <v>501.1</v>
      </c>
      <c r="E1047" s="108">
        <v>1731.8</v>
      </c>
      <c r="F1047" s="108">
        <v>971.6</v>
      </c>
      <c r="G1047" s="108">
        <v>2799.7</v>
      </c>
      <c r="H1047" s="108">
        <v>669.5</v>
      </c>
      <c r="I1047" s="108">
        <v>2341</v>
      </c>
      <c r="J1047" s="108">
        <v>241</v>
      </c>
      <c r="K1047" s="108">
        <v>639.70000000000005</v>
      </c>
      <c r="L1047" s="108">
        <v>3751.9</v>
      </c>
      <c r="M1047" s="108">
        <v>11836.6</v>
      </c>
      <c r="N1047" s="108">
        <v>11684.4</v>
      </c>
      <c r="O1047" s="108">
        <v>12556.2</v>
      </c>
      <c r="P1047" s="108">
        <v>13550.7</v>
      </c>
      <c r="Q1047" s="108">
        <v>17140.7</v>
      </c>
      <c r="R1047" s="16">
        <f t="shared" si="64"/>
        <v>28987</v>
      </c>
      <c r="S1047" s="12"/>
    </row>
    <row r="1048" spans="1:19" ht="15.6" x14ac:dyDescent="0.3">
      <c r="A1048" s="107">
        <v>40528</v>
      </c>
      <c r="B1048" s="108">
        <v>4040</v>
      </c>
      <c r="C1048" s="106">
        <v>7541.3</v>
      </c>
      <c r="D1048" s="106">
        <v>832</v>
      </c>
      <c r="E1048" s="106">
        <v>1103.0999999999999</v>
      </c>
      <c r="F1048" s="106">
        <v>2611.9</v>
      </c>
      <c r="G1048" s="106">
        <v>4512.3999999999996</v>
      </c>
      <c r="H1048" s="106">
        <v>1287.2</v>
      </c>
      <c r="I1048" s="106">
        <v>2541.1</v>
      </c>
      <c r="J1048" s="106">
        <v>101.9</v>
      </c>
      <c r="K1048" s="106">
        <v>650.9</v>
      </c>
      <c r="L1048" s="106">
        <v>8873</v>
      </c>
      <c r="M1048" s="106">
        <v>16348.9</v>
      </c>
      <c r="N1048" s="106">
        <v>12442.6</v>
      </c>
      <c r="O1048" s="106">
        <v>12813.5</v>
      </c>
      <c r="P1048" s="108">
        <v>14873.4</v>
      </c>
      <c r="Q1048" s="106">
        <v>19440</v>
      </c>
      <c r="R1048" s="16">
        <f t="shared" si="64"/>
        <v>36189</v>
      </c>
      <c r="S1048" s="12"/>
    </row>
    <row r="1049" spans="1:19" ht="15.6" x14ac:dyDescent="0.3">
      <c r="A1049" s="107">
        <v>40171</v>
      </c>
      <c r="B1049" s="108">
        <v>1406</v>
      </c>
      <c r="C1049" s="108">
        <v>4434</v>
      </c>
      <c r="D1049" s="108">
        <v>502</v>
      </c>
      <c r="E1049" s="108">
        <v>1762</v>
      </c>
      <c r="F1049" s="108">
        <v>955</v>
      </c>
      <c r="G1049" s="108">
        <v>2895</v>
      </c>
      <c r="H1049" s="108">
        <v>724</v>
      </c>
      <c r="I1049" s="108">
        <v>2394</v>
      </c>
      <c r="J1049" s="108">
        <v>241</v>
      </c>
      <c r="K1049" s="108">
        <v>645</v>
      </c>
      <c r="L1049" s="108">
        <v>3828</v>
      </c>
      <c r="M1049" s="108">
        <v>12131</v>
      </c>
      <c r="N1049" s="108">
        <v>11593</v>
      </c>
      <c r="O1049" s="108">
        <v>13420</v>
      </c>
      <c r="P1049" s="108">
        <v>12970</v>
      </c>
      <c r="Q1049" s="108">
        <v>18512</v>
      </c>
      <c r="R1049" s="16">
        <f t="shared" si="64"/>
        <v>28391</v>
      </c>
      <c r="S1049" s="12"/>
    </row>
    <row r="1050" spans="1:19" ht="15.6" x14ac:dyDescent="0.3">
      <c r="A1050" s="107">
        <v>40535</v>
      </c>
      <c r="B1050" s="108">
        <v>4048</v>
      </c>
      <c r="C1050" s="106">
        <v>7712</v>
      </c>
      <c r="D1050" s="106">
        <v>836</v>
      </c>
      <c r="E1050" s="106">
        <v>1144</v>
      </c>
      <c r="F1050" s="106">
        <v>2521</v>
      </c>
      <c r="G1050" s="106">
        <v>4689</v>
      </c>
      <c r="H1050" s="106">
        <v>1238</v>
      </c>
      <c r="I1050" s="106">
        <v>2674</v>
      </c>
      <c r="J1050" s="106">
        <v>114</v>
      </c>
      <c r="K1050" s="106">
        <v>677</v>
      </c>
      <c r="L1050" s="106">
        <v>8758</v>
      </c>
      <c r="M1050" s="106">
        <v>16896</v>
      </c>
      <c r="N1050" s="106">
        <v>12059</v>
      </c>
      <c r="O1050" s="106">
        <v>13954</v>
      </c>
      <c r="P1050" s="108">
        <v>14623</v>
      </c>
      <c r="Q1050" s="106">
        <v>20354</v>
      </c>
      <c r="R1050" s="16">
        <f t="shared" si="64"/>
        <v>35440</v>
      </c>
      <c r="S1050" s="12"/>
    </row>
    <row r="1051" spans="1:19" ht="15.6" x14ac:dyDescent="0.3">
      <c r="A1051" s="107">
        <v>40178</v>
      </c>
      <c r="B1051" s="108">
        <v>1368</v>
      </c>
      <c r="C1051" s="108">
        <v>4544</v>
      </c>
      <c r="D1051" s="108">
        <v>482</v>
      </c>
      <c r="E1051" s="108">
        <v>1797</v>
      </c>
      <c r="F1051" s="108">
        <v>914</v>
      </c>
      <c r="G1051" s="108">
        <v>2940</v>
      </c>
      <c r="H1051" s="108">
        <v>695</v>
      </c>
      <c r="I1051" s="108">
        <v>2425</v>
      </c>
      <c r="J1051" s="108">
        <v>218</v>
      </c>
      <c r="K1051" s="108">
        <v>669</v>
      </c>
      <c r="L1051" s="108">
        <v>3677</v>
      </c>
      <c r="M1051" s="108">
        <v>12375</v>
      </c>
      <c r="N1051" s="108">
        <v>11160</v>
      </c>
      <c r="O1051" s="108">
        <v>14218</v>
      </c>
      <c r="P1051" s="108">
        <v>12517</v>
      </c>
      <c r="Q1051" s="108">
        <v>19691</v>
      </c>
      <c r="R1051" s="16">
        <f t="shared" si="64"/>
        <v>27354</v>
      </c>
      <c r="S1051" s="12"/>
    </row>
    <row r="1052" spans="1:19" ht="15.6" x14ac:dyDescent="0.3">
      <c r="A1052" s="107">
        <v>40542</v>
      </c>
      <c r="B1052" s="108">
        <v>3971</v>
      </c>
      <c r="C1052" s="106">
        <v>8025</v>
      </c>
      <c r="D1052" s="106">
        <v>814</v>
      </c>
      <c r="E1052" s="106">
        <v>1171</v>
      </c>
      <c r="F1052" s="106">
        <v>2611</v>
      </c>
      <c r="G1052" s="106">
        <v>4696</v>
      </c>
      <c r="H1052" s="106">
        <v>1277</v>
      </c>
      <c r="I1052" s="106">
        <v>2701</v>
      </c>
      <c r="J1052" s="106">
        <v>114</v>
      </c>
      <c r="K1052" s="106">
        <v>672</v>
      </c>
      <c r="L1052" s="106">
        <v>8786</v>
      </c>
      <c r="M1052" s="106">
        <v>17265</v>
      </c>
      <c r="N1052" s="106">
        <v>11814</v>
      </c>
      <c r="O1052" s="106">
        <v>14510</v>
      </c>
      <c r="P1052" s="108">
        <v>14129</v>
      </c>
      <c r="Q1052" s="106">
        <v>21272</v>
      </c>
      <c r="R1052" s="16">
        <f t="shared" si="64"/>
        <v>34729</v>
      </c>
      <c r="S1052" s="12"/>
    </row>
    <row r="1053" spans="1:19" ht="15.6" x14ac:dyDescent="0.3">
      <c r="A1053" s="107">
        <v>40185</v>
      </c>
      <c r="B1053" s="108">
        <v>1323</v>
      </c>
      <c r="C1053" s="108">
        <v>4719</v>
      </c>
      <c r="D1053" s="108">
        <v>478</v>
      </c>
      <c r="E1053" s="108">
        <v>1803</v>
      </c>
      <c r="F1053" s="108">
        <v>882</v>
      </c>
      <c r="G1053" s="108">
        <v>2995</v>
      </c>
      <c r="H1053" s="108">
        <v>671</v>
      </c>
      <c r="I1053" s="108">
        <v>2475</v>
      </c>
      <c r="J1053" s="108">
        <v>214</v>
      </c>
      <c r="K1053" s="108">
        <v>674</v>
      </c>
      <c r="L1053" s="108">
        <v>3568</v>
      </c>
      <c r="M1053" s="108">
        <v>12666</v>
      </c>
      <c r="N1053" s="108">
        <v>10829</v>
      </c>
      <c r="O1053" s="108">
        <v>14876</v>
      </c>
      <c r="P1053" s="108">
        <v>11648</v>
      </c>
      <c r="Q1053" s="108">
        <v>21314</v>
      </c>
      <c r="R1053" s="16">
        <f t="shared" si="64"/>
        <v>26045</v>
      </c>
      <c r="S1053" s="12"/>
    </row>
    <row r="1054" spans="1:19" ht="15.6" x14ac:dyDescent="0.3">
      <c r="A1054" s="107">
        <v>40549</v>
      </c>
      <c r="B1054" s="108">
        <v>3675</v>
      </c>
      <c r="C1054" s="106">
        <v>8369</v>
      </c>
      <c r="D1054" s="106">
        <v>810</v>
      </c>
      <c r="E1054" s="106">
        <v>1234</v>
      </c>
      <c r="F1054" s="106">
        <v>2537</v>
      </c>
      <c r="G1054" s="106">
        <v>4815</v>
      </c>
      <c r="H1054" s="106">
        <v>1197</v>
      </c>
      <c r="I1054" s="106">
        <v>2788</v>
      </c>
      <c r="J1054" s="106">
        <v>101</v>
      </c>
      <c r="K1054" s="106">
        <v>672</v>
      </c>
      <c r="L1054" s="106">
        <v>8320</v>
      </c>
      <c r="M1054" s="106">
        <v>17879</v>
      </c>
      <c r="N1054" s="106">
        <v>11738</v>
      </c>
      <c r="O1054" s="106">
        <v>15026</v>
      </c>
      <c r="P1054" s="108">
        <v>13674</v>
      </c>
      <c r="Q1054" s="106">
        <v>22222</v>
      </c>
      <c r="R1054" s="16">
        <f t="shared" si="64"/>
        <v>33732</v>
      </c>
      <c r="S1054" s="12"/>
    </row>
    <row r="1055" spans="1:19" ht="15.6" x14ac:dyDescent="0.3">
      <c r="A1055" s="107">
        <v>40192</v>
      </c>
      <c r="B1055" s="108">
        <v>1552</v>
      </c>
      <c r="C1055" s="108">
        <v>4806</v>
      </c>
      <c r="D1055" s="108">
        <v>465</v>
      </c>
      <c r="E1055" s="108">
        <v>1876</v>
      </c>
      <c r="F1055" s="108">
        <v>1052</v>
      </c>
      <c r="G1055" s="108">
        <v>3086</v>
      </c>
      <c r="H1055" s="108">
        <v>798</v>
      </c>
      <c r="I1055" s="108">
        <v>2514</v>
      </c>
      <c r="J1055" s="108">
        <v>210</v>
      </c>
      <c r="K1055" s="108">
        <v>701</v>
      </c>
      <c r="L1055" s="108">
        <v>4077</v>
      </c>
      <c r="M1055" s="108">
        <v>12983</v>
      </c>
      <c r="N1055" s="108">
        <v>11604</v>
      </c>
      <c r="O1055" s="108">
        <v>15687</v>
      </c>
      <c r="P1055" s="108">
        <v>11031</v>
      </c>
      <c r="Q1055" s="108">
        <v>22860</v>
      </c>
      <c r="R1055" s="16">
        <f t="shared" si="64"/>
        <v>26712</v>
      </c>
      <c r="S1055" s="12"/>
    </row>
    <row r="1056" spans="1:19" ht="15.6" x14ac:dyDescent="0.3">
      <c r="A1056" s="107">
        <v>40556</v>
      </c>
      <c r="B1056" s="108">
        <v>3798</v>
      </c>
      <c r="C1056" s="106">
        <v>8739</v>
      </c>
      <c r="D1056" s="106">
        <v>807</v>
      </c>
      <c r="E1056" s="106">
        <v>1286</v>
      </c>
      <c r="F1056" s="106">
        <v>2629</v>
      </c>
      <c r="G1056" s="106">
        <v>5029</v>
      </c>
      <c r="H1056" s="106">
        <v>1321</v>
      </c>
      <c r="I1056" s="106">
        <v>2845</v>
      </c>
      <c r="J1056" s="106">
        <v>121</v>
      </c>
      <c r="K1056" s="106">
        <v>679</v>
      </c>
      <c r="L1056" s="106">
        <v>8676</v>
      </c>
      <c r="M1056" s="106">
        <v>18577</v>
      </c>
      <c r="N1056" s="106">
        <v>12055</v>
      </c>
      <c r="O1056" s="106">
        <v>15613</v>
      </c>
      <c r="P1056" s="108">
        <v>13062</v>
      </c>
      <c r="Q1056" s="106">
        <v>23567</v>
      </c>
      <c r="R1056" s="16">
        <f t="shared" si="64"/>
        <v>33793</v>
      </c>
      <c r="S1056" s="12"/>
    </row>
    <row r="1057" spans="1:19" ht="15.6" x14ac:dyDescent="0.3">
      <c r="A1057" s="107">
        <v>40199</v>
      </c>
      <c r="B1057" s="108">
        <v>1677</v>
      </c>
      <c r="C1057" s="108">
        <v>5028</v>
      </c>
      <c r="D1057" s="108">
        <v>470</v>
      </c>
      <c r="E1057" s="108">
        <v>1918</v>
      </c>
      <c r="F1057" s="108">
        <v>1078</v>
      </c>
      <c r="G1057" s="108">
        <v>3173</v>
      </c>
      <c r="H1057" s="108">
        <v>900</v>
      </c>
      <c r="I1057" s="108">
        <v>2586</v>
      </c>
      <c r="J1057" s="108">
        <v>189</v>
      </c>
      <c r="K1057" s="108">
        <v>703</v>
      </c>
      <c r="L1057" s="108">
        <v>4313</v>
      </c>
      <c r="M1057" s="108">
        <v>13407</v>
      </c>
      <c r="N1057" s="108">
        <v>11974</v>
      </c>
      <c r="O1057" s="108">
        <v>16219</v>
      </c>
      <c r="P1057" s="108">
        <v>10310</v>
      </c>
      <c r="Q1057" s="108">
        <v>24254</v>
      </c>
      <c r="R1057" s="16">
        <f t="shared" si="64"/>
        <v>26597</v>
      </c>
      <c r="S1057" s="12"/>
    </row>
    <row r="1058" spans="1:19" ht="15.6" x14ac:dyDescent="0.3">
      <c r="A1058" s="107">
        <v>40563</v>
      </c>
      <c r="B1058" s="108">
        <v>3993</v>
      </c>
      <c r="C1058" s="106">
        <v>9030</v>
      </c>
      <c r="D1058" s="106">
        <v>781</v>
      </c>
      <c r="E1058" s="106">
        <v>1406</v>
      </c>
      <c r="F1058" s="106">
        <v>2682</v>
      </c>
      <c r="G1058" s="106">
        <v>5148</v>
      </c>
      <c r="H1058" s="106">
        <v>1343</v>
      </c>
      <c r="I1058" s="106">
        <v>2934</v>
      </c>
      <c r="J1058" s="106">
        <v>101</v>
      </c>
      <c r="K1058" s="106">
        <v>701</v>
      </c>
      <c r="L1058" s="106">
        <v>8900</v>
      </c>
      <c r="M1058" s="106">
        <v>19219</v>
      </c>
      <c r="N1058" s="106">
        <v>11700</v>
      </c>
      <c r="O1058" s="106">
        <v>16383</v>
      </c>
      <c r="P1058" s="108">
        <v>12565</v>
      </c>
      <c r="Q1058" s="106">
        <v>24769</v>
      </c>
      <c r="R1058" s="16">
        <f t="shared" si="64"/>
        <v>33165</v>
      </c>
      <c r="S1058" s="12"/>
    </row>
    <row r="1059" spans="1:19" ht="15.6" x14ac:dyDescent="0.3">
      <c r="A1059" s="107">
        <v>40206</v>
      </c>
      <c r="B1059" s="108">
        <v>1644</v>
      </c>
      <c r="C1059" s="108">
        <v>5208</v>
      </c>
      <c r="D1059" s="108">
        <v>484</v>
      </c>
      <c r="E1059" s="108">
        <v>1997</v>
      </c>
      <c r="F1059" s="108">
        <v>1073</v>
      </c>
      <c r="G1059" s="108">
        <v>3299</v>
      </c>
      <c r="H1059" s="108">
        <v>886</v>
      </c>
      <c r="I1059" s="108">
        <v>2647</v>
      </c>
      <c r="J1059" s="108">
        <v>194</v>
      </c>
      <c r="K1059" s="108">
        <v>705</v>
      </c>
      <c r="L1059" s="108">
        <v>4282</v>
      </c>
      <c r="M1059" s="108">
        <v>13857</v>
      </c>
      <c r="N1059" s="108">
        <v>11775</v>
      </c>
      <c r="O1059" s="108">
        <v>17342</v>
      </c>
      <c r="P1059" s="108">
        <v>9415</v>
      </c>
      <c r="Q1059" s="108">
        <v>25529</v>
      </c>
      <c r="R1059" s="16">
        <f t="shared" si="64"/>
        <v>25472</v>
      </c>
      <c r="S1059" s="12"/>
    </row>
    <row r="1060" spans="1:19" ht="15.6" x14ac:dyDescent="0.3">
      <c r="A1060" s="107">
        <v>40570</v>
      </c>
      <c r="B1060" s="108">
        <v>3915</v>
      </c>
      <c r="C1060" s="106">
        <v>9345</v>
      </c>
      <c r="D1060" s="106">
        <v>844</v>
      </c>
      <c r="E1060" s="106">
        <v>1454</v>
      </c>
      <c r="F1060" s="106">
        <v>2667</v>
      </c>
      <c r="G1060" s="106">
        <v>5273</v>
      </c>
      <c r="H1060" s="106">
        <v>1301</v>
      </c>
      <c r="I1060" s="106">
        <v>3033</v>
      </c>
      <c r="J1060" s="106">
        <v>116</v>
      </c>
      <c r="K1060" s="106">
        <v>706</v>
      </c>
      <c r="L1060" s="106">
        <v>8843</v>
      </c>
      <c r="M1060" s="106">
        <v>19810</v>
      </c>
      <c r="N1060" s="106">
        <v>12005</v>
      </c>
      <c r="O1060" s="106">
        <v>17245</v>
      </c>
      <c r="P1060" s="108">
        <v>12478</v>
      </c>
      <c r="Q1060" s="106">
        <v>25886</v>
      </c>
      <c r="R1060" s="16">
        <f t="shared" si="64"/>
        <v>33326</v>
      </c>
      <c r="S1060" s="12"/>
    </row>
    <row r="1061" spans="1:19" ht="15.6" x14ac:dyDescent="0.3">
      <c r="A1061" s="107">
        <v>40213</v>
      </c>
      <c r="B1061" s="108">
        <v>1653</v>
      </c>
      <c r="C1061" s="108">
        <v>5385</v>
      </c>
      <c r="D1061" s="108">
        <v>506</v>
      </c>
      <c r="E1061" s="108">
        <v>2040</v>
      </c>
      <c r="F1061" s="108">
        <v>1061</v>
      </c>
      <c r="G1061" s="108">
        <v>3366</v>
      </c>
      <c r="H1061" s="108">
        <v>952</v>
      </c>
      <c r="I1061" s="108">
        <v>2801</v>
      </c>
      <c r="J1061" s="108">
        <v>210</v>
      </c>
      <c r="K1061" s="108">
        <v>713</v>
      </c>
      <c r="L1061" s="108">
        <v>4382</v>
      </c>
      <c r="M1061" s="108">
        <v>14305</v>
      </c>
      <c r="N1061" s="108">
        <v>11914</v>
      </c>
      <c r="O1061" s="108">
        <v>17946</v>
      </c>
      <c r="P1061" s="108">
        <v>8531</v>
      </c>
      <c r="Q1061" s="108">
        <v>26671</v>
      </c>
      <c r="R1061" s="16">
        <f t="shared" si="64"/>
        <v>24827</v>
      </c>
      <c r="S1061" s="12"/>
    </row>
    <row r="1062" spans="1:19" ht="15.6" x14ac:dyDescent="0.3">
      <c r="A1062" s="107">
        <v>40577</v>
      </c>
      <c r="B1062" s="108">
        <v>3620</v>
      </c>
      <c r="C1062" s="106">
        <v>9813</v>
      </c>
      <c r="D1062" s="106">
        <v>789</v>
      </c>
      <c r="E1062" s="106">
        <v>1544</v>
      </c>
      <c r="F1062" s="106">
        <v>2545</v>
      </c>
      <c r="G1062" s="106">
        <v>5472</v>
      </c>
      <c r="H1062" s="106">
        <v>1300</v>
      </c>
      <c r="I1062" s="106">
        <v>3129</v>
      </c>
      <c r="J1062" s="106">
        <v>97</v>
      </c>
      <c r="K1062" s="106">
        <v>735</v>
      </c>
      <c r="L1062" s="106">
        <v>8352</v>
      </c>
      <c r="M1062" s="106">
        <v>20693</v>
      </c>
      <c r="N1062" s="106">
        <v>12443</v>
      </c>
      <c r="O1062" s="106">
        <v>17914</v>
      </c>
      <c r="P1062" s="108">
        <v>11265</v>
      </c>
      <c r="Q1062" s="106">
        <v>27123</v>
      </c>
      <c r="R1062" s="16">
        <f t="shared" si="64"/>
        <v>32060</v>
      </c>
      <c r="S1062" s="12"/>
    </row>
    <row r="1063" spans="1:19" ht="15.6" x14ac:dyDescent="0.3">
      <c r="A1063" s="107">
        <v>40220</v>
      </c>
      <c r="B1063" s="108">
        <v>1714</v>
      </c>
      <c r="C1063" s="108">
        <v>5577</v>
      </c>
      <c r="D1063" s="108">
        <v>531</v>
      </c>
      <c r="E1063" s="108">
        <v>2062</v>
      </c>
      <c r="F1063" s="108">
        <v>1115</v>
      </c>
      <c r="G1063" s="108">
        <v>3444</v>
      </c>
      <c r="H1063" s="108">
        <v>880</v>
      </c>
      <c r="I1063" s="108">
        <v>2849</v>
      </c>
      <c r="J1063" s="108">
        <v>186</v>
      </c>
      <c r="K1063" s="108">
        <v>738</v>
      </c>
      <c r="L1063" s="108">
        <v>4427</v>
      </c>
      <c r="M1063" s="108">
        <v>14670</v>
      </c>
      <c r="N1063" s="108">
        <v>12236</v>
      </c>
      <c r="O1063" s="108">
        <v>18598</v>
      </c>
      <c r="P1063" s="108">
        <v>7615</v>
      </c>
      <c r="Q1063" s="108">
        <v>27790</v>
      </c>
      <c r="R1063" s="16">
        <f t="shared" ref="R1063:R1068" si="65">P1063+N1063+L1063</f>
        <v>24278</v>
      </c>
      <c r="S1063" s="12"/>
    </row>
    <row r="1064" spans="1:19" ht="15.6" x14ac:dyDescent="0.3">
      <c r="A1064" s="107">
        <v>40584</v>
      </c>
      <c r="B1064" s="108">
        <v>3712</v>
      </c>
      <c r="C1064" s="106">
        <v>10151</v>
      </c>
      <c r="D1064" s="106">
        <v>707</v>
      </c>
      <c r="E1064" s="106">
        <v>1602</v>
      </c>
      <c r="F1064" s="106">
        <v>2526</v>
      </c>
      <c r="G1064" s="106">
        <v>5585</v>
      </c>
      <c r="H1064" s="106">
        <v>1312</v>
      </c>
      <c r="I1064" s="106">
        <v>3207</v>
      </c>
      <c r="J1064" s="106">
        <v>107</v>
      </c>
      <c r="K1064" s="106">
        <v>735</v>
      </c>
      <c r="L1064" s="106">
        <v>8365</v>
      </c>
      <c r="M1064" s="106">
        <v>21279</v>
      </c>
      <c r="N1064" s="106">
        <v>12798</v>
      </c>
      <c r="O1064" s="106">
        <v>18590</v>
      </c>
      <c r="P1064" s="108">
        <v>10756</v>
      </c>
      <c r="Q1064" s="106">
        <v>28146</v>
      </c>
      <c r="R1064" s="16">
        <f t="shared" si="65"/>
        <v>31919</v>
      </c>
      <c r="S1064" s="12"/>
    </row>
    <row r="1065" spans="1:19" ht="15.6" x14ac:dyDescent="0.3">
      <c r="A1065" s="107">
        <v>40227</v>
      </c>
      <c r="B1065" s="108">
        <v>1748</v>
      </c>
      <c r="C1065" s="108">
        <v>5798</v>
      </c>
      <c r="D1065" s="108">
        <v>534</v>
      </c>
      <c r="E1065" s="108">
        <v>2092</v>
      </c>
      <c r="F1065" s="108">
        <v>1052</v>
      </c>
      <c r="G1065" s="108">
        <v>3580</v>
      </c>
      <c r="H1065" s="108">
        <v>822</v>
      </c>
      <c r="I1065" s="108">
        <v>2922</v>
      </c>
      <c r="J1065" s="108">
        <v>186</v>
      </c>
      <c r="K1065" s="108">
        <v>738</v>
      </c>
      <c r="L1065" s="108">
        <v>4342</v>
      </c>
      <c r="M1065" s="108">
        <v>15129</v>
      </c>
      <c r="N1065" s="108">
        <v>11397</v>
      </c>
      <c r="O1065" s="108">
        <v>19839</v>
      </c>
      <c r="P1065" s="108">
        <v>6732</v>
      </c>
      <c r="Q1065" s="108">
        <v>28912</v>
      </c>
      <c r="R1065" s="16">
        <f t="shared" si="65"/>
        <v>22471</v>
      </c>
      <c r="S1065" s="12"/>
    </row>
    <row r="1066" spans="1:19" ht="15.6" x14ac:dyDescent="0.3">
      <c r="A1066" s="107">
        <v>40591</v>
      </c>
      <c r="B1066" s="108">
        <v>3720</v>
      </c>
      <c r="C1066" s="106">
        <v>10588</v>
      </c>
      <c r="D1066" s="106">
        <v>820</v>
      </c>
      <c r="E1066" s="106">
        <v>1723</v>
      </c>
      <c r="F1066" s="106">
        <v>2618</v>
      </c>
      <c r="G1066" s="106">
        <v>5721</v>
      </c>
      <c r="H1066" s="106">
        <v>1215</v>
      </c>
      <c r="I1066" s="106">
        <v>3373</v>
      </c>
      <c r="J1066" s="106">
        <v>129</v>
      </c>
      <c r="K1066" s="106">
        <v>744</v>
      </c>
      <c r="L1066" s="106">
        <v>8502</v>
      </c>
      <c r="M1066" s="106">
        <v>22150</v>
      </c>
      <c r="N1066" s="106">
        <v>13238</v>
      </c>
      <c r="O1066" s="106">
        <v>19650</v>
      </c>
      <c r="P1066" s="108">
        <v>9719</v>
      </c>
      <c r="Q1066" s="106">
        <v>29318</v>
      </c>
      <c r="R1066" s="16">
        <f t="shared" si="65"/>
        <v>31459</v>
      </c>
      <c r="S1066" s="12"/>
    </row>
    <row r="1067" spans="1:19" ht="15.6" x14ac:dyDescent="0.3">
      <c r="A1067" s="107">
        <v>40234</v>
      </c>
      <c r="B1067" s="108">
        <v>1563</v>
      </c>
      <c r="C1067" s="108">
        <v>6036</v>
      </c>
      <c r="D1067" s="108">
        <v>526</v>
      </c>
      <c r="E1067" s="108">
        <v>2120</v>
      </c>
      <c r="F1067" s="108">
        <v>962</v>
      </c>
      <c r="G1067" s="108">
        <v>3697</v>
      </c>
      <c r="H1067" s="108">
        <v>736</v>
      </c>
      <c r="I1067" s="108">
        <v>3011</v>
      </c>
      <c r="J1067" s="108">
        <v>186</v>
      </c>
      <c r="K1067" s="108">
        <v>738</v>
      </c>
      <c r="L1067" s="108">
        <v>3971</v>
      </c>
      <c r="M1067" s="108">
        <v>15602</v>
      </c>
      <c r="N1067" s="108">
        <v>11103</v>
      </c>
      <c r="O1067" s="108">
        <v>20894</v>
      </c>
      <c r="P1067" s="108">
        <v>5817</v>
      </c>
      <c r="Q1067" s="108">
        <v>30009</v>
      </c>
      <c r="R1067" s="16">
        <f t="shared" si="65"/>
        <v>20891</v>
      </c>
      <c r="S1067" s="12"/>
    </row>
    <row r="1068" spans="1:19" ht="15.6" x14ac:dyDescent="0.3">
      <c r="A1068" s="107">
        <v>40598</v>
      </c>
      <c r="B1068" s="108">
        <v>3830</v>
      </c>
      <c r="C1068" s="106">
        <v>10845</v>
      </c>
      <c r="D1068" s="106">
        <v>910</v>
      </c>
      <c r="E1068" s="106">
        <v>1754</v>
      </c>
      <c r="F1068" s="106">
        <v>2447</v>
      </c>
      <c r="G1068" s="106">
        <v>5935</v>
      </c>
      <c r="H1068" s="106">
        <v>1206</v>
      </c>
      <c r="I1068" s="106">
        <v>3414</v>
      </c>
      <c r="J1068" s="106">
        <v>129</v>
      </c>
      <c r="K1068" s="106">
        <v>744</v>
      </c>
      <c r="L1068" s="106">
        <v>8521</v>
      </c>
      <c r="M1068" s="106">
        <v>22692</v>
      </c>
      <c r="N1068" s="106">
        <v>13519</v>
      </c>
      <c r="O1068" s="106">
        <v>20451</v>
      </c>
      <c r="P1068" s="108">
        <v>8387</v>
      </c>
      <c r="Q1068" s="106">
        <v>31012</v>
      </c>
      <c r="R1068" s="16">
        <f t="shared" si="65"/>
        <v>30427</v>
      </c>
    </row>
    <row r="1069" spans="1:19" ht="15.6" x14ac:dyDescent="0.3">
      <c r="A1069" s="107">
        <v>40241</v>
      </c>
      <c r="B1069" s="108">
        <v>1524</v>
      </c>
      <c r="C1069" s="108">
        <v>6272</v>
      </c>
      <c r="D1069" s="108">
        <v>531</v>
      </c>
      <c r="E1069" s="108">
        <v>2168</v>
      </c>
      <c r="F1069" s="108">
        <v>940</v>
      </c>
      <c r="G1069" s="108">
        <v>3825</v>
      </c>
      <c r="H1069" s="108">
        <v>638</v>
      </c>
      <c r="I1069" s="108">
        <v>3134</v>
      </c>
      <c r="J1069" s="108">
        <v>207</v>
      </c>
      <c r="K1069" s="108">
        <v>743</v>
      </c>
      <c r="L1069" s="108">
        <v>3838</v>
      </c>
      <c r="M1069" s="108">
        <v>16143</v>
      </c>
      <c r="N1069" s="108">
        <v>10477</v>
      </c>
      <c r="O1069" s="108">
        <v>21859</v>
      </c>
      <c r="P1069" s="108">
        <v>4768</v>
      </c>
      <c r="Q1069" s="108">
        <v>30942</v>
      </c>
      <c r="R1069" s="16">
        <f t="shared" ref="R1069:R1074" si="66">P1069+N1069+L1069</f>
        <v>19083</v>
      </c>
    </row>
    <row r="1070" spans="1:19" ht="15.6" x14ac:dyDescent="0.3">
      <c r="A1070" s="107">
        <v>40605</v>
      </c>
      <c r="B1070" s="108">
        <v>3780</v>
      </c>
      <c r="C1070" s="106">
        <v>11209</v>
      </c>
      <c r="D1070" s="106">
        <v>903</v>
      </c>
      <c r="E1070" s="106">
        <v>1805</v>
      </c>
      <c r="F1070" s="106">
        <v>2434</v>
      </c>
      <c r="G1070" s="106">
        <v>6036</v>
      </c>
      <c r="H1070" s="108">
        <v>1265</v>
      </c>
      <c r="I1070" s="106">
        <v>3483</v>
      </c>
      <c r="J1070" s="106">
        <v>126</v>
      </c>
      <c r="K1070" s="106">
        <v>748</v>
      </c>
      <c r="L1070" s="106">
        <v>8508</v>
      </c>
      <c r="M1070" s="106">
        <v>23281</v>
      </c>
      <c r="N1070" s="106">
        <v>12791</v>
      </c>
      <c r="O1070" s="106">
        <v>21655</v>
      </c>
      <c r="P1070" s="108">
        <v>8066</v>
      </c>
      <c r="Q1070" s="106">
        <v>31744</v>
      </c>
      <c r="R1070" s="16">
        <f t="shared" si="66"/>
        <v>29365</v>
      </c>
    </row>
    <row r="1071" spans="1:19" ht="15.6" x14ac:dyDescent="0.3">
      <c r="A1071" s="107">
        <v>40248</v>
      </c>
      <c r="B1071" s="108">
        <v>1476</v>
      </c>
      <c r="C1071" s="108">
        <v>6399</v>
      </c>
      <c r="D1071" s="108">
        <v>518</v>
      </c>
      <c r="E1071" s="108">
        <v>2180</v>
      </c>
      <c r="F1071" s="108">
        <v>1070</v>
      </c>
      <c r="G1071" s="108">
        <v>3868</v>
      </c>
      <c r="H1071" s="108">
        <v>677</v>
      </c>
      <c r="I1071" s="108">
        <v>3144</v>
      </c>
      <c r="J1071" s="108">
        <v>165</v>
      </c>
      <c r="K1071" s="108">
        <v>808</v>
      </c>
      <c r="L1071" s="108">
        <v>3906</v>
      </c>
      <c r="M1071" s="108">
        <v>16400</v>
      </c>
      <c r="N1071" s="108">
        <v>10269</v>
      </c>
      <c r="O1071" s="108">
        <v>22814</v>
      </c>
      <c r="P1071" s="108">
        <v>4069</v>
      </c>
      <c r="Q1071" s="108">
        <v>31856</v>
      </c>
      <c r="R1071" s="16">
        <f t="shared" si="66"/>
        <v>18244</v>
      </c>
    </row>
    <row r="1072" spans="1:19" ht="15.6" x14ac:dyDescent="0.3">
      <c r="A1072" s="107">
        <v>40612</v>
      </c>
      <c r="B1072" s="108">
        <v>3811</v>
      </c>
      <c r="C1072" s="106">
        <v>11679</v>
      </c>
      <c r="D1072" s="106">
        <v>906</v>
      </c>
      <c r="E1072" s="106">
        <v>1819</v>
      </c>
      <c r="F1072" s="106">
        <v>2378</v>
      </c>
      <c r="G1072" s="106">
        <v>6171</v>
      </c>
      <c r="H1072" s="108">
        <v>1248</v>
      </c>
      <c r="I1072" s="106">
        <v>3553</v>
      </c>
      <c r="J1072" s="106">
        <v>139</v>
      </c>
      <c r="K1072" s="106">
        <v>750</v>
      </c>
      <c r="L1072" s="106">
        <v>8481</v>
      </c>
      <c r="M1072" s="106">
        <v>23971</v>
      </c>
      <c r="N1072" s="106">
        <v>12947</v>
      </c>
      <c r="O1072" s="106">
        <v>22536</v>
      </c>
      <c r="P1072" s="108">
        <v>7374</v>
      </c>
      <c r="Q1072" s="106">
        <v>32583</v>
      </c>
      <c r="R1072" s="16">
        <f t="shared" si="66"/>
        <v>28802</v>
      </c>
    </row>
    <row r="1073" spans="1:18" ht="15.6" x14ac:dyDescent="0.3">
      <c r="A1073" s="107">
        <v>40255</v>
      </c>
      <c r="B1073" s="108">
        <v>1490</v>
      </c>
      <c r="C1073" s="108">
        <v>6588</v>
      </c>
      <c r="D1073" s="108">
        <v>497</v>
      </c>
      <c r="E1073" s="108">
        <v>2271</v>
      </c>
      <c r="F1073" s="108">
        <v>1031</v>
      </c>
      <c r="G1073" s="108">
        <v>3951</v>
      </c>
      <c r="H1073" s="108">
        <v>656</v>
      </c>
      <c r="I1073" s="108">
        <v>3212</v>
      </c>
      <c r="J1073" s="108">
        <v>151</v>
      </c>
      <c r="K1073" s="108">
        <v>831</v>
      </c>
      <c r="L1073" s="108">
        <v>3824</v>
      </c>
      <c r="M1073" s="108">
        <v>16853</v>
      </c>
      <c r="N1073" s="108">
        <v>9715</v>
      </c>
      <c r="O1073" s="108">
        <v>23975</v>
      </c>
      <c r="P1073" s="108">
        <v>3546</v>
      </c>
      <c r="Q1073" s="108">
        <v>32652</v>
      </c>
      <c r="R1073" s="16">
        <f t="shared" si="66"/>
        <v>17085</v>
      </c>
    </row>
    <row r="1074" spans="1:18" ht="15.6" x14ac:dyDescent="0.3">
      <c r="A1074" s="107">
        <v>40619</v>
      </c>
      <c r="B1074" s="108">
        <v>3795</v>
      </c>
      <c r="C1074" s="106">
        <v>12003</v>
      </c>
      <c r="D1074" s="106">
        <v>863</v>
      </c>
      <c r="E1074" s="106">
        <v>1903</v>
      </c>
      <c r="F1074" s="106">
        <v>2359</v>
      </c>
      <c r="G1074" s="106">
        <v>6343</v>
      </c>
      <c r="H1074" s="108">
        <v>1372</v>
      </c>
      <c r="I1074" s="106">
        <v>3577</v>
      </c>
      <c r="J1074" s="106">
        <v>131</v>
      </c>
      <c r="K1074" s="106">
        <v>767</v>
      </c>
      <c r="L1074" s="106">
        <v>8520</v>
      </c>
      <c r="M1074" s="106">
        <v>24592</v>
      </c>
      <c r="N1074" s="106">
        <v>12962</v>
      </c>
      <c r="O1074" s="106">
        <v>23416</v>
      </c>
      <c r="P1074" s="108">
        <v>6823</v>
      </c>
      <c r="Q1074" s="106">
        <v>33399</v>
      </c>
      <c r="R1074" s="16">
        <f t="shared" si="66"/>
        <v>28305</v>
      </c>
    </row>
    <row r="1075" spans="1:18" ht="15.6" x14ac:dyDescent="0.3">
      <c r="A1075" s="107">
        <v>40262</v>
      </c>
      <c r="B1075" s="108">
        <v>1268</v>
      </c>
      <c r="C1075" s="108">
        <v>6881</v>
      </c>
      <c r="D1075" s="108">
        <v>477</v>
      </c>
      <c r="E1075" s="108">
        <v>2309</v>
      </c>
      <c r="F1075" s="108">
        <v>977</v>
      </c>
      <c r="G1075" s="108">
        <v>4282</v>
      </c>
      <c r="H1075" s="108">
        <v>685</v>
      </c>
      <c r="I1075" s="108">
        <v>3243</v>
      </c>
      <c r="J1075" s="108">
        <v>155</v>
      </c>
      <c r="K1075" s="108">
        <v>831</v>
      </c>
      <c r="L1075" s="108">
        <v>3562</v>
      </c>
      <c r="M1075" s="108">
        <v>17546</v>
      </c>
      <c r="N1075" s="108">
        <v>9327</v>
      </c>
      <c r="O1075" s="108">
        <v>25170</v>
      </c>
      <c r="P1075" s="108">
        <v>2691</v>
      </c>
      <c r="Q1075" s="108">
        <v>33630</v>
      </c>
      <c r="R1075" s="16">
        <f t="shared" ref="R1075:R1082" si="67">P1075+N1075+L1075</f>
        <v>15580</v>
      </c>
    </row>
    <row r="1076" spans="1:18" ht="15.6" x14ac:dyDescent="0.3">
      <c r="A1076" s="107">
        <v>40626</v>
      </c>
      <c r="B1076" s="108">
        <v>3558</v>
      </c>
      <c r="C1076" s="106">
        <v>12372</v>
      </c>
      <c r="D1076" s="106">
        <v>833</v>
      </c>
      <c r="E1076" s="106">
        <v>1948</v>
      </c>
      <c r="F1076" s="106">
        <v>2116</v>
      </c>
      <c r="G1076" s="106">
        <v>6668</v>
      </c>
      <c r="H1076" s="108">
        <v>1256</v>
      </c>
      <c r="I1076" s="106">
        <v>3726</v>
      </c>
      <c r="J1076" s="106">
        <v>140</v>
      </c>
      <c r="K1076" s="106">
        <v>768</v>
      </c>
      <c r="L1076" s="106">
        <v>7903</v>
      </c>
      <c r="M1076" s="106">
        <v>25480</v>
      </c>
      <c r="N1076" s="106">
        <v>13857</v>
      </c>
      <c r="O1076" s="106">
        <v>24436</v>
      </c>
      <c r="P1076" s="108">
        <v>6139</v>
      </c>
      <c r="Q1076" s="106">
        <v>34227</v>
      </c>
      <c r="R1076" s="16">
        <f t="shared" si="67"/>
        <v>27899</v>
      </c>
    </row>
    <row r="1077" spans="1:18" ht="15.6" x14ac:dyDescent="0.3">
      <c r="A1077" s="107">
        <v>40269</v>
      </c>
      <c r="B1077" s="108">
        <v>1117</v>
      </c>
      <c r="C1077" s="108">
        <v>7089</v>
      </c>
      <c r="D1077" s="108">
        <v>451</v>
      </c>
      <c r="E1077" s="108">
        <v>2368</v>
      </c>
      <c r="F1077" s="108">
        <v>1118</v>
      </c>
      <c r="G1077" s="108">
        <v>4342</v>
      </c>
      <c r="H1077" s="108">
        <v>610</v>
      </c>
      <c r="I1077" s="108">
        <v>3351</v>
      </c>
      <c r="J1077" s="108">
        <v>139</v>
      </c>
      <c r="K1077" s="108">
        <v>847</v>
      </c>
      <c r="L1077" s="108">
        <v>3435</v>
      </c>
      <c r="M1077" s="108">
        <v>17997</v>
      </c>
      <c r="N1077" s="108">
        <v>9809</v>
      </c>
      <c r="O1077" s="108">
        <v>26056</v>
      </c>
      <c r="P1077" s="108">
        <v>2456</v>
      </c>
      <c r="Q1077" s="108">
        <v>34071</v>
      </c>
      <c r="R1077" s="16">
        <f t="shared" si="67"/>
        <v>15700</v>
      </c>
    </row>
    <row r="1078" spans="1:18" ht="15.6" x14ac:dyDescent="0.3">
      <c r="A1078" s="107">
        <v>40633</v>
      </c>
      <c r="B1078" s="108">
        <v>3386</v>
      </c>
      <c r="C1078" s="106">
        <v>12842</v>
      </c>
      <c r="D1078" s="106">
        <v>704</v>
      </c>
      <c r="E1078" s="106">
        <v>2030</v>
      </c>
      <c r="F1078" s="106">
        <v>2089</v>
      </c>
      <c r="G1078" s="106">
        <v>6825</v>
      </c>
      <c r="H1078" s="108">
        <v>1284</v>
      </c>
      <c r="I1078" s="106">
        <v>3739</v>
      </c>
      <c r="J1078" s="106">
        <v>140</v>
      </c>
      <c r="K1078" s="106">
        <v>767</v>
      </c>
      <c r="L1078" s="106">
        <v>7639</v>
      </c>
      <c r="M1078" s="106">
        <v>26202</v>
      </c>
      <c r="N1078" s="106">
        <v>13461</v>
      </c>
      <c r="O1078" s="106">
        <v>25451</v>
      </c>
      <c r="P1078" s="108">
        <v>5567</v>
      </c>
      <c r="Q1078" s="106">
        <v>34876</v>
      </c>
      <c r="R1078" s="16">
        <f t="shared" si="67"/>
        <v>26667</v>
      </c>
    </row>
    <row r="1079" spans="1:18" ht="15.6" x14ac:dyDescent="0.3">
      <c r="A1079" s="107">
        <v>40276</v>
      </c>
      <c r="B1079" s="108">
        <v>961</v>
      </c>
      <c r="C1079" s="108">
        <v>7281</v>
      </c>
      <c r="D1079" s="108">
        <v>385</v>
      </c>
      <c r="E1079" s="108">
        <v>2439</v>
      </c>
      <c r="F1079" s="108">
        <v>988</v>
      </c>
      <c r="G1079" s="108">
        <v>4495</v>
      </c>
      <c r="H1079" s="108">
        <v>619</v>
      </c>
      <c r="I1079" s="108">
        <v>3381</v>
      </c>
      <c r="J1079" s="108">
        <v>107</v>
      </c>
      <c r="K1079" s="108">
        <v>877</v>
      </c>
      <c r="L1079" s="108">
        <v>3060</v>
      </c>
      <c r="M1079" s="108">
        <v>18473</v>
      </c>
      <c r="N1079" s="108">
        <v>9702</v>
      </c>
      <c r="O1079" s="108">
        <v>27159</v>
      </c>
      <c r="P1079" s="108">
        <v>2175</v>
      </c>
      <c r="Q1079" s="108">
        <v>34510</v>
      </c>
      <c r="R1079" s="16">
        <f t="shared" si="67"/>
        <v>14937</v>
      </c>
    </row>
    <row r="1080" spans="1:18" ht="15.6" x14ac:dyDescent="0.3">
      <c r="A1080" s="107">
        <v>40640</v>
      </c>
      <c r="B1080" s="108">
        <v>3152</v>
      </c>
      <c r="C1080" s="106">
        <v>13167</v>
      </c>
      <c r="D1080" s="106">
        <v>704</v>
      </c>
      <c r="E1080" s="106">
        <v>2097</v>
      </c>
      <c r="F1080" s="106">
        <v>2103</v>
      </c>
      <c r="G1080" s="106">
        <v>7011</v>
      </c>
      <c r="H1080" s="108">
        <v>1275</v>
      </c>
      <c r="I1080" s="106">
        <v>3844</v>
      </c>
      <c r="J1080" s="106">
        <v>125</v>
      </c>
      <c r="K1080" s="106">
        <v>809</v>
      </c>
      <c r="L1080" s="106">
        <v>7358</v>
      </c>
      <c r="M1080" s="106">
        <v>26927</v>
      </c>
      <c r="N1080" s="106">
        <v>13211</v>
      </c>
      <c r="O1080" s="106">
        <v>26549</v>
      </c>
      <c r="P1080" s="108">
        <v>5142</v>
      </c>
      <c r="Q1080" s="106">
        <v>35431</v>
      </c>
      <c r="R1080" s="16">
        <f t="shared" si="67"/>
        <v>25711</v>
      </c>
    </row>
    <row r="1081" spans="1:18" ht="15.6" x14ac:dyDescent="0.3">
      <c r="A1081" s="107">
        <v>40283</v>
      </c>
      <c r="B1081" s="108">
        <v>1006</v>
      </c>
      <c r="C1081" s="108">
        <v>7406</v>
      </c>
      <c r="D1081" s="108">
        <v>331</v>
      </c>
      <c r="E1081" s="108">
        <v>2503</v>
      </c>
      <c r="F1081" s="108">
        <v>865</v>
      </c>
      <c r="G1081" s="108">
        <v>4632</v>
      </c>
      <c r="H1081" s="108">
        <v>475</v>
      </c>
      <c r="I1081" s="108">
        <v>3486</v>
      </c>
      <c r="J1081" s="108">
        <v>118</v>
      </c>
      <c r="K1081" s="108">
        <v>878</v>
      </c>
      <c r="L1081" s="108">
        <v>2794</v>
      </c>
      <c r="M1081" s="108">
        <v>18905</v>
      </c>
      <c r="N1081" s="108">
        <v>10028</v>
      </c>
      <c r="O1081" s="108">
        <v>28314</v>
      </c>
      <c r="P1081" s="108">
        <v>2057</v>
      </c>
      <c r="Q1081" s="108">
        <v>34937</v>
      </c>
      <c r="R1081" s="16">
        <f t="shared" si="67"/>
        <v>14879</v>
      </c>
    </row>
    <row r="1082" spans="1:18" ht="15.6" x14ac:dyDescent="0.3">
      <c r="A1082" s="107">
        <v>40647</v>
      </c>
      <c r="B1082" s="108">
        <v>2966</v>
      </c>
      <c r="C1082" s="106">
        <v>13516</v>
      </c>
      <c r="D1082" s="106">
        <v>541</v>
      </c>
      <c r="E1082" s="106">
        <v>2284</v>
      </c>
      <c r="F1082" s="106">
        <v>1822</v>
      </c>
      <c r="G1082" s="106">
        <v>7176</v>
      </c>
      <c r="H1082" s="108">
        <v>1233</v>
      </c>
      <c r="I1082" s="106">
        <v>3933</v>
      </c>
      <c r="J1082" s="106">
        <v>69</v>
      </c>
      <c r="K1082" s="106">
        <v>879</v>
      </c>
      <c r="L1082" s="106">
        <v>6631</v>
      </c>
      <c r="M1082" s="106">
        <v>27789</v>
      </c>
      <c r="N1082" s="106">
        <v>12889</v>
      </c>
      <c r="O1082" s="106">
        <v>27485</v>
      </c>
      <c r="P1082" s="108">
        <v>5048</v>
      </c>
      <c r="Q1082" s="106">
        <v>35874</v>
      </c>
      <c r="R1082" s="16">
        <f t="shared" si="67"/>
        <v>24568</v>
      </c>
    </row>
    <row r="1083" spans="1:18" ht="15.6" x14ac:dyDescent="0.3">
      <c r="A1083" s="107">
        <v>40290</v>
      </c>
      <c r="B1083" s="108">
        <v>1013</v>
      </c>
      <c r="C1083" s="108">
        <v>7479</v>
      </c>
      <c r="D1083" s="108">
        <v>281</v>
      </c>
      <c r="E1083" s="108">
        <v>2577</v>
      </c>
      <c r="F1083" s="108">
        <v>833</v>
      </c>
      <c r="G1083" s="108">
        <v>4701</v>
      </c>
      <c r="H1083" s="108">
        <v>471</v>
      </c>
      <c r="I1083" s="108">
        <v>3525</v>
      </c>
      <c r="J1083" s="108">
        <v>90</v>
      </c>
      <c r="K1083" s="108">
        <v>903</v>
      </c>
      <c r="L1083" s="108">
        <v>2689</v>
      </c>
      <c r="M1083" s="108">
        <v>19184</v>
      </c>
      <c r="N1083" s="108">
        <v>10343</v>
      </c>
      <c r="O1083" s="108">
        <v>29228</v>
      </c>
      <c r="P1083" s="108">
        <v>1880</v>
      </c>
      <c r="Q1083" s="108">
        <v>35215</v>
      </c>
      <c r="R1083" s="16">
        <f t="shared" ref="R1083:R1090" si="68">P1083+N1083+L1083</f>
        <v>14912</v>
      </c>
    </row>
    <row r="1084" spans="1:18" ht="15.6" x14ac:dyDescent="0.3">
      <c r="A1084" s="107">
        <v>40654</v>
      </c>
      <c r="B1084" s="108">
        <v>2852</v>
      </c>
      <c r="C1084" s="106">
        <v>13773</v>
      </c>
      <c r="D1084" s="106">
        <v>529</v>
      </c>
      <c r="E1084" s="106">
        <v>2329</v>
      </c>
      <c r="F1084" s="106">
        <v>1535</v>
      </c>
      <c r="G1084" s="106">
        <v>7497</v>
      </c>
      <c r="H1084" s="108">
        <v>1106</v>
      </c>
      <c r="I1084" s="106">
        <v>4117</v>
      </c>
      <c r="J1084" s="106">
        <v>49</v>
      </c>
      <c r="K1084" s="106">
        <v>900</v>
      </c>
      <c r="L1084" s="106">
        <v>6070</v>
      </c>
      <c r="M1084" s="106">
        <v>28615</v>
      </c>
      <c r="N1084" s="106">
        <v>12330</v>
      </c>
      <c r="O1084" s="106">
        <v>28393</v>
      </c>
      <c r="P1084" s="108">
        <v>4921</v>
      </c>
      <c r="Q1084" s="106">
        <v>36144</v>
      </c>
      <c r="R1084" s="16">
        <f t="shared" si="68"/>
        <v>23321</v>
      </c>
    </row>
    <row r="1085" spans="1:18" ht="15.6" x14ac:dyDescent="0.3">
      <c r="A1085" s="107">
        <v>40297</v>
      </c>
      <c r="B1085" s="108">
        <v>910</v>
      </c>
      <c r="C1085" s="108">
        <v>7651</v>
      </c>
      <c r="D1085" s="108">
        <v>258</v>
      </c>
      <c r="E1085" s="108">
        <v>2610</v>
      </c>
      <c r="F1085" s="108">
        <v>683</v>
      </c>
      <c r="G1085" s="108">
        <v>4906</v>
      </c>
      <c r="H1085" s="108">
        <v>406</v>
      </c>
      <c r="I1085" s="108">
        <v>3605</v>
      </c>
      <c r="J1085" s="108">
        <v>92</v>
      </c>
      <c r="K1085" s="108">
        <v>903</v>
      </c>
      <c r="L1085" s="108">
        <v>2348</v>
      </c>
      <c r="M1085" s="108">
        <v>19675</v>
      </c>
      <c r="N1085" s="108">
        <v>11338</v>
      </c>
      <c r="O1085" s="108">
        <v>30084</v>
      </c>
      <c r="P1085" s="108">
        <v>1874</v>
      </c>
      <c r="Q1085" s="108">
        <v>35504</v>
      </c>
      <c r="R1085" s="16">
        <f t="shared" si="68"/>
        <v>15560</v>
      </c>
    </row>
    <row r="1086" spans="1:18" ht="15.6" x14ac:dyDescent="0.3">
      <c r="A1086" s="107">
        <v>40661</v>
      </c>
      <c r="B1086" s="108">
        <v>2567</v>
      </c>
      <c r="C1086" s="106">
        <v>14158</v>
      </c>
      <c r="D1086" s="106">
        <v>461</v>
      </c>
      <c r="E1086" s="106">
        <v>2403</v>
      </c>
      <c r="F1086" s="106">
        <v>1402</v>
      </c>
      <c r="G1086" s="106">
        <v>7768</v>
      </c>
      <c r="H1086" s="108">
        <v>988</v>
      </c>
      <c r="I1086" s="106">
        <v>4246</v>
      </c>
      <c r="J1086" s="106">
        <v>60</v>
      </c>
      <c r="K1086" s="106">
        <v>908</v>
      </c>
      <c r="L1086" s="106">
        <v>5477</v>
      </c>
      <c r="M1086" s="106">
        <v>29482</v>
      </c>
      <c r="N1086" s="106">
        <v>11816</v>
      </c>
      <c r="O1086" s="106">
        <v>29191</v>
      </c>
      <c r="P1086" s="108">
        <v>4742</v>
      </c>
      <c r="Q1086" s="106">
        <v>36344</v>
      </c>
      <c r="R1086" s="16">
        <f t="shared" si="68"/>
        <v>22035</v>
      </c>
    </row>
    <row r="1087" spans="1:18" ht="15.6" x14ac:dyDescent="0.3">
      <c r="A1087" s="107">
        <v>40304</v>
      </c>
      <c r="B1087" s="108">
        <v>813</v>
      </c>
      <c r="C1087" s="108">
        <v>7879</v>
      </c>
      <c r="D1087" s="108">
        <v>247</v>
      </c>
      <c r="E1087" s="108">
        <v>2635</v>
      </c>
      <c r="F1087" s="108">
        <v>507</v>
      </c>
      <c r="G1087" s="108">
        <v>5083</v>
      </c>
      <c r="H1087" s="108">
        <v>397</v>
      </c>
      <c r="I1087" s="108">
        <v>3688</v>
      </c>
      <c r="J1087" s="108">
        <v>111</v>
      </c>
      <c r="K1087" s="108">
        <v>909</v>
      </c>
      <c r="L1087" s="108">
        <v>2074</v>
      </c>
      <c r="M1087" s="108">
        <v>20193</v>
      </c>
      <c r="N1087" s="108">
        <v>11123</v>
      </c>
      <c r="O1087" s="108">
        <v>31117</v>
      </c>
      <c r="P1087" s="108">
        <v>1942</v>
      </c>
      <c r="Q1087" s="108">
        <v>35699</v>
      </c>
      <c r="R1087" s="16">
        <f t="shared" si="68"/>
        <v>15139</v>
      </c>
    </row>
    <row r="1088" spans="1:18" ht="15.6" x14ac:dyDescent="0.3">
      <c r="A1088" s="107">
        <v>40668</v>
      </c>
      <c r="B1088" s="108">
        <v>2234</v>
      </c>
      <c r="C1088" s="106">
        <v>14653</v>
      </c>
      <c r="D1088" s="106">
        <v>378</v>
      </c>
      <c r="E1088" s="106">
        <v>2555</v>
      </c>
      <c r="F1088" s="106">
        <v>1263</v>
      </c>
      <c r="G1088" s="106">
        <v>7932</v>
      </c>
      <c r="H1088" s="108">
        <v>854</v>
      </c>
      <c r="I1088" s="106">
        <v>4443</v>
      </c>
      <c r="J1088" s="106">
        <v>43</v>
      </c>
      <c r="K1088" s="106">
        <v>925</v>
      </c>
      <c r="L1088" s="106">
        <v>4771</v>
      </c>
      <c r="M1088" s="106">
        <v>30509</v>
      </c>
      <c r="N1088" s="106">
        <v>11389</v>
      </c>
      <c r="O1088" s="106">
        <v>30051</v>
      </c>
      <c r="P1088" s="108">
        <v>4621</v>
      </c>
      <c r="Q1088" s="106">
        <v>36525</v>
      </c>
      <c r="R1088" s="16">
        <f t="shared" si="68"/>
        <v>20781</v>
      </c>
    </row>
    <row r="1089" spans="1:18" ht="15.6" x14ac:dyDescent="0.3">
      <c r="A1089" s="107">
        <v>40311</v>
      </c>
      <c r="B1089" s="108">
        <v>743</v>
      </c>
      <c r="C1089" s="108">
        <v>8037</v>
      </c>
      <c r="D1089" s="108">
        <v>235</v>
      </c>
      <c r="E1089" s="108">
        <v>2662</v>
      </c>
      <c r="F1089" s="108">
        <v>493</v>
      </c>
      <c r="G1089" s="108">
        <v>5162</v>
      </c>
      <c r="H1089" s="108">
        <v>392</v>
      </c>
      <c r="I1089" s="108">
        <v>3751</v>
      </c>
      <c r="J1089" s="108">
        <v>125</v>
      </c>
      <c r="K1089" s="108">
        <v>916</v>
      </c>
      <c r="L1089" s="108">
        <v>1989</v>
      </c>
      <c r="M1089" s="108">
        <v>20528</v>
      </c>
      <c r="N1089" s="108">
        <v>11499</v>
      </c>
      <c r="O1089" s="108">
        <v>32096</v>
      </c>
      <c r="P1089" s="108">
        <v>2149</v>
      </c>
      <c r="Q1089" s="108">
        <v>35970</v>
      </c>
      <c r="R1089" s="16">
        <f t="shared" si="68"/>
        <v>15637</v>
      </c>
    </row>
    <row r="1090" spans="1:18" ht="15.6" x14ac:dyDescent="0.3">
      <c r="A1090" s="107">
        <v>40675</v>
      </c>
      <c r="B1090" s="108">
        <v>1982</v>
      </c>
      <c r="C1090" s="106">
        <v>14979</v>
      </c>
      <c r="D1090" s="106">
        <v>235</v>
      </c>
      <c r="E1090" s="106">
        <v>2692</v>
      </c>
      <c r="F1090" s="106">
        <v>1057</v>
      </c>
      <c r="G1090" s="106">
        <v>8177</v>
      </c>
      <c r="H1090" s="108">
        <v>786</v>
      </c>
      <c r="I1090" s="106">
        <v>4529</v>
      </c>
      <c r="J1090" s="106">
        <v>43</v>
      </c>
      <c r="K1090" s="106">
        <v>925</v>
      </c>
      <c r="L1090" s="106">
        <v>4103</v>
      </c>
      <c r="M1090" s="106">
        <v>31303</v>
      </c>
      <c r="N1090" s="106">
        <v>11271</v>
      </c>
      <c r="O1090" s="106">
        <v>31013</v>
      </c>
      <c r="P1090" s="108">
        <v>4671</v>
      </c>
      <c r="Q1090" s="106">
        <v>36641</v>
      </c>
      <c r="R1090" s="16">
        <f t="shared" si="68"/>
        <v>20045</v>
      </c>
    </row>
    <row r="1091" spans="1:18" ht="15.6" x14ac:dyDescent="0.3">
      <c r="A1091" s="107">
        <v>40318</v>
      </c>
      <c r="B1091" s="108">
        <v>591</v>
      </c>
      <c r="C1091" s="108">
        <v>8285</v>
      </c>
      <c r="D1091" s="108">
        <v>256</v>
      </c>
      <c r="E1091" s="108">
        <v>2695</v>
      </c>
      <c r="F1091" s="108">
        <v>369</v>
      </c>
      <c r="G1091" s="108">
        <v>5290</v>
      </c>
      <c r="H1091" s="108">
        <v>269</v>
      </c>
      <c r="I1091" s="108">
        <v>3873</v>
      </c>
      <c r="J1091" s="108">
        <v>81</v>
      </c>
      <c r="K1091" s="108">
        <v>957</v>
      </c>
      <c r="L1091" s="108">
        <v>1566</v>
      </c>
      <c r="M1091" s="108">
        <v>21100</v>
      </c>
      <c r="N1091" s="108">
        <v>11290</v>
      </c>
      <c r="O1091" s="108">
        <v>33336</v>
      </c>
      <c r="P1091" s="108">
        <v>2180</v>
      </c>
      <c r="Q1091" s="108">
        <v>36115</v>
      </c>
      <c r="R1091" s="16">
        <f t="shared" ref="R1091:R1096" si="69">P1091+N1091+L1091</f>
        <v>15036</v>
      </c>
    </row>
    <row r="1092" spans="1:18" ht="15.6" x14ac:dyDescent="0.3">
      <c r="A1092" s="107">
        <v>40682</v>
      </c>
      <c r="B1092" s="108">
        <v>1593</v>
      </c>
      <c r="C1092" s="106">
        <v>15301</v>
      </c>
      <c r="D1092" s="106">
        <v>175</v>
      </c>
      <c r="E1092" s="106">
        <v>2747</v>
      </c>
      <c r="F1092" s="106">
        <v>882</v>
      </c>
      <c r="G1092" s="106">
        <v>8378</v>
      </c>
      <c r="H1092" s="108">
        <v>615</v>
      </c>
      <c r="I1092" s="106">
        <v>4709</v>
      </c>
      <c r="J1092" s="106">
        <v>23</v>
      </c>
      <c r="K1092" s="106">
        <v>956</v>
      </c>
      <c r="L1092" s="106">
        <v>3288</v>
      </c>
      <c r="M1092" s="106">
        <v>32089</v>
      </c>
      <c r="N1092" s="106">
        <v>11044</v>
      </c>
      <c r="O1092" s="106">
        <v>31967</v>
      </c>
      <c r="P1092" s="108">
        <v>4422</v>
      </c>
      <c r="Q1092" s="106">
        <v>37053</v>
      </c>
      <c r="R1092" s="16">
        <f t="shared" si="69"/>
        <v>18754</v>
      </c>
    </row>
    <row r="1093" spans="1:18" ht="15.6" x14ac:dyDescent="0.3">
      <c r="A1093" s="107">
        <v>40325</v>
      </c>
      <c r="B1093" s="108">
        <v>340</v>
      </c>
      <c r="C1093" s="108">
        <v>8458</v>
      </c>
      <c r="D1093" s="108">
        <v>252</v>
      </c>
      <c r="E1093" s="108">
        <v>2733</v>
      </c>
      <c r="F1093" s="108">
        <v>323</v>
      </c>
      <c r="G1093" s="108">
        <v>5329</v>
      </c>
      <c r="H1093" s="108">
        <v>251</v>
      </c>
      <c r="I1093" s="108">
        <v>3897</v>
      </c>
      <c r="J1093" s="108">
        <v>40</v>
      </c>
      <c r="K1093" s="108">
        <v>983</v>
      </c>
      <c r="L1093" s="108">
        <v>1213</v>
      </c>
      <c r="M1093" s="108">
        <v>21400</v>
      </c>
      <c r="N1093" s="108">
        <v>10262</v>
      </c>
      <c r="O1093" s="108">
        <v>34562</v>
      </c>
      <c r="P1093" s="108">
        <v>2166</v>
      </c>
      <c r="Q1093" s="108">
        <v>36264</v>
      </c>
      <c r="R1093" s="16">
        <f t="shared" si="69"/>
        <v>13641</v>
      </c>
    </row>
    <row r="1094" spans="1:18" ht="15.6" x14ac:dyDescent="0.3">
      <c r="A1094" s="107">
        <v>40689</v>
      </c>
      <c r="B1094" s="108">
        <v>1024</v>
      </c>
      <c r="C1094" s="106">
        <v>15837</v>
      </c>
      <c r="D1094" s="106">
        <v>109</v>
      </c>
      <c r="E1094" s="106">
        <v>2828</v>
      </c>
      <c r="F1094" s="108">
        <v>623</v>
      </c>
      <c r="G1094" s="108">
        <v>8623</v>
      </c>
      <c r="H1094" s="108">
        <v>551</v>
      </c>
      <c r="I1094" s="108">
        <v>4717</v>
      </c>
      <c r="J1094" s="108">
        <v>11</v>
      </c>
      <c r="K1094" s="108">
        <v>979</v>
      </c>
      <c r="L1094" s="108">
        <v>2320</v>
      </c>
      <c r="M1094" s="108">
        <v>32984</v>
      </c>
      <c r="N1094" s="108">
        <v>10615</v>
      </c>
      <c r="O1094" s="108">
        <v>32867</v>
      </c>
      <c r="P1094" s="108">
        <v>4240</v>
      </c>
      <c r="Q1094" s="108">
        <v>37318</v>
      </c>
      <c r="R1094" s="16">
        <f t="shared" si="69"/>
        <v>17175</v>
      </c>
    </row>
    <row r="1095" spans="1:18" ht="15.6" x14ac:dyDescent="0.3">
      <c r="A1095" s="107">
        <v>40331</v>
      </c>
      <c r="B1095" s="108">
        <v>2320</v>
      </c>
      <c r="C1095" s="108">
        <v>92</v>
      </c>
      <c r="D1095" s="108">
        <v>698</v>
      </c>
      <c r="E1095" s="108">
        <v>0</v>
      </c>
      <c r="F1095" s="108">
        <v>2008</v>
      </c>
      <c r="G1095" s="108">
        <v>40</v>
      </c>
      <c r="H1095" s="108">
        <v>1306</v>
      </c>
      <c r="I1095" s="108">
        <v>11</v>
      </c>
      <c r="J1095" s="108">
        <v>164</v>
      </c>
      <c r="K1095" s="108">
        <v>0</v>
      </c>
      <c r="L1095" s="108">
        <v>143</v>
      </c>
      <c r="M1095" s="108">
        <v>143</v>
      </c>
      <c r="N1095" s="108">
        <v>9931</v>
      </c>
      <c r="O1095" s="108">
        <v>33871</v>
      </c>
      <c r="P1095" s="108">
        <v>4187</v>
      </c>
      <c r="Q1095" s="108">
        <v>37491</v>
      </c>
      <c r="R1095" s="16">
        <f t="shared" si="69"/>
        <v>14261</v>
      </c>
    </row>
    <row r="1096" spans="1:18" ht="15.6" x14ac:dyDescent="0.3">
      <c r="A1096" s="107">
        <v>40695</v>
      </c>
      <c r="B1096" s="108">
        <v>1462</v>
      </c>
      <c r="C1096" s="106">
        <v>71</v>
      </c>
      <c r="D1096" s="106">
        <v>470</v>
      </c>
      <c r="E1096" s="106">
        <v>43</v>
      </c>
      <c r="F1096" s="108">
        <v>966</v>
      </c>
      <c r="G1096" s="108">
        <v>14</v>
      </c>
      <c r="H1096" s="108">
        <v>898</v>
      </c>
      <c r="I1096" s="108">
        <v>12</v>
      </c>
      <c r="J1096" s="108">
        <v>231</v>
      </c>
      <c r="K1096" s="108">
        <v>6</v>
      </c>
      <c r="L1096" s="108">
        <v>146</v>
      </c>
      <c r="M1096" s="108">
        <v>146</v>
      </c>
      <c r="N1096" s="108">
        <v>10369</v>
      </c>
      <c r="O1096" s="108">
        <v>35474</v>
      </c>
      <c r="P1096" s="108">
        <v>2419</v>
      </c>
      <c r="Q1096" s="108">
        <v>36432</v>
      </c>
      <c r="R1096" s="16">
        <f t="shared" si="69"/>
        <v>12934</v>
      </c>
    </row>
    <row r="1097" spans="1:18" ht="15.6" x14ac:dyDescent="0.3">
      <c r="A1097" s="107">
        <v>40338</v>
      </c>
      <c r="B1097" s="108">
        <v>1878</v>
      </c>
      <c r="C1097" s="108">
        <v>206</v>
      </c>
      <c r="D1097" s="108">
        <v>485</v>
      </c>
      <c r="E1097" s="108">
        <v>79</v>
      </c>
      <c r="F1097" s="108">
        <v>995</v>
      </c>
      <c r="G1097" s="108">
        <v>121</v>
      </c>
      <c r="H1097" s="108">
        <v>992</v>
      </c>
      <c r="I1097" s="108">
        <v>98</v>
      </c>
      <c r="J1097" s="108">
        <v>243</v>
      </c>
      <c r="K1097" s="108">
        <v>36</v>
      </c>
      <c r="L1097" s="108">
        <v>4592</v>
      </c>
      <c r="M1097" s="108">
        <v>540</v>
      </c>
      <c r="N1097" s="108">
        <v>10386</v>
      </c>
      <c r="O1097" s="108">
        <v>36547</v>
      </c>
      <c r="P1097" s="108">
        <v>2071</v>
      </c>
      <c r="Q1097" s="108">
        <v>36643</v>
      </c>
      <c r="R1097" s="16">
        <f t="shared" ref="R1097:R1102" si="70">P1097+N1097+L1097</f>
        <v>17049</v>
      </c>
    </row>
    <row r="1098" spans="1:18" ht="15.6" x14ac:dyDescent="0.3">
      <c r="A1098" s="107">
        <v>40702</v>
      </c>
      <c r="B1098" s="108">
        <v>2155</v>
      </c>
      <c r="C1098" s="106">
        <v>360</v>
      </c>
      <c r="D1098" s="106">
        <v>722</v>
      </c>
      <c r="E1098" s="106">
        <v>74</v>
      </c>
      <c r="F1098" s="108">
        <v>2075</v>
      </c>
      <c r="G1098" s="108">
        <v>158</v>
      </c>
      <c r="H1098" s="108">
        <v>1207</v>
      </c>
      <c r="I1098" s="108">
        <v>178</v>
      </c>
      <c r="J1098" s="108">
        <v>143</v>
      </c>
      <c r="K1098" s="108">
        <v>23</v>
      </c>
      <c r="L1098" s="108">
        <v>6301</v>
      </c>
      <c r="M1098" s="108">
        <v>793</v>
      </c>
      <c r="N1098" s="108">
        <v>9407</v>
      </c>
      <c r="O1098" s="108">
        <v>34692</v>
      </c>
      <c r="P1098" s="108">
        <v>4223</v>
      </c>
      <c r="Q1098" s="108">
        <v>37634</v>
      </c>
      <c r="R1098" s="16">
        <f t="shared" si="70"/>
        <v>19931</v>
      </c>
    </row>
    <row r="1099" spans="1:18" ht="15.6" x14ac:dyDescent="0.3">
      <c r="A1099" s="107">
        <v>40346</v>
      </c>
      <c r="B1099" s="108">
        <v>2169</v>
      </c>
      <c r="C1099" s="108">
        <v>302</v>
      </c>
      <c r="D1099" s="108">
        <v>514</v>
      </c>
      <c r="E1099" s="108">
        <v>117</v>
      </c>
      <c r="F1099" s="108">
        <v>1021</v>
      </c>
      <c r="G1099" s="108">
        <v>211</v>
      </c>
      <c r="H1099" s="108">
        <v>1079</v>
      </c>
      <c r="I1099" s="108">
        <v>156</v>
      </c>
      <c r="J1099" s="108">
        <v>250</v>
      </c>
      <c r="K1099" s="108">
        <v>36</v>
      </c>
      <c r="L1099" s="108">
        <v>5033</v>
      </c>
      <c r="M1099" s="108">
        <v>821</v>
      </c>
      <c r="N1099" s="108">
        <v>10692</v>
      </c>
      <c r="O1099" s="108">
        <v>37365</v>
      </c>
      <c r="P1099" s="108">
        <v>2140</v>
      </c>
      <c r="Q1099" s="108">
        <v>36882</v>
      </c>
      <c r="R1099" s="16">
        <f t="shared" si="70"/>
        <v>17865</v>
      </c>
    </row>
    <row r="1100" spans="1:18" ht="15.6" x14ac:dyDescent="0.3">
      <c r="A1100" s="107">
        <v>40710</v>
      </c>
      <c r="B1100" s="108">
        <v>2154</v>
      </c>
      <c r="C1100" s="106">
        <v>648</v>
      </c>
      <c r="D1100" s="106">
        <v>821</v>
      </c>
      <c r="E1100" s="106">
        <v>119</v>
      </c>
      <c r="F1100" s="108">
        <v>2006</v>
      </c>
      <c r="G1100" s="108">
        <v>353</v>
      </c>
      <c r="H1100" s="108">
        <v>1203</v>
      </c>
      <c r="I1100" s="108">
        <v>286</v>
      </c>
      <c r="J1100" s="108">
        <v>118</v>
      </c>
      <c r="K1100" s="108">
        <v>48</v>
      </c>
      <c r="L1100" s="108">
        <v>6301</v>
      </c>
      <c r="M1100" s="108">
        <v>1455</v>
      </c>
      <c r="N1100" s="108">
        <v>8650</v>
      </c>
      <c r="O1100" s="108">
        <v>35859</v>
      </c>
      <c r="P1100" s="108">
        <v>4007</v>
      </c>
      <c r="Q1100" s="108">
        <v>37818</v>
      </c>
      <c r="R1100" s="16">
        <f t="shared" si="70"/>
        <v>18958</v>
      </c>
    </row>
    <row r="1101" spans="1:18" ht="15.6" x14ac:dyDescent="0.3">
      <c r="A1101" s="107">
        <v>40353</v>
      </c>
      <c r="B1101" s="108">
        <v>2104</v>
      </c>
      <c r="C1101" s="108">
        <v>528</v>
      </c>
      <c r="D1101" s="108">
        <v>549</v>
      </c>
      <c r="E1101" s="108">
        <v>167</v>
      </c>
      <c r="F1101" s="108">
        <v>961</v>
      </c>
      <c r="G1101" s="108">
        <v>365</v>
      </c>
      <c r="H1101" s="108">
        <v>1039</v>
      </c>
      <c r="I1101" s="108">
        <v>274</v>
      </c>
      <c r="J1101" s="108">
        <v>250</v>
      </c>
      <c r="K1101" s="108">
        <v>36</v>
      </c>
      <c r="L1101" s="108">
        <v>4902</v>
      </c>
      <c r="M1101" s="108">
        <v>1369</v>
      </c>
      <c r="N1101" s="108">
        <v>10389</v>
      </c>
      <c r="O1101" s="108">
        <v>38318</v>
      </c>
      <c r="P1101" s="108">
        <v>2266</v>
      </c>
      <c r="Q1101" s="108">
        <v>37021</v>
      </c>
      <c r="R1101" s="16">
        <f t="shared" si="70"/>
        <v>17557</v>
      </c>
    </row>
    <row r="1102" spans="1:18" ht="15.6" x14ac:dyDescent="0.3">
      <c r="A1102" s="107">
        <v>40717</v>
      </c>
      <c r="B1102" s="108">
        <v>2180</v>
      </c>
      <c r="C1102" s="106">
        <v>921</v>
      </c>
      <c r="D1102" s="106">
        <v>891</v>
      </c>
      <c r="E1102" s="106">
        <v>187</v>
      </c>
      <c r="F1102" s="108">
        <v>1958</v>
      </c>
      <c r="G1102" s="108">
        <v>440</v>
      </c>
      <c r="H1102" s="108">
        <v>1231</v>
      </c>
      <c r="I1102" s="108">
        <v>339</v>
      </c>
      <c r="J1102" s="108">
        <v>103</v>
      </c>
      <c r="K1102" s="108">
        <v>51</v>
      </c>
      <c r="L1102" s="108">
        <v>6363</v>
      </c>
      <c r="M1102" s="108">
        <v>1937</v>
      </c>
      <c r="N1102" s="108">
        <v>8686</v>
      </c>
      <c r="O1102" s="108">
        <v>36515</v>
      </c>
      <c r="P1102" s="108">
        <v>3517</v>
      </c>
      <c r="Q1102" s="108">
        <v>37973</v>
      </c>
      <c r="R1102" s="16">
        <f t="shared" si="70"/>
        <v>18566</v>
      </c>
    </row>
    <row r="1103" spans="1:18" ht="15.6" x14ac:dyDescent="0.3">
      <c r="A1103" s="107">
        <v>40360</v>
      </c>
      <c r="B1103" s="108">
        <v>2066</v>
      </c>
      <c r="C1103" s="108">
        <v>792</v>
      </c>
      <c r="D1103" s="108">
        <v>540</v>
      </c>
      <c r="E1103" s="108">
        <v>212</v>
      </c>
      <c r="F1103" s="108">
        <v>1013</v>
      </c>
      <c r="G1103" s="108">
        <v>453</v>
      </c>
      <c r="H1103" s="108">
        <v>959</v>
      </c>
      <c r="I1103" s="108">
        <v>433</v>
      </c>
      <c r="J1103" s="108">
        <v>280</v>
      </c>
      <c r="K1103" s="108">
        <v>37</v>
      </c>
      <c r="L1103" s="108">
        <v>4858</v>
      </c>
      <c r="M1103" s="108">
        <v>1927</v>
      </c>
      <c r="N1103" s="108">
        <v>9860</v>
      </c>
      <c r="O1103" s="108">
        <v>39348</v>
      </c>
      <c r="P1103" s="108">
        <v>2452</v>
      </c>
      <c r="Q1103" s="108">
        <v>37097</v>
      </c>
      <c r="R1103" s="16">
        <f t="shared" ref="R1103:R1108" si="71">P1103+N1103+L1103</f>
        <v>17170</v>
      </c>
    </row>
    <row r="1104" spans="1:18" ht="15.6" x14ac:dyDescent="0.3">
      <c r="A1104" s="107">
        <v>40724</v>
      </c>
      <c r="B1104" s="108">
        <v>1908</v>
      </c>
      <c r="C1104" s="106">
        <v>1284</v>
      </c>
      <c r="D1104" s="108">
        <v>1004</v>
      </c>
      <c r="E1104" s="108">
        <v>229</v>
      </c>
      <c r="F1104" s="108">
        <v>1911</v>
      </c>
      <c r="G1104" s="108">
        <v>581</v>
      </c>
      <c r="H1104" s="108">
        <v>1163</v>
      </c>
      <c r="I1104" s="108">
        <v>486</v>
      </c>
      <c r="J1104" s="108">
        <v>74</v>
      </c>
      <c r="K1104" s="108">
        <v>85</v>
      </c>
      <c r="L1104" s="108">
        <v>6060</v>
      </c>
      <c r="M1104" s="108">
        <v>2664</v>
      </c>
      <c r="N1104" s="108">
        <v>8267</v>
      </c>
      <c r="O1104" s="108">
        <v>37555</v>
      </c>
      <c r="P1104" s="108">
        <v>3671</v>
      </c>
      <c r="Q1104" s="108">
        <v>38124</v>
      </c>
      <c r="R1104" s="16">
        <f t="shared" si="71"/>
        <v>17998</v>
      </c>
    </row>
    <row r="1105" spans="1:18" ht="15.6" x14ac:dyDescent="0.3">
      <c r="A1105" s="107">
        <v>40367</v>
      </c>
      <c r="B1105" s="108">
        <v>1980</v>
      </c>
      <c r="C1105" s="108">
        <v>1051</v>
      </c>
      <c r="D1105" s="108">
        <v>523</v>
      </c>
      <c r="E1105" s="108">
        <v>238</v>
      </c>
      <c r="F1105" s="108">
        <v>1044</v>
      </c>
      <c r="G1105" s="108">
        <v>506</v>
      </c>
      <c r="H1105" s="108">
        <v>978</v>
      </c>
      <c r="I1105" s="108">
        <v>451</v>
      </c>
      <c r="J1105" s="108">
        <v>286</v>
      </c>
      <c r="K1105" s="108">
        <v>37</v>
      </c>
      <c r="L1105" s="108">
        <v>4812</v>
      </c>
      <c r="M1105" s="108">
        <v>2283</v>
      </c>
      <c r="N1105" s="108">
        <v>9495</v>
      </c>
      <c r="O1105" s="108">
        <v>40391</v>
      </c>
      <c r="P1105" s="108">
        <v>2912</v>
      </c>
      <c r="Q1105" s="108">
        <v>37303</v>
      </c>
      <c r="R1105" s="16">
        <f t="shared" si="71"/>
        <v>17219</v>
      </c>
    </row>
    <row r="1106" spans="1:18" ht="15.6" x14ac:dyDescent="0.3">
      <c r="A1106" s="107">
        <v>40731</v>
      </c>
      <c r="B1106" s="108">
        <v>1993</v>
      </c>
      <c r="C1106" s="106">
        <v>1462</v>
      </c>
      <c r="D1106" s="108">
        <v>997</v>
      </c>
      <c r="E1106" s="108">
        <v>325</v>
      </c>
      <c r="F1106" s="108">
        <v>1806</v>
      </c>
      <c r="G1106" s="108">
        <v>772</v>
      </c>
      <c r="H1106" s="108">
        <v>1133</v>
      </c>
      <c r="I1106" s="108">
        <v>592</v>
      </c>
      <c r="J1106" s="108">
        <v>74</v>
      </c>
      <c r="K1106" s="108">
        <v>90</v>
      </c>
      <c r="L1106" s="108">
        <v>6003</v>
      </c>
      <c r="M1106" s="108">
        <v>3241</v>
      </c>
      <c r="N1106" s="108">
        <v>7888</v>
      </c>
      <c r="O1106" s="108">
        <v>38416</v>
      </c>
      <c r="P1106" s="108">
        <v>3435</v>
      </c>
      <c r="Q1106" s="108">
        <v>38364</v>
      </c>
      <c r="R1106" s="16">
        <f t="shared" si="71"/>
        <v>17326</v>
      </c>
    </row>
    <row r="1107" spans="1:18" ht="15.6" x14ac:dyDescent="0.3">
      <c r="A1107" s="107">
        <v>40374</v>
      </c>
      <c r="B1107" s="108">
        <v>1825</v>
      </c>
      <c r="C1107" s="108">
        <v>1317</v>
      </c>
      <c r="D1107" s="108">
        <v>519</v>
      </c>
      <c r="E1107" s="108">
        <v>291</v>
      </c>
      <c r="F1107" s="108">
        <v>1035</v>
      </c>
      <c r="G1107" s="108">
        <v>598</v>
      </c>
      <c r="H1107" s="108">
        <v>976</v>
      </c>
      <c r="I1107" s="108">
        <v>559</v>
      </c>
      <c r="J1107" s="108">
        <v>294</v>
      </c>
      <c r="K1107" s="108">
        <v>64</v>
      </c>
      <c r="L1107" s="108">
        <v>4649</v>
      </c>
      <c r="M1107" s="108">
        <v>2828</v>
      </c>
      <c r="N1107" s="108">
        <v>9161</v>
      </c>
      <c r="O1107" s="108">
        <v>41339</v>
      </c>
      <c r="P1107" s="108">
        <v>2749</v>
      </c>
      <c r="Q1107" s="108">
        <v>37578</v>
      </c>
      <c r="R1107" s="16">
        <f t="shared" si="71"/>
        <v>16559</v>
      </c>
    </row>
    <row r="1108" spans="1:18" ht="15.6" x14ac:dyDescent="0.3">
      <c r="A1108" s="107">
        <v>40738</v>
      </c>
      <c r="B1108" s="108">
        <v>1803</v>
      </c>
      <c r="C1108" s="106">
        <v>1751</v>
      </c>
      <c r="D1108" s="108">
        <v>1037</v>
      </c>
      <c r="E1108" s="108">
        <v>362</v>
      </c>
      <c r="F1108" s="108">
        <v>1798</v>
      </c>
      <c r="G1108" s="108">
        <v>879</v>
      </c>
      <c r="H1108" s="108">
        <v>1140</v>
      </c>
      <c r="I1108" s="108">
        <v>632</v>
      </c>
      <c r="J1108" s="108">
        <v>86</v>
      </c>
      <c r="K1108" s="108">
        <v>101</v>
      </c>
      <c r="L1108" s="108">
        <v>5863</v>
      </c>
      <c r="M1108" s="108">
        <v>3725</v>
      </c>
      <c r="N1108" s="108">
        <v>7391</v>
      </c>
      <c r="O1108" s="108">
        <v>39342</v>
      </c>
      <c r="P1108" s="108">
        <v>3556</v>
      </c>
      <c r="Q1108" s="108">
        <v>38500</v>
      </c>
      <c r="R1108" s="16">
        <f t="shared" si="71"/>
        <v>16810</v>
      </c>
    </row>
    <row r="1109" spans="1:18" ht="15.6" x14ac:dyDescent="0.3">
      <c r="A1109" s="107">
        <v>40381</v>
      </c>
      <c r="B1109" s="108">
        <v>2013</v>
      </c>
      <c r="C1109" s="108">
        <v>1539</v>
      </c>
      <c r="D1109" s="108">
        <v>540</v>
      </c>
      <c r="E1109" s="108">
        <v>336</v>
      </c>
      <c r="F1109" s="108">
        <v>1187</v>
      </c>
      <c r="G1109" s="108">
        <v>747</v>
      </c>
      <c r="H1109" s="108">
        <v>1021</v>
      </c>
      <c r="I1109" s="108">
        <v>581</v>
      </c>
      <c r="J1109" s="108">
        <v>356</v>
      </c>
      <c r="K1109" s="108">
        <v>76</v>
      </c>
      <c r="L1109" s="108">
        <v>5118</v>
      </c>
      <c r="M1109" s="108">
        <v>3279</v>
      </c>
      <c r="N1109" s="108">
        <v>8394</v>
      </c>
      <c r="O1109" s="108">
        <v>42538</v>
      </c>
      <c r="P1109" s="108">
        <v>2910</v>
      </c>
      <c r="Q1109" s="108">
        <v>37756</v>
      </c>
      <c r="R1109" s="16">
        <f t="shared" ref="R1109:R1114" si="72">P1109+N1109+L1109</f>
        <v>16422</v>
      </c>
    </row>
    <row r="1110" spans="1:18" ht="15.6" x14ac:dyDescent="0.3">
      <c r="A1110" s="107">
        <v>40745</v>
      </c>
      <c r="B1110" s="108">
        <v>1787</v>
      </c>
      <c r="C1110" s="106">
        <v>1946</v>
      </c>
      <c r="D1110" s="108">
        <v>897</v>
      </c>
      <c r="E1110" s="108">
        <v>521</v>
      </c>
      <c r="F1110" s="108">
        <v>1781</v>
      </c>
      <c r="G1110" s="108">
        <v>1039</v>
      </c>
      <c r="H1110" s="108">
        <v>1157</v>
      </c>
      <c r="I1110" s="108">
        <v>672</v>
      </c>
      <c r="J1110" s="108">
        <v>151</v>
      </c>
      <c r="K1110" s="108">
        <v>111</v>
      </c>
      <c r="L1110" s="108">
        <v>5773</v>
      </c>
      <c r="M1110" s="108">
        <v>4289</v>
      </c>
      <c r="N1110" s="108">
        <v>6717</v>
      </c>
      <c r="O1110" s="108">
        <v>40348</v>
      </c>
      <c r="P1110" s="108">
        <v>3371</v>
      </c>
      <c r="Q1110" s="108">
        <v>38695</v>
      </c>
      <c r="R1110" s="16">
        <f t="shared" si="72"/>
        <v>15861</v>
      </c>
    </row>
    <row r="1111" spans="1:18" ht="15.6" x14ac:dyDescent="0.3">
      <c r="A1111" s="107">
        <v>40388</v>
      </c>
      <c r="B1111" s="108">
        <v>2116</v>
      </c>
      <c r="C1111" s="108">
        <v>1836</v>
      </c>
      <c r="D1111" s="108">
        <v>601</v>
      </c>
      <c r="E1111" s="108">
        <v>357</v>
      </c>
      <c r="F1111" s="108">
        <v>1229</v>
      </c>
      <c r="G1111" s="108">
        <v>936</v>
      </c>
      <c r="H1111" s="108">
        <v>1144</v>
      </c>
      <c r="I1111" s="108">
        <v>629</v>
      </c>
      <c r="J1111" s="108">
        <v>309</v>
      </c>
      <c r="K1111" s="108">
        <v>83</v>
      </c>
      <c r="L1111" s="108">
        <v>5400</v>
      </c>
      <c r="M1111" s="108">
        <v>3840</v>
      </c>
      <c r="N1111" s="108">
        <v>8033</v>
      </c>
      <c r="O1111" s="108">
        <v>43371</v>
      </c>
      <c r="P1111" s="108">
        <v>2656</v>
      </c>
      <c r="Q1111" s="108">
        <v>38016</v>
      </c>
      <c r="R1111" s="16">
        <f t="shared" si="72"/>
        <v>16089</v>
      </c>
    </row>
    <row r="1112" spans="1:18" ht="15.6" x14ac:dyDescent="0.3">
      <c r="A1112" s="107">
        <v>40752</v>
      </c>
      <c r="B1112" s="108">
        <v>1819</v>
      </c>
      <c r="C1112" s="106">
        <v>2159</v>
      </c>
      <c r="D1112" s="108">
        <v>979</v>
      </c>
      <c r="E1112" s="108">
        <v>548</v>
      </c>
      <c r="F1112" s="108">
        <v>1709</v>
      </c>
      <c r="G1112" s="108">
        <v>1204</v>
      </c>
      <c r="H1112" s="108">
        <v>1140</v>
      </c>
      <c r="I1112" s="108">
        <v>737</v>
      </c>
      <c r="J1112" s="108">
        <v>153</v>
      </c>
      <c r="K1112" s="108">
        <v>113</v>
      </c>
      <c r="L1112" s="108">
        <v>5800</v>
      </c>
      <c r="M1112" s="108">
        <v>4761</v>
      </c>
      <c r="N1112" s="108">
        <v>6236</v>
      </c>
      <c r="O1112" s="108">
        <v>41126</v>
      </c>
      <c r="P1112" s="108">
        <v>2761</v>
      </c>
      <c r="Q1112" s="108">
        <v>38900</v>
      </c>
      <c r="R1112" s="16">
        <f t="shared" si="72"/>
        <v>14797</v>
      </c>
    </row>
    <row r="1113" spans="1:18" ht="15.6" x14ac:dyDescent="0.3">
      <c r="A1113" s="107">
        <v>40394</v>
      </c>
      <c r="B1113" s="108">
        <v>2753</v>
      </c>
      <c r="C1113" s="108">
        <v>1998</v>
      </c>
      <c r="D1113" s="108">
        <v>584</v>
      </c>
      <c r="E1113" s="108">
        <v>399</v>
      </c>
      <c r="F1113" s="108">
        <v>1391</v>
      </c>
      <c r="G1113" s="108">
        <v>1046</v>
      </c>
      <c r="H1113" s="108">
        <v>1261</v>
      </c>
      <c r="I1113" s="108">
        <v>708</v>
      </c>
      <c r="J1113" s="108">
        <v>307</v>
      </c>
      <c r="K1113" s="108">
        <v>123</v>
      </c>
      <c r="L1113" s="108">
        <v>6295</v>
      </c>
      <c r="M1113" s="108">
        <v>4274</v>
      </c>
      <c r="N1113" s="108">
        <v>7464</v>
      </c>
      <c r="O1113" s="108">
        <v>44379</v>
      </c>
      <c r="P1113" s="108">
        <v>2707</v>
      </c>
      <c r="Q1113" s="108">
        <v>38232</v>
      </c>
      <c r="R1113" s="16">
        <f t="shared" si="72"/>
        <v>16466</v>
      </c>
    </row>
    <row r="1114" spans="1:18" ht="15.6" x14ac:dyDescent="0.3">
      <c r="A1114" s="107">
        <v>40758</v>
      </c>
      <c r="B1114" s="108">
        <v>1672</v>
      </c>
      <c r="C1114" s="106">
        <v>2440</v>
      </c>
      <c r="D1114" s="108">
        <v>905</v>
      </c>
      <c r="E1114" s="108">
        <v>707</v>
      </c>
      <c r="F1114" s="108">
        <v>1729</v>
      </c>
      <c r="G1114" s="108">
        <v>1294</v>
      </c>
      <c r="H1114" s="108">
        <v>1062</v>
      </c>
      <c r="I1114" s="108">
        <v>839</v>
      </c>
      <c r="J1114" s="108">
        <v>176</v>
      </c>
      <c r="K1114" s="108">
        <v>113</v>
      </c>
      <c r="L1114" s="108">
        <v>5544</v>
      </c>
      <c r="M1114" s="108">
        <v>5393</v>
      </c>
      <c r="N1114" s="108">
        <v>5728</v>
      </c>
      <c r="O1114" s="108">
        <v>42075</v>
      </c>
      <c r="P1114" s="108">
        <v>2855</v>
      </c>
      <c r="Q1114" s="108">
        <v>39045</v>
      </c>
      <c r="R1114" s="16">
        <f t="shared" si="72"/>
        <v>14127</v>
      </c>
    </row>
    <row r="1115" spans="1:18" ht="15.6" x14ac:dyDescent="0.3">
      <c r="A1115" s="107">
        <v>40402</v>
      </c>
      <c r="B1115" s="108">
        <v>3191</v>
      </c>
      <c r="C1115" s="108">
        <v>2242</v>
      </c>
      <c r="D1115" s="108">
        <v>559</v>
      </c>
      <c r="E1115" s="108">
        <v>437</v>
      </c>
      <c r="F1115" s="108">
        <v>1781</v>
      </c>
      <c r="G1115" s="108">
        <v>1170</v>
      </c>
      <c r="H1115" s="108">
        <v>1230</v>
      </c>
      <c r="I1115" s="108">
        <v>859</v>
      </c>
      <c r="J1115" s="108">
        <v>370</v>
      </c>
      <c r="K1115" s="108">
        <v>144</v>
      </c>
      <c r="L1115" s="108">
        <v>7131</v>
      </c>
      <c r="M1115" s="108">
        <v>4851</v>
      </c>
      <c r="N1115" s="108">
        <v>7053</v>
      </c>
      <c r="O1115" s="108">
        <v>45386</v>
      </c>
      <c r="P1115" s="108">
        <v>2391</v>
      </c>
      <c r="Q1115" s="108">
        <v>38729</v>
      </c>
      <c r="R1115" s="16">
        <f t="shared" ref="R1115:R1120" si="73">P1115+N1115+L1115</f>
        <v>16575</v>
      </c>
    </row>
    <row r="1116" spans="1:18" ht="15.6" x14ac:dyDescent="0.3">
      <c r="A1116" s="107">
        <v>40766</v>
      </c>
      <c r="B1116" s="108">
        <v>1742</v>
      </c>
      <c r="C1116" s="106">
        <v>2650</v>
      </c>
      <c r="D1116" s="108">
        <v>891</v>
      </c>
      <c r="E1116" s="108">
        <v>770</v>
      </c>
      <c r="F1116" s="108">
        <v>1607</v>
      </c>
      <c r="G1116" s="108">
        <v>1503</v>
      </c>
      <c r="H1116" s="108">
        <v>1021</v>
      </c>
      <c r="I1116" s="108">
        <v>1003</v>
      </c>
      <c r="J1116" s="108">
        <v>186</v>
      </c>
      <c r="K1116" s="108">
        <v>113</v>
      </c>
      <c r="L1116" s="108">
        <v>5447</v>
      </c>
      <c r="M1116" s="108">
        <v>6040</v>
      </c>
      <c r="N1116" s="108">
        <v>5069</v>
      </c>
      <c r="O1116" s="108">
        <v>42977</v>
      </c>
      <c r="P1116" s="108">
        <v>2888</v>
      </c>
      <c r="Q1116" s="108">
        <v>39235</v>
      </c>
      <c r="R1116" s="16">
        <f t="shared" si="73"/>
        <v>13404</v>
      </c>
    </row>
    <row r="1117" spans="1:18" ht="15.6" x14ac:dyDescent="0.3">
      <c r="A1117" s="107">
        <v>40409</v>
      </c>
      <c r="B1117" s="108">
        <v>3565</v>
      </c>
      <c r="C1117" s="108">
        <v>2518</v>
      </c>
      <c r="D1117" s="108">
        <v>608</v>
      </c>
      <c r="E1117" s="108">
        <v>464</v>
      </c>
      <c r="F1117" s="108">
        <v>1952</v>
      </c>
      <c r="G1117" s="108">
        <v>1245</v>
      </c>
      <c r="H1117" s="108">
        <v>1246</v>
      </c>
      <c r="I1117" s="108">
        <v>947</v>
      </c>
      <c r="J1117" s="108">
        <v>331</v>
      </c>
      <c r="K1117" s="108">
        <v>185</v>
      </c>
      <c r="L1117" s="108">
        <v>7702</v>
      </c>
      <c r="M1117" s="108">
        <v>5358</v>
      </c>
      <c r="N1117" s="108">
        <v>5923</v>
      </c>
      <c r="O1117" s="108">
        <v>46498</v>
      </c>
      <c r="P1117" s="108">
        <v>2237</v>
      </c>
      <c r="Q1117" s="108">
        <v>39050</v>
      </c>
      <c r="R1117" s="16">
        <f t="shared" si="73"/>
        <v>15862</v>
      </c>
    </row>
    <row r="1118" spans="1:18" ht="15.6" x14ac:dyDescent="0.3">
      <c r="A1118" s="107">
        <v>40773</v>
      </c>
      <c r="B1118" s="108">
        <v>1777</v>
      </c>
      <c r="C1118" s="106">
        <v>2757</v>
      </c>
      <c r="D1118" s="108">
        <v>708</v>
      </c>
      <c r="E1118" s="108">
        <v>983</v>
      </c>
      <c r="F1118" s="108">
        <v>1602</v>
      </c>
      <c r="G1118" s="108">
        <v>1563</v>
      </c>
      <c r="H1118" s="108">
        <v>1044</v>
      </c>
      <c r="I1118" s="108">
        <v>1090</v>
      </c>
      <c r="J1118" s="108">
        <v>193</v>
      </c>
      <c r="K1118" s="108">
        <v>116</v>
      </c>
      <c r="L1118" s="108">
        <v>5325</v>
      </c>
      <c r="M1118" s="108">
        <v>6509</v>
      </c>
      <c r="N1118" s="108">
        <v>4627</v>
      </c>
      <c r="O1118" s="108">
        <v>43803</v>
      </c>
      <c r="P1118" s="108">
        <v>2713</v>
      </c>
      <c r="Q1118" s="108">
        <v>39518</v>
      </c>
      <c r="R1118" s="16">
        <f t="shared" si="73"/>
        <v>12665</v>
      </c>
    </row>
    <row r="1119" spans="1:18" ht="15.6" x14ac:dyDescent="0.3">
      <c r="A1119" s="107">
        <v>40416</v>
      </c>
      <c r="B1119" s="108">
        <v>3585</v>
      </c>
      <c r="C1119" s="108">
        <v>2903</v>
      </c>
      <c r="D1119" s="108">
        <v>629</v>
      </c>
      <c r="E1119" s="108">
        <v>497</v>
      </c>
      <c r="F1119" s="108">
        <v>2232</v>
      </c>
      <c r="G1119" s="108">
        <v>1365</v>
      </c>
      <c r="H1119" s="108">
        <v>1329</v>
      </c>
      <c r="I1119" s="108">
        <v>998</v>
      </c>
      <c r="J1119" s="108">
        <v>357</v>
      </c>
      <c r="K1119" s="108">
        <v>188</v>
      </c>
      <c r="L1119" s="108">
        <v>8133</v>
      </c>
      <c r="M1119" s="108">
        <v>5951</v>
      </c>
      <c r="N1119" s="108">
        <v>4753</v>
      </c>
      <c r="O1119" s="108">
        <v>47640</v>
      </c>
      <c r="P1119" s="108">
        <v>2004</v>
      </c>
      <c r="Q1119" s="108">
        <v>39285</v>
      </c>
      <c r="R1119" s="16">
        <f t="shared" si="73"/>
        <v>14890</v>
      </c>
    </row>
    <row r="1120" spans="1:18" ht="15.6" x14ac:dyDescent="0.3">
      <c r="A1120" s="107">
        <v>40780</v>
      </c>
      <c r="B1120" s="108">
        <v>1746</v>
      </c>
      <c r="C1120" s="106">
        <v>3040</v>
      </c>
      <c r="D1120" s="108">
        <v>652</v>
      </c>
      <c r="E1120" s="108">
        <v>1066</v>
      </c>
      <c r="F1120" s="108">
        <v>1537</v>
      </c>
      <c r="G1120" s="108">
        <v>1676</v>
      </c>
      <c r="H1120" s="108">
        <v>1008</v>
      </c>
      <c r="I1120" s="108">
        <v>1187</v>
      </c>
      <c r="J1120" s="108">
        <v>141</v>
      </c>
      <c r="K1120" s="108">
        <v>149</v>
      </c>
      <c r="L1120" s="108">
        <v>5084</v>
      </c>
      <c r="M1120" s="108">
        <v>7118</v>
      </c>
      <c r="N1120" s="108">
        <v>3540</v>
      </c>
      <c r="O1120" s="108">
        <v>44569</v>
      </c>
      <c r="P1120" s="108">
        <v>2478</v>
      </c>
      <c r="Q1120" s="108">
        <v>39753</v>
      </c>
      <c r="R1120" s="16">
        <f t="shared" si="73"/>
        <v>11102</v>
      </c>
    </row>
    <row r="1121" spans="1:18" ht="15.6" x14ac:dyDescent="0.3">
      <c r="A1121" s="107">
        <v>40423</v>
      </c>
      <c r="B1121" s="108">
        <v>3899</v>
      </c>
      <c r="C1121" s="108">
        <v>3152</v>
      </c>
      <c r="D1121" s="108">
        <v>599</v>
      </c>
      <c r="E1121" s="108">
        <v>541</v>
      </c>
      <c r="F1121" s="108">
        <v>2230</v>
      </c>
      <c r="G1121" s="108">
        <v>1608</v>
      </c>
      <c r="H1121" s="108">
        <v>1341</v>
      </c>
      <c r="I1121" s="108">
        <v>1121</v>
      </c>
      <c r="J1121" s="108">
        <v>358</v>
      </c>
      <c r="K1121" s="108">
        <v>190</v>
      </c>
      <c r="L1121" s="108">
        <v>8426</v>
      </c>
      <c r="M1121" s="108">
        <v>6611</v>
      </c>
      <c r="N1121" s="108">
        <v>15103</v>
      </c>
      <c r="O1121" s="108">
        <v>286</v>
      </c>
      <c r="P1121" s="108">
        <v>17705</v>
      </c>
      <c r="Q1121" s="108">
        <v>81</v>
      </c>
      <c r="R1121" s="16">
        <f t="shared" ref="R1121:R1126" si="74">P1121+N1121+L1121</f>
        <v>41234</v>
      </c>
    </row>
    <row r="1122" spans="1:18" ht="15.6" x14ac:dyDescent="0.3">
      <c r="A1122" s="107">
        <v>40787</v>
      </c>
      <c r="B1122" s="108">
        <v>1743</v>
      </c>
      <c r="C1122" s="106">
        <v>3306</v>
      </c>
      <c r="D1122" s="108">
        <v>671</v>
      </c>
      <c r="E1122" s="108">
        <v>1111</v>
      </c>
      <c r="F1122" s="108">
        <v>1454</v>
      </c>
      <c r="G1122" s="108">
        <v>1883</v>
      </c>
      <c r="H1122" s="108">
        <v>1023</v>
      </c>
      <c r="I1122" s="108">
        <v>1255</v>
      </c>
      <c r="J1122" s="108">
        <v>81</v>
      </c>
      <c r="K1122" s="108">
        <v>188</v>
      </c>
      <c r="L1122" s="108">
        <v>4972</v>
      </c>
      <c r="M1122" s="108">
        <v>7743</v>
      </c>
      <c r="N1122" s="108">
        <v>13171</v>
      </c>
      <c r="O1122" s="108">
        <v>136</v>
      </c>
      <c r="P1122" s="108">
        <v>14284</v>
      </c>
      <c r="Q1122" s="108">
        <v>42</v>
      </c>
      <c r="R1122" s="16">
        <f t="shared" si="74"/>
        <v>32427</v>
      </c>
    </row>
    <row r="1123" spans="1:18" ht="15.6" x14ac:dyDescent="0.3">
      <c r="A1123" s="107">
        <v>40430</v>
      </c>
      <c r="B1123" s="108">
        <v>3506</v>
      </c>
      <c r="C1123" s="108">
        <v>3702</v>
      </c>
      <c r="D1123" s="108">
        <v>598</v>
      </c>
      <c r="E1123" s="108">
        <v>560</v>
      </c>
      <c r="F1123" s="108">
        <v>2177</v>
      </c>
      <c r="G1123" s="108">
        <v>1828</v>
      </c>
      <c r="H1123" s="108">
        <v>1385</v>
      </c>
      <c r="I1123" s="108">
        <v>1162</v>
      </c>
      <c r="J1123" s="108">
        <v>373</v>
      </c>
      <c r="K1123" s="108">
        <v>221</v>
      </c>
      <c r="L1123" s="108">
        <v>8039</v>
      </c>
      <c r="M1123" s="108">
        <v>7474</v>
      </c>
      <c r="N1123" s="108">
        <v>14588</v>
      </c>
      <c r="O1123" s="108">
        <v>1385</v>
      </c>
      <c r="P1123" s="108">
        <v>18201</v>
      </c>
      <c r="Q1123" s="108">
        <v>254</v>
      </c>
      <c r="R1123" s="16">
        <f t="shared" si="74"/>
        <v>40828</v>
      </c>
    </row>
    <row r="1124" spans="1:18" ht="15.6" x14ac:dyDescent="0.3">
      <c r="A1124" s="107">
        <v>40794</v>
      </c>
      <c r="B1124" s="108">
        <v>1632</v>
      </c>
      <c r="C1124" s="106">
        <v>3533</v>
      </c>
      <c r="D1124" s="108">
        <v>663</v>
      </c>
      <c r="E1124" s="108">
        <v>1166</v>
      </c>
      <c r="F1124" s="108">
        <v>1527</v>
      </c>
      <c r="G1124" s="108">
        <v>1945</v>
      </c>
      <c r="H1124" s="108">
        <v>1009</v>
      </c>
      <c r="I1124" s="108">
        <v>1383</v>
      </c>
      <c r="J1124" s="108">
        <v>83</v>
      </c>
      <c r="K1124" s="108">
        <v>188</v>
      </c>
      <c r="L1124" s="108">
        <v>4914</v>
      </c>
      <c r="M1124" s="108">
        <v>8214</v>
      </c>
      <c r="N1124" s="108">
        <v>13813</v>
      </c>
      <c r="O1124" s="108">
        <v>621</v>
      </c>
      <c r="P1124" s="108">
        <v>14332</v>
      </c>
      <c r="Q1124" s="108">
        <v>346</v>
      </c>
      <c r="R1124" s="16">
        <f t="shared" si="74"/>
        <v>33059</v>
      </c>
    </row>
    <row r="1125" spans="1:18" ht="15.6" x14ac:dyDescent="0.3">
      <c r="A1125" s="107">
        <v>40437</v>
      </c>
      <c r="B1125" s="108">
        <v>3697</v>
      </c>
      <c r="C1125" s="108">
        <v>4144</v>
      </c>
      <c r="D1125" s="108">
        <v>591</v>
      </c>
      <c r="E1125" s="108">
        <v>573</v>
      </c>
      <c r="F1125" s="108">
        <v>2225</v>
      </c>
      <c r="G1125" s="108">
        <v>1998</v>
      </c>
      <c r="H1125" s="108">
        <v>1305</v>
      </c>
      <c r="I1125" s="108">
        <v>1378</v>
      </c>
      <c r="J1125" s="108">
        <v>253</v>
      </c>
      <c r="K1125" s="108">
        <v>300</v>
      </c>
      <c r="L1125" s="108">
        <v>8070</v>
      </c>
      <c r="M1125" s="108">
        <v>8392</v>
      </c>
      <c r="N1125" s="108">
        <v>14158</v>
      </c>
      <c r="O1125" s="108">
        <v>2377</v>
      </c>
      <c r="P1125" s="108">
        <v>18939</v>
      </c>
      <c r="Q1125" s="108">
        <v>600</v>
      </c>
      <c r="R1125" s="16">
        <f t="shared" si="74"/>
        <v>41167</v>
      </c>
    </row>
    <row r="1126" spans="1:18" ht="15.6" x14ac:dyDescent="0.3">
      <c r="A1126" s="107">
        <v>40801</v>
      </c>
      <c r="B1126" s="108">
        <v>1572</v>
      </c>
      <c r="C1126" s="106">
        <v>3895</v>
      </c>
      <c r="D1126" s="108">
        <v>615</v>
      </c>
      <c r="E1126" s="108">
        <v>1256</v>
      </c>
      <c r="F1126" s="108">
        <v>1391</v>
      </c>
      <c r="G1126" s="108">
        <v>2219</v>
      </c>
      <c r="H1126" s="108">
        <v>1069</v>
      </c>
      <c r="I1126" s="108">
        <v>1520</v>
      </c>
      <c r="J1126" s="108">
        <v>61</v>
      </c>
      <c r="K1126" s="108">
        <v>210</v>
      </c>
      <c r="L1126" s="108">
        <v>4707</v>
      </c>
      <c r="M1126" s="108">
        <v>9100</v>
      </c>
      <c r="N1126" s="108">
        <v>13784</v>
      </c>
      <c r="O1126" s="108">
        <v>1248</v>
      </c>
      <c r="P1126" s="108">
        <v>14501</v>
      </c>
      <c r="Q1126" s="108">
        <v>581</v>
      </c>
      <c r="R1126" s="16">
        <f t="shared" si="74"/>
        <v>32992</v>
      </c>
    </row>
    <row r="1127" spans="1:18" ht="15.6" x14ac:dyDescent="0.3">
      <c r="A1127" s="107">
        <v>40444</v>
      </c>
      <c r="B1127" s="108">
        <v>3734</v>
      </c>
      <c r="C1127" s="108">
        <v>4408</v>
      </c>
      <c r="D1127" s="108">
        <v>609</v>
      </c>
      <c r="E1127" s="108">
        <v>589</v>
      </c>
      <c r="F1127" s="108">
        <v>2119</v>
      </c>
      <c r="G1127" s="108">
        <v>2331</v>
      </c>
      <c r="H1127" s="108">
        <v>1216</v>
      </c>
      <c r="I1127" s="108">
        <v>1519</v>
      </c>
      <c r="J1127" s="108">
        <v>238</v>
      </c>
      <c r="K1127" s="108">
        <v>331</v>
      </c>
      <c r="L1127" s="108">
        <v>7916</v>
      </c>
      <c r="M1127" s="108">
        <v>9178</v>
      </c>
      <c r="N1127" s="108">
        <v>14142</v>
      </c>
      <c r="O1127" s="108">
        <v>3319</v>
      </c>
      <c r="P1127" s="108">
        <v>20155</v>
      </c>
      <c r="Q1127" s="108">
        <v>1121</v>
      </c>
      <c r="R1127" s="16">
        <f t="shared" ref="R1127:R1133" si="75">P1127+N1127+L1127</f>
        <v>42213</v>
      </c>
    </row>
    <row r="1128" spans="1:18" ht="15.6" x14ac:dyDescent="0.3">
      <c r="A1128" s="107">
        <v>40808</v>
      </c>
      <c r="B1128" s="108">
        <v>1503</v>
      </c>
      <c r="C1128" s="106">
        <v>4088</v>
      </c>
      <c r="D1128" s="108">
        <v>674</v>
      </c>
      <c r="E1128" s="108">
        <v>1326</v>
      </c>
      <c r="F1128" s="108">
        <v>1367</v>
      </c>
      <c r="G1128" s="108">
        <v>2392</v>
      </c>
      <c r="H1128" s="108">
        <v>988</v>
      </c>
      <c r="I1128" s="108">
        <v>1595</v>
      </c>
      <c r="J1128" s="108">
        <v>84</v>
      </c>
      <c r="K1128" s="108">
        <v>221</v>
      </c>
      <c r="L1128" s="108">
        <v>4615</v>
      </c>
      <c r="M1128" s="108">
        <v>9622</v>
      </c>
      <c r="N1128" s="108">
        <v>13748</v>
      </c>
      <c r="O1128" s="108">
        <v>2071</v>
      </c>
      <c r="P1128" s="108">
        <v>15213</v>
      </c>
      <c r="Q1128" s="108">
        <v>903</v>
      </c>
      <c r="R1128" s="16">
        <f t="shared" si="75"/>
        <v>33576</v>
      </c>
    </row>
    <row r="1129" spans="1:18" ht="15.6" x14ac:dyDescent="0.3">
      <c r="A1129" s="107">
        <v>40451</v>
      </c>
      <c r="B1129" s="108">
        <v>3600</v>
      </c>
      <c r="C1129" s="108">
        <v>4778</v>
      </c>
      <c r="D1129" s="108">
        <v>560</v>
      </c>
      <c r="E1129" s="108">
        <v>676</v>
      </c>
      <c r="F1129" s="108">
        <v>2245</v>
      </c>
      <c r="G1129" s="108">
        <v>2567</v>
      </c>
      <c r="H1129" s="108">
        <v>1228</v>
      </c>
      <c r="I1129" s="108">
        <v>1657</v>
      </c>
      <c r="J1129" s="108">
        <v>213</v>
      </c>
      <c r="K1129" s="108">
        <v>373</v>
      </c>
      <c r="L1129" s="108">
        <v>7846</v>
      </c>
      <c r="M1129" s="108">
        <v>10051</v>
      </c>
      <c r="N1129" s="108">
        <v>13770</v>
      </c>
      <c r="O1129" s="108">
        <v>4297</v>
      </c>
      <c r="P1129" s="108">
        <v>20449</v>
      </c>
      <c r="Q1129" s="108">
        <v>1776</v>
      </c>
      <c r="R1129" s="16">
        <f t="shared" si="75"/>
        <v>42065</v>
      </c>
    </row>
    <row r="1130" spans="1:18" ht="15.6" x14ac:dyDescent="0.3">
      <c r="A1130" s="107">
        <v>40815</v>
      </c>
      <c r="B1130" s="108">
        <v>1417</v>
      </c>
      <c r="C1130" s="106">
        <v>4370</v>
      </c>
      <c r="D1130" s="108">
        <v>746</v>
      </c>
      <c r="E1130" s="108">
        <v>1376</v>
      </c>
      <c r="F1130" s="108">
        <v>1280</v>
      </c>
      <c r="G1130" s="108">
        <v>2507</v>
      </c>
      <c r="H1130" s="108">
        <v>918</v>
      </c>
      <c r="I1130" s="108">
        <v>1749</v>
      </c>
      <c r="J1130" s="108">
        <v>84</v>
      </c>
      <c r="K1130" s="108">
        <v>221</v>
      </c>
      <c r="L1130" s="108">
        <v>4445</v>
      </c>
      <c r="M1130" s="108">
        <v>10223</v>
      </c>
      <c r="N1130" s="108">
        <v>14282</v>
      </c>
      <c r="O1130" s="108">
        <v>2827</v>
      </c>
      <c r="P1130" s="108">
        <v>15589</v>
      </c>
      <c r="Q1130" s="108">
        <v>1229</v>
      </c>
      <c r="R1130" s="16">
        <f t="shared" si="75"/>
        <v>34316</v>
      </c>
    </row>
    <row r="1131" spans="1:18" ht="15.6" x14ac:dyDescent="0.3">
      <c r="A1131" s="107">
        <v>40458</v>
      </c>
      <c r="B1131" s="108">
        <v>3505</v>
      </c>
      <c r="C1131" s="106">
        <v>5048</v>
      </c>
      <c r="D1131" s="106">
        <v>488</v>
      </c>
      <c r="E1131" s="106">
        <v>714</v>
      </c>
      <c r="F1131" s="106">
        <v>2110</v>
      </c>
      <c r="G1131" s="106">
        <v>2798</v>
      </c>
      <c r="H1131" s="106">
        <v>1254</v>
      </c>
      <c r="I1131" s="106">
        <v>1764</v>
      </c>
      <c r="J1131" s="106">
        <v>197</v>
      </c>
      <c r="K1131" s="106">
        <v>395</v>
      </c>
      <c r="L1131" s="106">
        <v>7554</v>
      </c>
      <c r="M1131" s="106">
        <v>10720</v>
      </c>
      <c r="N1131" s="106">
        <v>13868</v>
      </c>
      <c r="O1131" s="106">
        <v>5105</v>
      </c>
      <c r="P1131" s="108">
        <v>20368</v>
      </c>
      <c r="Q1131" s="106">
        <v>2934</v>
      </c>
      <c r="R1131" s="16">
        <f t="shared" si="75"/>
        <v>41790</v>
      </c>
    </row>
    <row r="1132" spans="1:18" ht="15.6" x14ac:dyDescent="0.3">
      <c r="A1132" s="107">
        <v>40822</v>
      </c>
      <c r="B1132" s="108">
        <v>1459</v>
      </c>
      <c r="C1132" s="108">
        <v>4494</v>
      </c>
      <c r="D1132" s="108">
        <v>737</v>
      </c>
      <c r="E1132" s="108">
        <v>1394</v>
      </c>
      <c r="F1132" s="108">
        <v>1282</v>
      </c>
      <c r="G1132" s="108">
        <v>2628</v>
      </c>
      <c r="H1132" s="108">
        <v>1000</v>
      </c>
      <c r="I1132" s="108">
        <v>1842</v>
      </c>
      <c r="J1132" s="108">
        <v>85</v>
      </c>
      <c r="K1132" s="108">
        <v>229</v>
      </c>
      <c r="L1132" s="108">
        <v>4563</v>
      </c>
      <c r="M1132" s="108">
        <v>10588</v>
      </c>
      <c r="N1132" s="108">
        <v>14630</v>
      </c>
      <c r="O1132" s="108">
        <v>3738</v>
      </c>
      <c r="P1132" s="108">
        <v>15658</v>
      </c>
      <c r="Q1132" s="108">
        <v>1832</v>
      </c>
      <c r="R1132" s="16">
        <f t="shared" si="75"/>
        <v>34851</v>
      </c>
    </row>
    <row r="1133" spans="1:18" ht="15.6" x14ac:dyDescent="0.3">
      <c r="A1133" s="107">
        <v>40458</v>
      </c>
      <c r="B1133" s="108">
        <v>3531</v>
      </c>
      <c r="C1133" s="106">
        <v>5354</v>
      </c>
      <c r="D1133" s="106">
        <v>546</v>
      </c>
      <c r="E1133" s="106">
        <v>734</v>
      </c>
      <c r="F1133" s="106">
        <v>2029</v>
      </c>
      <c r="G1133" s="106">
        <v>3004</v>
      </c>
      <c r="H1133" s="106">
        <v>1220</v>
      </c>
      <c r="I1133" s="106">
        <v>1820</v>
      </c>
      <c r="J1133" s="106">
        <v>211</v>
      </c>
      <c r="K1133" s="106">
        <v>401</v>
      </c>
      <c r="L1133" s="106">
        <v>7536</v>
      </c>
      <c r="M1133" s="106">
        <v>11312</v>
      </c>
      <c r="N1133" s="106">
        <v>13247</v>
      </c>
      <c r="O1133" s="106">
        <v>5920</v>
      </c>
      <c r="P1133" s="108">
        <v>20760</v>
      </c>
      <c r="Q1133" s="106">
        <v>4559</v>
      </c>
      <c r="R1133" s="16">
        <f t="shared" si="75"/>
        <v>41543</v>
      </c>
    </row>
    <row r="1134" spans="1:18" ht="15.6" x14ac:dyDescent="0.3">
      <c r="A1134" s="107">
        <v>40829</v>
      </c>
      <c r="B1134" s="108">
        <v>1426</v>
      </c>
      <c r="C1134" s="106">
        <v>5354</v>
      </c>
      <c r="D1134" s="108">
        <v>769</v>
      </c>
      <c r="E1134" s="108">
        <v>1407</v>
      </c>
      <c r="F1134" s="108">
        <v>1302</v>
      </c>
      <c r="G1134" s="108">
        <v>2753</v>
      </c>
      <c r="H1134" s="108">
        <v>1002</v>
      </c>
      <c r="I1134" s="108">
        <v>1890</v>
      </c>
      <c r="J1134" s="108">
        <v>78</v>
      </c>
      <c r="K1134" s="108">
        <v>237</v>
      </c>
      <c r="L1134" s="108">
        <v>4577</v>
      </c>
      <c r="M1134" s="108">
        <v>10974</v>
      </c>
      <c r="N1134" s="108">
        <v>15829</v>
      </c>
      <c r="O1134" s="108">
        <v>4302</v>
      </c>
      <c r="P1134" s="108">
        <v>15084</v>
      </c>
      <c r="Q1134" s="108">
        <v>3000</v>
      </c>
      <c r="R1134" s="16">
        <f t="shared" ref="R1134:R1141" si="76">P1134+N1134+L1134</f>
        <v>35490</v>
      </c>
    </row>
    <row r="1135" spans="1:18" ht="15.6" x14ac:dyDescent="0.3">
      <c r="A1135" s="107">
        <v>40472</v>
      </c>
      <c r="B1135" s="108">
        <v>3320</v>
      </c>
      <c r="C1135" s="106">
        <v>5354</v>
      </c>
      <c r="D1135" s="106">
        <v>624</v>
      </c>
      <c r="E1135" s="106">
        <v>788</v>
      </c>
      <c r="F1135" s="106">
        <v>2193</v>
      </c>
      <c r="G1135" s="106">
        <v>3155</v>
      </c>
      <c r="H1135" s="106">
        <v>1191</v>
      </c>
      <c r="I1135" s="106">
        <v>1927</v>
      </c>
      <c r="J1135" s="106">
        <v>160</v>
      </c>
      <c r="K1135" s="106">
        <v>465</v>
      </c>
      <c r="L1135" s="106">
        <v>7487</v>
      </c>
      <c r="M1135" s="106">
        <v>11965</v>
      </c>
      <c r="N1135" s="106">
        <v>13217</v>
      </c>
      <c r="O1135" s="106">
        <v>6502</v>
      </c>
      <c r="P1135" s="108">
        <v>20852</v>
      </c>
      <c r="Q1135" s="106">
        <v>6493</v>
      </c>
      <c r="R1135" s="16">
        <f t="shared" si="76"/>
        <v>41556</v>
      </c>
    </row>
    <row r="1136" spans="1:18" ht="15.6" x14ac:dyDescent="0.3">
      <c r="A1136" s="107">
        <v>40836</v>
      </c>
      <c r="B1136" s="108">
        <v>1342</v>
      </c>
      <c r="C1136" s="106">
        <v>5354</v>
      </c>
      <c r="D1136" s="108">
        <v>792</v>
      </c>
      <c r="E1136" s="108">
        <v>1483</v>
      </c>
      <c r="F1136" s="108">
        <v>1258</v>
      </c>
      <c r="G1136" s="108">
        <v>2845</v>
      </c>
      <c r="H1136" s="108">
        <v>1041</v>
      </c>
      <c r="I1136" s="108">
        <v>1963</v>
      </c>
      <c r="J1136" s="108">
        <v>78</v>
      </c>
      <c r="K1136" s="108">
        <v>237</v>
      </c>
      <c r="L1136" s="108">
        <v>4511</v>
      </c>
      <c r="M1136" s="108">
        <v>11357</v>
      </c>
      <c r="N1136" s="108">
        <v>15488</v>
      </c>
      <c r="O1136" s="108">
        <v>4979</v>
      </c>
      <c r="P1136" s="108">
        <v>14171</v>
      </c>
      <c r="Q1136" s="108">
        <v>4141</v>
      </c>
      <c r="R1136" s="16">
        <f t="shared" si="76"/>
        <v>34170</v>
      </c>
    </row>
    <row r="1137" spans="1:18" ht="15.6" x14ac:dyDescent="0.3">
      <c r="A1137" s="107">
        <v>40479</v>
      </c>
      <c r="B1137" s="108">
        <v>3365</v>
      </c>
      <c r="C1137" s="106">
        <v>5354</v>
      </c>
      <c r="D1137" s="106">
        <v>553</v>
      </c>
      <c r="E1137" s="106">
        <v>868</v>
      </c>
      <c r="F1137" s="106">
        <v>2326</v>
      </c>
      <c r="G1137" s="106">
        <v>3230</v>
      </c>
      <c r="H1137" s="106">
        <v>1185</v>
      </c>
      <c r="I1137" s="106">
        <v>1993</v>
      </c>
      <c r="J1137" s="106">
        <v>194</v>
      </c>
      <c r="K1137" s="106">
        <v>469</v>
      </c>
      <c r="L1137" s="106">
        <v>7623</v>
      </c>
      <c r="M1137" s="106">
        <v>12394</v>
      </c>
      <c r="N1137" s="106">
        <v>12798</v>
      </c>
      <c r="O1137" s="106">
        <v>7382</v>
      </c>
      <c r="P1137" s="108">
        <v>20473</v>
      </c>
      <c r="Q1137" s="106">
        <v>8459</v>
      </c>
      <c r="R1137" s="16">
        <f t="shared" si="76"/>
        <v>40894</v>
      </c>
    </row>
    <row r="1138" spans="1:18" ht="15.6" x14ac:dyDescent="0.3">
      <c r="A1138" s="107">
        <v>296512</v>
      </c>
      <c r="B1138" s="108">
        <v>1322</v>
      </c>
      <c r="C1138" s="106">
        <v>5354</v>
      </c>
      <c r="D1138" s="108">
        <v>738</v>
      </c>
      <c r="E1138" s="108">
        <v>1554</v>
      </c>
      <c r="F1138" s="108">
        <v>1162</v>
      </c>
      <c r="G1138" s="108">
        <v>3072</v>
      </c>
      <c r="H1138" s="108">
        <v>926</v>
      </c>
      <c r="I1138" s="108">
        <v>2110</v>
      </c>
      <c r="J1138" s="108">
        <v>58</v>
      </c>
      <c r="K1138" s="108">
        <v>257</v>
      </c>
      <c r="L1138" s="108">
        <v>4206</v>
      </c>
      <c r="M1138" s="108">
        <v>11982</v>
      </c>
      <c r="N1138" s="108">
        <v>15364</v>
      </c>
      <c r="O1138" s="108">
        <v>5726</v>
      </c>
      <c r="P1138" s="108">
        <v>13181</v>
      </c>
      <c r="Q1138" s="108">
        <v>5341</v>
      </c>
      <c r="R1138" s="16">
        <f t="shared" si="76"/>
        <v>32751</v>
      </c>
    </row>
    <row r="1139" spans="1:18" ht="15.6" x14ac:dyDescent="0.3">
      <c r="A1139" s="107">
        <v>40486</v>
      </c>
      <c r="B1139" s="108">
        <v>3546</v>
      </c>
      <c r="C1139" s="106">
        <v>5354</v>
      </c>
      <c r="D1139" s="106">
        <v>560</v>
      </c>
      <c r="E1139" s="106">
        <v>870</v>
      </c>
      <c r="F1139" s="106">
        <v>2509</v>
      </c>
      <c r="G1139" s="106">
        <v>3414</v>
      </c>
      <c r="H1139" s="106">
        <v>1169</v>
      </c>
      <c r="I1139" s="106">
        <v>2112</v>
      </c>
      <c r="J1139" s="106">
        <v>156</v>
      </c>
      <c r="K1139" s="106">
        <v>511</v>
      </c>
      <c r="L1139" s="106">
        <v>7939</v>
      </c>
      <c r="M1139" s="106">
        <v>12911</v>
      </c>
      <c r="N1139" s="106">
        <v>12620</v>
      </c>
      <c r="O1139" s="106">
        <v>8133</v>
      </c>
      <c r="P1139" s="108">
        <v>19603</v>
      </c>
      <c r="Q1139" s="106">
        <v>10137</v>
      </c>
      <c r="R1139" s="16">
        <f t="shared" si="76"/>
        <v>40162</v>
      </c>
    </row>
    <row r="1140" spans="1:18" ht="15.6" x14ac:dyDescent="0.3">
      <c r="A1140" s="107">
        <v>40850</v>
      </c>
      <c r="B1140" s="108">
        <v>1333</v>
      </c>
      <c r="C1140" s="106">
        <v>5354</v>
      </c>
      <c r="D1140" s="108">
        <v>690</v>
      </c>
      <c r="E1140" s="108">
        <v>1647</v>
      </c>
      <c r="F1140" s="108">
        <v>1174</v>
      </c>
      <c r="G1140" s="108">
        <v>3156</v>
      </c>
      <c r="H1140" s="108">
        <v>899</v>
      </c>
      <c r="I1140" s="108">
        <v>2198</v>
      </c>
      <c r="J1140" s="108">
        <v>56</v>
      </c>
      <c r="K1140" s="108">
        <v>271</v>
      </c>
      <c r="L1140" s="108">
        <v>4151</v>
      </c>
      <c r="M1140" s="108">
        <v>12335</v>
      </c>
      <c r="N1140" s="108">
        <v>14991</v>
      </c>
      <c r="O1140" s="108">
        <v>6350</v>
      </c>
      <c r="P1140" s="108">
        <v>12561</v>
      </c>
      <c r="Q1140" s="108">
        <v>6565</v>
      </c>
      <c r="R1140" s="16">
        <f t="shared" si="76"/>
        <v>31703</v>
      </c>
    </row>
    <row r="1141" spans="1:18" ht="15.6" x14ac:dyDescent="0.3">
      <c r="A1141" s="107">
        <v>40493</v>
      </c>
      <c r="B1141" s="108">
        <v>3801</v>
      </c>
      <c r="C1141" s="106">
        <v>6236</v>
      </c>
      <c r="D1141" s="106">
        <v>596</v>
      </c>
      <c r="E1141" s="106">
        <v>913</v>
      </c>
      <c r="F1141" s="106">
        <v>2646</v>
      </c>
      <c r="G1141" s="106">
        <v>3546</v>
      </c>
      <c r="H1141" s="106">
        <v>1246</v>
      </c>
      <c r="I1141" s="106">
        <v>2143</v>
      </c>
      <c r="J1141" s="106">
        <v>157</v>
      </c>
      <c r="K1141" s="106">
        <v>512</v>
      </c>
      <c r="L1141" s="106">
        <v>8444</v>
      </c>
      <c r="M1141" s="106">
        <v>13349</v>
      </c>
      <c r="N1141" s="106">
        <v>12375</v>
      </c>
      <c r="O1141" s="106">
        <v>8912</v>
      </c>
      <c r="P1141" s="108">
        <v>18843</v>
      </c>
      <c r="Q1141" s="106">
        <v>11905</v>
      </c>
      <c r="R1141" s="16">
        <f t="shared" si="76"/>
        <v>39662</v>
      </c>
    </row>
    <row r="1142" spans="1:18" ht="15.6" x14ac:dyDescent="0.3">
      <c r="A1142" s="107">
        <v>40857</v>
      </c>
      <c r="B1142" s="108">
        <v>1434</v>
      </c>
      <c r="C1142" s="108">
        <v>5176</v>
      </c>
      <c r="D1142" s="108">
        <v>689</v>
      </c>
      <c r="E1142" s="108">
        <v>1701</v>
      </c>
      <c r="F1142" s="108">
        <v>1103</v>
      </c>
      <c r="G1142" s="108">
        <v>3262</v>
      </c>
      <c r="H1142" s="108">
        <v>877</v>
      </c>
      <c r="I1142" s="108">
        <v>2227</v>
      </c>
      <c r="J1142" s="108">
        <v>64</v>
      </c>
      <c r="K1142" s="108">
        <v>271</v>
      </c>
      <c r="L1142" s="108">
        <v>4167</v>
      </c>
      <c r="M1142" s="108">
        <v>12637</v>
      </c>
      <c r="N1142" s="108">
        <v>14305</v>
      </c>
      <c r="O1142" s="108">
        <v>7245</v>
      </c>
      <c r="P1142" s="108">
        <v>11879</v>
      </c>
      <c r="Q1142" s="108">
        <v>7994</v>
      </c>
      <c r="R1142" s="16">
        <f>P1142+N1142+L1142</f>
        <v>30351</v>
      </c>
    </row>
    <row r="1143" spans="1:18" ht="15.6" x14ac:dyDescent="0.3">
      <c r="A1143" s="107">
        <v>40500</v>
      </c>
      <c r="B1143" s="108">
        <v>3660</v>
      </c>
      <c r="C1143" s="106">
        <v>6562</v>
      </c>
      <c r="D1143" s="106">
        <v>694</v>
      </c>
      <c r="E1143" s="106">
        <v>934</v>
      </c>
      <c r="F1143" s="106">
        <v>2772</v>
      </c>
      <c r="G1143" s="106">
        <v>3654</v>
      </c>
      <c r="H1143" s="106">
        <v>1344</v>
      </c>
      <c r="I1143" s="106">
        <v>2198</v>
      </c>
      <c r="J1143" s="106">
        <v>195</v>
      </c>
      <c r="K1143" s="106">
        <v>526</v>
      </c>
      <c r="L1143" s="106">
        <v>8665</v>
      </c>
      <c r="M1143" s="106">
        <v>13873</v>
      </c>
      <c r="N1143" s="106">
        <v>12416</v>
      </c>
      <c r="O1143" s="106">
        <v>9695</v>
      </c>
      <c r="P1143" s="108">
        <v>17885</v>
      </c>
      <c r="Q1143" s="106">
        <v>13537</v>
      </c>
      <c r="R1143" s="16">
        <f>P1143+N1143+L1143</f>
        <v>38966</v>
      </c>
    </row>
    <row r="1144" spans="1:18" ht="15.6" x14ac:dyDescent="0.3">
      <c r="A1144" s="107">
        <v>40864</v>
      </c>
      <c r="B1144" s="108">
        <v>1461</v>
      </c>
      <c r="C1144" s="108">
        <v>5302</v>
      </c>
      <c r="D1144" s="108">
        <v>722</v>
      </c>
      <c r="E1144" s="108">
        <v>1744</v>
      </c>
      <c r="F1144" s="108">
        <v>1184</v>
      </c>
      <c r="G1144" s="108">
        <v>3339</v>
      </c>
      <c r="H1144" s="108">
        <v>986</v>
      </c>
      <c r="I1144" s="108">
        <v>2343</v>
      </c>
      <c r="J1144" s="108">
        <v>65</v>
      </c>
      <c r="K1144" s="108">
        <v>271</v>
      </c>
      <c r="L1144" s="108">
        <v>4419</v>
      </c>
      <c r="M1144" s="108">
        <v>12999</v>
      </c>
      <c r="N1144" s="108">
        <v>13643</v>
      </c>
      <c r="O1144" s="108">
        <v>8219</v>
      </c>
      <c r="P1144" s="108">
        <v>11809</v>
      </c>
      <c r="Q1144" s="108">
        <v>8985</v>
      </c>
      <c r="R1144" s="16">
        <f>P1144+N1144+L1144</f>
        <v>29871</v>
      </c>
    </row>
    <row r="1145" spans="1:18" ht="15.6" x14ac:dyDescent="0.3">
      <c r="A1145" s="107">
        <v>40507</v>
      </c>
      <c r="B1145" s="108">
        <v>3650</v>
      </c>
      <c r="C1145" s="106">
        <v>6895</v>
      </c>
      <c r="D1145" s="106">
        <v>780</v>
      </c>
      <c r="E1145" s="106">
        <v>952</v>
      </c>
      <c r="F1145" s="106">
        <v>2808</v>
      </c>
      <c r="G1145" s="106">
        <v>3820</v>
      </c>
      <c r="H1145" s="106">
        <v>1329</v>
      </c>
      <c r="I1145" s="106">
        <v>2239</v>
      </c>
      <c r="J1145" s="106">
        <v>174</v>
      </c>
      <c r="K1145" s="106">
        <v>556</v>
      </c>
      <c r="L1145" s="106">
        <v>8740</v>
      </c>
      <c r="M1145" s="106">
        <v>14461</v>
      </c>
      <c r="N1145" s="106">
        <v>12389</v>
      </c>
      <c r="O1145" s="106">
        <v>10479</v>
      </c>
      <c r="P1145" s="108">
        <v>17599</v>
      </c>
      <c r="Q1145" s="106">
        <v>15165</v>
      </c>
      <c r="R1145" s="16">
        <f t="shared" ref="R1145:R1154" si="77">P1145+N1145+L1145</f>
        <v>38728</v>
      </c>
    </row>
    <row r="1146" spans="1:18" ht="15.6" x14ac:dyDescent="0.3">
      <c r="A1146" s="107">
        <v>40871</v>
      </c>
      <c r="B1146" s="108">
        <v>1370</v>
      </c>
      <c r="C1146" s="108">
        <v>5462</v>
      </c>
      <c r="D1146" s="108">
        <v>740</v>
      </c>
      <c r="E1146" s="108">
        <v>1798</v>
      </c>
      <c r="F1146" s="108">
        <v>1310</v>
      </c>
      <c r="G1146" s="108">
        <v>3376</v>
      </c>
      <c r="H1146" s="108">
        <v>1143</v>
      </c>
      <c r="I1146" s="108">
        <v>2371</v>
      </c>
      <c r="J1146" s="108">
        <v>55</v>
      </c>
      <c r="K1146" s="108">
        <v>294</v>
      </c>
      <c r="L1146" s="108">
        <v>4620</v>
      </c>
      <c r="M1146" s="108">
        <v>13301</v>
      </c>
      <c r="N1146" s="108">
        <v>13114</v>
      </c>
      <c r="O1146" s="108">
        <v>9029</v>
      </c>
      <c r="P1146" s="108">
        <v>11081</v>
      </c>
      <c r="Q1146" s="108">
        <v>10202</v>
      </c>
      <c r="R1146" s="16">
        <f t="shared" si="77"/>
        <v>28815</v>
      </c>
    </row>
    <row r="1147" spans="1:18" ht="15.6" x14ac:dyDescent="0.3">
      <c r="A1147" s="107">
        <v>40514</v>
      </c>
      <c r="B1147" s="108">
        <v>3613</v>
      </c>
      <c r="C1147" s="106">
        <v>7150</v>
      </c>
      <c r="D1147" s="106">
        <v>802</v>
      </c>
      <c r="E1147" s="106">
        <v>998</v>
      </c>
      <c r="F1147" s="106">
        <v>2750</v>
      </c>
      <c r="G1147" s="106">
        <v>4057</v>
      </c>
      <c r="H1147" s="106">
        <v>1273</v>
      </c>
      <c r="I1147" s="106">
        <v>2358</v>
      </c>
      <c r="J1147" s="106">
        <v>163</v>
      </c>
      <c r="K1147" s="106">
        <v>568</v>
      </c>
      <c r="L1147" s="106">
        <v>8601</v>
      </c>
      <c r="M1147" s="106">
        <v>15131</v>
      </c>
      <c r="N1147" s="106">
        <v>12365</v>
      </c>
      <c r="O1147" s="106">
        <v>11174</v>
      </c>
      <c r="P1147" s="108">
        <v>16659</v>
      </c>
      <c r="Q1147" s="106">
        <v>16659</v>
      </c>
      <c r="R1147" s="16">
        <f t="shared" si="77"/>
        <v>37625</v>
      </c>
    </row>
    <row r="1148" spans="1:18" ht="15.6" x14ac:dyDescent="0.3">
      <c r="A1148" s="107">
        <v>40878</v>
      </c>
      <c r="B1148" s="108">
        <v>1411</v>
      </c>
      <c r="C1148" s="108">
        <v>5563</v>
      </c>
      <c r="D1148" s="108">
        <v>685</v>
      </c>
      <c r="E1148" s="108">
        <v>1888</v>
      </c>
      <c r="F1148" s="108">
        <v>1251</v>
      </c>
      <c r="G1148" s="108">
        <v>3544</v>
      </c>
      <c r="H1148" s="108">
        <v>1205</v>
      </c>
      <c r="I1148" s="108">
        <v>2443</v>
      </c>
      <c r="J1148" s="108">
        <v>64</v>
      </c>
      <c r="K1148" s="108">
        <v>294</v>
      </c>
      <c r="L1148" s="108">
        <v>4616</v>
      </c>
      <c r="M1148" s="108">
        <v>13732</v>
      </c>
      <c r="N1148" s="108">
        <v>12773</v>
      </c>
      <c r="O1148" s="108">
        <v>10066</v>
      </c>
      <c r="P1148" s="108">
        <v>11005</v>
      </c>
      <c r="Q1148" s="108">
        <v>11049</v>
      </c>
      <c r="R1148" s="16">
        <f t="shared" si="77"/>
        <v>28394</v>
      </c>
    </row>
    <row r="1149" spans="1:18" ht="15.6" x14ac:dyDescent="0.3">
      <c r="A1149" s="107">
        <v>40521</v>
      </c>
      <c r="B1149" s="108">
        <v>4012</v>
      </c>
      <c r="C1149" s="106">
        <v>7257</v>
      </c>
      <c r="D1149" s="106">
        <v>810</v>
      </c>
      <c r="E1149" s="106">
        <v>1037</v>
      </c>
      <c r="F1149" s="106">
        <v>2737</v>
      </c>
      <c r="G1149" s="106">
        <v>4273</v>
      </c>
      <c r="H1149" s="106">
        <v>1273</v>
      </c>
      <c r="I1149" s="106">
        <v>2479</v>
      </c>
      <c r="J1149" s="106">
        <v>164</v>
      </c>
      <c r="K1149" s="106">
        <v>590</v>
      </c>
      <c r="L1149" s="106">
        <v>8996</v>
      </c>
      <c r="M1149" s="106">
        <v>15635</v>
      </c>
      <c r="N1149" s="106">
        <v>12365</v>
      </c>
      <c r="O1149" s="106">
        <v>11985</v>
      </c>
      <c r="P1149" s="108">
        <v>15478</v>
      </c>
      <c r="Q1149" s="106">
        <v>18008</v>
      </c>
      <c r="R1149" s="16">
        <f t="shared" si="77"/>
        <v>36839</v>
      </c>
    </row>
    <row r="1150" spans="1:18" ht="15.6" x14ac:dyDescent="0.3">
      <c r="A1150" s="107">
        <v>40885</v>
      </c>
      <c r="B1150" s="108">
        <v>1311</v>
      </c>
      <c r="C1150" s="108">
        <v>5769</v>
      </c>
      <c r="D1150" s="108">
        <v>700</v>
      </c>
      <c r="E1150" s="108">
        <v>1896</v>
      </c>
      <c r="F1150" s="108">
        <v>1116</v>
      </c>
      <c r="G1150" s="108">
        <v>3785</v>
      </c>
      <c r="H1150" s="108">
        <v>1190</v>
      </c>
      <c r="I1150" s="108">
        <v>2528</v>
      </c>
      <c r="J1150" s="108">
        <v>79</v>
      </c>
      <c r="K1150" s="108">
        <v>294</v>
      </c>
      <c r="L1150" s="108">
        <v>4396</v>
      </c>
      <c r="M1150" s="108">
        <v>14271</v>
      </c>
      <c r="N1150" s="108">
        <v>12390</v>
      </c>
      <c r="O1150" s="108">
        <v>10948</v>
      </c>
      <c r="P1150" s="108">
        <v>10465</v>
      </c>
      <c r="Q1150" s="108">
        <v>12057</v>
      </c>
      <c r="R1150" s="16">
        <f t="shared" si="77"/>
        <v>27251</v>
      </c>
    </row>
    <row r="1151" spans="1:18" ht="15.6" x14ac:dyDescent="0.3">
      <c r="A1151" s="169">
        <v>40528</v>
      </c>
      <c r="B1151" s="72">
        <v>4040</v>
      </c>
      <c r="C1151" s="72">
        <v>7541.3</v>
      </c>
      <c r="D1151" s="72">
        <v>832</v>
      </c>
      <c r="E1151" s="72">
        <v>1103.0999999999999</v>
      </c>
      <c r="F1151" s="72">
        <v>2611.9</v>
      </c>
      <c r="G1151" s="72">
        <v>4450.8</v>
      </c>
      <c r="H1151" s="72">
        <v>1287.2</v>
      </c>
      <c r="I1151" s="72">
        <v>2541.1</v>
      </c>
      <c r="J1151" s="72">
        <v>101.9</v>
      </c>
      <c r="K1151" s="72">
        <v>650.9</v>
      </c>
      <c r="L1151" s="72">
        <v>8873</v>
      </c>
      <c r="M1151" s="72">
        <v>16287.3</v>
      </c>
      <c r="N1151" s="72">
        <v>12442.6</v>
      </c>
      <c r="O1151" s="72">
        <v>12816.5</v>
      </c>
      <c r="P1151" s="72">
        <v>14873.4</v>
      </c>
      <c r="Q1151" s="72">
        <v>19375.8</v>
      </c>
      <c r="R1151" s="16">
        <f t="shared" si="77"/>
        <v>36189</v>
      </c>
    </row>
    <row r="1152" spans="1:18" ht="15.6" x14ac:dyDescent="0.3">
      <c r="A1152" s="169">
        <v>40892</v>
      </c>
      <c r="B1152" s="72">
        <v>1339.3</v>
      </c>
      <c r="C1152" s="72">
        <v>5873.8</v>
      </c>
      <c r="D1152" s="72">
        <v>709</v>
      </c>
      <c r="E1152" s="72">
        <v>1919.7</v>
      </c>
      <c r="F1152" s="72">
        <v>1188</v>
      </c>
      <c r="G1152" s="72">
        <v>3838.6</v>
      </c>
      <c r="H1152" s="72">
        <v>1071.2</v>
      </c>
      <c r="I1152" s="72">
        <v>2715.4</v>
      </c>
      <c r="J1152" s="72">
        <v>50.3</v>
      </c>
      <c r="K1152" s="72">
        <v>323.3</v>
      </c>
      <c r="L1152" s="72">
        <v>4357.8</v>
      </c>
      <c r="M1152" s="72">
        <v>14670.8</v>
      </c>
      <c r="N1152" s="72">
        <v>11804.4</v>
      </c>
      <c r="O1152" s="72">
        <v>12248.7</v>
      </c>
      <c r="P1152" s="72">
        <v>10184.299999999999</v>
      </c>
      <c r="Q1152" s="72">
        <v>12991.3</v>
      </c>
      <c r="R1152" s="16">
        <f t="shared" si="77"/>
        <v>26346.499999999996</v>
      </c>
    </row>
    <row r="1153" spans="1:18" ht="15.6" x14ac:dyDescent="0.3">
      <c r="A1153" s="107">
        <v>40535</v>
      </c>
      <c r="B1153" s="108">
        <v>4048</v>
      </c>
      <c r="C1153" s="106">
        <v>7712</v>
      </c>
      <c r="D1153" s="106">
        <v>836</v>
      </c>
      <c r="E1153" s="106">
        <v>1144</v>
      </c>
      <c r="F1153" s="106">
        <v>2521</v>
      </c>
      <c r="G1153" s="106">
        <v>4628</v>
      </c>
      <c r="H1153" s="106">
        <v>1238</v>
      </c>
      <c r="I1153" s="106">
        <v>2674</v>
      </c>
      <c r="J1153" s="106">
        <v>114</v>
      </c>
      <c r="K1153" s="106">
        <v>672</v>
      </c>
      <c r="L1153" s="106">
        <v>8758</v>
      </c>
      <c r="M1153" s="106">
        <v>16829</v>
      </c>
      <c r="N1153" s="106">
        <v>12059</v>
      </c>
      <c r="O1153" s="106">
        <v>13896</v>
      </c>
      <c r="P1153" s="108">
        <v>14623</v>
      </c>
      <c r="Q1153" s="106">
        <v>20289</v>
      </c>
      <c r="R1153" s="16">
        <f t="shared" si="77"/>
        <v>35440</v>
      </c>
    </row>
    <row r="1154" spans="1:18" ht="15.6" x14ac:dyDescent="0.3">
      <c r="A1154" s="107">
        <v>40899</v>
      </c>
      <c r="B1154" s="108">
        <v>1368</v>
      </c>
      <c r="C1154" s="108">
        <v>6070</v>
      </c>
      <c r="D1154" s="108">
        <v>688</v>
      </c>
      <c r="E1154" s="108">
        <v>1958</v>
      </c>
      <c r="F1154" s="108">
        <v>1182</v>
      </c>
      <c r="G1154" s="108">
        <v>3930</v>
      </c>
      <c r="H1154" s="108">
        <v>1082</v>
      </c>
      <c r="I1154" s="108">
        <v>2780</v>
      </c>
      <c r="J1154" s="108">
        <v>55</v>
      </c>
      <c r="K1154" s="108">
        <v>347</v>
      </c>
      <c r="L1154" s="108">
        <v>4375</v>
      </c>
      <c r="M1154" s="108">
        <v>15084</v>
      </c>
      <c r="N1154" s="108">
        <v>11178</v>
      </c>
      <c r="O1154" s="108">
        <v>13195</v>
      </c>
      <c r="P1154" s="108">
        <v>9779</v>
      </c>
      <c r="Q1154" s="108">
        <v>14060</v>
      </c>
      <c r="R1154" s="16">
        <f t="shared" si="77"/>
        <v>25332</v>
      </c>
    </row>
    <row r="1155" spans="1:18" ht="15.6" x14ac:dyDescent="0.3">
      <c r="A1155" s="107">
        <v>40542</v>
      </c>
      <c r="B1155" s="108">
        <v>3971</v>
      </c>
      <c r="C1155" s="106">
        <v>8025</v>
      </c>
      <c r="D1155" s="106">
        <v>814</v>
      </c>
      <c r="E1155" s="106">
        <v>1171</v>
      </c>
      <c r="F1155" s="106">
        <v>2611</v>
      </c>
      <c r="G1155" s="106">
        <v>4696</v>
      </c>
      <c r="H1155" s="106">
        <v>1277</v>
      </c>
      <c r="I1155" s="106">
        <v>2701</v>
      </c>
      <c r="J1155" s="106">
        <v>114</v>
      </c>
      <c r="K1155" s="106">
        <v>672</v>
      </c>
      <c r="L1155" s="106">
        <v>8786</v>
      </c>
      <c r="M1155" s="106">
        <v>17265</v>
      </c>
      <c r="N1155" s="106">
        <v>11814</v>
      </c>
      <c r="O1155" s="106">
        <v>14510</v>
      </c>
      <c r="P1155" s="108">
        <v>14129</v>
      </c>
      <c r="Q1155" s="106">
        <v>21272</v>
      </c>
      <c r="R1155" s="16">
        <f t="shared" ref="R1155:R1163" si="78">P1155+N1155+L1155</f>
        <v>34729</v>
      </c>
    </row>
    <row r="1156" spans="1:18" ht="15.6" x14ac:dyDescent="0.3">
      <c r="A1156" s="107">
        <v>40906</v>
      </c>
      <c r="B1156" s="108">
        <v>1298</v>
      </c>
      <c r="C1156" s="108">
        <v>6211</v>
      </c>
      <c r="D1156" s="108">
        <v>590</v>
      </c>
      <c r="E1156" s="108">
        <v>2028</v>
      </c>
      <c r="F1156" s="108">
        <v>1144</v>
      </c>
      <c r="G1156" s="108">
        <v>3997</v>
      </c>
      <c r="H1156" s="108">
        <v>1001</v>
      </c>
      <c r="I1156" s="108">
        <v>2917</v>
      </c>
      <c r="J1156" s="108">
        <v>55</v>
      </c>
      <c r="K1156" s="108">
        <v>358</v>
      </c>
      <c r="L1156" s="108">
        <v>4088</v>
      </c>
      <c r="M1156" s="108">
        <v>15510</v>
      </c>
      <c r="N1156" s="108">
        <v>10900</v>
      </c>
      <c r="O1156" s="108">
        <v>13771</v>
      </c>
      <c r="P1156" s="108">
        <v>9032</v>
      </c>
      <c r="Q1156" s="108">
        <v>15088</v>
      </c>
      <c r="R1156" s="79">
        <f t="shared" si="78"/>
        <v>24020</v>
      </c>
    </row>
    <row r="1157" spans="1:18" ht="15.6" x14ac:dyDescent="0.3">
      <c r="A1157" s="107">
        <v>40549</v>
      </c>
      <c r="B1157" s="108">
        <v>3675</v>
      </c>
      <c r="C1157" s="106">
        <v>8369</v>
      </c>
      <c r="D1157" s="106">
        <v>810</v>
      </c>
      <c r="E1157" s="106">
        <v>1234</v>
      </c>
      <c r="F1157" s="106">
        <v>2537</v>
      </c>
      <c r="G1157" s="106">
        <v>4815</v>
      </c>
      <c r="H1157" s="106">
        <v>1197</v>
      </c>
      <c r="I1157" s="106">
        <v>2788</v>
      </c>
      <c r="J1157" s="106">
        <v>101</v>
      </c>
      <c r="K1157" s="106">
        <v>672</v>
      </c>
      <c r="L1157" s="106">
        <v>8320</v>
      </c>
      <c r="M1157" s="106">
        <v>17879</v>
      </c>
      <c r="N1157" s="106">
        <v>11738</v>
      </c>
      <c r="O1157" s="106">
        <v>15026</v>
      </c>
      <c r="P1157" s="108">
        <v>13674</v>
      </c>
      <c r="Q1157" s="106">
        <v>22147</v>
      </c>
      <c r="R1157" s="16">
        <f t="shared" si="78"/>
        <v>33732</v>
      </c>
    </row>
    <row r="1158" spans="1:18" ht="15.6" x14ac:dyDescent="0.3">
      <c r="A1158" s="107">
        <v>40913</v>
      </c>
      <c r="B1158" s="108">
        <v>1300</v>
      </c>
      <c r="C1158" s="108">
        <v>6274</v>
      </c>
      <c r="D1158" s="108">
        <v>583</v>
      </c>
      <c r="E1158" s="108">
        <v>2059</v>
      </c>
      <c r="F1158" s="108">
        <v>1187</v>
      </c>
      <c r="G1158" s="108">
        <v>4042</v>
      </c>
      <c r="H1158" s="108">
        <v>1132</v>
      </c>
      <c r="I1158" s="108">
        <v>2965</v>
      </c>
      <c r="J1158" s="108">
        <v>55</v>
      </c>
      <c r="K1158" s="108">
        <v>358</v>
      </c>
      <c r="L1158" s="108">
        <v>4257</v>
      </c>
      <c r="M1158" s="108">
        <v>15698</v>
      </c>
      <c r="N1158" s="108">
        <v>10474</v>
      </c>
      <c r="O1158" s="108">
        <v>14519</v>
      </c>
      <c r="P1158" s="108">
        <v>8679</v>
      </c>
      <c r="Q1158" s="108">
        <v>15874</v>
      </c>
      <c r="R1158" s="79">
        <f t="shared" si="78"/>
        <v>23410</v>
      </c>
    </row>
    <row r="1159" spans="1:18" ht="15.6" x14ac:dyDescent="0.3">
      <c r="A1159" s="107">
        <v>40556</v>
      </c>
      <c r="B1159" s="108">
        <v>3798</v>
      </c>
      <c r="C1159" s="106">
        <v>8711</v>
      </c>
      <c r="D1159" s="106">
        <v>807</v>
      </c>
      <c r="E1159" s="106">
        <v>1286</v>
      </c>
      <c r="F1159" s="106">
        <v>2629</v>
      </c>
      <c r="G1159" s="106">
        <v>5029</v>
      </c>
      <c r="H1159" s="106">
        <v>1321</v>
      </c>
      <c r="I1159" s="106">
        <v>2845</v>
      </c>
      <c r="J1159" s="106">
        <v>121</v>
      </c>
      <c r="K1159" s="106">
        <v>679</v>
      </c>
      <c r="L1159" s="106">
        <v>8676</v>
      </c>
      <c r="M1159" s="106">
        <v>18549</v>
      </c>
      <c r="N1159" s="106">
        <v>12055</v>
      </c>
      <c r="O1159" s="106">
        <v>15613</v>
      </c>
      <c r="P1159" s="108">
        <v>13062</v>
      </c>
      <c r="Q1159" s="106">
        <v>23492</v>
      </c>
      <c r="R1159" s="16">
        <f t="shared" si="78"/>
        <v>33793</v>
      </c>
    </row>
    <row r="1160" spans="1:18" ht="15.6" x14ac:dyDescent="0.3">
      <c r="A1160" s="107">
        <v>40920</v>
      </c>
      <c r="B1160" s="108">
        <v>1341</v>
      </c>
      <c r="C1160" s="108">
        <v>6406</v>
      </c>
      <c r="D1160" s="108">
        <v>597</v>
      </c>
      <c r="E1160" s="108">
        <v>2113</v>
      </c>
      <c r="F1160" s="108">
        <v>1251</v>
      </c>
      <c r="G1160" s="108">
        <v>4105</v>
      </c>
      <c r="H1160" s="108">
        <v>1253</v>
      </c>
      <c r="I1160" s="108">
        <v>3072</v>
      </c>
      <c r="J1160" s="108">
        <v>45</v>
      </c>
      <c r="K1160" s="108">
        <v>360</v>
      </c>
      <c r="L1160" s="108">
        <v>4486</v>
      </c>
      <c r="M1160" s="108">
        <v>16056</v>
      </c>
      <c r="N1160" s="108">
        <v>10480</v>
      </c>
      <c r="O1160" s="108">
        <v>15273</v>
      </c>
      <c r="P1160" s="108">
        <v>8592</v>
      </c>
      <c r="Q1160" s="108">
        <v>16953</v>
      </c>
      <c r="R1160" s="79">
        <f t="shared" si="78"/>
        <v>23558</v>
      </c>
    </row>
    <row r="1161" spans="1:18" ht="15.6" x14ac:dyDescent="0.3">
      <c r="A1161" s="107">
        <v>40563</v>
      </c>
      <c r="B1161" s="108">
        <v>3993</v>
      </c>
      <c r="C1161" s="106">
        <v>9030</v>
      </c>
      <c r="D1161" s="106">
        <v>781</v>
      </c>
      <c r="E1161" s="106">
        <v>1406</v>
      </c>
      <c r="F1161" s="106">
        <v>2682</v>
      </c>
      <c r="G1161" s="106">
        <v>5148</v>
      </c>
      <c r="H1161" s="106">
        <v>1343</v>
      </c>
      <c r="I1161" s="106">
        <v>2934</v>
      </c>
      <c r="J1161" s="106">
        <v>101</v>
      </c>
      <c r="K1161" s="106">
        <v>701</v>
      </c>
      <c r="L1161" s="106">
        <v>8900</v>
      </c>
      <c r="M1161" s="106">
        <v>19219</v>
      </c>
      <c r="N1161" s="106">
        <v>11700</v>
      </c>
      <c r="O1161" s="106">
        <v>16383</v>
      </c>
      <c r="P1161" s="108">
        <v>12565</v>
      </c>
      <c r="Q1161" s="106">
        <v>24769</v>
      </c>
      <c r="R1161" s="79">
        <f t="shared" si="78"/>
        <v>33165</v>
      </c>
    </row>
    <row r="1162" spans="1:18" ht="15.6" x14ac:dyDescent="0.3">
      <c r="A1162" s="107">
        <v>40927</v>
      </c>
      <c r="B1162" s="108">
        <v>1346</v>
      </c>
      <c r="C1162" s="108">
        <v>6545</v>
      </c>
      <c r="D1162" s="108">
        <v>629</v>
      </c>
      <c r="E1162" s="108">
        <v>2176</v>
      </c>
      <c r="F1162" s="108">
        <v>1219</v>
      </c>
      <c r="G1162" s="108">
        <v>4167</v>
      </c>
      <c r="H1162" s="108">
        <v>1443</v>
      </c>
      <c r="I1162" s="108">
        <v>3217</v>
      </c>
      <c r="J1162" s="108">
        <v>30</v>
      </c>
      <c r="K1162" s="108">
        <v>375</v>
      </c>
      <c r="L1162" s="108">
        <v>4667</v>
      </c>
      <c r="M1162" s="108">
        <v>16481</v>
      </c>
      <c r="N1162" s="108">
        <v>10497</v>
      </c>
      <c r="O1162" s="108">
        <v>16214</v>
      </c>
      <c r="P1162" s="108">
        <v>7873</v>
      </c>
      <c r="Q1162" s="108">
        <v>18137</v>
      </c>
      <c r="R1162" s="79">
        <f t="shared" si="78"/>
        <v>23037</v>
      </c>
    </row>
    <row r="1163" spans="1:18" ht="15.6" x14ac:dyDescent="0.3">
      <c r="A1163" s="107">
        <v>40570</v>
      </c>
      <c r="B1163" s="108">
        <v>3915</v>
      </c>
      <c r="C1163" s="106">
        <v>9345</v>
      </c>
      <c r="D1163" s="106">
        <v>844</v>
      </c>
      <c r="E1163" s="106">
        <v>1454</v>
      </c>
      <c r="F1163" s="106">
        <v>2667</v>
      </c>
      <c r="G1163" s="106">
        <v>5273</v>
      </c>
      <c r="H1163" s="106">
        <v>1301</v>
      </c>
      <c r="I1163" s="106">
        <v>3033</v>
      </c>
      <c r="J1163" s="106">
        <v>116</v>
      </c>
      <c r="K1163" s="106">
        <v>706</v>
      </c>
      <c r="L1163" s="106">
        <v>8843</v>
      </c>
      <c r="M1163" s="106">
        <v>19810</v>
      </c>
      <c r="N1163" s="106">
        <v>12005</v>
      </c>
      <c r="O1163" s="106">
        <v>17245</v>
      </c>
      <c r="P1163" s="108">
        <v>12478</v>
      </c>
      <c r="Q1163" s="106">
        <v>25889</v>
      </c>
      <c r="R1163" s="16">
        <f t="shared" si="78"/>
        <v>33326</v>
      </c>
    </row>
    <row r="1164" spans="1:18" ht="15.6" x14ac:dyDescent="0.3">
      <c r="A1164" s="107">
        <v>40934</v>
      </c>
      <c r="B1164" s="108">
        <v>1452</v>
      </c>
      <c r="C1164" s="108">
        <v>6790</v>
      </c>
      <c r="D1164" s="108">
        <v>592</v>
      </c>
      <c r="E1164" s="108">
        <v>2254</v>
      </c>
      <c r="F1164" s="108">
        <v>1199</v>
      </c>
      <c r="G1164" s="108">
        <v>4236</v>
      </c>
      <c r="H1164" s="108">
        <v>1458</v>
      </c>
      <c r="I1164" s="108">
        <v>3280</v>
      </c>
      <c r="J1164" s="108">
        <v>30</v>
      </c>
      <c r="K1164" s="108">
        <v>375</v>
      </c>
      <c r="L1164" s="108">
        <v>4731</v>
      </c>
      <c r="M1164" s="108">
        <v>16935</v>
      </c>
      <c r="N1164" s="108">
        <v>10739</v>
      </c>
      <c r="O1164" s="108">
        <v>16883</v>
      </c>
      <c r="P1164" s="108">
        <v>7012</v>
      </c>
      <c r="Q1164" s="108">
        <v>19307</v>
      </c>
      <c r="R1164" s="79">
        <f t="shared" ref="R1164:R1171" si="79">P1164+N1164+L1164</f>
        <v>22482</v>
      </c>
    </row>
    <row r="1165" spans="1:18" ht="15.6" x14ac:dyDescent="0.3">
      <c r="A1165" s="107">
        <v>40577</v>
      </c>
      <c r="B1165" s="108">
        <v>3620</v>
      </c>
      <c r="C1165" s="106">
        <v>9813</v>
      </c>
      <c r="D1165" s="106">
        <v>789</v>
      </c>
      <c r="E1165" s="106">
        <v>1544</v>
      </c>
      <c r="F1165" s="106">
        <v>2545</v>
      </c>
      <c r="G1165" s="106">
        <v>5472</v>
      </c>
      <c r="H1165" s="106">
        <v>1300</v>
      </c>
      <c r="I1165" s="106">
        <v>3129</v>
      </c>
      <c r="J1165" s="106">
        <v>97</v>
      </c>
      <c r="K1165" s="106">
        <v>735</v>
      </c>
      <c r="L1165" s="106">
        <v>8352</v>
      </c>
      <c r="M1165" s="106">
        <v>20693</v>
      </c>
      <c r="N1165" s="106">
        <v>12443</v>
      </c>
      <c r="O1165" s="106">
        <v>17914</v>
      </c>
      <c r="P1165" s="108">
        <v>11265</v>
      </c>
      <c r="Q1165" s="106">
        <v>27123</v>
      </c>
      <c r="R1165" s="16">
        <f t="shared" si="79"/>
        <v>32060</v>
      </c>
    </row>
    <row r="1166" spans="1:18" ht="15.6" x14ac:dyDescent="0.3">
      <c r="A1166" s="107">
        <v>40941</v>
      </c>
      <c r="B1166" s="108">
        <v>1396</v>
      </c>
      <c r="C1166" s="108">
        <v>6977</v>
      </c>
      <c r="D1166" s="108">
        <v>734</v>
      </c>
      <c r="E1166" s="108">
        <v>2280</v>
      </c>
      <c r="F1166" s="108">
        <v>1120</v>
      </c>
      <c r="G1166" s="108">
        <v>4433</v>
      </c>
      <c r="H1166" s="108">
        <v>1694</v>
      </c>
      <c r="I1166" s="108">
        <v>3331</v>
      </c>
      <c r="J1166" s="108">
        <v>31</v>
      </c>
      <c r="K1166" s="108">
        <v>379</v>
      </c>
      <c r="L1166" s="108">
        <v>4975</v>
      </c>
      <c r="M1166" s="108">
        <v>17399</v>
      </c>
      <c r="N1166" s="108">
        <v>10345</v>
      </c>
      <c r="O1166" s="108">
        <v>17972</v>
      </c>
      <c r="P1166" s="108">
        <v>6592</v>
      </c>
      <c r="Q1166" s="108">
        <v>20330</v>
      </c>
      <c r="R1166" s="79">
        <f t="shared" si="79"/>
        <v>21912</v>
      </c>
    </row>
    <row r="1167" spans="1:18" ht="15.6" x14ac:dyDescent="0.3">
      <c r="A1167" s="107">
        <v>40584</v>
      </c>
      <c r="B1167" s="108">
        <v>3712</v>
      </c>
      <c r="C1167" s="106">
        <v>10151</v>
      </c>
      <c r="D1167" s="106">
        <v>707</v>
      </c>
      <c r="E1167" s="106">
        <v>1602</v>
      </c>
      <c r="F1167" s="106">
        <v>2526</v>
      </c>
      <c r="G1167" s="106">
        <v>5585</v>
      </c>
      <c r="H1167" s="106">
        <v>1312</v>
      </c>
      <c r="I1167" s="106">
        <v>3207</v>
      </c>
      <c r="J1167" s="106">
        <v>107</v>
      </c>
      <c r="K1167" s="106">
        <v>735</v>
      </c>
      <c r="L1167" s="106">
        <v>8365</v>
      </c>
      <c r="M1167" s="106">
        <v>21279</v>
      </c>
      <c r="N1167" s="106">
        <v>12798</v>
      </c>
      <c r="O1167" s="106">
        <v>18590</v>
      </c>
      <c r="P1167" s="108">
        <v>10756</v>
      </c>
      <c r="Q1167" s="106">
        <v>28146</v>
      </c>
      <c r="R1167" s="16">
        <f t="shared" si="79"/>
        <v>31919</v>
      </c>
    </row>
    <row r="1168" spans="1:18" ht="15.6" x14ac:dyDescent="0.3">
      <c r="A1168" s="107">
        <v>40948</v>
      </c>
      <c r="B1168" s="108">
        <v>1323</v>
      </c>
      <c r="C1168" s="108">
        <v>7104</v>
      </c>
      <c r="D1168" s="108">
        <v>749</v>
      </c>
      <c r="E1168" s="108">
        <v>2335</v>
      </c>
      <c r="F1168" s="108">
        <v>1045</v>
      </c>
      <c r="G1168" s="108">
        <v>4564</v>
      </c>
      <c r="H1168" s="108">
        <v>1775</v>
      </c>
      <c r="I1168" s="108">
        <v>3490</v>
      </c>
      <c r="J1168" s="108">
        <v>25</v>
      </c>
      <c r="K1168" s="108">
        <v>386</v>
      </c>
      <c r="L1168" s="108">
        <v>4916</v>
      </c>
      <c r="M1168" s="108">
        <v>17878</v>
      </c>
      <c r="N1168" s="108">
        <v>10664</v>
      </c>
      <c r="O1168" s="108">
        <v>18658</v>
      </c>
      <c r="P1168" s="108">
        <v>6027</v>
      </c>
      <c r="Q1168" s="108">
        <v>21332</v>
      </c>
      <c r="R1168" s="79">
        <f t="shared" si="79"/>
        <v>21607</v>
      </c>
    </row>
    <row r="1169" spans="1:18" ht="15.6" x14ac:dyDescent="0.3">
      <c r="A1169" s="107">
        <v>40591</v>
      </c>
      <c r="B1169" s="108">
        <v>3720</v>
      </c>
      <c r="C1169" s="106">
        <v>10588</v>
      </c>
      <c r="D1169" s="106">
        <v>820</v>
      </c>
      <c r="E1169" s="106">
        <v>1723</v>
      </c>
      <c r="F1169" s="106">
        <v>2618</v>
      </c>
      <c r="G1169" s="106">
        <v>5721</v>
      </c>
      <c r="H1169" s="106">
        <v>1215</v>
      </c>
      <c r="I1169" s="106">
        <v>3373</v>
      </c>
      <c r="J1169" s="106">
        <v>129</v>
      </c>
      <c r="K1169" s="106">
        <v>744</v>
      </c>
      <c r="L1169" s="106">
        <v>8502</v>
      </c>
      <c r="M1169" s="106">
        <v>22150</v>
      </c>
      <c r="N1169" s="106">
        <v>13238</v>
      </c>
      <c r="O1169" s="106">
        <v>19650</v>
      </c>
      <c r="P1169" s="108">
        <v>9719</v>
      </c>
      <c r="Q1169" s="106">
        <v>29318</v>
      </c>
      <c r="R1169" s="16">
        <f t="shared" si="79"/>
        <v>31459</v>
      </c>
    </row>
    <row r="1170" spans="1:18" ht="15.6" x14ac:dyDescent="0.3">
      <c r="A1170" s="107">
        <v>40955</v>
      </c>
      <c r="B1170" s="108">
        <v>1215</v>
      </c>
      <c r="C1170" s="108">
        <v>7310</v>
      </c>
      <c r="D1170" s="108">
        <v>913</v>
      </c>
      <c r="E1170" s="108">
        <v>2390</v>
      </c>
      <c r="F1170" s="108">
        <v>1229</v>
      </c>
      <c r="G1170" s="108">
        <v>4658</v>
      </c>
      <c r="H1170" s="108">
        <v>1708</v>
      </c>
      <c r="I1170" s="108">
        <v>3663</v>
      </c>
      <c r="J1170" s="108">
        <v>22</v>
      </c>
      <c r="K1170" s="108">
        <v>388</v>
      </c>
      <c r="L1170" s="108">
        <v>5087</v>
      </c>
      <c r="M1170" s="108">
        <v>18409</v>
      </c>
      <c r="N1170" s="108">
        <v>10729</v>
      </c>
      <c r="O1170" s="108">
        <v>19435</v>
      </c>
      <c r="P1170" s="108">
        <v>5979</v>
      </c>
      <c r="Q1170" s="108">
        <v>22408</v>
      </c>
      <c r="R1170" s="79">
        <f t="shared" si="79"/>
        <v>21795</v>
      </c>
    </row>
    <row r="1171" spans="1:18" ht="15.6" x14ac:dyDescent="0.3">
      <c r="A1171" s="107">
        <v>40598</v>
      </c>
      <c r="B1171" s="108">
        <v>3830</v>
      </c>
      <c r="C1171" s="106">
        <v>10845</v>
      </c>
      <c r="D1171" s="106">
        <v>910</v>
      </c>
      <c r="E1171" s="106">
        <v>1754</v>
      </c>
      <c r="F1171" s="106">
        <v>2447</v>
      </c>
      <c r="G1171" s="106">
        <v>5935</v>
      </c>
      <c r="H1171" s="106">
        <v>1206</v>
      </c>
      <c r="I1171" s="106">
        <v>3414</v>
      </c>
      <c r="J1171" s="106">
        <v>129</v>
      </c>
      <c r="K1171" s="106">
        <v>744</v>
      </c>
      <c r="L1171" s="106">
        <v>8521</v>
      </c>
      <c r="M1171" s="106">
        <v>22692</v>
      </c>
      <c r="N1171" s="106">
        <v>13519</v>
      </c>
      <c r="O1171" s="106">
        <v>20451</v>
      </c>
      <c r="P1171" s="108">
        <v>8387</v>
      </c>
      <c r="Q1171" s="106">
        <v>31012</v>
      </c>
      <c r="R1171" s="16">
        <f t="shared" si="79"/>
        <v>30427</v>
      </c>
    </row>
    <row r="1172" spans="1:18" ht="15.6" x14ac:dyDescent="0.3">
      <c r="A1172" s="107">
        <v>40962</v>
      </c>
      <c r="B1172" s="108">
        <v>1272</v>
      </c>
      <c r="C1172" s="108">
        <v>7355</v>
      </c>
      <c r="D1172" s="108">
        <v>951</v>
      </c>
      <c r="E1172" s="108">
        <v>2422</v>
      </c>
      <c r="F1172" s="108">
        <v>1238</v>
      </c>
      <c r="G1172" s="108">
        <v>4730</v>
      </c>
      <c r="H1172" s="108">
        <v>1812</v>
      </c>
      <c r="I1172" s="108">
        <v>3720</v>
      </c>
      <c r="J1172" s="108">
        <v>22</v>
      </c>
      <c r="K1172" s="108">
        <v>388</v>
      </c>
      <c r="L1172" s="108">
        <v>5295</v>
      </c>
      <c r="M1172" s="108">
        <v>18614</v>
      </c>
      <c r="N1172" s="108">
        <v>10601</v>
      </c>
      <c r="O1172" s="108">
        <v>20253</v>
      </c>
      <c r="P1172" s="108">
        <v>5548</v>
      </c>
      <c r="Q1172" s="108">
        <v>23388</v>
      </c>
      <c r="R1172" s="79">
        <f t="shared" ref="R1172:R1179" si="80">P1172+N1172+L1172</f>
        <v>21444</v>
      </c>
    </row>
    <row r="1173" spans="1:18" ht="15.6" x14ac:dyDescent="0.3">
      <c r="A1173" s="107">
        <v>40605</v>
      </c>
      <c r="B1173" s="108">
        <v>3780</v>
      </c>
      <c r="C1173" s="106">
        <v>11209</v>
      </c>
      <c r="D1173" s="106">
        <v>903</v>
      </c>
      <c r="E1173" s="106">
        <v>1805</v>
      </c>
      <c r="F1173" s="106">
        <v>2434</v>
      </c>
      <c r="G1173" s="106">
        <v>6036</v>
      </c>
      <c r="H1173" s="108">
        <v>1265</v>
      </c>
      <c r="I1173" s="106">
        <v>3483</v>
      </c>
      <c r="J1173" s="106">
        <v>126</v>
      </c>
      <c r="K1173" s="106">
        <v>748</v>
      </c>
      <c r="L1173" s="106">
        <v>8508</v>
      </c>
      <c r="M1173" s="106">
        <v>23281</v>
      </c>
      <c r="N1173" s="106">
        <v>12791</v>
      </c>
      <c r="O1173" s="106">
        <v>21655</v>
      </c>
      <c r="P1173" s="108">
        <v>8066</v>
      </c>
      <c r="Q1173" s="106">
        <v>31744</v>
      </c>
      <c r="R1173" s="16">
        <f t="shared" si="80"/>
        <v>29365</v>
      </c>
    </row>
    <row r="1174" spans="1:18" ht="15.6" x14ac:dyDescent="0.3">
      <c r="A1174" s="170">
        <v>40969</v>
      </c>
      <c r="B1174" s="108">
        <v>1393</v>
      </c>
      <c r="C1174" s="108">
        <v>7443</v>
      </c>
      <c r="D1174" s="108">
        <v>966</v>
      </c>
      <c r="E1174" s="108">
        <v>2480</v>
      </c>
      <c r="F1174" s="108">
        <v>1303</v>
      </c>
      <c r="G1174" s="108">
        <v>4822</v>
      </c>
      <c r="H1174" s="108">
        <v>1621</v>
      </c>
      <c r="I1174" s="108">
        <v>3914</v>
      </c>
      <c r="J1174" s="108">
        <v>26</v>
      </c>
      <c r="K1174" s="108">
        <v>388</v>
      </c>
      <c r="L1174" s="108">
        <v>5309</v>
      </c>
      <c r="M1174" s="108">
        <v>19047</v>
      </c>
      <c r="N1174" s="108">
        <v>10277</v>
      </c>
      <c r="O1174" s="108">
        <v>21022</v>
      </c>
      <c r="P1174" s="108">
        <v>5488</v>
      </c>
      <c r="Q1174" s="108">
        <v>24388</v>
      </c>
      <c r="R1174" s="79">
        <f t="shared" si="80"/>
        <v>21074</v>
      </c>
    </row>
    <row r="1175" spans="1:18" ht="15.6" x14ac:dyDescent="0.3">
      <c r="A1175" s="107">
        <v>40612</v>
      </c>
      <c r="B1175" s="108">
        <v>3811</v>
      </c>
      <c r="C1175" s="106">
        <v>11679</v>
      </c>
      <c r="D1175" s="106">
        <v>906</v>
      </c>
      <c r="E1175" s="106">
        <v>1819</v>
      </c>
      <c r="F1175" s="106">
        <v>2378</v>
      </c>
      <c r="G1175" s="106">
        <v>6170</v>
      </c>
      <c r="H1175" s="108">
        <v>1248</v>
      </c>
      <c r="I1175" s="106">
        <v>3553</v>
      </c>
      <c r="J1175" s="106">
        <v>139</v>
      </c>
      <c r="K1175" s="106">
        <v>750</v>
      </c>
      <c r="L1175" s="106">
        <v>8481</v>
      </c>
      <c r="M1175" s="106">
        <v>23970</v>
      </c>
      <c r="N1175" s="106">
        <v>12947</v>
      </c>
      <c r="O1175" s="106">
        <v>22536</v>
      </c>
      <c r="P1175" s="108">
        <v>7374</v>
      </c>
      <c r="Q1175" s="106">
        <v>32583</v>
      </c>
      <c r="R1175" s="16">
        <f t="shared" si="80"/>
        <v>28802</v>
      </c>
    </row>
    <row r="1176" spans="1:18" ht="15.6" x14ac:dyDescent="0.3">
      <c r="A1176" s="170">
        <v>40976</v>
      </c>
      <c r="B1176" s="108">
        <v>1283</v>
      </c>
      <c r="C1176" s="108">
        <v>7688</v>
      </c>
      <c r="D1176" s="108">
        <v>834</v>
      </c>
      <c r="E1176" s="108">
        <v>2662</v>
      </c>
      <c r="F1176" s="108">
        <v>1146</v>
      </c>
      <c r="G1176" s="108">
        <v>5050</v>
      </c>
      <c r="H1176" s="108">
        <v>1392</v>
      </c>
      <c r="I1176" s="108">
        <v>4172</v>
      </c>
      <c r="J1176" s="108">
        <v>44</v>
      </c>
      <c r="K1176" s="108">
        <v>388</v>
      </c>
      <c r="L1176" s="108">
        <v>4699</v>
      </c>
      <c r="M1176" s="108">
        <v>19960</v>
      </c>
      <c r="N1176" s="108">
        <v>10078</v>
      </c>
      <c r="O1176" s="108">
        <v>22058</v>
      </c>
      <c r="P1176" s="108">
        <v>5387</v>
      </c>
      <c r="Q1176" s="108">
        <v>25098</v>
      </c>
      <c r="R1176" s="79">
        <f t="shared" si="80"/>
        <v>20164</v>
      </c>
    </row>
    <row r="1177" spans="1:18" ht="15.6" x14ac:dyDescent="0.3">
      <c r="A1177" s="107">
        <v>40619</v>
      </c>
      <c r="B1177" s="108">
        <v>3795</v>
      </c>
      <c r="C1177" s="106">
        <v>12003</v>
      </c>
      <c r="D1177" s="106">
        <v>863</v>
      </c>
      <c r="E1177" s="106">
        <v>1903</v>
      </c>
      <c r="F1177" s="106">
        <v>2359</v>
      </c>
      <c r="G1177" s="106">
        <v>6342</v>
      </c>
      <c r="H1177" s="108">
        <v>1372</v>
      </c>
      <c r="I1177" s="106">
        <v>3577</v>
      </c>
      <c r="J1177" s="106">
        <v>131</v>
      </c>
      <c r="K1177" s="106">
        <v>767</v>
      </c>
      <c r="L1177" s="106">
        <v>8520</v>
      </c>
      <c r="M1177" s="106">
        <v>24592</v>
      </c>
      <c r="N1177" s="106">
        <v>12962</v>
      </c>
      <c r="O1177" s="106">
        <v>23416</v>
      </c>
      <c r="P1177" s="108">
        <v>6823</v>
      </c>
      <c r="Q1177" s="106">
        <v>33399</v>
      </c>
      <c r="R1177" s="16">
        <f t="shared" si="80"/>
        <v>28305</v>
      </c>
    </row>
    <row r="1178" spans="1:18" ht="15.6" x14ac:dyDescent="0.3">
      <c r="A1178" s="170">
        <v>40983</v>
      </c>
      <c r="B1178" s="108">
        <v>1208</v>
      </c>
      <c r="C1178" s="108">
        <v>7935</v>
      </c>
      <c r="D1178" s="108">
        <v>855</v>
      </c>
      <c r="E1178" s="108">
        <v>2754</v>
      </c>
      <c r="F1178" s="108">
        <v>1167</v>
      </c>
      <c r="G1178" s="108">
        <v>5147</v>
      </c>
      <c r="H1178" s="108">
        <v>1405</v>
      </c>
      <c r="I1178" s="108">
        <v>4275</v>
      </c>
      <c r="J1178" s="108">
        <v>55</v>
      </c>
      <c r="K1178" s="108">
        <v>388</v>
      </c>
      <c r="L1178" s="108">
        <v>4689</v>
      </c>
      <c r="M1178" s="108">
        <v>20498</v>
      </c>
      <c r="N1178" s="108">
        <v>10432</v>
      </c>
      <c r="O1178" s="108">
        <v>22566</v>
      </c>
      <c r="P1178" s="108">
        <v>5133</v>
      </c>
      <c r="Q1178" s="108">
        <v>25708</v>
      </c>
      <c r="R1178" s="79">
        <f t="shared" si="80"/>
        <v>20254</v>
      </c>
    </row>
    <row r="1179" spans="1:18" ht="15.6" x14ac:dyDescent="0.3">
      <c r="A1179" s="107">
        <v>40626</v>
      </c>
      <c r="B1179" s="108">
        <v>3558</v>
      </c>
      <c r="C1179" s="106">
        <v>12372</v>
      </c>
      <c r="D1179" s="106">
        <v>833</v>
      </c>
      <c r="E1179" s="106">
        <v>1948</v>
      </c>
      <c r="F1179" s="106">
        <v>2116</v>
      </c>
      <c r="G1179" s="106">
        <v>6667</v>
      </c>
      <c r="H1179" s="108">
        <v>1256</v>
      </c>
      <c r="I1179" s="106">
        <v>3726</v>
      </c>
      <c r="J1179" s="106">
        <v>140</v>
      </c>
      <c r="K1179" s="106">
        <v>768</v>
      </c>
      <c r="L1179" s="106">
        <v>7903</v>
      </c>
      <c r="M1179" s="106">
        <v>25480</v>
      </c>
      <c r="N1179" s="106">
        <v>13857</v>
      </c>
      <c r="O1179" s="106">
        <v>24436</v>
      </c>
      <c r="P1179" s="108">
        <v>6139</v>
      </c>
      <c r="Q1179" s="106">
        <v>34227</v>
      </c>
      <c r="R1179" s="16">
        <f t="shared" si="80"/>
        <v>27899</v>
      </c>
    </row>
    <row r="1180" spans="1:18" ht="15.6" x14ac:dyDescent="0.3">
      <c r="A1180" s="170">
        <v>40990</v>
      </c>
      <c r="B1180" s="108">
        <v>1222</v>
      </c>
      <c r="C1180" s="108">
        <v>8003</v>
      </c>
      <c r="D1180" s="108">
        <v>834</v>
      </c>
      <c r="E1180" s="108">
        <v>2901</v>
      </c>
      <c r="F1180" s="108">
        <v>1028</v>
      </c>
      <c r="G1180" s="108">
        <v>5300</v>
      </c>
      <c r="H1180" s="108">
        <v>1337</v>
      </c>
      <c r="I1180" s="108">
        <v>4348</v>
      </c>
      <c r="J1180" s="108">
        <v>55</v>
      </c>
      <c r="K1180" s="108">
        <v>388</v>
      </c>
      <c r="L1180" s="108">
        <v>4475</v>
      </c>
      <c r="M1180" s="108">
        <v>20939</v>
      </c>
      <c r="N1180" s="108">
        <v>9919</v>
      </c>
      <c r="O1180" s="108">
        <v>23209</v>
      </c>
      <c r="P1180" s="108">
        <v>5044</v>
      </c>
      <c r="Q1180" s="108">
        <v>26269</v>
      </c>
      <c r="R1180" s="79">
        <f>P1180+N1180+L1180</f>
        <v>19438</v>
      </c>
    </row>
    <row r="1181" spans="1:18" ht="15.6" x14ac:dyDescent="0.3">
      <c r="A1181" s="107">
        <v>40633</v>
      </c>
      <c r="B1181" s="108">
        <v>3386</v>
      </c>
      <c r="C1181" s="106">
        <v>12842</v>
      </c>
      <c r="D1181" s="106">
        <v>741</v>
      </c>
      <c r="E1181" s="106">
        <v>2030</v>
      </c>
      <c r="F1181" s="106">
        <v>2088</v>
      </c>
      <c r="G1181" s="106">
        <v>6824</v>
      </c>
      <c r="H1181" s="108">
        <v>1284</v>
      </c>
      <c r="I1181" s="106">
        <v>3739</v>
      </c>
      <c r="J1181" s="106">
        <v>140</v>
      </c>
      <c r="K1181" s="106">
        <v>767</v>
      </c>
      <c r="L1181" s="106">
        <v>7639</v>
      </c>
      <c r="M1181" s="106">
        <v>26202</v>
      </c>
      <c r="N1181" s="106">
        <v>13461</v>
      </c>
      <c r="O1181" s="106">
        <v>25451</v>
      </c>
      <c r="P1181" s="108">
        <v>5567</v>
      </c>
      <c r="Q1181" s="106">
        <v>34876</v>
      </c>
      <c r="R1181" s="16">
        <f>P1181+N1181+L1181</f>
        <v>26667</v>
      </c>
    </row>
    <row r="1182" spans="1:18" ht="15.6" x14ac:dyDescent="0.3">
      <c r="A1182" s="170">
        <v>40997</v>
      </c>
      <c r="B1182" s="108">
        <v>1123</v>
      </c>
      <c r="C1182" s="108">
        <v>8225</v>
      </c>
      <c r="D1182" s="108">
        <v>885</v>
      </c>
      <c r="E1182" s="108">
        <v>2977</v>
      </c>
      <c r="F1182" s="108">
        <v>1057</v>
      </c>
      <c r="G1182" s="108">
        <v>5377</v>
      </c>
      <c r="H1182" s="108">
        <v>1357</v>
      </c>
      <c r="I1182" s="108">
        <v>4372</v>
      </c>
      <c r="J1182" s="108">
        <v>56</v>
      </c>
      <c r="K1182" s="108">
        <v>392</v>
      </c>
      <c r="L1182" s="108">
        <v>4478</v>
      </c>
      <c r="M1182" s="108">
        <v>21344</v>
      </c>
      <c r="N1182" s="108">
        <v>10064</v>
      </c>
      <c r="O1182" s="108">
        <v>24003</v>
      </c>
      <c r="P1182" s="108">
        <v>4595</v>
      </c>
      <c r="Q1182" s="108">
        <v>27125</v>
      </c>
      <c r="R1182" s="79">
        <f>P1182+N1182+L1182</f>
        <v>19137</v>
      </c>
    </row>
    <row r="1183" spans="1:18" ht="15.6" x14ac:dyDescent="0.3">
      <c r="A1183" s="107">
        <v>40640</v>
      </c>
      <c r="B1183" s="108">
        <v>3152</v>
      </c>
      <c r="C1183" s="106">
        <v>13167</v>
      </c>
      <c r="D1183" s="106">
        <v>704</v>
      </c>
      <c r="E1183" s="106">
        <v>2097</v>
      </c>
      <c r="F1183" s="106">
        <v>2103</v>
      </c>
      <c r="G1183" s="106">
        <v>7010</v>
      </c>
      <c r="H1183" s="108">
        <v>1275</v>
      </c>
      <c r="I1183" s="106">
        <v>3844</v>
      </c>
      <c r="J1183" s="106">
        <v>125</v>
      </c>
      <c r="K1183" s="106">
        <v>809</v>
      </c>
      <c r="L1183" s="106">
        <v>7358</v>
      </c>
      <c r="M1183" s="106">
        <v>26927</v>
      </c>
      <c r="N1183" s="106">
        <v>13211</v>
      </c>
      <c r="O1183" s="106">
        <v>26549</v>
      </c>
      <c r="P1183" s="108">
        <v>5142</v>
      </c>
      <c r="Q1183" s="106">
        <v>35431</v>
      </c>
      <c r="R1183" s="16">
        <v>25711</v>
      </c>
    </row>
    <row r="1184" spans="1:18" ht="15.6" x14ac:dyDescent="0.3">
      <c r="A1184" s="170">
        <v>41004</v>
      </c>
      <c r="B1184" s="108">
        <v>1220</v>
      </c>
      <c r="C1184" s="108">
        <v>8369</v>
      </c>
      <c r="D1184" s="108">
        <v>858</v>
      </c>
      <c r="E1184" s="108">
        <v>3093</v>
      </c>
      <c r="F1184" s="108">
        <v>1093</v>
      </c>
      <c r="G1184" s="108">
        <v>5390</v>
      </c>
      <c r="H1184" s="108">
        <v>1263</v>
      </c>
      <c r="I1184" s="108">
        <v>4530</v>
      </c>
      <c r="J1184" s="108">
        <v>56</v>
      </c>
      <c r="K1184" s="108">
        <v>392</v>
      </c>
      <c r="L1184" s="108">
        <v>4490</v>
      </c>
      <c r="M1184" s="108">
        <v>21783</v>
      </c>
      <c r="N1184" s="108">
        <v>10365</v>
      </c>
      <c r="O1184" s="108">
        <v>24660</v>
      </c>
      <c r="P1184" s="108">
        <v>4282</v>
      </c>
      <c r="Q1184" s="108">
        <v>27899</v>
      </c>
      <c r="R1184" s="79">
        <f t="shared" ref="R1184:R1191" si="81">P1184+N1184+L1184</f>
        <v>19137</v>
      </c>
    </row>
    <row r="1185" spans="1:18" ht="15.6" x14ac:dyDescent="0.3">
      <c r="A1185" s="107">
        <v>40647</v>
      </c>
      <c r="B1185" s="108">
        <v>2966</v>
      </c>
      <c r="C1185" s="106">
        <v>13516</v>
      </c>
      <c r="D1185" s="106">
        <v>541</v>
      </c>
      <c r="E1185" s="106">
        <v>2284</v>
      </c>
      <c r="F1185" s="106">
        <v>1822</v>
      </c>
      <c r="G1185" s="106">
        <v>7176</v>
      </c>
      <c r="H1185" s="108">
        <v>1233</v>
      </c>
      <c r="I1185" s="106">
        <v>3933</v>
      </c>
      <c r="J1185" s="106">
        <v>69</v>
      </c>
      <c r="K1185" s="106">
        <v>879</v>
      </c>
      <c r="L1185" s="106">
        <v>6631</v>
      </c>
      <c r="M1185" s="106">
        <v>27789</v>
      </c>
      <c r="N1185" s="106">
        <v>12889</v>
      </c>
      <c r="O1185" s="106">
        <v>27485</v>
      </c>
      <c r="P1185" s="108">
        <v>5048</v>
      </c>
      <c r="Q1185" s="106">
        <v>35874</v>
      </c>
      <c r="R1185" s="16">
        <f t="shared" si="81"/>
        <v>24568</v>
      </c>
    </row>
    <row r="1186" spans="1:18" ht="15.6" x14ac:dyDescent="0.3">
      <c r="A1186" s="170">
        <v>41011</v>
      </c>
      <c r="B1186" s="108">
        <v>1221</v>
      </c>
      <c r="C1186" s="108">
        <v>8470</v>
      </c>
      <c r="D1186" s="108">
        <v>882</v>
      </c>
      <c r="E1186" s="108">
        <v>3210</v>
      </c>
      <c r="F1186" s="108">
        <v>1026</v>
      </c>
      <c r="G1186" s="108">
        <v>5531</v>
      </c>
      <c r="H1186" s="108">
        <v>1074</v>
      </c>
      <c r="I1186" s="108">
        <v>4764</v>
      </c>
      <c r="J1186" s="108">
        <v>22</v>
      </c>
      <c r="K1186" s="108">
        <v>440</v>
      </c>
      <c r="L1186" s="108">
        <v>4224</v>
      </c>
      <c r="M1186" s="108">
        <v>22416</v>
      </c>
      <c r="N1186" s="108">
        <v>9551</v>
      </c>
      <c r="O1186" s="108">
        <v>25775</v>
      </c>
      <c r="P1186" s="108">
        <v>4162</v>
      </c>
      <c r="Q1186" s="108">
        <v>28392</v>
      </c>
      <c r="R1186" s="79">
        <f t="shared" si="81"/>
        <v>17937</v>
      </c>
    </row>
    <row r="1187" spans="1:18" ht="15.6" x14ac:dyDescent="0.3">
      <c r="A1187" s="107">
        <v>40654</v>
      </c>
      <c r="B1187" s="108">
        <v>2852</v>
      </c>
      <c r="C1187" s="106">
        <v>13773</v>
      </c>
      <c r="D1187" s="106">
        <v>529</v>
      </c>
      <c r="E1187" s="106">
        <v>2329</v>
      </c>
      <c r="F1187" s="106">
        <v>1535</v>
      </c>
      <c r="G1187" s="106">
        <v>7497</v>
      </c>
      <c r="H1187" s="108">
        <v>1106</v>
      </c>
      <c r="I1187" s="106">
        <v>4117</v>
      </c>
      <c r="J1187" s="106">
        <v>49</v>
      </c>
      <c r="K1187" s="106">
        <v>900</v>
      </c>
      <c r="L1187" s="106">
        <v>6070</v>
      </c>
      <c r="M1187" s="106">
        <v>28615</v>
      </c>
      <c r="N1187" s="106">
        <v>12330</v>
      </c>
      <c r="O1187" s="106">
        <v>28393</v>
      </c>
      <c r="P1187" s="108">
        <v>4921</v>
      </c>
      <c r="Q1187" s="106">
        <v>36144</v>
      </c>
      <c r="R1187" s="16">
        <f t="shared" si="81"/>
        <v>23321</v>
      </c>
    </row>
    <row r="1188" spans="1:18" ht="15.6" x14ac:dyDescent="0.3">
      <c r="A1188" s="170">
        <v>41018</v>
      </c>
      <c r="B1188" s="108">
        <v>1187</v>
      </c>
      <c r="C1188" s="108">
        <v>8626</v>
      </c>
      <c r="D1188" s="108">
        <v>899</v>
      </c>
      <c r="E1188" s="108">
        <v>3380</v>
      </c>
      <c r="F1188" s="108">
        <v>1044</v>
      </c>
      <c r="G1188" s="108">
        <v>5621</v>
      </c>
      <c r="H1188" s="108">
        <v>834</v>
      </c>
      <c r="I1188" s="108">
        <v>4966</v>
      </c>
      <c r="J1188" s="108">
        <v>29</v>
      </c>
      <c r="K1188" s="108">
        <v>440</v>
      </c>
      <c r="L1188" s="108">
        <v>3993</v>
      </c>
      <c r="M1188" s="108">
        <v>23033</v>
      </c>
      <c r="N1188" s="108">
        <v>9495</v>
      </c>
      <c r="O1188" s="108">
        <v>26475</v>
      </c>
      <c r="P1188" s="108">
        <v>4742</v>
      </c>
      <c r="Q1188" s="108">
        <v>28678</v>
      </c>
      <c r="R1188" s="79">
        <f t="shared" si="81"/>
        <v>18230</v>
      </c>
    </row>
    <row r="1189" spans="1:18" ht="15.6" x14ac:dyDescent="0.3">
      <c r="A1189" s="107">
        <v>40661</v>
      </c>
      <c r="B1189" s="108">
        <v>2567</v>
      </c>
      <c r="C1189" s="106">
        <v>14158</v>
      </c>
      <c r="D1189" s="106">
        <v>461</v>
      </c>
      <c r="E1189" s="106">
        <v>2403</v>
      </c>
      <c r="F1189" s="106">
        <v>1402</v>
      </c>
      <c r="G1189" s="106">
        <v>7768</v>
      </c>
      <c r="H1189" s="108">
        <v>988</v>
      </c>
      <c r="I1189" s="106">
        <v>4246</v>
      </c>
      <c r="J1189" s="106">
        <v>60</v>
      </c>
      <c r="K1189" s="106">
        <v>908</v>
      </c>
      <c r="L1189" s="106">
        <v>5477</v>
      </c>
      <c r="M1189" s="106">
        <v>29482</v>
      </c>
      <c r="N1189" s="106">
        <v>11816</v>
      </c>
      <c r="O1189" s="106">
        <v>29191</v>
      </c>
      <c r="P1189" s="108">
        <v>4742</v>
      </c>
      <c r="Q1189" s="106">
        <v>36344</v>
      </c>
      <c r="R1189" s="16">
        <f t="shared" si="81"/>
        <v>22035</v>
      </c>
    </row>
    <row r="1190" spans="1:18" ht="15.6" x14ac:dyDescent="0.3">
      <c r="A1190" s="170">
        <v>41025</v>
      </c>
      <c r="B1190" s="108">
        <v>1202</v>
      </c>
      <c r="C1190" s="108">
        <v>8808</v>
      </c>
      <c r="D1190" s="108">
        <v>904</v>
      </c>
      <c r="E1190" s="108">
        <v>3447</v>
      </c>
      <c r="F1190" s="108">
        <v>889</v>
      </c>
      <c r="G1190" s="108">
        <v>5802</v>
      </c>
      <c r="H1190" s="108">
        <v>610</v>
      </c>
      <c r="I1190" s="108">
        <v>5151</v>
      </c>
      <c r="J1190" s="108">
        <v>24</v>
      </c>
      <c r="K1190" s="108">
        <v>447</v>
      </c>
      <c r="L1190" s="108">
        <v>3628</v>
      </c>
      <c r="M1190" s="108">
        <v>23655</v>
      </c>
      <c r="N1190" s="108">
        <v>10163</v>
      </c>
      <c r="O1190" s="108">
        <v>27140</v>
      </c>
      <c r="P1190" s="108">
        <v>4904</v>
      </c>
      <c r="Q1190" s="108">
        <v>29114</v>
      </c>
      <c r="R1190" s="79">
        <f t="shared" si="81"/>
        <v>18695</v>
      </c>
    </row>
    <row r="1191" spans="1:18" ht="15.6" x14ac:dyDescent="0.3">
      <c r="A1191" s="107">
        <v>40668</v>
      </c>
      <c r="B1191" s="108">
        <v>2234</v>
      </c>
      <c r="C1191" s="106">
        <v>14653</v>
      </c>
      <c r="D1191" s="106">
        <v>378</v>
      </c>
      <c r="E1191" s="106">
        <v>2555</v>
      </c>
      <c r="F1191" s="106">
        <v>1263</v>
      </c>
      <c r="G1191" s="106">
        <v>7932</v>
      </c>
      <c r="H1191" s="108">
        <v>854</v>
      </c>
      <c r="I1191" s="106">
        <v>4443</v>
      </c>
      <c r="J1191" s="106">
        <v>43</v>
      </c>
      <c r="K1191" s="106">
        <v>925</v>
      </c>
      <c r="L1191" s="106">
        <v>4771</v>
      </c>
      <c r="M1191" s="106">
        <v>30508</v>
      </c>
      <c r="N1191" s="106">
        <v>11389</v>
      </c>
      <c r="O1191" s="106">
        <v>30051</v>
      </c>
      <c r="P1191" s="108">
        <v>4621</v>
      </c>
      <c r="Q1191" s="106">
        <v>36525</v>
      </c>
      <c r="R1191" s="16">
        <f t="shared" si="81"/>
        <v>20781</v>
      </c>
    </row>
    <row r="1192" spans="1:18" ht="15.6" x14ac:dyDescent="0.3">
      <c r="A1192" s="170">
        <v>41032</v>
      </c>
      <c r="B1192" s="108">
        <v>1074</v>
      </c>
      <c r="C1192" s="108">
        <v>9067</v>
      </c>
      <c r="D1192" s="108">
        <v>711</v>
      </c>
      <c r="E1192" s="108">
        <v>3621</v>
      </c>
      <c r="F1192" s="108">
        <v>874</v>
      </c>
      <c r="G1192" s="108">
        <v>5874</v>
      </c>
      <c r="H1192" s="108">
        <v>596</v>
      </c>
      <c r="I1192" s="108">
        <v>5198</v>
      </c>
      <c r="J1192" s="108">
        <v>44</v>
      </c>
      <c r="K1192" s="108">
        <v>447</v>
      </c>
      <c r="L1192" s="108">
        <v>3299</v>
      </c>
      <c r="M1192" s="108">
        <v>24206</v>
      </c>
      <c r="N1192" s="108">
        <v>9691</v>
      </c>
      <c r="O1192" s="108">
        <v>27837</v>
      </c>
      <c r="P1192" s="108">
        <v>5065</v>
      </c>
      <c r="Q1192" s="108">
        <v>29419</v>
      </c>
      <c r="R1192" s="79">
        <f t="shared" ref="R1192:R1198" si="82">P1192+N1192+L1192</f>
        <v>18055</v>
      </c>
    </row>
    <row r="1193" spans="1:18" ht="15.6" x14ac:dyDescent="0.3">
      <c r="A1193" s="107">
        <v>40675</v>
      </c>
      <c r="B1193" s="108">
        <v>1982</v>
      </c>
      <c r="C1193" s="106">
        <v>14979</v>
      </c>
      <c r="D1193" s="106">
        <v>235</v>
      </c>
      <c r="E1193" s="106">
        <v>2692</v>
      </c>
      <c r="F1193" s="106">
        <v>1057</v>
      </c>
      <c r="G1193" s="106">
        <v>8177</v>
      </c>
      <c r="H1193" s="108">
        <v>786</v>
      </c>
      <c r="I1193" s="106">
        <v>4529</v>
      </c>
      <c r="J1193" s="106">
        <v>43</v>
      </c>
      <c r="K1193" s="106">
        <v>925</v>
      </c>
      <c r="L1193" s="106">
        <v>4103</v>
      </c>
      <c r="M1193" s="106">
        <v>31303</v>
      </c>
      <c r="N1193" s="106">
        <v>11271</v>
      </c>
      <c r="O1193" s="106">
        <v>31013</v>
      </c>
      <c r="P1193" s="108">
        <v>4671</v>
      </c>
      <c r="Q1193" s="106">
        <v>36641</v>
      </c>
      <c r="R1193" s="16">
        <f t="shared" si="82"/>
        <v>20045</v>
      </c>
    </row>
    <row r="1194" spans="1:18" ht="15.6" x14ac:dyDescent="0.3">
      <c r="A1194" s="170">
        <v>41039</v>
      </c>
      <c r="B1194" s="108">
        <v>977</v>
      </c>
      <c r="C1194" s="108">
        <v>9271</v>
      </c>
      <c r="D1194" s="108">
        <v>480</v>
      </c>
      <c r="E1194" s="108">
        <v>3900</v>
      </c>
      <c r="F1194" s="108">
        <v>888</v>
      </c>
      <c r="G1194" s="108">
        <v>5933</v>
      </c>
      <c r="H1194" s="108">
        <v>550</v>
      </c>
      <c r="I1194" s="108">
        <v>5329</v>
      </c>
      <c r="J1194" s="108">
        <v>47</v>
      </c>
      <c r="K1194" s="108">
        <v>452</v>
      </c>
      <c r="L1194" s="108">
        <v>2942</v>
      </c>
      <c r="M1194" s="108">
        <v>24885</v>
      </c>
      <c r="N1194" s="108">
        <v>9364</v>
      </c>
      <c r="O1194" s="108">
        <v>28503</v>
      </c>
      <c r="P1194" s="108">
        <v>5111</v>
      </c>
      <c r="Q1194" s="108">
        <v>29989</v>
      </c>
      <c r="R1194" s="79">
        <f t="shared" si="82"/>
        <v>17417</v>
      </c>
    </row>
    <row r="1195" spans="1:18" ht="15.6" x14ac:dyDescent="0.3">
      <c r="A1195" s="107">
        <v>40682</v>
      </c>
      <c r="B1195" s="108">
        <v>1593</v>
      </c>
      <c r="C1195" s="106">
        <v>15301</v>
      </c>
      <c r="D1195" s="106">
        <v>175</v>
      </c>
      <c r="E1195" s="106">
        <v>2747</v>
      </c>
      <c r="F1195" s="106">
        <v>749</v>
      </c>
      <c r="G1195" s="106">
        <v>8378</v>
      </c>
      <c r="H1195" s="108">
        <v>615</v>
      </c>
      <c r="I1195" s="106">
        <v>4665</v>
      </c>
      <c r="J1195" s="106">
        <v>23</v>
      </c>
      <c r="K1195" s="106">
        <v>956</v>
      </c>
      <c r="L1195" s="106">
        <v>3288</v>
      </c>
      <c r="M1195" s="106">
        <v>32045</v>
      </c>
      <c r="N1195" s="106">
        <v>11044</v>
      </c>
      <c r="O1195" s="106">
        <v>31967</v>
      </c>
      <c r="P1195" s="108">
        <v>4422</v>
      </c>
      <c r="Q1195" s="106">
        <v>37053</v>
      </c>
      <c r="R1195" s="16">
        <f t="shared" si="82"/>
        <v>18754</v>
      </c>
    </row>
    <row r="1196" spans="1:18" ht="15.6" x14ac:dyDescent="0.3">
      <c r="A1196" s="170">
        <v>41046</v>
      </c>
      <c r="B1196" s="108">
        <v>774</v>
      </c>
      <c r="C1196" s="108">
        <v>9490</v>
      </c>
      <c r="D1196" s="108">
        <v>449</v>
      </c>
      <c r="E1196" s="108">
        <v>3995</v>
      </c>
      <c r="F1196" s="108">
        <v>888</v>
      </c>
      <c r="G1196" s="108">
        <v>6052</v>
      </c>
      <c r="H1196" s="108">
        <v>430</v>
      </c>
      <c r="I1196" s="108">
        <v>5462</v>
      </c>
      <c r="J1196" s="108">
        <v>45</v>
      </c>
      <c r="K1196" s="108">
        <v>455</v>
      </c>
      <c r="L1196" s="108">
        <v>2446</v>
      </c>
      <c r="M1196" s="108">
        <v>25453</v>
      </c>
      <c r="N1196" s="108">
        <v>8830</v>
      </c>
      <c r="O1196" s="108">
        <v>29193</v>
      </c>
      <c r="P1196" s="108">
        <v>5510</v>
      </c>
      <c r="Q1196" s="108">
        <v>30391</v>
      </c>
      <c r="R1196" s="79">
        <f t="shared" si="82"/>
        <v>16786</v>
      </c>
    </row>
    <row r="1197" spans="1:18" ht="15.6" x14ac:dyDescent="0.3">
      <c r="A1197" s="170">
        <v>40689</v>
      </c>
      <c r="B1197" s="108">
        <v>1024</v>
      </c>
      <c r="C1197" s="106">
        <v>15837</v>
      </c>
      <c r="D1197" s="106">
        <v>109</v>
      </c>
      <c r="E1197" s="106">
        <v>2828</v>
      </c>
      <c r="F1197" s="108">
        <v>623</v>
      </c>
      <c r="G1197" s="108">
        <v>8623</v>
      </c>
      <c r="H1197" s="108">
        <v>551</v>
      </c>
      <c r="I1197" s="108">
        <v>4717</v>
      </c>
      <c r="J1197" s="108">
        <v>11</v>
      </c>
      <c r="K1197" s="108">
        <v>979</v>
      </c>
      <c r="L1197" s="108">
        <v>2320</v>
      </c>
      <c r="M1197" s="108">
        <v>32984</v>
      </c>
      <c r="N1197" s="108">
        <v>10615</v>
      </c>
      <c r="O1197" s="108">
        <v>32867</v>
      </c>
      <c r="P1197" s="108">
        <v>4240</v>
      </c>
      <c r="Q1197" s="108">
        <v>37318</v>
      </c>
      <c r="R1197" s="16">
        <f t="shared" si="82"/>
        <v>17175</v>
      </c>
    </row>
    <row r="1198" spans="1:18" ht="15.6" x14ac:dyDescent="0.3">
      <c r="A1198" s="170">
        <v>41053</v>
      </c>
      <c r="B1198" s="108">
        <v>606</v>
      </c>
      <c r="C1198" s="108">
        <v>9648</v>
      </c>
      <c r="D1198" s="108">
        <v>272</v>
      </c>
      <c r="E1198" s="108">
        <v>4184</v>
      </c>
      <c r="F1198" s="108">
        <v>542</v>
      </c>
      <c r="G1198" s="108">
        <v>6244</v>
      </c>
      <c r="H1198" s="108">
        <v>340</v>
      </c>
      <c r="I1198" s="108">
        <v>5556</v>
      </c>
      <c r="J1198" s="108">
        <v>36</v>
      </c>
      <c r="K1198" s="108">
        <v>463</v>
      </c>
      <c r="L1198" s="108">
        <v>1796</v>
      </c>
      <c r="M1198" s="108">
        <v>26097</v>
      </c>
      <c r="N1198" s="108">
        <v>8204</v>
      </c>
      <c r="O1198" s="108">
        <v>30008</v>
      </c>
      <c r="P1198" s="108">
        <v>5442</v>
      </c>
      <c r="Q1198" s="108">
        <v>30699</v>
      </c>
      <c r="R1198" s="79">
        <f t="shared" si="82"/>
        <v>15442</v>
      </c>
    </row>
    <row r="1199" spans="1:18" ht="15.6" x14ac:dyDescent="0.3">
      <c r="A1199" s="170">
        <v>40696</v>
      </c>
      <c r="B1199" s="108">
        <v>831</v>
      </c>
      <c r="C1199" s="106">
        <v>15974</v>
      </c>
      <c r="D1199" s="106">
        <v>101</v>
      </c>
      <c r="E1199" s="106">
        <v>2866</v>
      </c>
      <c r="F1199" s="108">
        <v>448</v>
      </c>
      <c r="G1199" s="108">
        <v>8814</v>
      </c>
      <c r="H1199" s="108">
        <v>430</v>
      </c>
      <c r="I1199" s="108">
        <v>4804</v>
      </c>
      <c r="J1199" s="108">
        <v>5.7</v>
      </c>
      <c r="K1199" s="108">
        <v>981</v>
      </c>
      <c r="L1199" s="108">
        <v>1816</v>
      </c>
      <c r="M1199" s="108">
        <v>33439</v>
      </c>
      <c r="N1199" s="108">
        <v>9931</v>
      </c>
      <c r="O1199" s="108">
        <v>33871</v>
      </c>
      <c r="P1199" s="108">
        <v>4187</v>
      </c>
      <c r="Q1199" s="108">
        <v>37491</v>
      </c>
      <c r="R1199" s="16">
        <f t="shared" ref="R1199:R1205" si="83">P1199+N1199+L1199</f>
        <v>15934</v>
      </c>
    </row>
    <row r="1200" spans="1:18" ht="15.6" x14ac:dyDescent="0.3">
      <c r="A1200" s="170">
        <v>41060</v>
      </c>
      <c r="B1200" s="108">
        <v>396</v>
      </c>
      <c r="C1200" s="108">
        <v>9904</v>
      </c>
      <c r="D1200" s="108">
        <v>130</v>
      </c>
      <c r="E1200" s="108">
        <v>4319</v>
      </c>
      <c r="F1200" s="108">
        <v>466</v>
      </c>
      <c r="G1200" s="108">
        <v>6312</v>
      </c>
      <c r="H1200" s="108">
        <v>297</v>
      </c>
      <c r="I1200" s="108">
        <v>5601</v>
      </c>
      <c r="J1200" s="108">
        <v>7.6</v>
      </c>
      <c r="K1200" s="108">
        <v>491</v>
      </c>
      <c r="L1200" s="108">
        <v>1296</v>
      </c>
      <c r="M1200" s="108">
        <v>26627</v>
      </c>
      <c r="N1200" s="108">
        <v>7723</v>
      </c>
      <c r="O1200" s="108">
        <v>30741</v>
      </c>
      <c r="P1200" s="108">
        <v>5223</v>
      </c>
      <c r="Q1200" s="108">
        <v>31139</v>
      </c>
      <c r="R1200" s="79">
        <f t="shared" si="83"/>
        <v>14242</v>
      </c>
    </row>
    <row r="1201" spans="1:18" ht="15.6" x14ac:dyDescent="0.3">
      <c r="A1201" s="170">
        <v>40703</v>
      </c>
      <c r="B1201" s="108">
        <v>2155</v>
      </c>
      <c r="C1201" s="106">
        <v>360</v>
      </c>
      <c r="D1201" s="106">
        <v>722</v>
      </c>
      <c r="E1201" s="106">
        <v>74</v>
      </c>
      <c r="F1201" s="108">
        <v>2075</v>
      </c>
      <c r="G1201" s="108">
        <v>158</v>
      </c>
      <c r="H1201" s="108">
        <v>1207</v>
      </c>
      <c r="I1201" s="108">
        <v>178</v>
      </c>
      <c r="J1201" s="108">
        <v>143</v>
      </c>
      <c r="K1201" s="108">
        <v>23</v>
      </c>
      <c r="L1201" s="108">
        <v>6301</v>
      </c>
      <c r="M1201" s="108">
        <v>793</v>
      </c>
      <c r="N1201" s="108">
        <v>9407</v>
      </c>
      <c r="O1201" s="108">
        <v>34692</v>
      </c>
      <c r="P1201" s="108">
        <v>4223</v>
      </c>
      <c r="Q1201" s="108">
        <v>37634</v>
      </c>
      <c r="R1201" s="16">
        <f t="shared" si="83"/>
        <v>19931</v>
      </c>
    </row>
    <row r="1202" spans="1:18" ht="15.6" x14ac:dyDescent="0.3">
      <c r="A1202" s="170">
        <v>41067</v>
      </c>
      <c r="B1202" s="108">
        <v>1630</v>
      </c>
      <c r="C1202" s="108">
        <v>333</v>
      </c>
      <c r="D1202" s="108">
        <v>819</v>
      </c>
      <c r="E1202" s="108">
        <v>80</v>
      </c>
      <c r="F1202" s="108">
        <v>1375</v>
      </c>
      <c r="G1202" s="108">
        <v>149</v>
      </c>
      <c r="H1202" s="108">
        <v>915</v>
      </c>
      <c r="I1202" s="108">
        <v>106</v>
      </c>
      <c r="J1202" s="108">
        <v>143</v>
      </c>
      <c r="K1202" s="108">
        <v>0</v>
      </c>
      <c r="L1202" s="108">
        <v>4881</v>
      </c>
      <c r="M1202" s="108">
        <v>667</v>
      </c>
      <c r="N1202" s="108">
        <v>7382</v>
      </c>
      <c r="O1202" s="108">
        <v>31174</v>
      </c>
      <c r="P1202" s="108">
        <v>5272</v>
      </c>
      <c r="Q1202" s="108">
        <v>31515</v>
      </c>
      <c r="R1202" s="79">
        <f t="shared" si="83"/>
        <v>17535</v>
      </c>
    </row>
    <row r="1203" spans="1:18" ht="15.6" x14ac:dyDescent="0.3">
      <c r="A1203" s="170">
        <v>40710</v>
      </c>
      <c r="B1203" s="106">
        <v>2154</v>
      </c>
      <c r="C1203" s="108">
        <v>648</v>
      </c>
      <c r="D1203" s="108">
        <v>821</v>
      </c>
      <c r="E1203" s="108">
        <v>119</v>
      </c>
      <c r="F1203" s="108">
        <v>2006</v>
      </c>
      <c r="G1203" s="108">
        <v>353</v>
      </c>
      <c r="H1203" s="108">
        <v>1203</v>
      </c>
      <c r="I1203" s="108">
        <v>286</v>
      </c>
      <c r="J1203" s="108">
        <v>118</v>
      </c>
      <c r="K1203" s="108">
        <v>48</v>
      </c>
      <c r="L1203" s="108">
        <v>6301</v>
      </c>
      <c r="M1203" s="108">
        <v>1455</v>
      </c>
      <c r="N1203" s="108">
        <v>8650</v>
      </c>
      <c r="O1203" s="16">
        <v>35859</v>
      </c>
      <c r="P1203" s="108">
        <v>4007</v>
      </c>
      <c r="Q1203" s="108">
        <v>37818</v>
      </c>
      <c r="R1203" s="16">
        <f t="shared" si="83"/>
        <v>18958</v>
      </c>
    </row>
    <row r="1204" spans="1:18" ht="15.6" x14ac:dyDescent="0.3">
      <c r="A1204" s="170">
        <v>41074</v>
      </c>
      <c r="B1204" s="108">
        <v>1723</v>
      </c>
      <c r="C1204" s="108">
        <v>506</v>
      </c>
      <c r="D1204" s="108">
        <v>896</v>
      </c>
      <c r="E1204" s="108">
        <v>240</v>
      </c>
      <c r="F1204" s="108">
        <v>1361</v>
      </c>
      <c r="G1204" s="108">
        <v>326</v>
      </c>
      <c r="H1204" s="108">
        <v>994</v>
      </c>
      <c r="I1204" s="108">
        <v>190</v>
      </c>
      <c r="J1204" s="108">
        <v>154</v>
      </c>
      <c r="K1204" s="108">
        <v>0</v>
      </c>
      <c r="L1204" s="108">
        <v>5128</v>
      </c>
      <c r="M1204" s="108">
        <v>1262</v>
      </c>
      <c r="N1204" s="108">
        <v>6840</v>
      </c>
      <c r="O1204" s="108">
        <v>31887</v>
      </c>
      <c r="P1204" s="108">
        <v>5002</v>
      </c>
      <c r="Q1204" s="108">
        <v>31948</v>
      </c>
      <c r="R1204" s="79">
        <f t="shared" si="83"/>
        <v>16970</v>
      </c>
    </row>
    <row r="1205" spans="1:18" ht="15.6" x14ac:dyDescent="0.3">
      <c r="A1205" s="170">
        <v>40717</v>
      </c>
      <c r="B1205" s="108">
        <v>2180</v>
      </c>
      <c r="C1205" s="106">
        <v>921</v>
      </c>
      <c r="D1205" s="106">
        <v>891</v>
      </c>
      <c r="E1205" s="106">
        <v>187</v>
      </c>
      <c r="F1205" s="108">
        <v>1958</v>
      </c>
      <c r="G1205" s="108">
        <v>440</v>
      </c>
      <c r="H1205" s="108">
        <v>1231</v>
      </c>
      <c r="I1205" s="108">
        <v>339</v>
      </c>
      <c r="J1205" s="108">
        <v>103</v>
      </c>
      <c r="K1205" s="108">
        <v>51</v>
      </c>
      <c r="L1205" s="108">
        <v>6363</v>
      </c>
      <c r="M1205" s="108">
        <v>1937</v>
      </c>
      <c r="N1205" s="108">
        <v>8686</v>
      </c>
      <c r="O1205" s="108">
        <v>36515</v>
      </c>
      <c r="P1205" s="108">
        <v>3517</v>
      </c>
      <c r="Q1205" s="108">
        <v>37973</v>
      </c>
      <c r="R1205" s="16">
        <f t="shared" si="83"/>
        <v>18566</v>
      </c>
    </row>
    <row r="1206" spans="1:18" ht="15.6" x14ac:dyDescent="0.3">
      <c r="A1206" s="170">
        <v>41081</v>
      </c>
      <c r="B1206" s="108">
        <v>1654</v>
      </c>
      <c r="C1206" s="108">
        <v>749</v>
      </c>
      <c r="D1206" s="108">
        <v>823</v>
      </c>
      <c r="E1206" s="108">
        <v>334</v>
      </c>
      <c r="F1206" s="108">
        <v>1321</v>
      </c>
      <c r="G1206" s="108">
        <v>402</v>
      </c>
      <c r="H1206" s="108">
        <v>1030</v>
      </c>
      <c r="I1206" s="108">
        <v>247</v>
      </c>
      <c r="J1206" s="108">
        <v>152</v>
      </c>
      <c r="K1206" s="108">
        <v>3</v>
      </c>
      <c r="L1206" s="108">
        <v>4980</v>
      </c>
      <c r="M1206" s="108">
        <v>1735</v>
      </c>
      <c r="N1206" s="108">
        <v>6368</v>
      </c>
      <c r="O1206" s="108">
        <v>32552</v>
      </c>
      <c r="P1206" s="108">
        <v>5151</v>
      </c>
      <c r="Q1206" s="108">
        <v>32179</v>
      </c>
      <c r="R1206" s="79">
        <f>P1206+N1206+L1206</f>
        <v>16499</v>
      </c>
    </row>
    <row r="1207" spans="1:18" ht="15.6" x14ac:dyDescent="0.3">
      <c r="A1207" s="170">
        <v>40724</v>
      </c>
      <c r="B1207" s="108">
        <v>1908</v>
      </c>
      <c r="C1207" s="106">
        <v>1284</v>
      </c>
      <c r="D1207" s="108">
        <v>1004</v>
      </c>
      <c r="E1207" s="108">
        <v>229</v>
      </c>
      <c r="F1207" s="108">
        <v>1911</v>
      </c>
      <c r="G1207" s="108">
        <v>581</v>
      </c>
      <c r="H1207" s="108">
        <v>1163</v>
      </c>
      <c r="I1207" s="108">
        <v>486</v>
      </c>
      <c r="J1207" s="108">
        <v>74</v>
      </c>
      <c r="K1207" s="108">
        <v>85</v>
      </c>
      <c r="L1207" s="108">
        <v>6060</v>
      </c>
      <c r="M1207" s="108">
        <v>2664</v>
      </c>
      <c r="N1207" s="108">
        <v>8267</v>
      </c>
      <c r="O1207" s="108">
        <v>37555</v>
      </c>
      <c r="P1207" s="108">
        <v>3671</v>
      </c>
      <c r="Q1207" s="108">
        <v>38124</v>
      </c>
      <c r="R1207" s="16">
        <f>P1207+N1207+L1207</f>
        <v>17998</v>
      </c>
    </row>
    <row r="1208" spans="1:18" ht="15.6" x14ac:dyDescent="0.3">
      <c r="A1208" s="170">
        <v>41088</v>
      </c>
      <c r="B1208" s="108">
        <v>1533</v>
      </c>
      <c r="C1208" s="108">
        <v>1112</v>
      </c>
      <c r="D1208" s="108">
        <v>821</v>
      </c>
      <c r="E1208" s="108">
        <v>397</v>
      </c>
      <c r="F1208" s="108">
        <v>1271</v>
      </c>
      <c r="G1208" s="108">
        <v>490</v>
      </c>
      <c r="H1208" s="108">
        <v>1050</v>
      </c>
      <c r="I1208" s="108">
        <v>290</v>
      </c>
      <c r="J1208" s="108">
        <v>127</v>
      </c>
      <c r="K1208" s="108">
        <v>43</v>
      </c>
      <c r="L1208" s="108">
        <v>4802</v>
      </c>
      <c r="M1208" s="108">
        <v>2332</v>
      </c>
      <c r="N1208" s="108">
        <v>5742</v>
      </c>
      <c r="O1208" s="108">
        <v>33197</v>
      </c>
      <c r="P1208" s="108">
        <v>5053</v>
      </c>
      <c r="Q1208" s="108">
        <v>32577</v>
      </c>
      <c r="R1208" s="79">
        <f>P1208+N1208+L1208</f>
        <v>15597</v>
      </c>
    </row>
    <row r="1209" spans="1:18" ht="15.6" x14ac:dyDescent="0.3">
      <c r="A1209" s="170">
        <v>40731</v>
      </c>
      <c r="B1209" s="108">
        <v>1993</v>
      </c>
      <c r="C1209" s="106">
        <v>1462</v>
      </c>
      <c r="D1209" s="108">
        <v>997</v>
      </c>
      <c r="E1209" s="108">
        <v>325</v>
      </c>
      <c r="F1209" s="108">
        <v>1806</v>
      </c>
      <c r="G1209" s="108">
        <v>772</v>
      </c>
      <c r="H1209" s="108">
        <v>1133</v>
      </c>
      <c r="I1209" s="108">
        <v>592</v>
      </c>
      <c r="J1209" s="108">
        <v>74</v>
      </c>
      <c r="K1209" s="108">
        <v>90</v>
      </c>
      <c r="L1209" s="108">
        <v>6003</v>
      </c>
      <c r="M1209" s="108">
        <v>3241</v>
      </c>
      <c r="N1209" s="108">
        <v>7888</v>
      </c>
      <c r="O1209" s="108">
        <v>38416</v>
      </c>
      <c r="P1209" s="108">
        <v>3435</v>
      </c>
      <c r="Q1209" s="108">
        <v>33010</v>
      </c>
      <c r="R1209" s="16">
        <v>17326</v>
      </c>
    </row>
    <row r="1210" spans="1:18" ht="15.6" x14ac:dyDescent="0.3">
      <c r="A1210" s="170">
        <v>41095</v>
      </c>
      <c r="B1210" s="108">
        <v>1417</v>
      </c>
      <c r="C1210" s="108">
        <v>1349</v>
      </c>
      <c r="D1210" s="108">
        <v>806</v>
      </c>
      <c r="E1210" s="108">
        <v>441</v>
      </c>
      <c r="F1210" s="108">
        <v>1287</v>
      </c>
      <c r="G1210" s="108">
        <v>564</v>
      </c>
      <c r="H1210" s="108">
        <v>1066</v>
      </c>
      <c r="I1210" s="108">
        <v>346</v>
      </c>
      <c r="J1210" s="108">
        <v>127</v>
      </c>
      <c r="K1210" s="108">
        <v>43</v>
      </c>
      <c r="L1210" s="108">
        <v>4703</v>
      </c>
      <c r="M1210" s="108">
        <v>2743</v>
      </c>
      <c r="N1210" s="108">
        <v>5309</v>
      </c>
      <c r="O1210" s="108">
        <v>33803</v>
      </c>
      <c r="P1210" s="108">
        <v>4951</v>
      </c>
      <c r="Q1210" s="108">
        <v>32577</v>
      </c>
      <c r="R1210" s="79">
        <f>P1210+N1210+L1210</f>
        <v>14963</v>
      </c>
    </row>
    <row r="1211" spans="1:18" ht="15.6" x14ac:dyDescent="0.3">
      <c r="A1211" s="170">
        <v>40738</v>
      </c>
      <c r="B1211" s="108">
        <v>1803</v>
      </c>
      <c r="C1211" s="106">
        <v>1751</v>
      </c>
      <c r="D1211" s="108">
        <v>1037</v>
      </c>
      <c r="E1211" s="108">
        <v>362</v>
      </c>
      <c r="F1211" s="108">
        <v>1798</v>
      </c>
      <c r="G1211" s="108">
        <v>879</v>
      </c>
      <c r="H1211" s="108">
        <v>1140</v>
      </c>
      <c r="I1211" s="108">
        <v>632</v>
      </c>
      <c r="J1211" s="108">
        <v>86</v>
      </c>
      <c r="K1211" s="108">
        <v>101</v>
      </c>
      <c r="L1211" s="108">
        <v>5863</v>
      </c>
      <c r="M1211" s="108">
        <v>3725</v>
      </c>
      <c r="N1211" s="108">
        <v>7391</v>
      </c>
      <c r="O1211" s="108">
        <v>39342</v>
      </c>
      <c r="P1211" s="108">
        <v>3556</v>
      </c>
      <c r="Q1211" s="108">
        <v>38500</v>
      </c>
      <c r="R1211" s="16">
        <f>P1211+N1211+L1211</f>
        <v>16810</v>
      </c>
    </row>
    <row r="1212" spans="1:18" ht="15.6" x14ac:dyDescent="0.3">
      <c r="A1212" s="170">
        <v>41102</v>
      </c>
      <c r="B1212" s="108">
        <v>1500</v>
      </c>
      <c r="C1212" s="108">
        <v>1522</v>
      </c>
      <c r="D1212" s="108">
        <v>813</v>
      </c>
      <c r="E1212" s="108">
        <v>487</v>
      </c>
      <c r="F1212" s="108">
        <v>1348</v>
      </c>
      <c r="G1212" s="108">
        <v>670</v>
      </c>
      <c r="H1212" s="108">
        <v>1137</v>
      </c>
      <c r="I1212" s="108">
        <v>387</v>
      </c>
      <c r="J1212" s="108">
        <v>123</v>
      </c>
      <c r="K1212" s="108">
        <v>47</v>
      </c>
      <c r="L1212" s="108">
        <v>4922</v>
      </c>
      <c r="M1212" s="108">
        <v>3113</v>
      </c>
      <c r="N1212" s="108">
        <v>4659</v>
      </c>
      <c r="O1212" s="108">
        <v>34485</v>
      </c>
      <c r="P1212" s="108">
        <v>4669</v>
      </c>
      <c r="Q1212" s="108">
        <v>33428</v>
      </c>
      <c r="R1212" s="79">
        <f>P1212+N1212+L1212</f>
        <v>14250</v>
      </c>
    </row>
    <row r="1213" spans="1:18" ht="15.6" x14ac:dyDescent="0.3">
      <c r="A1213" s="170">
        <v>40745</v>
      </c>
      <c r="B1213" s="108">
        <v>1787</v>
      </c>
      <c r="C1213" s="106">
        <v>1946</v>
      </c>
      <c r="D1213" s="108">
        <v>897</v>
      </c>
      <c r="E1213" s="108">
        <v>521</v>
      </c>
      <c r="F1213" s="108">
        <v>1781</v>
      </c>
      <c r="G1213" s="108">
        <v>1039</v>
      </c>
      <c r="H1213" s="108">
        <v>1157</v>
      </c>
      <c r="I1213" s="108">
        <v>672</v>
      </c>
      <c r="J1213" s="108">
        <v>151</v>
      </c>
      <c r="K1213" s="108">
        <v>111</v>
      </c>
      <c r="L1213" s="108">
        <v>5773</v>
      </c>
      <c r="M1213" s="108">
        <v>4289</v>
      </c>
      <c r="N1213" s="108">
        <v>6717</v>
      </c>
      <c r="O1213" s="108">
        <v>40348</v>
      </c>
      <c r="P1213" s="108">
        <v>3371</v>
      </c>
      <c r="Q1213" s="108">
        <v>38695</v>
      </c>
      <c r="R1213" s="16">
        <f>P1213+N1213+L1213</f>
        <v>15861</v>
      </c>
    </row>
    <row r="1214" spans="1:18" ht="15.6" x14ac:dyDescent="0.3">
      <c r="A1214" s="170">
        <v>41109</v>
      </c>
      <c r="B1214" s="108">
        <v>1517</v>
      </c>
      <c r="C1214" s="108">
        <v>1676</v>
      </c>
      <c r="D1214" s="108">
        <v>840</v>
      </c>
      <c r="E1214" s="108">
        <v>544</v>
      </c>
      <c r="F1214" s="108">
        <v>1390</v>
      </c>
      <c r="G1214" s="108">
        <v>729</v>
      </c>
      <c r="H1214" s="108">
        <v>1160</v>
      </c>
      <c r="I1214" s="108">
        <v>408</v>
      </c>
      <c r="J1214" s="108">
        <v>112</v>
      </c>
      <c r="K1214" s="108">
        <v>57</v>
      </c>
      <c r="L1214" s="108">
        <v>5019</v>
      </c>
      <c r="M1214" s="108">
        <v>3383</v>
      </c>
      <c r="N1214" s="108">
        <v>4137</v>
      </c>
      <c r="O1214" s="108">
        <v>34998</v>
      </c>
      <c r="P1214" s="108">
        <v>4386</v>
      </c>
      <c r="Q1214" s="108">
        <v>33904</v>
      </c>
      <c r="R1214" s="79">
        <f>P1214+N1214+L1214</f>
        <v>13542</v>
      </c>
    </row>
    <row r="1215" spans="1:18" ht="15.6" x14ac:dyDescent="0.3">
      <c r="A1215" s="170">
        <v>40752</v>
      </c>
      <c r="B1215" s="108">
        <v>1819</v>
      </c>
      <c r="C1215" s="106">
        <v>2159</v>
      </c>
      <c r="D1215" s="108">
        <v>979</v>
      </c>
      <c r="E1215" s="108">
        <v>548</v>
      </c>
      <c r="F1215" s="108">
        <v>1709</v>
      </c>
      <c r="G1215" s="108">
        <v>1204</v>
      </c>
      <c r="H1215" s="108">
        <v>1140</v>
      </c>
      <c r="I1215" s="108">
        <v>737</v>
      </c>
      <c r="J1215" s="108">
        <v>153</v>
      </c>
      <c r="K1215" s="108">
        <v>113</v>
      </c>
      <c r="L1215" s="108">
        <v>5800</v>
      </c>
      <c r="M1215" s="108">
        <v>4761</v>
      </c>
      <c r="N1215" s="108">
        <v>6236</v>
      </c>
      <c r="O1215" s="108">
        <v>41126</v>
      </c>
      <c r="P1215" s="108">
        <v>2761</v>
      </c>
      <c r="Q1215" s="108">
        <v>38900</v>
      </c>
      <c r="R1215" s="16">
        <v>14797</v>
      </c>
    </row>
    <row r="1216" spans="1:18" ht="15.6" x14ac:dyDescent="0.3">
      <c r="A1216" s="170">
        <v>41116</v>
      </c>
      <c r="B1216" s="108">
        <v>1509</v>
      </c>
      <c r="C1216" s="108">
        <v>1871</v>
      </c>
      <c r="D1216" s="108">
        <v>745</v>
      </c>
      <c r="E1216" s="108">
        <v>631</v>
      </c>
      <c r="F1216" s="108">
        <v>1449</v>
      </c>
      <c r="G1216" s="108">
        <v>819</v>
      </c>
      <c r="H1216" s="108">
        <v>1266</v>
      </c>
      <c r="I1216" s="108">
        <v>447</v>
      </c>
      <c r="J1216" s="108">
        <v>102</v>
      </c>
      <c r="K1216" s="108">
        <v>78</v>
      </c>
      <c r="L1216" s="108">
        <v>5072</v>
      </c>
      <c r="M1216" s="108">
        <v>3846</v>
      </c>
      <c r="N1216" s="108">
        <v>3732</v>
      </c>
      <c r="O1216" s="108">
        <v>35581</v>
      </c>
      <c r="P1216" s="108">
        <v>4135</v>
      </c>
      <c r="Q1216" s="108">
        <v>34349</v>
      </c>
      <c r="R1216" s="79">
        <f>P1216+N1216+L1216</f>
        <v>12939</v>
      </c>
    </row>
    <row r="1217" spans="1:18" ht="15.6" x14ac:dyDescent="0.3">
      <c r="A1217" s="170">
        <v>40759</v>
      </c>
      <c r="B1217" s="108">
        <v>1672</v>
      </c>
      <c r="C1217" s="106">
        <v>2440</v>
      </c>
      <c r="D1217" s="108">
        <v>905</v>
      </c>
      <c r="E1217" s="108">
        <v>707</v>
      </c>
      <c r="F1217" s="108">
        <v>1729</v>
      </c>
      <c r="G1217" s="108">
        <v>1294</v>
      </c>
      <c r="H1217" s="108">
        <v>1062</v>
      </c>
      <c r="I1217" s="108">
        <v>839</v>
      </c>
      <c r="J1217" s="108">
        <v>176</v>
      </c>
      <c r="K1217" s="108">
        <v>113</v>
      </c>
      <c r="L1217" s="108">
        <v>5544</v>
      </c>
      <c r="M1217" s="108">
        <v>5393</v>
      </c>
      <c r="N1217" s="108">
        <v>5728</v>
      </c>
      <c r="O1217" s="108">
        <v>42075</v>
      </c>
      <c r="P1217" s="108">
        <v>2855</v>
      </c>
      <c r="Q1217" s="108">
        <v>39045</v>
      </c>
      <c r="R1217" s="16">
        <v>14127</v>
      </c>
    </row>
    <row r="1218" spans="1:18" ht="15.6" x14ac:dyDescent="0.3">
      <c r="A1218" s="170">
        <v>41123</v>
      </c>
      <c r="B1218" s="108">
        <v>1535</v>
      </c>
      <c r="C1218" s="108">
        <v>2129</v>
      </c>
      <c r="D1218" s="108">
        <v>681</v>
      </c>
      <c r="E1218" s="108">
        <v>762</v>
      </c>
      <c r="F1218" s="108">
        <v>1525</v>
      </c>
      <c r="G1218" s="108">
        <v>909</v>
      </c>
      <c r="H1218" s="108">
        <v>1267</v>
      </c>
      <c r="I1218" s="108">
        <v>566</v>
      </c>
      <c r="J1218" s="108">
        <v>132</v>
      </c>
      <c r="K1218" s="108">
        <v>78</v>
      </c>
      <c r="L1218" s="108">
        <v>5141</v>
      </c>
      <c r="M1218" s="108">
        <v>4443</v>
      </c>
      <c r="N1218" s="108">
        <v>3430</v>
      </c>
      <c r="O1218" s="108">
        <v>36057</v>
      </c>
      <c r="P1218" s="108">
        <v>3880</v>
      </c>
      <c r="Q1218" s="108">
        <v>34709</v>
      </c>
      <c r="R1218" s="79">
        <f>P1218+N1218+L1218</f>
        <v>12451</v>
      </c>
    </row>
    <row r="1219" spans="1:18" ht="15.6" x14ac:dyDescent="0.3">
      <c r="A1219" s="170">
        <v>40766</v>
      </c>
      <c r="B1219" s="108">
        <v>1742</v>
      </c>
      <c r="C1219" s="106">
        <v>2650</v>
      </c>
      <c r="D1219" s="108">
        <v>891</v>
      </c>
      <c r="E1219" s="108">
        <v>770</v>
      </c>
      <c r="F1219" s="108">
        <v>1607</v>
      </c>
      <c r="G1219" s="108">
        <v>1503</v>
      </c>
      <c r="H1219" s="108">
        <v>1021</v>
      </c>
      <c r="I1219" s="108">
        <v>1003</v>
      </c>
      <c r="J1219" s="108">
        <v>186</v>
      </c>
      <c r="K1219" s="108">
        <v>113</v>
      </c>
      <c r="L1219" s="108">
        <v>5447</v>
      </c>
      <c r="M1219" s="108">
        <v>6040</v>
      </c>
      <c r="N1219" s="108">
        <v>5069</v>
      </c>
      <c r="O1219" s="108">
        <v>42977</v>
      </c>
      <c r="P1219" s="108">
        <v>2888</v>
      </c>
      <c r="Q1219" s="108">
        <v>39235</v>
      </c>
      <c r="R1219" s="16">
        <f>P1219+N1219+L1219</f>
        <v>13404</v>
      </c>
    </row>
    <row r="1220" spans="1:18" ht="15.6" x14ac:dyDescent="0.3">
      <c r="A1220" s="170">
        <v>41130</v>
      </c>
      <c r="B1220" s="108">
        <v>1462</v>
      </c>
      <c r="C1220" s="108">
        <v>2319</v>
      </c>
      <c r="D1220" s="108">
        <v>676</v>
      </c>
      <c r="E1220" s="108">
        <v>811</v>
      </c>
      <c r="F1220" s="108">
        <v>1512</v>
      </c>
      <c r="G1220" s="108">
        <v>1049</v>
      </c>
      <c r="H1220" s="108">
        <v>1225</v>
      </c>
      <c r="I1220" s="108">
        <v>709</v>
      </c>
      <c r="J1220" s="108">
        <v>104</v>
      </c>
      <c r="K1220" s="108">
        <v>114</v>
      </c>
      <c r="L1220" s="108">
        <v>4978</v>
      </c>
      <c r="M1220" s="108">
        <v>5002</v>
      </c>
      <c r="N1220" s="108">
        <v>2920</v>
      </c>
      <c r="O1220" s="108">
        <v>36690</v>
      </c>
      <c r="P1220" s="108">
        <v>3597</v>
      </c>
      <c r="Q1220" s="108">
        <v>35179</v>
      </c>
      <c r="R1220" s="79">
        <f>P1220+N1220+L1220</f>
        <v>11495</v>
      </c>
    </row>
    <row r="1221" spans="1:18" ht="15.6" x14ac:dyDescent="0.3">
      <c r="A1221" s="170">
        <v>40773</v>
      </c>
      <c r="B1221" s="108">
        <v>1777</v>
      </c>
      <c r="C1221" s="106">
        <v>2757</v>
      </c>
      <c r="D1221" s="108">
        <v>708</v>
      </c>
      <c r="E1221" s="108">
        <v>983</v>
      </c>
      <c r="F1221" s="108">
        <v>1602</v>
      </c>
      <c r="G1221" s="108">
        <v>1563</v>
      </c>
      <c r="H1221" s="108">
        <v>1044</v>
      </c>
      <c r="I1221" s="108">
        <v>1090</v>
      </c>
      <c r="J1221" s="108">
        <v>193</v>
      </c>
      <c r="K1221" s="108">
        <v>116</v>
      </c>
      <c r="L1221" s="108">
        <v>5325</v>
      </c>
      <c r="M1221" s="108">
        <v>6509</v>
      </c>
      <c r="N1221" s="108">
        <v>4627</v>
      </c>
      <c r="O1221" s="108">
        <v>43803</v>
      </c>
      <c r="P1221" s="108">
        <v>2713</v>
      </c>
      <c r="Q1221" s="108">
        <v>39518</v>
      </c>
      <c r="R1221" s="16">
        <f>P1221+N1221+L1221</f>
        <v>12665</v>
      </c>
    </row>
    <row r="1222" spans="1:18" ht="15.6" x14ac:dyDescent="0.3">
      <c r="A1222" s="170">
        <v>41137</v>
      </c>
      <c r="B1222" s="108">
        <v>1402</v>
      </c>
      <c r="C1222" s="108">
        <v>2579</v>
      </c>
      <c r="D1222" s="108">
        <v>617</v>
      </c>
      <c r="E1222" s="108">
        <v>873</v>
      </c>
      <c r="F1222" s="108">
        <v>1553</v>
      </c>
      <c r="G1222" s="108">
        <v>1179</v>
      </c>
      <c r="H1222" s="108">
        <v>1091</v>
      </c>
      <c r="I1222" s="108">
        <v>909</v>
      </c>
      <c r="J1222" s="108">
        <v>87</v>
      </c>
      <c r="K1222" s="108">
        <v>131</v>
      </c>
      <c r="L1222" s="108">
        <v>4749</v>
      </c>
      <c r="M1222" s="108">
        <v>5671</v>
      </c>
      <c r="N1222" s="108">
        <v>2427</v>
      </c>
      <c r="O1222" s="108">
        <v>37292</v>
      </c>
      <c r="P1222" s="108">
        <v>3043</v>
      </c>
      <c r="Q1222" s="108">
        <v>35777</v>
      </c>
      <c r="R1222" s="79">
        <f>P1222+N1222+L1222</f>
        <v>10219</v>
      </c>
    </row>
    <row r="1223" spans="1:18" ht="15.6" x14ac:dyDescent="0.3">
      <c r="A1223" s="170">
        <v>40780</v>
      </c>
      <c r="B1223" s="108">
        <v>1746</v>
      </c>
      <c r="C1223" s="106">
        <v>3040</v>
      </c>
      <c r="D1223" s="108">
        <v>652</v>
      </c>
      <c r="E1223" s="108">
        <v>1066</v>
      </c>
      <c r="F1223" s="108">
        <v>1537</v>
      </c>
      <c r="G1223" s="108">
        <v>1676</v>
      </c>
      <c r="H1223" s="108">
        <v>1008</v>
      </c>
      <c r="I1223" s="108">
        <v>1187</v>
      </c>
      <c r="J1223" s="108">
        <v>141</v>
      </c>
      <c r="K1223" s="108">
        <v>149</v>
      </c>
      <c r="L1223" s="108">
        <v>5084</v>
      </c>
      <c r="M1223" s="108">
        <v>7118</v>
      </c>
      <c r="N1223" s="108">
        <v>3540</v>
      </c>
      <c r="O1223" s="108">
        <v>44569</v>
      </c>
      <c r="P1223" s="108">
        <v>2478</v>
      </c>
      <c r="Q1223" s="108">
        <v>39753</v>
      </c>
      <c r="R1223" s="16">
        <v>11102</v>
      </c>
    </row>
    <row r="1224" spans="1:18" ht="15.6" x14ac:dyDescent="0.3">
      <c r="A1224" s="170">
        <v>41144</v>
      </c>
      <c r="B1224" s="108">
        <v>1502</v>
      </c>
      <c r="C1224" s="108">
        <v>2729</v>
      </c>
      <c r="D1224" s="108">
        <v>646</v>
      </c>
      <c r="E1224" s="108">
        <v>904</v>
      </c>
      <c r="F1224" s="108">
        <v>1564</v>
      </c>
      <c r="G1224" s="108">
        <v>1294</v>
      </c>
      <c r="H1224" s="108">
        <v>879</v>
      </c>
      <c r="I1224" s="108">
        <v>1172</v>
      </c>
      <c r="J1224" s="108">
        <v>107</v>
      </c>
      <c r="K1224" s="108">
        <v>131</v>
      </c>
      <c r="L1224" s="108">
        <v>4698</v>
      </c>
      <c r="M1224" s="108">
        <v>6230</v>
      </c>
      <c r="N1224" s="108">
        <v>2021</v>
      </c>
      <c r="O1224" s="108">
        <v>37664</v>
      </c>
      <c r="P1224" s="108">
        <v>2497</v>
      </c>
      <c r="Q1224" s="108">
        <v>36312</v>
      </c>
      <c r="R1224" s="79">
        <f>P1224+N1224+L1224</f>
        <v>9216</v>
      </c>
    </row>
    <row r="1225" spans="1:18" ht="15.6" x14ac:dyDescent="0.3">
      <c r="A1225" s="170">
        <v>40787</v>
      </c>
      <c r="B1225" s="108">
        <v>1743</v>
      </c>
      <c r="C1225" s="106">
        <v>3306</v>
      </c>
      <c r="D1225" s="108">
        <v>671</v>
      </c>
      <c r="E1225" s="108">
        <v>1111</v>
      </c>
      <c r="F1225" s="108">
        <v>1454</v>
      </c>
      <c r="G1225" s="108">
        <v>1883</v>
      </c>
      <c r="H1225" s="108">
        <v>1023</v>
      </c>
      <c r="I1225" s="108">
        <v>1255</v>
      </c>
      <c r="J1225" s="108">
        <v>81</v>
      </c>
      <c r="K1225" s="108">
        <v>188</v>
      </c>
      <c r="L1225" s="108">
        <v>4972</v>
      </c>
      <c r="M1225" s="108">
        <v>7743</v>
      </c>
      <c r="N1225" s="108">
        <v>13171</v>
      </c>
      <c r="O1225" s="108">
        <v>136</v>
      </c>
      <c r="P1225" s="108">
        <v>14284</v>
      </c>
      <c r="Q1225" s="108">
        <v>42</v>
      </c>
      <c r="R1225" s="16">
        <v>32427</v>
      </c>
    </row>
    <row r="1226" spans="1:18" ht="15.6" x14ac:dyDescent="0.3">
      <c r="A1226" s="170">
        <v>41151</v>
      </c>
      <c r="B1226" s="108">
        <v>1547</v>
      </c>
      <c r="C1226" s="108">
        <v>2946</v>
      </c>
      <c r="D1226" s="108">
        <v>714</v>
      </c>
      <c r="E1226" s="108">
        <v>969</v>
      </c>
      <c r="F1226" s="108">
        <v>1477</v>
      </c>
      <c r="G1226" s="108">
        <v>1500</v>
      </c>
      <c r="H1226" s="108">
        <v>801</v>
      </c>
      <c r="I1226" s="108">
        <v>1285</v>
      </c>
      <c r="J1226" s="108">
        <v>115</v>
      </c>
      <c r="K1226" s="108">
        <v>131</v>
      </c>
      <c r="L1226" s="108">
        <v>4652</v>
      </c>
      <c r="M1226" s="108">
        <v>6831</v>
      </c>
      <c r="N1226" s="108">
        <v>1681</v>
      </c>
      <c r="O1226" s="108">
        <v>37900</v>
      </c>
      <c r="P1226" s="108">
        <v>2088</v>
      </c>
      <c r="Q1226" s="108">
        <v>36727</v>
      </c>
      <c r="R1226" s="79">
        <f>P1226+N1226+L1226</f>
        <v>8421</v>
      </c>
    </row>
    <row r="1227" spans="1:18" ht="15.6" x14ac:dyDescent="0.3">
      <c r="A1227" s="170">
        <v>40787</v>
      </c>
      <c r="B1227" s="108">
        <v>1743</v>
      </c>
      <c r="C1227" s="106">
        <v>3306</v>
      </c>
      <c r="D1227" s="108">
        <v>671</v>
      </c>
      <c r="E1227" s="108">
        <v>1111</v>
      </c>
      <c r="F1227" s="108">
        <v>1454</v>
      </c>
      <c r="G1227" s="108">
        <v>1883</v>
      </c>
      <c r="H1227" s="108">
        <v>1023</v>
      </c>
      <c r="I1227" s="108">
        <v>1255</v>
      </c>
      <c r="J1227" s="108">
        <v>81</v>
      </c>
      <c r="K1227" s="108">
        <v>188</v>
      </c>
      <c r="L1227" s="108">
        <v>4972</v>
      </c>
      <c r="M1227" s="108">
        <v>7743</v>
      </c>
      <c r="N1227" s="108">
        <v>13171</v>
      </c>
      <c r="O1227" s="108">
        <v>136</v>
      </c>
      <c r="P1227" s="108">
        <v>14284</v>
      </c>
      <c r="Q1227" s="108">
        <v>42</v>
      </c>
      <c r="R1227" s="16">
        <f>P1227+N1227+L1227</f>
        <v>32427</v>
      </c>
    </row>
    <row r="1228" spans="1:18" ht="15.6" x14ac:dyDescent="0.3">
      <c r="A1228" s="170">
        <v>41158</v>
      </c>
      <c r="B1228" s="108">
        <v>1477</v>
      </c>
      <c r="C1228" s="108">
        <v>3083</v>
      </c>
      <c r="D1228" s="108">
        <v>731</v>
      </c>
      <c r="E1228" s="108">
        <v>1041</v>
      </c>
      <c r="F1228" s="108">
        <v>1400</v>
      </c>
      <c r="G1228" s="108">
        <v>1708</v>
      </c>
      <c r="H1228" s="108">
        <v>835</v>
      </c>
      <c r="I1228" s="108">
        <v>1339</v>
      </c>
      <c r="J1228" s="108">
        <v>105</v>
      </c>
      <c r="K1228" s="108">
        <v>142</v>
      </c>
      <c r="L1228" s="108">
        <v>4547</v>
      </c>
      <c r="M1228" s="108">
        <v>7313</v>
      </c>
      <c r="N1228" s="108">
        <v>9783</v>
      </c>
      <c r="O1228" s="108">
        <v>249</v>
      </c>
      <c r="P1228" s="108">
        <v>20385</v>
      </c>
      <c r="Q1228" s="108">
        <v>339</v>
      </c>
      <c r="R1228" s="79">
        <f>P1228+N1228+L1228</f>
        <v>34715</v>
      </c>
    </row>
    <row r="1229" spans="1:18" ht="15.6" x14ac:dyDescent="0.3">
      <c r="A1229" s="170">
        <v>40801</v>
      </c>
      <c r="B1229" s="108">
        <v>1572</v>
      </c>
      <c r="C1229" s="106">
        <v>3895</v>
      </c>
      <c r="D1229" s="108">
        <v>615</v>
      </c>
      <c r="E1229" s="108">
        <v>1256</v>
      </c>
      <c r="F1229" s="108">
        <v>1391</v>
      </c>
      <c r="G1229" s="108">
        <v>2219</v>
      </c>
      <c r="H1229" s="108">
        <v>1069</v>
      </c>
      <c r="I1229" s="108">
        <v>1520</v>
      </c>
      <c r="J1229" s="108">
        <v>61</v>
      </c>
      <c r="K1229" s="108">
        <v>210</v>
      </c>
      <c r="L1229" s="108">
        <v>4707</v>
      </c>
      <c r="M1229" s="108">
        <v>9100</v>
      </c>
      <c r="N1229" s="108">
        <v>13784</v>
      </c>
      <c r="O1229" s="108">
        <v>1248</v>
      </c>
      <c r="P1229" s="108">
        <v>14501</v>
      </c>
      <c r="Q1229" s="108">
        <v>581</v>
      </c>
      <c r="R1229" s="16">
        <v>32992</v>
      </c>
    </row>
    <row r="1230" spans="1:18" ht="15.6" x14ac:dyDescent="0.3">
      <c r="A1230" s="170">
        <v>41165</v>
      </c>
      <c r="B1230" s="108">
        <v>1458</v>
      </c>
      <c r="C1230" s="108">
        <v>3287</v>
      </c>
      <c r="D1230" s="108">
        <v>684</v>
      </c>
      <c r="E1230" s="108">
        <v>1152</v>
      </c>
      <c r="F1230" s="108">
        <v>1202</v>
      </c>
      <c r="G1230" s="108">
        <v>2020</v>
      </c>
      <c r="H1230" s="108">
        <v>824</v>
      </c>
      <c r="I1230" s="108">
        <v>1469</v>
      </c>
      <c r="J1230" s="108">
        <v>92</v>
      </c>
      <c r="K1230" s="108">
        <v>161</v>
      </c>
      <c r="L1230" s="108">
        <v>4260</v>
      </c>
      <c r="M1230" s="108">
        <v>8089</v>
      </c>
      <c r="N1230" s="108">
        <v>9113</v>
      </c>
      <c r="O1230" s="108">
        <v>989</v>
      </c>
      <c r="P1230" s="108">
        <v>20825</v>
      </c>
      <c r="Q1230" s="108">
        <v>612</v>
      </c>
      <c r="R1230" s="79">
        <f>P1230+N1230+L1230</f>
        <v>34198</v>
      </c>
    </row>
    <row r="1231" spans="1:18" ht="15.6" x14ac:dyDescent="0.3">
      <c r="A1231" s="170">
        <v>40808</v>
      </c>
      <c r="B1231" s="108">
        <v>1503</v>
      </c>
      <c r="C1231" s="106">
        <v>4088</v>
      </c>
      <c r="D1231" s="108">
        <v>674</v>
      </c>
      <c r="E1231" s="108">
        <v>1326</v>
      </c>
      <c r="F1231" s="108">
        <v>1367</v>
      </c>
      <c r="G1231" s="108">
        <v>2392</v>
      </c>
      <c r="H1231" s="108">
        <v>988</v>
      </c>
      <c r="I1231" s="108">
        <v>1595</v>
      </c>
      <c r="J1231" s="108">
        <v>84</v>
      </c>
      <c r="K1231" s="108">
        <v>221</v>
      </c>
      <c r="L1231" s="108">
        <v>4615</v>
      </c>
      <c r="M1231" s="108">
        <v>9622</v>
      </c>
      <c r="N1231" s="108">
        <v>13748</v>
      </c>
      <c r="O1231" s="108">
        <v>2071</v>
      </c>
      <c r="P1231" s="108">
        <v>15213</v>
      </c>
      <c r="Q1231" s="108">
        <v>903</v>
      </c>
      <c r="R1231" s="16">
        <f>P1231+N1231+L1231</f>
        <v>33576</v>
      </c>
    </row>
    <row r="1232" spans="1:18" ht="15.6" x14ac:dyDescent="0.3">
      <c r="A1232" s="170">
        <v>41172</v>
      </c>
      <c r="B1232" s="108">
        <v>1359</v>
      </c>
      <c r="C1232" s="108">
        <v>3503</v>
      </c>
      <c r="D1232" s="108">
        <v>712</v>
      </c>
      <c r="E1232" s="108">
        <v>1174</v>
      </c>
      <c r="F1232" s="108">
        <v>1182</v>
      </c>
      <c r="G1232" s="108">
        <v>2162</v>
      </c>
      <c r="H1232" s="108">
        <v>783</v>
      </c>
      <c r="I1232" s="108">
        <v>1597</v>
      </c>
      <c r="J1232" s="108">
        <v>108</v>
      </c>
      <c r="K1232" s="108">
        <v>196</v>
      </c>
      <c r="L1232" s="108">
        <v>4143</v>
      </c>
      <c r="M1232" s="108">
        <v>8631</v>
      </c>
      <c r="N1232" s="108">
        <v>8434</v>
      </c>
      <c r="O1232" s="108">
        <v>1669</v>
      </c>
      <c r="P1232" s="108">
        <v>21296</v>
      </c>
      <c r="Q1232" s="108">
        <v>941</v>
      </c>
      <c r="R1232" s="79">
        <f>P1232+N1232+L1232</f>
        <v>33873</v>
      </c>
    </row>
    <row r="1233" spans="1:18" ht="15.6" x14ac:dyDescent="0.3">
      <c r="A1233" s="170">
        <v>40815</v>
      </c>
      <c r="B1233" s="108">
        <v>1417</v>
      </c>
      <c r="C1233" s="106">
        <v>4370</v>
      </c>
      <c r="D1233" s="108">
        <v>746</v>
      </c>
      <c r="E1233" s="108">
        <v>1376</v>
      </c>
      <c r="F1233" s="108">
        <v>1280</v>
      </c>
      <c r="G1233" s="108">
        <v>2507</v>
      </c>
      <c r="H1233" s="108">
        <v>918</v>
      </c>
      <c r="I1233" s="108">
        <v>1749</v>
      </c>
      <c r="J1233" s="108">
        <v>84</v>
      </c>
      <c r="K1233" s="108">
        <v>221</v>
      </c>
      <c r="L1233" s="108">
        <v>4445</v>
      </c>
      <c r="M1233" s="108">
        <v>10223</v>
      </c>
      <c r="N1233" s="108">
        <v>14282</v>
      </c>
      <c r="O1233" s="108">
        <v>2827</v>
      </c>
      <c r="P1233" s="108">
        <v>15589</v>
      </c>
      <c r="Q1233" s="108">
        <v>1229</v>
      </c>
      <c r="R1233" s="16">
        <f>P1233+N1233+L1233</f>
        <v>34316</v>
      </c>
    </row>
    <row r="1234" spans="1:18" ht="15.6" x14ac:dyDescent="0.3">
      <c r="A1234" s="170">
        <v>41179</v>
      </c>
      <c r="B1234" s="108">
        <v>1326</v>
      </c>
      <c r="C1234" s="108">
        <v>3685</v>
      </c>
      <c r="D1234" s="108">
        <v>639</v>
      </c>
      <c r="E1234" s="108">
        <v>1252</v>
      </c>
      <c r="F1234" s="108">
        <v>1033</v>
      </c>
      <c r="G1234" s="108">
        <v>2360</v>
      </c>
      <c r="H1234" s="108">
        <v>749</v>
      </c>
      <c r="I1234" s="108">
        <v>1730</v>
      </c>
      <c r="J1234" s="108">
        <v>112</v>
      </c>
      <c r="K1234" s="108">
        <v>196</v>
      </c>
      <c r="L1234" s="108">
        <v>3859</v>
      </c>
      <c r="M1234" s="108">
        <v>9222</v>
      </c>
      <c r="N1234" s="108">
        <v>8331</v>
      </c>
      <c r="O1234" s="108">
        <v>2099</v>
      </c>
      <c r="P1234" s="108">
        <v>21415</v>
      </c>
      <c r="Q1234" s="108">
        <v>2053</v>
      </c>
      <c r="R1234" s="79">
        <f>P1234+N1234+L1234</f>
        <v>33605</v>
      </c>
    </row>
    <row r="1235" spans="1:18" ht="15.6" x14ac:dyDescent="0.3">
      <c r="A1235" s="170">
        <v>40822</v>
      </c>
      <c r="B1235" s="108">
        <v>1459</v>
      </c>
      <c r="C1235" s="106">
        <v>4494</v>
      </c>
      <c r="D1235" s="108">
        <v>737</v>
      </c>
      <c r="E1235" s="108">
        <v>1394</v>
      </c>
      <c r="F1235" s="108">
        <v>1282</v>
      </c>
      <c r="G1235" s="108">
        <v>2628</v>
      </c>
      <c r="H1235" s="108">
        <v>1000</v>
      </c>
      <c r="I1235" s="108">
        <v>1842</v>
      </c>
      <c r="J1235" s="108">
        <v>85</v>
      </c>
      <c r="K1235" s="108">
        <v>229</v>
      </c>
      <c r="L1235" s="108">
        <v>4563</v>
      </c>
      <c r="M1235" s="108">
        <v>10588</v>
      </c>
      <c r="N1235" s="108">
        <v>14630</v>
      </c>
      <c r="O1235" s="108">
        <v>3738</v>
      </c>
      <c r="P1235" s="108">
        <v>15658</v>
      </c>
      <c r="Q1235" s="108">
        <v>1832</v>
      </c>
      <c r="R1235" s="16">
        <v>34851</v>
      </c>
    </row>
    <row r="1236" spans="1:18" ht="15.6" x14ac:dyDescent="0.3">
      <c r="A1236" s="170">
        <v>41186</v>
      </c>
      <c r="B1236" s="72">
        <v>1227.9000000000001</v>
      </c>
      <c r="C1236" s="72">
        <v>3908</v>
      </c>
      <c r="D1236" s="72">
        <v>625.1</v>
      </c>
      <c r="E1236" s="72">
        <v>1298.9000000000001</v>
      </c>
      <c r="F1236" s="72">
        <v>1091.0999999999999</v>
      </c>
      <c r="G1236" s="72">
        <v>2422.8000000000002</v>
      </c>
      <c r="H1236" s="72">
        <v>728.8</v>
      </c>
      <c r="I1236" s="72">
        <v>1751.4</v>
      </c>
      <c r="J1236" s="72">
        <v>84</v>
      </c>
      <c r="K1236" s="72">
        <v>222.7</v>
      </c>
      <c r="L1236" s="174">
        <v>3756.9</v>
      </c>
      <c r="M1236" s="174">
        <v>9604</v>
      </c>
      <c r="N1236" s="174">
        <v>7813.9</v>
      </c>
      <c r="O1236" s="174">
        <v>2619.6</v>
      </c>
      <c r="P1236" s="174">
        <v>20736.900000000001</v>
      </c>
      <c r="Q1236" s="174">
        <v>3231.6</v>
      </c>
      <c r="R1236" s="79">
        <f>P1236+N1236+L1236</f>
        <v>32307.700000000004</v>
      </c>
    </row>
    <row r="1237" spans="1:18" ht="15.6" x14ac:dyDescent="0.3">
      <c r="A1237" s="170">
        <v>40829</v>
      </c>
      <c r="B1237" s="108">
        <v>1426</v>
      </c>
      <c r="C1237" s="106">
        <v>4687</v>
      </c>
      <c r="D1237" s="108">
        <v>769</v>
      </c>
      <c r="E1237" s="108">
        <v>1407</v>
      </c>
      <c r="F1237" s="108">
        <v>1302</v>
      </c>
      <c r="G1237" s="108">
        <v>2753</v>
      </c>
      <c r="H1237" s="108">
        <v>1002</v>
      </c>
      <c r="I1237" s="108">
        <v>1890</v>
      </c>
      <c r="J1237" s="108">
        <v>78</v>
      </c>
      <c r="K1237" s="108">
        <v>237</v>
      </c>
      <c r="L1237" s="108">
        <v>4577</v>
      </c>
      <c r="M1237" s="108">
        <v>10974</v>
      </c>
      <c r="N1237" s="108">
        <v>15829</v>
      </c>
      <c r="O1237" s="108">
        <v>4302</v>
      </c>
      <c r="P1237" s="108">
        <v>15084</v>
      </c>
      <c r="Q1237" s="108">
        <v>3000</v>
      </c>
      <c r="R1237" s="16">
        <v>35490</v>
      </c>
    </row>
    <row r="1238" spans="1:18" ht="15.6" x14ac:dyDescent="0.3">
      <c r="A1238" s="170">
        <v>41193</v>
      </c>
      <c r="B1238" s="73">
        <v>1408</v>
      </c>
      <c r="C1238" s="73">
        <v>3924</v>
      </c>
      <c r="D1238" s="73">
        <v>619</v>
      </c>
      <c r="E1238" s="73">
        <v>1345</v>
      </c>
      <c r="F1238" s="73">
        <v>1116</v>
      </c>
      <c r="G1238" s="73">
        <v>2443</v>
      </c>
      <c r="H1238" s="73">
        <v>789</v>
      </c>
      <c r="I1238" s="73">
        <v>1782</v>
      </c>
      <c r="J1238" s="73">
        <v>104</v>
      </c>
      <c r="K1238" s="73">
        <v>241</v>
      </c>
      <c r="L1238" s="175">
        <v>4036</v>
      </c>
      <c r="M1238" s="175">
        <v>9735</v>
      </c>
      <c r="N1238" s="175">
        <v>7563</v>
      </c>
      <c r="O1238" s="175">
        <v>3037</v>
      </c>
      <c r="P1238" s="175">
        <v>19790</v>
      </c>
      <c r="Q1238" s="175">
        <v>4701</v>
      </c>
      <c r="R1238" s="79">
        <f t="shared" ref="R1238:R1244" si="84">P1238+N1238+L1238</f>
        <v>31389</v>
      </c>
    </row>
    <row r="1239" spans="1:18" ht="15.6" x14ac:dyDescent="0.3">
      <c r="A1239" s="170">
        <v>40836</v>
      </c>
      <c r="B1239" s="108">
        <v>1342</v>
      </c>
      <c r="C1239" s="108">
        <v>4831</v>
      </c>
      <c r="D1239" s="108">
        <v>792</v>
      </c>
      <c r="E1239" s="108">
        <v>1483</v>
      </c>
      <c r="F1239" s="108">
        <v>1258</v>
      </c>
      <c r="G1239" s="108">
        <v>2845</v>
      </c>
      <c r="H1239" s="108">
        <v>1041</v>
      </c>
      <c r="I1239" s="108">
        <v>1963</v>
      </c>
      <c r="J1239" s="108">
        <v>78</v>
      </c>
      <c r="K1239" s="108">
        <v>237</v>
      </c>
      <c r="L1239" s="108">
        <v>4511</v>
      </c>
      <c r="M1239" s="108">
        <v>11357</v>
      </c>
      <c r="N1239" s="108">
        <v>15488</v>
      </c>
      <c r="O1239" s="108">
        <v>4979</v>
      </c>
      <c r="P1239" s="108">
        <v>14171</v>
      </c>
      <c r="Q1239" s="108">
        <v>4141</v>
      </c>
      <c r="R1239" s="16">
        <f t="shared" si="84"/>
        <v>34170</v>
      </c>
    </row>
    <row r="1240" spans="1:18" ht="15.6" x14ac:dyDescent="0.3">
      <c r="A1240" s="170">
        <v>41200</v>
      </c>
      <c r="B1240" s="73">
        <v>1482</v>
      </c>
      <c r="C1240" s="73">
        <v>4105</v>
      </c>
      <c r="D1240" s="73">
        <v>628</v>
      </c>
      <c r="E1240" s="73">
        <v>1396</v>
      </c>
      <c r="F1240" s="73">
        <v>1209</v>
      </c>
      <c r="G1240" s="73">
        <v>2539</v>
      </c>
      <c r="H1240" s="73">
        <v>839</v>
      </c>
      <c r="I1240" s="73">
        <v>1834</v>
      </c>
      <c r="J1240" s="73">
        <v>72</v>
      </c>
      <c r="K1240" s="73">
        <v>241</v>
      </c>
      <c r="L1240" s="175">
        <v>4228</v>
      </c>
      <c r="M1240" s="175">
        <v>10115</v>
      </c>
      <c r="N1240" s="175">
        <v>7415</v>
      </c>
      <c r="O1240" s="175">
        <v>3327</v>
      </c>
      <c r="P1240" s="175">
        <v>18671</v>
      </c>
      <c r="Q1240" s="175">
        <v>6343</v>
      </c>
      <c r="R1240" s="79">
        <f t="shared" si="84"/>
        <v>30314</v>
      </c>
    </row>
    <row r="1241" spans="1:18" ht="15.6" x14ac:dyDescent="0.3">
      <c r="A1241" s="170">
        <v>40843</v>
      </c>
      <c r="B1241" s="108">
        <v>1322</v>
      </c>
      <c r="C1241" s="108">
        <v>4989</v>
      </c>
      <c r="D1241" s="108">
        <v>738</v>
      </c>
      <c r="E1241" s="108">
        <v>1555</v>
      </c>
      <c r="F1241" s="108">
        <v>1162</v>
      </c>
      <c r="G1241" s="108">
        <v>3072</v>
      </c>
      <c r="H1241" s="108">
        <v>926</v>
      </c>
      <c r="I1241" s="108">
        <v>2110</v>
      </c>
      <c r="J1241" s="108">
        <v>58</v>
      </c>
      <c r="K1241" s="108">
        <v>257</v>
      </c>
      <c r="L1241" s="108">
        <v>4206</v>
      </c>
      <c r="M1241" s="108">
        <v>11982</v>
      </c>
      <c r="N1241" s="108">
        <v>15364</v>
      </c>
      <c r="O1241" s="108">
        <v>5726</v>
      </c>
      <c r="P1241" s="108">
        <v>13181</v>
      </c>
      <c r="Q1241" s="108">
        <v>5341</v>
      </c>
      <c r="R1241" s="16">
        <f t="shared" si="84"/>
        <v>32751</v>
      </c>
    </row>
    <row r="1242" spans="1:18" ht="15.6" x14ac:dyDescent="0.3">
      <c r="A1242" s="170">
        <v>41207</v>
      </c>
      <c r="B1242" s="73">
        <v>1510</v>
      </c>
      <c r="C1242" s="73">
        <v>4207</v>
      </c>
      <c r="D1242" s="73">
        <v>611</v>
      </c>
      <c r="E1242" s="73">
        <v>1452</v>
      </c>
      <c r="F1242" s="73">
        <v>1252</v>
      </c>
      <c r="G1242" s="73">
        <v>2601</v>
      </c>
      <c r="H1242" s="73">
        <v>829</v>
      </c>
      <c r="I1242" s="73">
        <v>1908</v>
      </c>
      <c r="J1242" s="73">
        <v>95</v>
      </c>
      <c r="K1242" s="73">
        <v>241</v>
      </c>
      <c r="L1242" s="175">
        <v>4296</v>
      </c>
      <c r="M1242" s="175">
        <v>10410</v>
      </c>
      <c r="N1242" s="175">
        <v>7195</v>
      </c>
      <c r="O1242" s="175">
        <v>3716</v>
      </c>
      <c r="P1242" s="175">
        <v>17699</v>
      </c>
      <c r="Q1242" s="175">
        <v>8057</v>
      </c>
      <c r="R1242" s="79">
        <f t="shared" si="84"/>
        <v>29190</v>
      </c>
    </row>
    <row r="1243" spans="1:18" ht="15.6" x14ac:dyDescent="0.3">
      <c r="A1243" s="170">
        <v>40850</v>
      </c>
      <c r="B1243" s="108">
        <v>1333</v>
      </c>
      <c r="C1243" s="108">
        <v>5064</v>
      </c>
      <c r="D1243" s="108">
        <v>690</v>
      </c>
      <c r="E1243" s="108">
        <v>1647</v>
      </c>
      <c r="F1243" s="108">
        <v>1174</v>
      </c>
      <c r="G1243" s="108">
        <v>3156</v>
      </c>
      <c r="H1243" s="108">
        <v>899</v>
      </c>
      <c r="I1243" s="108">
        <v>2198</v>
      </c>
      <c r="J1243" s="108">
        <v>56</v>
      </c>
      <c r="K1243" s="108">
        <v>271</v>
      </c>
      <c r="L1243" s="108">
        <v>4151</v>
      </c>
      <c r="M1243" s="108">
        <v>12335</v>
      </c>
      <c r="N1243" s="108">
        <v>14991</v>
      </c>
      <c r="O1243" s="108">
        <v>6350</v>
      </c>
      <c r="P1243" s="108">
        <v>12561</v>
      </c>
      <c r="Q1243" s="108">
        <v>6565</v>
      </c>
      <c r="R1243" s="16">
        <f t="shared" si="84"/>
        <v>31703</v>
      </c>
    </row>
    <row r="1244" spans="1:18" ht="15.6" x14ac:dyDescent="0.3">
      <c r="A1244" s="170">
        <v>41214</v>
      </c>
      <c r="B1244" s="73">
        <v>1424</v>
      </c>
      <c r="C1244" s="73">
        <v>4361</v>
      </c>
      <c r="D1244" s="73">
        <v>638</v>
      </c>
      <c r="E1244" s="73">
        <v>1480</v>
      </c>
      <c r="F1244" s="73">
        <v>1220</v>
      </c>
      <c r="G1244" s="73">
        <v>2677</v>
      </c>
      <c r="H1244" s="73">
        <v>759</v>
      </c>
      <c r="I1244" s="73">
        <v>2014</v>
      </c>
      <c r="J1244" s="73">
        <v>72</v>
      </c>
      <c r="K1244" s="73">
        <v>269</v>
      </c>
      <c r="L1244" s="175">
        <v>4113</v>
      </c>
      <c r="M1244" s="175">
        <v>10802</v>
      </c>
      <c r="N1244" s="175">
        <v>6957</v>
      </c>
      <c r="O1244" s="175">
        <v>4113</v>
      </c>
      <c r="P1244" s="175">
        <v>16137</v>
      </c>
      <c r="Q1244" s="175">
        <v>9805</v>
      </c>
      <c r="R1244" s="79">
        <f t="shared" si="84"/>
        <v>27207</v>
      </c>
    </row>
    <row r="1245" spans="1:18" ht="15.6" x14ac:dyDescent="0.3">
      <c r="A1245" s="170">
        <v>40857</v>
      </c>
      <c r="B1245" s="108">
        <v>1434</v>
      </c>
      <c r="C1245" s="108">
        <v>5176</v>
      </c>
      <c r="D1245" s="108">
        <v>689</v>
      </c>
      <c r="E1245" s="108">
        <v>1701</v>
      </c>
      <c r="F1245" s="108">
        <v>1103</v>
      </c>
      <c r="G1245" s="108">
        <v>3262</v>
      </c>
      <c r="H1245" s="108">
        <v>877</v>
      </c>
      <c r="I1245" s="108">
        <v>2227</v>
      </c>
      <c r="J1245" s="108">
        <v>64</v>
      </c>
      <c r="K1245" s="108">
        <v>271</v>
      </c>
      <c r="L1245" s="108">
        <v>4167</v>
      </c>
      <c r="M1245" s="108">
        <v>12637</v>
      </c>
      <c r="N1245" s="108">
        <v>14305</v>
      </c>
      <c r="O1245" s="108">
        <v>7240</v>
      </c>
      <c r="P1245" s="108">
        <v>11879</v>
      </c>
      <c r="Q1245" s="108">
        <v>7994</v>
      </c>
      <c r="R1245" s="16">
        <f>P1245+N1245+L1245</f>
        <v>30351</v>
      </c>
    </row>
    <row r="1246" spans="1:18" ht="15.6" x14ac:dyDescent="0.3">
      <c r="A1246" s="170">
        <v>41221</v>
      </c>
      <c r="B1246" s="73">
        <v>1421</v>
      </c>
      <c r="C1246" s="73">
        <v>4489</v>
      </c>
      <c r="D1246" s="73">
        <v>610</v>
      </c>
      <c r="E1246" s="73">
        <v>1526</v>
      </c>
      <c r="F1246" s="73">
        <v>1215</v>
      </c>
      <c r="G1246" s="73">
        <v>2739</v>
      </c>
      <c r="H1246" s="73">
        <v>836</v>
      </c>
      <c r="I1246" s="73">
        <v>2062</v>
      </c>
      <c r="J1246" s="73">
        <v>47</v>
      </c>
      <c r="K1246" s="73">
        <v>284</v>
      </c>
      <c r="L1246" s="175">
        <v>4129</v>
      </c>
      <c r="M1246" s="175">
        <v>11101</v>
      </c>
      <c r="N1246" s="175">
        <v>6829</v>
      </c>
      <c r="O1246" s="175">
        <v>4343</v>
      </c>
      <c r="P1246" s="175">
        <v>14882</v>
      </c>
      <c r="Q1246" s="175">
        <v>11620</v>
      </c>
      <c r="R1246" s="79">
        <f>P1246+N1246+L1246</f>
        <v>25840</v>
      </c>
    </row>
    <row r="1247" spans="1:18" ht="15.6" x14ac:dyDescent="0.3">
      <c r="A1247" s="170">
        <v>40864</v>
      </c>
      <c r="B1247" s="108">
        <v>1461</v>
      </c>
      <c r="C1247" s="108">
        <v>5302</v>
      </c>
      <c r="D1247" s="108">
        <v>721.8</v>
      </c>
      <c r="E1247" s="108">
        <v>1743.7</v>
      </c>
      <c r="F1247" s="108">
        <v>1184.0999999999999</v>
      </c>
      <c r="G1247" s="108">
        <v>3338.7</v>
      </c>
      <c r="H1247" s="108">
        <v>986.1</v>
      </c>
      <c r="I1247" s="108">
        <v>2343.1999999999998</v>
      </c>
      <c r="J1247" s="108">
        <v>65.2</v>
      </c>
      <c r="K1247" s="108">
        <v>271.2</v>
      </c>
      <c r="L1247" s="108">
        <v>4418.6000000000004</v>
      </c>
      <c r="M1247" s="108">
        <v>12999.2</v>
      </c>
      <c r="N1247" s="108">
        <v>13643.3</v>
      </c>
      <c r="O1247" s="108">
        <v>8214.1</v>
      </c>
      <c r="P1247" s="108">
        <v>11808.5</v>
      </c>
      <c r="Q1247" s="108">
        <v>13595.9</v>
      </c>
      <c r="R1247" s="79">
        <f>P1247+N1247+L1247</f>
        <v>29870.400000000001</v>
      </c>
    </row>
    <row r="1248" spans="1:18" ht="15.6" x14ac:dyDescent="0.3">
      <c r="A1248" s="170">
        <v>41228</v>
      </c>
      <c r="B1248" s="73">
        <v>1514.2</v>
      </c>
      <c r="C1248" s="73">
        <v>4595.8999999999996</v>
      </c>
      <c r="D1248" s="73">
        <v>690.6</v>
      </c>
      <c r="E1248" s="73">
        <v>1582.3</v>
      </c>
      <c r="F1248" s="73">
        <v>1286.0999999999999</v>
      </c>
      <c r="G1248" s="73">
        <v>2817.9</v>
      </c>
      <c r="H1248" s="73">
        <v>899.1</v>
      </c>
      <c r="I1248" s="73">
        <v>2148.1999999999998</v>
      </c>
      <c r="J1248" s="73">
        <v>45.1</v>
      </c>
      <c r="K1248" s="73">
        <v>285.8</v>
      </c>
      <c r="L1248" s="175">
        <v>4435.1000000000004</v>
      </c>
      <c r="M1248" s="175">
        <v>11430.1</v>
      </c>
      <c r="N1248" s="175">
        <v>7203.8</v>
      </c>
      <c r="O1248" s="175">
        <v>4737.8999999999996</v>
      </c>
      <c r="P1248" s="175">
        <v>13449</v>
      </c>
      <c r="Q1248" s="175">
        <v>8985.1</v>
      </c>
      <c r="R1248" s="79">
        <f>P1248+N1248+L1248</f>
        <v>25087.9</v>
      </c>
    </row>
    <row r="1249" spans="1:18" ht="15.6" x14ac:dyDescent="0.3">
      <c r="A1249" s="170">
        <v>40871</v>
      </c>
      <c r="B1249" s="108">
        <v>1370</v>
      </c>
      <c r="C1249" s="108">
        <v>5462</v>
      </c>
      <c r="D1249" s="108">
        <v>740</v>
      </c>
      <c r="E1249" s="108">
        <v>1798</v>
      </c>
      <c r="F1249" s="108">
        <v>1310</v>
      </c>
      <c r="G1249" s="108">
        <v>3376</v>
      </c>
      <c r="H1249" s="108">
        <v>1143</v>
      </c>
      <c r="I1249" s="108">
        <v>2371</v>
      </c>
      <c r="J1249" s="108">
        <v>55</v>
      </c>
      <c r="K1249" s="108">
        <v>294</v>
      </c>
      <c r="L1249" s="108">
        <v>4620</v>
      </c>
      <c r="M1249" s="108">
        <v>13301</v>
      </c>
      <c r="N1249" s="108">
        <v>13114</v>
      </c>
      <c r="O1249" s="108">
        <v>9024</v>
      </c>
      <c r="P1249" s="108">
        <v>11081</v>
      </c>
      <c r="Q1249" s="108">
        <v>10202</v>
      </c>
      <c r="R1249" s="16">
        <v>28815</v>
      </c>
    </row>
    <row r="1250" spans="1:18" ht="15.6" x14ac:dyDescent="0.3">
      <c r="A1250" s="170">
        <v>41235</v>
      </c>
      <c r="B1250" s="73">
        <v>1446</v>
      </c>
      <c r="C1250" s="73">
        <v>4694</v>
      </c>
      <c r="D1250" s="73">
        <v>671</v>
      </c>
      <c r="E1250" s="73">
        <v>1605</v>
      </c>
      <c r="F1250" s="73">
        <v>1246</v>
      </c>
      <c r="G1250" s="73">
        <v>2901</v>
      </c>
      <c r="H1250" s="73">
        <v>1077</v>
      </c>
      <c r="I1250" s="73">
        <v>2173</v>
      </c>
      <c r="J1250" s="73">
        <v>45.1</v>
      </c>
      <c r="K1250" s="73">
        <v>285.8</v>
      </c>
      <c r="L1250" s="175">
        <v>4486</v>
      </c>
      <c r="M1250" s="175">
        <v>11659</v>
      </c>
      <c r="N1250" s="175">
        <v>7071</v>
      </c>
      <c r="O1250" s="175">
        <v>5107</v>
      </c>
      <c r="P1250" s="175">
        <v>12414</v>
      </c>
      <c r="Q1250" s="175">
        <v>14946</v>
      </c>
      <c r="R1250" s="79">
        <f>P1250+N1250+L1250</f>
        <v>23971</v>
      </c>
    </row>
    <row r="1251" spans="1:18" ht="15.6" x14ac:dyDescent="0.3">
      <c r="A1251" s="170">
        <v>40878</v>
      </c>
      <c r="B1251" s="108">
        <v>1411</v>
      </c>
      <c r="C1251" s="108">
        <v>5563</v>
      </c>
      <c r="D1251" s="108">
        <v>685</v>
      </c>
      <c r="E1251" s="108">
        <v>1888</v>
      </c>
      <c r="F1251" s="108">
        <v>1251</v>
      </c>
      <c r="G1251" s="108">
        <v>3537</v>
      </c>
      <c r="H1251" s="108">
        <v>1205</v>
      </c>
      <c r="I1251" s="108">
        <v>2443</v>
      </c>
      <c r="J1251" s="108">
        <v>64</v>
      </c>
      <c r="K1251" s="108">
        <v>294</v>
      </c>
      <c r="L1251" s="108">
        <v>4616</v>
      </c>
      <c r="M1251" s="108">
        <v>13724</v>
      </c>
      <c r="N1251" s="108">
        <v>12773</v>
      </c>
      <c r="O1251" s="108">
        <v>10061</v>
      </c>
      <c r="P1251" s="108">
        <v>11005</v>
      </c>
      <c r="Q1251" s="108">
        <v>11049</v>
      </c>
      <c r="R1251" s="16">
        <v>28438</v>
      </c>
    </row>
    <row r="1252" spans="1:18" ht="15.6" x14ac:dyDescent="0.3">
      <c r="A1252" s="170">
        <v>41242</v>
      </c>
      <c r="B1252" s="73">
        <v>1473</v>
      </c>
      <c r="C1252" s="73">
        <v>4821</v>
      </c>
      <c r="D1252" s="73">
        <v>671</v>
      </c>
      <c r="E1252" s="73">
        <v>1664</v>
      </c>
      <c r="F1252" s="73">
        <v>1203</v>
      </c>
      <c r="G1252" s="73">
        <v>2989</v>
      </c>
      <c r="H1252" s="73">
        <v>1051</v>
      </c>
      <c r="I1252" s="73">
        <v>2287</v>
      </c>
      <c r="J1252" s="73">
        <v>54</v>
      </c>
      <c r="K1252" s="73">
        <v>285.8</v>
      </c>
      <c r="L1252" s="175">
        <v>4452</v>
      </c>
      <c r="M1252" s="175">
        <v>12045</v>
      </c>
      <c r="N1252" s="175">
        <v>6830</v>
      </c>
      <c r="O1252" s="175">
        <v>5399</v>
      </c>
      <c r="P1252" s="175">
        <v>12004</v>
      </c>
      <c r="Q1252" s="175">
        <v>16400</v>
      </c>
      <c r="R1252" s="79">
        <f>P1252+N1252+L1252</f>
        <v>23286</v>
      </c>
    </row>
    <row r="1253" spans="1:18" ht="15.6" x14ac:dyDescent="0.3">
      <c r="A1253" s="170">
        <v>40885</v>
      </c>
      <c r="B1253" s="108">
        <v>1311</v>
      </c>
      <c r="C1253" s="108">
        <v>5769</v>
      </c>
      <c r="D1253" s="108">
        <v>700</v>
      </c>
      <c r="E1253" s="108">
        <v>1896</v>
      </c>
      <c r="F1253" s="108">
        <v>1116</v>
      </c>
      <c r="G1253" s="108">
        <v>3776</v>
      </c>
      <c r="H1253" s="108">
        <v>1190</v>
      </c>
      <c r="I1253" s="108">
        <v>2528</v>
      </c>
      <c r="J1253" s="108">
        <v>79</v>
      </c>
      <c r="K1253" s="108">
        <v>294</v>
      </c>
      <c r="L1253" s="108">
        <v>4396</v>
      </c>
      <c r="M1253" s="108">
        <v>14262</v>
      </c>
      <c r="N1253" s="108">
        <v>12390</v>
      </c>
      <c r="O1253" s="108">
        <v>10948</v>
      </c>
      <c r="P1253" s="108">
        <v>10465</v>
      </c>
      <c r="Q1253" s="108">
        <v>12057</v>
      </c>
      <c r="R1253" s="16">
        <v>27251</v>
      </c>
    </row>
    <row r="1254" spans="1:18" ht="15.6" x14ac:dyDescent="0.3">
      <c r="A1254" s="170">
        <v>41249</v>
      </c>
      <c r="B1254" s="73">
        <v>1417</v>
      </c>
      <c r="C1254" s="73">
        <v>4970</v>
      </c>
      <c r="D1254" s="73">
        <v>705</v>
      </c>
      <c r="E1254" s="73">
        <v>1713</v>
      </c>
      <c r="F1254" s="73">
        <v>1252</v>
      </c>
      <c r="G1254" s="73">
        <v>3063</v>
      </c>
      <c r="H1254" s="73">
        <v>1213</v>
      </c>
      <c r="I1254" s="73">
        <v>2323</v>
      </c>
      <c r="J1254" s="73">
        <v>74</v>
      </c>
      <c r="K1254" s="73">
        <v>285.8</v>
      </c>
      <c r="L1254" s="175">
        <v>4661</v>
      </c>
      <c r="M1254" s="175">
        <v>12355</v>
      </c>
      <c r="N1254" s="175">
        <v>6380</v>
      </c>
      <c r="O1254" s="175">
        <v>5658</v>
      </c>
      <c r="P1254" s="175">
        <v>12164</v>
      </c>
      <c r="Q1254" s="175">
        <v>17559</v>
      </c>
      <c r="R1254" s="79">
        <f>P1254+N1254+L1254</f>
        <v>23205</v>
      </c>
    </row>
    <row r="1255" spans="1:18" ht="15.6" x14ac:dyDescent="0.3">
      <c r="A1255" s="170">
        <v>40892</v>
      </c>
      <c r="B1255" s="108">
        <v>1339.3</v>
      </c>
      <c r="C1255" s="108">
        <v>5873.8</v>
      </c>
      <c r="D1255" s="108">
        <v>709</v>
      </c>
      <c r="E1255" s="108">
        <v>1919.7</v>
      </c>
      <c r="F1255" s="108">
        <v>1188</v>
      </c>
      <c r="G1255" s="108">
        <v>3830</v>
      </c>
      <c r="H1255" s="108">
        <v>1071.2</v>
      </c>
      <c r="I1255" s="108">
        <v>2715.4</v>
      </c>
      <c r="J1255" s="108">
        <v>50.3</v>
      </c>
      <c r="K1255" s="108">
        <v>323.3</v>
      </c>
      <c r="L1255" s="108">
        <v>4357.8</v>
      </c>
      <c r="M1255" s="108">
        <v>14662</v>
      </c>
      <c r="N1255" s="108">
        <v>11804.4</v>
      </c>
      <c r="O1255" s="108">
        <v>12248.7</v>
      </c>
      <c r="P1255" s="108">
        <v>10184.299999999999</v>
      </c>
      <c r="Q1255" s="108">
        <v>12991.3</v>
      </c>
      <c r="R1255" s="16">
        <v>26346.499999999996</v>
      </c>
    </row>
    <row r="1256" spans="1:18" ht="15.6" x14ac:dyDescent="0.3">
      <c r="A1256" s="170">
        <v>41256</v>
      </c>
      <c r="B1256" s="73">
        <v>1453</v>
      </c>
      <c r="C1256" s="73">
        <v>5169</v>
      </c>
      <c r="D1256" s="73">
        <v>846</v>
      </c>
      <c r="E1256" s="73">
        <v>1718</v>
      </c>
      <c r="F1256" s="73">
        <v>1287</v>
      </c>
      <c r="G1256" s="73">
        <v>3183</v>
      </c>
      <c r="H1256" s="73">
        <v>1223</v>
      </c>
      <c r="I1256" s="73">
        <v>2408</v>
      </c>
      <c r="J1256" s="73">
        <v>94</v>
      </c>
      <c r="K1256" s="73">
        <v>286</v>
      </c>
      <c r="L1256" s="175">
        <v>4904</v>
      </c>
      <c r="M1256" s="175">
        <v>12763</v>
      </c>
      <c r="N1256" s="175">
        <v>6511</v>
      </c>
      <c r="O1256" s="175">
        <v>6091</v>
      </c>
      <c r="P1256" s="175">
        <v>11435</v>
      </c>
      <c r="Q1256" s="175">
        <v>18908</v>
      </c>
      <c r="R1256" s="79">
        <f>P1256+N1256+L1256</f>
        <v>22850</v>
      </c>
    </row>
    <row r="1257" spans="1:18" ht="15.6" x14ac:dyDescent="0.3">
      <c r="A1257" s="170">
        <v>40899</v>
      </c>
      <c r="B1257" s="108">
        <v>1367.6</v>
      </c>
      <c r="C1257" s="108">
        <v>6069.7</v>
      </c>
      <c r="D1257" s="108">
        <v>688.2</v>
      </c>
      <c r="E1257" s="108">
        <v>1958.1</v>
      </c>
      <c r="F1257" s="108">
        <v>1181.7</v>
      </c>
      <c r="G1257" s="108">
        <v>1958.1</v>
      </c>
      <c r="H1257" s="108">
        <v>1082.4000000000001</v>
      </c>
      <c r="I1257" s="108">
        <v>2780.3</v>
      </c>
      <c r="J1257" s="108">
        <v>55.3</v>
      </c>
      <c r="K1257" s="108">
        <v>346.5</v>
      </c>
      <c r="L1257" s="108">
        <v>4375.3</v>
      </c>
      <c r="M1257" s="108">
        <v>15075.9</v>
      </c>
      <c r="N1257" s="108">
        <v>11176.9</v>
      </c>
      <c r="O1257" s="108">
        <v>13195</v>
      </c>
      <c r="P1257" s="108">
        <v>9778.5</v>
      </c>
      <c r="Q1257" s="108">
        <v>14060</v>
      </c>
      <c r="R1257" s="79">
        <f>P1257+N1257+L1257</f>
        <v>25330.7</v>
      </c>
    </row>
    <row r="1258" spans="1:18" ht="15.6" x14ac:dyDescent="0.3">
      <c r="A1258" s="170">
        <v>41263</v>
      </c>
      <c r="B1258" s="73">
        <v>1715.9</v>
      </c>
      <c r="C1258" s="73">
        <v>5332.4</v>
      </c>
      <c r="D1258" s="73">
        <v>1190.4000000000001</v>
      </c>
      <c r="E1258" s="73">
        <v>1752.1</v>
      </c>
      <c r="F1258" s="73">
        <v>1220</v>
      </c>
      <c r="G1258" s="73">
        <v>1752.1</v>
      </c>
      <c r="H1258" s="73">
        <v>1256.5</v>
      </c>
      <c r="I1258" s="73">
        <v>2475.3000000000002</v>
      </c>
      <c r="J1258" s="73">
        <v>106.9</v>
      </c>
      <c r="K1258" s="73">
        <v>317.8</v>
      </c>
      <c r="L1258" s="175">
        <v>5489.8</v>
      </c>
      <c r="M1258" s="175">
        <v>13186.5</v>
      </c>
      <c r="N1258" s="175">
        <v>6329.1</v>
      </c>
      <c r="O1258" s="175">
        <v>6377.9</v>
      </c>
      <c r="P1258" s="175">
        <v>10368.200000000001</v>
      </c>
      <c r="Q1258" s="175">
        <v>20061.900000000001</v>
      </c>
      <c r="R1258" s="79">
        <f>P1258+N1258+L1258</f>
        <v>22187.100000000002</v>
      </c>
    </row>
    <row r="1259" spans="1:18" ht="15.6" x14ac:dyDescent="0.3">
      <c r="A1259" s="170">
        <v>40906</v>
      </c>
      <c r="B1259" s="108">
        <v>1298</v>
      </c>
      <c r="C1259" s="108">
        <v>6211</v>
      </c>
      <c r="D1259" s="108">
        <v>590</v>
      </c>
      <c r="E1259" s="108">
        <v>2028</v>
      </c>
      <c r="F1259" s="108">
        <v>1144</v>
      </c>
      <c r="G1259" s="108">
        <v>3988</v>
      </c>
      <c r="H1259" s="108">
        <v>1001</v>
      </c>
      <c r="I1259" s="108">
        <v>2917</v>
      </c>
      <c r="J1259" s="108">
        <v>55</v>
      </c>
      <c r="K1259" s="108">
        <v>358</v>
      </c>
      <c r="L1259" s="108">
        <v>4088</v>
      </c>
      <c r="M1259" s="108">
        <v>15502</v>
      </c>
      <c r="N1259" s="108">
        <v>10900</v>
      </c>
      <c r="O1259" s="108">
        <v>13771</v>
      </c>
      <c r="P1259" s="108">
        <v>9032</v>
      </c>
      <c r="Q1259" s="108">
        <v>15088</v>
      </c>
      <c r="R1259" s="79">
        <f>P1259+N1259+L1259</f>
        <v>24020</v>
      </c>
    </row>
    <row r="1260" spans="1:18" ht="15.6" x14ac:dyDescent="0.3">
      <c r="A1260" s="170">
        <v>41270</v>
      </c>
      <c r="B1260" s="73">
        <v>1802</v>
      </c>
      <c r="C1260" s="73">
        <v>5399</v>
      </c>
      <c r="D1260" s="73">
        <v>1278</v>
      </c>
      <c r="E1260" s="73">
        <v>1777</v>
      </c>
      <c r="F1260" s="73">
        <v>1285</v>
      </c>
      <c r="G1260" s="73">
        <v>3354</v>
      </c>
      <c r="H1260" s="73">
        <v>1260</v>
      </c>
      <c r="I1260" s="73">
        <v>2498</v>
      </c>
      <c r="J1260" s="73">
        <v>106.9</v>
      </c>
      <c r="K1260" s="73">
        <v>317.8</v>
      </c>
      <c r="L1260" s="175">
        <v>5731</v>
      </c>
      <c r="M1260" s="175">
        <v>13345</v>
      </c>
      <c r="N1260" s="175">
        <v>6173</v>
      </c>
      <c r="O1260" s="175">
        <v>6583</v>
      </c>
      <c r="P1260" s="175">
        <v>9767</v>
      </c>
      <c r="Q1260" s="175">
        <v>21098</v>
      </c>
      <c r="R1260" s="79">
        <f>P1260+N1260+L1260</f>
        <v>21671</v>
      </c>
    </row>
    <row r="1261" spans="1:18" ht="15.6" x14ac:dyDescent="0.3">
      <c r="A1261" s="170">
        <v>40913</v>
      </c>
      <c r="B1261" s="108">
        <v>1300</v>
      </c>
      <c r="C1261" s="108">
        <v>6274</v>
      </c>
      <c r="D1261" s="108">
        <v>583</v>
      </c>
      <c r="E1261" s="108">
        <v>2059</v>
      </c>
      <c r="F1261" s="108">
        <v>1187</v>
      </c>
      <c r="G1261" s="108">
        <v>4042</v>
      </c>
      <c r="H1261" s="108">
        <v>1132</v>
      </c>
      <c r="I1261" s="108">
        <v>2965</v>
      </c>
      <c r="J1261" s="108">
        <v>55</v>
      </c>
      <c r="K1261" s="108">
        <v>358</v>
      </c>
      <c r="L1261" s="108">
        <v>4257</v>
      </c>
      <c r="M1261" s="108">
        <v>15698</v>
      </c>
      <c r="N1261" s="108">
        <v>10474</v>
      </c>
      <c r="O1261" s="108">
        <v>14519</v>
      </c>
      <c r="P1261" s="108">
        <v>8679</v>
      </c>
      <c r="Q1261" s="108">
        <v>15874</v>
      </c>
      <c r="R1261" s="79">
        <v>23410</v>
      </c>
    </row>
    <row r="1262" spans="1:18" ht="15.6" x14ac:dyDescent="0.3">
      <c r="A1262" s="170">
        <v>41277</v>
      </c>
      <c r="B1262" s="73">
        <v>1843</v>
      </c>
      <c r="C1262" s="73">
        <v>5436</v>
      </c>
      <c r="D1262" s="73">
        <v>1330</v>
      </c>
      <c r="E1262" s="73">
        <v>1806</v>
      </c>
      <c r="F1262" s="73">
        <v>1200</v>
      </c>
      <c r="G1262" s="73">
        <v>3463</v>
      </c>
      <c r="H1262" s="73">
        <v>1220</v>
      </c>
      <c r="I1262" s="73">
        <v>2587</v>
      </c>
      <c r="J1262" s="73">
        <v>106.9</v>
      </c>
      <c r="K1262" s="73">
        <v>317.8</v>
      </c>
      <c r="L1262" s="175">
        <v>5701</v>
      </c>
      <c r="M1262" s="175">
        <v>13610</v>
      </c>
      <c r="N1262" s="175">
        <v>6079</v>
      </c>
      <c r="O1262" s="175">
        <v>6690</v>
      </c>
      <c r="P1262" s="175">
        <v>8912</v>
      </c>
      <c r="Q1262" s="175">
        <v>22179</v>
      </c>
      <c r="R1262" s="79">
        <f t="shared" ref="R1262:R1268" si="85">P1262+N1262+L1262</f>
        <v>20692</v>
      </c>
    </row>
    <row r="1263" spans="1:18" ht="15.6" x14ac:dyDescent="0.3">
      <c r="A1263" s="170">
        <v>40920</v>
      </c>
      <c r="B1263" s="108">
        <v>1341</v>
      </c>
      <c r="C1263" s="108">
        <v>6406</v>
      </c>
      <c r="D1263" s="108">
        <v>597</v>
      </c>
      <c r="E1263" s="108">
        <v>2113</v>
      </c>
      <c r="F1263" s="108">
        <v>1251</v>
      </c>
      <c r="G1263" s="108">
        <v>4105</v>
      </c>
      <c r="H1263" s="108">
        <v>1253</v>
      </c>
      <c r="I1263" s="108">
        <v>3072</v>
      </c>
      <c r="J1263" s="108">
        <v>45</v>
      </c>
      <c r="K1263" s="108">
        <v>360</v>
      </c>
      <c r="L1263" s="108">
        <v>4486</v>
      </c>
      <c r="M1263" s="108">
        <v>16056</v>
      </c>
      <c r="N1263" s="108">
        <v>10480</v>
      </c>
      <c r="O1263" s="108">
        <v>15273</v>
      </c>
      <c r="P1263" s="108">
        <v>8592</v>
      </c>
      <c r="Q1263" s="108">
        <v>16953</v>
      </c>
      <c r="R1263" s="79">
        <f t="shared" si="85"/>
        <v>23558</v>
      </c>
    </row>
    <row r="1264" spans="1:18" ht="15.6" x14ac:dyDescent="0.3">
      <c r="A1264" s="170">
        <v>41284</v>
      </c>
      <c r="B1264" s="73">
        <v>1825</v>
      </c>
      <c r="C1264" s="73">
        <v>5528</v>
      </c>
      <c r="D1264" s="73">
        <v>1618</v>
      </c>
      <c r="E1264" s="73">
        <v>1839</v>
      </c>
      <c r="F1264" s="73">
        <v>1167</v>
      </c>
      <c r="G1264" s="73">
        <v>3556</v>
      </c>
      <c r="H1264" s="73">
        <v>1235</v>
      </c>
      <c r="I1264" s="73">
        <v>2653</v>
      </c>
      <c r="J1264" s="73">
        <v>106.9</v>
      </c>
      <c r="K1264" s="73">
        <v>317.8</v>
      </c>
      <c r="L1264" s="175">
        <v>5952</v>
      </c>
      <c r="M1264" s="175">
        <v>13895</v>
      </c>
      <c r="N1264" s="175">
        <v>6225</v>
      </c>
      <c r="O1264" s="175">
        <v>6937</v>
      </c>
      <c r="P1264" s="175">
        <v>9240</v>
      </c>
      <c r="Q1264" s="175">
        <v>23460</v>
      </c>
      <c r="R1264" s="79">
        <f t="shared" si="85"/>
        <v>21417</v>
      </c>
    </row>
    <row r="1265" spans="1:18" ht="15.6" x14ac:dyDescent="0.3">
      <c r="A1265" s="170">
        <v>40927</v>
      </c>
      <c r="B1265" s="108">
        <v>1346</v>
      </c>
      <c r="C1265" s="108">
        <v>6545</v>
      </c>
      <c r="D1265" s="108">
        <v>629</v>
      </c>
      <c r="E1265" s="108">
        <v>2176</v>
      </c>
      <c r="F1265" s="108">
        <v>1219</v>
      </c>
      <c r="G1265" s="108">
        <v>4167</v>
      </c>
      <c r="H1265" s="108">
        <v>1443</v>
      </c>
      <c r="I1265" s="108">
        <v>3217</v>
      </c>
      <c r="J1265" s="108">
        <v>30</v>
      </c>
      <c r="K1265" s="108">
        <v>375</v>
      </c>
      <c r="L1265" s="108">
        <v>4667</v>
      </c>
      <c r="M1265" s="108">
        <v>16481</v>
      </c>
      <c r="N1265" s="108">
        <v>10497</v>
      </c>
      <c r="O1265" s="108">
        <v>16214</v>
      </c>
      <c r="P1265" s="108">
        <v>7873</v>
      </c>
      <c r="Q1265" s="108">
        <v>18137</v>
      </c>
      <c r="R1265" s="79">
        <f t="shared" si="85"/>
        <v>23037</v>
      </c>
    </row>
    <row r="1266" spans="1:18" ht="15.6" x14ac:dyDescent="0.3">
      <c r="A1266" s="170">
        <v>41291</v>
      </c>
      <c r="B1266" s="73">
        <v>1897</v>
      </c>
      <c r="C1266" s="73">
        <v>5709</v>
      </c>
      <c r="D1266" s="73">
        <v>1680</v>
      </c>
      <c r="E1266" s="73">
        <v>1879</v>
      </c>
      <c r="F1266" s="73">
        <v>1202</v>
      </c>
      <c r="G1266" s="73">
        <v>3656</v>
      </c>
      <c r="H1266" s="73">
        <v>1077</v>
      </c>
      <c r="I1266" s="73">
        <v>2885</v>
      </c>
      <c r="J1266" s="73">
        <v>109</v>
      </c>
      <c r="K1266" s="73">
        <v>317.8</v>
      </c>
      <c r="L1266" s="175">
        <v>5965</v>
      </c>
      <c r="M1266" s="175">
        <v>14448</v>
      </c>
      <c r="N1266" s="175">
        <v>5994</v>
      </c>
      <c r="O1266" s="175">
        <v>7306</v>
      </c>
      <c r="P1266" s="175">
        <v>8352</v>
      </c>
      <c r="Q1266" s="175">
        <v>24665</v>
      </c>
      <c r="R1266" s="79">
        <f t="shared" si="85"/>
        <v>20311</v>
      </c>
    </row>
    <row r="1267" spans="1:18" ht="15.6" x14ac:dyDescent="0.3">
      <c r="A1267" s="170">
        <v>40934</v>
      </c>
      <c r="B1267" s="108">
        <v>1452</v>
      </c>
      <c r="C1267" s="108">
        <v>6790</v>
      </c>
      <c r="D1267" s="108">
        <v>592</v>
      </c>
      <c r="E1267" s="108">
        <v>2254</v>
      </c>
      <c r="F1267" s="108">
        <v>1199</v>
      </c>
      <c r="G1267" s="108">
        <v>4236</v>
      </c>
      <c r="H1267" s="108">
        <v>1458</v>
      </c>
      <c r="I1267" s="108">
        <v>3280</v>
      </c>
      <c r="J1267" s="108">
        <v>30</v>
      </c>
      <c r="K1267" s="108">
        <v>375</v>
      </c>
      <c r="L1267" s="108">
        <v>4731</v>
      </c>
      <c r="M1267" s="108">
        <v>16935</v>
      </c>
      <c r="N1267" s="108">
        <v>10739</v>
      </c>
      <c r="O1267" s="108">
        <v>16883</v>
      </c>
      <c r="P1267" s="108">
        <v>7012</v>
      </c>
      <c r="Q1267" s="108">
        <v>19243</v>
      </c>
      <c r="R1267" s="79">
        <f t="shared" si="85"/>
        <v>22482</v>
      </c>
    </row>
    <row r="1268" spans="1:18" ht="15.6" x14ac:dyDescent="0.3">
      <c r="A1268" s="170">
        <v>41298</v>
      </c>
      <c r="B1268" s="73">
        <v>1747</v>
      </c>
      <c r="C1268" s="73">
        <v>5960</v>
      </c>
      <c r="D1268" s="73">
        <v>1627</v>
      </c>
      <c r="E1268" s="73">
        <v>1981</v>
      </c>
      <c r="F1268" s="73">
        <v>1135</v>
      </c>
      <c r="G1268" s="73">
        <v>3781</v>
      </c>
      <c r="H1268" s="73">
        <v>1019</v>
      </c>
      <c r="I1268" s="73">
        <v>3020</v>
      </c>
      <c r="J1268" s="73">
        <v>107</v>
      </c>
      <c r="K1268" s="73">
        <v>330</v>
      </c>
      <c r="L1268" s="175">
        <v>5635</v>
      </c>
      <c r="M1268" s="175">
        <v>15072</v>
      </c>
      <c r="N1268" s="175">
        <v>5572</v>
      </c>
      <c r="O1268" s="175">
        <v>7916</v>
      </c>
      <c r="P1268" s="175">
        <v>7603</v>
      </c>
      <c r="Q1268" s="175">
        <v>25800</v>
      </c>
      <c r="R1268" s="79">
        <f t="shared" si="85"/>
        <v>18810</v>
      </c>
    </row>
    <row r="1269" spans="1:18" ht="15.6" x14ac:dyDescent="0.3">
      <c r="A1269" s="170">
        <v>40941</v>
      </c>
      <c r="B1269" s="108">
        <v>1396</v>
      </c>
      <c r="C1269" s="108">
        <v>6977</v>
      </c>
      <c r="D1269" s="108">
        <v>734</v>
      </c>
      <c r="E1269" s="108">
        <v>2280</v>
      </c>
      <c r="F1269" s="108">
        <v>1120</v>
      </c>
      <c r="G1269" s="108">
        <v>4433</v>
      </c>
      <c r="H1269" s="108">
        <v>1694</v>
      </c>
      <c r="I1269" s="108">
        <v>3331</v>
      </c>
      <c r="J1269" s="108">
        <v>31</v>
      </c>
      <c r="K1269" s="108">
        <v>379</v>
      </c>
      <c r="L1269" s="108">
        <v>4975</v>
      </c>
      <c r="M1269" s="108">
        <v>17399</v>
      </c>
      <c r="N1269" s="108">
        <v>10345</v>
      </c>
      <c r="O1269" s="108">
        <v>17972</v>
      </c>
      <c r="P1269" s="108">
        <v>6592</v>
      </c>
      <c r="Q1269" s="108">
        <v>20267</v>
      </c>
      <c r="R1269" s="79">
        <f>P1269+N1269+L1269</f>
        <v>21912</v>
      </c>
    </row>
    <row r="1270" spans="1:18" ht="15.6" x14ac:dyDescent="0.3">
      <c r="A1270" s="170">
        <v>41305</v>
      </c>
      <c r="B1270" s="73">
        <v>1730</v>
      </c>
      <c r="C1270" s="73">
        <v>6052</v>
      </c>
      <c r="D1270" s="73">
        <v>1504</v>
      </c>
      <c r="E1270" s="73">
        <v>2172</v>
      </c>
      <c r="F1270" s="73">
        <v>1134</v>
      </c>
      <c r="G1270" s="73">
        <v>3817</v>
      </c>
      <c r="H1270" s="73">
        <v>994</v>
      </c>
      <c r="I1270" s="73">
        <v>3139</v>
      </c>
      <c r="J1270" s="73">
        <v>107</v>
      </c>
      <c r="K1270" s="73">
        <v>349</v>
      </c>
      <c r="L1270" s="175">
        <v>5468</v>
      </c>
      <c r="M1270" s="175">
        <v>15529</v>
      </c>
      <c r="N1270" s="175">
        <v>5532</v>
      </c>
      <c r="O1270" s="175">
        <v>8124</v>
      </c>
      <c r="P1270" s="175">
        <v>6944</v>
      </c>
      <c r="Q1270" s="175">
        <v>27278</v>
      </c>
      <c r="R1270" s="79">
        <f>P1270+N1270+L1270</f>
        <v>17944</v>
      </c>
    </row>
    <row r="1271" spans="1:18" ht="15.6" x14ac:dyDescent="0.3">
      <c r="A1271" s="170">
        <v>40948</v>
      </c>
      <c r="B1271" s="108">
        <v>1323</v>
      </c>
      <c r="C1271" s="108">
        <v>7104</v>
      </c>
      <c r="D1271" s="108">
        <v>749</v>
      </c>
      <c r="E1271" s="108">
        <v>2335</v>
      </c>
      <c r="F1271" s="108">
        <v>1045</v>
      </c>
      <c r="G1271" s="108">
        <v>4564</v>
      </c>
      <c r="H1271" s="108">
        <v>1775</v>
      </c>
      <c r="I1271" s="108">
        <v>3490</v>
      </c>
      <c r="J1271" s="108">
        <v>25</v>
      </c>
      <c r="K1271" s="108">
        <v>386</v>
      </c>
      <c r="L1271" s="108">
        <v>4916</v>
      </c>
      <c r="M1271" s="108">
        <v>17878</v>
      </c>
      <c r="N1271" s="108">
        <v>10664</v>
      </c>
      <c r="O1271" s="108">
        <v>18658</v>
      </c>
      <c r="P1271" s="108">
        <v>6027</v>
      </c>
      <c r="Q1271" s="108">
        <v>21200</v>
      </c>
      <c r="R1271" s="79">
        <v>21607</v>
      </c>
    </row>
    <row r="1272" spans="1:18" ht="15.6" x14ac:dyDescent="0.3">
      <c r="A1272" s="170">
        <v>41312</v>
      </c>
      <c r="B1272" s="73">
        <v>1826</v>
      </c>
      <c r="C1272" s="73">
        <v>6160</v>
      </c>
      <c r="D1272" s="73">
        <v>1570</v>
      </c>
      <c r="E1272" s="73">
        <v>2334</v>
      </c>
      <c r="F1272" s="73">
        <v>1094</v>
      </c>
      <c r="G1272" s="73">
        <v>3992</v>
      </c>
      <c r="H1272" s="73">
        <v>932</v>
      </c>
      <c r="I1272" s="73">
        <v>3267</v>
      </c>
      <c r="J1272" s="73">
        <v>81</v>
      </c>
      <c r="K1272" s="73">
        <v>352</v>
      </c>
      <c r="L1272" s="175">
        <v>5543</v>
      </c>
      <c r="M1272" s="175">
        <v>16105</v>
      </c>
      <c r="N1272" s="175">
        <v>5365</v>
      </c>
      <c r="O1272" s="175">
        <v>8517</v>
      </c>
      <c r="P1272" s="175">
        <v>5845</v>
      </c>
      <c r="Q1272" s="175">
        <v>28185</v>
      </c>
      <c r="R1272" s="79">
        <f t="shared" ref="R1272:R1279" si="86">P1272+N1272+L1272</f>
        <v>16753</v>
      </c>
    </row>
    <row r="1273" spans="1:18" ht="15.6" x14ac:dyDescent="0.3">
      <c r="A1273" s="170">
        <v>40955</v>
      </c>
      <c r="B1273" s="108">
        <v>1215</v>
      </c>
      <c r="C1273" s="108">
        <v>7310</v>
      </c>
      <c r="D1273" s="108">
        <v>913</v>
      </c>
      <c r="E1273" s="108">
        <v>2390</v>
      </c>
      <c r="F1273" s="108">
        <v>1229</v>
      </c>
      <c r="G1273" s="108">
        <v>4658</v>
      </c>
      <c r="H1273" s="108">
        <v>1708</v>
      </c>
      <c r="I1273" s="108">
        <v>3663</v>
      </c>
      <c r="J1273" s="108">
        <v>22</v>
      </c>
      <c r="K1273" s="108">
        <v>388</v>
      </c>
      <c r="L1273" s="108">
        <v>5087</v>
      </c>
      <c r="M1273" s="108">
        <v>18409</v>
      </c>
      <c r="N1273" s="108">
        <v>10729</v>
      </c>
      <c r="O1273" s="108">
        <v>19435</v>
      </c>
      <c r="P1273" s="108">
        <v>5979</v>
      </c>
      <c r="Q1273" s="108">
        <v>22332</v>
      </c>
      <c r="R1273" s="79">
        <f t="shared" si="86"/>
        <v>21795</v>
      </c>
    </row>
    <row r="1274" spans="1:18" ht="15.6" x14ac:dyDescent="0.3">
      <c r="A1274" s="170">
        <v>41319</v>
      </c>
      <c r="B1274" s="73">
        <v>1810</v>
      </c>
      <c r="C1274" s="73">
        <v>6282</v>
      </c>
      <c r="D1274" s="73">
        <v>1636</v>
      </c>
      <c r="E1274" s="73">
        <v>2550</v>
      </c>
      <c r="F1274" s="73">
        <v>1259</v>
      </c>
      <c r="G1274" s="73">
        <v>4121</v>
      </c>
      <c r="H1274" s="73">
        <v>941</v>
      </c>
      <c r="I1274" s="73">
        <v>3312</v>
      </c>
      <c r="J1274" s="73">
        <v>81</v>
      </c>
      <c r="K1274" s="73">
        <v>356</v>
      </c>
      <c r="L1274" s="175">
        <v>5726</v>
      </c>
      <c r="M1274" s="175">
        <v>16622</v>
      </c>
      <c r="N1274" s="175">
        <v>5470</v>
      </c>
      <c r="O1274" s="175">
        <v>8773</v>
      </c>
      <c r="P1274" s="175">
        <v>4769</v>
      </c>
      <c r="Q1274" s="175">
        <v>29141</v>
      </c>
      <c r="R1274" s="79">
        <f t="shared" si="86"/>
        <v>15965</v>
      </c>
    </row>
    <row r="1275" spans="1:18" ht="15.6" x14ac:dyDescent="0.3">
      <c r="A1275" s="170">
        <v>40969</v>
      </c>
      <c r="B1275" s="108">
        <v>1393</v>
      </c>
      <c r="C1275" s="108">
        <v>7443</v>
      </c>
      <c r="D1275" s="108">
        <v>966</v>
      </c>
      <c r="E1275" s="108">
        <v>2480</v>
      </c>
      <c r="F1275" s="108">
        <v>1303</v>
      </c>
      <c r="G1275" s="108">
        <v>4822</v>
      </c>
      <c r="H1275" s="108">
        <v>1621</v>
      </c>
      <c r="I1275" s="108">
        <v>3914</v>
      </c>
      <c r="J1275" s="108">
        <v>26</v>
      </c>
      <c r="K1275" s="108">
        <v>388</v>
      </c>
      <c r="L1275" s="108">
        <v>5309</v>
      </c>
      <c r="M1275" s="108">
        <v>19047</v>
      </c>
      <c r="N1275" s="108">
        <v>10277</v>
      </c>
      <c r="O1275" s="108">
        <v>21022</v>
      </c>
      <c r="P1275" s="108">
        <v>5487</v>
      </c>
      <c r="Q1275" s="108">
        <v>24388</v>
      </c>
      <c r="R1275" s="79">
        <f t="shared" si="86"/>
        <v>21073</v>
      </c>
    </row>
    <row r="1276" spans="1:18" ht="15.6" x14ac:dyDescent="0.3">
      <c r="A1276" s="170">
        <v>41333</v>
      </c>
      <c r="B1276" s="73">
        <v>1685</v>
      </c>
      <c r="C1276" s="73">
        <v>6837</v>
      </c>
      <c r="D1276" s="73">
        <v>1681</v>
      </c>
      <c r="E1276" s="73">
        <v>2899</v>
      </c>
      <c r="F1276" s="73">
        <v>1163</v>
      </c>
      <c r="G1276" s="73">
        <v>4297</v>
      </c>
      <c r="H1276" s="73">
        <v>726</v>
      </c>
      <c r="I1276" s="73">
        <v>3577</v>
      </c>
      <c r="J1276" s="73">
        <v>111</v>
      </c>
      <c r="K1276" s="73">
        <v>363</v>
      </c>
      <c r="L1276" s="175">
        <v>5366</v>
      </c>
      <c r="M1276" s="175">
        <v>17973</v>
      </c>
      <c r="N1276" s="175">
        <v>5059</v>
      </c>
      <c r="O1276" s="175">
        <v>9437</v>
      </c>
      <c r="P1276" s="175">
        <v>3933</v>
      </c>
      <c r="Q1276" s="175">
        <v>31059</v>
      </c>
      <c r="R1276" s="79">
        <f t="shared" si="86"/>
        <v>14358</v>
      </c>
    </row>
    <row r="1277" spans="1:18" ht="15.6" x14ac:dyDescent="0.3">
      <c r="A1277" s="170">
        <v>40976</v>
      </c>
      <c r="B1277" s="108">
        <v>1283</v>
      </c>
      <c r="C1277" s="108">
        <v>7688</v>
      </c>
      <c r="D1277" s="108">
        <v>834</v>
      </c>
      <c r="E1277" s="108">
        <v>2662</v>
      </c>
      <c r="F1277" s="108">
        <v>1145</v>
      </c>
      <c r="G1277" s="108">
        <v>5039</v>
      </c>
      <c r="H1277" s="108">
        <v>1392</v>
      </c>
      <c r="I1277" s="108">
        <v>4172</v>
      </c>
      <c r="J1277" s="108">
        <v>44</v>
      </c>
      <c r="K1277" s="108">
        <v>388</v>
      </c>
      <c r="L1277" s="108">
        <v>4699</v>
      </c>
      <c r="M1277" s="108">
        <v>19949</v>
      </c>
      <c r="N1277" s="108">
        <v>10078</v>
      </c>
      <c r="O1277" s="108">
        <v>22058</v>
      </c>
      <c r="P1277" s="108">
        <v>5387</v>
      </c>
      <c r="Q1277" s="108">
        <v>25098</v>
      </c>
      <c r="R1277" s="79">
        <f t="shared" si="86"/>
        <v>20164</v>
      </c>
    </row>
    <row r="1278" spans="1:18" ht="15.6" x14ac:dyDescent="0.3">
      <c r="A1278" s="170">
        <v>41340</v>
      </c>
      <c r="B1278" s="73">
        <v>1848</v>
      </c>
      <c r="C1278" s="73">
        <v>7074</v>
      </c>
      <c r="D1278" s="73">
        <v>1511</v>
      </c>
      <c r="E1278" s="73">
        <v>3286</v>
      </c>
      <c r="F1278" s="73">
        <v>1230</v>
      </c>
      <c r="G1278" s="73">
        <v>4364</v>
      </c>
      <c r="H1278" s="73">
        <v>782</v>
      </c>
      <c r="I1278" s="73">
        <v>3672</v>
      </c>
      <c r="J1278" s="73">
        <v>97</v>
      </c>
      <c r="K1278" s="73">
        <v>363</v>
      </c>
      <c r="L1278" s="175">
        <v>5467</v>
      </c>
      <c r="M1278" s="175">
        <v>18760</v>
      </c>
      <c r="N1278" s="175">
        <v>4934</v>
      </c>
      <c r="O1278" s="175">
        <v>9845</v>
      </c>
      <c r="P1278" s="175">
        <v>3826</v>
      </c>
      <c r="Q1278" s="175">
        <v>31672</v>
      </c>
      <c r="R1278" s="79">
        <f t="shared" si="86"/>
        <v>14227</v>
      </c>
    </row>
    <row r="1279" spans="1:18" ht="15.6" x14ac:dyDescent="0.3">
      <c r="A1279" s="170">
        <v>40983</v>
      </c>
      <c r="B1279" s="108">
        <v>1208</v>
      </c>
      <c r="C1279" s="108">
        <v>7935</v>
      </c>
      <c r="D1279" s="108">
        <v>855</v>
      </c>
      <c r="E1279" s="108">
        <v>2754</v>
      </c>
      <c r="F1279" s="108">
        <v>1167</v>
      </c>
      <c r="G1279" s="108">
        <v>5147</v>
      </c>
      <c r="H1279" s="108">
        <v>1405</v>
      </c>
      <c r="I1279" s="108">
        <v>4275</v>
      </c>
      <c r="J1279" s="108">
        <v>55</v>
      </c>
      <c r="K1279" s="108">
        <v>388</v>
      </c>
      <c r="L1279" s="108">
        <v>4689</v>
      </c>
      <c r="M1279" s="108">
        <v>20498</v>
      </c>
      <c r="N1279" s="108">
        <v>10432</v>
      </c>
      <c r="O1279" s="108">
        <v>22566</v>
      </c>
      <c r="P1279" s="108">
        <v>5133</v>
      </c>
      <c r="Q1279" s="108">
        <v>25708</v>
      </c>
      <c r="R1279" s="79">
        <f t="shared" si="86"/>
        <v>20254</v>
      </c>
    </row>
    <row r="1280" spans="1:18" ht="15.6" x14ac:dyDescent="0.3">
      <c r="A1280" s="170">
        <v>41347</v>
      </c>
      <c r="B1280" s="73">
        <v>1815</v>
      </c>
      <c r="C1280" s="73">
        <v>7279</v>
      </c>
      <c r="D1280" s="73">
        <v>1460</v>
      </c>
      <c r="E1280" s="73">
        <v>3539</v>
      </c>
      <c r="F1280" s="73">
        <v>1196</v>
      </c>
      <c r="G1280" s="73">
        <v>4480</v>
      </c>
      <c r="H1280" s="73">
        <v>754</v>
      </c>
      <c r="I1280" s="73">
        <v>3725</v>
      </c>
      <c r="J1280" s="73">
        <v>90</v>
      </c>
      <c r="K1280" s="73">
        <v>375</v>
      </c>
      <c r="L1280" s="175">
        <v>5315</v>
      </c>
      <c r="M1280" s="175">
        <v>19397</v>
      </c>
      <c r="N1280" s="175">
        <v>4607</v>
      </c>
      <c r="O1280" s="175">
        <v>10264</v>
      </c>
      <c r="P1280" s="175">
        <v>3707</v>
      </c>
      <c r="Q1280" s="175">
        <v>31899</v>
      </c>
      <c r="R1280" s="79">
        <f t="shared" ref="R1280:R1286" si="87">P1280+N1280+L1280</f>
        <v>13629</v>
      </c>
    </row>
    <row r="1281" spans="1:18" ht="15.6" x14ac:dyDescent="0.3">
      <c r="A1281" s="170">
        <v>40990</v>
      </c>
      <c r="B1281" s="108">
        <v>1222</v>
      </c>
      <c r="C1281" s="108">
        <v>8003</v>
      </c>
      <c r="D1281" s="108">
        <v>834</v>
      </c>
      <c r="E1281" s="108">
        <v>2901</v>
      </c>
      <c r="F1281" s="108">
        <v>1028</v>
      </c>
      <c r="G1281" s="108">
        <v>5300</v>
      </c>
      <c r="H1281" s="108">
        <v>1337</v>
      </c>
      <c r="I1281" s="108">
        <v>4348</v>
      </c>
      <c r="J1281" s="108">
        <v>55</v>
      </c>
      <c r="K1281" s="108">
        <v>388</v>
      </c>
      <c r="L1281" s="108">
        <v>4475</v>
      </c>
      <c r="M1281" s="108">
        <v>20939</v>
      </c>
      <c r="N1281" s="108">
        <v>9919</v>
      </c>
      <c r="O1281" s="108">
        <v>23209</v>
      </c>
      <c r="P1281" s="108">
        <v>5044</v>
      </c>
      <c r="Q1281" s="108">
        <v>26269</v>
      </c>
      <c r="R1281" s="79">
        <f t="shared" si="87"/>
        <v>19438</v>
      </c>
    </row>
    <row r="1282" spans="1:18" ht="15.6" x14ac:dyDescent="0.3">
      <c r="A1282" s="170">
        <v>41354</v>
      </c>
      <c r="B1282" s="73">
        <v>2034</v>
      </c>
      <c r="C1282" s="73">
        <v>7399</v>
      </c>
      <c r="D1282" s="73">
        <v>1275</v>
      </c>
      <c r="E1282" s="73">
        <v>3675</v>
      </c>
      <c r="F1282" s="73">
        <v>1276</v>
      </c>
      <c r="G1282" s="73">
        <v>4625</v>
      </c>
      <c r="H1282" s="73">
        <v>676</v>
      </c>
      <c r="I1282" s="73">
        <v>3845</v>
      </c>
      <c r="J1282" s="73">
        <v>113</v>
      </c>
      <c r="K1282" s="73">
        <v>375</v>
      </c>
      <c r="L1282" s="175">
        <v>5373</v>
      </c>
      <c r="M1282" s="175">
        <v>19919</v>
      </c>
      <c r="N1282" s="175">
        <v>4518</v>
      </c>
      <c r="O1282" s="175">
        <v>10648</v>
      </c>
      <c r="P1282" s="175">
        <v>3203</v>
      </c>
      <c r="Q1282" s="175">
        <v>32469</v>
      </c>
      <c r="R1282" s="79">
        <f t="shared" si="87"/>
        <v>13094</v>
      </c>
    </row>
    <row r="1283" spans="1:18" ht="15.6" x14ac:dyDescent="0.3">
      <c r="A1283" s="170">
        <v>40997</v>
      </c>
      <c r="B1283" s="108">
        <v>1123</v>
      </c>
      <c r="C1283" s="108">
        <v>8225</v>
      </c>
      <c r="D1283" s="108">
        <v>885</v>
      </c>
      <c r="E1283" s="108">
        <v>2977</v>
      </c>
      <c r="F1283" s="108">
        <v>1057</v>
      </c>
      <c r="G1283" s="108">
        <v>5377</v>
      </c>
      <c r="H1283" s="108">
        <v>1357</v>
      </c>
      <c r="I1283" s="108">
        <v>4372</v>
      </c>
      <c r="J1283" s="108">
        <v>56</v>
      </c>
      <c r="K1283" s="108">
        <v>392</v>
      </c>
      <c r="L1283" s="108">
        <v>4478</v>
      </c>
      <c r="M1283" s="108">
        <v>21344</v>
      </c>
      <c r="N1283" s="108">
        <v>10064</v>
      </c>
      <c r="O1283" s="108">
        <v>24003</v>
      </c>
      <c r="P1283" s="108">
        <v>4595</v>
      </c>
      <c r="Q1283" s="108">
        <v>27125</v>
      </c>
      <c r="R1283" s="79">
        <f t="shared" si="87"/>
        <v>19137</v>
      </c>
    </row>
    <row r="1284" spans="1:18" ht="15.6" x14ac:dyDescent="0.3">
      <c r="A1284" s="170">
        <v>41361</v>
      </c>
      <c r="B1284" s="73">
        <v>1987</v>
      </c>
      <c r="C1284" s="73">
        <v>7566</v>
      </c>
      <c r="D1284" s="73">
        <v>1070</v>
      </c>
      <c r="E1284" s="73">
        <v>3933</v>
      </c>
      <c r="F1284" s="73">
        <v>1218</v>
      </c>
      <c r="G1284" s="73">
        <v>4670</v>
      </c>
      <c r="H1284" s="73">
        <v>653</v>
      </c>
      <c r="I1284" s="73">
        <v>3869</v>
      </c>
      <c r="J1284" s="73">
        <v>78</v>
      </c>
      <c r="K1284" s="73">
        <v>390</v>
      </c>
      <c r="L1284" s="175">
        <v>5006</v>
      </c>
      <c r="M1284" s="175">
        <v>20427</v>
      </c>
      <c r="N1284" s="175">
        <v>4306</v>
      </c>
      <c r="O1284" s="175">
        <v>11214</v>
      </c>
      <c r="P1284" s="175">
        <v>3122</v>
      </c>
      <c r="Q1284" s="175">
        <v>32942</v>
      </c>
      <c r="R1284" s="79">
        <f t="shared" si="87"/>
        <v>12434</v>
      </c>
    </row>
    <row r="1285" spans="1:18" ht="15.6" x14ac:dyDescent="0.3">
      <c r="A1285" s="170">
        <v>41011</v>
      </c>
      <c r="B1285" s="108">
        <v>1221</v>
      </c>
      <c r="C1285" s="108">
        <v>8470</v>
      </c>
      <c r="D1285" s="108">
        <v>882</v>
      </c>
      <c r="E1285" s="108">
        <v>3210</v>
      </c>
      <c r="F1285" s="108">
        <v>1026</v>
      </c>
      <c r="G1285" s="108">
        <v>5531</v>
      </c>
      <c r="H1285" s="108">
        <v>1074</v>
      </c>
      <c r="I1285" s="108">
        <v>4764</v>
      </c>
      <c r="J1285" s="108">
        <v>22</v>
      </c>
      <c r="K1285" s="108">
        <v>440</v>
      </c>
      <c r="L1285" s="108">
        <v>4224</v>
      </c>
      <c r="M1285" s="108">
        <v>22416</v>
      </c>
      <c r="N1285" s="108">
        <v>9551</v>
      </c>
      <c r="O1285" s="108">
        <v>25775</v>
      </c>
      <c r="P1285" s="108">
        <v>4162</v>
      </c>
      <c r="Q1285" s="108">
        <v>28331</v>
      </c>
      <c r="R1285" s="79">
        <f t="shared" si="87"/>
        <v>17937</v>
      </c>
    </row>
    <row r="1286" spans="1:18" ht="15.6" x14ac:dyDescent="0.3">
      <c r="A1286" s="170">
        <v>41375</v>
      </c>
      <c r="B1286" s="73">
        <v>1856</v>
      </c>
      <c r="C1286" s="73">
        <v>8123</v>
      </c>
      <c r="D1286" s="73">
        <v>978</v>
      </c>
      <c r="E1286" s="73">
        <v>4203</v>
      </c>
      <c r="F1286" s="73">
        <v>910</v>
      </c>
      <c r="G1286" s="73">
        <v>5020</v>
      </c>
      <c r="H1286" s="73">
        <v>475</v>
      </c>
      <c r="I1286" s="73">
        <v>4124</v>
      </c>
      <c r="J1286" s="73">
        <v>125</v>
      </c>
      <c r="K1286" s="73">
        <v>423</v>
      </c>
      <c r="L1286" s="175">
        <v>4345</v>
      </c>
      <c r="M1286" s="175">
        <v>21893</v>
      </c>
      <c r="N1286" s="175">
        <v>4310</v>
      </c>
      <c r="O1286" s="175">
        <v>11796</v>
      </c>
      <c r="P1286" s="175">
        <v>2954</v>
      </c>
      <c r="Q1286" s="175">
        <v>33683</v>
      </c>
      <c r="R1286" s="79">
        <f t="shared" si="87"/>
        <v>11609</v>
      </c>
    </row>
    <row r="1287" spans="1:18" ht="15.6" x14ac:dyDescent="0.3">
      <c r="A1287" s="170">
        <v>41018</v>
      </c>
      <c r="B1287" s="108">
        <v>1187</v>
      </c>
      <c r="C1287" s="108">
        <v>8626</v>
      </c>
      <c r="D1287" s="108">
        <v>899</v>
      </c>
      <c r="E1287" s="108">
        <v>3380</v>
      </c>
      <c r="F1287" s="108">
        <v>1044</v>
      </c>
      <c r="G1287" s="108">
        <v>5621</v>
      </c>
      <c r="H1287" s="108">
        <v>834</v>
      </c>
      <c r="I1287" s="108">
        <v>4966</v>
      </c>
      <c r="J1287" s="108">
        <v>29</v>
      </c>
      <c r="K1287" s="108">
        <v>440</v>
      </c>
      <c r="L1287" s="108">
        <v>3993</v>
      </c>
      <c r="M1287" s="108">
        <v>23033</v>
      </c>
      <c r="N1287" s="108">
        <v>9496</v>
      </c>
      <c r="O1287" s="108">
        <v>26475</v>
      </c>
      <c r="P1287" s="108">
        <v>4742</v>
      </c>
      <c r="Q1287" s="108">
        <v>28678</v>
      </c>
      <c r="R1287" s="79">
        <v>18230</v>
      </c>
    </row>
    <row r="1288" spans="1:18" ht="15.6" x14ac:dyDescent="0.3">
      <c r="A1288" s="170">
        <v>41382</v>
      </c>
      <c r="B1288" s="73">
        <v>1711</v>
      </c>
      <c r="C1288" s="73">
        <v>8340</v>
      </c>
      <c r="D1288" s="73">
        <v>884</v>
      </c>
      <c r="E1288" s="73">
        <v>4331</v>
      </c>
      <c r="F1288" s="73">
        <v>771</v>
      </c>
      <c r="G1288" s="73">
        <v>5155</v>
      </c>
      <c r="H1288" s="73">
        <v>409</v>
      </c>
      <c r="I1288" s="73">
        <v>4162</v>
      </c>
      <c r="J1288" s="73">
        <v>100</v>
      </c>
      <c r="K1288" s="73">
        <v>447</v>
      </c>
      <c r="L1288" s="175">
        <v>3874</v>
      </c>
      <c r="M1288" s="175">
        <v>22435</v>
      </c>
      <c r="N1288" s="175">
        <v>4303</v>
      </c>
      <c r="O1288" s="175">
        <v>12118</v>
      </c>
      <c r="P1288" s="175">
        <v>2556</v>
      </c>
      <c r="Q1288" s="175">
        <v>33874</v>
      </c>
      <c r="R1288" s="79">
        <f>P1288+N1288+L1288</f>
        <v>10733</v>
      </c>
    </row>
    <row r="1289" spans="1:18" ht="15.6" x14ac:dyDescent="0.3">
      <c r="A1289" s="170">
        <v>41025</v>
      </c>
      <c r="B1289" s="108">
        <v>1202</v>
      </c>
      <c r="C1289" s="108">
        <v>8808</v>
      </c>
      <c r="D1289" s="108">
        <v>904</v>
      </c>
      <c r="E1289" s="108">
        <v>3447</v>
      </c>
      <c r="F1289" s="108">
        <v>889</v>
      </c>
      <c r="G1289" s="108">
        <v>5802</v>
      </c>
      <c r="H1289" s="108">
        <v>610</v>
      </c>
      <c r="I1289" s="108">
        <v>5151</v>
      </c>
      <c r="J1289" s="108">
        <v>24</v>
      </c>
      <c r="K1289" s="108">
        <v>447</v>
      </c>
      <c r="L1289" s="108">
        <v>3628</v>
      </c>
      <c r="M1289" s="108">
        <v>23655</v>
      </c>
      <c r="N1289" s="108">
        <v>10163</v>
      </c>
      <c r="O1289" s="108">
        <v>27140</v>
      </c>
      <c r="P1289" s="108">
        <v>4904</v>
      </c>
      <c r="Q1289" s="108">
        <v>29114</v>
      </c>
      <c r="R1289" s="79">
        <v>18695</v>
      </c>
    </row>
    <row r="1290" spans="1:18" ht="15.6" x14ac:dyDescent="0.3">
      <c r="A1290" s="170">
        <v>41389</v>
      </c>
      <c r="B1290" s="73">
        <v>1471</v>
      </c>
      <c r="C1290" s="73">
        <v>8708</v>
      </c>
      <c r="D1290" s="73">
        <v>720</v>
      </c>
      <c r="E1290" s="73">
        <v>4519</v>
      </c>
      <c r="F1290" s="73">
        <v>658</v>
      </c>
      <c r="G1290" s="73">
        <v>5321</v>
      </c>
      <c r="H1290" s="73">
        <v>300</v>
      </c>
      <c r="I1290" s="73">
        <v>4285</v>
      </c>
      <c r="J1290" s="73">
        <v>99</v>
      </c>
      <c r="K1290" s="73">
        <v>447</v>
      </c>
      <c r="L1290" s="175">
        <v>3248</v>
      </c>
      <c r="M1290" s="175">
        <v>23280</v>
      </c>
      <c r="N1290" s="175">
        <v>4228</v>
      </c>
      <c r="O1290" s="175">
        <v>12522</v>
      </c>
      <c r="P1290" s="175">
        <v>2090</v>
      </c>
      <c r="Q1290" s="175">
        <v>34200</v>
      </c>
      <c r="R1290" s="79">
        <f>P1290+N1290+L1290</f>
        <v>9566</v>
      </c>
    </row>
    <row r="1291" spans="1:18" ht="15.6" x14ac:dyDescent="0.3">
      <c r="A1291" s="170">
        <v>41032</v>
      </c>
      <c r="B1291" s="108">
        <v>1074</v>
      </c>
      <c r="C1291" s="108">
        <v>9067</v>
      </c>
      <c r="D1291" s="108">
        <v>711</v>
      </c>
      <c r="E1291" s="108">
        <v>3621</v>
      </c>
      <c r="F1291" s="108">
        <v>874</v>
      </c>
      <c r="G1291" s="108">
        <v>5874</v>
      </c>
      <c r="H1291" s="108">
        <v>596</v>
      </c>
      <c r="I1291" s="108">
        <v>5198</v>
      </c>
      <c r="J1291" s="108">
        <v>44</v>
      </c>
      <c r="K1291" s="108">
        <v>447</v>
      </c>
      <c r="L1291" s="108">
        <v>3299</v>
      </c>
      <c r="M1291" s="108">
        <v>24206</v>
      </c>
      <c r="N1291" s="108">
        <v>9691</v>
      </c>
      <c r="O1291" s="108">
        <v>27837</v>
      </c>
      <c r="P1291" s="108">
        <v>5065</v>
      </c>
      <c r="Q1291" s="108">
        <v>29419</v>
      </c>
      <c r="R1291" s="79">
        <f>P1291+N1291+L1291</f>
        <v>18055</v>
      </c>
    </row>
    <row r="1292" spans="1:18" ht="15.6" x14ac:dyDescent="0.3">
      <c r="A1292" s="170">
        <v>41396</v>
      </c>
      <c r="B1292" s="73">
        <v>1406</v>
      </c>
      <c r="C1292" s="73">
        <v>8864</v>
      </c>
      <c r="D1292" s="73">
        <v>701</v>
      </c>
      <c r="E1292" s="73">
        <v>3631</v>
      </c>
      <c r="F1292" s="73">
        <v>518</v>
      </c>
      <c r="G1292" s="73">
        <v>5495</v>
      </c>
      <c r="H1292" s="73">
        <v>245</v>
      </c>
      <c r="I1292" s="73">
        <v>4361</v>
      </c>
      <c r="J1292" s="73">
        <v>58</v>
      </c>
      <c r="K1292" s="73">
        <v>489</v>
      </c>
      <c r="L1292" s="175">
        <v>2928</v>
      </c>
      <c r="M1292" s="175">
        <v>23840</v>
      </c>
      <c r="N1292" s="175">
        <v>4152</v>
      </c>
      <c r="O1292" s="175">
        <v>12714</v>
      </c>
      <c r="P1292" s="175">
        <v>2111</v>
      </c>
      <c r="Q1292" s="175">
        <v>34371</v>
      </c>
      <c r="R1292" s="79">
        <f>P1292+N1292+L1292</f>
        <v>9191</v>
      </c>
    </row>
  </sheetData>
  <phoneticPr fontId="5" type="noConversion"/>
  <pageMargins left="0.75" right="0.75" top="1" bottom="1" header="0.5" footer="0.5"/>
  <pageSetup scale="65" orientation="landscape" r:id="rId1"/>
  <headerFooter alignWithMargins="0"/>
  <ignoredErrors>
    <ignoredError sqref="X218" formula="1"/>
    <ignoredError sqref="V372:V38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793"/>
  <sheetViews>
    <sheetView workbookViewId="0">
      <pane xSplit="1" ySplit="7" topLeftCell="D690" activePane="bottomRight" state="frozen"/>
      <selection pane="topRight" activeCell="B1" sqref="B1"/>
      <selection pane="bottomLeft" activeCell="A8" sqref="A8"/>
      <selection pane="bottomRight" activeCell="Q708" sqref="Q708"/>
    </sheetView>
  </sheetViews>
  <sheetFormatPr defaultRowHeight="15" x14ac:dyDescent="0.25"/>
  <cols>
    <col min="12" max="12" width="9.1796875" bestFit="1" customWidth="1"/>
    <col min="14" max="14" width="9.1796875" bestFit="1" customWidth="1"/>
    <col min="16" max="16" width="9.1796875" bestFit="1" customWidth="1"/>
    <col min="19" max="19" width="12.54296875" customWidth="1"/>
    <col min="20" max="20" width="10.81640625" customWidth="1"/>
  </cols>
  <sheetData>
    <row r="1" spans="1:26" x14ac:dyDescent="0.25">
      <c r="A1" s="141" t="s">
        <v>243</v>
      </c>
      <c r="B1" s="141"/>
      <c r="C1" s="141"/>
    </row>
    <row r="2" spans="1:26" x14ac:dyDescent="0.25">
      <c r="A2" s="62" t="s">
        <v>0</v>
      </c>
      <c r="B2" s="56"/>
      <c r="C2" s="56"/>
      <c r="D2" s="56"/>
    </row>
    <row r="3" spans="1:26" x14ac:dyDescent="0.25">
      <c r="A3" s="62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spans="1:26" x14ac:dyDescent="0.25">
      <c r="A4" s="62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</row>
    <row r="5" spans="1:26" ht="15.6" thickBot="1" x14ac:dyDescent="0.3">
      <c r="A5" s="8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9" t="s">
        <v>125</v>
      </c>
      <c r="S5" s="59"/>
    </row>
    <row r="6" spans="1:26" ht="16.2" thickTop="1" x14ac:dyDescent="0.3">
      <c r="A6" s="130"/>
      <c r="B6" s="138" t="s">
        <v>3</v>
      </c>
      <c r="C6" s="138"/>
      <c r="D6" s="138" t="s">
        <v>4</v>
      </c>
      <c r="E6" s="138"/>
      <c r="F6" s="138" t="s">
        <v>5</v>
      </c>
      <c r="G6" s="138"/>
      <c r="H6" s="138" t="s">
        <v>6</v>
      </c>
      <c r="I6" s="138"/>
      <c r="J6" s="138" t="s">
        <v>7</v>
      </c>
      <c r="K6" s="138"/>
      <c r="L6" s="138" t="s">
        <v>240</v>
      </c>
      <c r="M6" s="139"/>
      <c r="N6" s="139" t="s">
        <v>9</v>
      </c>
      <c r="O6" s="139"/>
      <c r="P6" s="139" t="s">
        <v>10</v>
      </c>
      <c r="Q6" s="139"/>
      <c r="R6" s="138" t="s">
        <v>126</v>
      </c>
      <c r="S6" s="131" t="s">
        <v>248</v>
      </c>
      <c r="T6" s="147"/>
      <c r="U6" s="149" t="s">
        <v>244</v>
      </c>
      <c r="V6" s="149" t="s">
        <v>245</v>
      </c>
      <c r="W6" s="149"/>
      <c r="X6" s="149"/>
      <c r="Y6" s="145"/>
      <c r="Z6" s="145"/>
    </row>
    <row r="7" spans="1:26" ht="15.6" thickBot="1" x14ac:dyDescent="0.3">
      <c r="A7" s="132"/>
      <c r="B7" s="133" t="s">
        <v>11</v>
      </c>
      <c r="C7" s="133" t="s">
        <v>12</v>
      </c>
      <c r="D7" s="133" t="s">
        <v>11</v>
      </c>
      <c r="E7" s="133" t="s">
        <v>12</v>
      </c>
      <c r="F7" s="133" t="s">
        <v>11</v>
      </c>
      <c r="G7" s="133" t="s">
        <v>12</v>
      </c>
      <c r="H7" s="133" t="s">
        <v>11</v>
      </c>
      <c r="I7" s="133" t="s">
        <v>12</v>
      </c>
      <c r="J7" s="133" t="s">
        <v>11</v>
      </c>
      <c r="K7" s="133" t="s">
        <v>12</v>
      </c>
      <c r="L7" s="133" t="s">
        <v>11</v>
      </c>
      <c r="M7" s="133" t="s">
        <v>12</v>
      </c>
      <c r="N7" s="133" t="s">
        <v>11</v>
      </c>
      <c r="O7" s="133" t="s">
        <v>12</v>
      </c>
      <c r="P7" s="133" t="s">
        <v>11</v>
      </c>
      <c r="Q7" s="133" t="s">
        <v>12</v>
      </c>
      <c r="R7" s="133"/>
      <c r="S7" s="133" t="s">
        <v>11</v>
      </c>
      <c r="T7" s="148"/>
      <c r="U7" s="146"/>
      <c r="V7" s="146"/>
      <c r="W7" s="146"/>
      <c r="X7" s="146"/>
      <c r="Y7" s="146"/>
      <c r="Z7" s="146"/>
    </row>
    <row r="8" spans="1:26" ht="16.2" thickTop="1" x14ac:dyDescent="0.3">
      <c r="A8" s="120">
        <v>36523</v>
      </c>
      <c r="B8" s="63">
        <v>894</v>
      </c>
      <c r="C8" s="63">
        <v>7280</v>
      </c>
      <c r="D8" s="63">
        <v>642</v>
      </c>
      <c r="E8" s="63">
        <v>2514</v>
      </c>
      <c r="F8" s="63">
        <v>801</v>
      </c>
      <c r="G8" s="63">
        <v>3375</v>
      </c>
      <c r="H8" s="63">
        <v>721</v>
      </c>
      <c r="I8" s="63">
        <v>2326</v>
      </c>
      <c r="J8" s="63">
        <v>255</v>
      </c>
      <c r="K8" s="63">
        <v>563</v>
      </c>
      <c r="L8" s="63">
        <v>3312</v>
      </c>
      <c r="M8" s="63">
        <v>16058</v>
      </c>
      <c r="N8" s="63">
        <v>7894</v>
      </c>
      <c r="O8" s="63">
        <v>17010</v>
      </c>
      <c r="P8" s="63">
        <v>4521</v>
      </c>
      <c r="Q8" s="63">
        <v>11070</v>
      </c>
      <c r="R8" s="16">
        <f t="shared" ref="R8:R33" si="0">P8+N8+L8</f>
        <v>15727</v>
      </c>
      <c r="S8" s="5"/>
    </row>
    <row r="9" spans="1:26" ht="15.6" x14ac:dyDescent="0.3">
      <c r="A9" s="121">
        <v>36531</v>
      </c>
      <c r="B9" s="63">
        <v>854</v>
      </c>
      <c r="C9" s="63">
        <v>7364</v>
      </c>
      <c r="D9" s="63">
        <v>523</v>
      </c>
      <c r="E9" s="63">
        <v>2644</v>
      </c>
      <c r="F9" s="63">
        <v>707</v>
      </c>
      <c r="G9" s="63">
        <v>3493</v>
      </c>
      <c r="H9" s="63">
        <v>638</v>
      </c>
      <c r="I9" s="63">
        <v>2455</v>
      </c>
      <c r="J9" s="63">
        <v>206</v>
      </c>
      <c r="K9" s="63">
        <v>619</v>
      </c>
      <c r="L9" s="63">
        <v>2928</v>
      </c>
      <c r="M9" s="63">
        <v>16575</v>
      </c>
      <c r="N9" s="63">
        <v>7360</v>
      </c>
      <c r="O9" s="63">
        <v>17826</v>
      </c>
      <c r="P9" s="63">
        <v>4436</v>
      </c>
      <c r="Q9" s="63">
        <v>11672</v>
      </c>
      <c r="R9" s="16">
        <f t="shared" si="0"/>
        <v>14724</v>
      </c>
      <c r="S9" s="5"/>
      <c r="T9" s="168">
        <v>36531</v>
      </c>
    </row>
    <row r="10" spans="1:26" ht="15.6" x14ac:dyDescent="0.3">
      <c r="A10" s="121">
        <f>A9+7</f>
        <v>36538</v>
      </c>
      <c r="B10" s="63">
        <v>780.4</v>
      </c>
      <c r="C10" s="63">
        <v>7583.5</v>
      </c>
      <c r="D10" s="63">
        <v>430.7</v>
      </c>
      <c r="E10" s="63">
        <v>2745</v>
      </c>
      <c r="F10" s="63">
        <v>687</v>
      </c>
      <c r="G10" s="63">
        <v>3564</v>
      </c>
      <c r="H10" s="63">
        <v>589</v>
      </c>
      <c r="I10" s="63">
        <v>2535</v>
      </c>
      <c r="J10" s="63">
        <v>224</v>
      </c>
      <c r="K10" s="63">
        <v>619</v>
      </c>
      <c r="L10" s="63">
        <v>2711</v>
      </c>
      <c r="M10" s="63">
        <v>17047</v>
      </c>
      <c r="N10" s="63">
        <v>7487</v>
      </c>
      <c r="O10" s="63">
        <v>18837</v>
      </c>
      <c r="P10" s="63">
        <v>4338</v>
      </c>
      <c r="Q10" s="63">
        <v>12360</v>
      </c>
      <c r="R10" s="16">
        <f t="shared" si="0"/>
        <v>14536</v>
      </c>
      <c r="S10" s="167">
        <f>AVERAGE(R7:R10)</f>
        <v>14995.666666666666</v>
      </c>
      <c r="T10" s="168">
        <f>T9+7</f>
        <v>36538</v>
      </c>
    </row>
    <row r="11" spans="1:26" ht="15.6" x14ac:dyDescent="0.3">
      <c r="A11" s="121">
        <f t="shared" ref="A11:A74" si="1">A10+7</f>
        <v>36545</v>
      </c>
      <c r="B11" s="63">
        <v>808</v>
      </c>
      <c r="C11" s="63">
        <v>7709</v>
      </c>
      <c r="D11" s="63">
        <v>394</v>
      </c>
      <c r="E11" s="63">
        <v>2818</v>
      </c>
      <c r="F11" s="63">
        <v>704</v>
      </c>
      <c r="G11" s="63">
        <v>3617</v>
      </c>
      <c r="H11" s="63">
        <v>535</v>
      </c>
      <c r="I11" s="63">
        <v>2616</v>
      </c>
      <c r="J11" s="63">
        <v>175</v>
      </c>
      <c r="K11" s="63">
        <v>670</v>
      </c>
      <c r="L11" s="63">
        <v>2614</v>
      </c>
      <c r="M11" s="63">
        <v>17430</v>
      </c>
      <c r="N11" s="63">
        <v>7737</v>
      </c>
      <c r="O11" s="63">
        <v>19721</v>
      </c>
      <c r="P11" s="63">
        <v>3887</v>
      </c>
      <c r="Q11" s="63">
        <v>12978</v>
      </c>
      <c r="R11" s="16">
        <f t="shared" si="0"/>
        <v>14238</v>
      </c>
      <c r="S11" s="167">
        <f>AVERAGE(R8:R11)</f>
        <v>14806.25</v>
      </c>
      <c r="T11" s="168">
        <f>T10+7</f>
        <v>36545</v>
      </c>
    </row>
    <row r="12" spans="1:26" ht="15.6" x14ac:dyDescent="0.3">
      <c r="A12" s="121">
        <f t="shared" si="1"/>
        <v>36552</v>
      </c>
      <c r="B12" s="63">
        <v>870</v>
      </c>
      <c r="C12" s="63">
        <v>7882</v>
      </c>
      <c r="D12" s="63">
        <v>424</v>
      </c>
      <c r="E12" s="63">
        <v>2888</v>
      </c>
      <c r="F12" s="63">
        <v>786</v>
      </c>
      <c r="G12" s="63">
        <v>3697</v>
      </c>
      <c r="H12" s="63">
        <v>442</v>
      </c>
      <c r="I12" s="63">
        <v>2767</v>
      </c>
      <c r="J12" s="63">
        <v>237</v>
      </c>
      <c r="K12" s="63">
        <v>673</v>
      </c>
      <c r="L12" s="63">
        <v>2704</v>
      </c>
      <c r="M12" s="63">
        <v>17907</v>
      </c>
      <c r="N12" s="63">
        <v>7579</v>
      </c>
      <c r="O12" s="63">
        <v>20673</v>
      </c>
      <c r="P12" s="63">
        <v>3593</v>
      </c>
      <c r="Q12" s="63">
        <v>13664</v>
      </c>
      <c r="R12" s="16">
        <f t="shared" si="0"/>
        <v>13876</v>
      </c>
      <c r="S12" s="167">
        <f t="shared" ref="S12:S75" si="2">AVERAGE(R9:R12)</f>
        <v>14343.5</v>
      </c>
      <c r="T12" s="168">
        <f t="shared" ref="T12:T75" si="3">T11+7</f>
        <v>36552</v>
      </c>
    </row>
    <row r="13" spans="1:26" ht="15.6" x14ac:dyDescent="0.3">
      <c r="A13" s="121">
        <f t="shared" si="1"/>
        <v>36559</v>
      </c>
      <c r="B13" s="63">
        <v>959</v>
      </c>
      <c r="C13" s="63">
        <v>8037</v>
      </c>
      <c r="D13" s="63">
        <v>482</v>
      </c>
      <c r="E13" s="63">
        <v>2949</v>
      </c>
      <c r="F13" s="63">
        <v>831</v>
      </c>
      <c r="G13" s="63">
        <v>3840</v>
      </c>
      <c r="H13" s="63">
        <v>440</v>
      </c>
      <c r="I13" s="63">
        <v>2882</v>
      </c>
      <c r="J13" s="63">
        <v>188</v>
      </c>
      <c r="K13" s="63">
        <v>692</v>
      </c>
      <c r="L13" s="63">
        <v>2898</v>
      </c>
      <c r="M13" s="63">
        <v>18398</v>
      </c>
      <c r="N13" s="63">
        <v>7771</v>
      </c>
      <c r="O13" s="63">
        <v>21491</v>
      </c>
      <c r="P13" s="63">
        <v>3920</v>
      </c>
      <c r="Q13" s="63">
        <v>14289</v>
      </c>
      <c r="R13" s="16">
        <f t="shared" si="0"/>
        <v>14589</v>
      </c>
      <c r="S13" s="167">
        <f t="shared" si="2"/>
        <v>14309.75</v>
      </c>
      <c r="T13" s="168">
        <f t="shared" si="3"/>
        <v>36559</v>
      </c>
    </row>
    <row r="14" spans="1:26" ht="15.6" x14ac:dyDescent="0.3">
      <c r="A14" s="121">
        <f t="shared" si="1"/>
        <v>36566</v>
      </c>
      <c r="B14" s="63">
        <v>1027</v>
      </c>
      <c r="C14" s="63">
        <v>8168</v>
      </c>
      <c r="D14" s="63">
        <v>466</v>
      </c>
      <c r="E14" s="63">
        <v>3094</v>
      </c>
      <c r="F14" s="63">
        <v>800</v>
      </c>
      <c r="G14" s="63">
        <v>3955</v>
      </c>
      <c r="H14" s="63">
        <v>487</v>
      </c>
      <c r="I14" s="63">
        <v>2899.7</v>
      </c>
      <c r="J14" s="63">
        <v>176</v>
      </c>
      <c r="K14" s="63">
        <v>691.5</v>
      </c>
      <c r="L14" s="63">
        <v>2938</v>
      </c>
      <c r="M14" s="63">
        <v>18808</v>
      </c>
      <c r="N14" s="63">
        <v>7408</v>
      </c>
      <c r="O14" s="63">
        <v>22378.799999999999</v>
      </c>
      <c r="P14" s="63">
        <v>3681</v>
      </c>
      <c r="Q14" s="63">
        <v>15192.5</v>
      </c>
      <c r="R14" s="16">
        <f t="shared" si="0"/>
        <v>14027</v>
      </c>
      <c r="S14" s="167">
        <f t="shared" si="2"/>
        <v>14182.5</v>
      </c>
      <c r="T14" s="168">
        <f t="shared" si="3"/>
        <v>36566</v>
      </c>
    </row>
    <row r="15" spans="1:26" ht="15.6" x14ac:dyDescent="0.3">
      <c r="A15" s="121">
        <f t="shared" si="1"/>
        <v>36573</v>
      </c>
      <c r="B15" s="63">
        <v>984</v>
      </c>
      <c r="C15" s="63">
        <v>8405</v>
      </c>
      <c r="D15" s="63">
        <v>488</v>
      </c>
      <c r="E15" s="63">
        <v>3171</v>
      </c>
      <c r="F15" s="63">
        <v>921</v>
      </c>
      <c r="G15" s="63">
        <v>4057</v>
      </c>
      <c r="H15" s="63">
        <v>489</v>
      </c>
      <c r="I15" s="63">
        <v>2970</v>
      </c>
      <c r="J15" s="63">
        <v>166</v>
      </c>
      <c r="K15" s="63">
        <v>703</v>
      </c>
      <c r="L15" s="63">
        <v>3047</v>
      </c>
      <c r="M15" s="63">
        <v>19306</v>
      </c>
      <c r="N15" s="63">
        <v>7423</v>
      </c>
      <c r="O15" s="63">
        <v>23257.5</v>
      </c>
      <c r="P15" s="63">
        <v>4002</v>
      </c>
      <c r="Q15" s="63">
        <v>15857</v>
      </c>
      <c r="R15" s="16">
        <f t="shared" si="0"/>
        <v>14472</v>
      </c>
      <c r="S15" s="167">
        <f t="shared" si="2"/>
        <v>14241</v>
      </c>
      <c r="T15" s="168">
        <f t="shared" si="3"/>
        <v>36573</v>
      </c>
    </row>
    <row r="16" spans="1:26" ht="15.6" x14ac:dyDescent="0.3">
      <c r="A16" s="121">
        <f t="shared" si="1"/>
        <v>36580</v>
      </c>
      <c r="B16" s="63">
        <v>943</v>
      </c>
      <c r="C16" s="63">
        <v>8540</v>
      </c>
      <c r="D16" s="63">
        <v>385</v>
      </c>
      <c r="E16" s="63">
        <v>3286</v>
      </c>
      <c r="F16" s="63">
        <v>910</v>
      </c>
      <c r="G16" s="63">
        <v>4134</v>
      </c>
      <c r="H16" s="63">
        <v>482</v>
      </c>
      <c r="I16" s="63">
        <v>3035</v>
      </c>
      <c r="J16" s="63">
        <v>155</v>
      </c>
      <c r="K16" s="63">
        <v>713</v>
      </c>
      <c r="L16" s="63">
        <v>2875</v>
      </c>
      <c r="M16" s="63">
        <v>19709</v>
      </c>
      <c r="N16" s="63">
        <v>7517</v>
      </c>
      <c r="O16" s="63">
        <v>24291</v>
      </c>
      <c r="P16" s="63">
        <v>3938</v>
      </c>
      <c r="Q16" s="63">
        <v>16479</v>
      </c>
      <c r="R16" s="16">
        <f t="shared" si="0"/>
        <v>14330</v>
      </c>
      <c r="S16" s="167">
        <f t="shared" si="2"/>
        <v>14354.5</v>
      </c>
      <c r="T16" s="168">
        <f t="shared" si="3"/>
        <v>36580</v>
      </c>
    </row>
    <row r="17" spans="1:20" ht="15.6" x14ac:dyDescent="0.3">
      <c r="A17" s="121">
        <f t="shared" si="1"/>
        <v>36587</v>
      </c>
      <c r="B17" s="63">
        <v>942</v>
      </c>
      <c r="C17" s="63">
        <v>8687</v>
      </c>
      <c r="D17" s="63">
        <v>401</v>
      </c>
      <c r="E17" s="63">
        <v>3371</v>
      </c>
      <c r="F17" s="63">
        <v>1009</v>
      </c>
      <c r="G17" s="63">
        <v>4209</v>
      </c>
      <c r="H17" s="63">
        <v>557</v>
      </c>
      <c r="I17" s="63">
        <v>3076</v>
      </c>
      <c r="J17" s="63">
        <v>247</v>
      </c>
      <c r="K17" s="63">
        <v>741</v>
      </c>
      <c r="L17" s="63">
        <v>3156</v>
      </c>
      <c r="M17" s="63">
        <v>20084</v>
      </c>
      <c r="N17" s="63">
        <v>8148</v>
      </c>
      <c r="O17" s="63">
        <v>25033</v>
      </c>
      <c r="P17" s="63">
        <v>3852</v>
      </c>
      <c r="Q17" s="63">
        <v>17091</v>
      </c>
      <c r="R17" s="16">
        <f t="shared" si="0"/>
        <v>15156</v>
      </c>
      <c r="S17" s="167">
        <f t="shared" si="2"/>
        <v>14496.25</v>
      </c>
      <c r="T17" s="168">
        <f t="shared" si="3"/>
        <v>36587</v>
      </c>
    </row>
    <row r="18" spans="1:20" ht="15.6" x14ac:dyDescent="0.3">
      <c r="A18" s="121">
        <f t="shared" si="1"/>
        <v>36594</v>
      </c>
      <c r="B18" s="63">
        <v>1009</v>
      </c>
      <c r="C18" s="63">
        <v>8792</v>
      </c>
      <c r="D18" s="63">
        <v>438</v>
      </c>
      <c r="E18" s="63">
        <v>3371</v>
      </c>
      <c r="F18" s="63">
        <v>1037</v>
      </c>
      <c r="G18" s="63">
        <v>4336</v>
      </c>
      <c r="H18" s="63">
        <v>562</v>
      </c>
      <c r="I18" s="63">
        <v>3121</v>
      </c>
      <c r="J18" s="63">
        <v>290</v>
      </c>
      <c r="K18" s="63">
        <v>749</v>
      </c>
      <c r="L18" s="63">
        <v>3336</v>
      </c>
      <c r="M18" s="63">
        <v>20368</v>
      </c>
      <c r="N18" s="63">
        <v>7952</v>
      </c>
      <c r="O18" s="63">
        <v>25999</v>
      </c>
      <c r="P18" s="63">
        <v>3223</v>
      </c>
      <c r="Q18" s="63">
        <v>18093</v>
      </c>
      <c r="R18" s="16">
        <f t="shared" si="0"/>
        <v>14511</v>
      </c>
      <c r="S18" s="167">
        <f t="shared" si="2"/>
        <v>14617.25</v>
      </c>
      <c r="T18" s="168">
        <f t="shared" si="3"/>
        <v>36594</v>
      </c>
    </row>
    <row r="19" spans="1:20" ht="15.6" x14ac:dyDescent="0.3">
      <c r="A19" s="121">
        <f t="shared" si="1"/>
        <v>36601</v>
      </c>
      <c r="B19" s="63">
        <v>1068</v>
      </c>
      <c r="C19" s="63">
        <v>8875</v>
      </c>
      <c r="D19" s="63">
        <v>321</v>
      </c>
      <c r="E19" s="63">
        <v>3523</v>
      </c>
      <c r="F19" s="63">
        <v>1045</v>
      </c>
      <c r="G19" s="63">
        <v>4389</v>
      </c>
      <c r="H19" s="63">
        <v>600</v>
      </c>
      <c r="I19" s="63">
        <v>3146</v>
      </c>
      <c r="J19" s="63">
        <v>276</v>
      </c>
      <c r="K19" s="63">
        <v>775</v>
      </c>
      <c r="L19" s="63">
        <v>3310</v>
      </c>
      <c r="M19" s="63">
        <v>20709</v>
      </c>
      <c r="N19" s="63">
        <v>7537</v>
      </c>
      <c r="O19" s="63">
        <v>26906</v>
      </c>
      <c r="P19" s="63">
        <v>2941</v>
      </c>
      <c r="Q19" s="63">
        <v>18747</v>
      </c>
      <c r="R19" s="16">
        <f t="shared" si="0"/>
        <v>13788</v>
      </c>
      <c r="S19" s="167">
        <f t="shared" si="2"/>
        <v>14446.25</v>
      </c>
      <c r="T19" s="168">
        <f t="shared" si="3"/>
        <v>36601</v>
      </c>
    </row>
    <row r="20" spans="1:20" ht="15.6" x14ac:dyDescent="0.3">
      <c r="A20" s="121">
        <f t="shared" si="1"/>
        <v>36608</v>
      </c>
      <c r="B20" s="63">
        <v>1028</v>
      </c>
      <c r="C20" s="63">
        <v>8982</v>
      </c>
      <c r="D20" s="63">
        <v>308</v>
      </c>
      <c r="E20" s="63">
        <v>3586</v>
      </c>
      <c r="F20" s="63">
        <v>1117</v>
      </c>
      <c r="G20" s="63">
        <v>4489</v>
      </c>
      <c r="H20" s="63">
        <v>622</v>
      </c>
      <c r="I20" s="63">
        <v>3192</v>
      </c>
      <c r="J20" s="63">
        <v>254</v>
      </c>
      <c r="K20" s="63">
        <v>797</v>
      </c>
      <c r="L20" s="63">
        <v>3229</v>
      </c>
      <c r="M20" s="63">
        <v>21047</v>
      </c>
      <c r="N20" s="63">
        <v>7316</v>
      </c>
      <c r="O20" s="63">
        <v>27895</v>
      </c>
      <c r="P20" s="63">
        <v>2514</v>
      </c>
      <c r="Q20" s="63">
        <v>19444</v>
      </c>
      <c r="R20" s="16">
        <f t="shared" si="0"/>
        <v>13059</v>
      </c>
      <c r="S20" s="167">
        <f t="shared" si="2"/>
        <v>14128.5</v>
      </c>
      <c r="T20" s="168">
        <f t="shared" si="3"/>
        <v>36608</v>
      </c>
    </row>
    <row r="21" spans="1:20" ht="15.6" x14ac:dyDescent="0.3">
      <c r="A21" s="121">
        <f t="shared" si="1"/>
        <v>36615</v>
      </c>
      <c r="B21" s="63">
        <v>1033</v>
      </c>
      <c r="C21" s="63">
        <v>9168</v>
      </c>
      <c r="D21" s="63">
        <v>317</v>
      </c>
      <c r="E21" s="63">
        <v>3631</v>
      </c>
      <c r="F21" s="63">
        <v>1023</v>
      </c>
      <c r="G21" s="63">
        <v>4588</v>
      </c>
      <c r="H21" s="63">
        <v>591</v>
      </c>
      <c r="I21" s="63">
        <v>3282</v>
      </c>
      <c r="J21" s="63">
        <v>256</v>
      </c>
      <c r="K21" s="63">
        <v>797</v>
      </c>
      <c r="L21" s="63">
        <v>3219</v>
      </c>
      <c r="M21" s="63">
        <v>21464</v>
      </c>
      <c r="N21" s="63">
        <v>7249</v>
      </c>
      <c r="O21" s="63">
        <v>28827</v>
      </c>
      <c r="P21" s="63">
        <v>2309</v>
      </c>
      <c r="Q21" s="63">
        <v>19951</v>
      </c>
      <c r="R21" s="16">
        <f t="shared" si="0"/>
        <v>12777</v>
      </c>
      <c r="S21" s="167">
        <f t="shared" si="2"/>
        <v>13533.75</v>
      </c>
      <c r="T21" s="168">
        <f t="shared" si="3"/>
        <v>36615</v>
      </c>
    </row>
    <row r="22" spans="1:20" ht="15.6" x14ac:dyDescent="0.3">
      <c r="A22" s="121">
        <f t="shared" si="1"/>
        <v>36622</v>
      </c>
      <c r="B22" s="63">
        <v>1088</v>
      </c>
      <c r="C22" s="63">
        <v>9298</v>
      </c>
      <c r="D22" s="63">
        <v>302</v>
      </c>
      <c r="E22" s="63">
        <v>3726</v>
      </c>
      <c r="F22" s="63">
        <v>837</v>
      </c>
      <c r="G22" s="63">
        <v>4794</v>
      </c>
      <c r="H22" s="63">
        <v>596</v>
      </c>
      <c r="I22" s="63">
        <v>3390</v>
      </c>
      <c r="J22" s="63">
        <v>255</v>
      </c>
      <c r="K22" s="63">
        <v>798</v>
      </c>
      <c r="L22" s="63">
        <v>3077</v>
      </c>
      <c r="M22" s="63">
        <v>22007</v>
      </c>
      <c r="N22" s="63">
        <v>7132</v>
      </c>
      <c r="O22" s="63">
        <v>29668</v>
      </c>
      <c r="P22" s="63">
        <v>2021</v>
      </c>
      <c r="Q22" s="63">
        <v>20454</v>
      </c>
      <c r="R22" s="16">
        <f t="shared" si="0"/>
        <v>12230</v>
      </c>
      <c r="S22" s="167">
        <f t="shared" si="2"/>
        <v>12963.5</v>
      </c>
      <c r="T22" s="168">
        <f t="shared" si="3"/>
        <v>36622</v>
      </c>
    </row>
    <row r="23" spans="1:20" ht="15.6" x14ac:dyDescent="0.3">
      <c r="A23" s="121">
        <f t="shared" si="1"/>
        <v>36629</v>
      </c>
      <c r="B23" s="63">
        <v>1008</v>
      </c>
      <c r="C23" s="63">
        <v>9460</v>
      </c>
      <c r="D23" s="63">
        <v>328</v>
      </c>
      <c r="E23" s="63">
        <v>3781</v>
      </c>
      <c r="F23" s="63">
        <v>785</v>
      </c>
      <c r="G23" s="63">
        <v>4881</v>
      </c>
      <c r="H23" s="63">
        <v>694</v>
      </c>
      <c r="I23" s="63">
        <v>3435</v>
      </c>
      <c r="J23" s="63">
        <v>246</v>
      </c>
      <c r="K23" s="63">
        <v>825</v>
      </c>
      <c r="L23" s="63">
        <v>3061</v>
      </c>
      <c r="M23" s="63">
        <v>22383</v>
      </c>
      <c r="N23" s="63">
        <v>7258</v>
      </c>
      <c r="O23" s="63">
        <v>30593</v>
      </c>
      <c r="P23" s="63">
        <v>1956</v>
      </c>
      <c r="Q23" s="63">
        <v>20823</v>
      </c>
      <c r="R23" s="16">
        <f t="shared" si="0"/>
        <v>12275</v>
      </c>
      <c r="S23" s="167">
        <f t="shared" si="2"/>
        <v>12585.25</v>
      </c>
      <c r="T23" s="168">
        <f t="shared" si="3"/>
        <v>36629</v>
      </c>
    </row>
    <row r="24" spans="1:20" ht="15.6" x14ac:dyDescent="0.3">
      <c r="A24" s="121">
        <f t="shared" si="1"/>
        <v>36636</v>
      </c>
      <c r="B24" s="63">
        <v>867</v>
      </c>
      <c r="C24" s="63">
        <v>9632</v>
      </c>
      <c r="D24" s="63">
        <v>346</v>
      </c>
      <c r="E24" s="63">
        <v>3828</v>
      </c>
      <c r="F24" s="63">
        <v>681</v>
      </c>
      <c r="G24" s="63">
        <v>5072</v>
      </c>
      <c r="H24" s="63">
        <v>665</v>
      </c>
      <c r="I24" s="63">
        <v>3472</v>
      </c>
      <c r="J24" s="63">
        <v>256</v>
      </c>
      <c r="K24" s="63">
        <v>825</v>
      </c>
      <c r="L24" s="63">
        <v>2815</v>
      </c>
      <c r="M24" s="63">
        <v>22829</v>
      </c>
      <c r="N24" s="63">
        <v>7405</v>
      </c>
      <c r="O24" s="63">
        <v>31682</v>
      </c>
      <c r="P24" s="63">
        <v>1909</v>
      </c>
      <c r="Q24" s="63">
        <v>21107</v>
      </c>
      <c r="R24" s="16">
        <f t="shared" si="0"/>
        <v>12129</v>
      </c>
      <c r="S24" s="167">
        <f t="shared" si="2"/>
        <v>12352.75</v>
      </c>
      <c r="T24" s="168">
        <f t="shared" si="3"/>
        <v>36636</v>
      </c>
    </row>
    <row r="25" spans="1:20" ht="15.6" x14ac:dyDescent="0.3">
      <c r="A25" s="121">
        <f t="shared" si="1"/>
        <v>36643</v>
      </c>
      <c r="B25" s="63">
        <v>741</v>
      </c>
      <c r="C25" s="63">
        <v>9849</v>
      </c>
      <c r="D25" s="63">
        <v>472</v>
      </c>
      <c r="E25" s="63">
        <v>3870</v>
      </c>
      <c r="F25" s="63">
        <v>673</v>
      </c>
      <c r="G25" s="63">
        <v>5147</v>
      </c>
      <c r="H25" s="63">
        <v>639</v>
      </c>
      <c r="I25" s="63">
        <v>3506</v>
      </c>
      <c r="J25" s="63">
        <v>255</v>
      </c>
      <c r="K25" s="63">
        <v>825</v>
      </c>
      <c r="L25" s="63">
        <v>2779</v>
      </c>
      <c r="M25" s="63">
        <v>23198</v>
      </c>
      <c r="N25" s="63">
        <v>6877</v>
      </c>
      <c r="O25" s="63">
        <v>32624</v>
      </c>
      <c r="P25" s="63">
        <v>1979</v>
      </c>
      <c r="Q25" s="63">
        <v>21295</v>
      </c>
      <c r="R25" s="16">
        <f t="shared" si="0"/>
        <v>11635</v>
      </c>
      <c r="S25" s="167">
        <f t="shared" si="2"/>
        <v>12067.25</v>
      </c>
      <c r="T25" s="168">
        <f t="shared" si="3"/>
        <v>36643</v>
      </c>
    </row>
    <row r="26" spans="1:20" ht="15.6" x14ac:dyDescent="0.3">
      <c r="A26" s="121">
        <f t="shared" si="1"/>
        <v>36650</v>
      </c>
      <c r="B26" s="56">
        <v>824</v>
      </c>
      <c r="C26" s="56">
        <v>10005</v>
      </c>
      <c r="D26" s="56">
        <v>422</v>
      </c>
      <c r="E26" s="56">
        <v>3903.7</v>
      </c>
      <c r="F26" s="56">
        <v>579</v>
      </c>
      <c r="G26" s="56">
        <v>5283.3</v>
      </c>
      <c r="H26" s="56">
        <v>588</v>
      </c>
      <c r="I26" s="56">
        <v>3618.3</v>
      </c>
      <c r="J26" s="56">
        <v>204</v>
      </c>
      <c r="K26" s="56">
        <v>878</v>
      </c>
      <c r="L26" s="56">
        <v>2617</v>
      </c>
      <c r="M26" s="56">
        <v>23688</v>
      </c>
      <c r="N26" s="56">
        <v>6817</v>
      </c>
      <c r="O26" s="56">
        <v>33432</v>
      </c>
      <c r="P26" s="56">
        <v>1776</v>
      </c>
      <c r="Q26" s="56">
        <v>21794</v>
      </c>
      <c r="R26" s="16">
        <f t="shared" si="0"/>
        <v>11210</v>
      </c>
      <c r="S26" s="167">
        <f t="shared" si="2"/>
        <v>11812.25</v>
      </c>
      <c r="T26" s="168">
        <f t="shared" si="3"/>
        <v>36650</v>
      </c>
    </row>
    <row r="27" spans="1:20" ht="15.6" x14ac:dyDescent="0.3">
      <c r="A27" s="121">
        <f t="shared" si="1"/>
        <v>36657</v>
      </c>
      <c r="B27" s="56">
        <v>755</v>
      </c>
      <c r="C27" s="56">
        <v>10102.9</v>
      </c>
      <c r="D27" s="56">
        <v>240</v>
      </c>
      <c r="E27" s="56">
        <v>4060.4</v>
      </c>
      <c r="F27" s="56">
        <v>524</v>
      </c>
      <c r="G27" s="56">
        <v>5353</v>
      </c>
      <c r="H27" s="56">
        <v>539</v>
      </c>
      <c r="I27" s="56">
        <v>3682</v>
      </c>
      <c r="J27" s="56">
        <v>167</v>
      </c>
      <c r="K27" s="56">
        <v>918</v>
      </c>
      <c r="L27" s="56">
        <v>2226</v>
      </c>
      <c r="M27" s="56">
        <v>24117</v>
      </c>
      <c r="N27" s="56">
        <v>6941</v>
      </c>
      <c r="O27" s="56">
        <v>34082</v>
      </c>
      <c r="P27" s="56">
        <v>1728</v>
      </c>
      <c r="Q27" s="56">
        <v>22041</v>
      </c>
      <c r="R27" s="16">
        <f t="shared" si="0"/>
        <v>10895</v>
      </c>
      <c r="S27" s="167">
        <f t="shared" si="2"/>
        <v>11467.25</v>
      </c>
      <c r="T27" s="168">
        <f t="shared" si="3"/>
        <v>36657</v>
      </c>
    </row>
    <row r="28" spans="1:20" ht="15.6" x14ac:dyDescent="0.3">
      <c r="A28" s="121">
        <f t="shared" si="1"/>
        <v>36664</v>
      </c>
      <c r="B28" s="56">
        <v>703</v>
      </c>
      <c r="C28" s="56">
        <v>10258</v>
      </c>
      <c r="D28" s="56">
        <v>170</v>
      </c>
      <c r="E28" s="56">
        <v>4114</v>
      </c>
      <c r="F28" s="56">
        <v>402</v>
      </c>
      <c r="G28" s="56">
        <v>5423</v>
      </c>
      <c r="H28" s="56">
        <v>356</v>
      </c>
      <c r="I28" s="56">
        <v>3814</v>
      </c>
      <c r="J28" s="56">
        <v>150</v>
      </c>
      <c r="K28" s="56">
        <v>936</v>
      </c>
      <c r="L28" s="56">
        <v>1780</v>
      </c>
      <c r="M28" s="56">
        <v>24544</v>
      </c>
      <c r="N28" s="56">
        <v>6979</v>
      </c>
      <c r="O28" s="56">
        <v>34970</v>
      </c>
      <c r="P28" s="56">
        <v>1900</v>
      </c>
      <c r="Q28" s="56">
        <v>22208</v>
      </c>
      <c r="R28" s="16">
        <f t="shared" si="0"/>
        <v>10659</v>
      </c>
      <c r="S28" s="167">
        <f t="shared" si="2"/>
        <v>11099.75</v>
      </c>
      <c r="T28" s="168">
        <f t="shared" si="3"/>
        <v>36664</v>
      </c>
    </row>
    <row r="29" spans="1:20" ht="15.6" x14ac:dyDescent="0.3">
      <c r="A29" s="121">
        <f t="shared" si="1"/>
        <v>36671</v>
      </c>
      <c r="B29" s="56">
        <v>526</v>
      </c>
      <c r="C29" s="56">
        <v>10491</v>
      </c>
      <c r="D29" s="56">
        <v>136</v>
      </c>
      <c r="E29" s="56">
        <v>4160</v>
      </c>
      <c r="F29" s="56">
        <v>275</v>
      </c>
      <c r="G29" s="56">
        <v>5511</v>
      </c>
      <c r="H29" s="56">
        <v>244</v>
      </c>
      <c r="I29" s="56">
        <v>3914</v>
      </c>
      <c r="J29" s="56">
        <v>103</v>
      </c>
      <c r="K29" s="56">
        <v>984</v>
      </c>
      <c r="L29" s="56">
        <v>1285</v>
      </c>
      <c r="M29" s="56">
        <v>25060</v>
      </c>
      <c r="N29" s="56">
        <v>6889</v>
      </c>
      <c r="O29" s="56">
        <v>35816</v>
      </c>
      <c r="P29" s="56">
        <v>1973</v>
      </c>
      <c r="Q29" s="56">
        <v>22428</v>
      </c>
      <c r="R29" s="16">
        <f t="shared" si="0"/>
        <v>10147</v>
      </c>
      <c r="S29" s="167">
        <f t="shared" si="2"/>
        <v>10727.75</v>
      </c>
      <c r="T29" s="168">
        <f t="shared" si="3"/>
        <v>36671</v>
      </c>
    </row>
    <row r="30" spans="1:20" ht="15.6" x14ac:dyDescent="0.3">
      <c r="A30" s="121">
        <f t="shared" si="1"/>
        <v>36678</v>
      </c>
      <c r="B30" s="56">
        <v>337</v>
      </c>
      <c r="C30" s="56">
        <v>10629.4</v>
      </c>
      <c r="D30" s="56">
        <v>102</v>
      </c>
      <c r="E30" s="56">
        <v>4195</v>
      </c>
      <c r="F30" s="56">
        <v>201</v>
      </c>
      <c r="G30" s="56">
        <v>5590</v>
      </c>
      <c r="H30" s="56">
        <v>94</v>
      </c>
      <c r="I30" s="56">
        <v>4055</v>
      </c>
      <c r="J30" s="56">
        <v>103</v>
      </c>
      <c r="K30" s="56">
        <v>984</v>
      </c>
      <c r="L30" s="56">
        <v>837</v>
      </c>
      <c r="M30" s="56">
        <v>25453</v>
      </c>
      <c r="N30" s="56">
        <v>7063</v>
      </c>
      <c r="O30" s="56">
        <v>36584</v>
      </c>
      <c r="P30" s="56">
        <v>2020</v>
      </c>
      <c r="Q30" s="56">
        <v>22714</v>
      </c>
      <c r="R30" s="16">
        <f t="shared" si="0"/>
        <v>9920</v>
      </c>
      <c r="S30" s="167">
        <f t="shared" si="2"/>
        <v>10405.25</v>
      </c>
      <c r="T30" s="168">
        <f t="shared" si="3"/>
        <v>36678</v>
      </c>
    </row>
    <row r="31" spans="1:20" ht="15.6" x14ac:dyDescent="0.3">
      <c r="A31" s="121">
        <f t="shared" si="1"/>
        <v>36685</v>
      </c>
      <c r="B31" s="56">
        <v>1062</v>
      </c>
      <c r="C31" s="56">
        <v>261.89999999999998</v>
      </c>
      <c r="D31" s="56">
        <v>764</v>
      </c>
      <c r="E31" s="56">
        <v>37</v>
      </c>
      <c r="F31" s="56">
        <v>765</v>
      </c>
      <c r="G31" s="56">
        <v>135</v>
      </c>
      <c r="H31" s="56">
        <v>603</v>
      </c>
      <c r="I31" s="56">
        <v>26</v>
      </c>
      <c r="J31" s="56">
        <v>256</v>
      </c>
      <c r="K31" s="56">
        <v>0</v>
      </c>
      <c r="L31" s="56">
        <v>3449.8</v>
      </c>
      <c r="M31" s="56">
        <v>460</v>
      </c>
      <c r="N31" s="56">
        <v>7125</v>
      </c>
      <c r="O31" s="56">
        <v>37500</v>
      </c>
      <c r="P31" s="56">
        <v>2058</v>
      </c>
      <c r="Q31" s="56">
        <v>23082</v>
      </c>
      <c r="R31" s="16">
        <f t="shared" si="0"/>
        <v>12632.8</v>
      </c>
      <c r="S31" s="167">
        <f t="shared" si="2"/>
        <v>10839.7</v>
      </c>
      <c r="T31" s="168">
        <f t="shared" si="3"/>
        <v>36685</v>
      </c>
    </row>
    <row r="32" spans="1:20" ht="15.6" x14ac:dyDescent="0.3">
      <c r="A32" s="121">
        <f t="shared" si="1"/>
        <v>36692</v>
      </c>
      <c r="B32" s="56">
        <v>1218</v>
      </c>
      <c r="C32" s="56">
        <v>383</v>
      </c>
      <c r="D32" s="56">
        <v>744</v>
      </c>
      <c r="E32" s="56">
        <v>162</v>
      </c>
      <c r="F32" s="56">
        <v>724</v>
      </c>
      <c r="G32" s="56">
        <v>253</v>
      </c>
      <c r="H32" s="56">
        <v>586</v>
      </c>
      <c r="I32" s="56">
        <v>107</v>
      </c>
      <c r="J32" s="56">
        <v>255</v>
      </c>
      <c r="K32" s="56">
        <v>1</v>
      </c>
      <c r="L32" s="56">
        <v>3526</v>
      </c>
      <c r="M32" s="56">
        <v>906</v>
      </c>
      <c r="N32" s="56">
        <v>7250</v>
      </c>
      <c r="O32" s="56">
        <v>38270</v>
      </c>
      <c r="P32" s="56">
        <v>2142</v>
      </c>
      <c r="Q32" s="56">
        <v>23286</v>
      </c>
      <c r="R32" s="16">
        <f t="shared" si="0"/>
        <v>12918</v>
      </c>
      <c r="S32" s="167">
        <f t="shared" si="2"/>
        <v>11404.45</v>
      </c>
      <c r="T32" s="168">
        <f t="shared" si="3"/>
        <v>36692</v>
      </c>
    </row>
    <row r="33" spans="1:20" ht="15.6" x14ac:dyDescent="0.3">
      <c r="A33" s="121">
        <f t="shared" si="1"/>
        <v>36699</v>
      </c>
      <c r="B33" s="56">
        <v>1188</v>
      </c>
      <c r="C33" s="56">
        <v>554</v>
      </c>
      <c r="D33" s="56">
        <v>723</v>
      </c>
      <c r="E33" s="56">
        <v>238</v>
      </c>
      <c r="F33" s="56">
        <v>770</v>
      </c>
      <c r="G33" s="56">
        <v>353</v>
      </c>
      <c r="H33" s="56">
        <v>591</v>
      </c>
      <c r="I33" s="56">
        <v>166</v>
      </c>
      <c r="J33" s="56">
        <v>245</v>
      </c>
      <c r="K33" s="56">
        <v>21</v>
      </c>
      <c r="L33" s="56">
        <v>3516</v>
      </c>
      <c r="M33" s="56">
        <v>1332</v>
      </c>
      <c r="N33" s="56">
        <v>7161</v>
      </c>
      <c r="O33" s="56">
        <v>39035</v>
      </c>
      <c r="P33" s="56">
        <v>2079</v>
      </c>
      <c r="Q33" s="56">
        <v>23539</v>
      </c>
      <c r="R33" s="16">
        <f t="shared" si="0"/>
        <v>12756</v>
      </c>
      <c r="S33" s="167">
        <f t="shared" si="2"/>
        <v>12056.7</v>
      </c>
      <c r="T33" s="168">
        <f t="shared" si="3"/>
        <v>36699</v>
      </c>
    </row>
    <row r="34" spans="1:20" ht="15.6" x14ac:dyDescent="0.3">
      <c r="A34" s="121">
        <f t="shared" si="1"/>
        <v>36706</v>
      </c>
      <c r="B34" s="56">
        <v>1069</v>
      </c>
      <c r="C34" s="56">
        <v>756</v>
      </c>
      <c r="D34" s="56">
        <v>617</v>
      </c>
      <c r="E34" s="56">
        <v>361</v>
      </c>
      <c r="F34" s="56">
        <v>766</v>
      </c>
      <c r="G34" s="56">
        <v>428</v>
      </c>
      <c r="H34" s="56">
        <v>410</v>
      </c>
      <c r="I34" s="56">
        <v>354</v>
      </c>
      <c r="J34" s="56">
        <v>242</v>
      </c>
      <c r="K34" s="56">
        <v>25</v>
      </c>
      <c r="L34" s="56">
        <v>3103</v>
      </c>
      <c r="M34" s="56">
        <v>1923</v>
      </c>
      <c r="N34" s="56">
        <v>7227</v>
      </c>
      <c r="O34" s="56">
        <v>39776</v>
      </c>
      <c r="P34" s="56">
        <v>2112</v>
      </c>
      <c r="Q34" s="56">
        <v>23927</v>
      </c>
      <c r="R34" s="16">
        <f>P34+N34+L34</f>
        <v>12442</v>
      </c>
      <c r="S34" s="167">
        <f t="shared" si="2"/>
        <v>12687.2</v>
      </c>
      <c r="T34" s="168">
        <f t="shared" si="3"/>
        <v>36706</v>
      </c>
    </row>
    <row r="35" spans="1:20" ht="15.6" x14ac:dyDescent="0.3">
      <c r="A35" s="121">
        <f t="shared" si="1"/>
        <v>36713</v>
      </c>
      <c r="B35" s="56">
        <v>1052</v>
      </c>
      <c r="C35" s="56">
        <v>896</v>
      </c>
      <c r="D35" s="56">
        <v>551</v>
      </c>
      <c r="E35" s="56">
        <v>547</v>
      </c>
      <c r="F35" s="56">
        <v>787</v>
      </c>
      <c r="G35" s="56">
        <v>573</v>
      </c>
      <c r="H35" s="56">
        <v>604</v>
      </c>
      <c r="I35" s="56">
        <v>387</v>
      </c>
      <c r="J35" s="56">
        <v>239</v>
      </c>
      <c r="K35" s="56">
        <v>28</v>
      </c>
      <c r="L35" s="56">
        <v>3233</v>
      </c>
      <c r="M35" s="56">
        <v>2431</v>
      </c>
      <c r="N35" s="56">
        <v>6820</v>
      </c>
      <c r="O35" s="56">
        <v>40757</v>
      </c>
      <c r="P35" s="56">
        <v>2197</v>
      </c>
      <c r="Q35" s="56">
        <v>24063</v>
      </c>
      <c r="R35" s="16">
        <f>P35+N35+L35</f>
        <v>12250</v>
      </c>
      <c r="S35" s="167">
        <f t="shared" si="2"/>
        <v>12591.5</v>
      </c>
      <c r="T35" s="168">
        <f t="shared" si="3"/>
        <v>36713</v>
      </c>
    </row>
    <row r="36" spans="1:20" ht="15.6" x14ac:dyDescent="0.3">
      <c r="A36" s="121">
        <f t="shared" si="1"/>
        <v>36720</v>
      </c>
      <c r="B36" s="56">
        <v>964</v>
      </c>
      <c r="C36" s="56">
        <v>1193</v>
      </c>
      <c r="D36" s="56">
        <v>564</v>
      </c>
      <c r="E36" s="56">
        <v>686</v>
      </c>
      <c r="F36" s="56">
        <v>828</v>
      </c>
      <c r="G36" s="56">
        <v>656</v>
      </c>
      <c r="H36" s="56">
        <v>645</v>
      </c>
      <c r="I36" s="56">
        <v>413</v>
      </c>
      <c r="J36" s="56">
        <v>239</v>
      </c>
      <c r="K36" s="56">
        <v>58</v>
      </c>
      <c r="L36" s="56">
        <v>3239</v>
      </c>
      <c r="M36" s="56">
        <v>3005</v>
      </c>
      <c r="N36" s="56">
        <v>6716</v>
      </c>
      <c r="O36" s="56">
        <v>41668</v>
      </c>
      <c r="P36" s="56">
        <v>1993</v>
      </c>
      <c r="Q36" s="56">
        <v>24479</v>
      </c>
      <c r="R36" s="16">
        <f>P36+N36+L36</f>
        <v>11948</v>
      </c>
      <c r="S36" s="167">
        <f t="shared" si="2"/>
        <v>12349</v>
      </c>
      <c r="T36" s="168">
        <f t="shared" si="3"/>
        <v>36720</v>
      </c>
    </row>
    <row r="37" spans="1:20" ht="15.6" x14ac:dyDescent="0.3">
      <c r="A37" s="121">
        <f t="shared" si="1"/>
        <v>36727</v>
      </c>
      <c r="B37" s="56">
        <v>1143</v>
      </c>
      <c r="C37" s="56">
        <v>1335</v>
      </c>
      <c r="D37" s="56">
        <v>512</v>
      </c>
      <c r="E37" s="56">
        <v>806</v>
      </c>
      <c r="F37" s="56">
        <v>839</v>
      </c>
      <c r="G37" s="56">
        <v>756</v>
      </c>
      <c r="H37" s="56">
        <v>789</v>
      </c>
      <c r="I37" s="56">
        <v>427</v>
      </c>
      <c r="J37" s="56">
        <v>354</v>
      </c>
      <c r="K37" s="56">
        <v>100</v>
      </c>
      <c r="L37" s="56">
        <v>3637</v>
      </c>
      <c r="M37" s="56">
        <v>3423</v>
      </c>
      <c r="N37" s="56">
        <v>6478</v>
      </c>
      <c r="O37" s="56">
        <v>42560</v>
      </c>
      <c r="P37" s="56">
        <v>1923</v>
      </c>
      <c r="Q37" s="56">
        <v>24800</v>
      </c>
      <c r="R37" s="16">
        <f>P37+N37+L37</f>
        <v>12038</v>
      </c>
      <c r="S37" s="167">
        <f t="shared" si="2"/>
        <v>12169.5</v>
      </c>
      <c r="T37" s="168">
        <f t="shared" si="3"/>
        <v>36727</v>
      </c>
    </row>
    <row r="38" spans="1:20" ht="15.6" x14ac:dyDescent="0.3">
      <c r="A38" s="121">
        <f t="shared" si="1"/>
        <v>36734</v>
      </c>
      <c r="B38" s="56">
        <v>1136</v>
      </c>
      <c r="C38" s="56">
        <v>1500</v>
      </c>
      <c r="D38" s="56">
        <v>543</v>
      </c>
      <c r="E38" s="56">
        <v>848</v>
      </c>
      <c r="F38" s="56">
        <v>804</v>
      </c>
      <c r="G38" s="56">
        <v>883</v>
      </c>
      <c r="H38" s="56">
        <v>761</v>
      </c>
      <c r="I38" s="56">
        <v>491</v>
      </c>
      <c r="J38" s="56">
        <v>318</v>
      </c>
      <c r="K38" s="56">
        <v>146</v>
      </c>
      <c r="L38" s="56">
        <v>3562</v>
      </c>
      <c r="M38" s="56">
        <v>3869</v>
      </c>
      <c r="N38" s="56">
        <v>6116</v>
      </c>
      <c r="O38" s="56">
        <v>43461</v>
      </c>
      <c r="P38" s="56">
        <v>1788</v>
      </c>
      <c r="Q38" s="56">
        <v>25175</v>
      </c>
      <c r="R38" s="16">
        <f>P38+N38+L38</f>
        <v>11466</v>
      </c>
      <c r="S38" s="167">
        <f t="shared" si="2"/>
        <v>11925.5</v>
      </c>
      <c r="T38" s="168">
        <f t="shared" si="3"/>
        <v>36734</v>
      </c>
    </row>
    <row r="39" spans="1:20" ht="15.6" x14ac:dyDescent="0.3">
      <c r="A39" s="121">
        <f t="shared" si="1"/>
        <v>36741</v>
      </c>
      <c r="B39" s="56">
        <v>1215</v>
      </c>
      <c r="C39" s="56">
        <v>1691</v>
      </c>
      <c r="D39" s="56">
        <v>651</v>
      </c>
      <c r="E39" s="56">
        <v>934</v>
      </c>
      <c r="F39" s="56">
        <v>901</v>
      </c>
      <c r="G39" s="56">
        <v>957</v>
      </c>
      <c r="H39" s="56">
        <v>1038</v>
      </c>
      <c r="I39" s="56">
        <v>637</v>
      </c>
      <c r="J39" s="56">
        <v>343</v>
      </c>
      <c r="K39" s="56">
        <v>163</v>
      </c>
      <c r="L39" s="56">
        <v>4148</v>
      </c>
      <c r="M39" s="56">
        <v>4382</v>
      </c>
      <c r="N39" s="56">
        <v>5766</v>
      </c>
      <c r="O39" s="56">
        <v>44317</v>
      </c>
      <c r="P39" s="56">
        <v>1635</v>
      </c>
      <c r="Q39" s="56">
        <v>25625</v>
      </c>
      <c r="R39" s="16">
        <f t="shared" ref="R39:R102" si="4">L39+N39+P39</f>
        <v>11549</v>
      </c>
      <c r="S39" s="167">
        <f t="shared" si="2"/>
        <v>11750.25</v>
      </c>
      <c r="T39" s="168">
        <f t="shared" si="3"/>
        <v>36741</v>
      </c>
    </row>
    <row r="40" spans="1:20" ht="15.6" x14ac:dyDescent="0.3">
      <c r="A40" s="121">
        <f t="shared" si="1"/>
        <v>36748</v>
      </c>
      <c r="B40" s="56">
        <v>1273</v>
      </c>
      <c r="C40" s="56">
        <v>1915</v>
      </c>
      <c r="D40" s="56">
        <v>727</v>
      </c>
      <c r="E40" s="56">
        <v>1029.5</v>
      </c>
      <c r="F40" s="56">
        <v>978</v>
      </c>
      <c r="G40" s="56">
        <v>1029</v>
      </c>
      <c r="H40" s="56">
        <v>963</v>
      </c>
      <c r="I40" s="56">
        <v>778</v>
      </c>
      <c r="J40" s="56">
        <v>308</v>
      </c>
      <c r="K40" s="56">
        <v>201</v>
      </c>
      <c r="L40" s="56">
        <v>4248</v>
      </c>
      <c r="M40" s="56">
        <v>4952</v>
      </c>
      <c r="N40" s="56">
        <v>5388</v>
      </c>
      <c r="O40" s="56">
        <v>44949</v>
      </c>
      <c r="P40" s="56">
        <v>1360</v>
      </c>
      <c r="Q40" s="56">
        <v>25991</v>
      </c>
      <c r="R40" s="16">
        <f t="shared" si="4"/>
        <v>10996</v>
      </c>
      <c r="S40" s="167">
        <f t="shared" si="2"/>
        <v>11512.25</v>
      </c>
      <c r="T40" s="168">
        <f t="shared" si="3"/>
        <v>36748</v>
      </c>
    </row>
    <row r="41" spans="1:20" ht="15.6" x14ac:dyDescent="0.3">
      <c r="A41" s="121">
        <f t="shared" si="1"/>
        <v>36755</v>
      </c>
      <c r="B41" s="56">
        <v>1440</v>
      </c>
      <c r="C41" s="56">
        <v>2120</v>
      </c>
      <c r="D41" s="56">
        <v>694</v>
      </c>
      <c r="E41" s="56">
        <v>1099</v>
      </c>
      <c r="F41" s="56">
        <v>992</v>
      </c>
      <c r="G41" s="56">
        <v>1096</v>
      </c>
      <c r="H41" s="56">
        <v>949</v>
      </c>
      <c r="I41" s="56">
        <v>882</v>
      </c>
      <c r="J41" s="56">
        <v>299</v>
      </c>
      <c r="K41" s="56">
        <v>273</v>
      </c>
      <c r="L41" s="56">
        <v>4375</v>
      </c>
      <c r="M41" s="56">
        <v>5469</v>
      </c>
      <c r="N41" s="56">
        <v>4296</v>
      </c>
      <c r="O41" s="56">
        <v>46181</v>
      </c>
      <c r="P41" s="56">
        <v>1050</v>
      </c>
      <c r="Q41" s="56">
        <v>26331</v>
      </c>
      <c r="R41" s="16">
        <f t="shared" si="4"/>
        <v>9721</v>
      </c>
      <c r="S41" s="167">
        <f t="shared" si="2"/>
        <v>10933</v>
      </c>
      <c r="T41" s="168">
        <f t="shared" si="3"/>
        <v>36755</v>
      </c>
    </row>
    <row r="42" spans="1:20" ht="15.6" x14ac:dyDescent="0.3">
      <c r="A42" s="121">
        <f t="shared" si="1"/>
        <v>36762</v>
      </c>
      <c r="B42" s="56">
        <v>1301</v>
      </c>
      <c r="C42" s="56">
        <v>2350</v>
      </c>
      <c r="D42" s="56">
        <v>623</v>
      </c>
      <c r="E42" s="56">
        <v>1191</v>
      </c>
      <c r="F42" s="56">
        <v>981</v>
      </c>
      <c r="G42" s="56">
        <v>1240</v>
      </c>
      <c r="H42" s="56">
        <v>947</v>
      </c>
      <c r="I42" s="56">
        <v>957</v>
      </c>
      <c r="J42" s="56">
        <v>272</v>
      </c>
      <c r="K42" s="56">
        <v>311</v>
      </c>
      <c r="L42" s="56">
        <v>4123</v>
      </c>
      <c r="M42" s="56">
        <v>6048</v>
      </c>
      <c r="N42" s="56">
        <v>3372</v>
      </c>
      <c r="O42" s="56">
        <v>47318</v>
      </c>
      <c r="P42" s="56">
        <v>1002</v>
      </c>
      <c r="Q42" s="56">
        <v>26565</v>
      </c>
      <c r="R42" s="16">
        <f t="shared" si="4"/>
        <v>8497</v>
      </c>
      <c r="S42" s="167">
        <f t="shared" si="2"/>
        <v>10190.75</v>
      </c>
      <c r="T42" s="168">
        <f t="shared" si="3"/>
        <v>36762</v>
      </c>
    </row>
    <row r="43" spans="1:20" ht="15.6" x14ac:dyDescent="0.3">
      <c r="A43" s="121">
        <f t="shared" si="1"/>
        <v>36769</v>
      </c>
      <c r="B43" s="56">
        <v>1346</v>
      </c>
      <c r="C43" s="56">
        <v>2640</v>
      </c>
      <c r="D43" s="56">
        <v>599</v>
      </c>
      <c r="E43" s="56">
        <v>1356</v>
      </c>
      <c r="F43" s="56">
        <v>927</v>
      </c>
      <c r="G43" s="56">
        <v>1427</v>
      </c>
      <c r="H43" s="56">
        <v>905</v>
      </c>
      <c r="I43" s="56">
        <v>1071</v>
      </c>
      <c r="J43" s="56">
        <v>283</v>
      </c>
      <c r="K43" s="56">
        <v>315</v>
      </c>
      <c r="L43" s="56">
        <v>4059</v>
      </c>
      <c r="M43" s="56">
        <v>6809</v>
      </c>
      <c r="N43" s="56">
        <v>2006</v>
      </c>
      <c r="O43" s="56">
        <v>48760</v>
      </c>
      <c r="P43" s="56">
        <v>613</v>
      </c>
      <c r="Q43" s="56">
        <v>26972</v>
      </c>
      <c r="R43" s="16">
        <f t="shared" si="4"/>
        <v>6678</v>
      </c>
      <c r="S43" s="167">
        <f t="shared" si="2"/>
        <v>8973</v>
      </c>
      <c r="T43" s="168">
        <f t="shared" si="3"/>
        <v>36769</v>
      </c>
    </row>
    <row r="44" spans="1:20" ht="15.6" x14ac:dyDescent="0.3">
      <c r="A44" s="121">
        <f t="shared" si="1"/>
        <v>36776</v>
      </c>
      <c r="B44" s="56">
        <v>1185</v>
      </c>
      <c r="C44" s="56">
        <v>2922</v>
      </c>
      <c r="D44" s="56">
        <v>597</v>
      </c>
      <c r="E44" s="56">
        <v>1455</v>
      </c>
      <c r="F44" s="56">
        <v>915</v>
      </c>
      <c r="G44" s="56">
        <v>1532</v>
      </c>
      <c r="H44" s="56">
        <v>874</v>
      </c>
      <c r="I44" s="56">
        <v>1129</v>
      </c>
      <c r="J44" s="56">
        <v>267</v>
      </c>
      <c r="K44" s="56">
        <v>341</v>
      </c>
      <c r="L44" s="56">
        <v>3837</v>
      </c>
      <c r="M44" s="56">
        <v>7380</v>
      </c>
      <c r="N44" s="56">
        <v>7856</v>
      </c>
      <c r="O44" s="56">
        <v>825</v>
      </c>
      <c r="P44" s="56">
        <v>4785</v>
      </c>
      <c r="Q44" s="56">
        <v>409</v>
      </c>
      <c r="R44" s="16">
        <f t="shared" si="4"/>
        <v>16478</v>
      </c>
      <c r="S44" s="167">
        <f t="shared" si="2"/>
        <v>10343.5</v>
      </c>
      <c r="T44" s="168">
        <f t="shared" si="3"/>
        <v>36776</v>
      </c>
    </row>
    <row r="45" spans="1:20" ht="15.6" x14ac:dyDescent="0.3">
      <c r="A45" s="121">
        <f t="shared" si="1"/>
        <v>36783</v>
      </c>
      <c r="B45" s="56">
        <v>1167</v>
      </c>
      <c r="C45" s="56">
        <v>3070</v>
      </c>
      <c r="D45" s="56">
        <v>656</v>
      </c>
      <c r="E45" s="56">
        <v>1537</v>
      </c>
      <c r="F45" s="56">
        <v>854</v>
      </c>
      <c r="G45" s="56">
        <v>1674</v>
      </c>
      <c r="H45" s="56">
        <v>815</v>
      </c>
      <c r="I45" s="56">
        <v>1303</v>
      </c>
      <c r="J45" s="56">
        <v>255</v>
      </c>
      <c r="K45" s="56">
        <v>377</v>
      </c>
      <c r="L45" s="56">
        <v>3746</v>
      </c>
      <c r="M45" s="56">
        <v>7962</v>
      </c>
      <c r="N45" s="56">
        <v>7509</v>
      </c>
      <c r="O45" s="56">
        <v>1848</v>
      </c>
      <c r="P45" s="56">
        <v>4968</v>
      </c>
      <c r="Q45" s="56">
        <v>749</v>
      </c>
      <c r="R45" s="16">
        <f t="shared" si="4"/>
        <v>16223</v>
      </c>
      <c r="S45" s="167">
        <f t="shared" si="2"/>
        <v>11969</v>
      </c>
      <c r="T45" s="168">
        <f t="shared" si="3"/>
        <v>36783</v>
      </c>
    </row>
    <row r="46" spans="1:20" ht="15.6" x14ac:dyDescent="0.3">
      <c r="A46" s="121">
        <f t="shared" si="1"/>
        <v>36790</v>
      </c>
      <c r="B46" s="56">
        <v>1059</v>
      </c>
      <c r="C46" s="56">
        <v>3310</v>
      </c>
      <c r="D46" s="56">
        <v>618</v>
      </c>
      <c r="E46" s="56">
        <v>1676</v>
      </c>
      <c r="F46" s="56">
        <v>840</v>
      </c>
      <c r="G46" s="56">
        <v>1848</v>
      </c>
      <c r="H46" s="56">
        <v>710</v>
      </c>
      <c r="I46" s="56">
        <v>1462</v>
      </c>
      <c r="J46" s="56">
        <v>263</v>
      </c>
      <c r="K46" s="56">
        <v>406</v>
      </c>
      <c r="L46" s="56">
        <v>3489</v>
      </c>
      <c r="M46" s="56">
        <v>8703</v>
      </c>
      <c r="N46" s="56">
        <v>7767</v>
      </c>
      <c r="O46" s="56">
        <v>2959</v>
      </c>
      <c r="P46" s="56">
        <v>5726</v>
      </c>
      <c r="Q46" s="56">
        <v>1011</v>
      </c>
      <c r="R46" s="16">
        <f t="shared" si="4"/>
        <v>16982</v>
      </c>
      <c r="S46" s="167">
        <f t="shared" si="2"/>
        <v>14090.25</v>
      </c>
      <c r="T46" s="168">
        <f t="shared" si="3"/>
        <v>36790</v>
      </c>
    </row>
    <row r="47" spans="1:20" ht="15.6" x14ac:dyDescent="0.3">
      <c r="A47" s="121">
        <f t="shared" si="1"/>
        <v>36797</v>
      </c>
      <c r="B47" s="56">
        <v>1164</v>
      </c>
      <c r="C47" s="56">
        <v>3511</v>
      </c>
      <c r="D47" s="56">
        <v>516</v>
      </c>
      <c r="E47" s="56">
        <v>1867</v>
      </c>
      <c r="F47" s="56">
        <v>817</v>
      </c>
      <c r="G47" s="56">
        <v>1911</v>
      </c>
      <c r="H47" s="56">
        <v>647</v>
      </c>
      <c r="I47" s="56">
        <v>1566</v>
      </c>
      <c r="J47" s="56">
        <v>238</v>
      </c>
      <c r="K47" s="56">
        <v>433</v>
      </c>
      <c r="L47" s="56">
        <v>3382</v>
      </c>
      <c r="M47" s="56">
        <v>9288</v>
      </c>
      <c r="N47" s="56">
        <v>6994</v>
      </c>
      <c r="O47" s="56">
        <v>4400</v>
      </c>
      <c r="P47" s="56">
        <v>5836</v>
      </c>
      <c r="Q47" s="56">
        <v>1411</v>
      </c>
      <c r="R47" s="16">
        <f t="shared" si="4"/>
        <v>16212</v>
      </c>
      <c r="S47" s="167">
        <f t="shared" si="2"/>
        <v>16473.75</v>
      </c>
      <c r="T47" s="168">
        <f t="shared" si="3"/>
        <v>36797</v>
      </c>
    </row>
    <row r="48" spans="1:20" ht="15.6" x14ac:dyDescent="0.3">
      <c r="A48" s="121">
        <f t="shared" si="1"/>
        <v>36804</v>
      </c>
      <c r="B48" s="56">
        <v>1180</v>
      </c>
      <c r="C48" s="56">
        <v>3721</v>
      </c>
      <c r="D48" s="56">
        <v>508</v>
      </c>
      <c r="E48" s="56">
        <v>1919</v>
      </c>
      <c r="F48" s="56">
        <v>757</v>
      </c>
      <c r="G48" s="56">
        <v>2004</v>
      </c>
      <c r="H48" s="56">
        <v>593</v>
      </c>
      <c r="I48" s="56">
        <v>1753</v>
      </c>
      <c r="J48" s="56">
        <v>173</v>
      </c>
      <c r="K48" s="56">
        <v>479</v>
      </c>
      <c r="L48" s="56">
        <v>3212</v>
      </c>
      <c r="M48" s="56">
        <v>9876</v>
      </c>
      <c r="N48" s="56">
        <v>6640</v>
      </c>
      <c r="O48" s="56">
        <v>5723</v>
      </c>
      <c r="P48" s="56">
        <v>5912</v>
      </c>
      <c r="Q48" s="56">
        <v>1987</v>
      </c>
      <c r="R48" s="16">
        <f t="shared" si="4"/>
        <v>15764</v>
      </c>
      <c r="S48" s="167">
        <f t="shared" si="2"/>
        <v>16295.25</v>
      </c>
      <c r="T48" s="168">
        <f t="shared" si="3"/>
        <v>36804</v>
      </c>
    </row>
    <row r="49" spans="1:20" ht="15.6" x14ac:dyDescent="0.3">
      <c r="A49" s="121">
        <f t="shared" si="1"/>
        <v>36811</v>
      </c>
      <c r="B49" s="56">
        <v>1125</v>
      </c>
      <c r="C49" s="56">
        <v>3921</v>
      </c>
      <c r="D49" s="56">
        <v>373</v>
      </c>
      <c r="E49" s="56">
        <v>2060</v>
      </c>
      <c r="F49" s="56">
        <v>741</v>
      </c>
      <c r="G49" s="56">
        <v>2094</v>
      </c>
      <c r="H49" s="56">
        <v>688</v>
      </c>
      <c r="I49" s="56">
        <v>1824</v>
      </c>
      <c r="J49" s="56">
        <v>193</v>
      </c>
      <c r="K49" s="56">
        <v>486</v>
      </c>
      <c r="L49" s="56">
        <v>3120</v>
      </c>
      <c r="M49" s="56">
        <v>10385</v>
      </c>
      <c r="N49" s="56">
        <v>6812</v>
      </c>
      <c r="O49" s="56">
        <v>6597</v>
      </c>
      <c r="P49" s="56">
        <v>6190</v>
      </c>
      <c r="Q49" s="56">
        <v>2734</v>
      </c>
      <c r="R49" s="16">
        <f t="shared" si="4"/>
        <v>16122</v>
      </c>
      <c r="S49" s="167">
        <f t="shared" si="2"/>
        <v>16270</v>
      </c>
      <c r="T49" s="168">
        <f t="shared" si="3"/>
        <v>36811</v>
      </c>
    </row>
    <row r="50" spans="1:20" ht="15.6" x14ac:dyDescent="0.3">
      <c r="A50" s="121">
        <f t="shared" si="1"/>
        <v>36818</v>
      </c>
      <c r="B50" s="56">
        <v>1175</v>
      </c>
      <c r="C50" s="56">
        <v>4033</v>
      </c>
      <c r="D50" s="56">
        <v>339</v>
      </c>
      <c r="E50" s="56">
        <v>2159</v>
      </c>
      <c r="F50" s="56">
        <v>801</v>
      </c>
      <c r="G50" s="56">
        <v>2152</v>
      </c>
      <c r="H50" s="56">
        <v>746</v>
      </c>
      <c r="I50" s="56">
        <v>1926</v>
      </c>
      <c r="J50" s="56">
        <v>193</v>
      </c>
      <c r="K50" s="56">
        <v>486</v>
      </c>
      <c r="L50" s="56">
        <v>3253</v>
      </c>
      <c r="M50" s="56">
        <v>10756</v>
      </c>
      <c r="N50" s="56">
        <v>6923</v>
      </c>
      <c r="O50" s="56">
        <v>7404</v>
      </c>
      <c r="P50" s="56">
        <v>6224</v>
      </c>
      <c r="Q50" s="56">
        <v>3563</v>
      </c>
      <c r="R50" s="16">
        <f t="shared" si="4"/>
        <v>16400</v>
      </c>
      <c r="S50" s="167">
        <f t="shared" si="2"/>
        <v>16124.5</v>
      </c>
      <c r="T50" s="168">
        <f t="shared" si="3"/>
        <v>36818</v>
      </c>
    </row>
    <row r="51" spans="1:20" ht="15.6" x14ac:dyDescent="0.3">
      <c r="A51" s="121">
        <f t="shared" si="1"/>
        <v>36825</v>
      </c>
      <c r="B51" s="56">
        <v>1131</v>
      </c>
      <c r="C51" s="56">
        <v>4176</v>
      </c>
      <c r="D51" s="56">
        <v>345</v>
      </c>
      <c r="E51" s="56">
        <v>2219</v>
      </c>
      <c r="F51" s="56">
        <v>979</v>
      </c>
      <c r="G51" s="56">
        <v>2205</v>
      </c>
      <c r="H51" s="56">
        <v>717</v>
      </c>
      <c r="I51" s="56">
        <v>2048</v>
      </c>
      <c r="J51" s="56">
        <v>343</v>
      </c>
      <c r="K51" s="56">
        <v>486</v>
      </c>
      <c r="L51" s="56">
        <v>3513</v>
      </c>
      <c r="M51" s="56">
        <v>11134</v>
      </c>
      <c r="N51" s="56">
        <v>7087</v>
      </c>
      <c r="O51" s="56">
        <v>8052</v>
      </c>
      <c r="P51" s="56">
        <v>6233</v>
      </c>
      <c r="Q51" s="56">
        <v>4534</v>
      </c>
      <c r="R51" s="16">
        <f t="shared" si="4"/>
        <v>16833</v>
      </c>
      <c r="S51" s="167">
        <f t="shared" si="2"/>
        <v>16279.75</v>
      </c>
      <c r="T51" s="168">
        <f t="shared" si="3"/>
        <v>36825</v>
      </c>
    </row>
    <row r="52" spans="1:20" ht="15.6" x14ac:dyDescent="0.3">
      <c r="A52" s="121">
        <f t="shared" si="1"/>
        <v>36832</v>
      </c>
      <c r="B52" s="56">
        <v>1223</v>
      </c>
      <c r="C52" s="56">
        <v>4398</v>
      </c>
      <c r="D52" s="56">
        <v>340</v>
      </c>
      <c r="E52" s="56">
        <v>2246</v>
      </c>
      <c r="F52" s="56">
        <v>915</v>
      </c>
      <c r="G52" s="56">
        <v>2363</v>
      </c>
      <c r="H52" s="56">
        <v>636</v>
      </c>
      <c r="I52" s="56">
        <v>2169</v>
      </c>
      <c r="J52" s="56">
        <v>343</v>
      </c>
      <c r="K52" s="56">
        <v>505</v>
      </c>
      <c r="L52" s="56">
        <v>3457</v>
      </c>
      <c r="M52" s="56">
        <v>11681</v>
      </c>
      <c r="N52" s="56">
        <v>6671</v>
      </c>
      <c r="O52" s="56">
        <v>9083</v>
      </c>
      <c r="P52" s="56">
        <v>5894</v>
      </c>
      <c r="Q52" s="56">
        <v>5488</v>
      </c>
      <c r="R52" s="16">
        <f t="shared" si="4"/>
        <v>16022</v>
      </c>
      <c r="S52" s="167">
        <f t="shared" si="2"/>
        <v>16344.25</v>
      </c>
      <c r="T52" s="168">
        <f t="shared" si="3"/>
        <v>36832</v>
      </c>
    </row>
    <row r="53" spans="1:20" ht="15.6" x14ac:dyDescent="0.3">
      <c r="A53" s="121">
        <f t="shared" si="1"/>
        <v>36839</v>
      </c>
      <c r="B53" s="56">
        <v>1225</v>
      </c>
      <c r="C53" s="56">
        <v>4568</v>
      </c>
      <c r="D53" s="56">
        <v>370</v>
      </c>
      <c r="E53" s="56">
        <v>2330</v>
      </c>
      <c r="F53" s="56">
        <v>966</v>
      </c>
      <c r="G53" s="56">
        <v>2436</v>
      </c>
      <c r="H53" s="56">
        <v>874</v>
      </c>
      <c r="I53" s="56">
        <v>2227</v>
      </c>
      <c r="J53" s="56">
        <v>339</v>
      </c>
      <c r="K53" s="56">
        <v>546</v>
      </c>
      <c r="L53" s="56">
        <v>3772</v>
      </c>
      <c r="M53" s="56">
        <v>12108</v>
      </c>
      <c r="N53" s="56">
        <v>6622</v>
      </c>
      <c r="O53" s="56">
        <v>9650</v>
      </c>
      <c r="P53" s="56">
        <v>5727</v>
      </c>
      <c r="Q53" s="56">
        <v>6243</v>
      </c>
      <c r="R53" s="16">
        <f t="shared" si="4"/>
        <v>16121</v>
      </c>
      <c r="S53" s="167">
        <f t="shared" si="2"/>
        <v>16344</v>
      </c>
      <c r="T53" s="168">
        <f t="shared" si="3"/>
        <v>36839</v>
      </c>
    </row>
    <row r="54" spans="1:20" ht="15.6" x14ac:dyDescent="0.3">
      <c r="A54" s="121">
        <f t="shared" si="1"/>
        <v>36846</v>
      </c>
      <c r="B54" s="56">
        <v>1191</v>
      </c>
      <c r="C54" s="56">
        <v>4723</v>
      </c>
      <c r="D54" s="56">
        <v>426</v>
      </c>
      <c r="E54" s="56">
        <v>2358</v>
      </c>
      <c r="F54" s="56">
        <v>977</v>
      </c>
      <c r="G54" s="56">
        <v>2522</v>
      </c>
      <c r="H54" s="56">
        <v>757</v>
      </c>
      <c r="I54" s="56">
        <v>2423</v>
      </c>
      <c r="J54" s="56">
        <v>335</v>
      </c>
      <c r="K54" s="56">
        <v>550</v>
      </c>
      <c r="L54" s="56">
        <v>3680</v>
      </c>
      <c r="M54" s="56">
        <v>12576</v>
      </c>
      <c r="N54" s="56">
        <v>6366</v>
      </c>
      <c r="O54" s="56">
        <v>10563</v>
      </c>
      <c r="P54" s="56">
        <v>5198</v>
      </c>
      <c r="Q54" s="56">
        <v>7064</v>
      </c>
      <c r="R54" s="16">
        <f t="shared" si="4"/>
        <v>15244</v>
      </c>
      <c r="S54" s="167">
        <f t="shared" si="2"/>
        <v>16055</v>
      </c>
      <c r="T54" s="168">
        <f t="shared" si="3"/>
        <v>36846</v>
      </c>
    </row>
    <row r="55" spans="1:20" ht="15.6" x14ac:dyDescent="0.3">
      <c r="A55" s="121">
        <f t="shared" si="1"/>
        <v>36853</v>
      </c>
      <c r="B55" s="56">
        <v>1097</v>
      </c>
      <c r="C55" s="56">
        <v>4947</v>
      </c>
      <c r="D55" s="56">
        <v>373</v>
      </c>
      <c r="E55" s="56">
        <v>2444</v>
      </c>
      <c r="F55" s="56">
        <v>974</v>
      </c>
      <c r="G55" s="56">
        <v>2665</v>
      </c>
      <c r="H55" s="56">
        <v>782</v>
      </c>
      <c r="I55" s="56">
        <v>2437</v>
      </c>
      <c r="J55" s="56">
        <v>301</v>
      </c>
      <c r="K55" s="56">
        <v>597</v>
      </c>
      <c r="L55" s="56">
        <v>3526</v>
      </c>
      <c r="M55" s="56">
        <v>13091</v>
      </c>
      <c r="N55" s="56">
        <v>6224</v>
      </c>
      <c r="O55" s="56">
        <v>11144</v>
      </c>
      <c r="P55" s="56">
        <v>5233</v>
      </c>
      <c r="Q55" s="56">
        <v>7746</v>
      </c>
      <c r="R55" s="16">
        <f t="shared" si="4"/>
        <v>14983</v>
      </c>
      <c r="S55" s="167">
        <f t="shared" si="2"/>
        <v>15592.5</v>
      </c>
      <c r="T55" s="168">
        <f t="shared" si="3"/>
        <v>36853</v>
      </c>
    </row>
    <row r="56" spans="1:20" ht="15.6" x14ac:dyDescent="0.3">
      <c r="A56" s="121">
        <f t="shared" si="1"/>
        <v>36860</v>
      </c>
      <c r="B56" s="56">
        <v>1084</v>
      </c>
      <c r="C56" s="56">
        <v>5124</v>
      </c>
      <c r="D56" s="56">
        <v>445</v>
      </c>
      <c r="E56" s="56">
        <v>2491</v>
      </c>
      <c r="F56" s="56">
        <v>914</v>
      </c>
      <c r="G56" s="56">
        <v>2817</v>
      </c>
      <c r="H56" s="56">
        <v>761</v>
      </c>
      <c r="I56" s="56">
        <v>2525</v>
      </c>
      <c r="J56" s="56">
        <v>254</v>
      </c>
      <c r="K56" s="56">
        <v>616</v>
      </c>
      <c r="L56" s="56">
        <v>3458</v>
      </c>
      <c r="M56" s="56">
        <v>13572</v>
      </c>
      <c r="N56" s="56">
        <v>6146</v>
      </c>
      <c r="O56" s="56">
        <v>12159</v>
      </c>
      <c r="P56" s="56">
        <v>5836</v>
      </c>
      <c r="Q56" s="56">
        <v>8542</v>
      </c>
      <c r="R56" s="16">
        <f t="shared" si="4"/>
        <v>15440</v>
      </c>
      <c r="S56" s="167">
        <f t="shared" si="2"/>
        <v>15447</v>
      </c>
      <c r="T56" s="168">
        <f t="shared" si="3"/>
        <v>36860</v>
      </c>
    </row>
    <row r="57" spans="1:20" ht="15.6" x14ac:dyDescent="0.3">
      <c r="A57" s="121">
        <f t="shared" si="1"/>
        <v>36867</v>
      </c>
      <c r="B57" s="56">
        <v>1075</v>
      </c>
      <c r="C57" s="56">
        <v>5367</v>
      </c>
      <c r="D57" s="56">
        <v>390</v>
      </c>
      <c r="E57" s="56">
        <v>2573</v>
      </c>
      <c r="F57" s="56">
        <v>842</v>
      </c>
      <c r="G57" s="56">
        <v>3001</v>
      </c>
      <c r="H57" s="56">
        <v>682</v>
      </c>
      <c r="I57" s="56">
        <v>2702</v>
      </c>
      <c r="J57" s="56">
        <v>242</v>
      </c>
      <c r="K57" s="56">
        <v>634</v>
      </c>
      <c r="L57" s="56">
        <v>3230</v>
      </c>
      <c r="M57" s="56">
        <v>14276</v>
      </c>
      <c r="N57" s="56">
        <v>6664</v>
      </c>
      <c r="O57" s="56">
        <v>12954</v>
      </c>
      <c r="P57" s="56">
        <v>5886</v>
      </c>
      <c r="Q57" s="56">
        <v>9439</v>
      </c>
      <c r="R57" s="16">
        <f t="shared" si="4"/>
        <v>15780</v>
      </c>
      <c r="S57" s="167">
        <f t="shared" si="2"/>
        <v>15361.75</v>
      </c>
      <c r="T57" s="168">
        <f t="shared" si="3"/>
        <v>36867</v>
      </c>
    </row>
    <row r="58" spans="1:20" ht="15.6" x14ac:dyDescent="0.3">
      <c r="A58" s="121">
        <f t="shared" si="1"/>
        <v>36874</v>
      </c>
      <c r="B58" s="56">
        <v>1093</v>
      </c>
      <c r="C58" s="56">
        <v>5482</v>
      </c>
      <c r="D58" s="56">
        <v>409</v>
      </c>
      <c r="E58" s="56">
        <v>2625</v>
      </c>
      <c r="F58" s="56">
        <v>853</v>
      </c>
      <c r="G58" s="56">
        <v>3104</v>
      </c>
      <c r="H58" s="56">
        <v>772</v>
      </c>
      <c r="I58" s="56">
        <v>2794</v>
      </c>
      <c r="J58" s="56">
        <v>217</v>
      </c>
      <c r="K58" s="56">
        <v>658</v>
      </c>
      <c r="L58" s="56">
        <v>3343</v>
      </c>
      <c r="M58" s="56">
        <v>14663</v>
      </c>
      <c r="N58" s="56">
        <v>6726</v>
      </c>
      <c r="O58" s="56">
        <v>13853</v>
      </c>
      <c r="P58" s="56">
        <v>6097</v>
      </c>
      <c r="Q58" s="56">
        <v>9774</v>
      </c>
      <c r="R58" s="16">
        <f t="shared" si="4"/>
        <v>16166</v>
      </c>
      <c r="S58" s="167">
        <f t="shared" si="2"/>
        <v>15592.25</v>
      </c>
      <c r="T58" s="168">
        <f t="shared" si="3"/>
        <v>36874</v>
      </c>
    </row>
    <row r="59" spans="1:20" ht="15.6" x14ac:dyDescent="0.3">
      <c r="A59" s="121">
        <f t="shared" si="1"/>
        <v>36881</v>
      </c>
      <c r="B59" s="56">
        <v>1057</v>
      </c>
      <c r="C59" s="56">
        <v>5648</v>
      </c>
      <c r="D59" s="56">
        <v>384</v>
      </c>
      <c r="E59" s="56">
        <v>2653</v>
      </c>
      <c r="F59" s="56">
        <v>869</v>
      </c>
      <c r="G59" s="56">
        <v>3251</v>
      </c>
      <c r="H59" s="56">
        <v>742</v>
      </c>
      <c r="I59" s="56">
        <v>2868</v>
      </c>
      <c r="J59" s="56">
        <v>209</v>
      </c>
      <c r="K59" s="56">
        <v>706</v>
      </c>
      <c r="L59" s="56">
        <v>3260</v>
      </c>
      <c r="M59" s="56">
        <v>15126</v>
      </c>
      <c r="N59" s="56">
        <v>6547</v>
      </c>
      <c r="O59" s="56">
        <v>14820</v>
      </c>
      <c r="P59" s="56">
        <v>6610</v>
      </c>
      <c r="Q59" s="56">
        <v>10331</v>
      </c>
      <c r="R59" s="16">
        <f t="shared" si="4"/>
        <v>16417</v>
      </c>
      <c r="S59" s="167">
        <f t="shared" si="2"/>
        <v>15950.75</v>
      </c>
      <c r="T59" s="168">
        <f t="shared" si="3"/>
        <v>36881</v>
      </c>
    </row>
    <row r="60" spans="1:20" ht="15.6" x14ac:dyDescent="0.3">
      <c r="A60" s="121">
        <f t="shared" si="1"/>
        <v>36888</v>
      </c>
      <c r="B60" s="56">
        <v>998</v>
      </c>
      <c r="C60" s="56">
        <v>5836</v>
      </c>
      <c r="D60" s="56">
        <v>295</v>
      </c>
      <c r="E60" s="56">
        <v>2759</v>
      </c>
      <c r="F60" s="56">
        <v>918</v>
      </c>
      <c r="G60" s="56">
        <v>3301</v>
      </c>
      <c r="H60" s="56">
        <v>666</v>
      </c>
      <c r="I60" s="56">
        <v>3023</v>
      </c>
      <c r="J60" s="56">
        <v>170</v>
      </c>
      <c r="K60" s="56">
        <v>737</v>
      </c>
      <c r="L60" s="56">
        <v>3047</v>
      </c>
      <c r="M60" s="56">
        <v>15656</v>
      </c>
      <c r="N60" s="56">
        <v>6697</v>
      </c>
      <c r="O60" s="56">
        <v>15269</v>
      </c>
      <c r="P60" s="56">
        <v>6104</v>
      </c>
      <c r="Q60" s="56">
        <v>11059</v>
      </c>
      <c r="R60" s="16">
        <f t="shared" si="4"/>
        <v>15848</v>
      </c>
      <c r="S60" s="167">
        <f t="shared" si="2"/>
        <v>16052.75</v>
      </c>
      <c r="T60" s="168">
        <f t="shared" si="3"/>
        <v>36888</v>
      </c>
    </row>
    <row r="61" spans="1:20" ht="15.6" x14ac:dyDescent="0.3">
      <c r="A61" s="121">
        <f t="shared" si="1"/>
        <v>36895</v>
      </c>
      <c r="B61" s="63">
        <v>906</v>
      </c>
      <c r="C61" s="63">
        <v>5946</v>
      </c>
      <c r="D61" s="63">
        <v>179</v>
      </c>
      <c r="E61" s="63">
        <v>2898</v>
      </c>
      <c r="F61" s="63">
        <v>920</v>
      </c>
      <c r="G61" s="63">
        <v>3379</v>
      </c>
      <c r="H61" s="63">
        <v>596</v>
      </c>
      <c r="I61" s="63">
        <v>3132</v>
      </c>
      <c r="J61" s="63">
        <v>173</v>
      </c>
      <c r="K61" s="63">
        <v>748</v>
      </c>
      <c r="L61" s="63">
        <v>2775</v>
      </c>
      <c r="M61" s="63">
        <v>16103</v>
      </c>
      <c r="N61" s="63">
        <v>6253</v>
      </c>
      <c r="O61" s="63">
        <v>15898</v>
      </c>
      <c r="P61" s="63">
        <v>5712</v>
      </c>
      <c r="Q61" s="63">
        <v>11894</v>
      </c>
      <c r="R61" s="16">
        <f t="shared" si="4"/>
        <v>14740</v>
      </c>
      <c r="S61" s="167">
        <f t="shared" si="2"/>
        <v>15792.75</v>
      </c>
      <c r="T61" s="168">
        <f t="shared" si="3"/>
        <v>36895</v>
      </c>
    </row>
    <row r="62" spans="1:20" ht="15.6" x14ac:dyDescent="0.3">
      <c r="A62" s="121">
        <f t="shared" si="1"/>
        <v>36902</v>
      </c>
      <c r="B62" s="63">
        <v>998</v>
      </c>
      <c r="C62" s="63">
        <v>6063.2</v>
      </c>
      <c r="D62" s="63">
        <v>259</v>
      </c>
      <c r="E62" s="63">
        <v>2933</v>
      </c>
      <c r="F62" s="63">
        <v>894</v>
      </c>
      <c r="G62" s="63">
        <v>3499</v>
      </c>
      <c r="H62" s="63">
        <v>604</v>
      </c>
      <c r="I62" s="63">
        <v>3159</v>
      </c>
      <c r="J62" s="63">
        <v>141</v>
      </c>
      <c r="K62" s="63">
        <v>781</v>
      </c>
      <c r="L62" s="63">
        <v>2896</v>
      </c>
      <c r="M62" s="63">
        <v>16432.5</v>
      </c>
      <c r="N62" s="63">
        <v>5936</v>
      </c>
      <c r="O62" s="63">
        <v>16827</v>
      </c>
      <c r="P62" s="63">
        <v>6140</v>
      </c>
      <c r="Q62" s="63">
        <v>12416</v>
      </c>
      <c r="R62" s="16">
        <f t="shared" si="4"/>
        <v>14972</v>
      </c>
      <c r="S62" s="167">
        <f t="shared" si="2"/>
        <v>15494.25</v>
      </c>
      <c r="T62" s="168">
        <f t="shared" si="3"/>
        <v>36902</v>
      </c>
    </row>
    <row r="63" spans="1:20" ht="15.6" x14ac:dyDescent="0.3">
      <c r="A63" s="121">
        <f t="shared" si="1"/>
        <v>36909</v>
      </c>
      <c r="B63" s="63">
        <v>1032</v>
      </c>
      <c r="C63" s="63">
        <v>6176</v>
      </c>
      <c r="D63" s="63">
        <v>424</v>
      </c>
      <c r="E63" s="63">
        <v>2983</v>
      </c>
      <c r="F63" s="63">
        <v>988</v>
      </c>
      <c r="G63" s="63">
        <v>3525</v>
      </c>
      <c r="H63" s="63">
        <v>1032</v>
      </c>
      <c r="I63" s="63">
        <v>3213</v>
      </c>
      <c r="J63" s="63">
        <v>138</v>
      </c>
      <c r="K63" s="63">
        <v>781</v>
      </c>
      <c r="L63" s="63">
        <v>3614</v>
      </c>
      <c r="M63" s="63">
        <v>16678</v>
      </c>
      <c r="N63" s="63">
        <v>6654</v>
      </c>
      <c r="O63" s="63">
        <v>17667</v>
      </c>
      <c r="P63" s="63">
        <v>3553</v>
      </c>
      <c r="Q63" s="63">
        <v>13114</v>
      </c>
      <c r="R63" s="16">
        <f t="shared" si="4"/>
        <v>13821</v>
      </c>
      <c r="S63" s="167">
        <f t="shared" si="2"/>
        <v>14845.25</v>
      </c>
      <c r="T63" s="168">
        <f t="shared" si="3"/>
        <v>36909</v>
      </c>
    </row>
    <row r="64" spans="1:20" ht="15.6" x14ac:dyDescent="0.3">
      <c r="A64" s="121">
        <f t="shared" si="1"/>
        <v>36916</v>
      </c>
      <c r="B64" s="63">
        <v>1107</v>
      </c>
      <c r="C64" s="63">
        <v>6332</v>
      </c>
      <c r="D64" s="63">
        <v>454</v>
      </c>
      <c r="E64" s="63">
        <v>3030</v>
      </c>
      <c r="F64" s="63">
        <v>973</v>
      </c>
      <c r="G64" s="63">
        <v>3642</v>
      </c>
      <c r="H64" s="63">
        <v>981</v>
      </c>
      <c r="I64" s="63">
        <v>3324</v>
      </c>
      <c r="J64" s="63">
        <v>182</v>
      </c>
      <c r="K64" s="63">
        <v>807</v>
      </c>
      <c r="L64" s="63">
        <v>3654</v>
      </c>
      <c r="M64" s="63">
        <v>17133</v>
      </c>
      <c r="N64" s="63">
        <v>7071</v>
      </c>
      <c r="O64" s="63">
        <v>18382</v>
      </c>
      <c r="P64" s="63">
        <v>6446</v>
      </c>
      <c r="Q64" s="63">
        <v>13996</v>
      </c>
      <c r="R64" s="16">
        <f t="shared" si="4"/>
        <v>17171</v>
      </c>
      <c r="S64" s="167">
        <f t="shared" si="2"/>
        <v>15176</v>
      </c>
      <c r="T64" s="168">
        <f t="shared" si="3"/>
        <v>36916</v>
      </c>
    </row>
    <row r="65" spans="1:20" ht="15.6" x14ac:dyDescent="0.3">
      <c r="A65" s="121">
        <f t="shared" si="1"/>
        <v>36923</v>
      </c>
      <c r="B65" s="63">
        <v>1363</v>
      </c>
      <c r="C65" s="63">
        <v>6428</v>
      </c>
      <c r="D65" s="63">
        <v>543</v>
      </c>
      <c r="E65" s="63">
        <v>3092</v>
      </c>
      <c r="F65" s="63">
        <v>966</v>
      </c>
      <c r="G65" s="63">
        <v>3771</v>
      </c>
      <c r="H65" s="63">
        <v>960</v>
      </c>
      <c r="I65" s="63">
        <v>3390</v>
      </c>
      <c r="J65" s="63">
        <v>128</v>
      </c>
      <c r="K65" s="63">
        <v>839</v>
      </c>
      <c r="L65" s="63">
        <v>3960</v>
      </c>
      <c r="M65" s="63">
        <v>17521</v>
      </c>
      <c r="N65" s="63">
        <v>7569</v>
      </c>
      <c r="O65" s="63">
        <v>18913</v>
      </c>
      <c r="P65" s="63">
        <v>6703</v>
      </c>
      <c r="Q65" s="63">
        <v>14541</v>
      </c>
      <c r="R65" s="16">
        <f t="shared" si="4"/>
        <v>18232</v>
      </c>
      <c r="S65" s="167">
        <f t="shared" si="2"/>
        <v>16049</v>
      </c>
      <c r="T65" s="168">
        <f t="shared" si="3"/>
        <v>36923</v>
      </c>
    </row>
    <row r="66" spans="1:20" ht="15.6" x14ac:dyDescent="0.3">
      <c r="A66" s="121">
        <f t="shared" si="1"/>
        <v>36930</v>
      </c>
      <c r="B66" s="63">
        <v>1291</v>
      </c>
      <c r="C66" s="63">
        <v>6664.7</v>
      </c>
      <c r="D66" s="63">
        <v>509</v>
      </c>
      <c r="E66" s="63">
        <v>3184</v>
      </c>
      <c r="F66" s="63">
        <v>933</v>
      </c>
      <c r="G66" s="63">
        <v>3936</v>
      </c>
      <c r="H66" s="63">
        <v>975</v>
      </c>
      <c r="I66" s="63">
        <v>3507</v>
      </c>
      <c r="J66" s="63">
        <v>124</v>
      </c>
      <c r="K66" s="63">
        <v>842.4</v>
      </c>
      <c r="L66" s="63">
        <v>3833</v>
      </c>
      <c r="M66" s="63">
        <v>18134</v>
      </c>
      <c r="N66" s="63">
        <v>7584.9</v>
      </c>
      <c r="O66" s="63">
        <v>20055</v>
      </c>
      <c r="P66" s="63">
        <v>6480</v>
      </c>
      <c r="Q66" s="63">
        <v>15501.8</v>
      </c>
      <c r="R66" s="16">
        <f t="shared" si="4"/>
        <v>17897.900000000001</v>
      </c>
      <c r="S66" s="167">
        <f t="shared" si="2"/>
        <v>16780.474999999999</v>
      </c>
      <c r="T66" s="168">
        <f t="shared" si="3"/>
        <v>36930</v>
      </c>
    </row>
    <row r="67" spans="1:20" ht="15.6" x14ac:dyDescent="0.3">
      <c r="A67" s="121">
        <f t="shared" si="1"/>
        <v>36937</v>
      </c>
      <c r="B67" s="63">
        <v>1260</v>
      </c>
      <c r="C67" s="63">
        <v>6814.9</v>
      </c>
      <c r="D67" s="63">
        <v>482</v>
      </c>
      <c r="E67" s="63">
        <v>3279</v>
      </c>
      <c r="F67" s="63">
        <v>870</v>
      </c>
      <c r="G67" s="63">
        <v>4048</v>
      </c>
      <c r="H67" s="63">
        <v>902</v>
      </c>
      <c r="I67" s="63">
        <v>3595</v>
      </c>
      <c r="J67" s="63">
        <v>163</v>
      </c>
      <c r="K67" s="63">
        <v>842</v>
      </c>
      <c r="L67" s="63">
        <v>3677</v>
      </c>
      <c r="M67" s="63">
        <v>18580</v>
      </c>
      <c r="N67" s="63">
        <v>7576</v>
      </c>
      <c r="O67" s="63">
        <v>20800</v>
      </c>
      <c r="P67" s="63">
        <v>6260</v>
      </c>
      <c r="Q67" s="63">
        <v>16306</v>
      </c>
      <c r="R67" s="16">
        <f t="shared" si="4"/>
        <v>17513</v>
      </c>
      <c r="S67" s="167">
        <f t="shared" si="2"/>
        <v>17703.474999999999</v>
      </c>
      <c r="T67" s="168">
        <f t="shared" si="3"/>
        <v>36937</v>
      </c>
    </row>
    <row r="68" spans="1:20" ht="15.6" x14ac:dyDescent="0.3">
      <c r="A68" s="121">
        <f t="shared" si="1"/>
        <v>36944</v>
      </c>
      <c r="B68" s="63">
        <v>1176</v>
      </c>
      <c r="C68" s="63">
        <v>7056</v>
      </c>
      <c r="D68" s="63">
        <v>404</v>
      </c>
      <c r="E68" s="63">
        <v>3411</v>
      </c>
      <c r="F68" s="63">
        <v>867</v>
      </c>
      <c r="G68" s="63">
        <v>4231</v>
      </c>
      <c r="H68" s="63">
        <v>941</v>
      </c>
      <c r="I68" s="63">
        <v>3737</v>
      </c>
      <c r="J68" s="63">
        <v>174</v>
      </c>
      <c r="K68" s="63">
        <v>867</v>
      </c>
      <c r="L68" s="63">
        <v>3560</v>
      </c>
      <c r="M68" s="63">
        <v>19302</v>
      </c>
      <c r="N68" s="63">
        <v>7303</v>
      </c>
      <c r="O68" s="63">
        <v>21728</v>
      </c>
      <c r="P68" s="63">
        <v>5753</v>
      </c>
      <c r="Q68" s="63">
        <v>17326</v>
      </c>
      <c r="R68" s="16">
        <f t="shared" si="4"/>
        <v>16616</v>
      </c>
      <c r="S68" s="167">
        <f t="shared" si="2"/>
        <v>17564.724999999999</v>
      </c>
      <c r="T68" s="168">
        <f t="shared" si="3"/>
        <v>36944</v>
      </c>
    </row>
    <row r="69" spans="1:20" ht="15.6" x14ac:dyDescent="0.3">
      <c r="A69" s="121">
        <f t="shared" si="1"/>
        <v>36951</v>
      </c>
      <c r="B69" s="63">
        <v>1204</v>
      </c>
      <c r="C69" s="63">
        <v>7191</v>
      </c>
      <c r="D69" s="63">
        <v>387</v>
      </c>
      <c r="E69" s="63">
        <v>3552</v>
      </c>
      <c r="F69" s="63">
        <v>847</v>
      </c>
      <c r="G69" s="63">
        <v>4318</v>
      </c>
      <c r="H69" s="63">
        <v>910</v>
      </c>
      <c r="I69" s="63">
        <v>3862</v>
      </c>
      <c r="J69" s="63">
        <v>182</v>
      </c>
      <c r="K69" s="63">
        <v>868</v>
      </c>
      <c r="L69" s="63">
        <v>3530</v>
      </c>
      <c r="M69" s="63">
        <v>19792</v>
      </c>
      <c r="N69" s="63">
        <v>7415</v>
      </c>
      <c r="O69" s="63">
        <v>22492</v>
      </c>
      <c r="P69" s="63">
        <v>5129</v>
      </c>
      <c r="Q69" s="63">
        <v>18173</v>
      </c>
      <c r="R69" s="16">
        <f t="shared" si="4"/>
        <v>16074</v>
      </c>
      <c r="S69" s="167">
        <f t="shared" si="2"/>
        <v>17025.224999999999</v>
      </c>
      <c r="T69" s="168">
        <f t="shared" si="3"/>
        <v>36951</v>
      </c>
    </row>
    <row r="70" spans="1:20" ht="15.6" x14ac:dyDescent="0.3">
      <c r="A70" s="121">
        <f t="shared" si="1"/>
        <v>36958</v>
      </c>
      <c r="B70" s="63">
        <v>1075</v>
      </c>
      <c r="C70" s="63">
        <v>7404</v>
      </c>
      <c r="D70" s="63">
        <v>399</v>
      </c>
      <c r="E70" s="63">
        <v>3613</v>
      </c>
      <c r="F70" s="63">
        <v>899</v>
      </c>
      <c r="G70" s="63">
        <v>4420</v>
      </c>
      <c r="H70" s="63">
        <v>798</v>
      </c>
      <c r="I70" s="63">
        <v>4035</v>
      </c>
      <c r="J70" s="63">
        <v>195</v>
      </c>
      <c r="K70" s="63">
        <v>874</v>
      </c>
      <c r="L70" s="63">
        <v>3365</v>
      </c>
      <c r="M70" s="63">
        <v>20346</v>
      </c>
      <c r="N70" s="63">
        <v>7488</v>
      </c>
      <c r="O70" s="63">
        <v>23341</v>
      </c>
      <c r="P70" s="63">
        <v>4733</v>
      </c>
      <c r="Q70" s="63">
        <v>19089</v>
      </c>
      <c r="R70" s="16">
        <f t="shared" si="4"/>
        <v>15586</v>
      </c>
      <c r="S70" s="167">
        <f t="shared" si="2"/>
        <v>16447.25</v>
      </c>
      <c r="T70" s="168">
        <f t="shared" si="3"/>
        <v>36958</v>
      </c>
    </row>
    <row r="71" spans="1:20" ht="15.6" x14ac:dyDescent="0.3">
      <c r="A71" s="121">
        <f t="shared" si="1"/>
        <v>36965</v>
      </c>
      <c r="B71" s="63">
        <v>1121</v>
      </c>
      <c r="C71" s="63">
        <v>7517</v>
      </c>
      <c r="D71" s="63">
        <v>387</v>
      </c>
      <c r="E71" s="63">
        <v>3648</v>
      </c>
      <c r="F71" s="63">
        <v>1012</v>
      </c>
      <c r="G71" s="63">
        <v>4490</v>
      </c>
      <c r="H71" s="63">
        <v>845</v>
      </c>
      <c r="I71" s="63">
        <v>4073</v>
      </c>
      <c r="J71" s="63">
        <v>261</v>
      </c>
      <c r="K71" s="63">
        <v>878</v>
      </c>
      <c r="L71" s="63">
        <v>3626</v>
      </c>
      <c r="M71" s="63">
        <v>20606</v>
      </c>
      <c r="N71" s="63">
        <v>7315</v>
      </c>
      <c r="O71" s="63">
        <v>24160</v>
      </c>
      <c r="P71" s="63">
        <v>4168</v>
      </c>
      <c r="Q71" s="63">
        <v>19950</v>
      </c>
      <c r="R71" s="16">
        <f t="shared" si="4"/>
        <v>15109</v>
      </c>
      <c r="S71" s="167">
        <f t="shared" si="2"/>
        <v>15846.25</v>
      </c>
      <c r="T71" s="168">
        <f t="shared" si="3"/>
        <v>36965</v>
      </c>
    </row>
    <row r="72" spans="1:20" ht="15.6" x14ac:dyDescent="0.3">
      <c r="A72" s="121">
        <f t="shared" si="1"/>
        <v>36972</v>
      </c>
      <c r="B72" s="63">
        <v>1182</v>
      </c>
      <c r="C72" s="63">
        <v>7626</v>
      </c>
      <c r="D72" s="63">
        <v>471</v>
      </c>
      <c r="E72" s="63">
        <v>3670</v>
      </c>
      <c r="F72" s="63">
        <v>1092</v>
      </c>
      <c r="G72" s="63">
        <v>4529</v>
      </c>
      <c r="H72" s="63">
        <v>859</v>
      </c>
      <c r="I72" s="63">
        <v>4136</v>
      </c>
      <c r="J72" s="63">
        <v>275</v>
      </c>
      <c r="K72" s="63">
        <v>905</v>
      </c>
      <c r="L72" s="63">
        <v>3878</v>
      </c>
      <c r="M72" s="63">
        <v>20866</v>
      </c>
      <c r="N72" s="63">
        <v>6439</v>
      </c>
      <c r="O72" s="63">
        <v>25448</v>
      </c>
      <c r="P72" s="63">
        <v>3453</v>
      </c>
      <c r="Q72" s="63">
        <v>20954</v>
      </c>
      <c r="R72" s="16">
        <f t="shared" si="4"/>
        <v>13770</v>
      </c>
      <c r="S72" s="167">
        <f t="shared" si="2"/>
        <v>15134.75</v>
      </c>
      <c r="T72" s="168">
        <f t="shared" si="3"/>
        <v>36972</v>
      </c>
    </row>
    <row r="73" spans="1:20" ht="15.6" x14ac:dyDescent="0.3">
      <c r="A73" s="121">
        <f t="shared" si="1"/>
        <v>36979</v>
      </c>
      <c r="B73" s="63">
        <v>1184</v>
      </c>
      <c r="C73" s="63">
        <v>7716</v>
      </c>
      <c r="D73" s="63">
        <v>452</v>
      </c>
      <c r="E73" s="63">
        <v>3721</v>
      </c>
      <c r="F73" s="63">
        <v>1000</v>
      </c>
      <c r="G73" s="63">
        <v>4693</v>
      </c>
      <c r="H73" s="63">
        <v>721</v>
      </c>
      <c r="I73" s="63">
        <v>4306</v>
      </c>
      <c r="J73" s="63">
        <v>281</v>
      </c>
      <c r="K73" s="63">
        <v>933</v>
      </c>
      <c r="L73" s="63">
        <v>3638</v>
      </c>
      <c r="M73" s="63">
        <v>21368</v>
      </c>
      <c r="N73" s="63">
        <v>6338</v>
      </c>
      <c r="O73" s="63">
        <v>26668</v>
      </c>
      <c r="P73" s="63">
        <v>2907</v>
      </c>
      <c r="Q73" s="63">
        <v>21648</v>
      </c>
      <c r="R73" s="16">
        <f t="shared" si="4"/>
        <v>12883</v>
      </c>
      <c r="S73" s="167">
        <f t="shared" si="2"/>
        <v>14337</v>
      </c>
      <c r="T73" s="168">
        <f t="shared" si="3"/>
        <v>36979</v>
      </c>
    </row>
    <row r="74" spans="1:20" ht="15.6" x14ac:dyDescent="0.3">
      <c r="A74" s="121">
        <f t="shared" si="1"/>
        <v>36986</v>
      </c>
      <c r="B74" s="63">
        <v>1132</v>
      </c>
      <c r="C74" s="63">
        <v>7903</v>
      </c>
      <c r="D74" s="63">
        <v>499</v>
      </c>
      <c r="E74" s="63">
        <v>3793</v>
      </c>
      <c r="F74" s="63">
        <v>910</v>
      </c>
      <c r="G74" s="63">
        <v>4819</v>
      </c>
      <c r="H74" s="63">
        <v>605</v>
      </c>
      <c r="I74" s="63">
        <v>4462</v>
      </c>
      <c r="J74" s="63">
        <v>268</v>
      </c>
      <c r="K74" s="63">
        <v>954</v>
      </c>
      <c r="L74" s="63">
        <v>3415</v>
      </c>
      <c r="M74" s="63">
        <v>21931</v>
      </c>
      <c r="N74" s="63">
        <v>5618</v>
      </c>
      <c r="O74" s="63">
        <v>27841</v>
      </c>
      <c r="P74" s="63">
        <v>2477</v>
      </c>
      <c r="Q74" s="63">
        <v>22284</v>
      </c>
      <c r="R74" s="16">
        <f t="shared" si="4"/>
        <v>11510</v>
      </c>
      <c r="S74" s="167">
        <f t="shared" si="2"/>
        <v>13318</v>
      </c>
      <c r="T74" s="168">
        <f t="shared" si="3"/>
        <v>36986</v>
      </c>
    </row>
    <row r="75" spans="1:20" ht="15.6" x14ac:dyDescent="0.3">
      <c r="A75" s="121">
        <f t="shared" ref="A75:A138" si="5">A74+7</f>
        <v>36993</v>
      </c>
      <c r="B75" s="63">
        <v>1098</v>
      </c>
      <c r="C75" s="63">
        <v>8073</v>
      </c>
      <c r="D75" s="63">
        <v>404</v>
      </c>
      <c r="E75" s="63">
        <v>4028</v>
      </c>
      <c r="F75" s="63">
        <v>879</v>
      </c>
      <c r="G75" s="63">
        <v>4927</v>
      </c>
      <c r="H75" s="63">
        <v>569</v>
      </c>
      <c r="I75" s="63">
        <v>4561</v>
      </c>
      <c r="J75" s="63">
        <v>274</v>
      </c>
      <c r="K75" s="63">
        <v>954</v>
      </c>
      <c r="L75" s="63">
        <v>3223</v>
      </c>
      <c r="M75" s="63">
        <v>22543</v>
      </c>
      <c r="N75" s="63">
        <v>5216</v>
      </c>
      <c r="O75" s="63">
        <v>28787</v>
      </c>
      <c r="P75" s="63">
        <v>2090</v>
      </c>
      <c r="Q75" s="63">
        <v>22744</v>
      </c>
      <c r="R75" s="16">
        <f t="shared" si="4"/>
        <v>10529</v>
      </c>
      <c r="S75" s="167">
        <f t="shared" si="2"/>
        <v>12173</v>
      </c>
      <c r="T75" s="168">
        <f t="shared" si="3"/>
        <v>36993</v>
      </c>
    </row>
    <row r="76" spans="1:20" ht="15.6" x14ac:dyDescent="0.3">
      <c r="A76" s="121">
        <f t="shared" si="5"/>
        <v>37000</v>
      </c>
      <c r="B76" s="63">
        <v>952</v>
      </c>
      <c r="C76" s="63">
        <v>8297</v>
      </c>
      <c r="D76" s="63">
        <v>407</v>
      </c>
      <c r="E76" s="63">
        <v>4110</v>
      </c>
      <c r="F76" s="63">
        <v>853</v>
      </c>
      <c r="G76" s="63">
        <v>5033</v>
      </c>
      <c r="H76" s="63">
        <v>531</v>
      </c>
      <c r="I76" s="63">
        <v>4635</v>
      </c>
      <c r="J76" s="63">
        <v>205</v>
      </c>
      <c r="K76" s="63">
        <v>1021</v>
      </c>
      <c r="L76" s="63">
        <v>2947</v>
      </c>
      <c r="M76" s="63">
        <v>23096</v>
      </c>
      <c r="N76" s="63">
        <v>4735</v>
      </c>
      <c r="O76" s="63">
        <v>29675</v>
      </c>
      <c r="P76" s="63">
        <v>2060</v>
      </c>
      <c r="Q76" s="63">
        <v>22906</v>
      </c>
      <c r="R76" s="16">
        <f t="shared" si="4"/>
        <v>9742</v>
      </c>
      <c r="S76" s="167">
        <f t="shared" ref="S76:S139" si="6">AVERAGE(R73:R76)</f>
        <v>11166</v>
      </c>
      <c r="T76" s="168">
        <f t="shared" ref="T76:T139" si="7">T75+7</f>
        <v>37000</v>
      </c>
    </row>
    <row r="77" spans="1:20" ht="15.6" x14ac:dyDescent="0.3">
      <c r="A77" s="121">
        <f t="shared" si="5"/>
        <v>37007</v>
      </c>
      <c r="B77" s="63">
        <v>915</v>
      </c>
      <c r="C77" s="63">
        <v>8510</v>
      </c>
      <c r="D77" s="63">
        <v>397</v>
      </c>
      <c r="E77" s="63">
        <v>4158</v>
      </c>
      <c r="F77" s="63">
        <v>705</v>
      </c>
      <c r="G77" s="63">
        <v>5208</v>
      </c>
      <c r="H77" s="63">
        <v>518</v>
      </c>
      <c r="I77" s="63">
        <v>4671</v>
      </c>
      <c r="J77" s="63">
        <v>154</v>
      </c>
      <c r="K77" s="63">
        <v>1023</v>
      </c>
      <c r="L77" s="63">
        <v>2689</v>
      </c>
      <c r="M77" s="63">
        <v>23570</v>
      </c>
      <c r="N77" s="63">
        <v>5168</v>
      </c>
      <c r="O77" s="63">
        <v>30510</v>
      </c>
      <c r="P77" s="63">
        <v>2115</v>
      </c>
      <c r="Q77" s="63">
        <v>23145</v>
      </c>
      <c r="R77" s="16">
        <f t="shared" si="4"/>
        <v>9972</v>
      </c>
      <c r="S77" s="167">
        <f t="shared" si="6"/>
        <v>10438.25</v>
      </c>
      <c r="T77" s="168">
        <f t="shared" si="7"/>
        <v>37007</v>
      </c>
    </row>
    <row r="78" spans="1:20" ht="15.6" x14ac:dyDescent="0.3">
      <c r="A78" s="121">
        <f t="shared" si="5"/>
        <v>37014</v>
      </c>
      <c r="B78" s="56">
        <v>814</v>
      </c>
      <c r="C78" s="56">
        <v>8685</v>
      </c>
      <c r="D78" s="56">
        <v>308</v>
      </c>
      <c r="E78" s="56">
        <v>4282.3</v>
      </c>
      <c r="F78" s="56">
        <v>584</v>
      </c>
      <c r="G78" s="56">
        <v>5364.6</v>
      </c>
      <c r="H78" s="56">
        <v>426</v>
      </c>
      <c r="I78" s="56">
        <v>4795.7</v>
      </c>
      <c r="J78" s="56">
        <v>148</v>
      </c>
      <c r="K78" s="56">
        <v>1098</v>
      </c>
      <c r="L78" s="56">
        <v>2280</v>
      </c>
      <c r="M78" s="56">
        <v>24226</v>
      </c>
      <c r="N78" s="56">
        <v>5444</v>
      </c>
      <c r="O78" s="56">
        <v>31156</v>
      </c>
      <c r="P78" s="56">
        <v>2110</v>
      </c>
      <c r="Q78" s="56">
        <v>23333</v>
      </c>
      <c r="R78" s="16">
        <f t="shared" si="4"/>
        <v>9834</v>
      </c>
      <c r="S78" s="167">
        <f t="shared" si="6"/>
        <v>10019.25</v>
      </c>
      <c r="T78" s="168">
        <f t="shared" si="7"/>
        <v>37014</v>
      </c>
    </row>
    <row r="79" spans="1:20" ht="15.6" x14ac:dyDescent="0.3">
      <c r="A79" s="121">
        <f t="shared" si="5"/>
        <v>37021</v>
      </c>
      <c r="B79" s="56">
        <v>690</v>
      </c>
      <c r="C79" s="56">
        <v>8843.9</v>
      </c>
      <c r="D79" s="56">
        <v>300</v>
      </c>
      <c r="E79" s="56">
        <v>4294.6000000000004</v>
      </c>
      <c r="F79" s="56">
        <v>536</v>
      </c>
      <c r="G79" s="56">
        <v>5455</v>
      </c>
      <c r="H79" s="56">
        <v>415</v>
      </c>
      <c r="I79" s="56">
        <v>4847</v>
      </c>
      <c r="J79" s="56">
        <v>158</v>
      </c>
      <c r="K79" s="56">
        <v>1101</v>
      </c>
      <c r="L79" s="56">
        <v>2099</v>
      </c>
      <c r="M79" s="56">
        <v>24542</v>
      </c>
      <c r="N79" s="56">
        <v>5620</v>
      </c>
      <c r="O79" s="56">
        <v>31848</v>
      </c>
      <c r="P79" s="56">
        <v>2133</v>
      </c>
      <c r="Q79" s="56">
        <v>23616</v>
      </c>
      <c r="R79" s="16">
        <f t="shared" si="4"/>
        <v>9852</v>
      </c>
      <c r="S79" s="167">
        <f t="shared" si="6"/>
        <v>9850</v>
      </c>
      <c r="T79" s="168">
        <f t="shared" si="7"/>
        <v>37021</v>
      </c>
    </row>
    <row r="80" spans="1:20" ht="15.6" x14ac:dyDescent="0.3">
      <c r="A80" s="121">
        <f t="shared" si="5"/>
        <v>37028</v>
      </c>
      <c r="B80" s="56">
        <v>683</v>
      </c>
      <c r="C80" s="56">
        <v>8942.6</v>
      </c>
      <c r="D80" s="56">
        <v>180</v>
      </c>
      <c r="E80" s="56">
        <v>4389</v>
      </c>
      <c r="F80" s="56">
        <v>514</v>
      </c>
      <c r="G80" s="56">
        <v>5511</v>
      </c>
      <c r="H80" s="56">
        <v>369</v>
      </c>
      <c r="I80" s="56">
        <v>4945</v>
      </c>
      <c r="J80" s="56">
        <v>150</v>
      </c>
      <c r="K80" s="56">
        <v>1118</v>
      </c>
      <c r="L80" s="56">
        <v>1896</v>
      </c>
      <c r="M80" s="56">
        <v>24905</v>
      </c>
      <c r="N80" s="56">
        <v>6187</v>
      </c>
      <c r="O80" s="56">
        <v>32470</v>
      </c>
      <c r="P80" s="56">
        <v>2083</v>
      </c>
      <c r="Q80" s="56">
        <v>23781</v>
      </c>
      <c r="R80" s="16">
        <f t="shared" si="4"/>
        <v>10166</v>
      </c>
      <c r="S80" s="167">
        <f t="shared" si="6"/>
        <v>9956</v>
      </c>
      <c r="T80" s="168">
        <f t="shared" si="7"/>
        <v>37028</v>
      </c>
    </row>
    <row r="81" spans="1:20" ht="15.6" x14ac:dyDescent="0.3">
      <c r="A81" s="121">
        <f t="shared" si="5"/>
        <v>37035</v>
      </c>
      <c r="B81" s="56">
        <v>535</v>
      </c>
      <c r="C81" s="56">
        <v>9117</v>
      </c>
      <c r="D81" s="56">
        <v>174</v>
      </c>
      <c r="E81" s="56">
        <v>4422</v>
      </c>
      <c r="F81" s="56">
        <v>455</v>
      </c>
      <c r="G81" s="56">
        <v>5598</v>
      </c>
      <c r="H81" s="56">
        <v>228</v>
      </c>
      <c r="I81" s="56">
        <v>5050</v>
      </c>
      <c r="J81" s="56">
        <v>155</v>
      </c>
      <c r="K81" s="56">
        <v>1118</v>
      </c>
      <c r="L81" s="56">
        <v>1547</v>
      </c>
      <c r="M81" s="56">
        <v>25305</v>
      </c>
      <c r="N81" s="56">
        <v>6164</v>
      </c>
      <c r="O81" s="56">
        <v>33266</v>
      </c>
      <c r="P81" s="56">
        <v>1949</v>
      </c>
      <c r="Q81" s="56">
        <v>24058</v>
      </c>
      <c r="R81" s="16">
        <f t="shared" si="4"/>
        <v>9660</v>
      </c>
      <c r="S81" s="167">
        <f t="shared" si="6"/>
        <v>9878</v>
      </c>
      <c r="T81" s="168">
        <f t="shared" si="7"/>
        <v>37035</v>
      </c>
    </row>
    <row r="82" spans="1:20" ht="15.6" x14ac:dyDescent="0.3">
      <c r="A82" s="121">
        <f t="shared" si="5"/>
        <v>37042</v>
      </c>
      <c r="B82" s="56">
        <v>354</v>
      </c>
      <c r="C82" s="56">
        <v>9313.5</v>
      </c>
      <c r="D82" s="56">
        <v>140</v>
      </c>
      <c r="E82" s="56">
        <v>4444.5</v>
      </c>
      <c r="F82" s="56">
        <v>391</v>
      </c>
      <c r="G82" s="56">
        <v>5775</v>
      </c>
      <c r="H82" s="56">
        <v>138</v>
      </c>
      <c r="I82" s="56">
        <v>5156</v>
      </c>
      <c r="J82" s="56">
        <v>144</v>
      </c>
      <c r="K82" s="56">
        <v>1130</v>
      </c>
      <c r="L82" s="56">
        <v>1167</v>
      </c>
      <c r="M82" s="56">
        <v>25819</v>
      </c>
      <c r="N82" s="56">
        <v>6653</v>
      </c>
      <c r="O82" s="56">
        <v>33693</v>
      </c>
      <c r="P82" s="56">
        <v>1947</v>
      </c>
      <c r="Q82" s="56">
        <v>24354</v>
      </c>
      <c r="R82" s="16">
        <f t="shared" si="4"/>
        <v>9767</v>
      </c>
      <c r="S82" s="167">
        <f t="shared" si="6"/>
        <v>9861.25</v>
      </c>
      <c r="T82" s="168">
        <f t="shared" si="7"/>
        <v>37042</v>
      </c>
    </row>
    <row r="83" spans="1:20" ht="15.6" x14ac:dyDescent="0.3">
      <c r="A83" s="121">
        <f t="shared" si="5"/>
        <v>37049</v>
      </c>
      <c r="B83" s="56">
        <v>945.9</v>
      </c>
      <c r="C83" s="56">
        <v>97.6</v>
      </c>
      <c r="D83" s="56">
        <v>551</v>
      </c>
      <c r="E83" s="56">
        <v>27.5</v>
      </c>
      <c r="F83" s="56">
        <v>830</v>
      </c>
      <c r="G83" s="56">
        <v>73</v>
      </c>
      <c r="H83" s="56">
        <v>436</v>
      </c>
      <c r="I83" s="56">
        <v>61</v>
      </c>
      <c r="J83" s="56">
        <v>176</v>
      </c>
      <c r="K83" s="56">
        <v>31</v>
      </c>
      <c r="L83" s="56">
        <v>2939.5</v>
      </c>
      <c r="M83" s="56">
        <v>291</v>
      </c>
      <c r="N83" s="56">
        <v>7364</v>
      </c>
      <c r="O83" s="56">
        <v>34243</v>
      </c>
      <c r="P83" s="56">
        <v>2148</v>
      </c>
      <c r="Q83" s="56">
        <v>24439</v>
      </c>
      <c r="R83" s="16">
        <f t="shared" si="4"/>
        <v>12451.5</v>
      </c>
      <c r="S83" s="167">
        <f t="shared" si="6"/>
        <v>10511.125</v>
      </c>
      <c r="T83" s="168">
        <f t="shared" si="7"/>
        <v>37049</v>
      </c>
    </row>
    <row r="84" spans="1:20" ht="15.6" x14ac:dyDescent="0.3">
      <c r="A84" s="121">
        <f t="shared" si="5"/>
        <v>37056</v>
      </c>
      <c r="B84" s="56">
        <v>838</v>
      </c>
      <c r="C84" s="56">
        <v>294</v>
      </c>
      <c r="D84" s="56">
        <v>540</v>
      </c>
      <c r="E84" s="56">
        <v>145</v>
      </c>
      <c r="F84" s="56">
        <v>815</v>
      </c>
      <c r="G84" s="56">
        <v>142</v>
      </c>
      <c r="H84" s="56">
        <v>418</v>
      </c>
      <c r="I84" s="56">
        <v>125</v>
      </c>
      <c r="J84" s="56">
        <v>217</v>
      </c>
      <c r="K84" s="56">
        <v>31</v>
      </c>
      <c r="L84" s="56">
        <v>2844</v>
      </c>
      <c r="M84" s="56">
        <v>738</v>
      </c>
      <c r="N84" s="56">
        <v>7368</v>
      </c>
      <c r="O84" s="56">
        <v>35177</v>
      </c>
      <c r="P84" s="56">
        <v>2020</v>
      </c>
      <c r="Q84" s="56">
        <v>24620</v>
      </c>
      <c r="R84" s="16">
        <f t="shared" si="4"/>
        <v>12232</v>
      </c>
      <c r="S84" s="167">
        <f t="shared" si="6"/>
        <v>11027.625</v>
      </c>
      <c r="T84" s="168">
        <f t="shared" si="7"/>
        <v>37056</v>
      </c>
    </row>
    <row r="85" spans="1:20" ht="15.6" x14ac:dyDescent="0.3">
      <c r="A85" s="121">
        <f t="shared" si="5"/>
        <v>37063</v>
      </c>
      <c r="B85" s="56">
        <v>948</v>
      </c>
      <c r="C85" s="56">
        <v>476</v>
      </c>
      <c r="D85" s="56">
        <v>593</v>
      </c>
      <c r="E85" s="56">
        <v>203</v>
      </c>
      <c r="F85" s="56">
        <v>747</v>
      </c>
      <c r="G85" s="56">
        <v>274</v>
      </c>
      <c r="H85" s="56">
        <v>471</v>
      </c>
      <c r="I85" s="56">
        <v>144</v>
      </c>
      <c r="J85" s="56">
        <v>219</v>
      </c>
      <c r="K85" s="56">
        <v>50</v>
      </c>
      <c r="L85" s="56">
        <v>2978</v>
      </c>
      <c r="M85" s="56">
        <v>1146</v>
      </c>
      <c r="N85" s="56">
        <v>7448</v>
      </c>
      <c r="O85" s="56">
        <v>36139</v>
      </c>
      <c r="P85" s="56">
        <v>1932</v>
      </c>
      <c r="Q85" s="56">
        <v>24895</v>
      </c>
      <c r="R85" s="16">
        <f t="shared" si="4"/>
        <v>12358</v>
      </c>
      <c r="S85" s="167">
        <f t="shared" si="6"/>
        <v>11702.125</v>
      </c>
      <c r="T85" s="168">
        <f t="shared" si="7"/>
        <v>37063</v>
      </c>
    </row>
    <row r="86" spans="1:20" ht="15.6" x14ac:dyDescent="0.3">
      <c r="A86" s="121">
        <f t="shared" si="5"/>
        <v>37070</v>
      </c>
      <c r="B86" s="56">
        <v>1033</v>
      </c>
      <c r="C86" s="56">
        <v>589</v>
      </c>
      <c r="D86" s="56">
        <v>723</v>
      </c>
      <c r="E86" s="56">
        <v>254</v>
      </c>
      <c r="F86" s="56">
        <v>845</v>
      </c>
      <c r="G86" s="56">
        <v>331</v>
      </c>
      <c r="H86" s="56">
        <v>465</v>
      </c>
      <c r="I86" s="56">
        <v>202</v>
      </c>
      <c r="J86" s="56">
        <v>234</v>
      </c>
      <c r="K86" s="56">
        <v>65</v>
      </c>
      <c r="L86" s="56">
        <v>3300</v>
      </c>
      <c r="M86" s="56">
        <v>1440</v>
      </c>
      <c r="N86" s="56">
        <v>7533</v>
      </c>
      <c r="O86" s="56">
        <v>36925</v>
      </c>
      <c r="P86" s="56">
        <v>2050</v>
      </c>
      <c r="Q86" s="56">
        <v>25282</v>
      </c>
      <c r="R86" s="16">
        <f t="shared" si="4"/>
        <v>12883</v>
      </c>
      <c r="S86" s="167">
        <f t="shared" si="6"/>
        <v>12481.125</v>
      </c>
      <c r="T86" s="168">
        <f t="shared" si="7"/>
        <v>37070</v>
      </c>
    </row>
    <row r="87" spans="1:20" ht="15.6" x14ac:dyDescent="0.3">
      <c r="A87" s="121">
        <f t="shared" si="5"/>
        <v>37077</v>
      </c>
      <c r="B87" s="56">
        <v>1011</v>
      </c>
      <c r="C87" s="56">
        <v>737</v>
      </c>
      <c r="D87" s="56">
        <v>634</v>
      </c>
      <c r="E87" s="56">
        <v>342</v>
      </c>
      <c r="F87" s="56">
        <v>854</v>
      </c>
      <c r="G87" s="56">
        <v>406</v>
      </c>
      <c r="H87" s="56">
        <v>481</v>
      </c>
      <c r="I87" s="56">
        <v>268</v>
      </c>
      <c r="J87" s="56">
        <v>219</v>
      </c>
      <c r="K87" s="56">
        <v>83</v>
      </c>
      <c r="L87" s="56">
        <v>3198</v>
      </c>
      <c r="M87" s="56">
        <v>1835</v>
      </c>
      <c r="N87" s="56">
        <v>7384</v>
      </c>
      <c r="O87" s="56">
        <v>37918</v>
      </c>
      <c r="P87" s="56">
        <v>2029</v>
      </c>
      <c r="Q87" s="56">
        <v>25429</v>
      </c>
      <c r="R87" s="16">
        <f t="shared" si="4"/>
        <v>12611</v>
      </c>
      <c r="S87" s="167">
        <f t="shared" si="6"/>
        <v>12521</v>
      </c>
      <c r="T87" s="168">
        <f t="shared" si="7"/>
        <v>37077</v>
      </c>
    </row>
    <row r="88" spans="1:20" ht="15.6" x14ac:dyDescent="0.3">
      <c r="A88" s="121">
        <f t="shared" si="5"/>
        <v>37084</v>
      </c>
      <c r="B88" s="56">
        <v>1072</v>
      </c>
      <c r="C88" s="56">
        <v>870</v>
      </c>
      <c r="D88" s="56">
        <v>697</v>
      </c>
      <c r="E88" s="56">
        <v>443</v>
      </c>
      <c r="F88" s="56">
        <v>844</v>
      </c>
      <c r="G88" s="56">
        <v>476</v>
      </c>
      <c r="H88" s="56">
        <v>534</v>
      </c>
      <c r="I88" s="56">
        <v>308</v>
      </c>
      <c r="J88" s="56">
        <v>240</v>
      </c>
      <c r="K88" s="56">
        <v>95</v>
      </c>
      <c r="L88" s="56">
        <v>3386</v>
      </c>
      <c r="M88" s="56">
        <v>2193</v>
      </c>
      <c r="N88" s="56">
        <v>7550</v>
      </c>
      <c r="O88" s="56">
        <v>39080</v>
      </c>
      <c r="P88" s="56">
        <v>2092</v>
      </c>
      <c r="Q88" s="56">
        <v>25633</v>
      </c>
      <c r="R88" s="16">
        <f t="shared" si="4"/>
        <v>13028</v>
      </c>
      <c r="S88" s="167">
        <f t="shared" si="6"/>
        <v>12720</v>
      </c>
      <c r="T88" s="168">
        <f t="shared" si="7"/>
        <v>37084</v>
      </c>
    </row>
    <row r="89" spans="1:20" ht="15.6" x14ac:dyDescent="0.3">
      <c r="A89" s="121">
        <f t="shared" si="5"/>
        <v>37091</v>
      </c>
      <c r="B89" s="56">
        <v>1253</v>
      </c>
      <c r="C89" s="56">
        <v>1042</v>
      </c>
      <c r="D89" s="56">
        <v>797</v>
      </c>
      <c r="E89" s="56">
        <v>512</v>
      </c>
      <c r="F89" s="56">
        <v>820</v>
      </c>
      <c r="G89" s="56">
        <v>610</v>
      </c>
      <c r="H89" s="56">
        <v>528</v>
      </c>
      <c r="I89" s="56">
        <v>339</v>
      </c>
      <c r="J89" s="56">
        <v>288</v>
      </c>
      <c r="K89" s="56">
        <v>97</v>
      </c>
      <c r="L89" s="56">
        <v>3687</v>
      </c>
      <c r="M89" s="56">
        <v>2599</v>
      </c>
      <c r="N89" s="56">
        <v>7934</v>
      </c>
      <c r="O89" s="56">
        <v>39922</v>
      </c>
      <c r="P89" s="56">
        <v>1907</v>
      </c>
      <c r="Q89" s="56">
        <v>25829</v>
      </c>
      <c r="R89" s="16">
        <f t="shared" si="4"/>
        <v>13528</v>
      </c>
      <c r="S89" s="167">
        <f t="shared" si="6"/>
        <v>13012.5</v>
      </c>
      <c r="T89" s="168">
        <f t="shared" si="7"/>
        <v>37091</v>
      </c>
    </row>
    <row r="90" spans="1:20" ht="15.6" x14ac:dyDescent="0.3">
      <c r="A90" s="121">
        <f t="shared" si="5"/>
        <v>37098</v>
      </c>
      <c r="B90" s="56">
        <v>1307</v>
      </c>
      <c r="C90" s="56">
        <v>1131</v>
      </c>
      <c r="D90" s="56">
        <v>818</v>
      </c>
      <c r="E90" s="56">
        <v>570</v>
      </c>
      <c r="F90" s="56">
        <v>908</v>
      </c>
      <c r="G90" s="56">
        <v>665</v>
      </c>
      <c r="H90" s="56">
        <v>586</v>
      </c>
      <c r="I90" s="56">
        <v>356</v>
      </c>
      <c r="J90" s="56">
        <v>256</v>
      </c>
      <c r="K90" s="56">
        <v>143</v>
      </c>
      <c r="L90" s="56">
        <v>3873</v>
      </c>
      <c r="M90" s="56">
        <v>2865</v>
      </c>
      <c r="N90" s="56">
        <v>7111</v>
      </c>
      <c r="O90" s="56">
        <v>41067</v>
      </c>
      <c r="P90" s="56">
        <v>1899</v>
      </c>
      <c r="Q90" s="56">
        <v>26067</v>
      </c>
      <c r="R90" s="16">
        <f t="shared" si="4"/>
        <v>12883</v>
      </c>
      <c r="S90" s="167">
        <f t="shared" si="6"/>
        <v>13012.5</v>
      </c>
      <c r="T90" s="168">
        <f t="shared" si="7"/>
        <v>37098</v>
      </c>
    </row>
    <row r="91" spans="1:20" ht="15.6" x14ac:dyDescent="0.3">
      <c r="A91" s="121">
        <f t="shared" si="5"/>
        <v>37105</v>
      </c>
      <c r="B91" s="56">
        <v>1247</v>
      </c>
      <c r="C91" s="56">
        <v>1319</v>
      </c>
      <c r="D91" s="56">
        <v>868</v>
      </c>
      <c r="E91" s="56">
        <v>730</v>
      </c>
      <c r="F91" s="56">
        <v>881</v>
      </c>
      <c r="G91" s="56">
        <v>811</v>
      </c>
      <c r="H91" s="56">
        <v>499</v>
      </c>
      <c r="I91" s="56">
        <v>449</v>
      </c>
      <c r="J91" s="56">
        <v>289</v>
      </c>
      <c r="K91" s="56">
        <v>186</v>
      </c>
      <c r="L91" s="56">
        <v>3784</v>
      </c>
      <c r="M91" s="56">
        <v>3495</v>
      </c>
      <c r="N91" s="56">
        <v>6466</v>
      </c>
      <c r="O91" s="56">
        <v>42327</v>
      </c>
      <c r="P91" s="56">
        <v>1790</v>
      </c>
      <c r="Q91" s="56">
        <v>26337</v>
      </c>
      <c r="R91" s="16">
        <f t="shared" si="4"/>
        <v>12040</v>
      </c>
      <c r="S91" s="167">
        <f t="shared" si="6"/>
        <v>12869.75</v>
      </c>
      <c r="T91" s="168">
        <f t="shared" si="7"/>
        <v>37105</v>
      </c>
    </row>
    <row r="92" spans="1:20" ht="15.6" x14ac:dyDescent="0.3">
      <c r="A92" s="121">
        <f t="shared" si="5"/>
        <v>37112</v>
      </c>
      <c r="B92" s="56">
        <v>1398</v>
      </c>
      <c r="C92" s="56">
        <v>1375</v>
      </c>
      <c r="D92" s="56">
        <v>1047</v>
      </c>
      <c r="E92" s="56">
        <v>834</v>
      </c>
      <c r="F92" s="56">
        <v>974</v>
      </c>
      <c r="G92" s="56">
        <v>866</v>
      </c>
      <c r="H92" s="56">
        <v>474</v>
      </c>
      <c r="I92" s="56">
        <v>531</v>
      </c>
      <c r="J92" s="56">
        <v>343</v>
      </c>
      <c r="K92" s="56">
        <v>204</v>
      </c>
      <c r="L92" s="56">
        <v>4235</v>
      </c>
      <c r="M92" s="56">
        <v>3809</v>
      </c>
      <c r="N92" s="56">
        <v>5807</v>
      </c>
      <c r="O92" s="56">
        <v>43648</v>
      </c>
      <c r="P92" s="56">
        <v>1521</v>
      </c>
      <c r="Q92" s="56">
        <v>26586</v>
      </c>
      <c r="R92" s="16">
        <f t="shared" si="4"/>
        <v>11563</v>
      </c>
      <c r="S92" s="167">
        <f t="shared" si="6"/>
        <v>12503.5</v>
      </c>
      <c r="T92" s="168">
        <f t="shared" si="7"/>
        <v>37112</v>
      </c>
    </row>
    <row r="93" spans="1:20" ht="15.6" x14ac:dyDescent="0.3">
      <c r="A93" s="121">
        <f t="shared" si="5"/>
        <v>37119</v>
      </c>
      <c r="B93" s="56">
        <v>1288</v>
      </c>
      <c r="C93" s="56">
        <v>1594</v>
      </c>
      <c r="D93" s="56">
        <v>918</v>
      </c>
      <c r="E93" s="56">
        <v>1007</v>
      </c>
      <c r="F93" s="56">
        <v>1050</v>
      </c>
      <c r="G93" s="56">
        <v>959</v>
      </c>
      <c r="H93" s="56">
        <v>432</v>
      </c>
      <c r="I93" s="56">
        <v>626</v>
      </c>
      <c r="J93" s="56">
        <v>338</v>
      </c>
      <c r="K93" s="56">
        <v>255</v>
      </c>
      <c r="L93" s="56">
        <v>4026</v>
      </c>
      <c r="M93" s="56">
        <v>4441</v>
      </c>
      <c r="N93" s="56">
        <v>4748</v>
      </c>
      <c r="O93" s="56">
        <v>44956</v>
      </c>
      <c r="P93" s="56">
        <v>1206</v>
      </c>
      <c r="Q93" s="56">
        <v>26905</v>
      </c>
      <c r="R93" s="16">
        <f t="shared" si="4"/>
        <v>9980</v>
      </c>
      <c r="S93" s="167">
        <f t="shared" si="6"/>
        <v>11616.5</v>
      </c>
      <c r="T93" s="168">
        <f t="shared" si="7"/>
        <v>37119</v>
      </c>
    </row>
    <row r="94" spans="1:20" ht="15.6" x14ac:dyDescent="0.3">
      <c r="A94" s="121">
        <f t="shared" si="5"/>
        <v>37126</v>
      </c>
      <c r="B94" s="56">
        <v>1296</v>
      </c>
      <c r="C94" s="56">
        <v>1733</v>
      </c>
      <c r="D94" s="56">
        <v>985</v>
      </c>
      <c r="E94" s="56">
        <v>1031</v>
      </c>
      <c r="F94" s="56">
        <v>1071</v>
      </c>
      <c r="G94" s="56">
        <v>1069</v>
      </c>
      <c r="H94" s="56">
        <v>401</v>
      </c>
      <c r="I94" s="56">
        <v>725</v>
      </c>
      <c r="J94" s="56">
        <v>350</v>
      </c>
      <c r="K94" s="56">
        <v>279</v>
      </c>
      <c r="L94" s="56">
        <v>4103</v>
      </c>
      <c r="M94" s="56">
        <v>4837</v>
      </c>
      <c r="N94" s="56">
        <v>3731</v>
      </c>
      <c r="O94" s="56">
        <v>46135</v>
      </c>
      <c r="P94" s="56">
        <v>988</v>
      </c>
      <c r="Q94" s="56">
        <v>27200</v>
      </c>
      <c r="R94" s="16">
        <f t="shared" si="4"/>
        <v>8822</v>
      </c>
      <c r="S94" s="167">
        <f t="shared" si="6"/>
        <v>10601.25</v>
      </c>
      <c r="T94" s="168">
        <f t="shared" si="7"/>
        <v>37126</v>
      </c>
    </row>
    <row r="95" spans="1:20" ht="15.6" x14ac:dyDescent="0.3">
      <c r="A95" s="121">
        <f t="shared" si="5"/>
        <v>37133</v>
      </c>
      <c r="B95" s="56">
        <v>1287</v>
      </c>
      <c r="C95" s="56">
        <v>1956</v>
      </c>
      <c r="D95" s="56">
        <v>919</v>
      </c>
      <c r="E95" s="56">
        <v>1309</v>
      </c>
      <c r="F95" s="56">
        <v>1039</v>
      </c>
      <c r="G95" s="56">
        <v>1221</v>
      </c>
      <c r="H95" s="56">
        <v>374</v>
      </c>
      <c r="I95" s="56">
        <v>824</v>
      </c>
      <c r="J95" s="56">
        <v>325</v>
      </c>
      <c r="K95" s="56">
        <v>325</v>
      </c>
      <c r="L95" s="56">
        <v>3943</v>
      </c>
      <c r="M95" s="56">
        <v>5636</v>
      </c>
      <c r="N95" s="56">
        <v>2806</v>
      </c>
      <c r="O95" s="56">
        <v>47219</v>
      </c>
      <c r="P95" s="56">
        <v>711</v>
      </c>
      <c r="Q95" s="56">
        <v>27454</v>
      </c>
      <c r="R95" s="16">
        <f t="shared" si="4"/>
        <v>7460</v>
      </c>
      <c r="S95" s="167">
        <f t="shared" si="6"/>
        <v>9456.25</v>
      </c>
      <c r="T95" s="168">
        <f t="shared" si="7"/>
        <v>37133</v>
      </c>
    </row>
    <row r="96" spans="1:20" ht="15.6" x14ac:dyDescent="0.3">
      <c r="A96" s="121">
        <f t="shared" si="5"/>
        <v>37140</v>
      </c>
      <c r="B96" s="56">
        <v>1198</v>
      </c>
      <c r="C96" s="56">
        <v>2174</v>
      </c>
      <c r="D96" s="56">
        <v>880</v>
      </c>
      <c r="E96" s="56">
        <v>1389</v>
      </c>
      <c r="F96" s="56">
        <v>886</v>
      </c>
      <c r="G96" s="56">
        <v>1424</v>
      </c>
      <c r="H96" s="56">
        <v>378</v>
      </c>
      <c r="I96" s="56">
        <v>867</v>
      </c>
      <c r="J96" s="56">
        <v>357</v>
      </c>
      <c r="K96" s="56">
        <v>347</v>
      </c>
      <c r="L96" s="56">
        <v>3698</v>
      </c>
      <c r="M96" s="56">
        <v>6200</v>
      </c>
      <c r="N96" s="56">
        <v>7090</v>
      </c>
      <c r="O96" s="56">
        <v>567</v>
      </c>
      <c r="P96" s="56">
        <v>5611</v>
      </c>
      <c r="Q96" s="56">
        <v>67</v>
      </c>
      <c r="R96" s="16">
        <f t="shared" si="4"/>
        <v>16399</v>
      </c>
      <c r="S96" s="167">
        <f t="shared" si="6"/>
        <v>10665.25</v>
      </c>
      <c r="T96" s="168">
        <f t="shared" si="7"/>
        <v>37140</v>
      </c>
    </row>
    <row r="97" spans="1:20" ht="15.6" x14ac:dyDescent="0.3">
      <c r="A97" s="121">
        <f t="shared" si="5"/>
        <v>37147</v>
      </c>
      <c r="B97" s="56">
        <v>1191</v>
      </c>
      <c r="C97" s="56">
        <v>2267</v>
      </c>
      <c r="D97" s="56">
        <v>880</v>
      </c>
      <c r="E97" s="56">
        <v>1499.6</v>
      </c>
      <c r="F97" s="56">
        <v>953</v>
      </c>
      <c r="G97" s="56">
        <v>1492</v>
      </c>
      <c r="H97" s="56">
        <v>433</v>
      </c>
      <c r="I97" s="56">
        <v>885</v>
      </c>
      <c r="J97" s="56">
        <v>326</v>
      </c>
      <c r="K97" s="56">
        <v>381</v>
      </c>
      <c r="L97" s="56">
        <v>3783</v>
      </c>
      <c r="M97" s="56">
        <v>6525</v>
      </c>
      <c r="N97" s="56">
        <v>6692</v>
      </c>
      <c r="O97" s="56">
        <v>1660</v>
      </c>
      <c r="P97" s="56">
        <v>6006</v>
      </c>
      <c r="Q97" s="56">
        <v>241</v>
      </c>
      <c r="R97" s="16">
        <f t="shared" si="4"/>
        <v>16481</v>
      </c>
      <c r="S97" s="167">
        <f t="shared" si="6"/>
        <v>12290.5</v>
      </c>
      <c r="T97" s="168">
        <f t="shared" si="7"/>
        <v>37147</v>
      </c>
    </row>
    <row r="98" spans="1:20" ht="15.6" x14ac:dyDescent="0.3">
      <c r="A98" s="121">
        <f t="shared" si="5"/>
        <v>37154</v>
      </c>
      <c r="B98" s="56">
        <v>1275</v>
      </c>
      <c r="C98" s="56">
        <v>2397</v>
      </c>
      <c r="D98" s="56">
        <v>906</v>
      </c>
      <c r="E98" s="56">
        <v>1612</v>
      </c>
      <c r="F98" s="56">
        <v>881</v>
      </c>
      <c r="G98" s="56">
        <v>1603</v>
      </c>
      <c r="H98" s="56">
        <v>533</v>
      </c>
      <c r="I98" s="56">
        <v>911</v>
      </c>
      <c r="J98" s="56">
        <v>316</v>
      </c>
      <c r="K98" s="56">
        <v>391</v>
      </c>
      <c r="L98" s="56">
        <v>3911</v>
      </c>
      <c r="M98" s="56">
        <v>6914</v>
      </c>
      <c r="N98" s="56">
        <v>6553</v>
      </c>
      <c r="O98" s="56">
        <v>2969</v>
      </c>
      <c r="P98" s="56">
        <v>6158</v>
      </c>
      <c r="Q98" s="56">
        <v>505</v>
      </c>
      <c r="R98" s="16">
        <f t="shared" si="4"/>
        <v>16622</v>
      </c>
      <c r="S98" s="167">
        <f t="shared" si="6"/>
        <v>14240.5</v>
      </c>
      <c r="T98" s="168">
        <f t="shared" si="7"/>
        <v>37154</v>
      </c>
    </row>
    <row r="99" spans="1:20" ht="15.6" x14ac:dyDescent="0.3">
      <c r="A99" s="121">
        <f t="shared" si="5"/>
        <v>37161</v>
      </c>
      <c r="B99" s="56">
        <v>1150</v>
      </c>
      <c r="C99" s="56">
        <v>2604</v>
      </c>
      <c r="D99" s="56">
        <v>1091</v>
      </c>
      <c r="E99" s="56">
        <v>1761</v>
      </c>
      <c r="F99" s="56">
        <v>862</v>
      </c>
      <c r="G99" s="56">
        <v>1751</v>
      </c>
      <c r="H99" s="56">
        <v>499</v>
      </c>
      <c r="I99" s="56">
        <v>1018</v>
      </c>
      <c r="J99" s="56">
        <v>314</v>
      </c>
      <c r="K99" s="56">
        <v>440</v>
      </c>
      <c r="L99" s="56">
        <v>3916</v>
      </c>
      <c r="M99" s="56">
        <v>7574</v>
      </c>
      <c r="N99" s="56">
        <v>7018</v>
      </c>
      <c r="O99" s="56">
        <v>3780</v>
      </c>
      <c r="P99" s="56">
        <v>6896</v>
      </c>
      <c r="Q99" s="56">
        <v>732</v>
      </c>
      <c r="R99" s="16">
        <f t="shared" si="4"/>
        <v>17830</v>
      </c>
      <c r="S99" s="167">
        <f t="shared" si="6"/>
        <v>16833</v>
      </c>
      <c r="T99" s="168">
        <f t="shared" si="7"/>
        <v>37161</v>
      </c>
    </row>
    <row r="100" spans="1:20" ht="15.6" x14ac:dyDescent="0.3">
      <c r="A100" s="121">
        <f t="shared" si="5"/>
        <v>37168</v>
      </c>
      <c r="B100" s="56">
        <v>1108</v>
      </c>
      <c r="C100" s="56">
        <v>2792</v>
      </c>
      <c r="D100" s="56">
        <v>1214</v>
      </c>
      <c r="E100" s="56">
        <v>1883</v>
      </c>
      <c r="F100" s="56">
        <v>884</v>
      </c>
      <c r="G100" s="56">
        <v>1868</v>
      </c>
      <c r="H100" s="56">
        <v>552</v>
      </c>
      <c r="I100" s="56">
        <v>1067</v>
      </c>
      <c r="J100" s="56">
        <v>231</v>
      </c>
      <c r="K100" s="56">
        <v>517</v>
      </c>
      <c r="L100" s="56">
        <v>3989</v>
      </c>
      <c r="M100" s="56">
        <v>8127</v>
      </c>
      <c r="N100" s="56">
        <v>6862</v>
      </c>
      <c r="O100" s="56">
        <v>4552</v>
      </c>
      <c r="P100" s="56">
        <v>7854</v>
      </c>
      <c r="Q100" s="56">
        <v>863</v>
      </c>
      <c r="R100" s="16">
        <f t="shared" si="4"/>
        <v>18705</v>
      </c>
      <c r="S100" s="167">
        <f t="shared" si="6"/>
        <v>17409.5</v>
      </c>
      <c r="T100" s="168">
        <f t="shared" si="7"/>
        <v>37168</v>
      </c>
    </row>
    <row r="101" spans="1:20" ht="15.6" x14ac:dyDescent="0.3">
      <c r="A101" s="121">
        <f t="shared" si="5"/>
        <v>37175</v>
      </c>
      <c r="B101" s="56">
        <v>1175</v>
      </c>
      <c r="C101" s="56">
        <v>2889</v>
      </c>
      <c r="D101" s="56">
        <v>1087</v>
      </c>
      <c r="E101" s="56">
        <v>2079</v>
      </c>
      <c r="F101" s="56">
        <v>868</v>
      </c>
      <c r="G101" s="56">
        <v>1987</v>
      </c>
      <c r="H101" s="56">
        <v>550</v>
      </c>
      <c r="I101" s="56">
        <v>1158</v>
      </c>
      <c r="J101" s="56">
        <v>227</v>
      </c>
      <c r="K101" s="56">
        <v>522</v>
      </c>
      <c r="L101" s="56">
        <v>3906</v>
      </c>
      <c r="M101" s="56">
        <v>8635</v>
      </c>
      <c r="N101" s="56">
        <v>6944</v>
      </c>
      <c r="O101" s="56">
        <v>5306</v>
      </c>
      <c r="P101" s="56">
        <v>8511</v>
      </c>
      <c r="Q101" s="56">
        <v>1526</v>
      </c>
      <c r="R101" s="16">
        <f t="shared" si="4"/>
        <v>19361</v>
      </c>
      <c r="S101" s="167">
        <f t="shared" si="6"/>
        <v>18129.5</v>
      </c>
      <c r="T101" s="168">
        <f t="shared" si="7"/>
        <v>37175</v>
      </c>
    </row>
    <row r="102" spans="1:20" ht="15.6" x14ac:dyDescent="0.3">
      <c r="A102" s="121">
        <f t="shared" si="5"/>
        <v>37182</v>
      </c>
      <c r="B102" s="56">
        <v>1228</v>
      </c>
      <c r="C102" s="56">
        <v>3162</v>
      </c>
      <c r="D102" s="56">
        <v>1075</v>
      </c>
      <c r="E102" s="56">
        <v>2150</v>
      </c>
      <c r="F102" s="56">
        <v>961</v>
      </c>
      <c r="G102" s="56">
        <v>2102</v>
      </c>
      <c r="H102" s="56">
        <v>616</v>
      </c>
      <c r="I102" s="56">
        <v>1176</v>
      </c>
      <c r="J102" s="56">
        <v>249</v>
      </c>
      <c r="K102" s="56">
        <v>526</v>
      </c>
      <c r="L102" s="56">
        <v>4128</v>
      </c>
      <c r="M102" s="56">
        <v>9116</v>
      </c>
      <c r="N102" s="56">
        <v>7074</v>
      </c>
      <c r="O102" s="56">
        <v>6056</v>
      </c>
      <c r="P102" s="56">
        <v>8760</v>
      </c>
      <c r="Q102" s="56">
        <v>2342</v>
      </c>
      <c r="R102" s="16">
        <f t="shared" si="4"/>
        <v>19962</v>
      </c>
      <c r="S102" s="167">
        <f t="shared" si="6"/>
        <v>18964.5</v>
      </c>
      <c r="T102" s="168">
        <f t="shared" si="7"/>
        <v>37182</v>
      </c>
    </row>
    <row r="103" spans="1:20" ht="15.6" x14ac:dyDescent="0.3">
      <c r="A103" s="121">
        <f t="shared" si="5"/>
        <v>37189</v>
      </c>
      <c r="B103" s="56">
        <v>1386</v>
      </c>
      <c r="C103" s="56">
        <v>3353</v>
      </c>
      <c r="D103" s="56">
        <v>1023</v>
      </c>
      <c r="E103" s="56">
        <v>2313</v>
      </c>
      <c r="F103" s="56">
        <v>1060</v>
      </c>
      <c r="G103" s="56">
        <v>2142</v>
      </c>
      <c r="H103" s="56">
        <v>565</v>
      </c>
      <c r="I103" s="56">
        <v>1332</v>
      </c>
      <c r="J103" s="56">
        <v>214</v>
      </c>
      <c r="K103" s="56">
        <v>569</v>
      </c>
      <c r="L103" s="56">
        <v>4248</v>
      </c>
      <c r="M103" s="56">
        <v>9708</v>
      </c>
      <c r="N103" s="56">
        <v>6788</v>
      </c>
      <c r="O103" s="56">
        <v>6909</v>
      </c>
      <c r="P103" s="56">
        <v>9491</v>
      </c>
      <c r="Q103" s="56">
        <v>3495</v>
      </c>
      <c r="R103" s="16">
        <f t="shared" ref="R103:R112" si="8">L103+N103+P103</f>
        <v>20527</v>
      </c>
      <c r="S103" s="167">
        <f t="shared" si="6"/>
        <v>19638.75</v>
      </c>
      <c r="T103" s="168">
        <f t="shared" si="7"/>
        <v>37189</v>
      </c>
    </row>
    <row r="104" spans="1:20" ht="15.6" x14ac:dyDescent="0.3">
      <c r="A104" s="121">
        <f t="shared" si="5"/>
        <v>37196</v>
      </c>
      <c r="B104" s="56">
        <v>1382</v>
      </c>
      <c r="C104" s="56">
        <v>3460</v>
      </c>
      <c r="D104" s="56">
        <v>1018</v>
      </c>
      <c r="E104" s="56">
        <v>2389</v>
      </c>
      <c r="F104" s="56">
        <v>1017</v>
      </c>
      <c r="G104" s="56">
        <v>2307</v>
      </c>
      <c r="H104" s="56">
        <v>573</v>
      </c>
      <c r="I104" s="56">
        <v>1371</v>
      </c>
      <c r="J104" s="56">
        <v>240</v>
      </c>
      <c r="K104" s="56">
        <v>573</v>
      </c>
      <c r="L104" s="56">
        <v>4229</v>
      </c>
      <c r="M104" s="56">
        <v>10100</v>
      </c>
      <c r="N104" s="56">
        <v>7028</v>
      </c>
      <c r="O104" s="56">
        <v>7566</v>
      </c>
      <c r="P104" s="56">
        <v>8606</v>
      </c>
      <c r="Q104" s="56">
        <v>4906</v>
      </c>
      <c r="R104" s="16">
        <f t="shared" si="8"/>
        <v>19863</v>
      </c>
      <c r="S104" s="167">
        <f t="shared" si="6"/>
        <v>19928.25</v>
      </c>
      <c r="T104" s="168">
        <f t="shared" si="7"/>
        <v>37196</v>
      </c>
    </row>
    <row r="105" spans="1:20" ht="15.6" x14ac:dyDescent="0.3">
      <c r="A105" s="121">
        <f t="shared" si="5"/>
        <v>37203</v>
      </c>
      <c r="B105" s="56">
        <v>1254</v>
      </c>
      <c r="C105" s="56">
        <v>3657</v>
      </c>
      <c r="D105" s="56">
        <v>937</v>
      </c>
      <c r="E105" s="56">
        <v>2497</v>
      </c>
      <c r="F105" s="56">
        <v>1019</v>
      </c>
      <c r="G105" s="56">
        <v>2437</v>
      </c>
      <c r="H105" s="56">
        <v>567</v>
      </c>
      <c r="I105" s="56">
        <v>1475</v>
      </c>
      <c r="J105" s="56">
        <v>265</v>
      </c>
      <c r="K105" s="56">
        <v>589</v>
      </c>
      <c r="L105" s="56">
        <v>4042</v>
      </c>
      <c r="M105" s="56">
        <v>10654</v>
      </c>
      <c r="N105" s="56">
        <v>6838</v>
      </c>
      <c r="O105" s="56">
        <v>8569</v>
      </c>
      <c r="P105" s="56">
        <v>8386</v>
      </c>
      <c r="Q105" s="56">
        <v>5868</v>
      </c>
      <c r="R105" s="16">
        <f t="shared" si="8"/>
        <v>19266</v>
      </c>
      <c r="S105" s="167">
        <f t="shared" si="6"/>
        <v>19904.5</v>
      </c>
      <c r="T105" s="168">
        <f t="shared" si="7"/>
        <v>37203</v>
      </c>
    </row>
    <row r="106" spans="1:20" ht="15.6" x14ac:dyDescent="0.3">
      <c r="A106" s="121">
        <f t="shared" si="5"/>
        <v>37210</v>
      </c>
      <c r="B106" s="56">
        <v>1377</v>
      </c>
      <c r="C106" s="56">
        <v>3727</v>
      </c>
      <c r="D106" s="56">
        <v>766</v>
      </c>
      <c r="E106" s="56">
        <v>2767</v>
      </c>
      <c r="F106" s="56">
        <v>1096</v>
      </c>
      <c r="G106" s="56">
        <v>2490</v>
      </c>
      <c r="H106" s="56">
        <v>563</v>
      </c>
      <c r="I106" s="56">
        <v>1546</v>
      </c>
      <c r="J106" s="56">
        <v>236</v>
      </c>
      <c r="K106" s="56">
        <v>612</v>
      </c>
      <c r="L106" s="56">
        <v>4037</v>
      </c>
      <c r="M106" s="56">
        <v>11141</v>
      </c>
      <c r="N106" s="56">
        <v>6824</v>
      </c>
      <c r="O106" s="56">
        <v>9264</v>
      </c>
      <c r="P106" s="56">
        <v>8904</v>
      </c>
      <c r="Q106" s="56">
        <v>6744</v>
      </c>
      <c r="R106" s="16">
        <f t="shared" si="8"/>
        <v>19765</v>
      </c>
      <c r="S106" s="167">
        <f t="shared" si="6"/>
        <v>19855.25</v>
      </c>
      <c r="T106" s="168">
        <f t="shared" si="7"/>
        <v>37210</v>
      </c>
    </row>
    <row r="107" spans="1:20" ht="15.6" x14ac:dyDescent="0.3">
      <c r="A107" s="121">
        <f t="shared" si="5"/>
        <v>37217</v>
      </c>
      <c r="B107" s="56">
        <v>1334</v>
      </c>
      <c r="C107" s="56">
        <v>3983</v>
      </c>
      <c r="D107" s="56">
        <v>695</v>
      </c>
      <c r="E107" s="56">
        <v>2905</v>
      </c>
      <c r="F107" s="56">
        <v>1068</v>
      </c>
      <c r="G107" s="56">
        <v>2563</v>
      </c>
      <c r="H107" s="56">
        <v>542</v>
      </c>
      <c r="I107" s="56">
        <v>1608</v>
      </c>
      <c r="J107" s="56">
        <v>231</v>
      </c>
      <c r="K107" s="56">
        <v>621</v>
      </c>
      <c r="L107" s="56">
        <v>3870</v>
      </c>
      <c r="M107" s="56">
        <v>11680</v>
      </c>
      <c r="N107" s="56">
        <v>6603</v>
      </c>
      <c r="O107" s="56">
        <v>10131</v>
      </c>
      <c r="P107" s="56">
        <v>8608</v>
      </c>
      <c r="Q107" s="56">
        <v>8041</v>
      </c>
      <c r="R107" s="16">
        <f t="shared" si="8"/>
        <v>19081</v>
      </c>
      <c r="S107" s="167">
        <f t="shared" si="6"/>
        <v>19493.75</v>
      </c>
      <c r="T107" s="168">
        <f t="shared" si="7"/>
        <v>37217</v>
      </c>
    </row>
    <row r="108" spans="1:20" ht="15.6" x14ac:dyDescent="0.3">
      <c r="A108" s="121">
        <f t="shared" si="5"/>
        <v>37224</v>
      </c>
      <c r="B108" s="56">
        <v>1241</v>
      </c>
      <c r="C108" s="56">
        <v>4231</v>
      </c>
      <c r="D108" s="56">
        <v>679</v>
      </c>
      <c r="E108" s="56">
        <v>3004</v>
      </c>
      <c r="F108" s="56">
        <v>1068</v>
      </c>
      <c r="G108" s="56">
        <v>2751</v>
      </c>
      <c r="H108" s="56">
        <v>549</v>
      </c>
      <c r="I108" s="56">
        <v>1708</v>
      </c>
      <c r="J108" s="56">
        <v>275</v>
      </c>
      <c r="K108" s="56">
        <v>623</v>
      </c>
      <c r="L108" s="56">
        <v>3812</v>
      </c>
      <c r="M108" s="56">
        <v>12316</v>
      </c>
      <c r="N108" s="56">
        <v>7635</v>
      </c>
      <c r="O108" s="56">
        <v>10618</v>
      </c>
      <c r="P108" s="56">
        <v>8499</v>
      </c>
      <c r="Q108" s="56">
        <v>9004</v>
      </c>
      <c r="R108" s="16">
        <f t="shared" si="8"/>
        <v>19946</v>
      </c>
      <c r="S108" s="167">
        <f t="shared" si="6"/>
        <v>19514.5</v>
      </c>
      <c r="T108" s="168">
        <f t="shared" si="7"/>
        <v>37224</v>
      </c>
    </row>
    <row r="109" spans="1:20" ht="15.6" x14ac:dyDescent="0.3">
      <c r="A109" s="121">
        <f t="shared" si="5"/>
        <v>37231</v>
      </c>
      <c r="B109" s="56">
        <v>1251</v>
      </c>
      <c r="C109" s="56">
        <v>4412</v>
      </c>
      <c r="D109" s="56">
        <v>563</v>
      </c>
      <c r="E109" s="56">
        <v>3175</v>
      </c>
      <c r="F109" s="56">
        <v>1050</v>
      </c>
      <c r="G109" s="56">
        <v>2938</v>
      </c>
      <c r="H109" s="56">
        <v>533</v>
      </c>
      <c r="I109" s="56">
        <v>1767</v>
      </c>
      <c r="J109" s="56">
        <v>216</v>
      </c>
      <c r="K109" s="56">
        <v>689</v>
      </c>
      <c r="L109" s="56">
        <v>3614</v>
      </c>
      <c r="M109" s="56">
        <v>12981</v>
      </c>
      <c r="N109" s="56">
        <v>7541</v>
      </c>
      <c r="O109" s="56">
        <v>11595</v>
      </c>
      <c r="P109" s="56">
        <v>8468</v>
      </c>
      <c r="Q109" s="56">
        <v>9842</v>
      </c>
      <c r="R109" s="16">
        <f t="shared" si="8"/>
        <v>19623</v>
      </c>
      <c r="S109" s="167">
        <f t="shared" si="6"/>
        <v>19603.75</v>
      </c>
      <c r="T109" s="168">
        <f t="shared" si="7"/>
        <v>37231</v>
      </c>
    </row>
    <row r="110" spans="1:20" ht="15.6" x14ac:dyDescent="0.3">
      <c r="A110" s="121">
        <f t="shared" si="5"/>
        <v>37238</v>
      </c>
      <c r="B110" s="56">
        <v>1231</v>
      </c>
      <c r="C110" s="56">
        <v>4667</v>
      </c>
      <c r="D110" s="56">
        <v>536</v>
      </c>
      <c r="E110" s="56">
        <v>3266</v>
      </c>
      <c r="F110" s="56">
        <v>1009</v>
      </c>
      <c r="G110" s="56">
        <v>3054</v>
      </c>
      <c r="H110" s="56">
        <v>590</v>
      </c>
      <c r="I110" s="56">
        <v>1800</v>
      </c>
      <c r="J110" s="56">
        <v>179</v>
      </c>
      <c r="K110" s="56">
        <v>730</v>
      </c>
      <c r="L110" s="56">
        <v>3546</v>
      </c>
      <c r="M110" s="56">
        <v>13517</v>
      </c>
      <c r="N110" s="56">
        <v>7399</v>
      </c>
      <c r="O110" s="56">
        <v>12339</v>
      </c>
      <c r="P110" s="56">
        <v>8793</v>
      </c>
      <c r="Q110" s="56">
        <v>10512</v>
      </c>
      <c r="R110" s="16">
        <f t="shared" si="8"/>
        <v>19738</v>
      </c>
      <c r="S110" s="167">
        <f t="shared" si="6"/>
        <v>19597</v>
      </c>
      <c r="T110" s="168">
        <f t="shared" si="7"/>
        <v>37238</v>
      </c>
    </row>
    <row r="111" spans="1:20" ht="15.6" x14ac:dyDescent="0.3">
      <c r="A111" s="121">
        <f t="shared" si="5"/>
        <v>37245</v>
      </c>
      <c r="B111" s="56">
        <v>1254</v>
      </c>
      <c r="C111" s="56">
        <v>4826</v>
      </c>
      <c r="D111" s="56">
        <v>556</v>
      </c>
      <c r="E111" s="56">
        <v>3368</v>
      </c>
      <c r="F111" s="56">
        <v>965</v>
      </c>
      <c r="G111" s="56">
        <v>3163</v>
      </c>
      <c r="H111" s="56">
        <v>604</v>
      </c>
      <c r="I111" s="56">
        <v>1861</v>
      </c>
      <c r="J111" s="56">
        <v>118</v>
      </c>
      <c r="K111" s="56">
        <v>800</v>
      </c>
      <c r="L111" s="56">
        <v>3497</v>
      </c>
      <c r="M111" s="56">
        <v>14017</v>
      </c>
      <c r="N111" s="56">
        <v>7596</v>
      </c>
      <c r="O111" s="56">
        <v>13051</v>
      </c>
      <c r="P111" s="56">
        <v>8135</v>
      </c>
      <c r="Q111" s="56">
        <v>11744</v>
      </c>
      <c r="R111" s="16">
        <f t="shared" si="8"/>
        <v>19228</v>
      </c>
      <c r="S111" s="167">
        <f t="shared" si="6"/>
        <v>19633.75</v>
      </c>
      <c r="T111" s="168">
        <f t="shared" si="7"/>
        <v>37245</v>
      </c>
    </row>
    <row r="112" spans="1:20" ht="15.6" x14ac:dyDescent="0.3">
      <c r="A112" s="121">
        <f t="shared" si="5"/>
        <v>37252</v>
      </c>
      <c r="B112" s="56">
        <v>1220</v>
      </c>
      <c r="C112" s="56">
        <v>4900</v>
      </c>
      <c r="D112" s="56">
        <v>623</v>
      </c>
      <c r="E112" s="56">
        <v>3403</v>
      </c>
      <c r="F112" s="56">
        <v>948</v>
      </c>
      <c r="G112" s="56">
        <v>3239</v>
      </c>
      <c r="H112" s="56">
        <v>563</v>
      </c>
      <c r="I112" s="56">
        <v>1902</v>
      </c>
      <c r="J112" s="56">
        <v>118</v>
      </c>
      <c r="K112" s="56">
        <v>800</v>
      </c>
      <c r="L112" s="56">
        <v>3472</v>
      </c>
      <c r="M112" s="56">
        <v>14243</v>
      </c>
      <c r="N112" s="56">
        <v>7347</v>
      </c>
      <c r="O112" s="56">
        <v>13825</v>
      </c>
      <c r="P112" s="56">
        <v>7820</v>
      </c>
      <c r="Q112" s="56">
        <v>12333</v>
      </c>
      <c r="R112" s="16">
        <f t="shared" si="8"/>
        <v>18639</v>
      </c>
      <c r="S112" s="167">
        <f t="shared" si="6"/>
        <v>19307</v>
      </c>
      <c r="T112" s="168">
        <f t="shared" si="7"/>
        <v>37252</v>
      </c>
    </row>
    <row r="113" spans="1:20" ht="15.6" x14ac:dyDescent="0.3">
      <c r="A113" s="122">
        <f t="shared" si="5"/>
        <v>37259</v>
      </c>
      <c r="B113" s="56">
        <v>1124</v>
      </c>
      <c r="C113" s="56">
        <v>5046</v>
      </c>
      <c r="D113" s="56">
        <v>633</v>
      </c>
      <c r="E113" s="56">
        <v>3534</v>
      </c>
      <c r="F113" s="56">
        <v>936</v>
      </c>
      <c r="G113" s="56">
        <v>3316</v>
      </c>
      <c r="H113" s="56">
        <v>617</v>
      </c>
      <c r="I113" s="56">
        <v>1934</v>
      </c>
      <c r="J113" s="56">
        <v>124</v>
      </c>
      <c r="K113" s="56">
        <v>800</v>
      </c>
      <c r="L113" s="56">
        <v>3433</v>
      </c>
      <c r="M113" s="56">
        <v>14630</v>
      </c>
      <c r="N113" s="56">
        <v>6830</v>
      </c>
      <c r="O113" s="56">
        <v>14456</v>
      </c>
      <c r="P113" s="56">
        <v>7739</v>
      </c>
      <c r="Q113" s="56">
        <v>12997</v>
      </c>
      <c r="R113" s="16">
        <f>P113+N113+L113</f>
        <v>18002</v>
      </c>
      <c r="S113" s="167">
        <f t="shared" si="6"/>
        <v>18901.75</v>
      </c>
      <c r="T113" s="168">
        <f t="shared" si="7"/>
        <v>37259</v>
      </c>
    </row>
    <row r="114" spans="1:20" ht="15.6" x14ac:dyDescent="0.3">
      <c r="A114" s="122">
        <f t="shared" si="5"/>
        <v>37266</v>
      </c>
      <c r="B114" s="56">
        <v>1003</v>
      </c>
      <c r="C114" s="56">
        <v>5279</v>
      </c>
      <c r="D114" s="56">
        <v>693</v>
      </c>
      <c r="E114" s="56">
        <v>3568</v>
      </c>
      <c r="F114" s="56">
        <v>943</v>
      </c>
      <c r="G114" s="56">
        <v>3404</v>
      </c>
      <c r="H114" s="56">
        <v>592</v>
      </c>
      <c r="I114" s="56">
        <v>1996</v>
      </c>
      <c r="J114" s="56">
        <v>124</v>
      </c>
      <c r="K114" s="56">
        <v>800</v>
      </c>
      <c r="L114" s="56">
        <v>3354</v>
      </c>
      <c r="M114" s="56">
        <v>15047</v>
      </c>
      <c r="N114" s="56">
        <v>7110</v>
      </c>
      <c r="O114" s="56">
        <v>15085</v>
      </c>
      <c r="P114" s="56">
        <v>7816</v>
      </c>
      <c r="Q114" s="56">
        <v>14078</v>
      </c>
      <c r="R114" s="16">
        <f>P114+N114+L114</f>
        <v>18280</v>
      </c>
      <c r="S114" s="167">
        <f t="shared" si="6"/>
        <v>18537.25</v>
      </c>
      <c r="T114" s="168">
        <f t="shared" si="7"/>
        <v>37266</v>
      </c>
    </row>
    <row r="115" spans="1:20" ht="15.6" x14ac:dyDescent="0.3">
      <c r="A115" s="122">
        <f t="shared" si="5"/>
        <v>37273</v>
      </c>
      <c r="B115" s="56">
        <v>1192</v>
      </c>
      <c r="C115" s="56">
        <v>5454</v>
      </c>
      <c r="D115" s="56">
        <v>702</v>
      </c>
      <c r="E115" s="56">
        <v>3639</v>
      </c>
      <c r="F115" s="56">
        <v>934</v>
      </c>
      <c r="G115" s="56">
        <v>3554</v>
      </c>
      <c r="H115" s="56">
        <v>595</v>
      </c>
      <c r="I115" s="56">
        <v>2057</v>
      </c>
      <c r="J115" s="56">
        <v>132</v>
      </c>
      <c r="K115" s="56">
        <v>810</v>
      </c>
      <c r="L115" s="56">
        <v>3555</v>
      </c>
      <c r="M115" s="56">
        <v>15514</v>
      </c>
      <c r="N115" s="56">
        <v>7432</v>
      </c>
      <c r="O115" s="56">
        <v>16075</v>
      </c>
      <c r="P115" s="56">
        <v>7522</v>
      </c>
      <c r="Q115" s="56">
        <v>15099</v>
      </c>
      <c r="R115" s="16">
        <v>18509</v>
      </c>
      <c r="S115" s="167">
        <f t="shared" si="6"/>
        <v>18357.5</v>
      </c>
      <c r="T115" s="168">
        <f t="shared" si="7"/>
        <v>37273</v>
      </c>
    </row>
    <row r="116" spans="1:20" ht="15.6" x14ac:dyDescent="0.3">
      <c r="A116" s="122">
        <f t="shared" si="5"/>
        <v>37280</v>
      </c>
      <c r="B116" s="56">
        <v>1357</v>
      </c>
      <c r="C116" s="56">
        <v>5543</v>
      </c>
      <c r="D116" s="56">
        <v>675</v>
      </c>
      <c r="E116" s="56">
        <v>3731</v>
      </c>
      <c r="F116" s="56">
        <v>963</v>
      </c>
      <c r="G116" s="56">
        <v>3636</v>
      </c>
      <c r="H116" s="56">
        <v>505</v>
      </c>
      <c r="I116" s="56">
        <v>2212</v>
      </c>
      <c r="J116" s="56">
        <v>181</v>
      </c>
      <c r="K116" s="56">
        <v>812</v>
      </c>
      <c r="L116" s="56">
        <v>3681</v>
      </c>
      <c r="M116" s="56">
        <v>15932</v>
      </c>
      <c r="N116" s="56">
        <v>7415</v>
      </c>
      <c r="O116" s="56">
        <v>16841</v>
      </c>
      <c r="P116" s="56">
        <v>7306</v>
      </c>
      <c r="Q116" s="56">
        <v>16026</v>
      </c>
      <c r="R116" s="16">
        <f t="shared" ref="R116:R179" si="9">L116+N116+P116</f>
        <v>18402</v>
      </c>
      <c r="S116" s="167">
        <f t="shared" si="6"/>
        <v>18298.25</v>
      </c>
      <c r="T116" s="168">
        <f t="shared" si="7"/>
        <v>37280</v>
      </c>
    </row>
    <row r="117" spans="1:20" ht="15.6" x14ac:dyDescent="0.3">
      <c r="A117" s="122">
        <f t="shared" si="5"/>
        <v>37287</v>
      </c>
      <c r="B117" s="56">
        <v>1324</v>
      </c>
      <c r="C117" s="56">
        <v>5764</v>
      </c>
      <c r="D117" s="56">
        <v>826</v>
      </c>
      <c r="E117" s="56">
        <v>3794</v>
      </c>
      <c r="F117" s="56">
        <v>878</v>
      </c>
      <c r="G117" s="56">
        <v>3827</v>
      </c>
      <c r="H117" s="56">
        <v>525</v>
      </c>
      <c r="I117" s="56">
        <v>2222</v>
      </c>
      <c r="J117" s="56">
        <v>205</v>
      </c>
      <c r="K117" s="56">
        <v>812</v>
      </c>
      <c r="L117" s="56">
        <v>3759</v>
      </c>
      <c r="M117" s="56">
        <v>16418</v>
      </c>
      <c r="N117" s="56">
        <v>7944</v>
      </c>
      <c r="O117" s="56">
        <v>17695</v>
      </c>
      <c r="P117" s="56">
        <v>6514</v>
      </c>
      <c r="Q117" s="56">
        <v>17182</v>
      </c>
      <c r="R117" s="16">
        <f t="shared" si="9"/>
        <v>18217</v>
      </c>
      <c r="S117" s="167">
        <f t="shared" si="6"/>
        <v>18352</v>
      </c>
      <c r="T117" s="168">
        <f t="shared" si="7"/>
        <v>37287</v>
      </c>
    </row>
    <row r="118" spans="1:20" ht="15.6" x14ac:dyDescent="0.3">
      <c r="A118" s="122">
        <f t="shared" si="5"/>
        <v>37294</v>
      </c>
      <c r="B118" s="56">
        <v>1284</v>
      </c>
      <c r="C118" s="56">
        <v>5907</v>
      </c>
      <c r="D118" s="56">
        <v>794</v>
      </c>
      <c r="E118" s="56">
        <v>3900</v>
      </c>
      <c r="F118" s="56">
        <v>917</v>
      </c>
      <c r="G118" s="56">
        <v>3917</v>
      </c>
      <c r="H118" s="56">
        <v>583</v>
      </c>
      <c r="I118" s="56">
        <v>2289</v>
      </c>
      <c r="J118" s="56">
        <v>186</v>
      </c>
      <c r="K118" s="56">
        <v>838</v>
      </c>
      <c r="L118" s="56">
        <v>3764</v>
      </c>
      <c r="M118" s="56">
        <v>16852</v>
      </c>
      <c r="N118" s="56">
        <v>8339</v>
      </c>
      <c r="O118" s="56">
        <v>18286</v>
      </c>
      <c r="P118" s="56">
        <v>5909</v>
      </c>
      <c r="Q118" s="56">
        <v>17845</v>
      </c>
      <c r="R118" s="16">
        <f t="shared" si="9"/>
        <v>18012</v>
      </c>
      <c r="S118" s="167">
        <f t="shared" si="6"/>
        <v>18285</v>
      </c>
      <c r="T118" s="168">
        <f t="shared" si="7"/>
        <v>37294</v>
      </c>
    </row>
    <row r="119" spans="1:20" ht="15.6" x14ac:dyDescent="0.3">
      <c r="A119" s="122">
        <f t="shared" si="5"/>
        <v>37301</v>
      </c>
      <c r="B119" s="56">
        <v>1310</v>
      </c>
      <c r="C119" s="56">
        <v>6053</v>
      </c>
      <c r="D119" s="56">
        <v>753</v>
      </c>
      <c r="E119" s="56">
        <v>3982</v>
      </c>
      <c r="F119" s="56">
        <v>890</v>
      </c>
      <c r="G119" s="56">
        <v>3998</v>
      </c>
      <c r="H119" s="56">
        <v>545</v>
      </c>
      <c r="I119" s="56">
        <v>2357</v>
      </c>
      <c r="J119" s="56">
        <v>169</v>
      </c>
      <c r="K119" s="56">
        <v>887</v>
      </c>
      <c r="L119" s="56">
        <v>3668</v>
      </c>
      <c r="M119" s="56">
        <v>17277</v>
      </c>
      <c r="N119" s="56">
        <v>8530</v>
      </c>
      <c r="O119" s="56">
        <v>19260</v>
      </c>
      <c r="P119" s="56">
        <v>5058</v>
      </c>
      <c r="Q119" s="56">
        <v>19090</v>
      </c>
      <c r="R119" s="16">
        <f t="shared" si="9"/>
        <v>17256</v>
      </c>
      <c r="S119" s="167">
        <f t="shared" si="6"/>
        <v>17971.75</v>
      </c>
      <c r="T119" s="168">
        <f t="shared" si="7"/>
        <v>37301</v>
      </c>
    </row>
    <row r="120" spans="1:20" ht="15.6" x14ac:dyDescent="0.3">
      <c r="A120" s="122">
        <f t="shared" si="5"/>
        <v>37308</v>
      </c>
      <c r="B120" s="56">
        <v>1204</v>
      </c>
      <c r="C120" s="56">
        <v>6266</v>
      </c>
      <c r="D120" s="56">
        <v>733</v>
      </c>
      <c r="E120" s="56">
        <v>4070</v>
      </c>
      <c r="F120" s="56">
        <v>839</v>
      </c>
      <c r="G120" s="56">
        <v>4062</v>
      </c>
      <c r="H120" s="56">
        <v>485</v>
      </c>
      <c r="I120" s="56">
        <v>2417</v>
      </c>
      <c r="J120" s="56">
        <v>139</v>
      </c>
      <c r="K120" s="56">
        <v>951</v>
      </c>
      <c r="L120" s="56">
        <v>3400</v>
      </c>
      <c r="M120" s="56">
        <v>17767</v>
      </c>
      <c r="N120" s="56">
        <v>8410</v>
      </c>
      <c r="O120" s="56">
        <v>20187</v>
      </c>
      <c r="P120" s="56">
        <v>4625</v>
      </c>
      <c r="Q120" s="56">
        <v>20235</v>
      </c>
      <c r="R120" s="16">
        <f t="shared" si="9"/>
        <v>16435</v>
      </c>
      <c r="S120" s="167">
        <f t="shared" si="6"/>
        <v>17480</v>
      </c>
      <c r="T120" s="168">
        <f t="shared" si="7"/>
        <v>37308</v>
      </c>
    </row>
    <row r="121" spans="1:20" ht="15.6" x14ac:dyDescent="0.3">
      <c r="A121" s="122">
        <f t="shared" si="5"/>
        <v>37315</v>
      </c>
      <c r="B121" s="56">
        <v>1283</v>
      </c>
      <c r="C121" s="56">
        <v>6418</v>
      </c>
      <c r="D121" s="56">
        <v>661</v>
      </c>
      <c r="E121" s="56">
        <v>4159</v>
      </c>
      <c r="F121" s="56">
        <v>826</v>
      </c>
      <c r="G121" s="56">
        <v>4179</v>
      </c>
      <c r="H121" s="56">
        <v>447</v>
      </c>
      <c r="I121" s="56">
        <v>2477</v>
      </c>
      <c r="J121" s="56">
        <v>173</v>
      </c>
      <c r="K121" s="56">
        <v>960</v>
      </c>
      <c r="L121" s="56">
        <v>3391</v>
      </c>
      <c r="M121" s="56">
        <v>18194</v>
      </c>
      <c r="N121" s="56">
        <v>7285</v>
      </c>
      <c r="O121" s="56">
        <v>21710</v>
      </c>
      <c r="P121" s="56">
        <v>4108</v>
      </c>
      <c r="Q121" s="56">
        <v>20619</v>
      </c>
      <c r="R121" s="16">
        <f t="shared" si="9"/>
        <v>14784</v>
      </c>
      <c r="S121" s="167">
        <f t="shared" si="6"/>
        <v>16621.75</v>
      </c>
      <c r="T121" s="168">
        <f t="shared" si="7"/>
        <v>37315</v>
      </c>
    </row>
    <row r="122" spans="1:20" ht="15.6" x14ac:dyDescent="0.3">
      <c r="A122" s="122">
        <f t="shared" si="5"/>
        <v>37322</v>
      </c>
      <c r="B122" s="56">
        <v>1266</v>
      </c>
      <c r="C122" s="56">
        <v>6538</v>
      </c>
      <c r="D122" s="56">
        <v>710</v>
      </c>
      <c r="E122" s="56">
        <v>4285</v>
      </c>
      <c r="F122" s="56">
        <v>744</v>
      </c>
      <c r="G122" s="56">
        <v>4280</v>
      </c>
      <c r="H122" s="56">
        <v>382</v>
      </c>
      <c r="I122" s="56">
        <v>2569</v>
      </c>
      <c r="J122" s="56">
        <v>129</v>
      </c>
      <c r="K122" s="56">
        <v>994</v>
      </c>
      <c r="L122" s="56">
        <v>3231</v>
      </c>
      <c r="M122" s="56">
        <v>18666</v>
      </c>
      <c r="N122" s="56">
        <v>7338</v>
      </c>
      <c r="O122" s="56">
        <v>22701</v>
      </c>
      <c r="P122" s="56">
        <v>3610</v>
      </c>
      <c r="Q122" s="56">
        <v>21247</v>
      </c>
      <c r="R122" s="16">
        <f t="shared" si="9"/>
        <v>14179</v>
      </c>
      <c r="S122" s="167">
        <f t="shared" si="6"/>
        <v>15663.5</v>
      </c>
      <c r="T122" s="168">
        <f t="shared" si="7"/>
        <v>37322</v>
      </c>
    </row>
    <row r="123" spans="1:20" ht="15.6" x14ac:dyDescent="0.3">
      <c r="A123" s="122">
        <f t="shared" si="5"/>
        <v>37329</v>
      </c>
      <c r="B123" s="56">
        <v>1388</v>
      </c>
      <c r="C123" s="56">
        <v>6718</v>
      </c>
      <c r="D123" s="56">
        <v>648</v>
      </c>
      <c r="E123" s="56">
        <v>4398</v>
      </c>
      <c r="F123" s="56">
        <v>807</v>
      </c>
      <c r="G123" s="56">
        <v>4368</v>
      </c>
      <c r="H123" s="56">
        <v>412</v>
      </c>
      <c r="I123" s="56">
        <v>2605</v>
      </c>
      <c r="J123" s="56">
        <v>129</v>
      </c>
      <c r="K123" s="56">
        <v>1001</v>
      </c>
      <c r="L123" s="56">
        <v>3383</v>
      </c>
      <c r="M123" s="56">
        <v>19090</v>
      </c>
      <c r="N123" s="56">
        <v>7283</v>
      </c>
      <c r="O123" s="56">
        <v>23849</v>
      </c>
      <c r="P123" s="56">
        <v>2955</v>
      </c>
      <c r="Q123" s="56">
        <v>22119</v>
      </c>
      <c r="R123" s="16">
        <f t="shared" si="9"/>
        <v>13621</v>
      </c>
      <c r="S123" s="167">
        <f t="shared" si="6"/>
        <v>14754.75</v>
      </c>
      <c r="T123" s="168">
        <f t="shared" si="7"/>
        <v>37329</v>
      </c>
    </row>
    <row r="124" spans="1:20" ht="15.6" x14ac:dyDescent="0.3">
      <c r="A124" s="122">
        <f t="shared" si="5"/>
        <v>37336</v>
      </c>
      <c r="B124" s="56">
        <v>1290</v>
      </c>
      <c r="C124" s="56">
        <v>6985</v>
      </c>
      <c r="D124" s="56">
        <v>878</v>
      </c>
      <c r="E124" s="56">
        <v>4533</v>
      </c>
      <c r="F124" s="56">
        <v>712</v>
      </c>
      <c r="G124" s="56">
        <v>4499</v>
      </c>
      <c r="H124" s="56">
        <v>449</v>
      </c>
      <c r="I124" s="56">
        <v>2616</v>
      </c>
      <c r="J124" s="56">
        <v>122</v>
      </c>
      <c r="K124" s="56">
        <v>1006</v>
      </c>
      <c r="L124" s="56">
        <v>3450</v>
      </c>
      <c r="M124" s="56">
        <v>19639</v>
      </c>
      <c r="N124" s="56">
        <v>7090</v>
      </c>
      <c r="O124" s="56">
        <v>24831</v>
      </c>
      <c r="P124" s="56">
        <v>2736</v>
      </c>
      <c r="Q124" s="56">
        <v>22585</v>
      </c>
      <c r="R124" s="16">
        <f t="shared" si="9"/>
        <v>13276</v>
      </c>
      <c r="S124" s="167">
        <f t="shared" si="6"/>
        <v>13965</v>
      </c>
      <c r="T124" s="168">
        <f t="shared" si="7"/>
        <v>37336</v>
      </c>
    </row>
    <row r="125" spans="1:20" ht="15.6" x14ac:dyDescent="0.3">
      <c r="A125" s="122">
        <f t="shared" si="5"/>
        <v>37343</v>
      </c>
      <c r="B125" s="56">
        <v>1213</v>
      </c>
      <c r="C125" s="56">
        <v>7140</v>
      </c>
      <c r="D125" s="56">
        <v>829</v>
      </c>
      <c r="E125" s="56">
        <v>4593</v>
      </c>
      <c r="F125" s="56">
        <v>712</v>
      </c>
      <c r="G125" s="56">
        <v>4589</v>
      </c>
      <c r="H125" s="56">
        <v>454</v>
      </c>
      <c r="I125" s="56">
        <v>2658</v>
      </c>
      <c r="J125" s="56">
        <v>122</v>
      </c>
      <c r="K125" s="56">
        <v>1006</v>
      </c>
      <c r="L125" s="56">
        <v>3329</v>
      </c>
      <c r="M125" s="56">
        <v>19986</v>
      </c>
      <c r="N125" s="56">
        <v>6788</v>
      </c>
      <c r="O125" s="56">
        <v>26090</v>
      </c>
      <c r="P125" s="56">
        <v>2405</v>
      </c>
      <c r="Q125" s="56">
        <v>22996</v>
      </c>
      <c r="R125" s="16">
        <f t="shared" si="9"/>
        <v>12522</v>
      </c>
      <c r="S125" s="167">
        <f t="shared" si="6"/>
        <v>13399.5</v>
      </c>
      <c r="T125" s="168">
        <f t="shared" si="7"/>
        <v>37343</v>
      </c>
    </row>
    <row r="126" spans="1:20" ht="15.6" x14ac:dyDescent="0.3">
      <c r="A126" s="122">
        <f t="shared" si="5"/>
        <v>37350</v>
      </c>
      <c r="B126" s="56">
        <v>1118</v>
      </c>
      <c r="C126" s="56">
        <v>7302</v>
      </c>
      <c r="D126" s="56">
        <v>734</v>
      </c>
      <c r="E126" s="56">
        <v>4708</v>
      </c>
      <c r="F126" s="56">
        <v>659</v>
      </c>
      <c r="G126" s="56">
        <v>4706</v>
      </c>
      <c r="H126" s="56">
        <v>424</v>
      </c>
      <c r="I126" s="56">
        <v>2720</v>
      </c>
      <c r="J126" s="56">
        <v>104</v>
      </c>
      <c r="K126" s="56">
        <v>1025</v>
      </c>
      <c r="L126" s="56">
        <v>3038</v>
      </c>
      <c r="M126" s="56">
        <v>20460</v>
      </c>
      <c r="N126" s="56">
        <v>6301</v>
      </c>
      <c r="O126" s="56">
        <v>27022</v>
      </c>
      <c r="P126" s="56">
        <v>2538</v>
      </c>
      <c r="Q126" s="56">
        <v>23267</v>
      </c>
      <c r="R126" s="16">
        <f t="shared" si="9"/>
        <v>11877</v>
      </c>
      <c r="S126" s="167">
        <f t="shared" si="6"/>
        <v>12824</v>
      </c>
      <c r="T126" s="168">
        <f t="shared" si="7"/>
        <v>37350</v>
      </c>
    </row>
    <row r="127" spans="1:20" ht="15.6" x14ac:dyDescent="0.3">
      <c r="A127" s="122">
        <f t="shared" si="5"/>
        <v>37357</v>
      </c>
      <c r="B127" s="56">
        <v>1021</v>
      </c>
      <c r="C127" s="56">
        <v>7484</v>
      </c>
      <c r="D127" s="56">
        <v>727</v>
      </c>
      <c r="E127" s="56">
        <v>4749</v>
      </c>
      <c r="F127" s="56">
        <v>697</v>
      </c>
      <c r="G127" s="56">
        <v>4771</v>
      </c>
      <c r="H127" s="56">
        <v>438</v>
      </c>
      <c r="I127" s="56">
        <v>2744</v>
      </c>
      <c r="J127" s="56">
        <v>101</v>
      </c>
      <c r="K127" s="56">
        <v>1029</v>
      </c>
      <c r="L127" s="56">
        <v>2985</v>
      </c>
      <c r="M127" s="56">
        <v>20777</v>
      </c>
      <c r="N127" s="56">
        <v>6315</v>
      </c>
      <c r="O127" s="56">
        <v>27897</v>
      </c>
      <c r="P127" s="56">
        <v>2563</v>
      </c>
      <c r="Q127" s="56">
        <v>23550</v>
      </c>
      <c r="R127" s="16">
        <f t="shared" si="9"/>
        <v>11863</v>
      </c>
      <c r="S127" s="167">
        <f t="shared" si="6"/>
        <v>12384.5</v>
      </c>
      <c r="T127" s="168">
        <f t="shared" si="7"/>
        <v>37357</v>
      </c>
    </row>
    <row r="128" spans="1:20" ht="15.6" x14ac:dyDescent="0.3">
      <c r="A128" s="122">
        <f t="shared" si="5"/>
        <v>37364</v>
      </c>
      <c r="B128" s="56">
        <v>1005</v>
      </c>
      <c r="C128" s="56">
        <v>7629</v>
      </c>
      <c r="D128" s="56">
        <v>697</v>
      </c>
      <c r="E128" s="56">
        <v>4805</v>
      </c>
      <c r="F128" s="56">
        <v>639</v>
      </c>
      <c r="G128" s="56">
        <v>4904</v>
      </c>
      <c r="H128" s="56">
        <v>409</v>
      </c>
      <c r="I128" s="56">
        <v>2800</v>
      </c>
      <c r="J128" s="56">
        <v>65</v>
      </c>
      <c r="K128" s="56">
        <v>1051</v>
      </c>
      <c r="L128" s="56">
        <v>2816</v>
      </c>
      <c r="M128" s="56">
        <v>21189</v>
      </c>
      <c r="N128" s="56">
        <v>6281</v>
      </c>
      <c r="O128" s="56">
        <v>28841</v>
      </c>
      <c r="P128" s="56">
        <v>2613</v>
      </c>
      <c r="Q128" s="56">
        <v>23724</v>
      </c>
      <c r="R128" s="16">
        <f t="shared" si="9"/>
        <v>11710</v>
      </c>
      <c r="S128" s="167">
        <f t="shared" si="6"/>
        <v>11993</v>
      </c>
      <c r="T128" s="168">
        <f t="shared" si="7"/>
        <v>37364</v>
      </c>
    </row>
    <row r="129" spans="1:20" ht="15.6" x14ac:dyDescent="0.3">
      <c r="A129" s="122">
        <f t="shared" si="5"/>
        <v>37371</v>
      </c>
      <c r="B129" s="56">
        <v>875</v>
      </c>
      <c r="C129" s="56">
        <v>7811</v>
      </c>
      <c r="D129" s="56">
        <v>593</v>
      </c>
      <c r="E129" s="56">
        <v>4974</v>
      </c>
      <c r="F129" s="56">
        <v>557</v>
      </c>
      <c r="G129" s="56">
        <v>5037</v>
      </c>
      <c r="H129" s="56">
        <v>438</v>
      </c>
      <c r="I129" s="56">
        <v>2863</v>
      </c>
      <c r="J129" s="56">
        <v>38</v>
      </c>
      <c r="K129" s="56">
        <v>1077</v>
      </c>
      <c r="L129" s="56">
        <v>2500</v>
      </c>
      <c r="M129" s="56">
        <v>21763</v>
      </c>
      <c r="N129" s="56">
        <v>6522</v>
      </c>
      <c r="O129" s="56">
        <v>29726</v>
      </c>
      <c r="P129" s="56">
        <v>2698</v>
      </c>
      <c r="Q129" s="56">
        <v>23995</v>
      </c>
      <c r="R129" s="16">
        <f t="shared" si="9"/>
        <v>11720</v>
      </c>
      <c r="S129" s="167">
        <f t="shared" si="6"/>
        <v>11792.5</v>
      </c>
      <c r="T129" s="168">
        <f t="shared" si="7"/>
        <v>37371</v>
      </c>
    </row>
    <row r="130" spans="1:20" ht="15.6" x14ac:dyDescent="0.3">
      <c r="A130" s="122">
        <f t="shared" si="5"/>
        <v>37378</v>
      </c>
      <c r="B130" s="56">
        <v>704</v>
      </c>
      <c r="C130" s="56">
        <v>8073</v>
      </c>
      <c r="D130" s="56">
        <v>501</v>
      </c>
      <c r="E130" s="56">
        <v>5077</v>
      </c>
      <c r="F130" s="56">
        <v>476</v>
      </c>
      <c r="G130" s="56">
        <v>5142</v>
      </c>
      <c r="H130" s="56">
        <v>368</v>
      </c>
      <c r="I130" s="56">
        <v>2946</v>
      </c>
      <c r="J130" s="56">
        <v>38</v>
      </c>
      <c r="K130" s="56">
        <v>1080</v>
      </c>
      <c r="L130" s="56">
        <v>2088</v>
      </c>
      <c r="M130" s="56">
        <v>22318</v>
      </c>
      <c r="N130" s="56">
        <v>6405</v>
      </c>
      <c r="O130" s="56">
        <v>30601</v>
      </c>
      <c r="P130" s="56">
        <v>2711</v>
      </c>
      <c r="Q130" s="56">
        <v>24250</v>
      </c>
      <c r="R130" s="16">
        <f t="shared" si="9"/>
        <v>11204</v>
      </c>
      <c r="S130" s="167">
        <f t="shared" si="6"/>
        <v>11624.25</v>
      </c>
      <c r="T130" s="168">
        <f t="shared" si="7"/>
        <v>37378</v>
      </c>
    </row>
    <row r="131" spans="1:20" ht="15.6" x14ac:dyDescent="0.3">
      <c r="A131" s="122">
        <f t="shared" si="5"/>
        <v>37385</v>
      </c>
      <c r="B131" s="56">
        <v>591</v>
      </c>
      <c r="C131" s="56">
        <v>8286</v>
      </c>
      <c r="D131" s="56">
        <v>320</v>
      </c>
      <c r="E131" s="56">
        <v>5268</v>
      </c>
      <c r="F131" s="56">
        <v>392</v>
      </c>
      <c r="G131" s="56">
        <v>5304</v>
      </c>
      <c r="H131" s="56">
        <v>332</v>
      </c>
      <c r="I131" s="56">
        <v>2990</v>
      </c>
      <c r="J131" s="56">
        <v>19</v>
      </c>
      <c r="K131" s="56">
        <v>1105</v>
      </c>
      <c r="L131" s="56">
        <v>1653</v>
      </c>
      <c r="M131" s="56">
        <v>22952</v>
      </c>
      <c r="N131" s="56">
        <v>6836</v>
      </c>
      <c r="O131" s="56">
        <v>31637</v>
      </c>
      <c r="P131" s="56">
        <v>2195</v>
      </c>
      <c r="Q131" s="56">
        <v>24804</v>
      </c>
      <c r="R131" s="16">
        <f t="shared" si="9"/>
        <v>10684</v>
      </c>
      <c r="S131" s="167">
        <f t="shared" si="6"/>
        <v>11329.5</v>
      </c>
      <c r="T131" s="168">
        <f t="shared" si="7"/>
        <v>37385</v>
      </c>
    </row>
    <row r="132" spans="1:20" ht="15.6" x14ac:dyDescent="0.3">
      <c r="A132" s="122">
        <f t="shared" si="5"/>
        <v>37392</v>
      </c>
      <c r="B132" s="56">
        <v>571</v>
      </c>
      <c r="C132" s="56">
        <v>8403</v>
      </c>
      <c r="D132" s="56">
        <v>278</v>
      </c>
      <c r="E132" s="56">
        <v>5389</v>
      </c>
      <c r="F132" s="56">
        <v>397</v>
      </c>
      <c r="G132" s="56">
        <v>5351</v>
      </c>
      <c r="H132" s="56">
        <v>317</v>
      </c>
      <c r="I132" s="56">
        <v>3044</v>
      </c>
      <c r="J132" s="56">
        <v>21</v>
      </c>
      <c r="K132" s="56">
        <v>1108</v>
      </c>
      <c r="L132" s="56">
        <v>1583</v>
      </c>
      <c r="M132" s="56">
        <v>23294</v>
      </c>
      <c r="N132" s="56">
        <v>6814</v>
      </c>
      <c r="O132" s="56">
        <v>32621</v>
      </c>
      <c r="P132" s="56">
        <v>2429</v>
      </c>
      <c r="Q132" s="56">
        <v>25202</v>
      </c>
      <c r="R132" s="16">
        <f t="shared" si="9"/>
        <v>10826</v>
      </c>
      <c r="S132" s="167">
        <f t="shared" si="6"/>
        <v>11108.5</v>
      </c>
      <c r="T132" s="168">
        <f t="shared" si="7"/>
        <v>37392</v>
      </c>
    </row>
    <row r="133" spans="1:20" ht="15.6" x14ac:dyDescent="0.3">
      <c r="A133" s="122">
        <f t="shared" si="5"/>
        <v>37399</v>
      </c>
      <c r="B133" s="56">
        <v>440</v>
      </c>
      <c r="C133" s="56">
        <v>8550</v>
      </c>
      <c r="D133" s="56">
        <v>203</v>
      </c>
      <c r="E133" s="56">
        <v>5434</v>
      </c>
      <c r="F133" s="56">
        <v>312</v>
      </c>
      <c r="G133" s="56">
        <v>5469</v>
      </c>
      <c r="H133" s="56">
        <v>335</v>
      </c>
      <c r="I133" s="56">
        <v>3094</v>
      </c>
      <c r="J133" s="56">
        <v>21</v>
      </c>
      <c r="K133" s="56">
        <v>1113</v>
      </c>
      <c r="L133" s="56">
        <v>1309</v>
      </c>
      <c r="M133" s="56">
        <v>23659</v>
      </c>
      <c r="N133" s="56">
        <v>6582</v>
      </c>
      <c r="O133" s="56">
        <v>34028</v>
      </c>
      <c r="P133" s="56">
        <v>2522</v>
      </c>
      <c r="Q133" s="56">
        <v>25454</v>
      </c>
      <c r="R133" s="16">
        <f t="shared" si="9"/>
        <v>10413</v>
      </c>
      <c r="S133" s="167">
        <f t="shared" si="6"/>
        <v>10781.75</v>
      </c>
      <c r="T133" s="168">
        <f t="shared" si="7"/>
        <v>37399</v>
      </c>
    </row>
    <row r="134" spans="1:20" ht="15.6" x14ac:dyDescent="0.3">
      <c r="A134" s="122">
        <f t="shared" si="5"/>
        <v>37406</v>
      </c>
      <c r="B134" s="56">
        <v>356</v>
      </c>
      <c r="C134" s="56">
        <v>8704</v>
      </c>
      <c r="D134" s="56">
        <v>148</v>
      </c>
      <c r="E134" s="56">
        <v>5485</v>
      </c>
      <c r="F134" s="56">
        <v>267</v>
      </c>
      <c r="G134" s="56">
        <v>5554</v>
      </c>
      <c r="H134" s="56">
        <v>292</v>
      </c>
      <c r="I134" s="56">
        <v>3127</v>
      </c>
      <c r="J134" s="56">
        <v>3</v>
      </c>
      <c r="K134" s="56">
        <v>1133</v>
      </c>
      <c r="L134" s="56">
        <v>1066</v>
      </c>
      <c r="M134" s="56">
        <v>24003</v>
      </c>
      <c r="N134" s="56">
        <v>6219</v>
      </c>
      <c r="O134" s="56">
        <v>34825</v>
      </c>
      <c r="P134" s="56">
        <v>2606</v>
      </c>
      <c r="Q134" s="56">
        <v>25633</v>
      </c>
      <c r="R134" s="16">
        <f t="shared" si="9"/>
        <v>9891</v>
      </c>
      <c r="S134" s="167">
        <f t="shared" si="6"/>
        <v>10453.5</v>
      </c>
      <c r="T134" s="168">
        <f t="shared" si="7"/>
        <v>37406</v>
      </c>
    </row>
    <row r="135" spans="1:20" ht="15.6" x14ac:dyDescent="0.3">
      <c r="A135" s="122">
        <f t="shared" si="5"/>
        <v>37413</v>
      </c>
      <c r="B135" s="56">
        <v>1108</v>
      </c>
      <c r="C135" s="56">
        <v>181</v>
      </c>
      <c r="D135" s="56">
        <v>458</v>
      </c>
      <c r="E135" s="56">
        <v>35</v>
      </c>
      <c r="F135" s="56">
        <v>818</v>
      </c>
      <c r="G135" s="56">
        <v>44</v>
      </c>
      <c r="H135" s="56">
        <v>603</v>
      </c>
      <c r="I135" s="56">
        <v>37</v>
      </c>
      <c r="J135" s="56">
        <v>78</v>
      </c>
      <c r="K135" s="56">
        <v>2</v>
      </c>
      <c r="L135" s="56">
        <v>3066</v>
      </c>
      <c r="M135" s="56">
        <v>300</v>
      </c>
      <c r="N135" s="56">
        <v>6469</v>
      </c>
      <c r="O135" s="56">
        <v>35819</v>
      </c>
      <c r="P135" s="56">
        <v>2548</v>
      </c>
      <c r="Q135" s="56">
        <v>26167</v>
      </c>
      <c r="R135" s="16">
        <f t="shared" si="9"/>
        <v>12083</v>
      </c>
      <c r="S135" s="167">
        <f t="shared" si="6"/>
        <v>10803.25</v>
      </c>
      <c r="T135" s="168">
        <f t="shared" si="7"/>
        <v>37413</v>
      </c>
    </row>
    <row r="136" spans="1:20" ht="15.6" x14ac:dyDescent="0.3">
      <c r="A136" s="122">
        <f t="shared" si="5"/>
        <v>37420</v>
      </c>
      <c r="B136" s="56">
        <v>1201</v>
      </c>
      <c r="C136" s="56">
        <v>239</v>
      </c>
      <c r="D136" s="56">
        <v>313</v>
      </c>
      <c r="E136" s="56">
        <v>73</v>
      </c>
      <c r="F136" s="56">
        <v>828</v>
      </c>
      <c r="G136" s="56">
        <v>150</v>
      </c>
      <c r="H136" s="56">
        <v>475</v>
      </c>
      <c r="I136" s="56">
        <v>212</v>
      </c>
      <c r="J136" s="56">
        <v>80</v>
      </c>
      <c r="K136" s="56">
        <v>3</v>
      </c>
      <c r="L136" s="56">
        <v>2897</v>
      </c>
      <c r="M136" s="56">
        <v>677</v>
      </c>
      <c r="N136" s="56">
        <v>6414</v>
      </c>
      <c r="O136" s="56">
        <v>36917</v>
      </c>
      <c r="P136" s="56">
        <v>2652</v>
      </c>
      <c r="Q136" s="56">
        <v>26301</v>
      </c>
      <c r="R136" s="16">
        <f t="shared" si="9"/>
        <v>11963</v>
      </c>
      <c r="S136" s="167">
        <f t="shared" si="6"/>
        <v>11087.5</v>
      </c>
      <c r="T136" s="168">
        <f t="shared" si="7"/>
        <v>37420</v>
      </c>
    </row>
    <row r="137" spans="1:20" ht="15.6" x14ac:dyDescent="0.3">
      <c r="A137" s="122">
        <f t="shared" si="5"/>
        <v>37427</v>
      </c>
      <c r="B137" s="56">
        <v>1116</v>
      </c>
      <c r="C137" s="56">
        <v>401</v>
      </c>
      <c r="D137" s="56">
        <v>373</v>
      </c>
      <c r="E137" s="56">
        <v>158</v>
      </c>
      <c r="F137" s="56">
        <v>869</v>
      </c>
      <c r="G137" s="56">
        <v>210</v>
      </c>
      <c r="H137" s="56">
        <v>498</v>
      </c>
      <c r="I137" s="56">
        <v>233</v>
      </c>
      <c r="J137" s="56">
        <v>138</v>
      </c>
      <c r="K137" s="56">
        <v>26</v>
      </c>
      <c r="L137" s="56">
        <v>2993</v>
      </c>
      <c r="M137" s="56">
        <v>1027</v>
      </c>
      <c r="N137" s="56">
        <v>7152</v>
      </c>
      <c r="O137" s="56">
        <v>37922</v>
      </c>
      <c r="P137" s="56">
        <v>3505</v>
      </c>
      <c r="Q137" s="56">
        <v>26614</v>
      </c>
      <c r="R137" s="16">
        <f t="shared" si="9"/>
        <v>13650</v>
      </c>
      <c r="S137" s="167">
        <f t="shared" si="6"/>
        <v>11896.75</v>
      </c>
      <c r="T137" s="168">
        <f t="shared" si="7"/>
        <v>37427</v>
      </c>
    </row>
    <row r="138" spans="1:20" ht="15.6" x14ac:dyDescent="0.3">
      <c r="A138" s="122">
        <f t="shared" si="5"/>
        <v>37434</v>
      </c>
      <c r="B138" s="56">
        <v>1137</v>
      </c>
      <c r="C138" s="56">
        <v>551</v>
      </c>
      <c r="D138" s="56">
        <v>396</v>
      </c>
      <c r="E138" s="56">
        <v>243</v>
      </c>
      <c r="F138" s="56">
        <v>1043</v>
      </c>
      <c r="G138" s="56">
        <v>245</v>
      </c>
      <c r="H138" s="56">
        <v>515</v>
      </c>
      <c r="I138" s="56">
        <v>258</v>
      </c>
      <c r="J138" s="56">
        <v>182</v>
      </c>
      <c r="K138" s="56">
        <v>32</v>
      </c>
      <c r="L138" s="56">
        <v>3272</v>
      </c>
      <c r="M138" s="56">
        <v>1329</v>
      </c>
      <c r="N138" s="56">
        <v>6623</v>
      </c>
      <c r="O138" s="56">
        <v>38644</v>
      </c>
      <c r="P138" s="56">
        <v>2574</v>
      </c>
      <c r="Q138" s="56">
        <v>26916</v>
      </c>
      <c r="R138" s="16">
        <f t="shared" si="9"/>
        <v>12469</v>
      </c>
      <c r="S138" s="167">
        <f t="shared" si="6"/>
        <v>12541.25</v>
      </c>
      <c r="T138" s="168">
        <f t="shared" si="7"/>
        <v>37434</v>
      </c>
    </row>
    <row r="139" spans="1:20" ht="15.6" x14ac:dyDescent="0.3">
      <c r="A139" s="122">
        <f t="shared" ref="A139:A202" si="10">A138+7</f>
        <v>37441</v>
      </c>
      <c r="B139" s="56">
        <v>994</v>
      </c>
      <c r="C139" s="56">
        <v>713</v>
      </c>
      <c r="D139" s="56">
        <v>396</v>
      </c>
      <c r="E139" s="56">
        <v>321</v>
      </c>
      <c r="F139" s="56">
        <v>886</v>
      </c>
      <c r="G139" s="56">
        <v>375</v>
      </c>
      <c r="H139" s="56">
        <v>559</v>
      </c>
      <c r="I139" s="56">
        <v>280</v>
      </c>
      <c r="J139" s="56">
        <v>127</v>
      </c>
      <c r="K139" s="56">
        <v>98</v>
      </c>
      <c r="L139" s="56">
        <v>2962</v>
      </c>
      <c r="M139" s="56">
        <v>1786</v>
      </c>
      <c r="N139" s="56">
        <v>5933</v>
      </c>
      <c r="O139" s="56">
        <v>39667</v>
      </c>
      <c r="P139" s="56">
        <v>2372</v>
      </c>
      <c r="Q139" s="56">
        <v>27205</v>
      </c>
      <c r="R139" s="16">
        <f t="shared" si="9"/>
        <v>11267</v>
      </c>
      <c r="S139" s="167">
        <f t="shared" si="6"/>
        <v>12337.25</v>
      </c>
      <c r="T139" s="168">
        <f t="shared" si="7"/>
        <v>37441</v>
      </c>
    </row>
    <row r="140" spans="1:20" ht="15.6" x14ac:dyDescent="0.3">
      <c r="A140" s="122">
        <f t="shared" si="10"/>
        <v>37448</v>
      </c>
      <c r="B140" s="56">
        <v>1040</v>
      </c>
      <c r="C140" s="56">
        <v>1017</v>
      </c>
      <c r="D140" s="56">
        <v>406</v>
      </c>
      <c r="E140" s="56">
        <v>369</v>
      </c>
      <c r="F140" s="56">
        <v>1063</v>
      </c>
      <c r="G140" s="56">
        <v>480</v>
      </c>
      <c r="H140" s="56">
        <v>611</v>
      </c>
      <c r="I140" s="56">
        <v>376</v>
      </c>
      <c r="J140" s="56">
        <v>131</v>
      </c>
      <c r="K140" s="56">
        <v>106</v>
      </c>
      <c r="L140" s="56">
        <v>3251</v>
      </c>
      <c r="M140" s="56">
        <v>2347</v>
      </c>
      <c r="N140" s="56">
        <v>5717</v>
      </c>
      <c r="O140" s="56">
        <v>40601</v>
      </c>
      <c r="P140" s="56">
        <v>3348</v>
      </c>
      <c r="Q140" s="56">
        <v>27585</v>
      </c>
      <c r="R140" s="16">
        <f t="shared" si="9"/>
        <v>12316</v>
      </c>
      <c r="S140" s="167">
        <f t="shared" ref="S140:S203" si="11">AVERAGE(R137:R140)</f>
        <v>12425.5</v>
      </c>
      <c r="T140" s="168">
        <f t="shared" ref="T140:T203" si="12">T139+7</f>
        <v>37448</v>
      </c>
    </row>
    <row r="141" spans="1:20" ht="15.6" x14ac:dyDescent="0.3">
      <c r="A141" s="122">
        <f t="shared" si="10"/>
        <v>37455</v>
      </c>
      <c r="B141" s="56">
        <v>1136</v>
      </c>
      <c r="C141" s="56">
        <v>1195</v>
      </c>
      <c r="D141" s="56">
        <v>449</v>
      </c>
      <c r="E141" s="56">
        <v>421</v>
      </c>
      <c r="F141" s="56">
        <v>984</v>
      </c>
      <c r="G141" s="56">
        <v>653</v>
      </c>
      <c r="H141" s="56">
        <v>671</v>
      </c>
      <c r="I141" s="56">
        <v>395</v>
      </c>
      <c r="J141" s="56">
        <v>116</v>
      </c>
      <c r="K141" s="56">
        <v>138</v>
      </c>
      <c r="L141" s="56">
        <v>3356</v>
      </c>
      <c r="M141" s="56">
        <v>2802</v>
      </c>
      <c r="N141" s="56">
        <v>5402</v>
      </c>
      <c r="O141" s="56">
        <v>41687</v>
      </c>
      <c r="P141" s="56">
        <v>1979</v>
      </c>
      <c r="Q141" s="56">
        <v>27938</v>
      </c>
      <c r="R141" s="16">
        <f t="shared" si="9"/>
        <v>10737</v>
      </c>
      <c r="S141" s="167">
        <f t="shared" si="11"/>
        <v>11697.25</v>
      </c>
      <c r="T141" s="168">
        <f t="shared" si="12"/>
        <v>37455</v>
      </c>
    </row>
    <row r="142" spans="1:20" ht="15.6" x14ac:dyDescent="0.3">
      <c r="A142" s="122">
        <f t="shared" si="10"/>
        <v>37462</v>
      </c>
      <c r="B142" s="56">
        <v>1080</v>
      </c>
      <c r="C142" s="56">
        <v>1396</v>
      </c>
      <c r="D142" s="56">
        <v>446</v>
      </c>
      <c r="E142" s="56">
        <v>468</v>
      </c>
      <c r="F142" s="56">
        <v>1030</v>
      </c>
      <c r="G142" s="56">
        <v>738</v>
      </c>
      <c r="H142" s="56">
        <v>611</v>
      </c>
      <c r="I142" s="56">
        <v>421</v>
      </c>
      <c r="J142" s="56">
        <v>82</v>
      </c>
      <c r="K142" s="56">
        <v>174</v>
      </c>
      <c r="L142" s="56">
        <v>3249</v>
      </c>
      <c r="M142" s="56">
        <v>3197</v>
      </c>
      <c r="N142" s="56">
        <v>5026</v>
      </c>
      <c r="O142" s="56">
        <v>42752</v>
      </c>
      <c r="P142" s="56">
        <v>1764</v>
      </c>
      <c r="Q142" s="56">
        <v>28267</v>
      </c>
      <c r="R142" s="16">
        <f t="shared" si="9"/>
        <v>10039</v>
      </c>
      <c r="S142" s="167">
        <f t="shared" si="11"/>
        <v>11089.75</v>
      </c>
      <c r="T142" s="168">
        <f t="shared" si="12"/>
        <v>37462</v>
      </c>
    </row>
    <row r="143" spans="1:20" ht="15.6" x14ac:dyDescent="0.3">
      <c r="A143" s="122">
        <f t="shared" si="10"/>
        <v>37469</v>
      </c>
      <c r="B143" s="56">
        <v>1145</v>
      </c>
      <c r="C143" s="56">
        <v>1572</v>
      </c>
      <c r="D143" s="56">
        <v>394</v>
      </c>
      <c r="E143" s="56">
        <v>527</v>
      </c>
      <c r="F143" s="56">
        <v>1175</v>
      </c>
      <c r="G143" s="56">
        <v>836</v>
      </c>
      <c r="H143" s="56">
        <v>685</v>
      </c>
      <c r="I143" s="56">
        <v>485</v>
      </c>
      <c r="J143" s="56">
        <v>127</v>
      </c>
      <c r="K143" s="56">
        <v>176</v>
      </c>
      <c r="L143" s="56">
        <v>3524</v>
      </c>
      <c r="M143" s="56">
        <v>3596</v>
      </c>
      <c r="N143" s="56">
        <v>4596</v>
      </c>
      <c r="O143" s="56">
        <v>43489</v>
      </c>
      <c r="P143" s="56">
        <v>3420</v>
      </c>
      <c r="Q143" s="56">
        <v>28700</v>
      </c>
      <c r="R143" s="16">
        <f t="shared" si="9"/>
        <v>11540</v>
      </c>
      <c r="S143" s="167">
        <f t="shared" si="11"/>
        <v>11158</v>
      </c>
      <c r="T143" s="168">
        <f t="shared" si="12"/>
        <v>37469</v>
      </c>
    </row>
    <row r="144" spans="1:20" ht="15.6" x14ac:dyDescent="0.3">
      <c r="A144" s="122">
        <f t="shared" si="10"/>
        <v>37476</v>
      </c>
      <c r="B144" s="56">
        <v>1168</v>
      </c>
      <c r="C144" s="56">
        <v>1757</v>
      </c>
      <c r="D144" s="56">
        <v>369</v>
      </c>
      <c r="E144" s="56">
        <v>617</v>
      </c>
      <c r="F144" s="56">
        <v>1316</v>
      </c>
      <c r="G144" s="56">
        <v>929</v>
      </c>
      <c r="H144" s="56">
        <v>709</v>
      </c>
      <c r="I144" s="56">
        <v>579</v>
      </c>
      <c r="J144" s="56">
        <v>113</v>
      </c>
      <c r="K144" s="56">
        <v>198</v>
      </c>
      <c r="L144" s="56">
        <v>3676</v>
      </c>
      <c r="M144" s="56">
        <v>4079</v>
      </c>
      <c r="N144" s="56">
        <v>4271</v>
      </c>
      <c r="O144" s="56">
        <v>44621</v>
      </c>
      <c r="P144" s="56">
        <v>3574</v>
      </c>
      <c r="Q144" s="56">
        <v>29028</v>
      </c>
      <c r="R144" s="16">
        <f t="shared" si="9"/>
        <v>11521</v>
      </c>
      <c r="S144" s="167">
        <f t="shared" si="11"/>
        <v>10959.25</v>
      </c>
      <c r="T144" s="168">
        <f t="shared" si="12"/>
        <v>37476</v>
      </c>
    </row>
    <row r="145" spans="1:20" ht="15.6" x14ac:dyDescent="0.3">
      <c r="A145" s="122">
        <f t="shared" si="10"/>
        <v>37483</v>
      </c>
      <c r="B145" s="56">
        <v>1033</v>
      </c>
      <c r="C145" s="56">
        <v>1940</v>
      </c>
      <c r="D145" s="56">
        <v>358</v>
      </c>
      <c r="E145" s="56">
        <v>682</v>
      </c>
      <c r="F145" s="56">
        <v>1168</v>
      </c>
      <c r="G145" s="56">
        <v>1126</v>
      </c>
      <c r="H145" s="56">
        <v>629</v>
      </c>
      <c r="I145" s="56">
        <v>691</v>
      </c>
      <c r="J145" s="56">
        <v>111</v>
      </c>
      <c r="K145" s="56">
        <v>200</v>
      </c>
      <c r="L145" s="56">
        <v>3298</v>
      </c>
      <c r="M145" s="56">
        <v>4639</v>
      </c>
      <c r="N145" s="56">
        <v>3592</v>
      </c>
      <c r="O145" s="56">
        <v>45716</v>
      </c>
      <c r="P145" s="56">
        <v>1088</v>
      </c>
      <c r="Q145" s="56">
        <v>29286</v>
      </c>
      <c r="R145" s="16">
        <f t="shared" si="9"/>
        <v>7978</v>
      </c>
      <c r="S145" s="167">
        <f t="shared" si="11"/>
        <v>10269.5</v>
      </c>
      <c r="T145" s="168">
        <f t="shared" si="12"/>
        <v>37483</v>
      </c>
    </row>
    <row r="146" spans="1:20" ht="15.6" x14ac:dyDescent="0.3">
      <c r="A146" s="122">
        <f t="shared" si="10"/>
        <v>37490</v>
      </c>
      <c r="B146" s="56">
        <v>1110</v>
      </c>
      <c r="C146" s="56">
        <v>2148</v>
      </c>
      <c r="D146" s="56">
        <v>338</v>
      </c>
      <c r="E146" s="56">
        <v>768</v>
      </c>
      <c r="F146" s="56">
        <v>1081</v>
      </c>
      <c r="G146" s="56">
        <v>1380</v>
      </c>
      <c r="H146" s="56">
        <v>625</v>
      </c>
      <c r="I146" s="56">
        <v>792</v>
      </c>
      <c r="J146" s="56">
        <v>90</v>
      </c>
      <c r="K146" s="56">
        <v>224</v>
      </c>
      <c r="L146" s="56">
        <v>3244</v>
      </c>
      <c r="M146" s="56">
        <v>5312</v>
      </c>
      <c r="N146" s="56">
        <v>2848</v>
      </c>
      <c r="O146" s="56">
        <v>46634</v>
      </c>
      <c r="P146" s="56">
        <v>690</v>
      </c>
      <c r="Q146" s="56">
        <v>29571</v>
      </c>
      <c r="R146" s="16">
        <f t="shared" si="9"/>
        <v>6782</v>
      </c>
      <c r="S146" s="167">
        <f t="shared" si="11"/>
        <v>9455.25</v>
      </c>
      <c r="T146" s="168">
        <f t="shared" si="12"/>
        <v>37490</v>
      </c>
    </row>
    <row r="147" spans="1:20" ht="15.6" x14ac:dyDescent="0.3">
      <c r="A147" s="122">
        <f t="shared" si="10"/>
        <v>37497</v>
      </c>
      <c r="B147" s="56">
        <v>1246</v>
      </c>
      <c r="C147" s="56">
        <v>2322</v>
      </c>
      <c r="D147" s="56">
        <v>327</v>
      </c>
      <c r="E147" s="56">
        <v>870</v>
      </c>
      <c r="F147" s="56">
        <v>1236</v>
      </c>
      <c r="G147" s="56">
        <v>1534</v>
      </c>
      <c r="H147" s="56">
        <v>597</v>
      </c>
      <c r="I147" s="56">
        <v>895</v>
      </c>
      <c r="J147" s="56">
        <v>90</v>
      </c>
      <c r="K147" s="56">
        <v>258</v>
      </c>
      <c r="L147" s="56">
        <v>3495</v>
      </c>
      <c r="M147" s="56">
        <v>5878</v>
      </c>
      <c r="N147" s="56">
        <v>2082</v>
      </c>
      <c r="O147" s="56">
        <v>47460</v>
      </c>
      <c r="P147" s="56">
        <v>494</v>
      </c>
      <c r="Q147" s="56">
        <v>29838</v>
      </c>
      <c r="R147" s="16">
        <f t="shared" si="9"/>
        <v>6071</v>
      </c>
      <c r="S147" s="167">
        <f t="shared" si="11"/>
        <v>8088</v>
      </c>
      <c r="T147" s="168">
        <f t="shared" si="12"/>
        <v>37497</v>
      </c>
    </row>
    <row r="148" spans="1:20" ht="15.6" x14ac:dyDescent="0.3">
      <c r="A148" s="122">
        <f t="shared" si="10"/>
        <v>37504</v>
      </c>
      <c r="B148" s="56">
        <v>1250</v>
      </c>
      <c r="C148" s="56">
        <v>2546</v>
      </c>
      <c r="D148" s="56">
        <v>328</v>
      </c>
      <c r="E148" s="56">
        <v>910</v>
      </c>
      <c r="F148" s="56">
        <v>1187</v>
      </c>
      <c r="G148" s="56">
        <v>1769</v>
      </c>
      <c r="H148" s="56">
        <v>560</v>
      </c>
      <c r="I148" s="56">
        <v>979</v>
      </c>
      <c r="J148" s="56">
        <v>90</v>
      </c>
      <c r="K148" s="56">
        <v>258</v>
      </c>
      <c r="L148" s="56">
        <v>3415</v>
      </c>
      <c r="M148" s="56">
        <v>6460</v>
      </c>
      <c r="N148" s="56">
        <v>6206</v>
      </c>
      <c r="O148" s="56">
        <v>439</v>
      </c>
      <c r="P148" s="56">
        <v>5802</v>
      </c>
      <c r="Q148" s="56">
        <v>109</v>
      </c>
      <c r="R148" s="16">
        <f t="shared" si="9"/>
        <v>15423</v>
      </c>
      <c r="S148" s="167">
        <f t="shared" si="11"/>
        <v>9063.5</v>
      </c>
      <c r="T148" s="168">
        <f t="shared" si="12"/>
        <v>37504</v>
      </c>
    </row>
    <row r="149" spans="1:20" ht="15.6" x14ac:dyDescent="0.3">
      <c r="A149" s="122">
        <f t="shared" si="10"/>
        <v>37511</v>
      </c>
      <c r="B149" s="56">
        <v>1387</v>
      </c>
      <c r="C149" s="56">
        <v>2729</v>
      </c>
      <c r="D149" s="56">
        <v>380</v>
      </c>
      <c r="E149" s="56">
        <v>949</v>
      </c>
      <c r="F149" s="56">
        <v>1374</v>
      </c>
      <c r="G149" s="56">
        <v>1849</v>
      </c>
      <c r="H149" s="56">
        <v>628</v>
      </c>
      <c r="I149" s="56">
        <v>1043</v>
      </c>
      <c r="J149" s="56">
        <v>102</v>
      </c>
      <c r="K149" s="56">
        <v>260</v>
      </c>
      <c r="L149" s="56">
        <v>3872</v>
      </c>
      <c r="M149" s="56">
        <v>6831</v>
      </c>
      <c r="N149" s="56">
        <v>6418</v>
      </c>
      <c r="O149" s="56">
        <v>1276</v>
      </c>
      <c r="P149" s="56">
        <v>6204</v>
      </c>
      <c r="Q149" s="56">
        <v>335</v>
      </c>
      <c r="R149" s="16">
        <f t="shared" si="9"/>
        <v>16494</v>
      </c>
      <c r="S149" s="167">
        <f t="shared" si="11"/>
        <v>11192.5</v>
      </c>
      <c r="T149" s="168">
        <f t="shared" si="12"/>
        <v>37511</v>
      </c>
    </row>
    <row r="150" spans="1:20" ht="15.6" x14ac:dyDescent="0.3">
      <c r="A150" s="122">
        <f t="shared" si="10"/>
        <v>37518</v>
      </c>
      <c r="B150" s="56">
        <v>1591</v>
      </c>
      <c r="C150" s="56">
        <v>2920</v>
      </c>
      <c r="D150" s="56">
        <v>372</v>
      </c>
      <c r="E150" s="56">
        <v>1008</v>
      </c>
      <c r="F150" s="56">
        <v>1542</v>
      </c>
      <c r="G150" s="56">
        <v>2007</v>
      </c>
      <c r="H150" s="56">
        <v>673</v>
      </c>
      <c r="I150" s="56">
        <v>1137</v>
      </c>
      <c r="J150" s="56">
        <v>102</v>
      </c>
      <c r="K150" s="56">
        <v>260</v>
      </c>
      <c r="L150" s="56">
        <v>4280</v>
      </c>
      <c r="M150" s="56">
        <v>7332</v>
      </c>
      <c r="N150" s="56">
        <v>6352</v>
      </c>
      <c r="O150" s="56">
        <v>2080</v>
      </c>
      <c r="P150" s="56">
        <v>6801</v>
      </c>
      <c r="Q150" s="56">
        <v>444</v>
      </c>
      <c r="R150" s="16">
        <f t="shared" si="9"/>
        <v>17433</v>
      </c>
      <c r="S150" s="167">
        <f t="shared" si="11"/>
        <v>13855.25</v>
      </c>
      <c r="T150" s="168">
        <f t="shared" si="12"/>
        <v>37518</v>
      </c>
    </row>
    <row r="151" spans="1:20" ht="15.6" x14ac:dyDescent="0.3">
      <c r="A151" s="122">
        <f t="shared" si="10"/>
        <v>37525</v>
      </c>
      <c r="B151" s="56">
        <v>1629</v>
      </c>
      <c r="C151" s="56">
        <v>2989</v>
      </c>
      <c r="D151" s="56">
        <v>403</v>
      </c>
      <c r="E151" s="56">
        <v>1008</v>
      </c>
      <c r="F151" s="56">
        <v>1581</v>
      </c>
      <c r="G151" s="56">
        <v>2085</v>
      </c>
      <c r="H151" s="56">
        <v>734</v>
      </c>
      <c r="I151" s="56">
        <v>1187</v>
      </c>
      <c r="J151" s="56">
        <v>177</v>
      </c>
      <c r="K151" s="56">
        <v>280</v>
      </c>
      <c r="L151" s="56">
        <v>4524</v>
      </c>
      <c r="M151" s="56">
        <v>7548</v>
      </c>
      <c r="N151" s="56">
        <v>6852</v>
      </c>
      <c r="O151" s="56">
        <v>2536</v>
      </c>
      <c r="P151" s="56">
        <v>6854</v>
      </c>
      <c r="Q151" s="56">
        <v>659</v>
      </c>
      <c r="R151" s="16">
        <f t="shared" si="9"/>
        <v>18230</v>
      </c>
      <c r="S151" s="167">
        <f t="shared" si="11"/>
        <v>16895</v>
      </c>
      <c r="T151" s="168">
        <f t="shared" si="12"/>
        <v>37525</v>
      </c>
    </row>
    <row r="152" spans="1:20" ht="15.6" x14ac:dyDescent="0.3">
      <c r="A152" s="122">
        <f t="shared" si="10"/>
        <v>37532</v>
      </c>
      <c r="B152" s="56">
        <v>1658</v>
      </c>
      <c r="C152" s="56">
        <v>3105</v>
      </c>
      <c r="D152" s="56">
        <v>436</v>
      </c>
      <c r="E152" s="56">
        <v>1043</v>
      </c>
      <c r="F152" s="56">
        <v>1626</v>
      </c>
      <c r="G152" s="56">
        <v>2210</v>
      </c>
      <c r="H152" s="56">
        <v>849</v>
      </c>
      <c r="I152" s="56">
        <v>1187</v>
      </c>
      <c r="J152" s="56">
        <v>160</v>
      </c>
      <c r="K152" s="56">
        <v>334</v>
      </c>
      <c r="L152" s="56">
        <v>4729</v>
      </c>
      <c r="M152" s="56">
        <v>7877</v>
      </c>
      <c r="N152" s="56">
        <v>7024</v>
      </c>
      <c r="O152" s="56">
        <v>3034</v>
      </c>
      <c r="P152" s="56">
        <v>7134</v>
      </c>
      <c r="Q152" s="56">
        <v>895</v>
      </c>
      <c r="R152" s="16">
        <f t="shared" si="9"/>
        <v>18887</v>
      </c>
      <c r="S152" s="167">
        <f t="shared" si="11"/>
        <v>17761</v>
      </c>
      <c r="T152" s="168">
        <f t="shared" si="12"/>
        <v>37532</v>
      </c>
    </row>
    <row r="153" spans="1:20" ht="15.6" x14ac:dyDescent="0.3">
      <c r="A153" s="122">
        <f t="shared" si="10"/>
        <v>37539</v>
      </c>
      <c r="B153" s="56">
        <v>1683</v>
      </c>
      <c r="C153" s="56">
        <v>3197</v>
      </c>
      <c r="D153" s="56">
        <v>480</v>
      </c>
      <c r="E153" s="56">
        <v>1070</v>
      </c>
      <c r="F153" s="56">
        <v>1675</v>
      </c>
      <c r="G153" s="56">
        <v>2366</v>
      </c>
      <c r="H153" s="56">
        <v>819</v>
      </c>
      <c r="I153" s="56">
        <v>1187</v>
      </c>
      <c r="J153" s="56">
        <v>107</v>
      </c>
      <c r="K153" s="56">
        <v>338</v>
      </c>
      <c r="L153" s="56">
        <v>4764</v>
      </c>
      <c r="M153" s="56">
        <v>8158</v>
      </c>
      <c r="N153" s="56">
        <v>6890</v>
      </c>
      <c r="O153" s="56">
        <v>3819</v>
      </c>
      <c r="P153" s="56">
        <v>7362</v>
      </c>
      <c r="Q153" s="56">
        <v>1227</v>
      </c>
      <c r="R153" s="16">
        <f t="shared" si="9"/>
        <v>19016</v>
      </c>
      <c r="S153" s="167">
        <f t="shared" si="11"/>
        <v>18391.5</v>
      </c>
      <c r="T153" s="168">
        <f t="shared" si="12"/>
        <v>37539</v>
      </c>
    </row>
    <row r="154" spans="1:20" ht="15.6" x14ac:dyDescent="0.3">
      <c r="A154" s="122">
        <f t="shared" si="10"/>
        <v>37546</v>
      </c>
      <c r="B154" s="56">
        <v>1608</v>
      </c>
      <c r="C154" s="56">
        <v>3370</v>
      </c>
      <c r="D154" s="56">
        <v>670</v>
      </c>
      <c r="E154" s="56">
        <v>1145</v>
      </c>
      <c r="F154" s="56">
        <v>1641</v>
      </c>
      <c r="G154" s="56">
        <v>2649</v>
      </c>
      <c r="H154" s="56">
        <v>917</v>
      </c>
      <c r="I154" s="56">
        <v>1240</v>
      </c>
      <c r="J154" s="56">
        <v>103</v>
      </c>
      <c r="K154" s="56">
        <v>323</v>
      </c>
      <c r="L154" s="56">
        <v>4939</v>
      </c>
      <c r="M154" s="56">
        <v>8787</v>
      </c>
      <c r="N154" s="56">
        <v>6584</v>
      </c>
      <c r="O154" s="56">
        <v>4642</v>
      </c>
      <c r="P154" s="56">
        <v>7783</v>
      </c>
      <c r="Q154" s="56">
        <v>2015</v>
      </c>
      <c r="R154" s="16">
        <f t="shared" si="9"/>
        <v>19306</v>
      </c>
      <c r="S154" s="167">
        <f t="shared" si="11"/>
        <v>18859.75</v>
      </c>
      <c r="T154" s="168">
        <f t="shared" si="12"/>
        <v>37546</v>
      </c>
    </row>
    <row r="155" spans="1:20" ht="15.6" x14ac:dyDescent="0.3">
      <c r="A155" s="122">
        <f t="shared" si="10"/>
        <v>37553</v>
      </c>
      <c r="B155" s="56">
        <v>1540</v>
      </c>
      <c r="C155" s="56">
        <v>3471</v>
      </c>
      <c r="D155" s="56">
        <v>691</v>
      </c>
      <c r="E155" s="56">
        <v>1173</v>
      </c>
      <c r="F155" s="56">
        <v>1582</v>
      </c>
      <c r="G155" s="56">
        <v>2858</v>
      </c>
      <c r="H155" s="56">
        <v>778</v>
      </c>
      <c r="I155" s="56">
        <v>1474</v>
      </c>
      <c r="J155" s="56">
        <v>169</v>
      </c>
      <c r="K155" s="56">
        <v>386</v>
      </c>
      <c r="L155" s="56">
        <v>4758</v>
      </c>
      <c r="M155" s="56">
        <v>9361</v>
      </c>
      <c r="N155" s="56">
        <v>6973</v>
      </c>
      <c r="O155" s="56">
        <v>5275</v>
      </c>
      <c r="P155" s="56">
        <v>8357</v>
      </c>
      <c r="Q155" s="56">
        <v>3088</v>
      </c>
      <c r="R155" s="16">
        <f t="shared" si="9"/>
        <v>20088</v>
      </c>
      <c r="S155" s="167">
        <f t="shared" si="11"/>
        <v>19324.25</v>
      </c>
      <c r="T155" s="168">
        <f t="shared" si="12"/>
        <v>37553</v>
      </c>
    </row>
    <row r="156" spans="1:20" ht="15.6" x14ac:dyDescent="0.3">
      <c r="A156" s="122">
        <f t="shared" si="10"/>
        <v>37560</v>
      </c>
      <c r="B156" s="56">
        <v>1418</v>
      </c>
      <c r="C156" s="56">
        <v>3625</v>
      </c>
      <c r="D156" s="56">
        <v>685</v>
      </c>
      <c r="E156" s="56">
        <v>1193</v>
      </c>
      <c r="F156" s="56">
        <v>1630</v>
      </c>
      <c r="G156" s="56">
        <v>2960</v>
      </c>
      <c r="H156" s="56">
        <v>790</v>
      </c>
      <c r="I156" s="56">
        <v>1542</v>
      </c>
      <c r="J156" s="56">
        <v>177</v>
      </c>
      <c r="K156" s="56">
        <v>386</v>
      </c>
      <c r="L156" s="56">
        <v>4700</v>
      </c>
      <c r="M156" s="56">
        <v>9705</v>
      </c>
      <c r="N156" s="56">
        <v>7629</v>
      </c>
      <c r="O156" s="56">
        <v>5705</v>
      </c>
      <c r="P156" s="56">
        <v>7843</v>
      </c>
      <c r="Q156" s="56">
        <v>4365</v>
      </c>
      <c r="R156" s="16">
        <f t="shared" si="9"/>
        <v>20172</v>
      </c>
      <c r="S156" s="167">
        <f t="shared" si="11"/>
        <v>19645.5</v>
      </c>
      <c r="T156" s="168">
        <f t="shared" si="12"/>
        <v>37560</v>
      </c>
    </row>
    <row r="157" spans="1:20" ht="15.6" x14ac:dyDescent="0.3">
      <c r="A157" s="122">
        <f t="shared" si="10"/>
        <v>37567</v>
      </c>
      <c r="B157" s="56">
        <v>1384</v>
      </c>
      <c r="C157" s="56">
        <v>3740</v>
      </c>
      <c r="D157" s="56">
        <v>723</v>
      </c>
      <c r="E157" s="56">
        <v>1224</v>
      </c>
      <c r="F157" s="56">
        <v>1625</v>
      </c>
      <c r="G157" s="56">
        <v>3090</v>
      </c>
      <c r="H157" s="56">
        <v>741</v>
      </c>
      <c r="I157" s="56">
        <v>1612</v>
      </c>
      <c r="J157" s="56">
        <v>183</v>
      </c>
      <c r="K157" s="56">
        <v>404</v>
      </c>
      <c r="L157" s="56">
        <v>4655</v>
      </c>
      <c r="M157" s="56">
        <v>10069</v>
      </c>
      <c r="N157" s="56">
        <v>7986</v>
      </c>
      <c r="O157" s="56">
        <v>6497</v>
      </c>
      <c r="P157" s="56">
        <v>7403</v>
      </c>
      <c r="Q157" s="56">
        <v>5601</v>
      </c>
      <c r="R157" s="16">
        <f t="shared" si="9"/>
        <v>20044</v>
      </c>
      <c r="S157" s="167">
        <f t="shared" si="11"/>
        <v>19902.5</v>
      </c>
      <c r="T157" s="168">
        <f t="shared" si="12"/>
        <v>37567</v>
      </c>
    </row>
    <row r="158" spans="1:20" ht="15.6" x14ac:dyDescent="0.3">
      <c r="A158" s="122">
        <f t="shared" si="10"/>
        <v>37574</v>
      </c>
      <c r="B158" s="56">
        <v>1427</v>
      </c>
      <c r="C158" s="56">
        <v>3887</v>
      </c>
      <c r="D158" s="56">
        <v>789</v>
      </c>
      <c r="E158" s="56">
        <v>1282</v>
      </c>
      <c r="F158" s="56">
        <v>1555</v>
      </c>
      <c r="G158" s="56">
        <v>3293</v>
      </c>
      <c r="H158" s="56">
        <v>876</v>
      </c>
      <c r="I158" s="56">
        <v>1647</v>
      </c>
      <c r="J158" s="56">
        <v>165</v>
      </c>
      <c r="K158" s="56">
        <v>426</v>
      </c>
      <c r="L158" s="56">
        <v>4812</v>
      </c>
      <c r="M158" s="56">
        <v>10535</v>
      </c>
      <c r="N158" s="56">
        <v>8119</v>
      </c>
      <c r="O158" s="56">
        <v>7302</v>
      </c>
      <c r="P158" s="56">
        <v>7513</v>
      </c>
      <c r="Q158" s="56">
        <v>6660</v>
      </c>
      <c r="R158" s="16">
        <f t="shared" si="9"/>
        <v>20444</v>
      </c>
      <c r="S158" s="167">
        <f t="shared" si="11"/>
        <v>20187</v>
      </c>
      <c r="T158" s="168">
        <f t="shared" si="12"/>
        <v>37574</v>
      </c>
    </row>
    <row r="159" spans="1:20" ht="15.6" x14ac:dyDescent="0.3">
      <c r="A159" s="122">
        <f t="shared" si="10"/>
        <v>37581</v>
      </c>
      <c r="B159" s="56">
        <v>1276</v>
      </c>
      <c r="C159" s="56">
        <v>4074</v>
      </c>
      <c r="D159" s="56">
        <v>787</v>
      </c>
      <c r="E159" s="56">
        <v>1317</v>
      </c>
      <c r="F159" s="56">
        <v>1557</v>
      </c>
      <c r="G159" s="56">
        <v>3476</v>
      </c>
      <c r="H159" s="56">
        <v>852</v>
      </c>
      <c r="I159" s="56">
        <v>1733</v>
      </c>
      <c r="J159" s="56">
        <v>162</v>
      </c>
      <c r="K159" s="56">
        <v>442</v>
      </c>
      <c r="L159" s="56">
        <v>4633</v>
      </c>
      <c r="M159" s="56">
        <v>11042</v>
      </c>
      <c r="N159" s="56">
        <v>8308</v>
      </c>
      <c r="O159" s="56">
        <v>8275</v>
      </c>
      <c r="P159" s="56">
        <v>7603</v>
      </c>
      <c r="Q159" s="56">
        <v>7569</v>
      </c>
      <c r="R159" s="16">
        <f t="shared" si="9"/>
        <v>20544</v>
      </c>
      <c r="S159" s="167">
        <f t="shared" si="11"/>
        <v>20301</v>
      </c>
      <c r="T159" s="168">
        <f t="shared" si="12"/>
        <v>37581</v>
      </c>
    </row>
    <row r="160" spans="1:20" ht="15.6" x14ac:dyDescent="0.3">
      <c r="A160" s="122">
        <f t="shared" si="10"/>
        <v>37588</v>
      </c>
      <c r="B160" s="56">
        <v>1205</v>
      </c>
      <c r="C160" s="56">
        <v>4277</v>
      </c>
      <c r="D160" s="56">
        <v>755</v>
      </c>
      <c r="E160" s="56">
        <v>1362</v>
      </c>
      <c r="F160" s="56">
        <v>1443</v>
      </c>
      <c r="G160" s="56">
        <v>3602</v>
      </c>
      <c r="H160" s="56">
        <v>795</v>
      </c>
      <c r="I160" s="56">
        <v>1802</v>
      </c>
      <c r="J160" s="56">
        <v>158</v>
      </c>
      <c r="K160" s="56">
        <v>446</v>
      </c>
      <c r="L160" s="56">
        <v>4355</v>
      </c>
      <c r="M160" s="56">
        <v>11488</v>
      </c>
      <c r="N160" s="56">
        <v>7922</v>
      </c>
      <c r="O160" s="56">
        <v>9334</v>
      </c>
      <c r="P160" s="56">
        <v>7483</v>
      </c>
      <c r="Q160" s="56">
        <v>8380</v>
      </c>
      <c r="R160" s="16">
        <f t="shared" si="9"/>
        <v>19760</v>
      </c>
      <c r="S160" s="167">
        <f t="shared" si="11"/>
        <v>20198</v>
      </c>
      <c r="T160" s="168">
        <f t="shared" si="12"/>
        <v>37588</v>
      </c>
    </row>
    <row r="161" spans="1:20" ht="15.6" x14ac:dyDescent="0.3">
      <c r="A161" s="122">
        <f t="shared" si="10"/>
        <v>37595</v>
      </c>
      <c r="B161" s="56">
        <v>1154</v>
      </c>
      <c r="C161" s="56">
        <v>4362</v>
      </c>
      <c r="D161" s="56">
        <v>726</v>
      </c>
      <c r="E161" s="56">
        <v>1412</v>
      </c>
      <c r="F161" s="56">
        <v>1389</v>
      </c>
      <c r="G161" s="56">
        <v>3735</v>
      </c>
      <c r="H161" s="56">
        <v>722</v>
      </c>
      <c r="I161" s="56">
        <v>1874</v>
      </c>
      <c r="J161" s="56">
        <v>153</v>
      </c>
      <c r="K161" s="56">
        <v>466</v>
      </c>
      <c r="L161" s="56">
        <v>4144</v>
      </c>
      <c r="M161" s="56">
        <v>11849</v>
      </c>
      <c r="N161" s="56">
        <v>7415</v>
      </c>
      <c r="O161" s="56">
        <v>10448</v>
      </c>
      <c r="P161" s="56">
        <v>7939</v>
      </c>
      <c r="Q161" s="56">
        <v>9247</v>
      </c>
      <c r="R161" s="16">
        <f t="shared" si="9"/>
        <v>19498</v>
      </c>
      <c r="S161" s="167">
        <f t="shared" si="11"/>
        <v>20061.5</v>
      </c>
      <c r="T161" s="168">
        <f t="shared" si="12"/>
        <v>37595</v>
      </c>
    </row>
    <row r="162" spans="1:20" ht="15.6" x14ac:dyDescent="0.3">
      <c r="A162" s="122">
        <f t="shared" si="10"/>
        <v>37602</v>
      </c>
      <c r="B162" s="56">
        <v>1155</v>
      </c>
      <c r="C162" s="56">
        <v>4446</v>
      </c>
      <c r="D162" s="56">
        <v>765</v>
      </c>
      <c r="E162" s="56">
        <v>1436</v>
      </c>
      <c r="F162" s="56">
        <v>1266</v>
      </c>
      <c r="G162" s="56">
        <v>3901</v>
      </c>
      <c r="H162" s="56">
        <v>697</v>
      </c>
      <c r="I162" s="56">
        <v>1980</v>
      </c>
      <c r="J162" s="56">
        <v>137</v>
      </c>
      <c r="K162" s="56">
        <v>501</v>
      </c>
      <c r="L162" s="56">
        <v>4009</v>
      </c>
      <c r="M162" s="56">
        <v>12263</v>
      </c>
      <c r="N162" s="56">
        <v>7081</v>
      </c>
      <c r="O162" s="56">
        <v>11444</v>
      </c>
      <c r="P162" s="56">
        <v>8242</v>
      </c>
      <c r="Q162" s="56">
        <v>9990</v>
      </c>
      <c r="R162" s="16">
        <f t="shared" si="9"/>
        <v>19332</v>
      </c>
      <c r="S162" s="167">
        <f t="shared" si="11"/>
        <v>19783.5</v>
      </c>
      <c r="T162" s="168">
        <f t="shared" si="12"/>
        <v>37602</v>
      </c>
    </row>
    <row r="163" spans="1:20" ht="15.6" x14ac:dyDescent="0.3">
      <c r="A163" s="134">
        <f t="shared" si="10"/>
        <v>37609</v>
      </c>
      <c r="B163" s="56">
        <v>1172</v>
      </c>
      <c r="C163" s="56">
        <v>4506</v>
      </c>
      <c r="D163" s="56">
        <v>800</v>
      </c>
      <c r="E163" s="56">
        <v>1452</v>
      </c>
      <c r="F163" s="56">
        <v>1357</v>
      </c>
      <c r="G163" s="56">
        <v>3987</v>
      </c>
      <c r="H163" s="56">
        <v>679</v>
      </c>
      <c r="I163" s="56">
        <v>2029</v>
      </c>
      <c r="J163" s="56">
        <v>135</v>
      </c>
      <c r="K163" s="56">
        <v>506</v>
      </c>
      <c r="L163" s="56">
        <v>4143</v>
      </c>
      <c r="M163" s="56">
        <v>12480</v>
      </c>
      <c r="N163" s="56">
        <v>6635</v>
      </c>
      <c r="O163" s="56">
        <v>12568</v>
      </c>
      <c r="P163" s="56">
        <v>8749</v>
      </c>
      <c r="Q163" s="56">
        <v>10608</v>
      </c>
      <c r="R163" s="16">
        <f t="shared" si="9"/>
        <v>19527</v>
      </c>
      <c r="S163" s="167">
        <f t="shared" si="11"/>
        <v>19529.25</v>
      </c>
      <c r="T163" s="168">
        <f t="shared" si="12"/>
        <v>37609</v>
      </c>
    </row>
    <row r="164" spans="1:20" ht="15.6" x14ac:dyDescent="0.3">
      <c r="A164" s="134">
        <f t="shared" si="10"/>
        <v>37616</v>
      </c>
      <c r="B164" s="56">
        <v>1083</v>
      </c>
      <c r="C164" s="56">
        <v>4581</v>
      </c>
      <c r="D164" s="56">
        <v>730</v>
      </c>
      <c r="E164" s="56">
        <v>1546</v>
      </c>
      <c r="F164" s="56">
        <v>1230</v>
      </c>
      <c r="G164" s="56">
        <v>4104</v>
      </c>
      <c r="H164" s="56">
        <v>618</v>
      </c>
      <c r="I164" s="56">
        <v>2068</v>
      </c>
      <c r="J164" s="56">
        <v>123</v>
      </c>
      <c r="K164" s="56">
        <v>518</v>
      </c>
      <c r="L164" s="56">
        <v>3783</v>
      </c>
      <c r="M164" s="56">
        <v>12818</v>
      </c>
      <c r="N164" s="56">
        <v>6561</v>
      </c>
      <c r="O164" s="56">
        <v>13037</v>
      </c>
      <c r="P164" s="56">
        <v>8262</v>
      </c>
      <c r="Q164" s="56">
        <v>11347</v>
      </c>
      <c r="R164" s="16">
        <f t="shared" si="9"/>
        <v>18606</v>
      </c>
      <c r="S164" s="167">
        <f t="shared" si="11"/>
        <v>19240.75</v>
      </c>
      <c r="T164" s="168">
        <f t="shared" si="12"/>
        <v>37616</v>
      </c>
    </row>
    <row r="165" spans="1:20" ht="15.6" x14ac:dyDescent="0.3">
      <c r="A165" s="123">
        <f t="shared" si="10"/>
        <v>37623</v>
      </c>
      <c r="B165" s="56">
        <v>1017</v>
      </c>
      <c r="C165" s="56">
        <v>4682</v>
      </c>
      <c r="D165" s="56">
        <v>580</v>
      </c>
      <c r="E165" s="56">
        <v>1707</v>
      </c>
      <c r="F165" s="56">
        <v>1161</v>
      </c>
      <c r="G165" s="56">
        <v>4244</v>
      </c>
      <c r="H165" s="56">
        <v>535</v>
      </c>
      <c r="I165" s="56">
        <v>2181</v>
      </c>
      <c r="J165" s="56">
        <v>123</v>
      </c>
      <c r="K165" s="56">
        <v>518</v>
      </c>
      <c r="L165" s="56">
        <v>3415</v>
      </c>
      <c r="M165" s="56">
        <v>13332</v>
      </c>
      <c r="N165" s="56">
        <v>5860</v>
      </c>
      <c r="O165" s="56">
        <v>13997</v>
      </c>
      <c r="P165" s="56">
        <v>7980</v>
      </c>
      <c r="Q165" s="56">
        <v>12015</v>
      </c>
      <c r="R165" s="16">
        <f t="shared" si="9"/>
        <v>17255</v>
      </c>
      <c r="S165" s="167">
        <f t="shared" si="11"/>
        <v>18680</v>
      </c>
      <c r="T165" s="168">
        <f t="shared" si="12"/>
        <v>37623</v>
      </c>
    </row>
    <row r="166" spans="1:20" ht="15.6" x14ac:dyDescent="0.3">
      <c r="A166" s="123">
        <f t="shared" si="10"/>
        <v>37630</v>
      </c>
      <c r="B166" s="56">
        <v>951</v>
      </c>
      <c r="C166" s="56">
        <v>4785</v>
      </c>
      <c r="D166" s="56">
        <v>527</v>
      </c>
      <c r="E166" s="56">
        <v>1893</v>
      </c>
      <c r="F166" s="56">
        <v>1103</v>
      </c>
      <c r="G166" s="56">
        <v>4400</v>
      </c>
      <c r="H166" s="56">
        <v>526</v>
      </c>
      <c r="I166" s="56">
        <v>2309</v>
      </c>
      <c r="J166" s="56">
        <v>113</v>
      </c>
      <c r="K166" s="56">
        <v>525</v>
      </c>
      <c r="L166" s="56">
        <v>3220</v>
      </c>
      <c r="M166" s="56">
        <v>13911</v>
      </c>
      <c r="N166" s="56">
        <v>5635</v>
      </c>
      <c r="O166" s="56">
        <v>14848</v>
      </c>
      <c r="P166" s="56">
        <v>8278</v>
      </c>
      <c r="Q166" s="56">
        <v>13082</v>
      </c>
      <c r="R166" s="16">
        <f t="shared" si="9"/>
        <v>17133</v>
      </c>
      <c r="S166" s="167">
        <f t="shared" si="11"/>
        <v>18130.25</v>
      </c>
      <c r="T166" s="168">
        <f t="shared" si="12"/>
        <v>37630</v>
      </c>
    </row>
    <row r="167" spans="1:20" ht="15.6" x14ac:dyDescent="0.3">
      <c r="A167" s="123">
        <f t="shared" si="10"/>
        <v>37637</v>
      </c>
      <c r="B167" s="56">
        <v>1014</v>
      </c>
      <c r="C167" s="56">
        <v>4887</v>
      </c>
      <c r="D167" s="56">
        <v>497</v>
      </c>
      <c r="E167" s="56">
        <v>2004</v>
      </c>
      <c r="F167" s="56">
        <v>1147</v>
      </c>
      <c r="G167" s="56">
        <v>4478</v>
      </c>
      <c r="H167" s="56">
        <v>533</v>
      </c>
      <c r="I167" s="56">
        <v>2341</v>
      </c>
      <c r="J167" s="56">
        <v>116</v>
      </c>
      <c r="K167" s="56">
        <v>533</v>
      </c>
      <c r="L167" s="56">
        <v>3307</v>
      </c>
      <c r="M167" s="56">
        <v>14242</v>
      </c>
      <c r="N167" s="56">
        <v>5596</v>
      </c>
      <c r="O167" s="56">
        <v>15559</v>
      </c>
      <c r="P167" s="56">
        <v>7921</v>
      </c>
      <c r="Q167" s="56">
        <v>14011</v>
      </c>
      <c r="R167" s="16">
        <f t="shared" si="9"/>
        <v>16824</v>
      </c>
      <c r="S167" s="167">
        <f t="shared" si="11"/>
        <v>17454.5</v>
      </c>
      <c r="T167" s="168">
        <f t="shared" si="12"/>
        <v>37637</v>
      </c>
    </row>
    <row r="168" spans="1:20" ht="15.6" x14ac:dyDescent="0.3">
      <c r="A168" s="123">
        <f t="shared" si="10"/>
        <v>37644</v>
      </c>
      <c r="B168" s="56">
        <v>1066</v>
      </c>
      <c r="C168" s="56">
        <v>4937</v>
      </c>
      <c r="D168" s="56">
        <v>502</v>
      </c>
      <c r="E168" s="56">
        <v>2031</v>
      </c>
      <c r="F168" s="56">
        <v>1234</v>
      </c>
      <c r="G168" s="56">
        <v>4503</v>
      </c>
      <c r="H168" s="56">
        <v>587</v>
      </c>
      <c r="I168" s="56">
        <v>2346</v>
      </c>
      <c r="J168" s="56">
        <v>107</v>
      </c>
      <c r="K168" s="56">
        <v>555</v>
      </c>
      <c r="L168" s="56">
        <v>3496</v>
      </c>
      <c r="M168" s="56">
        <v>14370</v>
      </c>
      <c r="N168" s="56">
        <v>5219</v>
      </c>
      <c r="O168" s="56">
        <v>16266</v>
      </c>
      <c r="P168" s="56">
        <v>7524</v>
      </c>
      <c r="Q168" s="56">
        <v>15097</v>
      </c>
      <c r="R168" s="16">
        <f t="shared" si="9"/>
        <v>16239</v>
      </c>
      <c r="S168" s="167">
        <f t="shared" si="11"/>
        <v>16862.75</v>
      </c>
      <c r="T168" s="168">
        <f t="shared" si="12"/>
        <v>37644</v>
      </c>
    </row>
    <row r="169" spans="1:20" ht="15.6" x14ac:dyDescent="0.3">
      <c r="A169" s="123">
        <f t="shared" si="10"/>
        <v>37651</v>
      </c>
      <c r="B169" s="56">
        <v>1133</v>
      </c>
      <c r="C169" s="56">
        <v>4998</v>
      </c>
      <c r="D169" s="56">
        <v>425</v>
      </c>
      <c r="E169" s="56">
        <v>2137</v>
      </c>
      <c r="F169" s="56">
        <v>1226</v>
      </c>
      <c r="G169" s="56">
        <v>4603</v>
      </c>
      <c r="H169" s="56">
        <v>636</v>
      </c>
      <c r="I169" s="56">
        <v>2378</v>
      </c>
      <c r="J169" s="56">
        <v>111</v>
      </c>
      <c r="K169" s="56">
        <v>555</v>
      </c>
      <c r="L169" s="56">
        <v>3530</v>
      </c>
      <c r="M169" s="56">
        <v>14670</v>
      </c>
      <c r="N169" s="56">
        <v>5267</v>
      </c>
      <c r="O169" s="56">
        <v>16938</v>
      </c>
      <c r="P169" s="56">
        <v>6568</v>
      </c>
      <c r="Q169" s="56">
        <v>16602</v>
      </c>
      <c r="R169" s="16">
        <f t="shared" si="9"/>
        <v>15365</v>
      </c>
      <c r="S169" s="167">
        <f t="shared" si="11"/>
        <v>16390.25</v>
      </c>
      <c r="T169" s="168">
        <f t="shared" si="12"/>
        <v>37651</v>
      </c>
    </row>
    <row r="170" spans="1:20" ht="15.6" x14ac:dyDescent="0.3">
      <c r="A170" s="123">
        <f t="shared" si="10"/>
        <v>37658</v>
      </c>
      <c r="B170" s="56">
        <v>1131</v>
      </c>
      <c r="C170" s="56">
        <v>5177</v>
      </c>
      <c r="D170" s="56">
        <v>493</v>
      </c>
      <c r="E170" s="56">
        <v>2150</v>
      </c>
      <c r="F170" s="56">
        <v>1123</v>
      </c>
      <c r="G170" s="56">
        <v>4742</v>
      </c>
      <c r="H170" s="56">
        <v>597</v>
      </c>
      <c r="I170" s="56">
        <v>2491</v>
      </c>
      <c r="J170" s="56">
        <v>96</v>
      </c>
      <c r="K170" s="56">
        <v>557</v>
      </c>
      <c r="L170" s="56">
        <v>3438</v>
      </c>
      <c r="M170" s="56">
        <v>15116</v>
      </c>
      <c r="N170" s="56">
        <v>5029</v>
      </c>
      <c r="O170" s="56">
        <v>17851</v>
      </c>
      <c r="P170" s="56">
        <v>6166</v>
      </c>
      <c r="Q170" s="56">
        <v>17518</v>
      </c>
      <c r="R170" s="16">
        <f t="shared" si="9"/>
        <v>14633</v>
      </c>
      <c r="S170" s="167">
        <f t="shared" si="11"/>
        <v>15765.25</v>
      </c>
      <c r="T170" s="168">
        <f t="shared" si="12"/>
        <v>37658</v>
      </c>
    </row>
    <row r="171" spans="1:20" ht="15.6" x14ac:dyDescent="0.3">
      <c r="A171" s="123">
        <f t="shared" si="10"/>
        <v>37665</v>
      </c>
      <c r="B171" s="56">
        <v>1134</v>
      </c>
      <c r="C171" s="56">
        <v>5294</v>
      </c>
      <c r="D171" s="56">
        <v>445</v>
      </c>
      <c r="E171" s="56">
        <v>2194</v>
      </c>
      <c r="F171" s="56">
        <v>1157</v>
      </c>
      <c r="G171" s="56">
        <v>4807</v>
      </c>
      <c r="H171" s="56">
        <v>616</v>
      </c>
      <c r="I171" s="56">
        <v>2545</v>
      </c>
      <c r="J171" s="56">
        <v>128</v>
      </c>
      <c r="K171" s="56">
        <v>557</v>
      </c>
      <c r="L171" s="56">
        <v>3481</v>
      </c>
      <c r="M171" s="56">
        <v>15398</v>
      </c>
      <c r="N171" s="56">
        <v>4827</v>
      </c>
      <c r="O171" s="56">
        <v>18462</v>
      </c>
      <c r="P171" s="56">
        <v>5068</v>
      </c>
      <c r="Q171" s="56">
        <v>18938</v>
      </c>
      <c r="R171" s="16">
        <f t="shared" si="9"/>
        <v>13376</v>
      </c>
      <c r="S171" s="167">
        <f t="shared" si="11"/>
        <v>14903.25</v>
      </c>
      <c r="T171" s="168">
        <f t="shared" si="12"/>
        <v>37665</v>
      </c>
    </row>
    <row r="172" spans="1:20" ht="15.6" x14ac:dyDescent="0.3">
      <c r="A172" s="123">
        <f t="shared" si="10"/>
        <v>37672</v>
      </c>
      <c r="B172" s="56">
        <v>1086</v>
      </c>
      <c r="C172" s="56">
        <v>5359</v>
      </c>
      <c r="D172" s="56">
        <v>421</v>
      </c>
      <c r="E172" s="56">
        <v>2243</v>
      </c>
      <c r="F172" s="56">
        <v>1208</v>
      </c>
      <c r="G172" s="56">
        <v>4841</v>
      </c>
      <c r="H172" s="56">
        <v>604</v>
      </c>
      <c r="I172" s="56">
        <v>2576</v>
      </c>
      <c r="J172" s="56">
        <v>150</v>
      </c>
      <c r="K172" s="56">
        <v>557</v>
      </c>
      <c r="L172" s="56">
        <v>3468</v>
      </c>
      <c r="M172" s="56">
        <v>15576</v>
      </c>
      <c r="N172" s="56">
        <v>4775</v>
      </c>
      <c r="O172" s="56">
        <v>19208</v>
      </c>
      <c r="P172" s="56">
        <v>4445</v>
      </c>
      <c r="Q172" s="56">
        <v>19863</v>
      </c>
      <c r="R172" s="16">
        <f t="shared" si="9"/>
        <v>12688</v>
      </c>
      <c r="S172" s="167">
        <f t="shared" si="11"/>
        <v>14015.5</v>
      </c>
      <c r="T172" s="168">
        <f t="shared" si="12"/>
        <v>37672</v>
      </c>
    </row>
    <row r="173" spans="1:20" ht="15.6" x14ac:dyDescent="0.3">
      <c r="A173" s="123">
        <f t="shared" si="10"/>
        <v>37679</v>
      </c>
      <c r="B173" s="56">
        <v>1003</v>
      </c>
      <c r="C173" s="56">
        <v>5486</v>
      </c>
      <c r="D173" s="56">
        <v>408</v>
      </c>
      <c r="E173" s="56">
        <v>2261</v>
      </c>
      <c r="F173" s="56">
        <v>1186</v>
      </c>
      <c r="G173" s="56">
        <v>4915</v>
      </c>
      <c r="H173" s="56">
        <v>525</v>
      </c>
      <c r="I173" s="56">
        <v>2693</v>
      </c>
      <c r="J173" s="56">
        <v>150</v>
      </c>
      <c r="K173" s="56">
        <v>558</v>
      </c>
      <c r="L173" s="56">
        <v>3272</v>
      </c>
      <c r="M173" s="56">
        <v>15912</v>
      </c>
      <c r="N173" s="56">
        <v>5465</v>
      </c>
      <c r="O173" s="56">
        <v>19904</v>
      </c>
      <c r="P173" s="56">
        <v>4021</v>
      </c>
      <c r="Q173" s="56">
        <v>20625</v>
      </c>
      <c r="R173" s="16">
        <f t="shared" si="9"/>
        <v>12758</v>
      </c>
      <c r="S173" s="167">
        <f t="shared" si="11"/>
        <v>13363.75</v>
      </c>
      <c r="T173" s="168">
        <f t="shared" si="12"/>
        <v>37679</v>
      </c>
    </row>
    <row r="174" spans="1:20" ht="15.6" x14ac:dyDescent="0.3">
      <c r="A174" s="123">
        <f t="shared" si="10"/>
        <v>37686</v>
      </c>
      <c r="B174" s="56">
        <v>964</v>
      </c>
      <c r="C174" s="56">
        <v>5597</v>
      </c>
      <c r="D174" s="56">
        <v>371</v>
      </c>
      <c r="E174" s="56">
        <v>2315</v>
      </c>
      <c r="F174" s="56">
        <v>1115</v>
      </c>
      <c r="G174" s="56">
        <v>5084</v>
      </c>
      <c r="H174" s="56">
        <v>553</v>
      </c>
      <c r="I174" s="56">
        <v>2756</v>
      </c>
      <c r="J174" s="56">
        <v>144</v>
      </c>
      <c r="K174" s="56">
        <v>567</v>
      </c>
      <c r="L174" s="56">
        <v>3146</v>
      </c>
      <c r="M174" s="56">
        <v>16319</v>
      </c>
      <c r="N174" s="56">
        <v>5631</v>
      </c>
      <c r="O174" s="56">
        <v>20444</v>
      </c>
      <c r="P174" s="56">
        <v>3590</v>
      </c>
      <c r="Q174" s="56">
        <v>21694</v>
      </c>
      <c r="R174" s="16">
        <f t="shared" si="9"/>
        <v>12367</v>
      </c>
      <c r="S174" s="167">
        <f t="shared" si="11"/>
        <v>12797.25</v>
      </c>
      <c r="T174" s="168">
        <f t="shared" si="12"/>
        <v>37686</v>
      </c>
    </row>
    <row r="175" spans="1:20" ht="15.6" x14ac:dyDescent="0.3">
      <c r="A175" s="123">
        <f t="shared" si="10"/>
        <v>37693</v>
      </c>
      <c r="B175" s="56">
        <v>1074</v>
      </c>
      <c r="C175" s="56">
        <v>5660</v>
      </c>
      <c r="D175" s="56">
        <v>360</v>
      </c>
      <c r="E175" s="56">
        <v>2353</v>
      </c>
      <c r="F175" s="56">
        <v>1163</v>
      </c>
      <c r="G175" s="56">
        <v>5198</v>
      </c>
      <c r="H175" s="56">
        <v>500</v>
      </c>
      <c r="I175" s="56">
        <v>2850</v>
      </c>
      <c r="J175" s="56">
        <v>128</v>
      </c>
      <c r="K175" s="56">
        <v>598</v>
      </c>
      <c r="L175" s="56">
        <v>3224</v>
      </c>
      <c r="M175" s="56">
        <v>16659</v>
      </c>
      <c r="N175" s="56">
        <v>6013</v>
      </c>
      <c r="O175" s="56">
        <v>21231</v>
      </c>
      <c r="P175" s="56">
        <v>3371</v>
      </c>
      <c r="Q175" s="56">
        <v>22246</v>
      </c>
      <c r="R175" s="16">
        <f t="shared" si="9"/>
        <v>12608</v>
      </c>
      <c r="S175" s="167">
        <f t="shared" si="11"/>
        <v>12605.25</v>
      </c>
      <c r="T175" s="168">
        <f t="shared" si="12"/>
        <v>37693</v>
      </c>
    </row>
    <row r="176" spans="1:20" ht="15.6" x14ac:dyDescent="0.3">
      <c r="A176" s="123">
        <f t="shared" si="10"/>
        <v>37700</v>
      </c>
      <c r="B176" s="56">
        <v>1085</v>
      </c>
      <c r="C176" s="56">
        <v>5765</v>
      </c>
      <c r="D176" s="56">
        <v>369</v>
      </c>
      <c r="E176" s="56">
        <v>2387</v>
      </c>
      <c r="F176" s="56">
        <v>1186</v>
      </c>
      <c r="G176" s="56">
        <v>5280</v>
      </c>
      <c r="H176" s="56">
        <v>557</v>
      </c>
      <c r="I176" s="56">
        <v>2921</v>
      </c>
      <c r="J176" s="56">
        <v>107</v>
      </c>
      <c r="K176" s="56">
        <v>598</v>
      </c>
      <c r="L176" s="56">
        <v>3304</v>
      </c>
      <c r="M176" s="56">
        <v>16952</v>
      </c>
      <c r="N176" s="56">
        <v>6066</v>
      </c>
      <c r="O176" s="56">
        <v>21880</v>
      </c>
      <c r="P176" s="56">
        <v>3024</v>
      </c>
      <c r="Q176" s="56">
        <v>22921</v>
      </c>
      <c r="R176" s="16">
        <f t="shared" si="9"/>
        <v>12394</v>
      </c>
      <c r="S176" s="167">
        <f t="shared" si="11"/>
        <v>12531.75</v>
      </c>
      <c r="T176" s="168">
        <f t="shared" si="12"/>
        <v>37700</v>
      </c>
    </row>
    <row r="177" spans="1:20" ht="15.6" x14ac:dyDescent="0.3">
      <c r="A177" s="123">
        <f t="shared" si="10"/>
        <v>37707</v>
      </c>
      <c r="B177" s="56">
        <v>1056</v>
      </c>
      <c r="C177" s="56">
        <v>5887</v>
      </c>
      <c r="D177" s="56">
        <v>217</v>
      </c>
      <c r="E177" s="56">
        <v>2546</v>
      </c>
      <c r="F177" s="56">
        <v>1033</v>
      </c>
      <c r="G177" s="56">
        <v>5458</v>
      </c>
      <c r="H177" s="56">
        <v>521</v>
      </c>
      <c r="I177" s="56">
        <v>2989</v>
      </c>
      <c r="J177" s="56">
        <v>71</v>
      </c>
      <c r="K177" s="56">
        <v>634</v>
      </c>
      <c r="L177" s="56">
        <v>2896</v>
      </c>
      <c r="M177" s="56">
        <v>17515</v>
      </c>
      <c r="N177" s="56">
        <v>5571</v>
      </c>
      <c r="O177" s="56">
        <v>22733</v>
      </c>
      <c r="P177" s="56">
        <v>2841</v>
      </c>
      <c r="Q177" s="56">
        <v>23311</v>
      </c>
      <c r="R177" s="16">
        <f t="shared" si="9"/>
        <v>11308</v>
      </c>
      <c r="S177" s="167">
        <f t="shared" si="11"/>
        <v>12169.25</v>
      </c>
      <c r="T177" s="168">
        <f t="shared" si="12"/>
        <v>37707</v>
      </c>
    </row>
    <row r="178" spans="1:20" ht="15.6" x14ac:dyDescent="0.3">
      <c r="A178" s="123">
        <f t="shared" si="10"/>
        <v>37714</v>
      </c>
      <c r="B178" s="56">
        <v>1033</v>
      </c>
      <c r="C178" s="56">
        <v>5970</v>
      </c>
      <c r="D178" s="56">
        <v>223</v>
      </c>
      <c r="E178" s="56">
        <v>2576</v>
      </c>
      <c r="F178" s="56">
        <v>992</v>
      </c>
      <c r="G178" s="56">
        <v>5543</v>
      </c>
      <c r="H178" s="56">
        <v>445</v>
      </c>
      <c r="I178" s="56">
        <v>3080</v>
      </c>
      <c r="J178" s="56">
        <v>81</v>
      </c>
      <c r="K178" s="56">
        <v>643</v>
      </c>
      <c r="L178" s="56">
        <v>2774</v>
      </c>
      <c r="M178" s="56">
        <v>17803</v>
      </c>
      <c r="N178" s="56">
        <v>5458</v>
      </c>
      <c r="O178" s="56">
        <v>23706</v>
      </c>
      <c r="P178" s="56">
        <v>2934</v>
      </c>
      <c r="Q178" s="56">
        <v>23848</v>
      </c>
      <c r="R178" s="16">
        <f t="shared" si="9"/>
        <v>11166</v>
      </c>
      <c r="S178" s="167">
        <f t="shared" si="11"/>
        <v>11869</v>
      </c>
      <c r="T178" s="168">
        <f t="shared" si="12"/>
        <v>37714</v>
      </c>
    </row>
    <row r="179" spans="1:20" ht="15.6" x14ac:dyDescent="0.3">
      <c r="A179" s="123">
        <f t="shared" si="10"/>
        <v>37721</v>
      </c>
      <c r="B179" s="56">
        <v>998</v>
      </c>
      <c r="C179" s="56">
        <v>6088</v>
      </c>
      <c r="D179" s="56">
        <v>218</v>
      </c>
      <c r="E179" s="56">
        <v>2616</v>
      </c>
      <c r="F179" s="56">
        <v>1049</v>
      </c>
      <c r="G179" s="56">
        <v>5673</v>
      </c>
      <c r="H179" s="56">
        <v>444</v>
      </c>
      <c r="I179" s="56">
        <v>3123</v>
      </c>
      <c r="J179" s="56">
        <v>91</v>
      </c>
      <c r="K179" s="56">
        <v>634</v>
      </c>
      <c r="L179" s="56">
        <v>2802</v>
      </c>
      <c r="M179" s="56">
        <v>18133</v>
      </c>
      <c r="N179" s="56">
        <v>5380</v>
      </c>
      <c r="O179" s="56">
        <v>24469</v>
      </c>
      <c r="P179" s="56">
        <v>2858</v>
      </c>
      <c r="Q179" s="56">
        <v>24163</v>
      </c>
      <c r="R179" s="16">
        <f t="shared" si="9"/>
        <v>11040</v>
      </c>
      <c r="S179" s="167">
        <f t="shared" si="11"/>
        <v>11477</v>
      </c>
      <c r="T179" s="168">
        <f t="shared" si="12"/>
        <v>37721</v>
      </c>
    </row>
    <row r="180" spans="1:20" ht="15.6" x14ac:dyDescent="0.3">
      <c r="A180" s="123">
        <f t="shared" si="10"/>
        <v>37728</v>
      </c>
      <c r="B180" s="56">
        <v>916</v>
      </c>
      <c r="C180" s="56">
        <v>6231</v>
      </c>
      <c r="D180" s="56">
        <v>224</v>
      </c>
      <c r="E180" s="56">
        <v>2648</v>
      </c>
      <c r="F180" s="56">
        <v>1083</v>
      </c>
      <c r="G180" s="56">
        <v>5703</v>
      </c>
      <c r="H180" s="56">
        <v>487</v>
      </c>
      <c r="I180" s="56">
        <v>3132</v>
      </c>
      <c r="J180" s="56">
        <v>105</v>
      </c>
      <c r="K180" s="56">
        <v>640</v>
      </c>
      <c r="L180" s="56">
        <v>2814</v>
      </c>
      <c r="M180" s="56">
        <v>18354</v>
      </c>
      <c r="N180" s="56">
        <v>5152</v>
      </c>
      <c r="O180" s="56">
        <v>25283</v>
      </c>
      <c r="P180" s="56">
        <v>2679</v>
      </c>
      <c r="Q180" s="56">
        <v>24515</v>
      </c>
      <c r="R180" s="16">
        <f t="shared" ref="R180:R243" si="13">L180+N180+P180</f>
        <v>10645</v>
      </c>
      <c r="S180" s="167">
        <f t="shared" si="11"/>
        <v>11039.75</v>
      </c>
      <c r="T180" s="168">
        <f t="shared" si="12"/>
        <v>37728</v>
      </c>
    </row>
    <row r="181" spans="1:20" ht="15.6" x14ac:dyDescent="0.3">
      <c r="A181" s="123">
        <f t="shared" si="10"/>
        <v>37735</v>
      </c>
      <c r="B181" s="56">
        <v>893</v>
      </c>
      <c r="C181" s="56">
        <v>6291</v>
      </c>
      <c r="D181" s="56">
        <v>179</v>
      </c>
      <c r="E181" s="56">
        <v>2698</v>
      </c>
      <c r="F181" s="56">
        <v>1077</v>
      </c>
      <c r="G181" s="56">
        <v>5857</v>
      </c>
      <c r="H181" s="56">
        <v>471</v>
      </c>
      <c r="I181" s="56">
        <v>3193</v>
      </c>
      <c r="J181" s="56">
        <v>55</v>
      </c>
      <c r="K181" s="56">
        <v>687</v>
      </c>
      <c r="L181" s="56">
        <v>2675</v>
      </c>
      <c r="M181" s="56">
        <v>18725</v>
      </c>
      <c r="N181" s="56">
        <v>5379</v>
      </c>
      <c r="O181" s="56">
        <v>25967</v>
      </c>
      <c r="P181" s="56">
        <v>2497</v>
      </c>
      <c r="Q181" s="56">
        <v>24918</v>
      </c>
      <c r="R181" s="16">
        <f t="shared" si="13"/>
        <v>10551</v>
      </c>
      <c r="S181" s="167">
        <f t="shared" si="11"/>
        <v>10850.5</v>
      </c>
      <c r="T181" s="168">
        <f t="shared" si="12"/>
        <v>37735</v>
      </c>
    </row>
    <row r="182" spans="1:20" ht="15.6" x14ac:dyDescent="0.3">
      <c r="A182" s="123">
        <f t="shared" si="10"/>
        <v>37742</v>
      </c>
      <c r="B182" s="56">
        <v>824</v>
      </c>
      <c r="C182" s="56">
        <v>6493</v>
      </c>
      <c r="D182" s="56">
        <v>174</v>
      </c>
      <c r="E182" s="56">
        <v>2717</v>
      </c>
      <c r="F182" s="56">
        <v>945</v>
      </c>
      <c r="G182" s="56">
        <v>6016</v>
      </c>
      <c r="H182" s="56">
        <v>373</v>
      </c>
      <c r="I182" s="56">
        <v>3300</v>
      </c>
      <c r="J182" s="56">
        <v>60</v>
      </c>
      <c r="K182" s="56">
        <v>694</v>
      </c>
      <c r="L182" s="56">
        <v>2375</v>
      </c>
      <c r="M182" s="56">
        <v>19219</v>
      </c>
      <c r="N182" s="56">
        <v>5431</v>
      </c>
      <c r="O182" s="56">
        <v>26483</v>
      </c>
      <c r="P182" s="56">
        <v>2169</v>
      </c>
      <c r="Q182" s="56">
        <v>25282</v>
      </c>
      <c r="R182" s="16">
        <f t="shared" si="13"/>
        <v>9975</v>
      </c>
      <c r="S182" s="167">
        <f t="shared" si="11"/>
        <v>10552.75</v>
      </c>
      <c r="T182" s="168">
        <f t="shared" si="12"/>
        <v>37742</v>
      </c>
    </row>
    <row r="183" spans="1:20" ht="15.6" x14ac:dyDescent="0.3">
      <c r="A183" s="123">
        <f t="shared" si="10"/>
        <v>37749</v>
      </c>
      <c r="B183" s="56">
        <v>752</v>
      </c>
      <c r="C183" s="56">
        <v>6629</v>
      </c>
      <c r="D183" s="56">
        <v>130</v>
      </c>
      <c r="E183" s="56">
        <v>2761</v>
      </c>
      <c r="F183" s="56">
        <v>845</v>
      </c>
      <c r="G183" s="56">
        <v>6213</v>
      </c>
      <c r="H183" s="56">
        <v>437</v>
      </c>
      <c r="I183" s="56">
        <v>3342</v>
      </c>
      <c r="J183" s="56">
        <v>42</v>
      </c>
      <c r="K183" s="56">
        <v>714</v>
      </c>
      <c r="L183" s="56">
        <v>2174</v>
      </c>
      <c r="M183" s="56">
        <v>19659</v>
      </c>
      <c r="N183" s="56">
        <v>5879</v>
      </c>
      <c r="O183" s="56">
        <v>27099</v>
      </c>
      <c r="P183" s="56">
        <v>2003</v>
      </c>
      <c r="Q183" s="56">
        <v>25591</v>
      </c>
      <c r="R183" s="16">
        <f t="shared" si="13"/>
        <v>10056</v>
      </c>
      <c r="S183" s="167">
        <f t="shared" si="11"/>
        <v>10306.75</v>
      </c>
      <c r="T183" s="168">
        <f t="shared" si="12"/>
        <v>37749</v>
      </c>
    </row>
    <row r="184" spans="1:20" ht="15.6" x14ac:dyDescent="0.3">
      <c r="A184" s="123">
        <f t="shared" si="10"/>
        <v>37756</v>
      </c>
      <c r="B184" s="56">
        <v>619</v>
      </c>
      <c r="C184" s="56">
        <v>6742</v>
      </c>
      <c r="D184" s="56">
        <v>108</v>
      </c>
      <c r="E184" s="56">
        <v>2801</v>
      </c>
      <c r="F184" s="56">
        <v>775</v>
      </c>
      <c r="G184" s="56">
        <v>6347</v>
      </c>
      <c r="H184" s="56">
        <v>390</v>
      </c>
      <c r="I184" s="56">
        <v>3404</v>
      </c>
      <c r="J184" s="56">
        <v>38</v>
      </c>
      <c r="K184" s="56">
        <v>720</v>
      </c>
      <c r="L184" s="56">
        <v>1929</v>
      </c>
      <c r="M184" s="56">
        <v>20013</v>
      </c>
      <c r="N184" s="56">
        <v>5804</v>
      </c>
      <c r="O184" s="56">
        <v>27930</v>
      </c>
      <c r="P184" s="56">
        <v>1997</v>
      </c>
      <c r="Q184" s="56">
        <v>25701</v>
      </c>
      <c r="R184" s="16">
        <f t="shared" si="13"/>
        <v>9730</v>
      </c>
      <c r="S184" s="167">
        <f t="shared" si="11"/>
        <v>10078</v>
      </c>
      <c r="T184" s="168">
        <f t="shared" si="12"/>
        <v>37756</v>
      </c>
    </row>
    <row r="185" spans="1:20" ht="15.6" x14ac:dyDescent="0.3">
      <c r="A185" s="123">
        <f t="shared" si="10"/>
        <v>37763</v>
      </c>
      <c r="B185" s="56">
        <v>585</v>
      </c>
      <c r="C185" s="56">
        <v>6772</v>
      </c>
      <c r="D185" s="56">
        <v>99</v>
      </c>
      <c r="E185" s="56">
        <v>2847</v>
      </c>
      <c r="F185" s="56">
        <v>620</v>
      </c>
      <c r="G185" s="56">
        <v>6473</v>
      </c>
      <c r="H185" s="56">
        <v>306</v>
      </c>
      <c r="I185" s="56">
        <v>3497</v>
      </c>
      <c r="J185" s="56">
        <v>38</v>
      </c>
      <c r="K185" s="56">
        <v>720</v>
      </c>
      <c r="L185" s="56">
        <v>1656</v>
      </c>
      <c r="M185" s="56">
        <v>20309</v>
      </c>
      <c r="N185" s="56">
        <v>5640</v>
      </c>
      <c r="O185" s="56">
        <v>28723</v>
      </c>
      <c r="P185" s="56">
        <v>1903</v>
      </c>
      <c r="Q185" s="56">
        <v>26055</v>
      </c>
      <c r="R185" s="16">
        <f t="shared" si="13"/>
        <v>9199</v>
      </c>
      <c r="S185" s="167">
        <f t="shared" si="11"/>
        <v>9740</v>
      </c>
      <c r="T185" s="168">
        <f t="shared" si="12"/>
        <v>37763</v>
      </c>
    </row>
    <row r="186" spans="1:20" ht="15.6" x14ac:dyDescent="0.3">
      <c r="A186" s="123">
        <f t="shared" si="10"/>
        <v>37770</v>
      </c>
      <c r="B186" s="56">
        <v>475</v>
      </c>
      <c r="C186" s="56">
        <v>6896</v>
      </c>
      <c r="D186" s="56">
        <v>59</v>
      </c>
      <c r="E186" s="56">
        <v>2899</v>
      </c>
      <c r="F186" s="56">
        <v>456</v>
      </c>
      <c r="G186" s="56">
        <v>6645</v>
      </c>
      <c r="H186" s="56">
        <v>297</v>
      </c>
      <c r="I186" s="56">
        <v>3517</v>
      </c>
      <c r="J186" s="56">
        <v>38</v>
      </c>
      <c r="K186" s="56">
        <v>720</v>
      </c>
      <c r="L186" s="56">
        <v>1323</v>
      </c>
      <c r="M186" s="56">
        <v>20677</v>
      </c>
      <c r="N186" s="56">
        <v>5289</v>
      </c>
      <c r="O186" s="56">
        <v>29608</v>
      </c>
      <c r="P186" s="56">
        <v>1887</v>
      </c>
      <c r="Q186" s="56">
        <v>26183</v>
      </c>
      <c r="R186" s="16">
        <f t="shared" si="13"/>
        <v>8499</v>
      </c>
      <c r="S186" s="167">
        <f t="shared" si="11"/>
        <v>9371</v>
      </c>
      <c r="T186" s="168">
        <f t="shared" si="12"/>
        <v>37770</v>
      </c>
    </row>
    <row r="187" spans="1:20" ht="15.6" x14ac:dyDescent="0.3">
      <c r="A187" s="123">
        <f t="shared" si="10"/>
        <v>37777</v>
      </c>
      <c r="B187" s="56">
        <v>1369</v>
      </c>
      <c r="C187" s="56">
        <v>121</v>
      </c>
      <c r="D187" s="56">
        <v>325</v>
      </c>
      <c r="E187" s="56">
        <v>13</v>
      </c>
      <c r="F187" s="56">
        <v>1003</v>
      </c>
      <c r="G187" s="56">
        <v>90</v>
      </c>
      <c r="H187" s="56">
        <v>536</v>
      </c>
      <c r="I187" s="56">
        <v>53</v>
      </c>
      <c r="J187" s="56">
        <v>175</v>
      </c>
      <c r="K187" s="56">
        <v>0</v>
      </c>
      <c r="L187" s="56">
        <v>3408</v>
      </c>
      <c r="M187" s="56">
        <v>276</v>
      </c>
      <c r="N187" s="56">
        <v>5302</v>
      </c>
      <c r="O187" s="56">
        <v>30325</v>
      </c>
      <c r="P187" s="56">
        <v>1861</v>
      </c>
      <c r="Q187" s="56">
        <v>26378</v>
      </c>
      <c r="R187" s="16">
        <f t="shared" si="13"/>
        <v>10571</v>
      </c>
      <c r="S187" s="167">
        <f t="shared" si="11"/>
        <v>9499.75</v>
      </c>
      <c r="T187" s="168">
        <f t="shared" si="12"/>
        <v>37777</v>
      </c>
    </row>
    <row r="188" spans="1:20" ht="15.6" x14ac:dyDescent="0.3">
      <c r="A188" s="123">
        <f t="shared" si="10"/>
        <v>37784</v>
      </c>
      <c r="B188" s="56">
        <v>1467</v>
      </c>
      <c r="C188" s="56">
        <v>304</v>
      </c>
      <c r="D188" s="56">
        <v>385</v>
      </c>
      <c r="E188" s="56">
        <v>29</v>
      </c>
      <c r="F188" s="56">
        <v>1046</v>
      </c>
      <c r="G188" s="56">
        <v>197</v>
      </c>
      <c r="H188" s="56">
        <v>556</v>
      </c>
      <c r="I188" s="56">
        <v>118</v>
      </c>
      <c r="J188" s="56">
        <v>158</v>
      </c>
      <c r="K188" s="56">
        <v>16</v>
      </c>
      <c r="L188" s="56">
        <v>3612</v>
      </c>
      <c r="M188" s="56">
        <v>664</v>
      </c>
      <c r="N188" s="56">
        <v>5178</v>
      </c>
      <c r="O188" s="56">
        <v>31191</v>
      </c>
      <c r="P188" s="56">
        <v>1860</v>
      </c>
      <c r="Q188" s="56">
        <v>26547</v>
      </c>
      <c r="R188" s="16">
        <f t="shared" si="13"/>
        <v>10650</v>
      </c>
      <c r="S188" s="167">
        <f t="shared" si="11"/>
        <v>9729.75</v>
      </c>
      <c r="T188" s="168">
        <f t="shared" si="12"/>
        <v>37784</v>
      </c>
    </row>
    <row r="189" spans="1:20" ht="15.6" x14ac:dyDescent="0.3">
      <c r="A189" s="123">
        <f t="shared" si="10"/>
        <v>37791</v>
      </c>
      <c r="B189" s="56">
        <v>1530</v>
      </c>
      <c r="C189" s="56">
        <v>481</v>
      </c>
      <c r="D189" s="56">
        <v>386</v>
      </c>
      <c r="E189" s="56">
        <v>45</v>
      </c>
      <c r="F189" s="56">
        <v>1223</v>
      </c>
      <c r="G189" s="56">
        <v>221</v>
      </c>
      <c r="H189" s="56">
        <v>569</v>
      </c>
      <c r="I189" s="56">
        <v>163</v>
      </c>
      <c r="J189" s="56">
        <v>142</v>
      </c>
      <c r="K189" s="56">
        <v>34</v>
      </c>
      <c r="L189" s="56">
        <v>3851</v>
      </c>
      <c r="M189" s="56">
        <v>943</v>
      </c>
      <c r="N189" s="56">
        <v>5264</v>
      </c>
      <c r="O189" s="56">
        <v>31918</v>
      </c>
      <c r="P189" s="56">
        <v>1959</v>
      </c>
      <c r="Q189" s="56">
        <v>26680</v>
      </c>
      <c r="R189" s="16">
        <f t="shared" si="13"/>
        <v>11074</v>
      </c>
      <c r="S189" s="167">
        <f t="shared" si="11"/>
        <v>10198.5</v>
      </c>
      <c r="T189" s="168">
        <f t="shared" si="12"/>
        <v>37791</v>
      </c>
    </row>
    <row r="190" spans="1:20" ht="15.6" x14ac:dyDescent="0.3">
      <c r="A190" s="123">
        <f t="shared" si="10"/>
        <v>37798</v>
      </c>
      <c r="B190" s="56">
        <v>1793</v>
      </c>
      <c r="C190" s="56">
        <v>610</v>
      </c>
      <c r="D190" s="56">
        <v>403</v>
      </c>
      <c r="E190" s="56">
        <v>98</v>
      </c>
      <c r="F190" s="56">
        <v>1317</v>
      </c>
      <c r="G190" s="56">
        <v>271</v>
      </c>
      <c r="H190" s="56">
        <v>552</v>
      </c>
      <c r="I190" s="56">
        <v>196</v>
      </c>
      <c r="J190" s="56">
        <v>135</v>
      </c>
      <c r="K190" s="56">
        <v>81</v>
      </c>
      <c r="L190" s="56">
        <v>4199</v>
      </c>
      <c r="M190" s="56">
        <v>1255</v>
      </c>
      <c r="N190" s="56">
        <v>5117</v>
      </c>
      <c r="O190" s="56">
        <v>32836</v>
      </c>
      <c r="P190" s="56">
        <v>1917</v>
      </c>
      <c r="Q190" s="56">
        <v>26917</v>
      </c>
      <c r="R190" s="16">
        <f t="shared" si="13"/>
        <v>11233</v>
      </c>
      <c r="S190" s="167">
        <f t="shared" si="11"/>
        <v>10882</v>
      </c>
      <c r="T190" s="168">
        <f t="shared" si="12"/>
        <v>37798</v>
      </c>
    </row>
    <row r="191" spans="1:20" ht="15.6" x14ac:dyDescent="0.3">
      <c r="A191" s="123">
        <f t="shared" si="10"/>
        <v>37805</v>
      </c>
      <c r="B191" s="56">
        <v>1760</v>
      </c>
      <c r="C191" s="56">
        <v>805</v>
      </c>
      <c r="D191" s="56">
        <v>551</v>
      </c>
      <c r="E191" s="56">
        <v>127</v>
      </c>
      <c r="F191" s="56">
        <v>1257</v>
      </c>
      <c r="G191" s="56">
        <v>416</v>
      </c>
      <c r="H191" s="56">
        <v>604</v>
      </c>
      <c r="I191" s="56">
        <v>270</v>
      </c>
      <c r="J191" s="56">
        <v>145</v>
      </c>
      <c r="K191" s="56">
        <v>81</v>
      </c>
      <c r="L191" s="56">
        <v>4316</v>
      </c>
      <c r="M191" s="56">
        <v>1699</v>
      </c>
      <c r="N191" s="56">
        <v>5075</v>
      </c>
      <c r="O191" s="56">
        <v>33596</v>
      </c>
      <c r="P191" s="56">
        <v>1793</v>
      </c>
      <c r="Q191" s="56">
        <v>27272</v>
      </c>
      <c r="R191" s="16">
        <f t="shared" si="13"/>
        <v>11184</v>
      </c>
      <c r="S191" s="167">
        <f t="shared" si="11"/>
        <v>11035.25</v>
      </c>
      <c r="T191" s="168">
        <f t="shared" si="12"/>
        <v>37805</v>
      </c>
    </row>
    <row r="192" spans="1:20" ht="15.6" x14ac:dyDescent="0.3">
      <c r="A192" s="123">
        <f t="shared" si="10"/>
        <v>37812</v>
      </c>
      <c r="B192" s="56">
        <v>2071</v>
      </c>
      <c r="C192" s="56">
        <v>939</v>
      </c>
      <c r="D192" s="56">
        <v>595</v>
      </c>
      <c r="E192" s="56">
        <v>177</v>
      </c>
      <c r="F192" s="56">
        <v>1255</v>
      </c>
      <c r="G192" s="56">
        <v>480</v>
      </c>
      <c r="H192" s="56">
        <v>572</v>
      </c>
      <c r="I192" s="56">
        <v>345</v>
      </c>
      <c r="J192" s="56">
        <v>132</v>
      </c>
      <c r="K192" s="56">
        <v>131</v>
      </c>
      <c r="L192" s="56">
        <v>4625</v>
      </c>
      <c r="M192" s="56">
        <v>2049</v>
      </c>
      <c r="N192" s="56">
        <v>4839</v>
      </c>
      <c r="O192" s="56">
        <v>34307</v>
      </c>
      <c r="P192" s="56">
        <v>5430</v>
      </c>
      <c r="Q192" s="56">
        <v>27479</v>
      </c>
      <c r="R192" s="16">
        <f t="shared" si="13"/>
        <v>14894</v>
      </c>
      <c r="S192" s="167">
        <f t="shared" si="11"/>
        <v>12096.25</v>
      </c>
      <c r="T192" s="168">
        <f t="shared" si="12"/>
        <v>37812</v>
      </c>
    </row>
    <row r="193" spans="1:20" ht="15.6" x14ac:dyDescent="0.3">
      <c r="A193" s="123">
        <f t="shared" si="10"/>
        <v>37819</v>
      </c>
      <c r="B193" s="56">
        <v>2019</v>
      </c>
      <c r="C193" s="56">
        <v>1164</v>
      </c>
      <c r="D193" s="56">
        <v>486</v>
      </c>
      <c r="E193" s="56">
        <v>317</v>
      </c>
      <c r="F193" s="56">
        <v>1221</v>
      </c>
      <c r="G193" s="56">
        <v>633</v>
      </c>
      <c r="H193" s="56">
        <v>574</v>
      </c>
      <c r="I193" s="56">
        <v>379</v>
      </c>
      <c r="J193" s="56">
        <v>147</v>
      </c>
      <c r="K193" s="56">
        <v>111</v>
      </c>
      <c r="L193" s="56">
        <v>4446</v>
      </c>
      <c r="M193" s="56">
        <v>2604</v>
      </c>
      <c r="N193" s="56">
        <v>4532</v>
      </c>
      <c r="O193" s="56">
        <v>35086</v>
      </c>
      <c r="P193" s="56">
        <v>1705</v>
      </c>
      <c r="Q193" s="56">
        <v>27771</v>
      </c>
      <c r="R193" s="16">
        <f t="shared" si="13"/>
        <v>10683</v>
      </c>
      <c r="S193" s="167">
        <f t="shared" si="11"/>
        <v>11998.5</v>
      </c>
      <c r="T193" s="168">
        <f t="shared" si="12"/>
        <v>37819</v>
      </c>
    </row>
    <row r="194" spans="1:20" ht="15.6" x14ac:dyDescent="0.3">
      <c r="A194" s="123">
        <f t="shared" si="10"/>
        <v>37826</v>
      </c>
      <c r="B194" s="56">
        <v>1945</v>
      </c>
      <c r="C194" s="56">
        <v>1440</v>
      </c>
      <c r="D194" s="56">
        <v>482</v>
      </c>
      <c r="E194" s="56">
        <v>433</v>
      </c>
      <c r="F194" s="56">
        <v>1269</v>
      </c>
      <c r="G194" s="56">
        <v>750</v>
      </c>
      <c r="H194" s="56">
        <v>507</v>
      </c>
      <c r="I194" s="56">
        <v>423</v>
      </c>
      <c r="J194" s="56">
        <v>166</v>
      </c>
      <c r="K194" s="56">
        <v>122</v>
      </c>
      <c r="L194" s="56">
        <v>4368</v>
      </c>
      <c r="M194" s="56">
        <v>3168</v>
      </c>
      <c r="N194" s="56">
        <v>4238</v>
      </c>
      <c r="O194" s="56">
        <v>35928</v>
      </c>
      <c r="P194" s="56">
        <v>1706</v>
      </c>
      <c r="Q194" s="56">
        <v>27890</v>
      </c>
      <c r="R194" s="16">
        <f t="shared" si="13"/>
        <v>10312</v>
      </c>
      <c r="S194" s="167">
        <f t="shared" si="11"/>
        <v>11768.25</v>
      </c>
      <c r="T194" s="168">
        <f t="shared" si="12"/>
        <v>37826</v>
      </c>
    </row>
    <row r="195" spans="1:20" ht="15.6" x14ac:dyDescent="0.3">
      <c r="A195" s="123">
        <f t="shared" si="10"/>
        <v>37833</v>
      </c>
      <c r="B195" s="56">
        <v>1930</v>
      </c>
      <c r="C195" s="56">
        <v>1701</v>
      </c>
      <c r="D195" s="56">
        <v>404</v>
      </c>
      <c r="E195" s="56">
        <v>577</v>
      </c>
      <c r="F195" s="56">
        <v>1292</v>
      </c>
      <c r="G195" s="56">
        <v>840</v>
      </c>
      <c r="H195" s="56">
        <v>504</v>
      </c>
      <c r="I195" s="56">
        <v>564</v>
      </c>
      <c r="J195" s="56">
        <v>149</v>
      </c>
      <c r="K195" s="56">
        <v>146</v>
      </c>
      <c r="L195" s="56">
        <v>4279</v>
      </c>
      <c r="M195" s="56">
        <v>3827</v>
      </c>
      <c r="N195" s="56">
        <v>3851</v>
      </c>
      <c r="O195" s="56">
        <v>36739</v>
      </c>
      <c r="P195" s="56">
        <v>1569</v>
      </c>
      <c r="Q195" s="56">
        <v>28161</v>
      </c>
      <c r="R195" s="16">
        <f t="shared" si="13"/>
        <v>9699</v>
      </c>
      <c r="S195" s="167">
        <f t="shared" si="11"/>
        <v>11397</v>
      </c>
      <c r="T195" s="168">
        <f t="shared" si="12"/>
        <v>37833</v>
      </c>
    </row>
    <row r="196" spans="1:20" ht="15.6" x14ac:dyDescent="0.3">
      <c r="A196" s="123">
        <f t="shared" si="10"/>
        <v>37840</v>
      </c>
      <c r="B196" s="56">
        <v>1997</v>
      </c>
      <c r="C196" s="56">
        <v>1949</v>
      </c>
      <c r="D196" s="56">
        <v>401</v>
      </c>
      <c r="E196" s="56">
        <v>698</v>
      </c>
      <c r="F196" s="56">
        <v>1219</v>
      </c>
      <c r="G196" s="56">
        <v>928</v>
      </c>
      <c r="H196" s="56">
        <v>578</v>
      </c>
      <c r="I196" s="56">
        <v>620</v>
      </c>
      <c r="J196" s="56">
        <v>210</v>
      </c>
      <c r="K196" s="56">
        <v>149</v>
      </c>
      <c r="L196" s="56">
        <v>4405</v>
      </c>
      <c r="M196" s="56">
        <v>4422</v>
      </c>
      <c r="N196" s="56">
        <v>3684</v>
      </c>
      <c r="O196" s="56">
        <v>37234</v>
      </c>
      <c r="P196" s="56">
        <v>1293</v>
      </c>
      <c r="Q196" s="56">
        <v>28293</v>
      </c>
      <c r="R196" s="16">
        <f t="shared" si="13"/>
        <v>9382</v>
      </c>
      <c r="S196" s="167">
        <f t="shared" si="11"/>
        <v>10019</v>
      </c>
      <c r="T196" s="168">
        <f t="shared" si="12"/>
        <v>37840</v>
      </c>
    </row>
    <row r="197" spans="1:20" ht="15.6" x14ac:dyDescent="0.3">
      <c r="A197" s="123">
        <f t="shared" si="10"/>
        <v>37847</v>
      </c>
      <c r="B197" s="56">
        <v>2046</v>
      </c>
      <c r="C197" s="56">
        <v>2234</v>
      </c>
      <c r="D197" s="56">
        <v>529</v>
      </c>
      <c r="E197" s="56">
        <v>764</v>
      </c>
      <c r="F197" s="56">
        <v>1242</v>
      </c>
      <c r="G197" s="56">
        <v>1124</v>
      </c>
      <c r="H197" s="56">
        <v>557</v>
      </c>
      <c r="I197" s="56">
        <v>703</v>
      </c>
      <c r="J197" s="56">
        <v>172</v>
      </c>
      <c r="K197" s="56">
        <v>193</v>
      </c>
      <c r="L197" s="56">
        <v>4546</v>
      </c>
      <c r="M197" s="56">
        <v>5019</v>
      </c>
      <c r="N197" s="56">
        <v>3180</v>
      </c>
      <c r="O197" s="56">
        <v>38006</v>
      </c>
      <c r="P197" s="56">
        <v>1088</v>
      </c>
      <c r="Q197" s="56">
        <v>28479</v>
      </c>
      <c r="R197" s="16">
        <f t="shared" si="13"/>
        <v>8814</v>
      </c>
      <c r="S197" s="167">
        <f t="shared" si="11"/>
        <v>9551.75</v>
      </c>
      <c r="T197" s="168">
        <f t="shared" si="12"/>
        <v>37847</v>
      </c>
    </row>
    <row r="198" spans="1:20" ht="15.6" x14ac:dyDescent="0.3">
      <c r="A198" s="123">
        <f t="shared" si="10"/>
        <v>37854</v>
      </c>
      <c r="B198" s="56">
        <v>2273</v>
      </c>
      <c r="C198" s="56">
        <v>2649</v>
      </c>
      <c r="D198" s="56">
        <v>653</v>
      </c>
      <c r="E198" s="56">
        <v>794</v>
      </c>
      <c r="F198" s="56">
        <v>1330</v>
      </c>
      <c r="G198" s="56">
        <v>1346</v>
      </c>
      <c r="H198" s="56">
        <v>647</v>
      </c>
      <c r="I198" s="56">
        <v>759</v>
      </c>
      <c r="J198" s="56">
        <v>209</v>
      </c>
      <c r="K198" s="56">
        <v>193</v>
      </c>
      <c r="L198" s="56">
        <v>5111</v>
      </c>
      <c r="M198" s="56">
        <v>5740</v>
      </c>
      <c r="N198" s="56">
        <v>2653</v>
      </c>
      <c r="O198" s="56">
        <v>38728</v>
      </c>
      <c r="P198" s="56">
        <v>940</v>
      </c>
      <c r="Q198" s="56">
        <v>28739</v>
      </c>
      <c r="R198" s="16">
        <f t="shared" si="13"/>
        <v>8704</v>
      </c>
      <c r="S198" s="167">
        <f t="shared" si="11"/>
        <v>9149.75</v>
      </c>
      <c r="T198" s="168">
        <f t="shared" si="12"/>
        <v>37854</v>
      </c>
    </row>
    <row r="199" spans="1:20" ht="15.6" x14ac:dyDescent="0.3">
      <c r="A199" s="123">
        <f t="shared" si="10"/>
        <v>37861</v>
      </c>
      <c r="B199" s="56">
        <v>2375</v>
      </c>
      <c r="C199" s="56">
        <v>2836</v>
      </c>
      <c r="D199" s="56">
        <v>565</v>
      </c>
      <c r="E199" s="56">
        <v>952</v>
      </c>
      <c r="F199" s="56">
        <v>1324</v>
      </c>
      <c r="G199" s="56">
        <v>1492</v>
      </c>
      <c r="H199" s="56">
        <v>655</v>
      </c>
      <c r="I199" s="56">
        <v>844</v>
      </c>
      <c r="J199" s="56">
        <v>166</v>
      </c>
      <c r="K199" s="56">
        <v>232</v>
      </c>
      <c r="L199" s="56">
        <v>5085</v>
      </c>
      <c r="M199" s="56">
        <v>6355</v>
      </c>
      <c r="N199" s="56">
        <v>1900</v>
      </c>
      <c r="O199" s="56">
        <v>39646</v>
      </c>
      <c r="P199" s="56">
        <v>599</v>
      </c>
      <c r="Q199" s="56">
        <v>28908</v>
      </c>
      <c r="R199" s="16">
        <f t="shared" si="13"/>
        <v>7584</v>
      </c>
      <c r="S199" s="167">
        <f t="shared" si="11"/>
        <v>8621</v>
      </c>
      <c r="T199" s="168">
        <f t="shared" si="12"/>
        <v>37861</v>
      </c>
    </row>
    <row r="200" spans="1:20" ht="15.6" x14ac:dyDescent="0.3">
      <c r="A200" s="123">
        <f t="shared" si="10"/>
        <v>37868</v>
      </c>
      <c r="B200" s="56">
        <v>2262</v>
      </c>
      <c r="C200" s="56">
        <v>3161</v>
      </c>
      <c r="D200" s="56">
        <v>568</v>
      </c>
      <c r="E200" s="56">
        <v>1028</v>
      </c>
      <c r="F200" s="56">
        <v>1355</v>
      </c>
      <c r="G200" s="56">
        <v>1606</v>
      </c>
      <c r="H200" s="56">
        <v>747</v>
      </c>
      <c r="I200" s="56">
        <v>945</v>
      </c>
      <c r="J200" s="56">
        <v>178</v>
      </c>
      <c r="K200" s="56">
        <v>250</v>
      </c>
      <c r="L200" s="56">
        <v>5108</v>
      </c>
      <c r="M200" s="56">
        <v>6990</v>
      </c>
      <c r="N200" s="56">
        <v>7626</v>
      </c>
      <c r="O200" s="56">
        <v>461</v>
      </c>
      <c r="P200" s="56">
        <v>8064</v>
      </c>
      <c r="Q200" s="56">
        <v>40</v>
      </c>
      <c r="R200" s="16">
        <f t="shared" si="13"/>
        <v>20798</v>
      </c>
      <c r="S200" s="167">
        <f t="shared" si="11"/>
        <v>11475</v>
      </c>
      <c r="T200" s="168">
        <f t="shared" si="12"/>
        <v>37868</v>
      </c>
    </row>
    <row r="201" spans="1:20" ht="15.6" x14ac:dyDescent="0.3">
      <c r="A201" s="123">
        <f t="shared" si="10"/>
        <v>37875</v>
      </c>
      <c r="B201" s="56">
        <v>2191</v>
      </c>
      <c r="C201" s="56">
        <v>3404</v>
      </c>
      <c r="D201" s="56">
        <v>631</v>
      </c>
      <c r="E201" s="56">
        <v>1095</v>
      </c>
      <c r="F201" s="56">
        <v>1268</v>
      </c>
      <c r="G201" s="56">
        <v>1871</v>
      </c>
      <c r="H201" s="56">
        <v>864</v>
      </c>
      <c r="I201" s="56">
        <v>1013</v>
      </c>
      <c r="J201" s="56">
        <v>187</v>
      </c>
      <c r="K201" s="56">
        <v>277</v>
      </c>
      <c r="L201" s="56">
        <v>5141</v>
      </c>
      <c r="M201" s="56">
        <v>7661</v>
      </c>
      <c r="N201" s="56">
        <v>7683</v>
      </c>
      <c r="O201" s="56">
        <v>1319</v>
      </c>
      <c r="P201" s="56">
        <v>8468</v>
      </c>
      <c r="Q201" s="56">
        <v>225</v>
      </c>
      <c r="R201" s="16">
        <f t="shared" si="13"/>
        <v>21292</v>
      </c>
      <c r="S201" s="167">
        <f t="shared" si="11"/>
        <v>14594.5</v>
      </c>
      <c r="T201" s="168">
        <f t="shared" si="12"/>
        <v>37875</v>
      </c>
    </row>
    <row r="202" spans="1:20" ht="15.6" x14ac:dyDescent="0.3">
      <c r="A202" s="123">
        <f t="shared" si="10"/>
        <v>37882</v>
      </c>
      <c r="B202" s="56">
        <v>2201</v>
      </c>
      <c r="C202" s="56">
        <v>3714</v>
      </c>
      <c r="D202" s="56">
        <v>539</v>
      </c>
      <c r="E202" s="56">
        <v>1331</v>
      </c>
      <c r="F202" s="56">
        <v>1177</v>
      </c>
      <c r="G202" s="56">
        <v>2068</v>
      </c>
      <c r="H202" s="56">
        <v>893</v>
      </c>
      <c r="I202" s="56">
        <v>1176</v>
      </c>
      <c r="J202" s="56">
        <v>173</v>
      </c>
      <c r="K202" s="56">
        <v>298</v>
      </c>
      <c r="L202" s="56">
        <v>4983</v>
      </c>
      <c r="M202" s="56">
        <v>8588</v>
      </c>
      <c r="N202" s="56">
        <v>8252</v>
      </c>
      <c r="O202" s="56">
        <v>2127</v>
      </c>
      <c r="P202" s="56">
        <v>9078</v>
      </c>
      <c r="Q202" s="56">
        <v>368</v>
      </c>
      <c r="R202" s="16">
        <f t="shared" si="13"/>
        <v>22313</v>
      </c>
      <c r="S202" s="167">
        <f t="shared" si="11"/>
        <v>17996.75</v>
      </c>
      <c r="T202" s="168">
        <f t="shared" si="12"/>
        <v>37882</v>
      </c>
    </row>
    <row r="203" spans="1:20" ht="15.6" x14ac:dyDescent="0.3">
      <c r="A203" s="123">
        <f t="shared" ref="A203:A265" si="14">A202+7</f>
        <v>37889</v>
      </c>
      <c r="B203" s="56">
        <v>2244</v>
      </c>
      <c r="C203" s="56">
        <v>3979</v>
      </c>
      <c r="D203" s="56">
        <v>497</v>
      </c>
      <c r="E203" s="56">
        <v>1375</v>
      </c>
      <c r="F203" s="56">
        <v>1127</v>
      </c>
      <c r="G203" s="56">
        <v>2281</v>
      </c>
      <c r="H203" s="56">
        <v>1020</v>
      </c>
      <c r="I203" s="56">
        <v>1212</v>
      </c>
      <c r="J203" s="56">
        <v>196</v>
      </c>
      <c r="K203" s="56">
        <v>402</v>
      </c>
      <c r="L203" s="56">
        <v>5085</v>
      </c>
      <c r="M203" s="56">
        <v>9249</v>
      </c>
      <c r="N203" s="56">
        <v>8274</v>
      </c>
      <c r="O203" s="56">
        <v>3021</v>
      </c>
      <c r="P203" s="56">
        <v>9579</v>
      </c>
      <c r="Q203" s="56">
        <v>568</v>
      </c>
      <c r="R203" s="16">
        <f t="shared" si="13"/>
        <v>22938</v>
      </c>
      <c r="S203" s="167">
        <f t="shared" si="11"/>
        <v>21835.25</v>
      </c>
      <c r="T203" s="168">
        <f t="shared" si="12"/>
        <v>37889</v>
      </c>
    </row>
    <row r="204" spans="1:20" ht="15.6" x14ac:dyDescent="0.3">
      <c r="A204" s="123">
        <f t="shared" si="14"/>
        <v>37896</v>
      </c>
      <c r="B204" s="56">
        <v>2197</v>
      </c>
      <c r="C204" s="56">
        <v>4287</v>
      </c>
      <c r="D204" s="56">
        <v>428</v>
      </c>
      <c r="E204" s="56">
        <v>1441</v>
      </c>
      <c r="F204" s="56">
        <v>1044</v>
      </c>
      <c r="G204" s="56">
        <v>2441</v>
      </c>
      <c r="H204" s="56">
        <v>875</v>
      </c>
      <c r="I204" s="56">
        <v>1341</v>
      </c>
      <c r="J204" s="56">
        <v>204</v>
      </c>
      <c r="K204" s="56">
        <v>426</v>
      </c>
      <c r="L204" s="56">
        <v>4748</v>
      </c>
      <c r="M204" s="56">
        <v>9935</v>
      </c>
      <c r="N204" s="56">
        <v>8451</v>
      </c>
      <c r="O204" s="56">
        <v>3800</v>
      </c>
      <c r="P204" s="56">
        <v>9814</v>
      </c>
      <c r="Q204" s="56">
        <v>806</v>
      </c>
      <c r="R204" s="16">
        <f t="shared" si="13"/>
        <v>23013</v>
      </c>
      <c r="S204" s="167">
        <f t="shared" ref="S204:S267" si="15">AVERAGE(R201:R204)</f>
        <v>22389</v>
      </c>
      <c r="T204" s="168">
        <f t="shared" ref="T204:T267" si="16">T203+7</f>
        <v>37896</v>
      </c>
    </row>
    <row r="205" spans="1:20" ht="15.6" x14ac:dyDescent="0.3">
      <c r="A205" s="123">
        <f t="shared" si="14"/>
        <v>37903</v>
      </c>
      <c r="B205" s="56">
        <v>2161</v>
      </c>
      <c r="C205" s="56">
        <v>3176</v>
      </c>
      <c r="D205" s="56">
        <v>322</v>
      </c>
      <c r="E205" s="56">
        <v>1606</v>
      </c>
      <c r="F205" s="56">
        <v>1066</v>
      </c>
      <c r="G205" s="56">
        <v>2568</v>
      </c>
      <c r="H205" s="56">
        <v>816</v>
      </c>
      <c r="I205" s="56">
        <v>1452</v>
      </c>
      <c r="J205" s="56">
        <v>192</v>
      </c>
      <c r="K205" s="56">
        <v>463</v>
      </c>
      <c r="L205" s="56">
        <v>4556</v>
      </c>
      <c r="M205" s="56">
        <v>10550</v>
      </c>
      <c r="N205" s="56">
        <v>9229</v>
      </c>
      <c r="O205" s="56">
        <v>4699</v>
      </c>
      <c r="P205" s="56">
        <v>10393</v>
      </c>
      <c r="Q205" s="56">
        <v>1436</v>
      </c>
      <c r="R205" s="16">
        <f t="shared" si="13"/>
        <v>24178</v>
      </c>
      <c r="S205" s="167">
        <f t="shared" si="15"/>
        <v>23110.5</v>
      </c>
      <c r="T205" s="168">
        <f t="shared" si="16"/>
        <v>37903</v>
      </c>
    </row>
    <row r="206" spans="1:20" ht="15.6" x14ac:dyDescent="0.3">
      <c r="A206" s="123">
        <f t="shared" si="14"/>
        <v>37910</v>
      </c>
      <c r="B206" s="56">
        <v>2131</v>
      </c>
      <c r="C206" s="56">
        <v>4673</v>
      </c>
      <c r="D206" s="56">
        <v>458</v>
      </c>
      <c r="E206" s="56">
        <v>1628</v>
      </c>
      <c r="F206" s="56">
        <v>1047</v>
      </c>
      <c r="G206" s="56">
        <v>2764</v>
      </c>
      <c r="H206" s="56">
        <v>831</v>
      </c>
      <c r="I206" s="56">
        <v>1508</v>
      </c>
      <c r="J206" s="56">
        <v>143</v>
      </c>
      <c r="K206" s="56">
        <v>514</v>
      </c>
      <c r="L206" s="56">
        <v>4610</v>
      </c>
      <c r="M206" s="56">
        <v>11088</v>
      </c>
      <c r="N206" s="56">
        <v>9062</v>
      </c>
      <c r="O206" s="56">
        <v>5581</v>
      </c>
      <c r="P206" s="56">
        <v>10561</v>
      </c>
      <c r="Q206" s="56">
        <v>2220</v>
      </c>
      <c r="R206" s="16">
        <f t="shared" si="13"/>
        <v>24233</v>
      </c>
      <c r="S206" s="167">
        <f t="shared" si="15"/>
        <v>23590.5</v>
      </c>
      <c r="T206" s="168">
        <f t="shared" si="16"/>
        <v>37910</v>
      </c>
    </row>
    <row r="207" spans="1:20" ht="15.6" x14ac:dyDescent="0.3">
      <c r="A207" s="123">
        <f t="shared" si="14"/>
        <v>37917</v>
      </c>
      <c r="B207" s="56">
        <v>2048</v>
      </c>
      <c r="C207" s="56">
        <v>4793</v>
      </c>
      <c r="D207" s="56">
        <v>353</v>
      </c>
      <c r="E207" s="56">
        <v>1715</v>
      </c>
      <c r="F207" s="56">
        <v>970</v>
      </c>
      <c r="G207" s="56">
        <v>2849</v>
      </c>
      <c r="H207" s="56">
        <v>571</v>
      </c>
      <c r="I207" s="56">
        <v>1759</v>
      </c>
      <c r="J207" s="56">
        <v>117</v>
      </c>
      <c r="K207" s="56">
        <v>541</v>
      </c>
      <c r="L207" s="56">
        <v>4059</v>
      </c>
      <c r="M207" s="56">
        <v>11656</v>
      </c>
      <c r="N207" s="56">
        <v>9634</v>
      </c>
      <c r="O207" s="56">
        <v>6490</v>
      </c>
      <c r="P207" s="56">
        <v>11047</v>
      </c>
      <c r="Q207" s="56">
        <v>3538</v>
      </c>
      <c r="R207" s="16">
        <f t="shared" si="13"/>
        <v>24740</v>
      </c>
      <c r="S207" s="167">
        <f t="shared" si="15"/>
        <v>24041</v>
      </c>
      <c r="T207" s="168">
        <f t="shared" si="16"/>
        <v>37917</v>
      </c>
    </row>
    <row r="208" spans="1:20" ht="15.6" x14ac:dyDescent="0.3">
      <c r="A208" s="123">
        <f t="shared" si="14"/>
        <v>37924</v>
      </c>
      <c r="B208" s="56">
        <v>2220</v>
      </c>
      <c r="C208" s="56">
        <v>5037</v>
      </c>
      <c r="D208" s="56">
        <v>550</v>
      </c>
      <c r="E208" s="56">
        <v>1771</v>
      </c>
      <c r="F208" s="56">
        <v>998</v>
      </c>
      <c r="G208" s="56">
        <v>2996</v>
      </c>
      <c r="H208" s="56">
        <v>576</v>
      </c>
      <c r="I208" s="56">
        <v>1827</v>
      </c>
      <c r="J208" s="56">
        <v>147</v>
      </c>
      <c r="K208" s="56">
        <v>541</v>
      </c>
      <c r="L208" s="56">
        <v>4490</v>
      </c>
      <c r="M208" s="56">
        <v>12172</v>
      </c>
      <c r="N208" s="56">
        <v>10207</v>
      </c>
      <c r="O208" s="56">
        <v>7364</v>
      </c>
      <c r="P208" s="56">
        <v>11392</v>
      </c>
      <c r="Q208" s="56">
        <v>4862</v>
      </c>
      <c r="R208" s="16">
        <f t="shared" si="13"/>
        <v>26089</v>
      </c>
      <c r="S208" s="167">
        <f t="shared" si="15"/>
        <v>24810</v>
      </c>
      <c r="T208" s="168">
        <f t="shared" si="16"/>
        <v>37924</v>
      </c>
    </row>
    <row r="209" spans="1:20" ht="15.6" x14ac:dyDescent="0.3">
      <c r="A209" s="123">
        <f t="shared" si="14"/>
        <v>37931</v>
      </c>
      <c r="B209" s="56">
        <v>2346</v>
      </c>
      <c r="C209" s="56">
        <v>5297</v>
      </c>
      <c r="D209" s="56">
        <v>473</v>
      </c>
      <c r="E209" s="56">
        <v>1866</v>
      </c>
      <c r="F209" s="56">
        <v>919</v>
      </c>
      <c r="G209" s="56">
        <v>3094</v>
      </c>
      <c r="H209" s="56">
        <v>609</v>
      </c>
      <c r="I209" s="56">
        <v>1873</v>
      </c>
      <c r="J209" s="56">
        <v>122</v>
      </c>
      <c r="K209" s="56">
        <v>602</v>
      </c>
      <c r="L209" s="56">
        <v>4468</v>
      </c>
      <c r="M209" s="56">
        <v>12731</v>
      </c>
      <c r="N209" s="56">
        <v>10239</v>
      </c>
      <c r="O209" s="56">
        <v>8062</v>
      </c>
      <c r="P209" s="56">
        <v>10711</v>
      </c>
      <c r="Q209" s="56">
        <v>6460</v>
      </c>
      <c r="R209" s="16">
        <f t="shared" si="13"/>
        <v>25418</v>
      </c>
      <c r="S209" s="167">
        <f t="shared" si="15"/>
        <v>25120</v>
      </c>
      <c r="T209" s="168">
        <f t="shared" si="16"/>
        <v>37931</v>
      </c>
    </row>
    <row r="210" spans="1:20" ht="15.6" x14ac:dyDescent="0.3">
      <c r="A210" s="123">
        <f t="shared" si="14"/>
        <v>37938</v>
      </c>
      <c r="B210" s="56">
        <v>2652</v>
      </c>
      <c r="C210" s="56">
        <v>5535</v>
      </c>
      <c r="D210" s="56">
        <v>597</v>
      </c>
      <c r="E210" s="56">
        <v>1946</v>
      </c>
      <c r="F210" s="56">
        <v>1005</v>
      </c>
      <c r="G210" s="56">
        <v>3170</v>
      </c>
      <c r="H210" s="56">
        <v>649</v>
      </c>
      <c r="I210" s="56">
        <v>1992</v>
      </c>
      <c r="J210" s="56">
        <v>148</v>
      </c>
      <c r="K210" s="56">
        <v>602</v>
      </c>
      <c r="L210" s="56">
        <v>5050</v>
      </c>
      <c r="M210" s="56">
        <v>13245</v>
      </c>
      <c r="N210" s="56">
        <v>10243</v>
      </c>
      <c r="O210" s="56">
        <v>8975</v>
      </c>
      <c r="P210" s="56">
        <v>10420</v>
      </c>
      <c r="Q210" s="56">
        <v>7465</v>
      </c>
      <c r="R210" s="16">
        <f t="shared" si="13"/>
        <v>25713</v>
      </c>
      <c r="S210" s="167">
        <f t="shared" si="15"/>
        <v>25490</v>
      </c>
      <c r="T210" s="168">
        <f t="shared" si="16"/>
        <v>37938</v>
      </c>
    </row>
    <row r="211" spans="1:20" ht="15.6" x14ac:dyDescent="0.3">
      <c r="A211" s="123">
        <f t="shared" si="14"/>
        <v>37945</v>
      </c>
      <c r="B211" s="56">
        <v>2854</v>
      </c>
      <c r="C211" s="56">
        <v>5857</v>
      </c>
      <c r="D211" s="56">
        <v>593</v>
      </c>
      <c r="E211" s="56">
        <v>2034</v>
      </c>
      <c r="F211" s="56">
        <v>937</v>
      </c>
      <c r="G211" s="56">
        <v>3428</v>
      </c>
      <c r="H211" s="56">
        <v>950</v>
      </c>
      <c r="I211" s="56">
        <v>2026</v>
      </c>
      <c r="J211" s="56">
        <v>150</v>
      </c>
      <c r="K211" s="56">
        <v>602</v>
      </c>
      <c r="L211" s="56">
        <v>5483</v>
      </c>
      <c r="M211" s="56">
        <v>13946</v>
      </c>
      <c r="N211" s="56">
        <v>10601</v>
      </c>
      <c r="O211" s="56">
        <v>10219</v>
      </c>
      <c r="P211" s="56">
        <v>10346</v>
      </c>
      <c r="Q211" s="56">
        <v>8393</v>
      </c>
      <c r="R211" s="16">
        <f t="shared" si="13"/>
        <v>26430</v>
      </c>
      <c r="S211" s="167">
        <f t="shared" si="15"/>
        <v>25912.5</v>
      </c>
      <c r="T211" s="168">
        <f t="shared" si="16"/>
        <v>37945</v>
      </c>
    </row>
    <row r="212" spans="1:20" ht="15.6" x14ac:dyDescent="0.3">
      <c r="A212" s="123">
        <f t="shared" si="14"/>
        <v>37952</v>
      </c>
      <c r="B212" s="56">
        <v>2950</v>
      </c>
      <c r="C212" s="56">
        <v>6058.3</v>
      </c>
      <c r="D212" s="56">
        <v>584</v>
      </c>
      <c r="E212" s="56">
        <v>2086.4</v>
      </c>
      <c r="F212" s="56">
        <v>1197.5</v>
      </c>
      <c r="G212" s="56">
        <v>3540.9</v>
      </c>
      <c r="H212" s="56">
        <v>1030.7</v>
      </c>
      <c r="I212" s="56">
        <v>2100.1999999999998</v>
      </c>
      <c r="J212" s="56">
        <v>165.4</v>
      </c>
      <c r="K212" s="56">
        <v>607.1</v>
      </c>
      <c r="L212" s="56">
        <v>5927.8</v>
      </c>
      <c r="M212" s="56">
        <v>14393</v>
      </c>
      <c r="N212" s="56">
        <v>10312.9</v>
      </c>
      <c r="O212" s="56">
        <v>11356.4</v>
      </c>
      <c r="P212" s="56">
        <v>9399.9</v>
      </c>
      <c r="Q212" s="56">
        <v>9594.7000000000007</v>
      </c>
      <c r="R212" s="16">
        <f t="shared" si="13"/>
        <v>25640.6</v>
      </c>
      <c r="S212" s="167">
        <f t="shared" si="15"/>
        <v>25800.400000000001</v>
      </c>
      <c r="T212" s="168">
        <f t="shared" si="16"/>
        <v>37952</v>
      </c>
    </row>
    <row r="213" spans="1:20" ht="15.6" x14ac:dyDescent="0.3">
      <c r="A213" s="123">
        <f t="shared" si="14"/>
        <v>37959</v>
      </c>
      <c r="B213" s="56">
        <v>2831.4</v>
      </c>
      <c r="C213" s="56">
        <v>6332.2</v>
      </c>
      <c r="D213" s="56">
        <v>604.1</v>
      </c>
      <c r="E213" s="56">
        <v>2126.1999999999998</v>
      </c>
      <c r="F213" s="56">
        <v>1189</v>
      </c>
      <c r="G213" s="56">
        <v>3735.1</v>
      </c>
      <c r="H213" s="56">
        <v>1043.4000000000001</v>
      </c>
      <c r="I213" s="56">
        <v>2180.9</v>
      </c>
      <c r="J213" s="56">
        <v>206.3</v>
      </c>
      <c r="K213" s="56">
        <v>621.4</v>
      </c>
      <c r="L213" s="56">
        <v>5874.1</v>
      </c>
      <c r="M213" s="56">
        <v>14911.1</v>
      </c>
      <c r="N213" s="56">
        <v>10341.5</v>
      </c>
      <c r="O213" s="56">
        <v>12365.7</v>
      </c>
      <c r="P213" s="56">
        <v>8681</v>
      </c>
      <c r="Q213" s="56">
        <v>10666.8</v>
      </c>
      <c r="R213" s="16">
        <f t="shared" si="13"/>
        <v>24896.6</v>
      </c>
      <c r="S213" s="167">
        <f t="shared" si="15"/>
        <v>25670.050000000003</v>
      </c>
      <c r="T213" s="168">
        <f t="shared" si="16"/>
        <v>37959</v>
      </c>
    </row>
    <row r="214" spans="1:20" ht="15.6" x14ac:dyDescent="0.3">
      <c r="A214" s="123">
        <f t="shared" si="14"/>
        <v>37966</v>
      </c>
      <c r="B214" s="56">
        <v>3183</v>
      </c>
      <c r="C214" s="56">
        <v>6335</v>
      </c>
      <c r="D214" s="56">
        <v>658</v>
      </c>
      <c r="E214" s="56">
        <v>2145</v>
      </c>
      <c r="F214" s="56">
        <v>1336</v>
      </c>
      <c r="G214" s="56">
        <v>3755</v>
      </c>
      <c r="H214" s="56">
        <v>1249</v>
      </c>
      <c r="I214" s="56">
        <v>2180.9</v>
      </c>
      <c r="J214" s="56">
        <v>202</v>
      </c>
      <c r="K214" s="56">
        <v>654</v>
      </c>
      <c r="L214" s="56">
        <v>6628</v>
      </c>
      <c r="M214" s="56">
        <v>15170</v>
      </c>
      <c r="N214" s="56">
        <v>10319</v>
      </c>
      <c r="O214" s="56">
        <v>13312</v>
      </c>
      <c r="P214" s="56">
        <v>7816</v>
      </c>
      <c r="Q214" s="56">
        <v>17737</v>
      </c>
      <c r="R214" s="16">
        <f t="shared" si="13"/>
        <v>24763</v>
      </c>
      <c r="S214" s="167">
        <f t="shared" si="15"/>
        <v>25432.55</v>
      </c>
      <c r="T214" s="168">
        <f t="shared" si="16"/>
        <v>37966</v>
      </c>
    </row>
    <row r="215" spans="1:20" ht="15.6" x14ac:dyDescent="0.3">
      <c r="A215" s="123">
        <f t="shared" si="14"/>
        <v>37973</v>
      </c>
      <c r="B215" s="56">
        <v>3312.6</v>
      </c>
      <c r="C215" s="56">
        <v>6589.5</v>
      </c>
      <c r="D215" s="56">
        <v>705.9</v>
      </c>
      <c r="E215" s="56">
        <v>2169.5</v>
      </c>
      <c r="F215" s="56">
        <v>1487.1</v>
      </c>
      <c r="G215" s="56">
        <v>3838.8</v>
      </c>
      <c r="H215" s="56">
        <v>1380.4</v>
      </c>
      <c r="I215" s="56">
        <v>2226.3000000000002</v>
      </c>
      <c r="J215" s="56">
        <v>173.3</v>
      </c>
      <c r="K215" s="56">
        <v>674.3</v>
      </c>
      <c r="L215" s="56">
        <v>7059.3</v>
      </c>
      <c r="M215" s="56">
        <v>15498.4</v>
      </c>
      <c r="N215" s="56">
        <v>9846.9</v>
      </c>
      <c r="O215" s="56">
        <v>14737</v>
      </c>
      <c r="P215" s="56">
        <v>8301.1</v>
      </c>
      <c r="Q215" s="56">
        <v>12730.7</v>
      </c>
      <c r="R215" s="16">
        <f t="shared" si="13"/>
        <v>25207.300000000003</v>
      </c>
      <c r="S215" s="167">
        <f t="shared" si="15"/>
        <v>25126.875</v>
      </c>
      <c r="T215" s="168">
        <f t="shared" si="16"/>
        <v>37973</v>
      </c>
    </row>
    <row r="216" spans="1:20" ht="15.6" x14ac:dyDescent="0.3">
      <c r="A216" s="135">
        <f t="shared" si="14"/>
        <v>37980</v>
      </c>
      <c r="B216" s="56">
        <v>3331</v>
      </c>
      <c r="C216" s="56">
        <v>6815</v>
      </c>
      <c r="D216" s="56">
        <v>735</v>
      </c>
      <c r="E216" s="56">
        <v>2185</v>
      </c>
      <c r="F216" s="56">
        <v>1412</v>
      </c>
      <c r="G216" s="56">
        <v>3958</v>
      </c>
      <c r="H216" s="56">
        <v>1315</v>
      </c>
      <c r="I216" s="56">
        <v>2386</v>
      </c>
      <c r="J216" s="56">
        <v>190</v>
      </c>
      <c r="K216" s="56">
        <v>674.3</v>
      </c>
      <c r="L216" s="56">
        <v>6983</v>
      </c>
      <c r="M216" s="56">
        <v>16018</v>
      </c>
      <c r="N216" s="56">
        <v>9763</v>
      </c>
      <c r="O216" s="56">
        <v>15579</v>
      </c>
      <c r="P216" s="56">
        <v>8199</v>
      </c>
      <c r="Q216" s="56">
        <v>13378</v>
      </c>
      <c r="R216" s="16">
        <f t="shared" si="13"/>
        <v>24945</v>
      </c>
      <c r="S216" s="167">
        <f t="shared" si="15"/>
        <v>24952.974999999999</v>
      </c>
      <c r="T216" s="168">
        <f t="shared" si="16"/>
        <v>37980</v>
      </c>
    </row>
    <row r="217" spans="1:20" ht="15.6" x14ac:dyDescent="0.3">
      <c r="A217" s="135">
        <f t="shared" si="14"/>
        <v>37987</v>
      </c>
      <c r="B217" s="56">
        <v>3172</v>
      </c>
      <c r="C217" s="56">
        <v>4682</v>
      </c>
      <c r="D217" s="56">
        <v>611</v>
      </c>
      <c r="E217" s="56">
        <v>1707</v>
      </c>
      <c r="F217" s="56">
        <v>1401</v>
      </c>
      <c r="G217" s="56">
        <v>4244</v>
      </c>
      <c r="H217" s="56">
        <v>1246</v>
      </c>
      <c r="I217" s="56">
        <v>2181</v>
      </c>
      <c r="J217" s="56">
        <v>182</v>
      </c>
      <c r="K217" s="56">
        <v>521</v>
      </c>
      <c r="L217" s="56">
        <v>6613</v>
      </c>
      <c r="M217" s="56">
        <v>13335</v>
      </c>
      <c r="N217" s="56">
        <v>9150</v>
      </c>
      <c r="O217" s="56">
        <v>13998</v>
      </c>
      <c r="P217" s="56">
        <v>7697</v>
      </c>
      <c r="Q217" s="56">
        <v>12010</v>
      </c>
      <c r="R217" s="16">
        <f t="shared" si="13"/>
        <v>23460</v>
      </c>
      <c r="S217" s="167">
        <f t="shared" si="15"/>
        <v>24593.825000000001</v>
      </c>
      <c r="T217" s="168">
        <f t="shared" si="16"/>
        <v>37987</v>
      </c>
    </row>
    <row r="218" spans="1:20" ht="15.6" x14ac:dyDescent="0.3">
      <c r="A218" s="124">
        <f t="shared" si="14"/>
        <v>37994</v>
      </c>
      <c r="B218" s="56">
        <v>3127</v>
      </c>
      <c r="C218" s="56">
        <v>4786</v>
      </c>
      <c r="D218" s="56">
        <v>657</v>
      </c>
      <c r="E218" s="56">
        <v>1893</v>
      </c>
      <c r="F218" s="56">
        <v>1379</v>
      </c>
      <c r="G218" s="56">
        <v>4400</v>
      </c>
      <c r="H218" s="56">
        <v>1043</v>
      </c>
      <c r="I218" s="56">
        <v>2309</v>
      </c>
      <c r="J218" s="56">
        <v>190</v>
      </c>
      <c r="K218" s="56">
        <v>528</v>
      </c>
      <c r="L218" s="56">
        <v>6392</v>
      </c>
      <c r="M218" s="56">
        <v>13914</v>
      </c>
      <c r="N218" s="56">
        <v>8986</v>
      </c>
      <c r="O218" s="56">
        <v>14839</v>
      </c>
      <c r="P218" s="56">
        <v>7447</v>
      </c>
      <c r="Q218" s="56">
        <v>13082</v>
      </c>
      <c r="R218" s="16">
        <f t="shared" si="13"/>
        <v>22825</v>
      </c>
      <c r="S218" s="167">
        <f t="shared" si="15"/>
        <v>24109.325000000001</v>
      </c>
      <c r="T218" s="168">
        <f t="shared" si="16"/>
        <v>37994</v>
      </c>
    </row>
    <row r="219" spans="1:20" ht="15.6" x14ac:dyDescent="0.3">
      <c r="A219" s="124">
        <f t="shared" si="14"/>
        <v>38001</v>
      </c>
      <c r="B219" s="56">
        <v>3136</v>
      </c>
      <c r="C219" s="56">
        <v>7658</v>
      </c>
      <c r="D219" s="56">
        <v>987</v>
      </c>
      <c r="E219" s="56">
        <v>2395</v>
      </c>
      <c r="F219" s="56">
        <v>1414</v>
      </c>
      <c r="G219" s="56">
        <v>4224</v>
      </c>
      <c r="H219" s="56">
        <v>1092</v>
      </c>
      <c r="I219" s="56">
        <v>2741</v>
      </c>
      <c r="J219" s="56">
        <v>189</v>
      </c>
      <c r="K219" s="56">
        <v>713</v>
      </c>
      <c r="L219" s="56">
        <v>6818</v>
      </c>
      <c r="M219" s="56">
        <v>17732</v>
      </c>
      <c r="N219" s="56">
        <v>9113</v>
      </c>
      <c r="O219" s="56">
        <v>18483</v>
      </c>
      <c r="P219" s="56">
        <v>3536</v>
      </c>
      <c r="Q219" s="56">
        <v>15654</v>
      </c>
      <c r="R219" s="16">
        <f t="shared" si="13"/>
        <v>19467</v>
      </c>
      <c r="S219" s="167">
        <f t="shared" si="15"/>
        <v>22674.25</v>
      </c>
      <c r="T219" s="168">
        <f t="shared" si="16"/>
        <v>38001</v>
      </c>
    </row>
    <row r="220" spans="1:20" ht="15.6" x14ac:dyDescent="0.3">
      <c r="A220" s="124">
        <f t="shared" si="14"/>
        <v>38008</v>
      </c>
      <c r="B220" s="56">
        <v>2872</v>
      </c>
      <c r="C220" s="56">
        <v>8107</v>
      </c>
      <c r="D220" s="56">
        <v>1102</v>
      </c>
      <c r="E220" s="56">
        <v>2446</v>
      </c>
      <c r="F220" s="56">
        <v>1315</v>
      </c>
      <c r="G220" s="56">
        <v>4374</v>
      </c>
      <c r="H220" s="56">
        <v>1115</v>
      </c>
      <c r="I220" s="56">
        <v>2891</v>
      </c>
      <c r="J220" s="56">
        <v>170</v>
      </c>
      <c r="K220" s="56">
        <v>737</v>
      </c>
      <c r="L220" s="56">
        <v>6574</v>
      </c>
      <c r="M220" s="56">
        <v>18556</v>
      </c>
      <c r="N220" s="56">
        <v>8944</v>
      </c>
      <c r="O220" s="56">
        <v>19427</v>
      </c>
      <c r="P220" s="56">
        <v>5548</v>
      </c>
      <c r="Q220" s="56">
        <v>16513</v>
      </c>
      <c r="R220" s="16">
        <f t="shared" si="13"/>
        <v>21066</v>
      </c>
      <c r="S220" s="167">
        <f t="shared" si="15"/>
        <v>21704.5</v>
      </c>
      <c r="T220" s="168">
        <f t="shared" si="16"/>
        <v>38008</v>
      </c>
    </row>
    <row r="221" spans="1:20" ht="15.6" x14ac:dyDescent="0.3">
      <c r="A221" s="124">
        <f t="shared" si="14"/>
        <v>38015</v>
      </c>
      <c r="B221" s="56">
        <v>2812</v>
      </c>
      <c r="C221" s="56">
        <v>8402</v>
      </c>
      <c r="D221" s="56">
        <v>1102</v>
      </c>
      <c r="E221" s="56">
        <v>2480</v>
      </c>
      <c r="F221" s="56">
        <v>1301</v>
      </c>
      <c r="G221" s="56">
        <v>4500</v>
      </c>
      <c r="H221" s="56">
        <v>1166</v>
      </c>
      <c r="I221" s="56">
        <v>3002</v>
      </c>
      <c r="J221" s="56">
        <v>170</v>
      </c>
      <c r="K221" s="56">
        <v>742</v>
      </c>
      <c r="L221" s="56">
        <v>6550</v>
      </c>
      <c r="M221" s="56">
        <v>19126</v>
      </c>
      <c r="N221" s="56">
        <v>9043</v>
      </c>
      <c r="O221" s="56">
        <v>20315</v>
      </c>
      <c r="P221" s="56">
        <v>5115</v>
      </c>
      <c r="Q221" s="56">
        <v>17314</v>
      </c>
      <c r="R221" s="16">
        <f t="shared" si="13"/>
        <v>20708</v>
      </c>
      <c r="S221" s="167">
        <f t="shared" si="15"/>
        <v>21016.5</v>
      </c>
      <c r="T221" s="168">
        <f t="shared" si="16"/>
        <v>38015</v>
      </c>
    </row>
    <row r="222" spans="1:20" ht="15.6" x14ac:dyDescent="0.3">
      <c r="A222" s="124">
        <f t="shared" si="14"/>
        <v>38022</v>
      </c>
      <c r="B222" s="56">
        <v>2668</v>
      </c>
      <c r="C222" s="56">
        <v>8686</v>
      </c>
      <c r="D222" s="56">
        <v>1072</v>
      </c>
      <c r="E222" s="56">
        <v>2536</v>
      </c>
      <c r="F222" s="56">
        <v>1217</v>
      </c>
      <c r="G222" s="56">
        <v>4642</v>
      </c>
      <c r="H222" s="56">
        <v>988</v>
      </c>
      <c r="I222" s="56">
        <v>3264</v>
      </c>
      <c r="J222" s="56">
        <v>198</v>
      </c>
      <c r="K222" s="56">
        <v>742</v>
      </c>
      <c r="L222" s="56">
        <v>6146</v>
      </c>
      <c r="M222" s="56">
        <v>19870</v>
      </c>
      <c r="N222" s="56">
        <v>9441</v>
      </c>
      <c r="O222" s="56">
        <v>21092</v>
      </c>
      <c r="P222" s="56">
        <v>4686</v>
      </c>
      <c r="Q222" s="56">
        <v>17889</v>
      </c>
      <c r="R222" s="16">
        <f t="shared" si="13"/>
        <v>20273</v>
      </c>
      <c r="S222" s="167">
        <f t="shared" si="15"/>
        <v>20378.5</v>
      </c>
      <c r="T222" s="168">
        <f t="shared" si="16"/>
        <v>38022</v>
      </c>
    </row>
    <row r="223" spans="1:20" ht="15.6" x14ac:dyDescent="0.3">
      <c r="A223" s="124">
        <f t="shared" si="14"/>
        <v>38029</v>
      </c>
      <c r="B223" s="56">
        <v>2514</v>
      </c>
      <c r="C223" s="56">
        <v>8980</v>
      </c>
      <c r="D223" s="56">
        <v>1023</v>
      </c>
      <c r="E223" s="56">
        <v>2629</v>
      </c>
      <c r="F223" s="56">
        <v>1183</v>
      </c>
      <c r="G223" s="56">
        <v>4732</v>
      </c>
      <c r="H223" s="56">
        <v>892</v>
      </c>
      <c r="I223" s="56">
        <v>3436</v>
      </c>
      <c r="J223" s="56">
        <v>201</v>
      </c>
      <c r="K223" s="56">
        <v>762</v>
      </c>
      <c r="L223" s="56">
        <v>5813</v>
      </c>
      <c r="M223" s="56">
        <v>20540</v>
      </c>
      <c r="N223" s="56">
        <v>9522</v>
      </c>
      <c r="O223" s="56">
        <v>21936</v>
      </c>
      <c r="P223" s="56">
        <v>4265</v>
      </c>
      <c r="Q223" s="56">
        <v>18524</v>
      </c>
      <c r="R223" s="16">
        <f t="shared" si="13"/>
        <v>19600</v>
      </c>
      <c r="S223" s="167">
        <f t="shared" si="15"/>
        <v>20411.75</v>
      </c>
      <c r="T223" s="168">
        <f t="shared" si="16"/>
        <v>38029</v>
      </c>
    </row>
    <row r="224" spans="1:20" ht="15.6" x14ac:dyDescent="0.3">
      <c r="A224" s="124">
        <f t="shared" si="14"/>
        <v>38036</v>
      </c>
      <c r="B224" s="56">
        <v>2351</v>
      </c>
      <c r="C224" s="56">
        <v>9185</v>
      </c>
      <c r="D224" s="56">
        <v>1003</v>
      </c>
      <c r="E224" s="56">
        <v>2700</v>
      </c>
      <c r="F224" s="56">
        <v>1266</v>
      </c>
      <c r="G224" s="56">
        <v>4792</v>
      </c>
      <c r="H224" s="56">
        <v>1044</v>
      </c>
      <c r="I224" s="56">
        <v>3458</v>
      </c>
      <c r="J224" s="56">
        <v>203</v>
      </c>
      <c r="K224" s="56">
        <v>765</v>
      </c>
      <c r="L224" s="56">
        <v>5867</v>
      </c>
      <c r="M224" s="56">
        <v>20901</v>
      </c>
      <c r="N224" s="56">
        <v>9512</v>
      </c>
      <c r="O224" s="56">
        <v>22933</v>
      </c>
      <c r="P224" s="56">
        <v>3673</v>
      </c>
      <c r="Q224" s="56">
        <v>19111</v>
      </c>
      <c r="R224" s="16">
        <f t="shared" si="13"/>
        <v>19052</v>
      </c>
      <c r="S224" s="167">
        <f t="shared" si="15"/>
        <v>19908.25</v>
      </c>
      <c r="T224" s="168">
        <f t="shared" si="16"/>
        <v>38036</v>
      </c>
    </row>
    <row r="225" spans="1:20" ht="15.6" x14ac:dyDescent="0.3">
      <c r="A225" s="124">
        <f t="shared" si="14"/>
        <v>38043</v>
      </c>
      <c r="B225" s="56">
        <v>2252</v>
      </c>
      <c r="C225" s="56">
        <v>9475</v>
      </c>
      <c r="D225" s="56">
        <v>961</v>
      </c>
      <c r="E225" s="56">
        <v>2786</v>
      </c>
      <c r="F225" s="56">
        <v>1386</v>
      </c>
      <c r="G225" s="56">
        <v>4897</v>
      </c>
      <c r="H225" s="56">
        <v>902</v>
      </c>
      <c r="I225" s="56">
        <v>3701</v>
      </c>
      <c r="J225" s="56">
        <v>173</v>
      </c>
      <c r="K225" s="56">
        <v>799</v>
      </c>
      <c r="L225" s="56">
        <v>5673</v>
      </c>
      <c r="M225" s="56">
        <v>21658</v>
      </c>
      <c r="N225" s="56">
        <v>9094</v>
      </c>
      <c r="O225" s="56">
        <v>23745</v>
      </c>
      <c r="P225" s="56">
        <v>3673</v>
      </c>
      <c r="Q225" s="56">
        <v>19111</v>
      </c>
      <c r="R225" s="16">
        <f t="shared" si="13"/>
        <v>18440</v>
      </c>
      <c r="S225" s="167">
        <f t="shared" si="15"/>
        <v>19341.25</v>
      </c>
      <c r="T225" s="168">
        <f t="shared" si="16"/>
        <v>38043</v>
      </c>
    </row>
    <row r="226" spans="1:20" ht="15.6" x14ac:dyDescent="0.3">
      <c r="A226" s="124">
        <f t="shared" si="14"/>
        <v>38050</v>
      </c>
      <c r="B226" s="56">
        <v>2234</v>
      </c>
      <c r="C226" s="56">
        <v>9720</v>
      </c>
      <c r="D226" s="56">
        <v>911</v>
      </c>
      <c r="E226" s="56">
        <v>2876</v>
      </c>
      <c r="F226" s="56">
        <v>1422</v>
      </c>
      <c r="G226" s="56">
        <v>5005</v>
      </c>
      <c r="H226" s="56">
        <v>1001</v>
      </c>
      <c r="I226" s="56">
        <v>3782</v>
      </c>
      <c r="J226" s="56">
        <v>146</v>
      </c>
      <c r="K226" s="56">
        <v>823</v>
      </c>
      <c r="L226" s="56">
        <v>5715</v>
      </c>
      <c r="M226" s="56">
        <v>22205</v>
      </c>
      <c r="N226" s="56">
        <v>8330</v>
      </c>
      <c r="O226" s="56">
        <v>25060</v>
      </c>
      <c r="P226" s="56">
        <v>2820</v>
      </c>
      <c r="Q226" s="56">
        <v>20196</v>
      </c>
      <c r="R226" s="16">
        <f t="shared" si="13"/>
        <v>16865</v>
      </c>
      <c r="S226" s="167">
        <f t="shared" si="15"/>
        <v>18489.25</v>
      </c>
      <c r="T226" s="168">
        <f t="shared" si="16"/>
        <v>38050</v>
      </c>
    </row>
    <row r="227" spans="1:20" ht="15.6" x14ac:dyDescent="0.3">
      <c r="A227" s="124">
        <f t="shared" si="14"/>
        <v>38057</v>
      </c>
      <c r="B227" s="56">
        <v>2191</v>
      </c>
      <c r="C227" s="56">
        <v>9997</v>
      </c>
      <c r="D227" s="56">
        <v>837</v>
      </c>
      <c r="E227" s="56">
        <v>2970</v>
      </c>
      <c r="F227" s="56">
        <v>1309</v>
      </c>
      <c r="G227" s="56">
        <v>5225</v>
      </c>
      <c r="H227" s="56">
        <v>909</v>
      </c>
      <c r="I227" s="56">
        <v>3928</v>
      </c>
      <c r="J227" s="56">
        <v>142</v>
      </c>
      <c r="K227" s="56">
        <v>833</v>
      </c>
      <c r="L227" s="56">
        <v>5388</v>
      </c>
      <c r="M227" s="56">
        <v>22952</v>
      </c>
      <c r="N227" s="56">
        <v>8707</v>
      </c>
      <c r="O227" s="56">
        <v>25998</v>
      </c>
      <c r="P227" s="56">
        <v>2525</v>
      </c>
      <c r="Q227" s="56">
        <v>20538</v>
      </c>
      <c r="R227" s="16">
        <f t="shared" si="13"/>
        <v>16620</v>
      </c>
      <c r="S227" s="167">
        <f t="shared" si="15"/>
        <v>17744.25</v>
      </c>
      <c r="T227" s="168">
        <f t="shared" si="16"/>
        <v>38057</v>
      </c>
    </row>
    <row r="228" spans="1:20" ht="15.6" x14ac:dyDescent="0.3">
      <c r="A228" s="124">
        <f t="shared" si="14"/>
        <v>38064</v>
      </c>
      <c r="B228" s="56">
        <v>2255</v>
      </c>
      <c r="C228" s="56">
        <v>10229</v>
      </c>
      <c r="D228" s="56">
        <v>872</v>
      </c>
      <c r="E228" s="56">
        <v>3032</v>
      </c>
      <c r="F228" s="56">
        <v>1334</v>
      </c>
      <c r="G228" s="56">
        <v>5288</v>
      </c>
      <c r="H228" s="56">
        <v>985</v>
      </c>
      <c r="I228" s="56">
        <v>4035</v>
      </c>
      <c r="J228" s="56">
        <v>158</v>
      </c>
      <c r="K228" s="56">
        <v>843</v>
      </c>
      <c r="L228" s="56">
        <v>5603</v>
      </c>
      <c r="M228" s="56">
        <v>23427</v>
      </c>
      <c r="N228" s="56">
        <v>8829</v>
      </c>
      <c r="O228" s="56">
        <v>27065</v>
      </c>
      <c r="P228" s="56">
        <v>2247</v>
      </c>
      <c r="Q228" s="56">
        <v>21026</v>
      </c>
      <c r="R228" s="16">
        <f t="shared" si="13"/>
        <v>16679</v>
      </c>
      <c r="S228" s="167">
        <f t="shared" si="15"/>
        <v>17151</v>
      </c>
      <c r="T228" s="168">
        <f t="shared" si="16"/>
        <v>38064</v>
      </c>
    </row>
    <row r="229" spans="1:20" ht="15.6" x14ac:dyDescent="0.3">
      <c r="A229" s="124">
        <f t="shared" si="14"/>
        <v>38071</v>
      </c>
      <c r="B229" s="56">
        <v>2004</v>
      </c>
      <c r="C229" s="56">
        <v>10469</v>
      </c>
      <c r="D229" s="56">
        <v>789</v>
      </c>
      <c r="E229" s="56">
        <v>3145</v>
      </c>
      <c r="F229" s="56">
        <v>1256</v>
      </c>
      <c r="G229" s="56">
        <v>5486</v>
      </c>
      <c r="H229" s="56">
        <v>904</v>
      </c>
      <c r="I229" s="56">
        <v>4148</v>
      </c>
      <c r="J229" s="56">
        <v>123</v>
      </c>
      <c r="K229" s="56">
        <v>874</v>
      </c>
      <c r="L229" s="56">
        <v>5074</v>
      </c>
      <c r="M229" s="56">
        <v>24122</v>
      </c>
      <c r="N229" s="56">
        <v>8450</v>
      </c>
      <c r="O229" s="56">
        <v>28139</v>
      </c>
      <c r="P229" s="56">
        <v>2027</v>
      </c>
      <c r="Q229" s="56">
        <v>21421</v>
      </c>
      <c r="R229" s="16">
        <f t="shared" si="13"/>
        <v>15551</v>
      </c>
      <c r="S229" s="167">
        <f t="shared" si="15"/>
        <v>16428.75</v>
      </c>
      <c r="T229" s="168">
        <f t="shared" si="16"/>
        <v>38071</v>
      </c>
    </row>
    <row r="230" spans="1:20" ht="15.6" x14ac:dyDescent="0.3">
      <c r="A230" s="124">
        <f t="shared" si="14"/>
        <v>38078</v>
      </c>
      <c r="B230" s="56">
        <v>1991</v>
      </c>
      <c r="C230" s="56">
        <v>10762</v>
      </c>
      <c r="D230" s="56">
        <v>776</v>
      </c>
      <c r="E230" s="56">
        <v>3180</v>
      </c>
      <c r="F230" s="56">
        <v>1297</v>
      </c>
      <c r="G230" s="56">
        <v>5565</v>
      </c>
      <c r="H230" s="56">
        <v>845</v>
      </c>
      <c r="I230" s="56">
        <v>4210</v>
      </c>
      <c r="J230" s="56">
        <v>124</v>
      </c>
      <c r="K230" s="56">
        <v>904</v>
      </c>
      <c r="L230" s="56">
        <v>5033</v>
      </c>
      <c r="M230" s="56">
        <v>24620</v>
      </c>
      <c r="N230" s="56">
        <v>9051</v>
      </c>
      <c r="O230" s="56">
        <v>28854</v>
      </c>
      <c r="P230" s="56">
        <v>1914</v>
      </c>
      <c r="Q230" s="56">
        <v>21636</v>
      </c>
      <c r="R230" s="16">
        <f t="shared" si="13"/>
        <v>15998</v>
      </c>
      <c r="S230" s="167">
        <f t="shared" si="15"/>
        <v>16212</v>
      </c>
      <c r="T230" s="168">
        <f t="shared" si="16"/>
        <v>38078</v>
      </c>
    </row>
    <row r="231" spans="1:20" ht="15.6" x14ac:dyDescent="0.3">
      <c r="A231" s="124">
        <f t="shared" si="14"/>
        <v>38085</v>
      </c>
      <c r="B231" s="56">
        <v>1929</v>
      </c>
      <c r="C231" s="56">
        <v>11055</v>
      </c>
      <c r="D231" s="56">
        <v>762</v>
      </c>
      <c r="E231" s="56">
        <v>3235</v>
      </c>
      <c r="F231" s="56">
        <v>1210</v>
      </c>
      <c r="G231" s="56">
        <v>5732</v>
      </c>
      <c r="H231" s="56">
        <v>831</v>
      </c>
      <c r="I231" s="56">
        <v>4259</v>
      </c>
      <c r="J231" s="56">
        <v>93</v>
      </c>
      <c r="K231" s="56">
        <v>940</v>
      </c>
      <c r="L231" s="56">
        <v>4825</v>
      </c>
      <c r="M231" s="56">
        <v>25220</v>
      </c>
      <c r="N231" s="56">
        <v>9144</v>
      </c>
      <c r="O231" s="56">
        <v>30019</v>
      </c>
      <c r="P231" s="56">
        <v>1897</v>
      </c>
      <c r="Q231" s="56">
        <v>21832</v>
      </c>
      <c r="R231" s="16">
        <f t="shared" si="13"/>
        <v>15866</v>
      </c>
      <c r="S231" s="167">
        <f t="shared" si="15"/>
        <v>16023.5</v>
      </c>
      <c r="T231" s="168">
        <f t="shared" si="16"/>
        <v>38085</v>
      </c>
    </row>
    <row r="232" spans="1:20" ht="15.6" x14ac:dyDescent="0.3">
      <c r="A232" s="124">
        <f t="shared" si="14"/>
        <v>38092</v>
      </c>
      <c r="B232" s="56">
        <v>1832</v>
      </c>
      <c r="C232" s="56">
        <v>11207</v>
      </c>
      <c r="D232" s="56">
        <v>697</v>
      </c>
      <c r="E232" s="56">
        <v>3266</v>
      </c>
      <c r="F232" s="56">
        <v>1208</v>
      </c>
      <c r="G232" s="56">
        <v>5814</v>
      </c>
      <c r="H232" s="56">
        <v>674</v>
      </c>
      <c r="I232" s="56">
        <v>4397</v>
      </c>
      <c r="J232" s="56">
        <v>85</v>
      </c>
      <c r="K232" s="56">
        <v>953</v>
      </c>
      <c r="L232" s="56">
        <v>4495</v>
      </c>
      <c r="M232" s="56">
        <v>25636</v>
      </c>
      <c r="N232" s="56">
        <v>9657</v>
      </c>
      <c r="O232" s="56">
        <v>30619</v>
      </c>
      <c r="P232" s="56">
        <v>1801</v>
      </c>
      <c r="Q232" s="56">
        <v>22054</v>
      </c>
      <c r="R232" s="16">
        <f t="shared" si="13"/>
        <v>15953</v>
      </c>
      <c r="S232" s="167">
        <f t="shared" si="15"/>
        <v>15842</v>
      </c>
      <c r="T232" s="168">
        <f t="shared" si="16"/>
        <v>38092</v>
      </c>
    </row>
    <row r="233" spans="1:20" ht="15.6" x14ac:dyDescent="0.3">
      <c r="A233" s="124">
        <f t="shared" si="14"/>
        <v>38099</v>
      </c>
      <c r="B233" s="56">
        <v>1612</v>
      </c>
      <c r="C233" s="56">
        <v>11508</v>
      </c>
      <c r="D233" s="56">
        <v>577</v>
      </c>
      <c r="E233" s="56">
        <v>3399</v>
      </c>
      <c r="F233" s="56">
        <v>1153</v>
      </c>
      <c r="G233" s="56">
        <v>6026</v>
      </c>
      <c r="H233" s="56">
        <v>647</v>
      </c>
      <c r="I233" s="56">
        <v>4466</v>
      </c>
      <c r="J233" s="56">
        <v>111</v>
      </c>
      <c r="K233" s="56">
        <v>971</v>
      </c>
      <c r="L233" s="56">
        <v>4099</v>
      </c>
      <c r="M233" s="56">
        <v>26370</v>
      </c>
      <c r="N233" s="56">
        <v>9921</v>
      </c>
      <c r="O233" s="56">
        <v>31280</v>
      </c>
      <c r="P233" s="56">
        <v>1728</v>
      </c>
      <c r="Q233" s="56">
        <v>22176</v>
      </c>
      <c r="R233" s="16">
        <f t="shared" si="13"/>
        <v>15748</v>
      </c>
      <c r="S233" s="167">
        <f t="shared" si="15"/>
        <v>15891.25</v>
      </c>
      <c r="T233" s="168">
        <f t="shared" si="16"/>
        <v>38099</v>
      </c>
    </row>
    <row r="234" spans="1:20" ht="15.6" x14ac:dyDescent="0.3">
      <c r="A234" s="124">
        <f t="shared" si="14"/>
        <v>38106</v>
      </c>
      <c r="B234" s="56">
        <v>1542</v>
      </c>
      <c r="C234" s="56">
        <v>11753</v>
      </c>
      <c r="D234" s="56">
        <v>428</v>
      </c>
      <c r="E234" s="56">
        <v>3509</v>
      </c>
      <c r="F234" s="56">
        <v>1052</v>
      </c>
      <c r="G234" s="56">
        <v>6185</v>
      </c>
      <c r="H234" s="56">
        <v>485</v>
      </c>
      <c r="I234" s="56">
        <v>4637</v>
      </c>
      <c r="J234" s="56">
        <v>122</v>
      </c>
      <c r="K234" s="56">
        <v>1039</v>
      </c>
      <c r="L234" s="56">
        <v>3629</v>
      </c>
      <c r="M234" s="56">
        <v>27121</v>
      </c>
      <c r="N234" s="56">
        <v>10215</v>
      </c>
      <c r="O234" s="56">
        <v>32081</v>
      </c>
      <c r="P234" s="56">
        <v>1675</v>
      </c>
      <c r="Q234" s="56">
        <v>22363</v>
      </c>
      <c r="R234" s="16">
        <f t="shared" si="13"/>
        <v>15519</v>
      </c>
      <c r="S234" s="167">
        <f t="shared" si="15"/>
        <v>15771.5</v>
      </c>
      <c r="T234" s="168">
        <f t="shared" si="16"/>
        <v>38106</v>
      </c>
    </row>
    <row r="235" spans="1:20" ht="15.6" x14ac:dyDescent="0.3">
      <c r="A235" s="124">
        <f t="shared" si="14"/>
        <v>38113</v>
      </c>
      <c r="B235" s="56">
        <v>1434</v>
      </c>
      <c r="C235" s="56">
        <v>11883</v>
      </c>
      <c r="D235" s="56">
        <v>301</v>
      </c>
      <c r="E235" s="56">
        <v>3644</v>
      </c>
      <c r="F235" s="56">
        <v>902</v>
      </c>
      <c r="G235" s="56">
        <v>6336</v>
      </c>
      <c r="H235" s="56">
        <v>404</v>
      </c>
      <c r="I235" s="56">
        <v>4724</v>
      </c>
      <c r="J235" s="56">
        <v>144</v>
      </c>
      <c r="K235" s="56">
        <v>1041</v>
      </c>
      <c r="L235" s="56">
        <v>3185</v>
      </c>
      <c r="M235" s="56">
        <v>27629</v>
      </c>
      <c r="N235" s="56">
        <v>9699</v>
      </c>
      <c r="O235" s="56">
        <v>33103</v>
      </c>
      <c r="P235" s="56">
        <v>1403</v>
      </c>
      <c r="Q235" s="56">
        <v>22594</v>
      </c>
      <c r="R235" s="16">
        <f t="shared" si="13"/>
        <v>14287</v>
      </c>
      <c r="S235" s="167">
        <f t="shared" si="15"/>
        <v>15376.75</v>
      </c>
      <c r="T235" s="168">
        <f t="shared" si="16"/>
        <v>38113</v>
      </c>
    </row>
    <row r="236" spans="1:20" ht="15.6" x14ac:dyDescent="0.3">
      <c r="A236" s="124">
        <f t="shared" si="14"/>
        <v>38120</v>
      </c>
      <c r="B236" s="56">
        <v>1110</v>
      </c>
      <c r="C236" s="56">
        <v>12207</v>
      </c>
      <c r="D236" s="56">
        <v>287</v>
      </c>
      <c r="E236" s="56">
        <v>3674</v>
      </c>
      <c r="F236" s="56">
        <v>689</v>
      </c>
      <c r="G236" s="56">
        <v>6550</v>
      </c>
      <c r="H236" s="56">
        <v>397</v>
      </c>
      <c r="I236" s="56">
        <v>4730</v>
      </c>
      <c r="J236" s="56">
        <v>79</v>
      </c>
      <c r="K236" s="56">
        <v>1041</v>
      </c>
      <c r="L236" s="56">
        <v>2561</v>
      </c>
      <c r="M236" s="56">
        <v>28202</v>
      </c>
      <c r="N236" s="56">
        <v>9781</v>
      </c>
      <c r="O236" s="56">
        <v>33755</v>
      </c>
      <c r="P236" s="56">
        <v>1323</v>
      </c>
      <c r="Q236" s="56">
        <v>22693</v>
      </c>
      <c r="R236" s="16">
        <f t="shared" si="13"/>
        <v>13665</v>
      </c>
      <c r="S236" s="167">
        <f t="shared" si="15"/>
        <v>14804.75</v>
      </c>
      <c r="T236" s="168">
        <f t="shared" si="16"/>
        <v>38120</v>
      </c>
    </row>
    <row r="237" spans="1:20" ht="15.6" x14ac:dyDescent="0.3">
      <c r="A237" s="124">
        <f t="shared" si="14"/>
        <v>38127</v>
      </c>
      <c r="B237" s="56">
        <v>912</v>
      </c>
      <c r="C237" s="56">
        <v>12429</v>
      </c>
      <c r="D237" s="56">
        <v>224</v>
      </c>
      <c r="E237" s="56">
        <v>3745</v>
      </c>
      <c r="F237" s="56">
        <v>452</v>
      </c>
      <c r="G237" s="56">
        <v>6785</v>
      </c>
      <c r="H237" s="56">
        <v>325</v>
      </c>
      <c r="I237" s="56">
        <v>4786</v>
      </c>
      <c r="J237" s="56">
        <v>54</v>
      </c>
      <c r="K237" s="56">
        <v>1049</v>
      </c>
      <c r="L237" s="56">
        <v>1967</v>
      </c>
      <c r="M237" s="56">
        <v>28792</v>
      </c>
      <c r="N237" s="56">
        <v>9894</v>
      </c>
      <c r="O237" s="56">
        <v>34905</v>
      </c>
      <c r="P237" s="56">
        <v>1170</v>
      </c>
      <c r="Q237" s="56">
        <v>22833</v>
      </c>
      <c r="R237" s="16">
        <f t="shared" si="13"/>
        <v>13031</v>
      </c>
      <c r="S237" s="167">
        <f t="shared" si="15"/>
        <v>14125.5</v>
      </c>
      <c r="T237" s="168">
        <f t="shared" si="16"/>
        <v>38127</v>
      </c>
    </row>
    <row r="238" spans="1:20" ht="15.6" x14ac:dyDescent="0.3">
      <c r="A238" s="124">
        <f t="shared" si="14"/>
        <v>38134</v>
      </c>
      <c r="B238" s="56">
        <v>665</v>
      </c>
      <c r="C238" s="56">
        <v>12697</v>
      </c>
      <c r="D238" s="56">
        <v>206</v>
      </c>
      <c r="E238" s="56">
        <v>3785</v>
      </c>
      <c r="F238" s="56">
        <v>360</v>
      </c>
      <c r="G238" s="56">
        <v>6928</v>
      </c>
      <c r="H238" s="56">
        <v>224</v>
      </c>
      <c r="I238" s="56">
        <v>4889</v>
      </c>
      <c r="J238" s="56">
        <v>28</v>
      </c>
      <c r="K238" s="56">
        <v>1053</v>
      </c>
      <c r="L238" s="56">
        <v>1484</v>
      </c>
      <c r="M238" s="56">
        <v>29353</v>
      </c>
      <c r="N238" s="56">
        <v>9450</v>
      </c>
      <c r="O238" s="56">
        <v>35780</v>
      </c>
      <c r="P238" s="56">
        <v>1130</v>
      </c>
      <c r="Q238" s="56">
        <v>22894</v>
      </c>
      <c r="R238" s="16">
        <f t="shared" si="13"/>
        <v>12064</v>
      </c>
      <c r="S238" s="167">
        <f t="shared" si="15"/>
        <v>13261.75</v>
      </c>
      <c r="T238" s="168">
        <f t="shared" si="16"/>
        <v>38134</v>
      </c>
    </row>
    <row r="239" spans="1:20" ht="15.6" x14ac:dyDescent="0.3">
      <c r="A239" s="124">
        <f t="shared" si="14"/>
        <v>38141</v>
      </c>
      <c r="B239" s="56">
        <v>1807</v>
      </c>
      <c r="C239" s="56">
        <v>134</v>
      </c>
      <c r="D239" s="56">
        <v>1497</v>
      </c>
      <c r="E239" s="56">
        <v>18</v>
      </c>
      <c r="F239" s="56">
        <v>1451</v>
      </c>
      <c r="G239" s="56">
        <v>54</v>
      </c>
      <c r="H239" s="56">
        <v>743</v>
      </c>
      <c r="I239" s="56">
        <v>63</v>
      </c>
      <c r="J239" s="56">
        <v>175</v>
      </c>
      <c r="K239" s="56">
        <v>22</v>
      </c>
      <c r="L239" s="56">
        <v>5673</v>
      </c>
      <c r="M239" s="56">
        <v>290</v>
      </c>
      <c r="N239" s="56">
        <v>8520</v>
      </c>
      <c r="O239" s="56">
        <v>36742</v>
      </c>
      <c r="P239" s="56">
        <v>1111</v>
      </c>
      <c r="Q239" s="56">
        <v>22918</v>
      </c>
      <c r="R239" s="16">
        <f t="shared" si="13"/>
        <v>15304</v>
      </c>
      <c r="S239" s="167">
        <f t="shared" si="15"/>
        <v>13516</v>
      </c>
      <c r="T239" s="168">
        <f t="shared" si="16"/>
        <v>38141</v>
      </c>
    </row>
    <row r="240" spans="1:20" ht="15.6" x14ac:dyDescent="0.3">
      <c r="A240" s="124">
        <f t="shared" si="14"/>
        <v>38148</v>
      </c>
      <c r="B240" s="56">
        <v>1856</v>
      </c>
      <c r="C240" s="56">
        <v>356</v>
      </c>
      <c r="D240" s="56">
        <v>1433</v>
      </c>
      <c r="E240" s="56">
        <v>68</v>
      </c>
      <c r="F240" s="56">
        <v>1536</v>
      </c>
      <c r="G240" s="56">
        <v>201</v>
      </c>
      <c r="H240" s="56">
        <v>810</v>
      </c>
      <c r="I240" s="56">
        <v>116</v>
      </c>
      <c r="J240" s="56">
        <v>154</v>
      </c>
      <c r="K240" s="56">
        <v>22</v>
      </c>
      <c r="L240" s="56">
        <v>5790</v>
      </c>
      <c r="M240" s="56">
        <v>764</v>
      </c>
      <c r="N240" s="56">
        <v>8094</v>
      </c>
      <c r="O240" s="56">
        <v>37763</v>
      </c>
      <c r="P240" s="56">
        <v>1062</v>
      </c>
      <c r="Q240" s="56">
        <v>23064</v>
      </c>
      <c r="R240" s="16">
        <f t="shared" si="13"/>
        <v>14946</v>
      </c>
      <c r="S240" s="167">
        <f t="shared" si="15"/>
        <v>13836.25</v>
      </c>
      <c r="T240" s="168">
        <f t="shared" si="16"/>
        <v>38148</v>
      </c>
    </row>
    <row r="241" spans="1:20" ht="15.6" x14ac:dyDescent="0.3">
      <c r="A241" s="124">
        <f t="shared" si="14"/>
        <v>38155</v>
      </c>
      <c r="B241" s="56">
        <v>1770</v>
      </c>
      <c r="C241" s="56">
        <v>592</v>
      </c>
      <c r="D241" s="56">
        <v>1511</v>
      </c>
      <c r="E241" s="56">
        <v>76</v>
      </c>
      <c r="F241" s="56">
        <v>1494</v>
      </c>
      <c r="G241" s="56">
        <v>349</v>
      </c>
      <c r="H241" s="56">
        <v>846</v>
      </c>
      <c r="I241" s="56">
        <v>171</v>
      </c>
      <c r="J241" s="56">
        <v>157</v>
      </c>
      <c r="K241" s="56">
        <v>27</v>
      </c>
      <c r="L241" s="56">
        <v>5778</v>
      </c>
      <c r="M241" s="56">
        <v>1216</v>
      </c>
      <c r="N241" s="56">
        <v>7524</v>
      </c>
      <c r="O241" s="56">
        <v>38492</v>
      </c>
      <c r="P241" s="56">
        <v>935</v>
      </c>
      <c r="Q241" s="56">
        <v>23287</v>
      </c>
      <c r="R241" s="16">
        <f t="shared" si="13"/>
        <v>14237</v>
      </c>
      <c r="S241" s="167">
        <f t="shared" si="15"/>
        <v>14137.75</v>
      </c>
      <c r="T241" s="168">
        <f t="shared" si="16"/>
        <v>38155</v>
      </c>
    </row>
    <row r="242" spans="1:20" ht="15.6" x14ac:dyDescent="0.3">
      <c r="A242" s="124">
        <f t="shared" si="14"/>
        <v>38162</v>
      </c>
      <c r="B242" s="56">
        <v>1709</v>
      </c>
      <c r="C242" s="56">
        <v>810</v>
      </c>
      <c r="D242" s="56">
        <v>1511</v>
      </c>
      <c r="E242" s="56">
        <v>119</v>
      </c>
      <c r="F242" s="56">
        <v>1560</v>
      </c>
      <c r="G242" s="56">
        <v>524</v>
      </c>
      <c r="H242" s="56">
        <v>859</v>
      </c>
      <c r="I242" s="56">
        <v>189</v>
      </c>
      <c r="J242" s="56">
        <v>153</v>
      </c>
      <c r="K242" s="56">
        <v>54</v>
      </c>
      <c r="L242" s="56">
        <v>5794</v>
      </c>
      <c r="M242" s="56">
        <v>1696</v>
      </c>
      <c r="N242" s="56">
        <v>7533</v>
      </c>
      <c r="O242" s="56">
        <v>39293</v>
      </c>
      <c r="P242" s="56">
        <v>861</v>
      </c>
      <c r="Q242" s="56">
        <v>23777</v>
      </c>
      <c r="R242" s="16">
        <f t="shared" si="13"/>
        <v>14188</v>
      </c>
      <c r="S242" s="167">
        <f t="shared" si="15"/>
        <v>14668.75</v>
      </c>
      <c r="T242" s="168">
        <f t="shared" si="16"/>
        <v>38162</v>
      </c>
    </row>
    <row r="243" spans="1:20" ht="15.6" x14ac:dyDescent="0.3">
      <c r="A243" s="124">
        <f t="shared" si="14"/>
        <v>38169</v>
      </c>
      <c r="B243" s="56">
        <v>1691</v>
      </c>
      <c r="C243" s="56">
        <v>1001</v>
      </c>
      <c r="D243" s="56">
        <v>1573</v>
      </c>
      <c r="E243" s="56">
        <v>189</v>
      </c>
      <c r="F243" s="56">
        <v>1571</v>
      </c>
      <c r="G243" s="56">
        <v>603</v>
      </c>
      <c r="H243" s="56">
        <v>894</v>
      </c>
      <c r="I243" s="56">
        <v>277</v>
      </c>
      <c r="J243" s="56">
        <v>136</v>
      </c>
      <c r="K243" s="56">
        <v>70</v>
      </c>
      <c r="L243" s="56">
        <v>5866</v>
      </c>
      <c r="M243" s="56">
        <v>2141</v>
      </c>
      <c r="N243" s="56">
        <v>7158</v>
      </c>
      <c r="O243" s="56">
        <v>40188</v>
      </c>
      <c r="P243" s="56">
        <v>729</v>
      </c>
      <c r="Q243" s="56">
        <v>23513</v>
      </c>
      <c r="R243" s="16">
        <f t="shared" si="13"/>
        <v>13753</v>
      </c>
      <c r="S243" s="167">
        <f t="shared" si="15"/>
        <v>14281</v>
      </c>
      <c r="T243" s="168">
        <f t="shared" si="16"/>
        <v>38169</v>
      </c>
    </row>
    <row r="244" spans="1:20" ht="15.6" x14ac:dyDescent="0.3">
      <c r="A244" s="124">
        <f t="shared" si="14"/>
        <v>38176</v>
      </c>
      <c r="B244" s="56">
        <v>1654</v>
      </c>
      <c r="C244" s="56">
        <v>1162</v>
      </c>
      <c r="D244" s="56">
        <v>1497</v>
      </c>
      <c r="E244" s="56">
        <v>275</v>
      </c>
      <c r="F244" s="56">
        <v>1557</v>
      </c>
      <c r="G244" s="56">
        <v>701</v>
      </c>
      <c r="H244" s="56">
        <v>953</v>
      </c>
      <c r="I244" s="56">
        <v>317</v>
      </c>
      <c r="J244" s="56">
        <v>134</v>
      </c>
      <c r="K244" s="56">
        <v>70</v>
      </c>
      <c r="L244" s="56">
        <v>5795</v>
      </c>
      <c r="M244" s="56">
        <v>2525</v>
      </c>
      <c r="N244" s="56">
        <v>6791</v>
      </c>
      <c r="O244" s="56">
        <v>41212</v>
      </c>
      <c r="P244" s="56">
        <v>670</v>
      </c>
      <c r="Q244" s="56">
        <v>23566</v>
      </c>
      <c r="R244" s="16">
        <f t="shared" ref="R244:R307" si="17">L244+N244+P244</f>
        <v>13256</v>
      </c>
      <c r="S244" s="167">
        <f t="shared" si="15"/>
        <v>13858.5</v>
      </c>
      <c r="T244" s="168">
        <f t="shared" si="16"/>
        <v>38176</v>
      </c>
    </row>
    <row r="245" spans="1:20" ht="15.6" x14ac:dyDescent="0.3">
      <c r="A245" s="124">
        <f t="shared" si="14"/>
        <v>38183</v>
      </c>
      <c r="B245" s="56">
        <v>1487</v>
      </c>
      <c r="C245" s="56">
        <v>1492</v>
      </c>
      <c r="D245" s="56">
        <v>1375</v>
      </c>
      <c r="E245" s="56">
        <v>406</v>
      </c>
      <c r="F245" s="56">
        <v>1596</v>
      </c>
      <c r="G245" s="56">
        <v>829</v>
      </c>
      <c r="H245" s="56">
        <v>912</v>
      </c>
      <c r="I245" s="56">
        <v>425</v>
      </c>
      <c r="J245" s="56">
        <v>128</v>
      </c>
      <c r="K245" s="56">
        <v>99</v>
      </c>
      <c r="L245" s="56">
        <v>5497</v>
      </c>
      <c r="M245" s="56">
        <v>3251</v>
      </c>
      <c r="N245" s="56">
        <v>6203</v>
      </c>
      <c r="O245" s="56">
        <v>42158</v>
      </c>
      <c r="P245" s="56">
        <v>713</v>
      </c>
      <c r="Q245" s="56">
        <v>23635</v>
      </c>
      <c r="R245" s="16">
        <f t="shared" si="17"/>
        <v>12413</v>
      </c>
      <c r="S245" s="167">
        <f t="shared" si="15"/>
        <v>13402.5</v>
      </c>
      <c r="T245" s="168">
        <f t="shared" si="16"/>
        <v>38183</v>
      </c>
    </row>
    <row r="246" spans="1:20" ht="15.6" x14ac:dyDescent="0.3">
      <c r="A246" s="124">
        <f t="shared" si="14"/>
        <v>38190</v>
      </c>
      <c r="B246" s="56">
        <v>1659</v>
      </c>
      <c r="C246" s="56">
        <v>1599</v>
      </c>
      <c r="D246" s="56">
        <v>1371</v>
      </c>
      <c r="E246" s="56">
        <v>434</v>
      </c>
      <c r="F246" s="56">
        <v>1587</v>
      </c>
      <c r="G246" s="56">
        <v>1009</v>
      </c>
      <c r="H246" s="56">
        <v>1001</v>
      </c>
      <c r="I246" s="56">
        <v>446</v>
      </c>
      <c r="J246" s="56">
        <v>123</v>
      </c>
      <c r="K246" s="56">
        <v>118</v>
      </c>
      <c r="L246" s="56">
        <v>5742</v>
      </c>
      <c r="M246" s="56">
        <v>3605</v>
      </c>
      <c r="N246" s="56">
        <v>5775</v>
      </c>
      <c r="O246" s="56">
        <v>42964</v>
      </c>
      <c r="P246" s="56">
        <v>520</v>
      </c>
      <c r="Q246" s="56">
        <v>23790</v>
      </c>
      <c r="R246" s="16">
        <f t="shared" si="17"/>
        <v>12037</v>
      </c>
      <c r="S246" s="167">
        <f t="shared" si="15"/>
        <v>12864.75</v>
      </c>
      <c r="T246" s="168">
        <f t="shared" si="16"/>
        <v>38190</v>
      </c>
    </row>
    <row r="247" spans="1:20" ht="15.6" x14ac:dyDescent="0.3">
      <c r="A247" s="124">
        <f t="shared" si="14"/>
        <v>38197</v>
      </c>
      <c r="B247" s="56">
        <v>1617</v>
      </c>
      <c r="C247" s="56">
        <v>1855</v>
      </c>
      <c r="D247" s="56">
        <v>1329</v>
      </c>
      <c r="E247" s="56">
        <v>616</v>
      </c>
      <c r="F247" s="56">
        <v>1474</v>
      </c>
      <c r="G247" s="56">
        <v>1147</v>
      </c>
      <c r="H247" s="56">
        <v>1054</v>
      </c>
      <c r="I247" s="56">
        <v>539</v>
      </c>
      <c r="J247" s="56">
        <v>93</v>
      </c>
      <c r="K247" s="56">
        <v>127</v>
      </c>
      <c r="L247" s="56">
        <v>5567</v>
      </c>
      <c r="M247" s="56">
        <v>4283</v>
      </c>
      <c r="N247" s="56">
        <v>5170</v>
      </c>
      <c r="O247" s="56">
        <v>44040</v>
      </c>
      <c r="P247" s="56">
        <v>536</v>
      </c>
      <c r="Q247" s="56">
        <v>23839</v>
      </c>
      <c r="R247" s="16">
        <f t="shared" si="17"/>
        <v>11273</v>
      </c>
      <c r="S247" s="167">
        <f t="shared" si="15"/>
        <v>12244.75</v>
      </c>
      <c r="T247" s="168">
        <f t="shared" si="16"/>
        <v>38197</v>
      </c>
    </row>
    <row r="248" spans="1:20" ht="15.6" x14ac:dyDescent="0.3">
      <c r="A248" s="124">
        <f t="shared" si="14"/>
        <v>38204</v>
      </c>
      <c r="B248" s="56">
        <v>1638</v>
      </c>
      <c r="C248" s="56">
        <v>2011</v>
      </c>
      <c r="D248" s="56">
        <v>1305</v>
      </c>
      <c r="E248" s="56">
        <v>769</v>
      </c>
      <c r="F248" s="56">
        <v>1408</v>
      </c>
      <c r="G248" s="56">
        <v>1370</v>
      </c>
      <c r="H248" s="56">
        <v>1040</v>
      </c>
      <c r="I248" s="56">
        <v>637</v>
      </c>
      <c r="J248" s="56">
        <v>112</v>
      </c>
      <c r="K248" s="56">
        <v>127</v>
      </c>
      <c r="L248" s="56">
        <v>5502</v>
      </c>
      <c r="M248" s="56">
        <v>4914</v>
      </c>
      <c r="N248" s="56">
        <v>4678</v>
      </c>
      <c r="O248" s="56">
        <v>44792</v>
      </c>
      <c r="P248" s="56">
        <v>464</v>
      </c>
      <c r="Q248" s="56">
        <v>23912</v>
      </c>
      <c r="R248" s="16">
        <f t="shared" si="17"/>
        <v>10644</v>
      </c>
      <c r="S248" s="167">
        <f t="shared" si="15"/>
        <v>11591.75</v>
      </c>
      <c r="T248" s="168">
        <f t="shared" si="16"/>
        <v>38204</v>
      </c>
    </row>
    <row r="249" spans="1:20" ht="15.6" x14ac:dyDescent="0.3">
      <c r="A249" s="124">
        <f t="shared" si="14"/>
        <v>38211</v>
      </c>
      <c r="B249" s="56">
        <v>1663</v>
      </c>
      <c r="C249" s="56">
        <v>2205</v>
      </c>
      <c r="D249" s="56">
        <v>1294</v>
      </c>
      <c r="E249" s="56">
        <v>847</v>
      </c>
      <c r="F249" s="56">
        <v>1527</v>
      </c>
      <c r="G249" s="56">
        <v>1446</v>
      </c>
      <c r="H249" s="56">
        <v>1212</v>
      </c>
      <c r="I249" s="56">
        <v>731</v>
      </c>
      <c r="J249" s="56">
        <v>104</v>
      </c>
      <c r="K249" s="56">
        <v>132</v>
      </c>
      <c r="L249" s="56">
        <v>5799</v>
      </c>
      <c r="M249" s="56">
        <v>5360</v>
      </c>
      <c r="N249" s="56">
        <v>3862</v>
      </c>
      <c r="O249" s="56">
        <v>45794</v>
      </c>
      <c r="P249" s="56">
        <v>444</v>
      </c>
      <c r="Q249" s="56">
        <v>23956</v>
      </c>
      <c r="R249" s="16">
        <f t="shared" si="17"/>
        <v>10105</v>
      </c>
      <c r="S249" s="167">
        <f t="shared" si="15"/>
        <v>11014.75</v>
      </c>
      <c r="T249" s="168">
        <f t="shared" si="16"/>
        <v>38211</v>
      </c>
    </row>
    <row r="250" spans="1:20" ht="15.6" x14ac:dyDescent="0.3">
      <c r="A250" s="124">
        <f t="shared" si="14"/>
        <v>38218</v>
      </c>
      <c r="B250" s="56">
        <v>1643</v>
      </c>
      <c r="C250" s="56">
        <v>2409</v>
      </c>
      <c r="D250" s="56">
        <v>1275</v>
      </c>
      <c r="E250" s="56">
        <v>952</v>
      </c>
      <c r="F250" s="56">
        <v>1524</v>
      </c>
      <c r="G250" s="56">
        <v>1615</v>
      </c>
      <c r="H250" s="56">
        <v>1260</v>
      </c>
      <c r="I250" s="56">
        <v>855</v>
      </c>
      <c r="J250" s="56">
        <v>88</v>
      </c>
      <c r="K250" s="56">
        <v>149</v>
      </c>
      <c r="L250" s="56">
        <v>5790</v>
      </c>
      <c r="M250" s="56">
        <v>5973</v>
      </c>
      <c r="N250" s="56">
        <v>3019</v>
      </c>
      <c r="O250" s="56">
        <v>46770</v>
      </c>
      <c r="P250" s="56">
        <v>387</v>
      </c>
      <c r="Q250" s="56">
        <v>24031</v>
      </c>
      <c r="R250" s="16">
        <f t="shared" si="17"/>
        <v>9196</v>
      </c>
      <c r="S250" s="167">
        <f t="shared" si="15"/>
        <v>10304.5</v>
      </c>
      <c r="T250" s="168">
        <f t="shared" si="16"/>
        <v>38218</v>
      </c>
    </row>
    <row r="251" spans="1:20" ht="15.6" x14ac:dyDescent="0.3">
      <c r="A251" s="124">
        <f t="shared" si="14"/>
        <v>38225</v>
      </c>
      <c r="B251" s="56">
        <v>1813</v>
      </c>
      <c r="C251" s="56">
        <v>2578</v>
      </c>
      <c r="D251" s="56">
        <v>1067</v>
      </c>
      <c r="E251" s="56">
        <v>1053</v>
      </c>
      <c r="F251" s="56">
        <v>1575</v>
      </c>
      <c r="G251" s="56">
        <v>1798</v>
      </c>
      <c r="H251" s="56">
        <v>1224</v>
      </c>
      <c r="I251" s="56">
        <v>961</v>
      </c>
      <c r="J251" s="56">
        <v>110</v>
      </c>
      <c r="K251" s="56">
        <v>149</v>
      </c>
      <c r="L251" s="56">
        <v>5787</v>
      </c>
      <c r="M251" s="56">
        <v>6539</v>
      </c>
      <c r="N251" s="56">
        <v>2177</v>
      </c>
      <c r="O251" s="56">
        <v>47704</v>
      </c>
      <c r="P251" s="56">
        <v>310</v>
      </c>
      <c r="Q251" s="56">
        <v>24108</v>
      </c>
      <c r="R251" s="16">
        <f t="shared" si="17"/>
        <v>8274</v>
      </c>
      <c r="S251" s="167">
        <f t="shared" si="15"/>
        <v>9554.75</v>
      </c>
      <c r="T251" s="168">
        <f t="shared" si="16"/>
        <v>38225</v>
      </c>
    </row>
    <row r="252" spans="1:20" ht="15.6" x14ac:dyDescent="0.3">
      <c r="A252" s="124">
        <f t="shared" si="14"/>
        <v>38232</v>
      </c>
      <c r="B252" s="56">
        <v>1768</v>
      </c>
      <c r="C252" s="56">
        <v>2784</v>
      </c>
      <c r="D252" s="56">
        <v>898</v>
      </c>
      <c r="E252" s="56">
        <v>1258</v>
      </c>
      <c r="F252" s="56">
        <v>1471</v>
      </c>
      <c r="G252" s="56">
        <v>2013</v>
      </c>
      <c r="H252" s="56">
        <v>1271</v>
      </c>
      <c r="I252" s="56">
        <v>1088</v>
      </c>
      <c r="J252" s="56">
        <v>80</v>
      </c>
      <c r="K252" s="56">
        <v>183</v>
      </c>
      <c r="L252" s="56">
        <v>5488</v>
      </c>
      <c r="M252" s="56">
        <v>7325</v>
      </c>
      <c r="N252" s="56">
        <v>6936</v>
      </c>
      <c r="O252" s="56">
        <v>230</v>
      </c>
      <c r="P252" s="56">
        <v>5968</v>
      </c>
      <c r="Q252" s="56">
        <v>72</v>
      </c>
      <c r="R252" s="16">
        <f t="shared" si="17"/>
        <v>18392</v>
      </c>
      <c r="S252" s="167">
        <f t="shared" si="15"/>
        <v>11491.75</v>
      </c>
      <c r="T252" s="168">
        <f t="shared" si="16"/>
        <v>38232</v>
      </c>
    </row>
    <row r="253" spans="1:20" ht="15.6" x14ac:dyDescent="0.3">
      <c r="A253" s="124">
        <f t="shared" si="14"/>
        <v>38239</v>
      </c>
      <c r="B253" s="56">
        <v>1702</v>
      </c>
      <c r="C253" s="56">
        <v>2975</v>
      </c>
      <c r="D253" s="56">
        <v>932</v>
      </c>
      <c r="E253" s="56">
        <v>1317</v>
      </c>
      <c r="F253" s="56">
        <v>1321</v>
      </c>
      <c r="G253" s="56">
        <v>2225</v>
      </c>
      <c r="H253" s="56">
        <v>1196</v>
      </c>
      <c r="I253" s="56">
        <v>1229</v>
      </c>
      <c r="J253" s="56">
        <v>79</v>
      </c>
      <c r="K253" s="56">
        <v>188</v>
      </c>
      <c r="L253" s="56">
        <v>5230</v>
      </c>
      <c r="M253" s="56">
        <v>7933</v>
      </c>
      <c r="N253" s="56">
        <v>7431</v>
      </c>
      <c r="O253" s="56">
        <v>943</v>
      </c>
      <c r="P253" s="56">
        <v>6305</v>
      </c>
      <c r="Q253" s="56">
        <v>370</v>
      </c>
      <c r="R253" s="16">
        <f t="shared" si="17"/>
        <v>18966</v>
      </c>
      <c r="S253" s="167">
        <f t="shared" si="15"/>
        <v>13707</v>
      </c>
      <c r="T253" s="168">
        <f t="shared" si="16"/>
        <v>38239</v>
      </c>
    </row>
    <row r="254" spans="1:20" ht="15.6" x14ac:dyDescent="0.3">
      <c r="A254" s="124">
        <f t="shared" si="14"/>
        <v>38246</v>
      </c>
      <c r="B254" s="56">
        <v>1665</v>
      </c>
      <c r="C254" s="56">
        <v>3129</v>
      </c>
      <c r="D254" s="56">
        <v>875</v>
      </c>
      <c r="E254" s="56">
        <v>1416</v>
      </c>
      <c r="F254" s="56">
        <v>1235</v>
      </c>
      <c r="G254" s="56">
        <v>2464</v>
      </c>
      <c r="H254" s="56">
        <v>1109</v>
      </c>
      <c r="I254" s="56">
        <v>1412</v>
      </c>
      <c r="J254" s="56">
        <v>84</v>
      </c>
      <c r="K254" s="56">
        <v>188</v>
      </c>
      <c r="L254" s="56">
        <v>4968</v>
      </c>
      <c r="M254" s="56">
        <v>8609</v>
      </c>
      <c r="N254" s="56">
        <v>7896</v>
      </c>
      <c r="O254" s="56">
        <v>1656</v>
      </c>
      <c r="P254" s="56">
        <v>7215</v>
      </c>
      <c r="Q254" s="56">
        <v>463</v>
      </c>
      <c r="R254" s="16">
        <f t="shared" si="17"/>
        <v>20079</v>
      </c>
      <c r="S254" s="167">
        <f t="shared" si="15"/>
        <v>16427.75</v>
      </c>
      <c r="T254" s="168">
        <f t="shared" si="16"/>
        <v>38246</v>
      </c>
    </row>
    <row r="255" spans="1:20" ht="15.6" x14ac:dyDescent="0.3">
      <c r="A255" s="124">
        <f t="shared" si="14"/>
        <v>38253</v>
      </c>
      <c r="B255" s="56">
        <v>1659</v>
      </c>
      <c r="C255" s="56">
        <v>3345</v>
      </c>
      <c r="D255" s="56">
        <v>766</v>
      </c>
      <c r="E255" s="56">
        <v>1548</v>
      </c>
      <c r="F255" s="56">
        <v>1205</v>
      </c>
      <c r="G255" s="56">
        <v>2617</v>
      </c>
      <c r="H255" s="56">
        <v>1010</v>
      </c>
      <c r="I255" s="56">
        <v>1624</v>
      </c>
      <c r="J255" s="56">
        <v>76</v>
      </c>
      <c r="K255" s="56">
        <v>197</v>
      </c>
      <c r="L255" s="56">
        <v>4717</v>
      </c>
      <c r="M255" s="56">
        <v>9330</v>
      </c>
      <c r="N255" s="56">
        <v>7798</v>
      </c>
      <c r="O255" s="56">
        <v>2638</v>
      </c>
      <c r="P255" s="56">
        <v>7639</v>
      </c>
      <c r="Q255" s="56">
        <v>795</v>
      </c>
      <c r="R255" s="16">
        <f t="shared" si="17"/>
        <v>20154</v>
      </c>
      <c r="S255" s="167">
        <f t="shared" si="15"/>
        <v>19397.75</v>
      </c>
      <c r="T255" s="168">
        <f t="shared" si="16"/>
        <v>38253</v>
      </c>
    </row>
    <row r="256" spans="1:20" ht="15.6" x14ac:dyDescent="0.3">
      <c r="A256" s="124">
        <f t="shared" si="14"/>
        <v>38260</v>
      </c>
      <c r="B256" s="56">
        <v>1610</v>
      </c>
      <c r="C256" s="56">
        <v>3562</v>
      </c>
      <c r="D256" s="56">
        <v>679</v>
      </c>
      <c r="E256" s="56">
        <v>1684</v>
      </c>
      <c r="F256" s="56">
        <v>1359</v>
      </c>
      <c r="G256" s="56">
        <v>2851</v>
      </c>
      <c r="H256" s="56">
        <v>1065</v>
      </c>
      <c r="I256" s="56">
        <v>1723</v>
      </c>
      <c r="J256" s="56">
        <v>91</v>
      </c>
      <c r="K256" s="56">
        <v>228</v>
      </c>
      <c r="L256" s="56">
        <v>4803</v>
      </c>
      <c r="M256" s="56">
        <v>10048</v>
      </c>
      <c r="N256" s="56">
        <v>7397</v>
      </c>
      <c r="O256" s="56">
        <v>3818</v>
      </c>
      <c r="P256" s="56">
        <v>8207</v>
      </c>
      <c r="Q256" s="56">
        <v>1188</v>
      </c>
      <c r="R256" s="16">
        <f t="shared" si="17"/>
        <v>20407</v>
      </c>
      <c r="S256" s="167">
        <f t="shared" si="15"/>
        <v>19901.5</v>
      </c>
      <c r="T256" s="168">
        <f t="shared" si="16"/>
        <v>38260</v>
      </c>
    </row>
    <row r="257" spans="1:20" ht="15.6" x14ac:dyDescent="0.3">
      <c r="A257" s="124">
        <f t="shared" si="14"/>
        <v>38267</v>
      </c>
      <c r="B257" s="56">
        <v>1775</v>
      </c>
      <c r="C257" s="56">
        <v>3683</v>
      </c>
      <c r="D257" s="56">
        <v>623</v>
      </c>
      <c r="E257" s="56">
        <v>1765</v>
      </c>
      <c r="F257" s="56">
        <v>1336</v>
      </c>
      <c r="G257" s="56">
        <v>3090</v>
      </c>
      <c r="H257" s="56">
        <v>1068</v>
      </c>
      <c r="I257" s="56">
        <v>1786</v>
      </c>
      <c r="J257" s="56">
        <v>69</v>
      </c>
      <c r="K257" s="56">
        <v>251</v>
      </c>
      <c r="L257" s="56">
        <v>4870</v>
      </c>
      <c r="M257" s="56">
        <v>10574</v>
      </c>
      <c r="N257" s="56">
        <v>7934</v>
      </c>
      <c r="O257" s="56">
        <v>4765</v>
      </c>
      <c r="P257" s="56">
        <v>8694</v>
      </c>
      <c r="Q257" s="56">
        <v>1681</v>
      </c>
      <c r="R257" s="16">
        <f t="shared" si="17"/>
        <v>21498</v>
      </c>
      <c r="S257" s="167">
        <f t="shared" si="15"/>
        <v>20534.5</v>
      </c>
      <c r="T257" s="168">
        <f t="shared" si="16"/>
        <v>38267</v>
      </c>
    </row>
    <row r="258" spans="1:20" ht="15.6" x14ac:dyDescent="0.3">
      <c r="A258" s="124">
        <f t="shared" si="14"/>
        <v>38274</v>
      </c>
      <c r="B258" s="56">
        <v>1622</v>
      </c>
      <c r="C258" s="56">
        <v>3883</v>
      </c>
      <c r="D258" s="56">
        <v>612</v>
      </c>
      <c r="E258" s="56">
        <v>1847</v>
      </c>
      <c r="F258" s="56">
        <v>1329</v>
      </c>
      <c r="G258" s="56">
        <v>3242</v>
      </c>
      <c r="H258" s="56">
        <v>990</v>
      </c>
      <c r="I258" s="56">
        <v>1891</v>
      </c>
      <c r="J258" s="56">
        <v>96</v>
      </c>
      <c r="K258" s="56">
        <v>251</v>
      </c>
      <c r="L258" s="56">
        <v>4649</v>
      </c>
      <c r="M258" s="56">
        <v>11114</v>
      </c>
      <c r="N258" s="56">
        <v>8638</v>
      </c>
      <c r="O258" s="56">
        <v>5372</v>
      </c>
      <c r="P258" s="56">
        <v>8709</v>
      </c>
      <c r="Q258" s="56">
        <v>2654</v>
      </c>
      <c r="R258" s="16">
        <f t="shared" si="17"/>
        <v>21996</v>
      </c>
      <c r="S258" s="167">
        <f t="shared" si="15"/>
        <v>21013.75</v>
      </c>
      <c r="T258" s="168">
        <f t="shared" si="16"/>
        <v>38274</v>
      </c>
    </row>
    <row r="259" spans="1:20" ht="15.6" x14ac:dyDescent="0.3">
      <c r="A259" s="124">
        <f t="shared" si="14"/>
        <v>38281</v>
      </c>
      <c r="B259" s="56">
        <v>1650</v>
      </c>
      <c r="C259" s="56">
        <v>3950</v>
      </c>
      <c r="D259" s="56">
        <v>519</v>
      </c>
      <c r="E259" s="56">
        <v>1942</v>
      </c>
      <c r="F259" s="56">
        <v>1371</v>
      </c>
      <c r="G259" s="56">
        <v>3354</v>
      </c>
      <c r="H259" s="56">
        <v>995</v>
      </c>
      <c r="I259" s="56">
        <v>2045</v>
      </c>
      <c r="J259" s="56">
        <v>105</v>
      </c>
      <c r="K259" s="56">
        <v>262</v>
      </c>
      <c r="L259" s="56">
        <v>4640</v>
      </c>
      <c r="M259" s="56">
        <v>11553</v>
      </c>
      <c r="N259" s="56">
        <v>8532</v>
      </c>
      <c r="O259" s="56">
        <v>6558</v>
      </c>
      <c r="P259" s="56">
        <v>8598</v>
      </c>
      <c r="Q259" s="56">
        <v>3690</v>
      </c>
      <c r="R259" s="16">
        <f t="shared" si="17"/>
        <v>21770</v>
      </c>
      <c r="S259" s="167">
        <f t="shared" si="15"/>
        <v>21417.75</v>
      </c>
      <c r="T259" s="168">
        <f t="shared" si="16"/>
        <v>38281</v>
      </c>
    </row>
    <row r="260" spans="1:20" ht="15.6" x14ac:dyDescent="0.3">
      <c r="A260" s="124">
        <f t="shared" si="14"/>
        <v>38288</v>
      </c>
      <c r="B260" s="56">
        <v>1596</v>
      </c>
      <c r="C260" s="56">
        <v>4186</v>
      </c>
      <c r="D260" s="56">
        <v>506</v>
      </c>
      <c r="E260" s="56">
        <v>1968</v>
      </c>
      <c r="F260" s="56">
        <v>1314</v>
      </c>
      <c r="G260" s="56">
        <v>3518</v>
      </c>
      <c r="H260" s="56">
        <v>865</v>
      </c>
      <c r="I260" s="56">
        <v>2261</v>
      </c>
      <c r="J260" s="56">
        <v>100</v>
      </c>
      <c r="K260" s="56">
        <v>267</v>
      </c>
      <c r="L260" s="56">
        <v>4381</v>
      </c>
      <c r="M260" s="56">
        <v>12200</v>
      </c>
      <c r="N260" s="56">
        <v>9340</v>
      </c>
      <c r="O260" s="56">
        <v>7254</v>
      </c>
      <c r="P260" s="56">
        <v>7408</v>
      </c>
      <c r="Q260" s="56">
        <v>5367</v>
      </c>
      <c r="R260" s="16">
        <f t="shared" si="17"/>
        <v>21129</v>
      </c>
      <c r="S260" s="167">
        <f t="shared" si="15"/>
        <v>21598.25</v>
      </c>
      <c r="T260" s="168">
        <f t="shared" si="16"/>
        <v>38288</v>
      </c>
    </row>
    <row r="261" spans="1:20" ht="15.6" x14ac:dyDescent="0.3">
      <c r="A261" s="124">
        <f t="shared" si="14"/>
        <v>38295</v>
      </c>
      <c r="B261" s="56">
        <v>1556</v>
      </c>
      <c r="C261" s="56">
        <v>4413</v>
      </c>
      <c r="D261" s="56">
        <v>532</v>
      </c>
      <c r="E261" s="56">
        <v>1979</v>
      </c>
      <c r="F261" s="56">
        <v>1340</v>
      </c>
      <c r="G261" s="56">
        <v>3722</v>
      </c>
      <c r="H261" s="56">
        <v>915</v>
      </c>
      <c r="I261" s="56">
        <v>2404</v>
      </c>
      <c r="J261" s="56">
        <v>105</v>
      </c>
      <c r="K261" s="56">
        <v>272</v>
      </c>
      <c r="L261" s="56">
        <v>4449</v>
      </c>
      <c r="M261" s="56">
        <v>12789</v>
      </c>
      <c r="N261" s="56">
        <v>9053</v>
      </c>
      <c r="O261" s="56">
        <v>8321</v>
      </c>
      <c r="P261" s="56">
        <v>7116</v>
      </c>
      <c r="Q261" s="56">
        <v>6314</v>
      </c>
      <c r="R261" s="16">
        <f t="shared" si="17"/>
        <v>20618</v>
      </c>
      <c r="S261" s="167">
        <f t="shared" si="15"/>
        <v>21378.25</v>
      </c>
      <c r="T261" s="168">
        <f t="shared" si="16"/>
        <v>38295</v>
      </c>
    </row>
    <row r="262" spans="1:20" ht="15.6" x14ac:dyDescent="0.3">
      <c r="A262" s="124">
        <f t="shared" si="14"/>
        <v>38302</v>
      </c>
      <c r="B262" s="56">
        <v>1714</v>
      </c>
      <c r="C262" s="56">
        <v>4524</v>
      </c>
      <c r="D262" s="56">
        <v>531</v>
      </c>
      <c r="E262" s="56">
        <v>2012</v>
      </c>
      <c r="F262" s="56">
        <v>1276</v>
      </c>
      <c r="G262" s="56">
        <v>3895</v>
      </c>
      <c r="H262" s="56">
        <v>855</v>
      </c>
      <c r="I262" s="56">
        <v>2552</v>
      </c>
      <c r="J262" s="56">
        <v>88</v>
      </c>
      <c r="K262" s="56">
        <v>294</v>
      </c>
      <c r="L262" s="56">
        <v>4463</v>
      </c>
      <c r="M262" s="56">
        <v>13278</v>
      </c>
      <c r="N262" s="56">
        <v>8741</v>
      </c>
      <c r="O262" s="56">
        <v>9358</v>
      </c>
      <c r="P262" s="56">
        <v>6767</v>
      </c>
      <c r="Q262" s="56">
        <v>7619</v>
      </c>
      <c r="R262" s="16">
        <f t="shared" si="17"/>
        <v>19971</v>
      </c>
      <c r="S262" s="167">
        <f t="shared" si="15"/>
        <v>20872</v>
      </c>
      <c r="T262" s="168">
        <f t="shared" si="16"/>
        <v>38302</v>
      </c>
    </row>
    <row r="263" spans="1:20" ht="15.6" x14ac:dyDescent="0.3">
      <c r="A263" s="124">
        <f t="shared" si="14"/>
        <v>38309</v>
      </c>
      <c r="B263" s="56">
        <v>1726</v>
      </c>
      <c r="C263" s="56">
        <v>4718</v>
      </c>
      <c r="D263" s="56">
        <v>560</v>
      </c>
      <c r="E263" s="56">
        <v>2031</v>
      </c>
      <c r="F263" s="56">
        <v>1219</v>
      </c>
      <c r="G263" s="56">
        <v>4100</v>
      </c>
      <c r="H263" s="56">
        <v>735</v>
      </c>
      <c r="I263" s="56">
        <v>2710</v>
      </c>
      <c r="J263" s="56">
        <v>90</v>
      </c>
      <c r="K263" s="56">
        <v>294</v>
      </c>
      <c r="L263" s="56">
        <v>4331</v>
      </c>
      <c r="M263" s="56">
        <v>13853</v>
      </c>
      <c r="N263" s="56">
        <v>9141</v>
      </c>
      <c r="O263" s="56">
        <v>10258</v>
      </c>
      <c r="P263" s="56">
        <v>6786</v>
      </c>
      <c r="Q263" s="56">
        <v>8938</v>
      </c>
      <c r="R263" s="16">
        <f t="shared" si="17"/>
        <v>20258</v>
      </c>
      <c r="S263" s="167">
        <f t="shared" si="15"/>
        <v>20494</v>
      </c>
      <c r="T263" s="168">
        <f t="shared" si="16"/>
        <v>38309</v>
      </c>
    </row>
    <row r="264" spans="1:20" ht="15.6" x14ac:dyDescent="0.3">
      <c r="A264" s="124">
        <f t="shared" si="14"/>
        <v>38316</v>
      </c>
      <c r="B264" s="56">
        <v>1580</v>
      </c>
      <c r="C264" s="56">
        <v>4910</v>
      </c>
      <c r="D264" s="56">
        <v>512</v>
      </c>
      <c r="E264" s="56">
        <v>2090</v>
      </c>
      <c r="F264" s="56">
        <v>1205</v>
      </c>
      <c r="G264" s="56">
        <v>4185</v>
      </c>
      <c r="H264" s="56">
        <v>757</v>
      </c>
      <c r="I264" s="56">
        <v>2870</v>
      </c>
      <c r="J264" s="56">
        <v>100</v>
      </c>
      <c r="K264" s="56">
        <v>312</v>
      </c>
      <c r="L264" s="56">
        <v>4154</v>
      </c>
      <c r="M264" s="56">
        <v>14367</v>
      </c>
      <c r="N264" s="56">
        <v>8917</v>
      </c>
      <c r="O264" s="56">
        <v>11067</v>
      </c>
      <c r="P264" s="56">
        <v>6297</v>
      </c>
      <c r="Q264" s="56">
        <v>9834</v>
      </c>
      <c r="R264" s="16">
        <f t="shared" si="17"/>
        <v>19368</v>
      </c>
      <c r="S264" s="167">
        <f t="shared" si="15"/>
        <v>20053.75</v>
      </c>
      <c r="T264" s="168">
        <f t="shared" si="16"/>
        <v>38316</v>
      </c>
    </row>
    <row r="265" spans="1:20" ht="15.6" x14ac:dyDescent="0.3">
      <c r="A265" s="124">
        <f t="shared" si="14"/>
        <v>38323</v>
      </c>
      <c r="B265" s="56">
        <v>1511</v>
      </c>
      <c r="C265" s="56">
        <v>5129</v>
      </c>
      <c r="D265" s="56">
        <v>493</v>
      </c>
      <c r="E265" s="56">
        <v>2142</v>
      </c>
      <c r="F265" s="56">
        <v>1293</v>
      </c>
      <c r="G265" s="56">
        <v>4335</v>
      </c>
      <c r="H265" s="56">
        <v>730</v>
      </c>
      <c r="I265" s="56">
        <v>2926</v>
      </c>
      <c r="J265" s="56">
        <v>116</v>
      </c>
      <c r="K265" s="56">
        <v>334</v>
      </c>
      <c r="L265" s="56">
        <v>4143</v>
      </c>
      <c r="M265" s="56">
        <v>14866</v>
      </c>
      <c r="N265" s="56">
        <v>8624</v>
      </c>
      <c r="O265" s="56">
        <v>12275</v>
      </c>
      <c r="P265" s="56">
        <v>5755</v>
      </c>
      <c r="Q265" s="56">
        <v>10822</v>
      </c>
      <c r="R265" s="16">
        <f t="shared" si="17"/>
        <v>18522</v>
      </c>
      <c r="S265" s="167">
        <f t="shared" si="15"/>
        <v>19529.75</v>
      </c>
      <c r="T265" s="168">
        <f t="shared" si="16"/>
        <v>38323</v>
      </c>
    </row>
    <row r="266" spans="1:20" ht="15.6" x14ac:dyDescent="0.3">
      <c r="A266" s="124">
        <f>A265+7</f>
        <v>38330</v>
      </c>
      <c r="B266" s="56">
        <v>1498</v>
      </c>
      <c r="C266" s="56">
        <v>5347</v>
      </c>
      <c r="D266" s="56">
        <v>514</v>
      </c>
      <c r="E266" s="56">
        <v>2171</v>
      </c>
      <c r="F266" s="56">
        <v>1255</v>
      </c>
      <c r="G266" s="56">
        <v>4485</v>
      </c>
      <c r="H266" s="56">
        <v>749</v>
      </c>
      <c r="I266" s="56">
        <v>2942</v>
      </c>
      <c r="J266" s="56">
        <v>74</v>
      </c>
      <c r="K266" s="56">
        <v>366</v>
      </c>
      <c r="L266" s="56">
        <v>4088</v>
      </c>
      <c r="M266" s="56">
        <v>15312</v>
      </c>
      <c r="N266" s="56">
        <v>8113</v>
      </c>
      <c r="O266" s="56">
        <v>13423</v>
      </c>
      <c r="P266" s="56">
        <v>5780</v>
      </c>
      <c r="Q266" s="56">
        <v>11667</v>
      </c>
      <c r="R266" s="16">
        <f t="shared" si="17"/>
        <v>17981</v>
      </c>
      <c r="S266" s="167">
        <f t="shared" si="15"/>
        <v>19032.25</v>
      </c>
      <c r="T266" s="168">
        <f t="shared" si="16"/>
        <v>38330</v>
      </c>
    </row>
    <row r="267" spans="1:20" ht="15.6" x14ac:dyDescent="0.3">
      <c r="A267" s="124">
        <f t="shared" ref="A267:A330" si="18">A266+7</f>
        <v>38337</v>
      </c>
      <c r="B267" s="56">
        <v>1700</v>
      </c>
      <c r="C267" s="56">
        <v>5459</v>
      </c>
      <c r="D267" s="56">
        <v>495</v>
      </c>
      <c r="E267" s="56">
        <v>2249</v>
      </c>
      <c r="F267" s="56">
        <v>1250</v>
      </c>
      <c r="G267" s="56">
        <v>4643</v>
      </c>
      <c r="H267" s="56">
        <v>776</v>
      </c>
      <c r="I267" s="56">
        <v>2993</v>
      </c>
      <c r="J267" s="56">
        <v>78</v>
      </c>
      <c r="K267" s="56">
        <v>366</v>
      </c>
      <c r="L267" s="56">
        <v>4299</v>
      </c>
      <c r="M267" s="56">
        <v>15710</v>
      </c>
      <c r="N267" s="56">
        <v>7770</v>
      </c>
      <c r="O267" s="56">
        <v>14492</v>
      </c>
      <c r="P267" s="56">
        <v>5692</v>
      </c>
      <c r="Q267" s="56">
        <v>12913</v>
      </c>
      <c r="R267" s="16">
        <f t="shared" si="17"/>
        <v>17761</v>
      </c>
      <c r="S267" s="167">
        <f t="shared" si="15"/>
        <v>18408</v>
      </c>
      <c r="T267" s="168">
        <f t="shared" si="16"/>
        <v>38337</v>
      </c>
    </row>
    <row r="268" spans="1:20" ht="15.6" x14ac:dyDescent="0.3">
      <c r="A268" s="124">
        <f>A267+7</f>
        <v>38344</v>
      </c>
      <c r="B268" s="56">
        <v>1610</v>
      </c>
      <c r="C268" s="56">
        <v>5672</v>
      </c>
      <c r="D268" s="56">
        <v>492</v>
      </c>
      <c r="E268" s="56">
        <v>2321</v>
      </c>
      <c r="F268" s="56">
        <v>1181</v>
      </c>
      <c r="G268" s="56">
        <v>4762</v>
      </c>
      <c r="H268" s="56">
        <v>738</v>
      </c>
      <c r="I268" s="56">
        <v>3079</v>
      </c>
      <c r="J268" s="56">
        <v>128</v>
      </c>
      <c r="K268" s="56">
        <v>366</v>
      </c>
      <c r="L268" s="56">
        <v>4148</v>
      </c>
      <c r="M268" s="56">
        <v>16199</v>
      </c>
      <c r="N268" s="56">
        <v>7496</v>
      </c>
      <c r="O268" s="56">
        <v>15517</v>
      </c>
      <c r="P268" s="56">
        <v>5744</v>
      </c>
      <c r="Q268" s="56">
        <v>13787</v>
      </c>
      <c r="R268" s="16">
        <f t="shared" si="17"/>
        <v>17388</v>
      </c>
      <c r="S268" s="167">
        <f t="shared" ref="S268:S331" si="19">AVERAGE(R265:R268)</f>
        <v>17913</v>
      </c>
      <c r="T268" s="168">
        <f t="shared" ref="T268:T331" si="20">T267+7</f>
        <v>38344</v>
      </c>
    </row>
    <row r="269" spans="1:20" ht="15.6" x14ac:dyDescent="0.3">
      <c r="A269" s="124">
        <f t="shared" si="18"/>
        <v>38351</v>
      </c>
      <c r="B269" s="56">
        <v>1482</v>
      </c>
      <c r="C269" s="56">
        <v>5825</v>
      </c>
      <c r="D269" s="56">
        <v>412</v>
      </c>
      <c r="E269" s="56">
        <v>2401</v>
      </c>
      <c r="F269" s="56">
        <v>1054</v>
      </c>
      <c r="G269" s="56">
        <v>4908</v>
      </c>
      <c r="H269" s="56">
        <v>768</v>
      </c>
      <c r="I269" s="56">
        <v>3099</v>
      </c>
      <c r="J269" s="56">
        <v>115</v>
      </c>
      <c r="K269" s="56">
        <v>372</v>
      </c>
      <c r="L269" s="56">
        <v>3831</v>
      </c>
      <c r="M269" s="56">
        <v>16605</v>
      </c>
      <c r="N269" s="56">
        <v>6975</v>
      </c>
      <c r="O269" s="56">
        <v>16415</v>
      </c>
      <c r="P269" s="56">
        <v>5434</v>
      </c>
      <c r="Q269" s="56">
        <v>14691</v>
      </c>
      <c r="R269" s="16">
        <f t="shared" si="17"/>
        <v>16240</v>
      </c>
      <c r="S269" s="167">
        <f t="shared" si="19"/>
        <v>17342.5</v>
      </c>
      <c r="T269" s="168">
        <f t="shared" si="20"/>
        <v>38351</v>
      </c>
    </row>
    <row r="270" spans="1:20" ht="15.6" x14ac:dyDescent="0.3">
      <c r="A270" s="125">
        <f t="shared" si="18"/>
        <v>38358</v>
      </c>
      <c r="B270" s="56">
        <v>1479</v>
      </c>
      <c r="C270" s="56">
        <v>5960</v>
      </c>
      <c r="D270" s="56">
        <v>367</v>
      </c>
      <c r="E270" s="56">
        <v>2451</v>
      </c>
      <c r="F270" s="56">
        <v>1096</v>
      </c>
      <c r="G270" s="56">
        <v>5051</v>
      </c>
      <c r="H270" s="56">
        <v>735</v>
      </c>
      <c r="I270" s="56">
        <v>3211</v>
      </c>
      <c r="J270" s="56">
        <v>115</v>
      </c>
      <c r="K270" s="56">
        <v>383</v>
      </c>
      <c r="L270" s="56">
        <v>3792</v>
      </c>
      <c r="M270" s="56">
        <v>17056</v>
      </c>
      <c r="N270" s="56">
        <v>6999</v>
      </c>
      <c r="O270" s="56">
        <v>17049</v>
      </c>
      <c r="P270" s="56">
        <v>5692</v>
      </c>
      <c r="Q270" s="56">
        <v>15499</v>
      </c>
      <c r="R270" s="16">
        <f t="shared" si="17"/>
        <v>16483</v>
      </c>
      <c r="S270" s="167">
        <f t="shared" si="19"/>
        <v>16968</v>
      </c>
      <c r="T270" s="168">
        <f t="shared" si="20"/>
        <v>38358</v>
      </c>
    </row>
    <row r="271" spans="1:20" ht="15.6" x14ac:dyDescent="0.3">
      <c r="A271" s="125">
        <f t="shared" si="18"/>
        <v>38365</v>
      </c>
      <c r="B271" s="56">
        <v>1448</v>
      </c>
      <c r="C271" s="56">
        <v>6111</v>
      </c>
      <c r="D271" s="56">
        <v>383</v>
      </c>
      <c r="E271" s="56">
        <v>2472</v>
      </c>
      <c r="F271" s="56">
        <v>1230</v>
      </c>
      <c r="G271" s="56">
        <v>5139</v>
      </c>
      <c r="H271" s="56">
        <v>686</v>
      </c>
      <c r="I271" s="56">
        <v>3320</v>
      </c>
      <c r="J271" s="56">
        <v>129</v>
      </c>
      <c r="K271" s="56">
        <v>383</v>
      </c>
      <c r="L271" s="56">
        <v>3874</v>
      </c>
      <c r="M271" s="56">
        <v>17425</v>
      </c>
      <c r="N271" s="56">
        <v>7157</v>
      </c>
      <c r="O271" s="56">
        <v>17806</v>
      </c>
      <c r="P271" s="56">
        <v>5732</v>
      </c>
      <c r="Q271" s="56">
        <v>16319</v>
      </c>
      <c r="R271" s="16">
        <f t="shared" si="17"/>
        <v>16763</v>
      </c>
      <c r="S271" s="167">
        <f t="shared" si="19"/>
        <v>16718.5</v>
      </c>
      <c r="T271" s="168">
        <f t="shared" si="20"/>
        <v>38365</v>
      </c>
    </row>
    <row r="272" spans="1:20" ht="15.6" x14ac:dyDescent="0.3">
      <c r="A272" s="125">
        <f t="shared" si="18"/>
        <v>38372</v>
      </c>
      <c r="B272" s="56">
        <v>1386</v>
      </c>
      <c r="C272" s="56">
        <v>6305</v>
      </c>
      <c r="D272" s="56">
        <v>392</v>
      </c>
      <c r="E272" s="56">
        <v>2518</v>
      </c>
      <c r="F272" s="56">
        <v>1192</v>
      </c>
      <c r="G272" s="56">
        <v>5247</v>
      </c>
      <c r="H272" s="56">
        <v>590</v>
      </c>
      <c r="I272" s="56">
        <v>3498</v>
      </c>
      <c r="J272" s="56">
        <v>105</v>
      </c>
      <c r="K272" s="56">
        <v>408</v>
      </c>
      <c r="L272" s="56">
        <v>3664</v>
      </c>
      <c r="M272" s="56">
        <v>17976</v>
      </c>
      <c r="N272" s="56">
        <v>6840</v>
      </c>
      <c r="O272" s="56">
        <v>18878</v>
      </c>
      <c r="P272" s="56">
        <v>5116</v>
      </c>
      <c r="Q272" s="56">
        <v>17454</v>
      </c>
      <c r="R272" s="16">
        <f t="shared" si="17"/>
        <v>15620</v>
      </c>
      <c r="S272" s="167">
        <f t="shared" si="19"/>
        <v>16276.5</v>
      </c>
      <c r="T272" s="168">
        <f t="shared" si="20"/>
        <v>38372</v>
      </c>
    </row>
    <row r="273" spans="1:20" ht="15.6" x14ac:dyDescent="0.3">
      <c r="A273" s="125">
        <f t="shared" si="18"/>
        <v>38379</v>
      </c>
      <c r="B273" s="56">
        <v>1562</v>
      </c>
      <c r="C273" s="56">
        <v>6490</v>
      </c>
      <c r="D273" s="56">
        <v>389</v>
      </c>
      <c r="E273" s="56">
        <v>2576</v>
      </c>
      <c r="F273" s="56">
        <v>1220</v>
      </c>
      <c r="G273" s="56">
        <v>5407</v>
      </c>
      <c r="H273" s="56">
        <v>604</v>
      </c>
      <c r="I273" s="56">
        <v>3574</v>
      </c>
      <c r="J273" s="56">
        <v>111</v>
      </c>
      <c r="K273" s="56">
        <v>418</v>
      </c>
      <c r="L273" s="56">
        <v>3886</v>
      </c>
      <c r="M273" s="56">
        <v>18465</v>
      </c>
      <c r="N273" s="56">
        <v>6257</v>
      </c>
      <c r="O273" s="56">
        <v>19799</v>
      </c>
      <c r="P273" s="56">
        <v>4951</v>
      </c>
      <c r="Q273" s="56">
        <v>18189</v>
      </c>
      <c r="R273" s="16">
        <f t="shared" si="17"/>
        <v>15094</v>
      </c>
      <c r="S273" s="167">
        <f t="shared" si="19"/>
        <v>15990</v>
      </c>
      <c r="T273" s="168">
        <f t="shared" si="20"/>
        <v>38379</v>
      </c>
    </row>
    <row r="274" spans="1:20" ht="15.6" x14ac:dyDescent="0.3">
      <c r="A274" s="125">
        <f t="shared" si="18"/>
        <v>38386</v>
      </c>
      <c r="B274" s="56">
        <v>1640</v>
      </c>
      <c r="C274" s="56">
        <v>6601</v>
      </c>
      <c r="D274" s="56">
        <v>389</v>
      </c>
      <c r="E274" s="56">
        <v>2612</v>
      </c>
      <c r="F274" s="56">
        <v>1249</v>
      </c>
      <c r="G274" s="56">
        <v>5569</v>
      </c>
      <c r="H274" s="56">
        <v>616</v>
      </c>
      <c r="I274" s="56">
        <v>3616</v>
      </c>
      <c r="J274" s="56">
        <v>114</v>
      </c>
      <c r="K274" s="56">
        <v>418</v>
      </c>
      <c r="L274" s="56">
        <v>4007</v>
      </c>
      <c r="M274" s="56">
        <v>18817</v>
      </c>
      <c r="N274" s="56">
        <v>6744</v>
      </c>
      <c r="O274" s="56">
        <v>20307</v>
      </c>
      <c r="P274" s="56">
        <v>4807</v>
      </c>
      <c r="Q274" s="56">
        <v>18862</v>
      </c>
      <c r="R274" s="16">
        <f t="shared" si="17"/>
        <v>15558</v>
      </c>
      <c r="S274" s="167">
        <f t="shared" si="19"/>
        <v>15758.75</v>
      </c>
      <c r="T274" s="168">
        <f t="shared" si="20"/>
        <v>38386</v>
      </c>
    </row>
    <row r="275" spans="1:20" ht="15.6" x14ac:dyDescent="0.3">
      <c r="A275" s="125">
        <f t="shared" si="18"/>
        <v>38393</v>
      </c>
      <c r="B275" s="56">
        <v>1763</v>
      </c>
      <c r="C275" s="56">
        <v>6749</v>
      </c>
      <c r="D275" s="56">
        <v>379</v>
      </c>
      <c r="E275" s="56">
        <v>2679</v>
      </c>
      <c r="F275" s="56">
        <v>1297</v>
      </c>
      <c r="G275" s="56">
        <v>5660</v>
      </c>
      <c r="H275" s="56">
        <v>597</v>
      </c>
      <c r="I275" s="56">
        <v>3680</v>
      </c>
      <c r="J275" s="56">
        <v>102</v>
      </c>
      <c r="K275" s="56">
        <v>466</v>
      </c>
      <c r="L275" s="56">
        <v>4138</v>
      </c>
      <c r="M275" s="56">
        <v>19234</v>
      </c>
      <c r="N275" s="56">
        <v>6769</v>
      </c>
      <c r="O275" s="56">
        <v>21068</v>
      </c>
      <c r="P275" s="56">
        <v>4387</v>
      </c>
      <c r="Q275" s="56">
        <v>19645</v>
      </c>
      <c r="R275" s="16">
        <f t="shared" si="17"/>
        <v>15294</v>
      </c>
      <c r="S275" s="167">
        <f t="shared" si="19"/>
        <v>15391.5</v>
      </c>
      <c r="T275" s="168">
        <f t="shared" si="20"/>
        <v>38393</v>
      </c>
    </row>
    <row r="276" spans="1:20" ht="15.6" x14ac:dyDescent="0.3">
      <c r="A276" s="125">
        <f t="shared" si="18"/>
        <v>38400</v>
      </c>
      <c r="B276" s="56">
        <v>1679</v>
      </c>
      <c r="C276" s="56">
        <v>7014</v>
      </c>
      <c r="D276" s="56">
        <v>389</v>
      </c>
      <c r="E276" s="56">
        <v>2704</v>
      </c>
      <c r="F276" s="56">
        <v>1322</v>
      </c>
      <c r="G276" s="56">
        <v>5865</v>
      </c>
      <c r="H276" s="56">
        <v>629</v>
      </c>
      <c r="I276" s="56">
        <v>3737</v>
      </c>
      <c r="J276" s="56">
        <v>112</v>
      </c>
      <c r="K276" s="56">
        <v>466</v>
      </c>
      <c r="L276" s="56">
        <v>4132</v>
      </c>
      <c r="M276" s="56">
        <v>19787</v>
      </c>
      <c r="N276" s="56">
        <v>6996</v>
      </c>
      <c r="O276" s="56">
        <v>21707</v>
      </c>
      <c r="P276" s="56">
        <v>3824</v>
      </c>
      <c r="Q276" s="56">
        <v>20635</v>
      </c>
      <c r="R276" s="16">
        <f t="shared" si="17"/>
        <v>14952</v>
      </c>
      <c r="S276" s="167">
        <f t="shared" si="19"/>
        <v>15224.5</v>
      </c>
      <c r="T276" s="168">
        <f t="shared" si="20"/>
        <v>38400</v>
      </c>
    </row>
    <row r="277" spans="1:20" ht="15.6" x14ac:dyDescent="0.3">
      <c r="A277" s="125">
        <f t="shared" si="18"/>
        <v>38407</v>
      </c>
      <c r="B277" s="56">
        <v>1637</v>
      </c>
      <c r="C277" s="56">
        <v>7219</v>
      </c>
      <c r="D277" s="56">
        <v>328</v>
      </c>
      <c r="E277" s="56">
        <v>2810</v>
      </c>
      <c r="F277" s="56">
        <v>1373</v>
      </c>
      <c r="G277" s="56">
        <v>6020</v>
      </c>
      <c r="H277" s="56">
        <v>485</v>
      </c>
      <c r="I277" s="56">
        <v>3923</v>
      </c>
      <c r="J277" s="56">
        <v>112</v>
      </c>
      <c r="K277" s="56">
        <v>466</v>
      </c>
      <c r="L277" s="56">
        <v>3935</v>
      </c>
      <c r="M277" s="56">
        <v>20437</v>
      </c>
      <c r="N277" s="56">
        <v>6950</v>
      </c>
      <c r="O277" s="56">
        <v>22564</v>
      </c>
      <c r="P277" s="56">
        <v>3691</v>
      </c>
      <c r="Q277" s="56">
        <v>21419</v>
      </c>
      <c r="R277" s="16">
        <f t="shared" si="17"/>
        <v>14576</v>
      </c>
      <c r="S277" s="167">
        <f t="shared" si="19"/>
        <v>15095</v>
      </c>
      <c r="T277" s="168">
        <f t="shared" si="20"/>
        <v>38407</v>
      </c>
    </row>
    <row r="278" spans="1:20" ht="15.6" x14ac:dyDescent="0.3">
      <c r="A278" s="125">
        <f t="shared" si="18"/>
        <v>38414</v>
      </c>
      <c r="B278" s="56">
        <v>1556</v>
      </c>
      <c r="C278" s="56">
        <v>7347</v>
      </c>
      <c r="D278" s="56">
        <v>271</v>
      </c>
      <c r="E278" s="56">
        <v>2869</v>
      </c>
      <c r="F278" s="56">
        <v>1400</v>
      </c>
      <c r="G278" s="56">
        <v>6085</v>
      </c>
      <c r="H278" s="56">
        <v>517</v>
      </c>
      <c r="I278" s="56">
        <v>3975</v>
      </c>
      <c r="J278" s="56">
        <v>107</v>
      </c>
      <c r="K278" s="56">
        <v>481</v>
      </c>
      <c r="L278" s="56">
        <v>3851</v>
      </c>
      <c r="M278" s="56">
        <v>20758</v>
      </c>
      <c r="N278" s="56">
        <v>6746</v>
      </c>
      <c r="O278" s="56">
        <v>23502</v>
      </c>
      <c r="P278" s="56">
        <v>3662</v>
      </c>
      <c r="Q278" s="56">
        <v>22120</v>
      </c>
      <c r="R278" s="16">
        <f t="shared" si="17"/>
        <v>14259</v>
      </c>
      <c r="S278" s="167">
        <f t="shared" si="19"/>
        <v>14770.25</v>
      </c>
      <c r="T278" s="168">
        <f t="shared" si="20"/>
        <v>38414</v>
      </c>
    </row>
    <row r="279" spans="1:20" ht="15.6" x14ac:dyDescent="0.3">
      <c r="A279" s="125">
        <f t="shared" si="18"/>
        <v>38421</v>
      </c>
      <c r="B279" s="56">
        <v>1572</v>
      </c>
      <c r="C279" s="56">
        <v>7518</v>
      </c>
      <c r="D279" s="56">
        <v>268</v>
      </c>
      <c r="E279" s="56">
        <v>2907</v>
      </c>
      <c r="F279" s="56">
        <v>1536</v>
      </c>
      <c r="G279" s="56">
        <v>6142</v>
      </c>
      <c r="H279" s="56">
        <v>612</v>
      </c>
      <c r="I279" s="56">
        <v>3997</v>
      </c>
      <c r="J279" s="56">
        <v>79</v>
      </c>
      <c r="K279" s="56">
        <v>527</v>
      </c>
      <c r="L279" s="56">
        <v>4068</v>
      </c>
      <c r="M279" s="56">
        <v>21092</v>
      </c>
      <c r="N279" s="56">
        <v>7002</v>
      </c>
      <c r="O279" s="56">
        <v>24256</v>
      </c>
      <c r="P279" s="56">
        <v>3241</v>
      </c>
      <c r="Q279" s="56">
        <v>23168</v>
      </c>
      <c r="R279" s="16">
        <f t="shared" si="17"/>
        <v>14311</v>
      </c>
      <c r="S279" s="167">
        <f t="shared" si="19"/>
        <v>14524.5</v>
      </c>
      <c r="T279" s="168">
        <f t="shared" si="20"/>
        <v>38421</v>
      </c>
    </row>
    <row r="280" spans="1:20" ht="15.6" x14ac:dyDescent="0.3">
      <c r="A280" s="125">
        <f t="shared" si="18"/>
        <v>38428</v>
      </c>
      <c r="B280" s="56">
        <v>1576</v>
      </c>
      <c r="C280" s="56">
        <v>7728</v>
      </c>
      <c r="D280" s="56">
        <v>241</v>
      </c>
      <c r="E280" s="56">
        <v>2946</v>
      </c>
      <c r="F280" s="56">
        <v>1343</v>
      </c>
      <c r="G280" s="56">
        <v>6365</v>
      </c>
      <c r="H280" s="56">
        <v>499</v>
      </c>
      <c r="I280" s="56">
        <v>4116</v>
      </c>
      <c r="J280" s="56">
        <v>110</v>
      </c>
      <c r="K280" s="56">
        <v>556</v>
      </c>
      <c r="L280" s="56">
        <v>3769</v>
      </c>
      <c r="M280" s="56">
        <v>21712</v>
      </c>
      <c r="N280" s="56">
        <v>7291</v>
      </c>
      <c r="O280" s="56">
        <v>24847</v>
      </c>
      <c r="P280" s="56">
        <v>3046</v>
      </c>
      <c r="Q280" s="56">
        <v>23710</v>
      </c>
      <c r="R280" s="16">
        <f t="shared" si="17"/>
        <v>14106</v>
      </c>
      <c r="S280" s="167">
        <f t="shared" si="19"/>
        <v>14313</v>
      </c>
      <c r="T280" s="168">
        <f t="shared" si="20"/>
        <v>38428</v>
      </c>
    </row>
    <row r="281" spans="1:20" ht="15.6" x14ac:dyDescent="0.3">
      <c r="A281" s="125">
        <f t="shared" si="18"/>
        <v>38435</v>
      </c>
      <c r="B281" s="56">
        <v>1463</v>
      </c>
      <c r="C281" s="56">
        <v>7997</v>
      </c>
      <c r="D281" s="56">
        <v>226</v>
      </c>
      <c r="E281" s="56">
        <v>2983</v>
      </c>
      <c r="F281" s="56">
        <v>1298</v>
      </c>
      <c r="G281" s="56">
        <v>6519</v>
      </c>
      <c r="H281" s="56">
        <v>553</v>
      </c>
      <c r="I281" s="56">
        <v>4168</v>
      </c>
      <c r="J281" s="56">
        <v>98</v>
      </c>
      <c r="K281" s="56">
        <v>569</v>
      </c>
      <c r="L281" s="56">
        <v>3611</v>
      </c>
      <c r="M281" s="56">
        <v>22236</v>
      </c>
      <c r="N281" s="56">
        <v>7636</v>
      </c>
      <c r="O281" s="56">
        <v>25709</v>
      </c>
      <c r="P281" s="56">
        <v>2790</v>
      </c>
      <c r="Q281" s="56">
        <v>24252</v>
      </c>
      <c r="R281" s="16">
        <f t="shared" si="17"/>
        <v>14037</v>
      </c>
      <c r="S281" s="167">
        <f t="shared" si="19"/>
        <v>14178.25</v>
      </c>
      <c r="T281" s="168">
        <f t="shared" si="20"/>
        <v>38435</v>
      </c>
    </row>
    <row r="282" spans="1:20" ht="15.6" x14ac:dyDescent="0.3">
      <c r="A282" s="125">
        <f t="shared" si="18"/>
        <v>38442</v>
      </c>
      <c r="B282" s="56">
        <v>1367</v>
      </c>
      <c r="C282" s="56">
        <v>8124</v>
      </c>
      <c r="D282" s="56">
        <v>231</v>
      </c>
      <c r="E282" s="56">
        <v>2997</v>
      </c>
      <c r="F282" s="56">
        <v>1291</v>
      </c>
      <c r="G282" s="56">
        <v>6614</v>
      </c>
      <c r="H282" s="56">
        <v>556</v>
      </c>
      <c r="I282" s="56">
        <v>4195</v>
      </c>
      <c r="J282" s="56">
        <v>73</v>
      </c>
      <c r="K282" s="56">
        <v>594</v>
      </c>
      <c r="L282" s="56">
        <v>3519</v>
      </c>
      <c r="M282" s="56">
        <v>22524</v>
      </c>
      <c r="N282" s="56">
        <v>7395</v>
      </c>
      <c r="O282" s="56">
        <v>26617</v>
      </c>
      <c r="P282" s="56">
        <v>2640</v>
      </c>
      <c r="Q282" s="56">
        <v>24745</v>
      </c>
      <c r="R282" s="16">
        <f t="shared" si="17"/>
        <v>13554</v>
      </c>
      <c r="S282" s="167">
        <f t="shared" si="19"/>
        <v>14002</v>
      </c>
      <c r="T282" s="168">
        <f t="shared" si="20"/>
        <v>38442</v>
      </c>
    </row>
    <row r="283" spans="1:20" ht="15.6" x14ac:dyDescent="0.3">
      <c r="A283" s="125">
        <f t="shared" si="18"/>
        <v>38449</v>
      </c>
      <c r="B283" s="56">
        <v>1394</v>
      </c>
      <c r="C283" s="56">
        <v>8268</v>
      </c>
      <c r="D283" s="56">
        <v>216</v>
      </c>
      <c r="E283" s="56">
        <v>3041</v>
      </c>
      <c r="F283" s="56">
        <v>1194</v>
      </c>
      <c r="G283" s="56">
        <v>6809</v>
      </c>
      <c r="H283" s="56">
        <v>573</v>
      </c>
      <c r="I283" s="56">
        <v>4270</v>
      </c>
      <c r="J283" s="56">
        <v>63</v>
      </c>
      <c r="K283" s="56">
        <v>604</v>
      </c>
      <c r="L283" s="56">
        <v>3440</v>
      </c>
      <c r="M283" s="56">
        <v>22991</v>
      </c>
      <c r="N283" s="56">
        <v>7576</v>
      </c>
      <c r="O283" s="56">
        <v>27348</v>
      </c>
      <c r="P283" s="56">
        <v>2460</v>
      </c>
      <c r="Q283" s="56">
        <v>25042</v>
      </c>
      <c r="R283" s="16">
        <f t="shared" si="17"/>
        <v>13476</v>
      </c>
      <c r="S283" s="167">
        <f t="shared" si="19"/>
        <v>13793.25</v>
      </c>
      <c r="T283" s="168">
        <f t="shared" si="20"/>
        <v>38449</v>
      </c>
    </row>
    <row r="284" spans="1:20" ht="15.6" x14ac:dyDescent="0.3">
      <c r="A284" s="125">
        <f t="shared" si="18"/>
        <v>38456</v>
      </c>
      <c r="B284" s="56">
        <v>1358</v>
      </c>
      <c r="C284" s="56">
        <v>8364</v>
      </c>
      <c r="D284" s="56">
        <v>189</v>
      </c>
      <c r="E284" s="56">
        <v>3076</v>
      </c>
      <c r="F284" s="56">
        <v>1273</v>
      </c>
      <c r="G284" s="56">
        <v>6928</v>
      </c>
      <c r="H284" s="56">
        <v>489</v>
      </c>
      <c r="I284" s="56">
        <v>4386</v>
      </c>
      <c r="J284" s="56">
        <v>130</v>
      </c>
      <c r="K284" s="56">
        <v>604</v>
      </c>
      <c r="L284" s="56">
        <v>3438</v>
      </c>
      <c r="M284" s="56">
        <v>23357</v>
      </c>
      <c r="N284" s="56">
        <v>7394</v>
      </c>
      <c r="O284" s="56">
        <v>28200</v>
      </c>
      <c r="P284" s="56">
        <v>2166</v>
      </c>
      <c r="Q284" s="56">
        <v>25484</v>
      </c>
      <c r="R284" s="16">
        <f t="shared" si="17"/>
        <v>12998</v>
      </c>
      <c r="S284" s="167">
        <f t="shared" si="19"/>
        <v>13516.25</v>
      </c>
      <c r="T284" s="168">
        <f t="shared" si="20"/>
        <v>38456</v>
      </c>
    </row>
    <row r="285" spans="1:20" ht="15.6" x14ac:dyDescent="0.3">
      <c r="A285" s="125">
        <f t="shared" si="18"/>
        <v>38463</v>
      </c>
      <c r="B285" s="56">
        <v>1282</v>
      </c>
      <c r="C285" s="56">
        <v>8533</v>
      </c>
      <c r="D285" s="56">
        <v>172</v>
      </c>
      <c r="E285" s="56">
        <v>3100</v>
      </c>
      <c r="F285" s="56">
        <v>1333</v>
      </c>
      <c r="G285" s="56">
        <v>7113</v>
      </c>
      <c r="H285" s="56">
        <v>506</v>
      </c>
      <c r="I285" s="56">
        <v>4422</v>
      </c>
      <c r="J285" s="56">
        <v>135</v>
      </c>
      <c r="K285" s="56">
        <v>621</v>
      </c>
      <c r="L285" s="56">
        <v>3427</v>
      </c>
      <c r="M285" s="56">
        <v>23789</v>
      </c>
      <c r="N285" s="56">
        <v>6885</v>
      </c>
      <c r="O285" s="56">
        <v>29202</v>
      </c>
      <c r="P285" s="56">
        <v>1953</v>
      </c>
      <c r="Q285" s="56">
        <v>25945</v>
      </c>
      <c r="R285" s="16">
        <f t="shared" si="17"/>
        <v>12265</v>
      </c>
      <c r="S285" s="167">
        <f t="shared" si="19"/>
        <v>13073.25</v>
      </c>
      <c r="T285" s="168">
        <f t="shared" si="20"/>
        <v>38463</v>
      </c>
    </row>
    <row r="286" spans="1:20" ht="15.6" x14ac:dyDescent="0.3">
      <c r="A286" s="125">
        <f t="shared" si="18"/>
        <v>38470</v>
      </c>
      <c r="B286" s="56">
        <v>1115</v>
      </c>
      <c r="C286" s="56">
        <v>8774</v>
      </c>
      <c r="D286" s="56">
        <v>133</v>
      </c>
      <c r="E286" s="56">
        <v>3160</v>
      </c>
      <c r="F286" s="56">
        <v>1217</v>
      </c>
      <c r="G286" s="56">
        <v>7268</v>
      </c>
      <c r="H286" s="56">
        <v>517</v>
      </c>
      <c r="I286" s="56">
        <v>4518</v>
      </c>
      <c r="J286" s="56">
        <v>123</v>
      </c>
      <c r="K286" s="56">
        <v>635</v>
      </c>
      <c r="L286" s="56">
        <v>3106</v>
      </c>
      <c r="M286" s="56">
        <v>24356</v>
      </c>
      <c r="N286" s="56">
        <v>6566</v>
      </c>
      <c r="O286" s="56">
        <v>30145</v>
      </c>
      <c r="P286" s="56">
        <v>1738</v>
      </c>
      <c r="Q286" s="56">
        <v>26487</v>
      </c>
      <c r="R286" s="16">
        <f t="shared" si="17"/>
        <v>11410</v>
      </c>
      <c r="S286" s="167">
        <f t="shared" si="19"/>
        <v>12537.25</v>
      </c>
      <c r="T286" s="168">
        <f t="shared" si="20"/>
        <v>38470</v>
      </c>
    </row>
    <row r="287" spans="1:20" ht="15.6" x14ac:dyDescent="0.3">
      <c r="A287" s="125">
        <f t="shared" si="18"/>
        <v>38477</v>
      </c>
      <c r="B287" s="56">
        <v>1052</v>
      </c>
      <c r="C287" s="56">
        <v>8880</v>
      </c>
      <c r="D287" s="56">
        <v>125</v>
      </c>
      <c r="E287" s="56">
        <v>3169</v>
      </c>
      <c r="F287" s="56">
        <v>1087</v>
      </c>
      <c r="G287" s="56">
        <v>7476</v>
      </c>
      <c r="H287" s="56">
        <v>489</v>
      </c>
      <c r="I287" s="56">
        <v>4568</v>
      </c>
      <c r="J287" s="56">
        <v>121</v>
      </c>
      <c r="K287" s="56">
        <v>637</v>
      </c>
      <c r="L287" s="56">
        <v>2874</v>
      </c>
      <c r="M287" s="56">
        <v>24729</v>
      </c>
      <c r="N287" s="56">
        <v>7098</v>
      </c>
      <c r="O287" s="56">
        <v>31003</v>
      </c>
      <c r="P287" s="56">
        <v>1682</v>
      </c>
      <c r="Q287" s="56">
        <v>26711</v>
      </c>
      <c r="R287" s="16">
        <f t="shared" si="17"/>
        <v>11654</v>
      </c>
      <c r="S287" s="167">
        <f t="shared" si="19"/>
        <v>12081.75</v>
      </c>
      <c r="T287" s="168">
        <f t="shared" si="20"/>
        <v>38477</v>
      </c>
    </row>
    <row r="288" spans="1:20" ht="15.6" x14ac:dyDescent="0.3">
      <c r="A288" s="125">
        <f t="shared" si="18"/>
        <v>38484</v>
      </c>
      <c r="B288" s="56">
        <v>788</v>
      </c>
      <c r="C288" s="56">
        <v>9047</v>
      </c>
      <c r="D288" s="56">
        <v>121</v>
      </c>
      <c r="E288" s="56">
        <v>3185</v>
      </c>
      <c r="F288" s="56">
        <v>823</v>
      </c>
      <c r="G288" s="56">
        <v>7681</v>
      </c>
      <c r="H288" s="56">
        <v>352</v>
      </c>
      <c r="I288" s="56">
        <v>4650</v>
      </c>
      <c r="J288" s="56">
        <v>104</v>
      </c>
      <c r="K288" s="56">
        <v>640</v>
      </c>
      <c r="L288" s="56">
        <v>2188</v>
      </c>
      <c r="M288" s="56">
        <v>25203</v>
      </c>
      <c r="N288" s="56">
        <v>7136</v>
      </c>
      <c r="O288" s="56">
        <v>31813</v>
      </c>
      <c r="P288" s="56">
        <v>1714</v>
      </c>
      <c r="Q288" s="56">
        <v>27054</v>
      </c>
      <c r="R288" s="16">
        <f t="shared" si="17"/>
        <v>11038</v>
      </c>
      <c r="S288" s="167">
        <f t="shared" si="19"/>
        <v>11591.75</v>
      </c>
      <c r="T288" s="168">
        <f t="shared" si="20"/>
        <v>38484</v>
      </c>
    </row>
    <row r="289" spans="1:20" ht="15.6" x14ac:dyDescent="0.3">
      <c r="A289" s="125">
        <f t="shared" si="18"/>
        <v>38491</v>
      </c>
      <c r="B289" s="56">
        <v>698</v>
      </c>
      <c r="C289" s="56">
        <v>9177</v>
      </c>
      <c r="D289" s="56">
        <v>99</v>
      </c>
      <c r="E289" s="56">
        <v>3210</v>
      </c>
      <c r="F289" s="56">
        <v>703</v>
      </c>
      <c r="G289" s="56">
        <v>7807</v>
      </c>
      <c r="H289" s="56">
        <v>261</v>
      </c>
      <c r="I289" s="56">
        <v>4707</v>
      </c>
      <c r="J289" s="56">
        <v>104</v>
      </c>
      <c r="K289" s="56">
        <v>640</v>
      </c>
      <c r="L289" s="56">
        <v>1865</v>
      </c>
      <c r="M289" s="56">
        <v>25542</v>
      </c>
      <c r="N289" s="56">
        <v>6734</v>
      </c>
      <c r="O289" s="56">
        <v>32765</v>
      </c>
      <c r="P289" s="56">
        <v>1652</v>
      </c>
      <c r="Q289" s="56">
        <v>27390</v>
      </c>
      <c r="R289" s="16">
        <f t="shared" si="17"/>
        <v>10251</v>
      </c>
      <c r="S289" s="167">
        <f t="shared" si="19"/>
        <v>11088.25</v>
      </c>
      <c r="T289" s="168">
        <f t="shared" si="20"/>
        <v>38491</v>
      </c>
    </row>
    <row r="290" spans="1:20" ht="15.6" x14ac:dyDescent="0.3">
      <c r="A290" s="125">
        <f t="shared" si="18"/>
        <v>38498</v>
      </c>
      <c r="B290" s="56">
        <v>491</v>
      </c>
      <c r="C290" s="56">
        <v>9407</v>
      </c>
      <c r="D290" s="56">
        <v>94</v>
      </c>
      <c r="E290" s="56">
        <v>3217</v>
      </c>
      <c r="F290" s="56">
        <v>515</v>
      </c>
      <c r="G290" s="56">
        <v>8033</v>
      </c>
      <c r="H290" s="56">
        <v>194</v>
      </c>
      <c r="I290" s="56">
        <v>4773</v>
      </c>
      <c r="J290" s="56">
        <v>57</v>
      </c>
      <c r="K290" s="56">
        <v>686</v>
      </c>
      <c r="L290" s="56">
        <v>1351</v>
      </c>
      <c r="M290" s="56">
        <v>26117</v>
      </c>
      <c r="N290" s="56">
        <v>6668</v>
      </c>
      <c r="O290" s="56">
        <v>33575</v>
      </c>
      <c r="P290" s="56">
        <v>1562</v>
      </c>
      <c r="Q290" s="56">
        <v>27675</v>
      </c>
      <c r="R290" s="16">
        <f t="shared" si="17"/>
        <v>9581</v>
      </c>
      <c r="S290" s="167">
        <f t="shared" si="19"/>
        <v>10631</v>
      </c>
      <c r="T290" s="168">
        <f t="shared" si="20"/>
        <v>38498</v>
      </c>
    </row>
    <row r="291" spans="1:20" ht="15.6" x14ac:dyDescent="0.3">
      <c r="A291" s="125">
        <f t="shared" si="18"/>
        <v>38505</v>
      </c>
      <c r="B291" s="56">
        <v>1465</v>
      </c>
      <c r="C291" s="56">
        <v>48</v>
      </c>
      <c r="D291" s="56">
        <v>354</v>
      </c>
      <c r="E291" s="56">
        <v>5</v>
      </c>
      <c r="F291" s="56">
        <v>1279</v>
      </c>
      <c r="G291" s="56">
        <v>32</v>
      </c>
      <c r="H291" s="56">
        <v>427</v>
      </c>
      <c r="I291" s="56">
        <v>21</v>
      </c>
      <c r="J291" s="56">
        <v>124</v>
      </c>
      <c r="K291" s="56">
        <v>0</v>
      </c>
      <c r="L291" s="56">
        <v>3649</v>
      </c>
      <c r="M291" s="56">
        <v>105</v>
      </c>
      <c r="N291" s="56">
        <v>6386</v>
      </c>
      <c r="O291" s="56">
        <v>34419</v>
      </c>
      <c r="P291" s="56">
        <v>1522</v>
      </c>
      <c r="Q291" s="56">
        <v>27801</v>
      </c>
      <c r="R291" s="16">
        <f t="shared" si="17"/>
        <v>11557</v>
      </c>
      <c r="S291" s="167">
        <f t="shared" si="19"/>
        <v>10606.75</v>
      </c>
      <c r="T291" s="168">
        <f t="shared" si="20"/>
        <v>38505</v>
      </c>
    </row>
    <row r="292" spans="1:20" ht="15.6" x14ac:dyDescent="0.3">
      <c r="A292" s="125">
        <f t="shared" si="18"/>
        <v>38512</v>
      </c>
      <c r="B292" s="56">
        <v>1480</v>
      </c>
      <c r="C292" s="56">
        <v>170</v>
      </c>
      <c r="D292" s="56">
        <v>327</v>
      </c>
      <c r="E292" s="56">
        <v>46</v>
      </c>
      <c r="F292" s="56">
        <v>1248</v>
      </c>
      <c r="G292" s="56">
        <v>207</v>
      </c>
      <c r="H292" s="56">
        <v>436</v>
      </c>
      <c r="I292" s="56">
        <v>50</v>
      </c>
      <c r="J292" s="56">
        <v>100</v>
      </c>
      <c r="K292" s="56">
        <v>27</v>
      </c>
      <c r="L292" s="56">
        <v>3590</v>
      </c>
      <c r="M292" s="56">
        <v>499</v>
      </c>
      <c r="N292" s="56">
        <v>6208</v>
      </c>
      <c r="O292" s="56">
        <v>35288</v>
      </c>
      <c r="P292" s="56">
        <v>1481</v>
      </c>
      <c r="Q292" s="56">
        <v>28025</v>
      </c>
      <c r="R292" s="16">
        <f t="shared" si="17"/>
        <v>11279</v>
      </c>
      <c r="S292" s="167">
        <f t="shared" si="19"/>
        <v>10667</v>
      </c>
      <c r="T292" s="168">
        <f t="shared" si="20"/>
        <v>38512</v>
      </c>
    </row>
    <row r="293" spans="1:20" ht="15.6" x14ac:dyDescent="0.3">
      <c r="A293" s="125">
        <f t="shared" si="18"/>
        <v>38519</v>
      </c>
      <c r="B293" s="56">
        <v>1630</v>
      </c>
      <c r="C293" s="56">
        <v>315</v>
      </c>
      <c r="D293" s="56">
        <v>245</v>
      </c>
      <c r="E293" s="56">
        <v>66</v>
      </c>
      <c r="F293" s="56">
        <v>1300</v>
      </c>
      <c r="G293" s="56">
        <v>335</v>
      </c>
      <c r="H293" s="56">
        <v>483</v>
      </c>
      <c r="I293" s="56">
        <v>69</v>
      </c>
      <c r="J293" s="56">
        <v>117</v>
      </c>
      <c r="K293" s="56">
        <v>36</v>
      </c>
      <c r="L293" s="56">
        <v>3775</v>
      </c>
      <c r="M293" s="56">
        <v>821</v>
      </c>
      <c r="N293" s="56">
        <v>5650</v>
      </c>
      <c r="O293" s="56">
        <v>36297</v>
      </c>
      <c r="P293" s="56">
        <v>1344</v>
      </c>
      <c r="Q293" s="56">
        <v>28310</v>
      </c>
      <c r="R293" s="16">
        <f t="shared" si="17"/>
        <v>10769</v>
      </c>
      <c r="S293" s="167">
        <f t="shared" si="19"/>
        <v>10796.5</v>
      </c>
      <c r="T293" s="168">
        <f t="shared" si="20"/>
        <v>38519</v>
      </c>
    </row>
    <row r="294" spans="1:20" ht="15.6" x14ac:dyDescent="0.3">
      <c r="A294" s="125">
        <f t="shared" si="18"/>
        <v>38526</v>
      </c>
      <c r="B294" s="56">
        <v>1789</v>
      </c>
      <c r="C294" s="56">
        <v>492</v>
      </c>
      <c r="D294" s="56">
        <v>256</v>
      </c>
      <c r="E294" s="56">
        <v>128</v>
      </c>
      <c r="F294" s="56">
        <v>1305</v>
      </c>
      <c r="G294" s="56">
        <v>458</v>
      </c>
      <c r="H294" s="56">
        <v>487</v>
      </c>
      <c r="I294" s="56">
        <v>113</v>
      </c>
      <c r="J294" s="56">
        <v>108</v>
      </c>
      <c r="K294" s="56">
        <v>48</v>
      </c>
      <c r="L294" s="56">
        <v>3946</v>
      </c>
      <c r="M294" s="56">
        <v>1238</v>
      </c>
      <c r="N294" s="56">
        <v>5809</v>
      </c>
      <c r="O294" s="56">
        <v>37355</v>
      </c>
      <c r="P294" s="56">
        <v>1339</v>
      </c>
      <c r="Q294" s="56">
        <v>28485</v>
      </c>
      <c r="R294" s="16">
        <f t="shared" si="17"/>
        <v>11094</v>
      </c>
      <c r="S294" s="167">
        <f t="shared" si="19"/>
        <v>11174.75</v>
      </c>
      <c r="T294" s="168">
        <f t="shared" si="20"/>
        <v>38526</v>
      </c>
    </row>
    <row r="295" spans="1:20" ht="15.6" x14ac:dyDescent="0.3">
      <c r="A295" s="125">
        <f t="shared" si="18"/>
        <v>38533</v>
      </c>
      <c r="B295" s="56">
        <v>1963</v>
      </c>
      <c r="C295" s="56">
        <v>641</v>
      </c>
      <c r="D295" s="56">
        <v>335</v>
      </c>
      <c r="E295" s="56">
        <v>164</v>
      </c>
      <c r="F295" s="56">
        <v>1249</v>
      </c>
      <c r="G295" s="56">
        <v>660</v>
      </c>
      <c r="H295" s="56">
        <v>443</v>
      </c>
      <c r="I295" s="56">
        <v>175</v>
      </c>
      <c r="J295" s="56">
        <v>129</v>
      </c>
      <c r="K295" s="56">
        <v>55</v>
      </c>
      <c r="L295" s="56">
        <v>4119</v>
      </c>
      <c r="M295" s="56">
        <v>1694</v>
      </c>
      <c r="N295" s="56">
        <v>5977</v>
      </c>
      <c r="O295" s="56">
        <v>38129</v>
      </c>
      <c r="P295" s="56">
        <v>1334</v>
      </c>
      <c r="Q295" s="56">
        <v>28652</v>
      </c>
      <c r="R295" s="16">
        <f t="shared" si="17"/>
        <v>11430</v>
      </c>
      <c r="S295" s="167">
        <f t="shared" si="19"/>
        <v>11143</v>
      </c>
      <c r="T295" s="168">
        <f t="shared" si="20"/>
        <v>38533</v>
      </c>
    </row>
    <row r="296" spans="1:20" ht="15.6" x14ac:dyDescent="0.3">
      <c r="A296" s="125">
        <f t="shared" si="18"/>
        <v>38540</v>
      </c>
      <c r="B296" s="56">
        <v>1994</v>
      </c>
      <c r="C296" s="56">
        <v>782</v>
      </c>
      <c r="D296" s="56">
        <v>326</v>
      </c>
      <c r="E296" s="56">
        <v>185</v>
      </c>
      <c r="F296" s="56">
        <v>1225</v>
      </c>
      <c r="G296" s="56">
        <v>776</v>
      </c>
      <c r="H296" s="56">
        <v>469</v>
      </c>
      <c r="I296" s="56">
        <v>183</v>
      </c>
      <c r="J296" s="56">
        <v>113</v>
      </c>
      <c r="K296" s="56">
        <v>71</v>
      </c>
      <c r="L296" s="56">
        <v>4126</v>
      </c>
      <c r="M296" s="56">
        <v>1996</v>
      </c>
      <c r="N296" s="56">
        <v>5725</v>
      </c>
      <c r="O296" s="56">
        <v>38705</v>
      </c>
      <c r="P296" s="56">
        <v>1297</v>
      </c>
      <c r="Q296" s="56">
        <v>28808</v>
      </c>
      <c r="R296" s="16">
        <f t="shared" si="17"/>
        <v>11148</v>
      </c>
      <c r="S296" s="167">
        <f t="shared" si="19"/>
        <v>11110.25</v>
      </c>
      <c r="T296" s="168">
        <f t="shared" si="20"/>
        <v>38540</v>
      </c>
    </row>
    <row r="297" spans="1:20" ht="15.6" x14ac:dyDescent="0.3">
      <c r="A297" s="125">
        <f t="shared" si="18"/>
        <v>38547</v>
      </c>
      <c r="B297" s="56">
        <v>2077</v>
      </c>
      <c r="C297" s="56">
        <v>992</v>
      </c>
      <c r="D297" s="56">
        <v>348</v>
      </c>
      <c r="E297" s="56">
        <v>199</v>
      </c>
      <c r="F297" s="56">
        <v>1270</v>
      </c>
      <c r="G297" s="56">
        <v>902</v>
      </c>
      <c r="H297" s="56">
        <v>496</v>
      </c>
      <c r="I297" s="56">
        <v>229</v>
      </c>
      <c r="J297" s="56">
        <v>95</v>
      </c>
      <c r="K297" s="56">
        <v>103</v>
      </c>
      <c r="L297" s="56">
        <v>4286</v>
      </c>
      <c r="M297" s="56">
        <v>2425</v>
      </c>
      <c r="N297" s="56">
        <v>5508</v>
      </c>
      <c r="O297" s="56">
        <v>39516</v>
      </c>
      <c r="P297" s="56">
        <v>1267</v>
      </c>
      <c r="Q297" s="56">
        <v>28903</v>
      </c>
      <c r="R297" s="16">
        <f t="shared" si="17"/>
        <v>11061</v>
      </c>
      <c r="S297" s="167">
        <f t="shared" si="19"/>
        <v>11183.25</v>
      </c>
      <c r="T297" s="168">
        <f t="shared" si="20"/>
        <v>38547</v>
      </c>
    </row>
    <row r="298" spans="1:20" ht="15.6" x14ac:dyDescent="0.3">
      <c r="A298" s="125">
        <f t="shared" si="18"/>
        <v>38554</v>
      </c>
      <c r="B298" s="56">
        <v>1975</v>
      </c>
      <c r="C298" s="56">
        <v>1227</v>
      </c>
      <c r="D298" s="56">
        <v>340</v>
      </c>
      <c r="E298" s="56">
        <v>258</v>
      </c>
      <c r="F298" s="56">
        <v>1283</v>
      </c>
      <c r="G298" s="56">
        <v>1029</v>
      </c>
      <c r="H298" s="56">
        <v>617</v>
      </c>
      <c r="I298" s="56">
        <v>285</v>
      </c>
      <c r="J298" s="56">
        <v>117</v>
      </c>
      <c r="K298" s="56">
        <v>103</v>
      </c>
      <c r="L298" s="56">
        <v>4331</v>
      </c>
      <c r="M298" s="56">
        <v>2903</v>
      </c>
      <c r="N298" s="56">
        <v>5160</v>
      </c>
      <c r="O298" s="56">
        <v>40503</v>
      </c>
      <c r="P298" s="56">
        <v>1008</v>
      </c>
      <c r="Q298" s="56">
        <v>29092</v>
      </c>
      <c r="R298" s="16">
        <f t="shared" si="17"/>
        <v>10499</v>
      </c>
      <c r="S298" s="167">
        <f t="shared" si="19"/>
        <v>11034.5</v>
      </c>
      <c r="T298" s="168">
        <f t="shared" si="20"/>
        <v>38554</v>
      </c>
    </row>
    <row r="299" spans="1:20" ht="15.6" x14ac:dyDescent="0.3">
      <c r="A299" s="125">
        <f t="shared" si="18"/>
        <v>38561</v>
      </c>
      <c r="B299" s="56">
        <v>2181</v>
      </c>
      <c r="C299" s="56">
        <v>1476</v>
      </c>
      <c r="D299" s="56">
        <v>308</v>
      </c>
      <c r="E299" s="56">
        <v>372</v>
      </c>
      <c r="F299" s="56">
        <v>1266</v>
      </c>
      <c r="G299" s="56">
        <v>1202</v>
      </c>
      <c r="H299" s="56">
        <v>674</v>
      </c>
      <c r="I299" s="56">
        <v>347</v>
      </c>
      <c r="J299" s="56">
        <v>142</v>
      </c>
      <c r="K299" s="56">
        <v>130</v>
      </c>
      <c r="L299" s="56">
        <v>4569</v>
      </c>
      <c r="M299" s="56">
        <v>3527</v>
      </c>
      <c r="N299" s="56">
        <v>4498</v>
      </c>
      <c r="O299" s="56">
        <v>41410</v>
      </c>
      <c r="P299" s="56">
        <v>999</v>
      </c>
      <c r="Q299" s="56">
        <v>29217</v>
      </c>
      <c r="R299" s="16">
        <f t="shared" si="17"/>
        <v>10066</v>
      </c>
      <c r="S299" s="167">
        <f t="shared" si="19"/>
        <v>10693.5</v>
      </c>
      <c r="T299" s="168">
        <f t="shared" si="20"/>
        <v>38561</v>
      </c>
    </row>
    <row r="300" spans="1:20" ht="15.6" x14ac:dyDescent="0.3">
      <c r="A300" s="125">
        <f t="shared" si="18"/>
        <v>38568</v>
      </c>
      <c r="B300" s="56">
        <v>2067</v>
      </c>
      <c r="C300" s="56">
        <v>1861</v>
      </c>
      <c r="D300" s="56">
        <v>332</v>
      </c>
      <c r="E300" s="56">
        <v>402</v>
      </c>
      <c r="F300" s="56">
        <v>1200</v>
      </c>
      <c r="G300" s="56">
        <v>1416</v>
      </c>
      <c r="H300" s="56">
        <v>707</v>
      </c>
      <c r="I300" s="56">
        <v>457</v>
      </c>
      <c r="J300" s="56">
        <v>145</v>
      </c>
      <c r="K300" s="56">
        <v>133</v>
      </c>
      <c r="L300" s="56">
        <v>4450</v>
      </c>
      <c r="M300" s="56">
        <v>4267</v>
      </c>
      <c r="N300" s="56">
        <v>4609</v>
      </c>
      <c r="O300" s="56">
        <v>42374</v>
      </c>
      <c r="P300" s="56">
        <v>958</v>
      </c>
      <c r="Q300" s="56">
        <v>29351</v>
      </c>
      <c r="R300" s="16">
        <f t="shared" si="17"/>
        <v>10017</v>
      </c>
      <c r="S300" s="167">
        <f t="shared" si="19"/>
        <v>10410.75</v>
      </c>
      <c r="T300" s="168">
        <f t="shared" si="20"/>
        <v>38568</v>
      </c>
    </row>
    <row r="301" spans="1:20" ht="15.6" x14ac:dyDescent="0.3">
      <c r="A301" s="125">
        <f t="shared" si="18"/>
        <v>38575</v>
      </c>
      <c r="B301" s="56">
        <v>2045</v>
      </c>
      <c r="C301" s="56">
        <v>2133</v>
      </c>
      <c r="D301" s="56">
        <v>303</v>
      </c>
      <c r="E301" s="56">
        <v>490</v>
      </c>
      <c r="F301" s="56">
        <v>1191</v>
      </c>
      <c r="G301" s="56">
        <v>1541</v>
      </c>
      <c r="H301" s="56">
        <v>708</v>
      </c>
      <c r="I301" s="56">
        <v>487</v>
      </c>
      <c r="J301" s="56">
        <v>103</v>
      </c>
      <c r="K301" s="56">
        <v>184</v>
      </c>
      <c r="L301" s="56">
        <v>4350</v>
      </c>
      <c r="M301" s="56">
        <v>4835</v>
      </c>
      <c r="N301" s="56">
        <v>4330</v>
      </c>
      <c r="O301" s="56">
        <v>43118</v>
      </c>
      <c r="P301" s="56">
        <v>901</v>
      </c>
      <c r="Q301" s="56">
        <v>29559</v>
      </c>
      <c r="R301" s="16">
        <f t="shared" si="17"/>
        <v>9581</v>
      </c>
      <c r="S301" s="167">
        <f t="shared" si="19"/>
        <v>10040.75</v>
      </c>
      <c r="T301" s="168">
        <f t="shared" si="20"/>
        <v>38575</v>
      </c>
    </row>
    <row r="302" spans="1:20" ht="15.6" x14ac:dyDescent="0.3">
      <c r="A302" s="125">
        <f t="shared" si="18"/>
        <v>38582</v>
      </c>
      <c r="B302" s="56">
        <v>2376</v>
      </c>
      <c r="C302" s="56">
        <v>2247</v>
      </c>
      <c r="D302" s="56">
        <v>361</v>
      </c>
      <c r="E302" s="56">
        <v>555</v>
      </c>
      <c r="F302" s="56">
        <v>1177</v>
      </c>
      <c r="G302" s="56">
        <v>1660</v>
      </c>
      <c r="H302" s="56">
        <v>819</v>
      </c>
      <c r="I302" s="56">
        <v>555</v>
      </c>
      <c r="J302" s="56">
        <v>83</v>
      </c>
      <c r="K302" s="56">
        <v>207</v>
      </c>
      <c r="L302" s="56">
        <v>4815</v>
      </c>
      <c r="M302" s="56">
        <v>5224</v>
      </c>
      <c r="N302" s="56">
        <v>3799</v>
      </c>
      <c r="O302" s="56">
        <v>43967</v>
      </c>
      <c r="P302" s="56">
        <v>853</v>
      </c>
      <c r="Q302" s="56">
        <v>29686</v>
      </c>
      <c r="R302" s="16">
        <f t="shared" si="17"/>
        <v>9467</v>
      </c>
      <c r="S302" s="167">
        <f t="shared" si="19"/>
        <v>9782.75</v>
      </c>
      <c r="T302" s="168">
        <f t="shared" si="20"/>
        <v>38582</v>
      </c>
    </row>
    <row r="303" spans="1:20" ht="15.6" x14ac:dyDescent="0.3">
      <c r="A303" s="125">
        <f t="shared" si="18"/>
        <v>38589</v>
      </c>
      <c r="B303" s="56">
        <v>2338</v>
      </c>
      <c r="C303" s="56">
        <v>2428</v>
      </c>
      <c r="D303" s="56">
        <v>385</v>
      </c>
      <c r="E303" s="56">
        <v>569</v>
      </c>
      <c r="F303" s="56">
        <v>1182</v>
      </c>
      <c r="G303" s="56">
        <v>1809</v>
      </c>
      <c r="H303" s="56">
        <v>663</v>
      </c>
      <c r="I303" s="56">
        <v>757</v>
      </c>
      <c r="J303" s="56">
        <v>77</v>
      </c>
      <c r="K303" s="56">
        <v>228</v>
      </c>
      <c r="L303" s="56">
        <v>4645</v>
      </c>
      <c r="M303" s="56">
        <v>5791</v>
      </c>
      <c r="N303" s="56">
        <v>2780</v>
      </c>
      <c r="O303" s="56">
        <v>44953</v>
      </c>
      <c r="P303" s="56">
        <v>699</v>
      </c>
      <c r="Q303" s="56">
        <v>29878</v>
      </c>
      <c r="R303" s="16">
        <f t="shared" si="17"/>
        <v>8124</v>
      </c>
      <c r="S303" s="167">
        <f t="shared" si="19"/>
        <v>9297.25</v>
      </c>
      <c r="T303" s="168">
        <f t="shared" si="20"/>
        <v>38589</v>
      </c>
    </row>
    <row r="304" spans="1:20" ht="15.6" x14ac:dyDescent="0.3">
      <c r="A304" s="125">
        <f t="shared" si="18"/>
        <v>38596</v>
      </c>
      <c r="B304" s="56">
        <v>2482</v>
      </c>
      <c r="C304" s="56">
        <v>2684</v>
      </c>
      <c r="D304" s="56">
        <v>421</v>
      </c>
      <c r="E304" s="56">
        <v>580</v>
      </c>
      <c r="F304" s="56">
        <v>1237</v>
      </c>
      <c r="G304" s="56">
        <v>1933</v>
      </c>
      <c r="H304" s="56">
        <v>830</v>
      </c>
      <c r="I304" s="56">
        <v>799</v>
      </c>
      <c r="J304" s="56">
        <v>97</v>
      </c>
      <c r="K304" s="56">
        <v>228</v>
      </c>
      <c r="L304" s="56">
        <v>5067</v>
      </c>
      <c r="M304" s="56">
        <v>6223</v>
      </c>
      <c r="N304" s="56">
        <v>7864</v>
      </c>
      <c r="O304" s="56">
        <v>10</v>
      </c>
      <c r="P304" s="56">
        <v>439</v>
      </c>
      <c r="Q304" s="56">
        <v>5636</v>
      </c>
      <c r="R304" s="16">
        <f t="shared" si="17"/>
        <v>13370</v>
      </c>
      <c r="S304" s="167">
        <f t="shared" si="19"/>
        <v>10135.5</v>
      </c>
      <c r="T304" s="168">
        <f t="shared" si="20"/>
        <v>38596</v>
      </c>
    </row>
    <row r="305" spans="1:20" ht="15.6" x14ac:dyDescent="0.3">
      <c r="A305" s="125">
        <f t="shared" si="18"/>
        <v>38603</v>
      </c>
      <c r="B305" s="56">
        <v>2559</v>
      </c>
      <c r="C305" s="56">
        <v>2836</v>
      </c>
      <c r="D305" s="56">
        <v>437</v>
      </c>
      <c r="E305" s="56">
        <v>598</v>
      </c>
      <c r="F305" s="56">
        <v>1321</v>
      </c>
      <c r="G305" s="56">
        <v>2071</v>
      </c>
      <c r="H305" s="56">
        <v>876</v>
      </c>
      <c r="I305" s="56">
        <v>851</v>
      </c>
      <c r="J305" s="56">
        <v>70</v>
      </c>
      <c r="K305" s="56">
        <v>256</v>
      </c>
      <c r="L305" s="56">
        <v>5263</v>
      </c>
      <c r="M305" s="56">
        <v>6612</v>
      </c>
      <c r="N305" s="56">
        <v>7896</v>
      </c>
      <c r="O305" s="56">
        <v>436</v>
      </c>
      <c r="P305" s="56">
        <v>4422</v>
      </c>
      <c r="Q305" s="56">
        <v>155</v>
      </c>
      <c r="R305" s="16">
        <f t="shared" si="17"/>
        <v>17581</v>
      </c>
      <c r="S305" s="167">
        <f t="shared" si="19"/>
        <v>12135.5</v>
      </c>
      <c r="T305" s="168">
        <f t="shared" si="20"/>
        <v>38603</v>
      </c>
    </row>
    <row r="306" spans="1:20" ht="15.6" x14ac:dyDescent="0.3">
      <c r="A306" s="125">
        <f t="shared" si="18"/>
        <v>38610</v>
      </c>
      <c r="B306" s="56">
        <v>2496</v>
      </c>
      <c r="C306" s="56">
        <v>3243</v>
      </c>
      <c r="D306" s="56">
        <v>389</v>
      </c>
      <c r="E306" s="56">
        <v>690</v>
      </c>
      <c r="F306" s="56">
        <v>1281</v>
      </c>
      <c r="G306" s="56">
        <v>2319</v>
      </c>
      <c r="H306" s="56">
        <v>993</v>
      </c>
      <c r="I306" s="56">
        <v>918</v>
      </c>
      <c r="J306" s="56">
        <v>94</v>
      </c>
      <c r="K306" s="56">
        <v>259</v>
      </c>
      <c r="L306" s="56">
        <v>5252</v>
      </c>
      <c r="M306" s="56">
        <v>7429</v>
      </c>
      <c r="N306" s="56">
        <v>7818</v>
      </c>
      <c r="O306" s="56">
        <v>1351</v>
      </c>
      <c r="P306" s="56">
        <v>5017</v>
      </c>
      <c r="Q306" s="56">
        <v>312</v>
      </c>
      <c r="R306" s="16">
        <f t="shared" si="17"/>
        <v>18087</v>
      </c>
      <c r="S306" s="167">
        <f t="shared" si="19"/>
        <v>14290.5</v>
      </c>
      <c r="T306" s="168">
        <f t="shared" si="20"/>
        <v>38610</v>
      </c>
    </row>
    <row r="307" spans="1:20" ht="15.6" x14ac:dyDescent="0.3">
      <c r="A307" s="125">
        <f t="shared" si="18"/>
        <v>38617</v>
      </c>
      <c r="B307" s="56">
        <v>2600</v>
      </c>
      <c r="C307" s="56">
        <v>3509</v>
      </c>
      <c r="D307" s="56">
        <v>365</v>
      </c>
      <c r="E307" s="56">
        <v>727</v>
      </c>
      <c r="F307" s="56">
        <v>1178</v>
      </c>
      <c r="G307" s="56">
        <v>2547</v>
      </c>
      <c r="H307" s="56">
        <v>993</v>
      </c>
      <c r="I307" s="56">
        <v>967</v>
      </c>
      <c r="J307" s="56">
        <v>100</v>
      </c>
      <c r="K307" s="56">
        <v>276</v>
      </c>
      <c r="L307" s="56">
        <v>5237</v>
      </c>
      <c r="M307" s="56">
        <v>8025</v>
      </c>
      <c r="N307" s="56">
        <v>7564</v>
      </c>
      <c r="O307" s="56">
        <v>2307</v>
      </c>
      <c r="P307" s="56">
        <v>5473</v>
      </c>
      <c r="Q307" s="56">
        <v>531</v>
      </c>
      <c r="R307" s="16">
        <f t="shared" si="17"/>
        <v>18274</v>
      </c>
      <c r="S307" s="167">
        <f t="shared" si="19"/>
        <v>16828</v>
      </c>
      <c r="T307" s="168">
        <f t="shared" si="20"/>
        <v>38617</v>
      </c>
    </row>
    <row r="308" spans="1:20" ht="15.6" x14ac:dyDescent="0.3">
      <c r="A308" s="125">
        <f t="shared" si="18"/>
        <v>38624</v>
      </c>
      <c r="B308" s="56">
        <v>2520</v>
      </c>
      <c r="C308" s="56">
        <v>3658</v>
      </c>
      <c r="D308" s="56">
        <v>365</v>
      </c>
      <c r="E308" s="56">
        <v>753</v>
      </c>
      <c r="F308" s="56">
        <v>1282</v>
      </c>
      <c r="G308" s="56">
        <v>2750</v>
      </c>
      <c r="H308" s="56">
        <v>871</v>
      </c>
      <c r="I308" s="56">
        <v>1164</v>
      </c>
      <c r="J308" s="56">
        <v>90</v>
      </c>
      <c r="K308" s="56">
        <v>286</v>
      </c>
      <c r="L308" s="56">
        <v>5128</v>
      </c>
      <c r="M308" s="56">
        <v>8609</v>
      </c>
      <c r="N308" s="56">
        <v>7735</v>
      </c>
      <c r="O308" s="56">
        <v>3089</v>
      </c>
      <c r="P308" s="56">
        <v>5809</v>
      </c>
      <c r="Q308" s="56">
        <v>737</v>
      </c>
      <c r="R308" s="16">
        <f t="shared" ref="R308:R371" si="21">L308+N308+P308</f>
        <v>18672</v>
      </c>
      <c r="S308" s="167">
        <f t="shared" si="19"/>
        <v>18153.5</v>
      </c>
      <c r="T308" s="168">
        <f t="shared" si="20"/>
        <v>38624</v>
      </c>
    </row>
    <row r="309" spans="1:20" ht="15.6" x14ac:dyDescent="0.3">
      <c r="A309" s="125">
        <f t="shared" si="18"/>
        <v>38631</v>
      </c>
      <c r="B309" s="56">
        <v>2469</v>
      </c>
      <c r="C309" s="56">
        <v>3910</v>
      </c>
      <c r="D309" s="56">
        <v>298</v>
      </c>
      <c r="E309" s="56">
        <v>872</v>
      </c>
      <c r="F309" s="56">
        <v>1158</v>
      </c>
      <c r="G309" s="56">
        <v>2950</v>
      </c>
      <c r="H309" s="56">
        <v>800</v>
      </c>
      <c r="I309" s="56">
        <v>1251</v>
      </c>
      <c r="J309" s="56">
        <v>84</v>
      </c>
      <c r="K309" s="56">
        <v>304</v>
      </c>
      <c r="L309" s="56">
        <v>4809</v>
      </c>
      <c r="M309" s="56">
        <v>9286</v>
      </c>
      <c r="N309" s="56">
        <v>7645</v>
      </c>
      <c r="O309" s="56">
        <v>4112</v>
      </c>
      <c r="P309" s="56">
        <v>6096</v>
      </c>
      <c r="Q309" s="56">
        <v>1134</v>
      </c>
      <c r="R309" s="16">
        <f t="shared" si="21"/>
        <v>18550</v>
      </c>
      <c r="S309" s="167">
        <f t="shared" si="19"/>
        <v>18395.75</v>
      </c>
      <c r="T309" s="168">
        <f t="shared" si="20"/>
        <v>38631</v>
      </c>
    </row>
    <row r="310" spans="1:20" ht="15.6" x14ac:dyDescent="0.3">
      <c r="A310" s="125">
        <f t="shared" si="18"/>
        <v>38638</v>
      </c>
      <c r="B310" s="56">
        <v>2355</v>
      </c>
      <c r="C310" s="56">
        <v>4090</v>
      </c>
      <c r="D310" s="56">
        <v>313</v>
      </c>
      <c r="E310" s="56">
        <v>907</v>
      </c>
      <c r="F310" s="56">
        <v>1137</v>
      </c>
      <c r="G310" s="56">
        <v>3135</v>
      </c>
      <c r="H310" s="56">
        <v>777</v>
      </c>
      <c r="I310" s="56">
        <v>1379</v>
      </c>
      <c r="J310" s="56">
        <v>70</v>
      </c>
      <c r="K310" s="56">
        <v>326</v>
      </c>
      <c r="L310" s="56">
        <v>4651</v>
      </c>
      <c r="M310" s="56">
        <v>9837</v>
      </c>
      <c r="N310" s="56">
        <v>7380</v>
      </c>
      <c r="O310" s="56">
        <v>5343</v>
      </c>
      <c r="P310" s="56">
        <v>5987</v>
      </c>
      <c r="Q310" s="56">
        <v>2132</v>
      </c>
      <c r="R310" s="16">
        <f t="shared" si="21"/>
        <v>18018</v>
      </c>
      <c r="S310" s="167">
        <f t="shared" si="19"/>
        <v>18378.5</v>
      </c>
      <c r="T310" s="168">
        <f t="shared" si="20"/>
        <v>38638</v>
      </c>
    </row>
    <row r="311" spans="1:20" ht="15.6" x14ac:dyDescent="0.3">
      <c r="A311" s="125">
        <f t="shared" si="18"/>
        <v>38645</v>
      </c>
      <c r="B311" s="56">
        <v>2156</v>
      </c>
      <c r="C311" s="56">
        <v>4329</v>
      </c>
      <c r="D311" s="56">
        <v>285</v>
      </c>
      <c r="E311" s="56">
        <v>936</v>
      </c>
      <c r="F311" s="56">
        <v>1112</v>
      </c>
      <c r="G311" s="56">
        <v>3316</v>
      </c>
      <c r="H311" s="56">
        <v>711</v>
      </c>
      <c r="I311" s="56">
        <v>1625</v>
      </c>
      <c r="J311" s="56">
        <v>68</v>
      </c>
      <c r="K311" s="56">
        <v>329</v>
      </c>
      <c r="L311" s="56">
        <v>4332</v>
      </c>
      <c r="M311" s="56">
        <v>10536</v>
      </c>
      <c r="N311" s="56">
        <v>7150</v>
      </c>
      <c r="O311" s="56">
        <v>6292</v>
      </c>
      <c r="P311" s="56">
        <v>5923</v>
      </c>
      <c r="Q311" s="56">
        <v>3038</v>
      </c>
      <c r="R311" s="16">
        <f t="shared" si="21"/>
        <v>17405</v>
      </c>
      <c r="S311" s="167">
        <f t="shared" si="19"/>
        <v>18161.25</v>
      </c>
      <c r="T311" s="168">
        <f t="shared" si="20"/>
        <v>38645</v>
      </c>
    </row>
    <row r="312" spans="1:20" ht="15.6" x14ac:dyDescent="0.3">
      <c r="A312" s="125">
        <f t="shared" si="18"/>
        <v>38652</v>
      </c>
      <c r="B312" s="56">
        <v>1967</v>
      </c>
      <c r="C312" s="56">
        <v>4622</v>
      </c>
      <c r="D312" s="56">
        <v>283</v>
      </c>
      <c r="E312" s="56">
        <v>963</v>
      </c>
      <c r="F312" s="56">
        <v>1172</v>
      </c>
      <c r="G312" s="56">
        <v>3450</v>
      </c>
      <c r="H312" s="56">
        <v>695</v>
      </c>
      <c r="I312" s="56">
        <v>1716</v>
      </c>
      <c r="J312" s="56">
        <v>102</v>
      </c>
      <c r="K312" s="56">
        <v>332</v>
      </c>
      <c r="L312" s="56">
        <v>4219</v>
      </c>
      <c r="M312" s="56">
        <v>11083</v>
      </c>
      <c r="N312" s="56">
        <v>7354</v>
      </c>
      <c r="O312" s="56">
        <v>7306</v>
      </c>
      <c r="P312" s="56">
        <v>5673</v>
      </c>
      <c r="Q312" s="56">
        <v>4050</v>
      </c>
      <c r="R312" s="16">
        <f t="shared" si="21"/>
        <v>17246</v>
      </c>
      <c r="S312" s="167">
        <f t="shared" si="19"/>
        <v>17804.75</v>
      </c>
      <c r="T312" s="168">
        <f t="shared" si="20"/>
        <v>38652</v>
      </c>
    </row>
    <row r="313" spans="1:20" ht="15.6" x14ac:dyDescent="0.3">
      <c r="A313" s="125">
        <f t="shared" si="18"/>
        <v>38659</v>
      </c>
      <c r="B313" s="56">
        <v>2861</v>
      </c>
      <c r="C313" s="56">
        <v>4738</v>
      </c>
      <c r="D313" s="56">
        <v>247</v>
      </c>
      <c r="E313" s="56">
        <v>1010</v>
      </c>
      <c r="F313" s="56">
        <v>1133</v>
      </c>
      <c r="G313" s="56">
        <v>3707</v>
      </c>
      <c r="H313" s="56">
        <v>828</v>
      </c>
      <c r="I313" s="56">
        <v>1743</v>
      </c>
      <c r="J313" s="56">
        <v>101</v>
      </c>
      <c r="K313" s="56">
        <v>332</v>
      </c>
      <c r="L313" s="56">
        <v>5169</v>
      </c>
      <c r="M313" s="56">
        <v>11530</v>
      </c>
      <c r="N313" s="56">
        <v>7315</v>
      </c>
      <c r="O313" s="56">
        <v>8226</v>
      </c>
      <c r="P313" s="56">
        <v>5242</v>
      </c>
      <c r="Q313" s="56">
        <v>5060</v>
      </c>
      <c r="R313" s="16">
        <f t="shared" si="21"/>
        <v>17726</v>
      </c>
      <c r="S313" s="167">
        <f t="shared" si="19"/>
        <v>17598.75</v>
      </c>
      <c r="T313" s="168">
        <f t="shared" si="20"/>
        <v>38659</v>
      </c>
    </row>
    <row r="314" spans="1:20" ht="15.6" x14ac:dyDescent="0.3">
      <c r="A314" s="125">
        <f t="shared" si="18"/>
        <v>38666</v>
      </c>
      <c r="B314" s="56">
        <v>3083</v>
      </c>
      <c r="C314" s="56">
        <v>4841</v>
      </c>
      <c r="D314" s="56">
        <v>269</v>
      </c>
      <c r="E314" s="56">
        <v>1033</v>
      </c>
      <c r="F314" s="56">
        <v>1147</v>
      </c>
      <c r="G314" s="56">
        <v>3827</v>
      </c>
      <c r="H314" s="56">
        <v>765</v>
      </c>
      <c r="I314" s="56">
        <v>1838</v>
      </c>
      <c r="J314" s="56">
        <v>92</v>
      </c>
      <c r="K314" s="56">
        <v>353</v>
      </c>
      <c r="L314" s="56">
        <v>5356</v>
      </c>
      <c r="M314" s="56">
        <v>11892</v>
      </c>
      <c r="N314" s="56">
        <v>7748</v>
      </c>
      <c r="O314" s="56">
        <v>9284</v>
      </c>
      <c r="P314" s="56">
        <v>5147</v>
      </c>
      <c r="Q314" s="56">
        <v>5800</v>
      </c>
      <c r="R314" s="16">
        <f t="shared" si="21"/>
        <v>18251</v>
      </c>
      <c r="S314" s="167">
        <f t="shared" si="19"/>
        <v>17657</v>
      </c>
      <c r="T314" s="168">
        <f t="shared" si="20"/>
        <v>38666</v>
      </c>
    </row>
    <row r="315" spans="1:20" ht="15.6" x14ac:dyDescent="0.3">
      <c r="A315" s="125">
        <f t="shared" si="18"/>
        <v>38673</v>
      </c>
      <c r="B315" s="56">
        <v>2950</v>
      </c>
      <c r="C315" s="56">
        <v>5045</v>
      </c>
      <c r="D315" s="56">
        <v>272</v>
      </c>
      <c r="E315" s="56">
        <v>1083</v>
      </c>
      <c r="F315" s="56">
        <v>1209</v>
      </c>
      <c r="G315" s="56">
        <v>3962</v>
      </c>
      <c r="H315" s="56">
        <v>803</v>
      </c>
      <c r="I315" s="56">
        <v>1915</v>
      </c>
      <c r="J315" s="56">
        <v>103</v>
      </c>
      <c r="K315" s="56">
        <v>361</v>
      </c>
      <c r="L315" s="56">
        <v>5337</v>
      </c>
      <c r="M315" s="56">
        <v>12365</v>
      </c>
      <c r="N315" s="56">
        <v>7814</v>
      </c>
      <c r="O315" s="56">
        <v>10251</v>
      </c>
      <c r="P315" s="56">
        <v>4384</v>
      </c>
      <c r="Q315" s="56">
        <v>6736</v>
      </c>
      <c r="R315" s="16">
        <f t="shared" si="21"/>
        <v>17535</v>
      </c>
      <c r="S315" s="167">
        <f t="shared" si="19"/>
        <v>17689.5</v>
      </c>
      <c r="T315" s="168">
        <f t="shared" si="20"/>
        <v>38673</v>
      </c>
    </row>
    <row r="316" spans="1:20" ht="15.6" x14ac:dyDescent="0.3">
      <c r="A316" s="125">
        <f t="shared" si="18"/>
        <v>38680</v>
      </c>
      <c r="B316" s="56">
        <v>2738</v>
      </c>
      <c r="C316" s="56">
        <v>5339</v>
      </c>
      <c r="D316" s="56">
        <v>297</v>
      </c>
      <c r="E316" s="56">
        <v>1100</v>
      </c>
      <c r="F316" s="56">
        <v>1089</v>
      </c>
      <c r="G316" s="56">
        <v>4120</v>
      </c>
      <c r="H316" s="56">
        <v>822</v>
      </c>
      <c r="I316" s="56">
        <v>1975</v>
      </c>
      <c r="J316" s="56">
        <v>95</v>
      </c>
      <c r="K316" s="56">
        <v>361</v>
      </c>
      <c r="L316" s="56">
        <v>5041</v>
      </c>
      <c r="M316" s="56">
        <v>12890</v>
      </c>
      <c r="N316" s="56">
        <v>7759</v>
      </c>
      <c r="O316" s="56">
        <v>10917</v>
      </c>
      <c r="P316" s="56">
        <v>3926</v>
      </c>
      <c r="Q316" s="56">
        <v>7565</v>
      </c>
      <c r="R316" s="16">
        <f t="shared" si="21"/>
        <v>16726</v>
      </c>
      <c r="S316" s="167">
        <f t="shared" si="19"/>
        <v>17559.5</v>
      </c>
      <c r="T316" s="168">
        <f t="shared" si="20"/>
        <v>38680</v>
      </c>
    </row>
    <row r="317" spans="1:20" ht="15.6" x14ac:dyDescent="0.3">
      <c r="A317" s="125">
        <f t="shared" si="18"/>
        <v>38687</v>
      </c>
      <c r="B317" s="56">
        <v>2728</v>
      </c>
      <c r="C317" s="56">
        <v>5615</v>
      </c>
      <c r="D317" s="56">
        <v>288</v>
      </c>
      <c r="E317" s="56">
        <v>1124</v>
      </c>
      <c r="F317" s="56">
        <v>1067</v>
      </c>
      <c r="G317" s="56">
        <v>4236</v>
      </c>
      <c r="H317" s="56">
        <v>824</v>
      </c>
      <c r="I317" s="56">
        <v>2010</v>
      </c>
      <c r="J317" s="56">
        <v>77</v>
      </c>
      <c r="K317" s="56">
        <v>396</v>
      </c>
      <c r="L317" s="56">
        <v>5001</v>
      </c>
      <c r="M317" s="56">
        <v>13381</v>
      </c>
      <c r="N317" s="56">
        <v>7432</v>
      </c>
      <c r="O317" s="56">
        <v>11939</v>
      </c>
      <c r="P317" s="56">
        <v>4079</v>
      </c>
      <c r="Q317" s="56">
        <v>8324</v>
      </c>
      <c r="R317" s="16">
        <f t="shared" si="21"/>
        <v>16512</v>
      </c>
      <c r="S317" s="167">
        <f t="shared" si="19"/>
        <v>17256</v>
      </c>
      <c r="T317" s="168">
        <f t="shared" si="20"/>
        <v>38687</v>
      </c>
    </row>
    <row r="318" spans="1:20" ht="15.6" x14ac:dyDescent="0.3">
      <c r="A318" s="125">
        <f t="shared" si="18"/>
        <v>38694</v>
      </c>
      <c r="B318" s="56">
        <v>2807</v>
      </c>
      <c r="C318" s="56">
        <v>5796</v>
      </c>
      <c r="D318" s="56">
        <v>292</v>
      </c>
      <c r="E318" s="56">
        <v>1156</v>
      </c>
      <c r="F318" s="56">
        <v>1092</v>
      </c>
      <c r="G318" s="56">
        <v>4452</v>
      </c>
      <c r="H318" s="56">
        <v>793</v>
      </c>
      <c r="I318" s="56">
        <v>2216</v>
      </c>
      <c r="J318" s="56">
        <v>35</v>
      </c>
      <c r="K318" s="56">
        <v>438</v>
      </c>
      <c r="L318" s="56">
        <v>5018</v>
      </c>
      <c r="M318" s="56">
        <v>14059</v>
      </c>
      <c r="N318" s="56">
        <v>7334</v>
      </c>
      <c r="O318" s="56">
        <v>12957</v>
      </c>
      <c r="P318" s="56">
        <v>3944</v>
      </c>
      <c r="Q318" s="56">
        <v>8963</v>
      </c>
      <c r="R318" s="16">
        <f t="shared" si="21"/>
        <v>16296</v>
      </c>
      <c r="S318" s="167">
        <f t="shared" si="19"/>
        <v>16767.25</v>
      </c>
      <c r="T318" s="168">
        <f t="shared" si="20"/>
        <v>38694</v>
      </c>
    </row>
    <row r="319" spans="1:20" ht="15.6" x14ac:dyDescent="0.3">
      <c r="A319" s="125">
        <f t="shared" si="18"/>
        <v>38701</v>
      </c>
      <c r="B319" s="56">
        <v>2868</v>
      </c>
      <c r="C319" s="56">
        <v>5932</v>
      </c>
      <c r="D319" s="56">
        <v>279</v>
      </c>
      <c r="E319" s="56">
        <v>1207</v>
      </c>
      <c r="F319" s="56">
        <v>1139</v>
      </c>
      <c r="G319" s="56">
        <v>4556</v>
      </c>
      <c r="H319" s="56">
        <v>800</v>
      </c>
      <c r="I319" s="56">
        <v>2309</v>
      </c>
      <c r="J319" s="56">
        <v>30</v>
      </c>
      <c r="K319" s="56">
        <v>480</v>
      </c>
      <c r="L319" s="56">
        <v>5116</v>
      </c>
      <c r="M319" s="56">
        <v>14484</v>
      </c>
      <c r="N319" s="56">
        <v>7037</v>
      </c>
      <c r="O319" s="56">
        <v>14138</v>
      </c>
      <c r="P319" s="56">
        <v>4004</v>
      </c>
      <c r="Q319" s="56">
        <v>9642</v>
      </c>
      <c r="R319" s="16">
        <f t="shared" si="21"/>
        <v>16157</v>
      </c>
      <c r="S319" s="167">
        <f t="shared" si="19"/>
        <v>16422.75</v>
      </c>
      <c r="T319" s="168">
        <f t="shared" si="20"/>
        <v>38701</v>
      </c>
    </row>
    <row r="320" spans="1:20" ht="15.6" x14ac:dyDescent="0.3">
      <c r="A320" s="125">
        <f t="shared" si="18"/>
        <v>38708</v>
      </c>
      <c r="B320" s="56">
        <v>2719</v>
      </c>
      <c r="C320" s="56">
        <v>6202</v>
      </c>
      <c r="D320" s="56">
        <v>291</v>
      </c>
      <c r="E320" s="56">
        <v>1213</v>
      </c>
      <c r="F320" s="56">
        <v>1092</v>
      </c>
      <c r="G320" s="56">
        <v>4727</v>
      </c>
      <c r="H320" s="56">
        <v>704</v>
      </c>
      <c r="I320" s="56">
        <v>2476</v>
      </c>
      <c r="J320" s="56">
        <v>28</v>
      </c>
      <c r="K320" s="56">
        <v>504</v>
      </c>
      <c r="L320" s="56">
        <v>4834</v>
      </c>
      <c r="M320" s="56">
        <v>15122</v>
      </c>
      <c r="N320" s="56">
        <v>6619</v>
      </c>
      <c r="O320" s="56">
        <v>14916</v>
      </c>
      <c r="P320" s="56">
        <v>4286</v>
      </c>
      <c r="Q320" s="56">
        <v>10250</v>
      </c>
      <c r="R320" s="16">
        <f t="shared" si="21"/>
        <v>15739</v>
      </c>
      <c r="S320" s="167">
        <f t="shared" si="19"/>
        <v>16176</v>
      </c>
      <c r="T320" s="168">
        <f t="shared" si="20"/>
        <v>38708</v>
      </c>
    </row>
    <row r="321" spans="1:20" ht="15.6" x14ac:dyDescent="0.3">
      <c r="A321" s="125">
        <f t="shared" si="18"/>
        <v>38715</v>
      </c>
      <c r="B321" s="56">
        <v>2692</v>
      </c>
      <c r="C321" s="56">
        <v>6320</v>
      </c>
      <c r="D321" s="56">
        <v>307</v>
      </c>
      <c r="E321" s="56">
        <v>1230</v>
      </c>
      <c r="F321" s="56">
        <v>1036</v>
      </c>
      <c r="G321" s="56">
        <v>4825</v>
      </c>
      <c r="H321" s="56">
        <v>661</v>
      </c>
      <c r="I321" s="56">
        <v>2571</v>
      </c>
      <c r="J321" s="56">
        <v>31</v>
      </c>
      <c r="K321" s="56">
        <v>508</v>
      </c>
      <c r="L321" s="56">
        <v>4727</v>
      </c>
      <c r="M321" s="56">
        <v>15453</v>
      </c>
      <c r="N321" s="56">
        <v>5991</v>
      </c>
      <c r="O321" s="56">
        <v>16073</v>
      </c>
      <c r="P321" s="56">
        <v>4375</v>
      </c>
      <c r="Q321" s="56">
        <v>10623</v>
      </c>
      <c r="R321" s="16">
        <f t="shared" si="21"/>
        <v>15093</v>
      </c>
      <c r="S321" s="167">
        <f t="shared" si="19"/>
        <v>15821.25</v>
      </c>
      <c r="T321" s="168">
        <f t="shared" si="20"/>
        <v>38715</v>
      </c>
    </row>
    <row r="322" spans="1:20" ht="15.6" x14ac:dyDescent="0.3">
      <c r="A322" s="126">
        <f t="shared" si="18"/>
        <v>38722</v>
      </c>
      <c r="B322" s="56">
        <v>2413</v>
      </c>
      <c r="C322" s="56">
        <v>6701</v>
      </c>
      <c r="D322" s="56">
        <v>337</v>
      </c>
      <c r="E322" s="56">
        <v>1277</v>
      </c>
      <c r="F322" s="56">
        <v>1003</v>
      </c>
      <c r="G322" s="56">
        <v>4935</v>
      </c>
      <c r="H322" s="56">
        <v>657</v>
      </c>
      <c r="I322" s="56">
        <v>2607</v>
      </c>
      <c r="J322" s="56">
        <v>84</v>
      </c>
      <c r="K322" s="56">
        <v>509</v>
      </c>
      <c r="L322" s="56">
        <v>4494</v>
      </c>
      <c r="M322" s="56">
        <v>16029</v>
      </c>
      <c r="N322" s="56">
        <v>5905</v>
      </c>
      <c r="O322" s="56">
        <v>16731</v>
      </c>
      <c r="P322" s="56">
        <v>4149</v>
      </c>
      <c r="Q322" s="56">
        <v>11297</v>
      </c>
      <c r="R322" s="16">
        <f t="shared" si="21"/>
        <v>14548</v>
      </c>
      <c r="S322" s="167">
        <f t="shared" si="19"/>
        <v>15384.25</v>
      </c>
      <c r="T322" s="168">
        <f t="shared" si="20"/>
        <v>38722</v>
      </c>
    </row>
    <row r="323" spans="1:20" ht="15.6" x14ac:dyDescent="0.3">
      <c r="A323" s="126">
        <f t="shared" si="18"/>
        <v>38729</v>
      </c>
      <c r="B323" s="56">
        <v>2319</v>
      </c>
      <c r="C323" s="56">
        <v>6893</v>
      </c>
      <c r="D323" s="56">
        <v>309</v>
      </c>
      <c r="E323" s="56">
        <v>1311</v>
      </c>
      <c r="F323" s="56">
        <v>1067</v>
      </c>
      <c r="G323" s="56">
        <v>5010</v>
      </c>
      <c r="H323" s="56">
        <v>732</v>
      </c>
      <c r="I323" s="56">
        <v>2620</v>
      </c>
      <c r="J323" s="56">
        <v>97</v>
      </c>
      <c r="K323" s="56">
        <v>516</v>
      </c>
      <c r="L323" s="56">
        <v>4525</v>
      </c>
      <c r="M323" s="56">
        <v>16350</v>
      </c>
      <c r="N323" s="56">
        <v>6184</v>
      </c>
      <c r="O323" s="56">
        <v>17657</v>
      </c>
      <c r="P323" s="56">
        <v>4870</v>
      </c>
      <c r="Q323" s="56">
        <v>11848</v>
      </c>
      <c r="R323" s="16">
        <f t="shared" si="21"/>
        <v>15579</v>
      </c>
      <c r="S323" s="167">
        <f t="shared" si="19"/>
        <v>15239.75</v>
      </c>
      <c r="T323" s="168">
        <f t="shared" si="20"/>
        <v>38729</v>
      </c>
    </row>
    <row r="324" spans="1:20" ht="15.6" x14ac:dyDescent="0.3">
      <c r="A324" s="126">
        <f t="shared" si="18"/>
        <v>38736</v>
      </c>
      <c r="B324" s="56">
        <v>2159</v>
      </c>
      <c r="C324" s="56">
        <v>7121</v>
      </c>
      <c r="D324" s="56">
        <v>310</v>
      </c>
      <c r="E324" s="56">
        <v>1364</v>
      </c>
      <c r="F324" s="56">
        <v>1083</v>
      </c>
      <c r="G324" s="56">
        <v>5143</v>
      </c>
      <c r="H324" s="56">
        <v>742</v>
      </c>
      <c r="I324" s="56">
        <v>2694</v>
      </c>
      <c r="J324" s="56">
        <v>116</v>
      </c>
      <c r="K324" s="56">
        <v>517</v>
      </c>
      <c r="L324" s="56">
        <v>4410</v>
      </c>
      <c r="M324" s="56">
        <v>16840</v>
      </c>
      <c r="N324" s="56">
        <v>7416</v>
      </c>
      <c r="O324" s="56">
        <v>18583</v>
      </c>
      <c r="P324" s="56">
        <v>4524</v>
      </c>
      <c r="Q324" s="56">
        <v>12716</v>
      </c>
      <c r="R324" s="16">
        <f t="shared" si="21"/>
        <v>16350</v>
      </c>
      <c r="S324" s="167">
        <f t="shared" si="19"/>
        <v>15392.5</v>
      </c>
      <c r="T324" s="168">
        <f t="shared" si="20"/>
        <v>38736</v>
      </c>
    </row>
    <row r="325" spans="1:20" ht="15.6" x14ac:dyDescent="0.3">
      <c r="A325" s="126">
        <f t="shared" si="18"/>
        <v>38743</v>
      </c>
      <c r="B325" s="56">
        <v>2039</v>
      </c>
      <c r="C325" s="56">
        <v>7386</v>
      </c>
      <c r="D325" s="56">
        <v>264</v>
      </c>
      <c r="E325" s="56">
        <v>1383</v>
      </c>
      <c r="F325" s="56">
        <v>1057</v>
      </c>
      <c r="G325" s="56">
        <v>5297</v>
      </c>
      <c r="H325" s="56">
        <v>700</v>
      </c>
      <c r="I325" s="56">
        <v>2829</v>
      </c>
      <c r="J325" s="56">
        <v>126</v>
      </c>
      <c r="K325" s="56">
        <v>528</v>
      </c>
      <c r="L325" s="56">
        <v>4185</v>
      </c>
      <c r="M325" s="56">
        <v>17422</v>
      </c>
      <c r="N325" s="56">
        <v>7858</v>
      </c>
      <c r="O325" s="56">
        <v>19502</v>
      </c>
      <c r="P325" s="56">
        <v>4403</v>
      </c>
      <c r="Q325" s="56">
        <v>13284</v>
      </c>
      <c r="R325" s="16">
        <f t="shared" si="21"/>
        <v>16446</v>
      </c>
      <c r="S325" s="167">
        <f t="shared" si="19"/>
        <v>15730.75</v>
      </c>
      <c r="T325" s="168">
        <f t="shared" si="20"/>
        <v>38743</v>
      </c>
    </row>
    <row r="326" spans="1:20" ht="15.6" x14ac:dyDescent="0.3">
      <c r="A326" s="126">
        <f t="shared" si="18"/>
        <v>38750</v>
      </c>
      <c r="B326" s="56">
        <v>1751</v>
      </c>
      <c r="C326" s="56">
        <v>7725</v>
      </c>
      <c r="D326" s="56">
        <v>299</v>
      </c>
      <c r="E326" s="56">
        <v>1424</v>
      </c>
      <c r="F326" s="56">
        <v>1057</v>
      </c>
      <c r="G326" s="56">
        <v>5431</v>
      </c>
      <c r="H326" s="56">
        <v>687</v>
      </c>
      <c r="I326" s="56">
        <v>2920</v>
      </c>
      <c r="J326" s="56">
        <v>104</v>
      </c>
      <c r="K326" s="56">
        <v>555</v>
      </c>
      <c r="L326" s="56">
        <v>3898</v>
      </c>
      <c r="M326" s="56">
        <v>18055</v>
      </c>
      <c r="N326" s="56">
        <v>8455</v>
      </c>
      <c r="O326" s="56">
        <v>20263</v>
      </c>
      <c r="P326" s="56">
        <v>4247</v>
      </c>
      <c r="Q326" s="56">
        <v>13957</v>
      </c>
      <c r="R326" s="16">
        <f t="shared" si="21"/>
        <v>16600</v>
      </c>
      <c r="S326" s="167">
        <f t="shared" si="19"/>
        <v>16243.75</v>
      </c>
      <c r="T326" s="168">
        <f t="shared" si="20"/>
        <v>38750</v>
      </c>
    </row>
    <row r="327" spans="1:20" ht="15.6" x14ac:dyDescent="0.3">
      <c r="A327" s="126">
        <f t="shared" si="18"/>
        <v>38757</v>
      </c>
      <c r="B327" s="56">
        <v>1644</v>
      </c>
      <c r="C327" s="56">
        <v>7948</v>
      </c>
      <c r="D327" s="56">
        <v>344</v>
      </c>
      <c r="E327" s="56">
        <v>1467</v>
      </c>
      <c r="F327" s="56">
        <v>1170</v>
      </c>
      <c r="G327" s="56">
        <v>5533</v>
      </c>
      <c r="H327" s="56">
        <v>696</v>
      </c>
      <c r="I327" s="56">
        <v>3034</v>
      </c>
      <c r="J327" s="56">
        <v>147</v>
      </c>
      <c r="K327" s="56">
        <v>565</v>
      </c>
      <c r="L327" s="56">
        <v>3999</v>
      </c>
      <c r="M327" s="56">
        <v>18547</v>
      </c>
      <c r="N327" s="56">
        <v>8829</v>
      </c>
      <c r="O327" s="56">
        <v>21340</v>
      </c>
      <c r="P327" s="56">
        <v>3788</v>
      </c>
      <c r="Q327" s="56">
        <v>14946</v>
      </c>
      <c r="R327" s="16">
        <f t="shared" si="21"/>
        <v>16616</v>
      </c>
      <c r="S327" s="167">
        <f t="shared" si="19"/>
        <v>16503</v>
      </c>
      <c r="T327" s="168">
        <f t="shared" si="20"/>
        <v>38757</v>
      </c>
    </row>
    <row r="328" spans="1:20" ht="15.6" x14ac:dyDescent="0.3">
      <c r="A328" s="126">
        <f t="shared" si="18"/>
        <v>38764</v>
      </c>
      <c r="B328" s="56">
        <v>1668</v>
      </c>
      <c r="C328" s="56">
        <v>8121</v>
      </c>
      <c r="D328" s="56">
        <v>365</v>
      </c>
      <c r="E328" s="56">
        <v>1518</v>
      </c>
      <c r="F328" s="56">
        <v>1125</v>
      </c>
      <c r="G328" s="56">
        <v>5661</v>
      </c>
      <c r="H328" s="56">
        <v>709</v>
      </c>
      <c r="I328" s="56">
        <v>3130</v>
      </c>
      <c r="J328" s="56">
        <v>192</v>
      </c>
      <c r="K328" s="56">
        <v>568</v>
      </c>
      <c r="L328" s="56">
        <v>4059</v>
      </c>
      <c r="M328" s="56">
        <v>18997</v>
      </c>
      <c r="N328" s="56">
        <v>9281</v>
      </c>
      <c r="O328" s="56">
        <v>22380</v>
      </c>
      <c r="P328" s="56">
        <v>3544</v>
      </c>
      <c r="Q328" s="56">
        <v>15690</v>
      </c>
      <c r="R328" s="16">
        <f t="shared" si="21"/>
        <v>16884</v>
      </c>
      <c r="S328" s="167">
        <f t="shared" si="19"/>
        <v>16636.5</v>
      </c>
      <c r="T328" s="168">
        <f t="shared" si="20"/>
        <v>38764</v>
      </c>
    </row>
    <row r="329" spans="1:20" ht="15.6" x14ac:dyDescent="0.3">
      <c r="A329" s="126">
        <f t="shared" si="18"/>
        <v>38771</v>
      </c>
      <c r="B329" s="56">
        <v>1579</v>
      </c>
      <c r="C329" s="56">
        <v>8300</v>
      </c>
      <c r="D329" s="56">
        <v>375</v>
      </c>
      <c r="E329" s="56">
        <v>1545</v>
      </c>
      <c r="F329" s="56">
        <v>1020</v>
      </c>
      <c r="G329" s="56">
        <v>5805</v>
      </c>
      <c r="H329" s="56">
        <v>674</v>
      </c>
      <c r="I329" s="56">
        <v>3178</v>
      </c>
      <c r="J329" s="56">
        <v>156</v>
      </c>
      <c r="K329" s="56">
        <v>584</v>
      </c>
      <c r="L329" s="56">
        <v>3804</v>
      </c>
      <c r="M329" s="56">
        <v>19412</v>
      </c>
      <c r="N329" s="56">
        <v>8935</v>
      </c>
      <c r="O329" s="56">
        <v>23339</v>
      </c>
      <c r="P329" s="56">
        <v>3406</v>
      </c>
      <c r="Q329" s="56">
        <v>16196</v>
      </c>
      <c r="R329" s="16">
        <f t="shared" si="21"/>
        <v>16145</v>
      </c>
      <c r="S329" s="167">
        <f t="shared" si="19"/>
        <v>16561.25</v>
      </c>
      <c r="T329" s="168">
        <f t="shared" si="20"/>
        <v>38771</v>
      </c>
    </row>
    <row r="330" spans="1:20" ht="15.6" x14ac:dyDescent="0.3">
      <c r="A330" s="126">
        <f t="shared" si="18"/>
        <v>38778</v>
      </c>
      <c r="B330" s="56">
        <v>1444</v>
      </c>
      <c r="C330" s="56">
        <v>8548</v>
      </c>
      <c r="D330" s="56">
        <v>368</v>
      </c>
      <c r="E330" s="56">
        <v>1570</v>
      </c>
      <c r="F330" s="56">
        <v>1039</v>
      </c>
      <c r="G330" s="56">
        <v>5895</v>
      </c>
      <c r="H330" s="56">
        <v>686</v>
      </c>
      <c r="I330" s="56">
        <v>3236</v>
      </c>
      <c r="J330" s="56">
        <v>174</v>
      </c>
      <c r="K330" s="56">
        <v>585</v>
      </c>
      <c r="L330" s="56">
        <v>3710</v>
      </c>
      <c r="M330" s="56">
        <v>19834</v>
      </c>
      <c r="N330" s="56">
        <v>9246</v>
      </c>
      <c r="O330" s="56">
        <v>24441</v>
      </c>
      <c r="P330" s="56">
        <v>3134</v>
      </c>
      <c r="Q330" s="56">
        <v>16973</v>
      </c>
      <c r="R330" s="16">
        <f t="shared" si="21"/>
        <v>16090</v>
      </c>
      <c r="S330" s="167">
        <f t="shared" si="19"/>
        <v>16433.75</v>
      </c>
      <c r="T330" s="168">
        <f t="shared" si="20"/>
        <v>38778</v>
      </c>
    </row>
    <row r="331" spans="1:20" ht="15.6" x14ac:dyDescent="0.3">
      <c r="A331" s="126">
        <f t="shared" ref="A331:A394" si="22">A330+7</f>
        <v>38785</v>
      </c>
      <c r="B331" s="56">
        <v>1324</v>
      </c>
      <c r="C331" s="56">
        <v>8756</v>
      </c>
      <c r="D331" s="56">
        <v>294</v>
      </c>
      <c r="E331" s="56">
        <v>1640</v>
      </c>
      <c r="F331" s="56">
        <v>1042</v>
      </c>
      <c r="G331" s="56">
        <v>6026</v>
      </c>
      <c r="H331" s="56">
        <v>589</v>
      </c>
      <c r="I331" s="56">
        <v>3391</v>
      </c>
      <c r="J331" s="56">
        <v>225</v>
      </c>
      <c r="K331" s="56">
        <v>594</v>
      </c>
      <c r="L331" s="56">
        <v>3474</v>
      </c>
      <c r="M331" s="56">
        <v>20408</v>
      </c>
      <c r="N331" s="56">
        <v>9443</v>
      </c>
      <c r="O331" s="56">
        <v>25213</v>
      </c>
      <c r="P331" s="56">
        <v>2675</v>
      </c>
      <c r="Q331" s="56">
        <v>17813</v>
      </c>
      <c r="R331" s="16">
        <f t="shared" si="21"/>
        <v>15592</v>
      </c>
      <c r="S331" s="167">
        <f t="shared" si="19"/>
        <v>16177.75</v>
      </c>
      <c r="T331" s="168">
        <f t="shared" si="20"/>
        <v>38785</v>
      </c>
    </row>
    <row r="332" spans="1:20" ht="15.6" x14ac:dyDescent="0.3">
      <c r="A332" s="126">
        <f t="shared" si="22"/>
        <v>38792</v>
      </c>
      <c r="B332" s="56">
        <v>1169</v>
      </c>
      <c r="C332" s="56">
        <v>8949</v>
      </c>
      <c r="D332" s="56">
        <v>288</v>
      </c>
      <c r="E332" s="56">
        <v>1677</v>
      </c>
      <c r="F332" s="56">
        <v>1094</v>
      </c>
      <c r="G332" s="56">
        <v>6143</v>
      </c>
      <c r="H332" s="56">
        <v>737</v>
      </c>
      <c r="I332" s="56">
        <v>3425</v>
      </c>
      <c r="J332" s="56">
        <v>224</v>
      </c>
      <c r="K332" s="56">
        <v>607</v>
      </c>
      <c r="L332" s="56">
        <v>3512</v>
      </c>
      <c r="M332" s="56">
        <v>20802</v>
      </c>
      <c r="N332" s="56">
        <v>9141</v>
      </c>
      <c r="O332" s="56">
        <v>26426</v>
      </c>
      <c r="P332" s="56">
        <v>2368</v>
      </c>
      <c r="Q332" s="56">
        <v>18533</v>
      </c>
      <c r="R332" s="16">
        <f t="shared" si="21"/>
        <v>15021</v>
      </c>
      <c r="S332" s="167">
        <f t="shared" ref="S332:S395" si="23">AVERAGE(R329:R332)</f>
        <v>15712</v>
      </c>
      <c r="T332" s="168">
        <f t="shared" ref="T332:T395" si="24">T331+7</f>
        <v>38792</v>
      </c>
    </row>
    <row r="333" spans="1:20" ht="15.6" x14ac:dyDescent="0.3">
      <c r="A333" s="126">
        <f t="shared" si="22"/>
        <v>38799</v>
      </c>
      <c r="B333" s="56">
        <v>1325</v>
      </c>
      <c r="C333" s="56">
        <v>9097</v>
      </c>
      <c r="D333" s="56">
        <v>278</v>
      </c>
      <c r="E333" s="56">
        <v>1711</v>
      </c>
      <c r="F333" s="56">
        <v>1056</v>
      </c>
      <c r="G333" s="56">
        <v>6248</v>
      </c>
      <c r="H333" s="56">
        <v>681</v>
      </c>
      <c r="I333" s="56">
        <v>3571</v>
      </c>
      <c r="J333" s="56">
        <v>231</v>
      </c>
      <c r="K333" s="56">
        <v>624</v>
      </c>
      <c r="L333" s="56">
        <v>3571</v>
      </c>
      <c r="M333" s="56">
        <v>21251</v>
      </c>
      <c r="N333" s="56">
        <v>9285</v>
      </c>
      <c r="O333" s="56">
        <v>27321</v>
      </c>
      <c r="P333" s="56">
        <v>1898</v>
      </c>
      <c r="Q333" s="56">
        <v>19044</v>
      </c>
      <c r="R333" s="16">
        <f t="shared" si="21"/>
        <v>14754</v>
      </c>
      <c r="S333" s="167">
        <f t="shared" si="23"/>
        <v>15364.25</v>
      </c>
      <c r="T333" s="168">
        <f t="shared" si="24"/>
        <v>38799</v>
      </c>
    </row>
    <row r="334" spans="1:20" ht="15.6" x14ac:dyDescent="0.3">
      <c r="A334" s="126">
        <f t="shared" si="22"/>
        <v>38806</v>
      </c>
      <c r="B334" s="6">
        <v>1365</v>
      </c>
      <c r="C334" s="6">
        <v>9229</v>
      </c>
      <c r="D334" s="6">
        <v>285</v>
      </c>
      <c r="E334" s="6">
        <v>1720</v>
      </c>
      <c r="F334" s="6">
        <v>1004</v>
      </c>
      <c r="G334" s="6">
        <v>6351</v>
      </c>
      <c r="H334" s="6">
        <v>641</v>
      </c>
      <c r="I334" s="6">
        <v>3622</v>
      </c>
      <c r="J334" s="6">
        <v>234</v>
      </c>
      <c r="K334" s="6">
        <v>645</v>
      </c>
      <c r="L334" s="6">
        <v>3528</v>
      </c>
      <c r="M334" s="6">
        <v>21566</v>
      </c>
      <c r="N334" s="6">
        <v>8755</v>
      </c>
      <c r="O334" s="6">
        <v>28511</v>
      </c>
      <c r="P334" s="6">
        <v>1786</v>
      </c>
      <c r="Q334" s="6">
        <v>19511</v>
      </c>
      <c r="R334" s="16">
        <f t="shared" si="21"/>
        <v>14069</v>
      </c>
      <c r="S334" s="167">
        <f t="shared" si="23"/>
        <v>14859</v>
      </c>
      <c r="T334" s="168">
        <f t="shared" si="24"/>
        <v>38806</v>
      </c>
    </row>
    <row r="335" spans="1:20" ht="15.6" x14ac:dyDescent="0.3">
      <c r="A335" s="126">
        <f t="shared" si="22"/>
        <v>38813</v>
      </c>
      <c r="B335" s="6">
        <v>1316</v>
      </c>
      <c r="C335" s="6">
        <v>9412</v>
      </c>
      <c r="D335" s="6">
        <v>291</v>
      </c>
      <c r="E335" s="6">
        <v>1749</v>
      </c>
      <c r="F335" s="6">
        <v>979</v>
      </c>
      <c r="G335" s="6">
        <v>6439</v>
      </c>
      <c r="H335" s="6">
        <v>633</v>
      </c>
      <c r="I335" s="6">
        <v>3643</v>
      </c>
      <c r="J335" s="6">
        <v>221</v>
      </c>
      <c r="K335" s="6">
        <v>670</v>
      </c>
      <c r="L335" s="6">
        <v>3438</v>
      </c>
      <c r="M335" s="6">
        <v>21914</v>
      </c>
      <c r="N335" s="6">
        <v>8687</v>
      </c>
      <c r="O335" s="6">
        <v>29393</v>
      </c>
      <c r="P335" s="6">
        <v>1942</v>
      </c>
      <c r="Q335" s="6">
        <v>19698</v>
      </c>
      <c r="R335" s="16">
        <f t="shared" si="21"/>
        <v>14067</v>
      </c>
      <c r="S335" s="167">
        <f t="shared" si="23"/>
        <v>14477.75</v>
      </c>
      <c r="T335" s="168">
        <f t="shared" si="24"/>
        <v>38813</v>
      </c>
    </row>
    <row r="336" spans="1:20" ht="15.6" x14ac:dyDescent="0.3">
      <c r="A336" s="126">
        <f t="shared" si="22"/>
        <v>38820</v>
      </c>
      <c r="B336" s="6">
        <v>1300</v>
      </c>
      <c r="C336" s="6">
        <v>9498</v>
      </c>
      <c r="D336" s="6">
        <v>269</v>
      </c>
      <c r="E336" s="6">
        <v>1789</v>
      </c>
      <c r="F336" s="6">
        <v>1029</v>
      </c>
      <c r="G336" s="6">
        <v>6513</v>
      </c>
      <c r="H336" s="6">
        <v>611</v>
      </c>
      <c r="I336" s="6">
        <v>3673</v>
      </c>
      <c r="J336" s="6">
        <v>220</v>
      </c>
      <c r="K336" s="6">
        <v>670</v>
      </c>
      <c r="L336" s="6">
        <v>3430</v>
      </c>
      <c r="M336" s="6">
        <v>22133</v>
      </c>
      <c r="N336" s="6">
        <v>8888</v>
      </c>
      <c r="O336" s="6">
        <v>30295</v>
      </c>
      <c r="P336" s="6">
        <v>1848</v>
      </c>
      <c r="Q336" s="6">
        <v>19987</v>
      </c>
      <c r="R336" s="16">
        <f t="shared" si="21"/>
        <v>14166</v>
      </c>
      <c r="S336" s="167">
        <f t="shared" si="23"/>
        <v>14264</v>
      </c>
      <c r="T336" s="168">
        <f t="shared" si="24"/>
        <v>38820</v>
      </c>
    </row>
    <row r="337" spans="1:20" ht="15.6" x14ac:dyDescent="0.3">
      <c r="A337" s="126">
        <f t="shared" si="22"/>
        <v>38827</v>
      </c>
      <c r="B337" s="6">
        <v>1177</v>
      </c>
      <c r="C337" s="6">
        <v>9662</v>
      </c>
      <c r="D337" s="6">
        <v>262</v>
      </c>
      <c r="E337" s="6">
        <v>1798</v>
      </c>
      <c r="F337" s="6">
        <v>949</v>
      </c>
      <c r="G337" s="6">
        <v>6637</v>
      </c>
      <c r="H337" s="6">
        <v>537</v>
      </c>
      <c r="I337" s="6">
        <v>3775</v>
      </c>
      <c r="J337" s="6">
        <v>152</v>
      </c>
      <c r="K337" s="6">
        <v>777</v>
      </c>
      <c r="L337" s="6">
        <v>3076</v>
      </c>
      <c r="M337" s="6">
        <v>22649</v>
      </c>
      <c r="N337" s="6">
        <v>8475</v>
      </c>
      <c r="O337" s="6">
        <v>31477</v>
      </c>
      <c r="P337" s="6">
        <v>1687</v>
      </c>
      <c r="Q337" s="6">
        <v>20260</v>
      </c>
      <c r="R337" s="16">
        <f t="shared" si="21"/>
        <v>13238</v>
      </c>
      <c r="S337" s="167">
        <f t="shared" si="23"/>
        <v>13885</v>
      </c>
      <c r="T337" s="168">
        <f t="shared" si="24"/>
        <v>38827</v>
      </c>
    </row>
    <row r="338" spans="1:20" ht="15.6" x14ac:dyDescent="0.3">
      <c r="A338" s="126">
        <f t="shared" si="22"/>
        <v>38834</v>
      </c>
      <c r="B338" s="6">
        <v>1066</v>
      </c>
      <c r="C338" s="6">
        <v>9807</v>
      </c>
      <c r="D338" s="6">
        <v>282</v>
      </c>
      <c r="E338" s="6">
        <v>1841</v>
      </c>
      <c r="F338" s="6">
        <v>912</v>
      </c>
      <c r="G338" s="6">
        <v>6793</v>
      </c>
      <c r="H338" s="6">
        <v>436</v>
      </c>
      <c r="I338" s="6">
        <v>4016</v>
      </c>
      <c r="J338" s="6">
        <v>163</v>
      </c>
      <c r="K338" s="6">
        <v>777</v>
      </c>
      <c r="L338" s="6">
        <v>2859</v>
      </c>
      <c r="M338" s="6">
        <v>23233</v>
      </c>
      <c r="N338" s="6">
        <v>8703</v>
      </c>
      <c r="O338" s="6">
        <v>32532</v>
      </c>
      <c r="P338" s="6">
        <v>1509</v>
      </c>
      <c r="Q338" s="6">
        <v>20620</v>
      </c>
      <c r="R338" s="16">
        <f t="shared" si="21"/>
        <v>13071</v>
      </c>
      <c r="S338" s="167">
        <f t="shared" si="23"/>
        <v>13635.5</v>
      </c>
      <c r="T338" s="168">
        <f t="shared" si="24"/>
        <v>38834</v>
      </c>
    </row>
    <row r="339" spans="1:20" ht="15.6" x14ac:dyDescent="0.3">
      <c r="A339" s="126">
        <f t="shared" si="22"/>
        <v>38841</v>
      </c>
      <c r="B339" s="6">
        <v>882</v>
      </c>
      <c r="C339" s="6">
        <v>9939</v>
      </c>
      <c r="D339" s="6">
        <v>305</v>
      </c>
      <c r="E339" s="6">
        <v>1875</v>
      </c>
      <c r="F339" s="6">
        <v>794</v>
      </c>
      <c r="G339" s="6">
        <v>6870</v>
      </c>
      <c r="H339" s="6">
        <v>477</v>
      </c>
      <c r="I339" s="6">
        <v>4032</v>
      </c>
      <c r="J339" s="6">
        <v>122</v>
      </c>
      <c r="K339" s="6">
        <v>830</v>
      </c>
      <c r="L339" s="6">
        <v>2579</v>
      </c>
      <c r="M339" s="6">
        <v>23547</v>
      </c>
      <c r="N339" s="6">
        <v>8703</v>
      </c>
      <c r="O339" s="6">
        <v>33638</v>
      </c>
      <c r="P339" s="6">
        <v>1634</v>
      </c>
      <c r="Q339" s="6">
        <v>20884</v>
      </c>
      <c r="R339" s="16">
        <f t="shared" si="21"/>
        <v>12916</v>
      </c>
      <c r="S339" s="167">
        <f t="shared" si="23"/>
        <v>13347.75</v>
      </c>
      <c r="T339" s="168">
        <f t="shared" si="24"/>
        <v>38841</v>
      </c>
    </row>
    <row r="340" spans="1:20" ht="15.6" x14ac:dyDescent="0.3">
      <c r="A340" s="126">
        <f t="shared" si="22"/>
        <v>38848</v>
      </c>
      <c r="B340" s="6">
        <v>843</v>
      </c>
      <c r="C340" s="6">
        <v>10072</v>
      </c>
      <c r="D340" s="6">
        <v>283</v>
      </c>
      <c r="E340" s="6">
        <v>1925</v>
      </c>
      <c r="F340" s="6">
        <v>645</v>
      </c>
      <c r="G340" s="6">
        <v>7022</v>
      </c>
      <c r="H340" s="6">
        <v>417</v>
      </c>
      <c r="I340" s="6">
        <v>4073</v>
      </c>
      <c r="J340" s="6">
        <v>86</v>
      </c>
      <c r="K340" s="6">
        <v>859</v>
      </c>
      <c r="L340" s="6">
        <v>2274</v>
      </c>
      <c r="M340" s="6">
        <v>23951</v>
      </c>
      <c r="N340" s="6">
        <v>9157</v>
      </c>
      <c r="O340" s="6">
        <v>34723</v>
      </c>
      <c r="P340" s="6">
        <v>1764</v>
      </c>
      <c r="Q340" s="6">
        <v>21086</v>
      </c>
      <c r="R340" s="16">
        <f t="shared" si="21"/>
        <v>13195</v>
      </c>
      <c r="S340" s="167">
        <f t="shared" si="23"/>
        <v>13105</v>
      </c>
      <c r="T340" s="168">
        <f t="shared" si="24"/>
        <v>38848</v>
      </c>
    </row>
    <row r="341" spans="1:20" ht="15.6" x14ac:dyDescent="0.3">
      <c r="A341" s="126">
        <f t="shared" si="22"/>
        <v>38855</v>
      </c>
      <c r="B341" s="6">
        <v>678</v>
      </c>
      <c r="C341" s="6">
        <v>10253</v>
      </c>
      <c r="D341" s="6">
        <v>244</v>
      </c>
      <c r="E341" s="6">
        <v>1979</v>
      </c>
      <c r="F341" s="6">
        <v>518</v>
      </c>
      <c r="G341" s="6">
        <v>7142</v>
      </c>
      <c r="H341" s="6">
        <v>347</v>
      </c>
      <c r="I341" s="6">
        <v>4122</v>
      </c>
      <c r="J341" s="6">
        <v>35</v>
      </c>
      <c r="K341" s="6">
        <v>912</v>
      </c>
      <c r="L341" s="6">
        <v>1821</v>
      </c>
      <c r="M341" s="6">
        <v>24408</v>
      </c>
      <c r="N341" s="6">
        <v>8816</v>
      </c>
      <c r="O341" s="6">
        <v>36201</v>
      </c>
      <c r="P341" s="6">
        <v>1818</v>
      </c>
      <c r="Q341" s="6">
        <v>21266</v>
      </c>
      <c r="R341" s="16">
        <f t="shared" si="21"/>
        <v>12455</v>
      </c>
      <c r="S341" s="167">
        <f t="shared" si="23"/>
        <v>12909.25</v>
      </c>
      <c r="T341" s="168">
        <f t="shared" si="24"/>
        <v>38855</v>
      </c>
    </row>
    <row r="342" spans="1:20" ht="15.6" x14ac:dyDescent="0.3">
      <c r="A342" s="126">
        <f t="shared" si="22"/>
        <v>38862</v>
      </c>
      <c r="B342" s="6">
        <v>473</v>
      </c>
      <c r="C342" s="78">
        <v>10459</v>
      </c>
      <c r="D342" s="6">
        <v>167</v>
      </c>
      <c r="E342" s="6">
        <v>2037</v>
      </c>
      <c r="F342" s="6">
        <v>380</v>
      </c>
      <c r="G342" s="6">
        <v>7244</v>
      </c>
      <c r="H342" s="6">
        <v>312</v>
      </c>
      <c r="I342" s="6">
        <v>4159</v>
      </c>
      <c r="J342" s="6">
        <v>9</v>
      </c>
      <c r="K342" s="6">
        <v>930</v>
      </c>
      <c r="L342" s="6">
        <v>1341</v>
      </c>
      <c r="M342" s="6">
        <v>24828</v>
      </c>
      <c r="N342" s="6">
        <v>8717</v>
      </c>
      <c r="O342" s="6">
        <v>37455</v>
      </c>
      <c r="P342" s="6">
        <v>1809</v>
      </c>
      <c r="Q342" s="6">
        <v>21622</v>
      </c>
      <c r="R342" s="16">
        <f t="shared" si="21"/>
        <v>11867</v>
      </c>
      <c r="S342" s="167">
        <f t="shared" si="23"/>
        <v>12608.25</v>
      </c>
      <c r="T342" s="168">
        <f t="shared" si="24"/>
        <v>38862</v>
      </c>
    </row>
    <row r="343" spans="1:20" ht="15.6" x14ac:dyDescent="0.3">
      <c r="A343" s="126">
        <f t="shared" si="22"/>
        <v>38869</v>
      </c>
      <c r="B343" s="6">
        <v>969</v>
      </c>
      <c r="C343" s="6">
        <v>31</v>
      </c>
      <c r="D343" s="6">
        <v>504</v>
      </c>
      <c r="E343" s="6">
        <v>0</v>
      </c>
      <c r="F343" s="6">
        <v>1192</v>
      </c>
      <c r="G343" s="6">
        <v>2</v>
      </c>
      <c r="H343" s="6">
        <v>761</v>
      </c>
      <c r="I343" s="6">
        <v>4</v>
      </c>
      <c r="J343" s="6">
        <v>225</v>
      </c>
      <c r="K343" s="6">
        <v>0</v>
      </c>
      <c r="L343" s="6">
        <v>3651</v>
      </c>
      <c r="M343" s="6">
        <v>36</v>
      </c>
      <c r="N343" s="6">
        <v>8420</v>
      </c>
      <c r="O343" s="6">
        <v>38619</v>
      </c>
      <c r="P343" s="6">
        <v>1733</v>
      </c>
      <c r="Q343" s="6">
        <v>21878</v>
      </c>
      <c r="R343" s="16">
        <f t="shared" si="21"/>
        <v>13804</v>
      </c>
      <c r="S343" s="167">
        <f t="shared" si="23"/>
        <v>12830.25</v>
      </c>
      <c r="T343" s="168">
        <f t="shared" si="24"/>
        <v>38869</v>
      </c>
    </row>
    <row r="344" spans="1:20" ht="15.6" x14ac:dyDescent="0.3">
      <c r="A344" s="126">
        <f t="shared" si="22"/>
        <v>38876</v>
      </c>
      <c r="B344" s="6">
        <v>1028</v>
      </c>
      <c r="C344" s="6">
        <v>105</v>
      </c>
      <c r="D344" s="6">
        <v>448</v>
      </c>
      <c r="E344" s="6">
        <v>26</v>
      </c>
      <c r="F344" s="6">
        <v>1217</v>
      </c>
      <c r="G344" s="6">
        <v>166</v>
      </c>
      <c r="H344" s="6">
        <v>727</v>
      </c>
      <c r="I344" s="6">
        <v>123</v>
      </c>
      <c r="J344" s="6">
        <v>305</v>
      </c>
      <c r="K344" s="6">
        <v>4</v>
      </c>
      <c r="L344" s="6">
        <v>3724</v>
      </c>
      <c r="M344" s="6">
        <v>424</v>
      </c>
      <c r="N344" s="6">
        <v>8746</v>
      </c>
      <c r="O344" s="6">
        <v>39758</v>
      </c>
      <c r="P344" s="6">
        <v>1901</v>
      </c>
      <c r="Q344" s="6">
        <v>22094</v>
      </c>
      <c r="R344" s="16">
        <f t="shared" si="21"/>
        <v>14371</v>
      </c>
      <c r="S344" s="167">
        <f t="shared" si="23"/>
        <v>13124.25</v>
      </c>
      <c r="T344" s="168">
        <f t="shared" si="24"/>
        <v>38876</v>
      </c>
    </row>
    <row r="345" spans="1:20" ht="15.6" x14ac:dyDescent="0.3">
      <c r="A345" s="126">
        <f t="shared" si="22"/>
        <v>38883</v>
      </c>
      <c r="B345" s="6">
        <v>1034</v>
      </c>
      <c r="C345" s="6">
        <v>235</v>
      </c>
      <c r="D345" s="6">
        <v>454</v>
      </c>
      <c r="E345" s="6">
        <v>75</v>
      </c>
      <c r="F345" s="6">
        <v>1172</v>
      </c>
      <c r="G345" s="6">
        <v>301</v>
      </c>
      <c r="H345" s="6">
        <v>683</v>
      </c>
      <c r="I345" s="6">
        <v>202</v>
      </c>
      <c r="J345" s="6">
        <v>257</v>
      </c>
      <c r="K345" s="6">
        <v>51</v>
      </c>
      <c r="L345" s="6">
        <v>3600</v>
      </c>
      <c r="M345" s="6">
        <v>864</v>
      </c>
      <c r="N345" s="6">
        <v>9037</v>
      </c>
      <c r="O345" s="6">
        <v>41042</v>
      </c>
      <c r="P345" s="6">
        <v>1893</v>
      </c>
      <c r="Q345" s="6">
        <v>22302</v>
      </c>
      <c r="R345" s="16">
        <f t="shared" si="21"/>
        <v>14530</v>
      </c>
      <c r="S345" s="167">
        <f t="shared" si="23"/>
        <v>13643</v>
      </c>
      <c r="T345" s="168">
        <f t="shared" si="24"/>
        <v>38883</v>
      </c>
    </row>
    <row r="346" spans="1:20" ht="15.6" x14ac:dyDescent="0.3">
      <c r="A346" s="126">
        <f t="shared" si="22"/>
        <v>38890</v>
      </c>
      <c r="B346" s="6">
        <v>1094</v>
      </c>
      <c r="C346" s="6">
        <v>328</v>
      </c>
      <c r="D346" s="6">
        <v>481</v>
      </c>
      <c r="E346" s="6">
        <v>177</v>
      </c>
      <c r="F346" s="6">
        <v>1181</v>
      </c>
      <c r="G346" s="6">
        <v>417</v>
      </c>
      <c r="H346" s="6">
        <v>762</v>
      </c>
      <c r="I346" s="6">
        <v>258</v>
      </c>
      <c r="J346" s="6">
        <v>252</v>
      </c>
      <c r="K346" s="6">
        <v>57</v>
      </c>
      <c r="L346" s="6">
        <v>3770</v>
      </c>
      <c r="M346" s="6">
        <v>1237</v>
      </c>
      <c r="N346" s="6">
        <v>9214</v>
      </c>
      <c r="O346" s="6">
        <v>42220</v>
      </c>
      <c r="P346" s="6">
        <v>1954</v>
      </c>
      <c r="Q346" s="6">
        <v>22618</v>
      </c>
      <c r="R346" s="16">
        <f t="shared" si="21"/>
        <v>14938</v>
      </c>
      <c r="S346" s="167">
        <f t="shared" si="23"/>
        <v>14410.75</v>
      </c>
      <c r="T346" s="168">
        <f t="shared" si="24"/>
        <v>38890</v>
      </c>
    </row>
    <row r="347" spans="1:20" ht="15.6" x14ac:dyDescent="0.3">
      <c r="A347" s="126">
        <f t="shared" si="22"/>
        <v>38897</v>
      </c>
      <c r="B347" s="6">
        <v>1107</v>
      </c>
      <c r="C347" s="6">
        <v>396</v>
      </c>
      <c r="D347" s="6">
        <v>467</v>
      </c>
      <c r="E347" s="6">
        <v>228</v>
      </c>
      <c r="F347" s="6">
        <v>1154</v>
      </c>
      <c r="G347" s="6">
        <v>555</v>
      </c>
      <c r="H347" s="6">
        <v>692</v>
      </c>
      <c r="I347" s="6">
        <v>356</v>
      </c>
      <c r="J347" s="6">
        <v>266</v>
      </c>
      <c r="K347" s="6">
        <v>84</v>
      </c>
      <c r="L347" s="6">
        <v>3686</v>
      </c>
      <c r="M347" s="6">
        <v>1619</v>
      </c>
      <c r="N347" s="6">
        <v>9000</v>
      </c>
      <c r="O347" s="6">
        <v>43249</v>
      </c>
      <c r="P347" s="6">
        <v>1943</v>
      </c>
      <c r="Q347" s="6">
        <v>22835</v>
      </c>
      <c r="R347" s="16">
        <f t="shared" si="21"/>
        <v>14629</v>
      </c>
      <c r="S347" s="167">
        <f t="shared" si="23"/>
        <v>14617</v>
      </c>
      <c r="T347" s="168">
        <f t="shared" si="24"/>
        <v>38897</v>
      </c>
    </row>
    <row r="348" spans="1:20" ht="15.6" x14ac:dyDescent="0.3">
      <c r="A348" s="126">
        <f t="shared" si="22"/>
        <v>38904</v>
      </c>
      <c r="B348" s="6">
        <v>1087</v>
      </c>
      <c r="C348" s="6">
        <v>448</v>
      </c>
      <c r="D348" s="6">
        <v>473</v>
      </c>
      <c r="E348" s="6">
        <v>241</v>
      </c>
      <c r="F348" s="6">
        <v>1045</v>
      </c>
      <c r="G348" s="6">
        <v>713</v>
      </c>
      <c r="H348" s="6">
        <v>705</v>
      </c>
      <c r="I348" s="6">
        <v>423</v>
      </c>
      <c r="J348" s="6">
        <v>284</v>
      </c>
      <c r="K348" s="6">
        <v>90</v>
      </c>
      <c r="L348" s="6">
        <v>3592</v>
      </c>
      <c r="M348" s="6">
        <v>1914</v>
      </c>
      <c r="N348" s="6">
        <v>8656</v>
      </c>
      <c r="O348" s="6">
        <v>44157</v>
      </c>
      <c r="P348" s="6">
        <v>2119</v>
      </c>
      <c r="Q348" s="6">
        <v>22976</v>
      </c>
      <c r="R348" s="16">
        <f t="shared" si="21"/>
        <v>14367</v>
      </c>
      <c r="S348" s="167">
        <f t="shared" si="23"/>
        <v>14616</v>
      </c>
      <c r="T348" s="168">
        <f t="shared" si="24"/>
        <v>38904</v>
      </c>
    </row>
    <row r="349" spans="1:20" ht="15.6" x14ac:dyDescent="0.3">
      <c r="A349" s="126">
        <f t="shared" si="22"/>
        <v>38911</v>
      </c>
      <c r="B349" s="6">
        <v>989</v>
      </c>
      <c r="C349" s="6">
        <v>646</v>
      </c>
      <c r="D349" s="6">
        <v>511</v>
      </c>
      <c r="E349" s="6">
        <v>285</v>
      </c>
      <c r="F349" s="6">
        <v>982</v>
      </c>
      <c r="G349" s="6">
        <v>877</v>
      </c>
      <c r="H349" s="6">
        <v>696</v>
      </c>
      <c r="I349" s="6">
        <v>477</v>
      </c>
      <c r="J349" s="6">
        <v>283</v>
      </c>
      <c r="K349" s="6">
        <v>90</v>
      </c>
      <c r="L349" s="6">
        <v>3461</v>
      </c>
      <c r="M349" s="6">
        <v>2375</v>
      </c>
      <c r="N349" s="6">
        <v>7794</v>
      </c>
      <c r="O349" s="6">
        <v>45358</v>
      </c>
      <c r="P349" s="6">
        <v>2000</v>
      </c>
      <c r="Q349" s="6">
        <v>23330</v>
      </c>
      <c r="R349" s="16">
        <f t="shared" si="21"/>
        <v>13255</v>
      </c>
      <c r="S349" s="167">
        <f t="shared" si="23"/>
        <v>14297.25</v>
      </c>
      <c r="T349" s="168">
        <f t="shared" si="24"/>
        <v>38911</v>
      </c>
    </row>
    <row r="350" spans="1:20" ht="15.6" x14ac:dyDescent="0.3">
      <c r="A350" s="126">
        <f t="shared" si="22"/>
        <v>38918</v>
      </c>
      <c r="B350" s="6">
        <v>952</v>
      </c>
      <c r="C350" s="6">
        <v>730</v>
      </c>
      <c r="D350" s="6">
        <v>481</v>
      </c>
      <c r="E350" s="6">
        <v>412</v>
      </c>
      <c r="F350" s="6">
        <v>1001</v>
      </c>
      <c r="G350" s="6">
        <v>1015</v>
      </c>
      <c r="H350" s="6">
        <v>702</v>
      </c>
      <c r="I350" s="6">
        <v>637</v>
      </c>
      <c r="J350" s="6">
        <v>264</v>
      </c>
      <c r="K350" s="6">
        <v>109</v>
      </c>
      <c r="L350" s="6">
        <v>3399</v>
      </c>
      <c r="M350" s="6">
        <v>2902</v>
      </c>
      <c r="N350" s="6">
        <v>7387</v>
      </c>
      <c r="O350" s="6">
        <v>46741</v>
      </c>
      <c r="P350" s="6">
        <v>1901</v>
      </c>
      <c r="Q350" s="6">
        <v>23628</v>
      </c>
      <c r="R350" s="16">
        <f t="shared" si="21"/>
        <v>12687</v>
      </c>
      <c r="S350" s="167">
        <f t="shared" si="23"/>
        <v>13734.5</v>
      </c>
      <c r="T350" s="168">
        <f t="shared" si="24"/>
        <v>38918</v>
      </c>
    </row>
    <row r="351" spans="1:20" ht="15.6" x14ac:dyDescent="0.3">
      <c r="A351" s="126">
        <f t="shared" si="22"/>
        <v>38925</v>
      </c>
      <c r="B351" s="6">
        <v>965</v>
      </c>
      <c r="C351" s="6">
        <v>895</v>
      </c>
      <c r="D351" s="6">
        <v>511</v>
      </c>
      <c r="E351" s="6">
        <v>467</v>
      </c>
      <c r="F351" s="6">
        <v>1086</v>
      </c>
      <c r="G351" s="6">
        <v>1095</v>
      </c>
      <c r="H351" s="6">
        <v>763</v>
      </c>
      <c r="I351" s="6">
        <v>701</v>
      </c>
      <c r="J351" s="6">
        <v>287</v>
      </c>
      <c r="K351" s="6">
        <v>115</v>
      </c>
      <c r="L351" s="6">
        <v>3612</v>
      </c>
      <c r="M351" s="6">
        <v>3272</v>
      </c>
      <c r="N351" s="6">
        <v>7114</v>
      </c>
      <c r="O351" s="6">
        <v>47915</v>
      </c>
      <c r="P351" s="6">
        <v>1842</v>
      </c>
      <c r="Q351" s="6">
        <v>23856</v>
      </c>
      <c r="R351" s="16">
        <f t="shared" si="21"/>
        <v>12568</v>
      </c>
      <c r="S351" s="167">
        <f t="shared" si="23"/>
        <v>13219.25</v>
      </c>
      <c r="T351" s="168">
        <f t="shared" si="24"/>
        <v>38925</v>
      </c>
    </row>
    <row r="352" spans="1:20" ht="15.6" x14ac:dyDescent="0.3">
      <c r="A352" s="126">
        <f t="shared" si="22"/>
        <v>38932</v>
      </c>
      <c r="B352" s="6">
        <v>902</v>
      </c>
      <c r="C352" s="6">
        <v>1054</v>
      </c>
      <c r="D352" s="6">
        <v>437</v>
      </c>
      <c r="E352" s="6">
        <v>592</v>
      </c>
      <c r="F352" s="6">
        <v>1097</v>
      </c>
      <c r="G352" s="6">
        <v>1256</v>
      </c>
      <c r="H352" s="6">
        <v>723</v>
      </c>
      <c r="I352" s="6">
        <v>787</v>
      </c>
      <c r="J352" s="6">
        <v>293</v>
      </c>
      <c r="K352" s="6">
        <v>140</v>
      </c>
      <c r="L352" s="6">
        <v>3451</v>
      </c>
      <c r="M352" s="6">
        <v>3829</v>
      </c>
      <c r="N352" s="6">
        <v>6961</v>
      </c>
      <c r="O352" s="6">
        <v>49226</v>
      </c>
      <c r="P352" s="6">
        <v>1662</v>
      </c>
      <c r="Q352" s="6">
        <v>24310</v>
      </c>
      <c r="R352" s="16">
        <f t="shared" si="21"/>
        <v>12074</v>
      </c>
      <c r="S352" s="167">
        <f t="shared" si="23"/>
        <v>12646</v>
      </c>
      <c r="T352" s="168">
        <f t="shared" si="24"/>
        <v>38932</v>
      </c>
    </row>
    <row r="353" spans="1:20" ht="15.6" x14ac:dyDescent="0.3">
      <c r="A353" s="126">
        <f t="shared" si="22"/>
        <v>38939</v>
      </c>
      <c r="B353" s="6">
        <v>887</v>
      </c>
      <c r="C353" s="6">
        <v>1160</v>
      </c>
      <c r="D353" s="6">
        <v>405</v>
      </c>
      <c r="E353" s="6">
        <v>674</v>
      </c>
      <c r="F353" s="6">
        <v>1135</v>
      </c>
      <c r="G353" s="6">
        <v>1344</v>
      </c>
      <c r="H353" s="6">
        <v>756</v>
      </c>
      <c r="I353" s="6">
        <v>874</v>
      </c>
      <c r="J353" s="6">
        <v>268</v>
      </c>
      <c r="K353" s="6">
        <v>165</v>
      </c>
      <c r="L353" s="6">
        <v>3451</v>
      </c>
      <c r="M353" s="6">
        <v>4216</v>
      </c>
      <c r="N353" s="6">
        <v>6306</v>
      </c>
      <c r="O353" s="6">
        <v>50457</v>
      </c>
      <c r="P353" s="6">
        <v>1733</v>
      </c>
      <c r="Q353" s="6">
        <v>24497</v>
      </c>
      <c r="R353" s="16">
        <f t="shared" si="21"/>
        <v>11490</v>
      </c>
      <c r="S353" s="167">
        <f t="shared" si="23"/>
        <v>12204.75</v>
      </c>
      <c r="T353" s="168">
        <f t="shared" si="24"/>
        <v>38939</v>
      </c>
    </row>
    <row r="354" spans="1:20" ht="15.6" x14ac:dyDescent="0.3">
      <c r="A354" s="126">
        <f t="shared" si="22"/>
        <v>38946</v>
      </c>
      <c r="B354" s="6">
        <v>764</v>
      </c>
      <c r="C354" s="6">
        <v>1283</v>
      </c>
      <c r="D354" s="6">
        <v>484</v>
      </c>
      <c r="E354" s="6">
        <v>741</v>
      </c>
      <c r="F354" s="6">
        <v>1159</v>
      </c>
      <c r="G354" s="6">
        <v>1452</v>
      </c>
      <c r="H354" s="6">
        <v>783</v>
      </c>
      <c r="I354" s="6">
        <v>958</v>
      </c>
      <c r="J354" s="6">
        <v>263</v>
      </c>
      <c r="K354" s="6">
        <v>173</v>
      </c>
      <c r="L354" s="6">
        <v>3454</v>
      </c>
      <c r="M354" s="6">
        <v>4607</v>
      </c>
      <c r="N354" s="6">
        <v>5305</v>
      </c>
      <c r="O354" s="6">
        <v>51632</v>
      </c>
      <c r="P354" s="6">
        <v>1451</v>
      </c>
      <c r="Q354" s="6">
        <v>24826</v>
      </c>
      <c r="R354" s="16">
        <f t="shared" si="21"/>
        <v>10210</v>
      </c>
      <c r="S354" s="167">
        <f t="shared" si="23"/>
        <v>11585.5</v>
      </c>
      <c r="T354" s="168">
        <f t="shared" si="24"/>
        <v>38946</v>
      </c>
    </row>
    <row r="355" spans="1:20" ht="15.6" x14ac:dyDescent="0.3">
      <c r="A355" s="126">
        <f t="shared" si="22"/>
        <v>38953</v>
      </c>
      <c r="B355" s="6">
        <v>816</v>
      </c>
      <c r="C355" s="6">
        <v>1350</v>
      </c>
      <c r="D355" s="6">
        <v>598</v>
      </c>
      <c r="E355" s="6">
        <v>815</v>
      </c>
      <c r="F355" s="6">
        <v>1155</v>
      </c>
      <c r="G355" s="6">
        <v>1535</v>
      </c>
      <c r="H355" s="6">
        <v>661</v>
      </c>
      <c r="I355" s="6">
        <v>1138</v>
      </c>
      <c r="J355" s="6">
        <v>252</v>
      </c>
      <c r="K355" s="6">
        <v>194</v>
      </c>
      <c r="L355" s="6">
        <v>3464</v>
      </c>
      <c r="M355" s="6">
        <v>5033</v>
      </c>
      <c r="N355" s="6">
        <v>3470</v>
      </c>
      <c r="O355" s="6">
        <v>53120</v>
      </c>
      <c r="P355" s="6">
        <v>1103</v>
      </c>
      <c r="Q355" s="6">
        <v>25203</v>
      </c>
      <c r="R355" s="16">
        <f t="shared" si="21"/>
        <v>8037</v>
      </c>
      <c r="S355" s="167">
        <f t="shared" si="23"/>
        <v>10452.75</v>
      </c>
      <c r="T355" s="168">
        <f t="shared" si="24"/>
        <v>38953</v>
      </c>
    </row>
    <row r="356" spans="1:20" ht="15.6" x14ac:dyDescent="0.3">
      <c r="A356" s="126">
        <f t="shared" si="22"/>
        <v>38960</v>
      </c>
      <c r="B356" s="6">
        <v>764</v>
      </c>
      <c r="C356" s="6">
        <v>1530</v>
      </c>
      <c r="D356" s="6">
        <v>489</v>
      </c>
      <c r="E356" s="6">
        <v>976</v>
      </c>
      <c r="F356" s="6">
        <v>1011</v>
      </c>
      <c r="G356" s="6">
        <v>1729</v>
      </c>
      <c r="H356" s="6">
        <v>773</v>
      </c>
      <c r="I356" s="6">
        <v>1180</v>
      </c>
      <c r="J356" s="6">
        <v>187</v>
      </c>
      <c r="K356" s="6">
        <v>243</v>
      </c>
      <c r="L356" s="6">
        <v>3222</v>
      </c>
      <c r="M356" s="6">
        <v>5658</v>
      </c>
      <c r="N356" s="6">
        <v>2454</v>
      </c>
      <c r="O356" s="6">
        <v>54354</v>
      </c>
      <c r="P356" s="6">
        <v>814</v>
      </c>
      <c r="Q356" s="6">
        <v>25510</v>
      </c>
      <c r="R356" s="16">
        <f t="shared" si="21"/>
        <v>6490</v>
      </c>
      <c r="S356" s="167">
        <f t="shared" si="23"/>
        <v>9056.75</v>
      </c>
      <c r="T356" s="168">
        <f t="shared" si="24"/>
        <v>38960</v>
      </c>
    </row>
    <row r="357" spans="1:20" ht="15.6" x14ac:dyDescent="0.3">
      <c r="A357" s="126">
        <f t="shared" si="22"/>
        <v>38967</v>
      </c>
      <c r="B357" s="6">
        <v>793</v>
      </c>
      <c r="C357" s="6">
        <v>1569</v>
      </c>
      <c r="D357" s="6">
        <v>554</v>
      </c>
      <c r="E357" s="6">
        <v>989</v>
      </c>
      <c r="F357" s="6">
        <v>991</v>
      </c>
      <c r="G357" s="6">
        <v>1823</v>
      </c>
      <c r="H357" s="6">
        <v>815</v>
      </c>
      <c r="I357" s="6">
        <v>1250</v>
      </c>
      <c r="J357" s="6">
        <v>189</v>
      </c>
      <c r="K357" s="6">
        <v>243</v>
      </c>
      <c r="L357" s="6">
        <v>3343</v>
      </c>
      <c r="M357" s="6">
        <v>5874</v>
      </c>
      <c r="N357" s="6">
        <v>11501</v>
      </c>
      <c r="O357" s="6">
        <v>1103</v>
      </c>
      <c r="P357" s="6">
        <v>7004</v>
      </c>
      <c r="Q357" s="6">
        <v>212</v>
      </c>
      <c r="R357" s="16">
        <f t="shared" si="21"/>
        <v>21848</v>
      </c>
      <c r="S357" s="167">
        <f t="shared" si="23"/>
        <v>11646.25</v>
      </c>
      <c r="T357" s="168">
        <f t="shared" si="24"/>
        <v>38967</v>
      </c>
    </row>
    <row r="358" spans="1:20" ht="15.6" x14ac:dyDescent="0.3">
      <c r="A358" s="126">
        <f t="shared" si="22"/>
        <v>38974</v>
      </c>
      <c r="B358" s="6">
        <v>698</v>
      </c>
      <c r="C358" s="6">
        <v>1743</v>
      </c>
      <c r="D358" s="6">
        <v>648</v>
      </c>
      <c r="E358" s="6">
        <v>1062</v>
      </c>
      <c r="F358" s="6">
        <v>980</v>
      </c>
      <c r="G358" s="6">
        <v>1952</v>
      </c>
      <c r="H358" s="6">
        <v>851</v>
      </c>
      <c r="I358" s="6">
        <v>1370</v>
      </c>
      <c r="J358" s="6">
        <v>157</v>
      </c>
      <c r="K358" s="6">
        <v>276</v>
      </c>
      <c r="L358" s="6">
        <v>3334</v>
      </c>
      <c r="M358" s="6">
        <v>6403</v>
      </c>
      <c r="N358" s="6">
        <v>11138</v>
      </c>
      <c r="O358" s="6">
        <v>2496</v>
      </c>
      <c r="P358" s="6">
        <v>7409</v>
      </c>
      <c r="Q358" s="6">
        <v>569</v>
      </c>
      <c r="R358" s="16">
        <f t="shared" si="21"/>
        <v>21881</v>
      </c>
      <c r="S358" s="167">
        <f t="shared" si="23"/>
        <v>14564</v>
      </c>
      <c r="T358" s="168">
        <f t="shared" si="24"/>
        <v>38974</v>
      </c>
    </row>
    <row r="359" spans="1:20" ht="15.6" x14ac:dyDescent="0.3">
      <c r="A359" s="126">
        <f t="shared" si="22"/>
        <v>38981</v>
      </c>
      <c r="B359" s="6">
        <v>711</v>
      </c>
      <c r="C359" s="6">
        <v>1809</v>
      </c>
      <c r="D359" s="6">
        <v>601</v>
      </c>
      <c r="E359" s="6">
        <v>1183</v>
      </c>
      <c r="F359" s="6">
        <v>1065</v>
      </c>
      <c r="G359" s="6">
        <v>2051</v>
      </c>
      <c r="H359" s="6">
        <v>897</v>
      </c>
      <c r="I359" s="6">
        <v>1389</v>
      </c>
      <c r="J359" s="6">
        <v>150</v>
      </c>
      <c r="K359" s="6">
        <v>289</v>
      </c>
      <c r="L359" s="6">
        <v>3424</v>
      </c>
      <c r="M359" s="6">
        <v>6721</v>
      </c>
      <c r="N359" s="6">
        <v>10732</v>
      </c>
      <c r="O359" s="6">
        <v>3715</v>
      </c>
      <c r="P359" s="6">
        <v>7971</v>
      </c>
      <c r="Q359" s="6">
        <v>864</v>
      </c>
      <c r="R359" s="16">
        <f t="shared" si="21"/>
        <v>22127</v>
      </c>
      <c r="S359" s="167">
        <f t="shared" si="23"/>
        <v>18086.5</v>
      </c>
      <c r="T359" s="168">
        <f t="shared" si="24"/>
        <v>38981</v>
      </c>
    </row>
    <row r="360" spans="1:20" ht="15.6" x14ac:dyDescent="0.3">
      <c r="A360" s="126">
        <f t="shared" si="22"/>
        <v>38988</v>
      </c>
      <c r="B360" s="6">
        <v>670</v>
      </c>
      <c r="C360" s="6">
        <v>1915</v>
      </c>
      <c r="D360" s="6">
        <v>610</v>
      </c>
      <c r="E360" s="6">
        <v>1245</v>
      </c>
      <c r="F360" s="6">
        <v>1041</v>
      </c>
      <c r="G360" s="6">
        <v>2213</v>
      </c>
      <c r="H360" s="6">
        <v>873</v>
      </c>
      <c r="I360" s="6">
        <v>1514</v>
      </c>
      <c r="J360" s="6">
        <v>110</v>
      </c>
      <c r="K360" s="6">
        <v>332</v>
      </c>
      <c r="L360" s="6">
        <v>3304</v>
      </c>
      <c r="M360" s="6">
        <v>7219</v>
      </c>
      <c r="N360" s="6">
        <v>10707</v>
      </c>
      <c r="O360" s="6">
        <v>4898</v>
      </c>
      <c r="P360" s="6">
        <v>8592</v>
      </c>
      <c r="Q360" s="6">
        <v>1437</v>
      </c>
      <c r="R360" s="16">
        <f t="shared" si="21"/>
        <v>22603</v>
      </c>
      <c r="S360" s="167">
        <f t="shared" si="23"/>
        <v>22114.75</v>
      </c>
      <c r="T360" s="168">
        <f t="shared" si="24"/>
        <v>38988</v>
      </c>
    </row>
    <row r="361" spans="1:20" ht="15.6" x14ac:dyDescent="0.3">
      <c r="A361" s="126">
        <f t="shared" si="22"/>
        <v>38995</v>
      </c>
      <c r="B361" s="6">
        <v>920</v>
      </c>
      <c r="C361" s="6">
        <v>2034</v>
      </c>
      <c r="D361" s="6">
        <v>657</v>
      </c>
      <c r="E361" s="6">
        <v>1267</v>
      </c>
      <c r="F361" s="6">
        <v>1018</v>
      </c>
      <c r="G361" s="6">
        <v>2377</v>
      </c>
      <c r="H361" s="6">
        <v>840</v>
      </c>
      <c r="I361" s="6">
        <v>1651</v>
      </c>
      <c r="J361" s="6">
        <v>110</v>
      </c>
      <c r="K361" s="6">
        <v>341</v>
      </c>
      <c r="L361" s="6">
        <v>3545</v>
      </c>
      <c r="M361" s="6">
        <v>7671</v>
      </c>
      <c r="N361" s="6">
        <v>10893</v>
      </c>
      <c r="O361" s="6">
        <v>5998</v>
      </c>
      <c r="P361" s="6">
        <v>8954</v>
      </c>
      <c r="Q361" s="6">
        <v>2161</v>
      </c>
      <c r="R361" s="16">
        <f t="shared" si="21"/>
        <v>23392</v>
      </c>
      <c r="S361" s="167">
        <f t="shared" si="23"/>
        <v>22500.75</v>
      </c>
      <c r="T361" s="168">
        <f t="shared" si="24"/>
        <v>38995</v>
      </c>
    </row>
    <row r="362" spans="1:20" ht="15.6" x14ac:dyDescent="0.3">
      <c r="A362" s="126">
        <f t="shared" si="22"/>
        <v>39002</v>
      </c>
      <c r="B362" s="6">
        <v>953</v>
      </c>
      <c r="C362" s="6">
        <v>2119</v>
      </c>
      <c r="D362" s="6">
        <v>554</v>
      </c>
      <c r="E362" s="6">
        <v>1419</v>
      </c>
      <c r="F362" s="6">
        <v>914</v>
      </c>
      <c r="G362" s="6">
        <v>2575</v>
      </c>
      <c r="H362" s="6">
        <v>905</v>
      </c>
      <c r="I362" s="6">
        <v>1766</v>
      </c>
      <c r="J362" s="6">
        <v>80</v>
      </c>
      <c r="K362" s="6">
        <v>375</v>
      </c>
      <c r="L362" s="6">
        <v>3405</v>
      </c>
      <c r="M362" s="6">
        <v>8255</v>
      </c>
      <c r="N362" s="6">
        <v>10626</v>
      </c>
      <c r="O362" s="6">
        <v>7086</v>
      </c>
      <c r="P362" s="6">
        <v>8996</v>
      </c>
      <c r="Q362" s="6">
        <v>2988</v>
      </c>
      <c r="R362" s="16">
        <f t="shared" si="21"/>
        <v>23027</v>
      </c>
      <c r="S362" s="167">
        <f t="shared" si="23"/>
        <v>22787.25</v>
      </c>
      <c r="T362" s="168">
        <f t="shared" si="24"/>
        <v>39002</v>
      </c>
    </row>
    <row r="363" spans="1:20" ht="15.6" x14ac:dyDescent="0.3">
      <c r="A363" s="126">
        <f t="shared" si="22"/>
        <v>39009</v>
      </c>
      <c r="B363" s="6">
        <v>1086</v>
      </c>
      <c r="C363" s="6">
        <v>2141</v>
      </c>
      <c r="D363" s="6">
        <v>418</v>
      </c>
      <c r="E363" s="6">
        <v>1561</v>
      </c>
      <c r="F363" s="6">
        <v>980</v>
      </c>
      <c r="G363" s="6">
        <v>2660</v>
      </c>
      <c r="H363" s="6">
        <v>864</v>
      </c>
      <c r="I363" s="6">
        <v>1921</v>
      </c>
      <c r="J363" s="6">
        <v>90</v>
      </c>
      <c r="K363" s="6">
        <v>392</v>
      </c>
      <c r="L363" s="6">
        <v>3438</v>
      </c>
      <c r="M363" s="6">
        <v>8675</v>
      </c>
      <c r="N363" s="6">
        <v>10872</v>
      </c>
      <c r="O363" s="6">
        <v>7886</v>
      </c>
      <c r="P363" s="6">
        <v>8439</v>
      </c>
      <c r="Q363" s="6">
        <v>4172</v>
      </c>
      <c r="R363" s="16">
        <f t="shared" si="21"/>
        <v>22749</v>
      </c>
      <c r="S363" s="167">
        <f t="shared" si="23"/>
        <v>22942.75</v>
      </c>
      <c r="T363" s="168">
        <f t="shared" si="24"/>
        <v>39009</v>
      </c>
    </row>
    <row r="364" spans="1:20" ht="15.6" x14ac:dyDescent="0.3">
      <c r="A364" s="126">
        <f t="shared" si="22"/>
        <v>39016</v>
      </c>
      <c r="B364" s="6">
        <v>1463</v>
      </c>
      <c r="C364" s="6">
        <v>2276</v>
      </c>
      <c r="D364" s="6">
        <v>436</v>
      </c>
      <c r="E364" s="6">
        <v>1605</v>
      </c>
      <c r="F364" s="6">
        <v>1068</v>
      </c>
      <c r="G364" s="6">
        <v>2766</v>
      </c>
      <c r="H364" s="6">
        <v>972</v>
      </c>
      <c r="I364" s="6">
        <v>1985</v>
      </c>
      <c r="J364" s="6">
        <v>90</v>
      </c>
      <c r="K364" s="6">
        <v>392</v>
      </c>
      <c r="L364" s="6">
        <v>4028</v>
      </c>
      <c r="M364" s="6">
        <v>9024</v>
      </c>
      <c r="N364" s="6">
        <v>10797</v>
      </c>
      <c r="O364" s="6">
        <v>8988</v>
      </c>
      <c r="P364" s="6">
        <v>7853</v>
      </c>
      <c r="Q364" s="6">
        <v>5395</v>
      </c>
      <c r="R364" s="16">
        <f t="shared" si="21"/>
        <v>22678</v>
      </c>
      <c r="S364" s="167">
        <f t="shared" si="23"/>
        <v>22961.5</v>
      </c>
      <c r="T364" s="168">
        <f t="shared" si="24"/>
        <v>39016</v>
      </c>
    </row>
    <row r="365" spans="1:20" ht="15.6" x14ac:dyDescent="0.3">
      <c r="A365" s="126">
        <f t="shared" si="22"/>
        <v>39023</v>
      </c>
      <c r="B365" s="6">
        <v>1543</v>
      </c>
      <c r="C365" s="6">
        <v>2348</v>
      </c>
      <c r="D365" s="6">
        <v>456</v>
      </c>
      <c r="E365" s="6">
        <v>1636</v>
      </c>
      <c r="F365" s="6">
        <v>1168</v>
      </c>
      <c r="G365" s="6">
        <v>2832</v>
      </c>
      <c r="H365" s="6">
        <v>1089</v>
      </c>
      <c r="I365" s="6">
        <v>2048</v>
      </c>
      <c r="J365" s="6">
        <v>89</v>
      </c>
      <c r="K365" s="6">
        <v>417</v>
      </c>
      <c r="L365" s="6">
        <v>4344</v>
      </c>
      <c r="M365" s="6">
        <v>9281</v>
      </c>
      <c r="N365" s="6">
        <v>11552</v>
      </c>
      <c r="O365" s="6">
        <v>10162</v>
      </c>
      <c r="P365" s="6">
        <v>7497</v>
      </c>
      <c r="Q365" s="6">
        <v>6519</v>
      </c>
      <c r="R365" s="16">
        <f t="shared" si="21"/>
        <v>23393</v>
      </c>
      <c r="S365" s="167">
        <f t="shared" si="23"/>
        <v>22961.75</v>
      </c>
      <c r="T365" s="168">
        <f t="shared" si="24"/>
        <v>39023</v>
      </c>
    </row>
    <row r="366" spans="1:20" ht="15.6" x14ac:dyDescent="0.3">
      <c r="A366" s="126">
        <f t="shared" si="22"/>
        <v>39030</v>
      </c>
      <c r="B366" s="6">
        <v>1593</v>
      </c>
      <c r="C366" s="6">
        <v>2473</v>
      </c>
      <c r="D366" s="6">
        <v>466</v>
      </c>
      <c r="E366" s="6">
        <v>1665</v>
      </c>
      <c r="F366" s="6">
        <v>1078</v>
      </c>
      <c r="G366" s="6">
        <v>2966</v>
      </c>
      <c r="H366" s="6">
        <v>1083</v>
      </c>
      <c r="I366" s="6">
        <v>2099</v>
      </c>
      <c r="J366" s="6">
        <v>107</v>
      </c>
      <c r="K366" s="6">
        <v>417</v>
      </c>
      <c r="L366" s="6">
        <v>4327</v>
      </c>
      <c r="M366" s="6">
        <v>9621</v>
      </c>
      <c r="N366" s="6">
        <v>11944</v>
      </c>
      <c r="O366" s="6">
        <v>11166</v>
      </c>
      <c r="P366" s="6">
        <v>7080</v>
      </c>
      <c r="Q366" s="6">
        <v>7632</v>
      </c>
      <c r="R366" s="16">
        <f t="shared" si="21"/>
        <v>23351</v>
      </c>
      <c r="S366" s="167">
        <f t="shared" si="23"/>
        <v>23042.75</v>
      </c>
      <c r="T366" s="168">
        <f t="shared" si="24"/>
        <v>39030</v>
      </c>
    </row>
    <row r="367" spans="1:20" ht="15.6" x14ac:dyDescent="0.3">
      <c r="A367" s="126">
        <f t="shared" si="22"/>
        <v>39037</v>
      </c>
      <c r="B367" s="6">
        <v>1615</v>
      </c>
      <c r="C367" s="6">
        <v>2527</v>
      </c>
      <c r="D367" s="6">
        <v>415</v>
      </c>
      <c r="E367" s="6">
        <v>1794</v>
      </c>
      <c r="F367" s="6">
        <v>1135</v>
      </c>
      <c r="G367" s="6">
        <v>3016</v>
      </c>
      <c r="H367" s="6">
        <v>1094</v>
      </c>
      <c r="I367" s="6">
        <v>2178</v>
      </c>
      <c r="J367" s="6">
        <v>113</v>
      </c>
      <c r="K367" s="6">
        <v>421</v>
      </c>
      <c r="L367" s="6">
        <v>4373</v>
      </c>
      <c r="M367" s="6">
        <v>9936</v>
      </c>
      <c r="N367" s="6">
        <v>11765</v>
      </c>
      <c r="O367" s="6">
        <v>12387</v>
      </c>
      <c r="P367" s="6">
        <v>7273</v>
      </c>
      <c r="Q367" s="6">
        <v>8242</v>
      </c>
      <c r="R367" s="16">
        <f t="shared" si="21"/>
        <v>23411</v>
      </c>
      <c r="S367" s="167">
        <f t="shared" si="23"/>
        <v>23208.25</v>
      </c>
      <c r="T367" s="168">
        <f t="shared" si="24"/>
        <v>39037</v>
      </c>
    </row>
    <row r="368" spans="1:20" ht="15.6" x14ac:dyDescent="0.3">
      <c r="A368" s="126">
        <f t="shared" si="22"/>
        <v>39044</v>
      </c>
      <c r="B368" s="6">
        <v>1602</v>
      </c>
      <c r="C368" s="6">
        <v>2615</v>
      </c>
      <c r="D368" s="6">
        <v>451</v>
      </c>
      <c r="E368" s="6">
        <v>1849</v>
      </c>
      <c r="F368" s="6">
        <v>1252</v>
      </c>
      <c r="G368" s="6">
        <v>3171</v>
      </c>
      <c r="H368" s="6">
        <v>1047</v>
      </c>
      <c r="I368" s="6">
        <v>2264</v>
      </c>
      <c r="J368" s="6">
        <v>161</v>
      </c>
      <c r="K368" s="6">
        <v>447</v>
      </c>
      <c r="L368" s="6">
        <v>4512</v>
      </c>
      <c r="M368" s="6">
        <v>10345</v>
      </c>
      <c r="N368" s="6">
        <v>11889</v>
      </c>
      <c r="O368" s="6">
        <v>13284</v>
      </c>
      <c r="P368" s="6">
        <v>7331</v>
      </c>
      <c r="Q368" s="6">
        <v>8912</v>
      </c>
      <c r="R368" s="16">
        <f t="shared" si="21"/>
        <v>23732</v>
      </c>
      <c r="S368" s="167">
        <f t="shared" si="23"/>
        <v>23471.75</v>
      </c>
      <c r="T368" s="168">
        <f t="shared" si="24"/>
        <v>39044</v>
      </c>
    </row>
    <row r="369" spans="1:20" ht="15.6" x14ac:dyDescent="0.3">
      <c r="A369" s="126">
        <f t="shared" si="22"/>
        <v>39051</v>
      </c>
      <c r="B369" s="6">
        <v>1565</v>
      </c>
      <c r="C369" s="6">
        <v>2710</v>
      </c>
      <c r="D369" s="6">
        <v>531</v>
      </c>
      <c r="E369" s="6">
        <v>1868</v>
      </c>
      <c r="F369" s="6">
        <v>1164</v>
      </c>
      <c r="G369" s="6">
        <v>3388</v>
      </c>
      <c r="H369" s="6">
        <v>1019</v>
      </c>
      <c r="I369" s="6">
        <v>2400</v>
      </c>
      <c r="J369" s="6">
        <v>139</v>
      </c>
      <c r="K369" s="6">
        <v>477</v>
      </c>
      <c r="L369" s="6">
        <v>4417</v>
      </c>
      <c r="M369" s="6">
        <v>10843</v>
      </c>
      <c r="N369" s="6">
        <v>11329</v>
      </c>
      <c r="O369" s="6">
        <v>14656</v>
      </c>
      <c r="P369" s="6">
        <v>7068</v>
      </c>
      <c r="Q369" s="6">
        <v>9843</v>
      </c>
      <c r="R369" s="16">
        <f t="shared" si="21"/>
        <v>22814</v>
      </c>
      <c r="S369" s="167">
        <f t="shared" si="23"/>
        <v>23327</v>
      </c>
      <c r="T369" s="168">
        <f t="shared" si="24"/>
        <v>39051</v>
      </c>
    </row>
    <row r="370" spans="1:20" ht="15.6" x14ac:dyDescent="0.3">
      <c r="A370" s="126">
        <f t="shared" si="22"/>
        <v>39058</v>
      </c>
      <c r="B370" s="6">
        <v>1697</v>
      </c>
      <c r="C370" s="6">
        <v>2815</v>
      </c>
      <c r="D370" s="6">
        <v>489</v>
      </c>
      <c r="E370" s="6">
        <v>1940</v>
      </c>
      <c r="F370" s="6">
        <v>1173</v>
      </c>
      <c r="G370" s="6">
        <v>3501</v>
      </c>
      <c r="H370" s="6">
        <v>977</v>
      </c>
      <c r="I370" s="6">
        <v>2523</v>
      </c>
      <c r="J370" s="6">
        <v>139</v>
      </c>
      <c r="K370" s="6">
        <v>477</v>
      </c>
      <c r="L370" s="6">
        <v>4475</v>
      </c>
      <c r="M370" s="6">
        <v>11256</v>
      </c>
      <c r="N370" s="6">
        <v>11493</v>
      </c>
      <c r="O370" s="6">
        <v>15893</v>
      </c>
      <c r="P370" s="6">
        <v>6898</v>
      </c>
      <c r="Q370" s="6">
        <v>10916</v>
      </c>
      <c r="R370" s="16">
        <f t="shared" si="21"/>
        <v>22866</v>
      </c>
      <c r="S370" s="167">
        <f t="shared" si="23"/>
        <v>23205.75</v>
      </c>
      <c r="T370" s="168">
        <f t="shared" si="24"/>
        <v>39058</v>
      </c>
    </row>
    <row r="371" spans="1:20" ht="15.6" x14ac:dyDescent="0.3">
      <c r="A371" s="126">
        <f t="shared" si="22"/>
        <v>39065</v>
      </c>
      <c r="B371" s="6">
        <v>1673</v>
      </c>
      <c r="C371" s="6">
        <v>2991</v>
      </c>
      <c r="D371" s="6">
        <v>532</v>
      </c>
      <c r="E371" s="6">
        <v>1976</v>
      </c>
      <c r="F371" s="6">
        <v>1234</v>
      </c>
      <c r="G371" s="6">
        <v>3548</v>
      </c>
      <c r="H371" s="6">
        <v>1026</v>
      </c>
      <c r="I371" s="6">
        <v>2590</v>
      </c>
      <c r="J371" s="6">
        <v>103</v>
      </c>
      <c r="K371" s="6">
        <v>514</v>
      </c>
      <c r="L371" s="6">
        <v>4568</v>
      </c>
      <c r="M371" s="6">
        <v>11619</v>
      </c>
      <c r="N371" s="6">
        <v>11855</v>
      </c>
      <c r="O371" s="6">
        <v>16796</v>
      </c>
      <c r="P371" s="6">
        <v>7011</v>
      </c>
      <c r="Q371" s="6">
        <v>11545</v>
      </c>
      <c r="R371" s="16">
        <f t="shared" si="21"/>
        <v>23434</v>
      </c>
      <c r="S371" s="167">
        <f t="shared" si="23"/>
        <v>23211.5</v>
      </c>
      <c r="T371" s="168">
        <f t="shared" si="24"/>
        <v>39065</v>
      </c>
    </row>
    <row r="372" spans="1:20" ht="15.6" x14ac:dyDescent="0.3">
      <c r="A372" s="126">
        <f t="shared" si="22"/>
        <v>39072</v>
      </c>
      <c r="B372" s="6">
        <v>1681</v>
      </c>
      <c r="C372" s="6">
        <v>3152</v>
      </c>
      <c r="D372" s="6">
        <v>553</v>
      </c>
      <c r="E372" s="6">
        <v>1987</v>
      </c>
      <c r="F372" s="6">
        <v>1280</v>
      </c>
      <c r="G372" s="6">
        <v>3622</v>
      </c>
      <c r="H372" s="6">
        <v>1033</v>
      </c>
      <c r="I372" s="6">
        <v>2616</v>
      </c>
      <c r="J372" s="6">
        <v>83</v>
      </c>
      <c r="K372" s="6">
        <v>534</v>
      </c>
      <c r="L372" s="6">
        <v>4630</v>
      </c>
      <c r="M372" s="6">
        <v>11911</v>
      </c>
      <c r="N372" s="6">
        <v>11890</v>
      </c>
      <c r="O372" s="6">
        <v>17911</v>
      </c>
      <c r="P372" s="6">
        <v>7376</v>
      </c>
      <c r="Q372" s="6">
        <v>12218</v>
      </c>
      <c r="R372" s="16">
        <f t="shared" ref="R372:R435" si="25">L372+N372+P372</f>
        <v>23896</v>
      </c>
      <c r="S372" s="167">
        <f t="shared" si="23"/>
        <v>23252.5</v>
      </c>
      <c r="T372" s="168">
        <f t="shared" si="24"/>
        <v>39072</v>
      </c>
    </row>
    <row r="373" spans="1:20" ht="15.6" x14ac:dyDescent="0.3">
      <c r="A373" s="136">
        <f t="shared" si="22"/>
        <v>39079</v>
      </c>
      <c r="B373" s="6">
        <v>1460</v>
      </c>
      <c r="C373" s="6">
        <v>3389</v>
      </c>
      <c r="D373" s="6">
        <v>550</v>
      </c>
      <c r="E373" s="6">
        <v>2008</v>
      </c>
      <c r="F373" s="6">
        <v>1301</v>
      </c>
      <c r="G373" s="6">
        <v>3683</v>
      </c>
      <c r="H373" s="6">
        <v>880</v>
      </c>
      <c r="I373" s="6">
        <v>2786</v>
      </c>
      <c r="J373" s="6">
        <v>86</v>
      </c>
      <c r="K373" s="6">
        <v>554</v>
      </c>
      <c r="L373" s="6">
        <v>4277</v>
      </c>
      <c r="M373" s="6">
        <v>12399</v>
      </c>
      <c r="N373" s="6">
        <v>11503</v>
      </c>
      <c r="O373" s="6">
        <v>18872</v>
      </c>
      <c r="P373" s="6">
        <v>6886</v>
      </c>
      <c r="Q373" s="6">
        <v>13046</v>
      </c>
      <c r="R373" s="16">
        <f t="shared" si="25"/>
        <v>22666</v>
      </c>
      <c r="S373" s="167">
        <f t="shared" si="23"/>
        <v>23215.5</v>
      </c>
      <c r="T373" s="168">
        <f t="shared" si="24"/>
        <v>39079</v>
      </c>
    </row>
    <row r="374" spans="1:20" ht="15.6" x14ac:dyDescent="0.3">
      <c r="A374" s="127">
        <f t="shared" si="22"/>
        <v>39086</v>
      </c>
      <c r="B374" s="6">
        <v>1334</v>
      </c>
      <c r="C374" s="6">
        <v>3544</v>
      </c>
      <c r="D374" s="6">
        <v>512</v>
      </c>
      <c r="E374" s="6">
        <v>2071</v>
      </c>
      <c r="F374" s="6">
        <v>1132</v>
      </c>
      <c r="G374" s="6">
        <v>3869</v>
      </c>
      <c r="H374" s="6">
        <v>963</v>
      </c>
      <c r="I374" s="6">
        <v>2875</v>
      </c>
      <c r="J374" s="6">
        <v>86</v>
      </c>
      <c r="K374" s="6">
        <v>534</v>
      </c>
      <c r="L374" s="6">
        <v>4028</v>
      </c>
      <c r="M374" s="6">
        <v>12893</v>
      </c>
      <c r="N374" s="6">
        <v>11827</v>
      </c>
      <c r="O374" s="6">
        <v>19724</v>
      </c>
      <c r="P374" s="6">
        <v>6918</v>
      </c>
      <c r="Q374" s="6">
        <v>13591</v>
      </c>
      <c r="R374" s="16">
        <f t="shared" si="25"/>
        <v>22773</v>
      </c>
      <c r="S374" s="167">
        <f t="shared" si="23"/>
        <v>23192.25</v>
      </c>
      <c r="T374" s="168">
        <f t="shared" si="24"/>
        <v>39086</v>
      </c>
    </row>
    <row r="375" spans="1:20" ht="15.6" x14ac:dyDescent="0.3">
      <c r="A375" s="127">
        <f t="shared" si="22"/>
        <v>39093</v>
      </c>
      <c r="B375" s="6">
        <v>1545</v>
      </c>
      <c r="C375" s="6">
        <v>3661</v>
      </c>
      <c r="D375" s="6">
        <v>570</v>
      </c>
      <c r="E375" s="6">
        <v>2104</v>
      </c>
      <c r="F375" s="6">
        <v>1191</v>
      </c>
      <c r="G375" s="6">
        <v>3998</v>
      </c>
      <c r="H375" s="6">
        <v>1088</v>
      </c>
      <c r="I375" s="6">
        <v>2973</v>
      </c>
      <c r="J375" s="6">
        <v>74</v>
      </c>
      <c r="K375" s="6">
        <v>540</v>
      </c>
      <c r="L375" s="6">
        <v>4468</v>
      </c>
      <c r="M375" s="6">
        <v>13277</v>
      </c>
      <c r="N375" s="6">
        <v>12246</v>
      </c>
      <c r="O375" s="6">
        <v>20731</v>
      </c>
      <c r="P375" s="6">
        <v>7139</v>
      </c>
      <c r="Q375" s="6">
        <v>14466</v>
      </c>
      <c r="R375" s="16">
        <f t="shared" si="25"/>
        <v>23853</v>
      </c>
      <c r="S375" s="167">
        <f t="shared" si="23"/>
        <v>23297</v>
      </c>
      <c r="T375" s="168">
        <f t="shared" si="24"/>
        <v>39093</v>
      </c>
    </row>
    <row r="376" spans="1:20" ht="15.6" x14ac:dyDescent="0.3">
      <c r="A376" s="127">
        <f t="shared" si="22"/>
        <v>39100</v>
      </c>
      <c r="B376" s="6">
        <v>1456</v>
      </c>
      <c r="C376" s="6">
        <v>3856</v>
      </c>
      <c r="D376" s="6">
        <v>496</v>
      </c>
      <c r="E376" s="6">
        <v>2202</v>
      </c>
      <c r="F376" s="6">
        <v>1126</v>
      </c>
      <c r="G376" s="6">
        <v>4120</v>
      </c>
      <c r="H376" s="6">
        <v>1031</v>
      </c>
      <c r="I376" s="6">
        <v>3085</v>
      </c>
      <c r="J376" s="6">
        <v>74</v>
      </c>
      <c r="K376" s="6">
        <v>544</v>
      </c>
      <c r="L376" s="6">
        <v>4184</v>
      </c>
      <c r="M376" s="6">
        <v>13807</v>
      </c>
      <c r="N376" s="6">
        <v>12204</v>
      </c>
      <c r="O376" s="6">
        <v>21764</v>
      </c>
      <c r="P376" s="6">
        <v>7124</v>
      </c>
      <c r="Q376" s="6">
        <v>15096</v>
      </c>
      <c r="R376" s="16">
        <f t="shared" si="25"/>
        <v>23512</v>
      </c>
      <c r="S376" s="167">
        <f t="shared" si="23"/>
        <v>23201</v>
      </c>
      <c r="T376" s="168">
        <f t="shared" si="24"/>
        <v>39100</v>
      </c>
    </row>
    <row r="377" spans="1:20" ht="15.6" x14ac:dyDescent="0.3">
      <c r="A377" s="127">
        <f t="shared" si="22"/>
        <v>39107</v>
      </c>
      <c r="B377" s="6">
        <v>1528</v>
      </c>
      <c r="C377" s="6">
        <v>4044</v>
      </c>
      <c r="D377" s="6">
        <v>590</v>
      </c>
      <c r="E377" s="6">
        <v>2241</v>
      </c>
      <c r="F377" s="6">
        <v>1074</v>
      </c>
      <c r="G377" s="6">
        <v>4230</v>
      </c>
      <c r="H377" s="6">
        <v>884</v>
      </c>
      <c r="I377" s="6">
        <v>3289</v>
      </c>
      <c r="J377" s="6">
        <v>94</v>
      </c>
      <c r="K377" s="6">
        <v>579</v>
      </c>
      <c r="L377" s="6">
        <v>4170</v>
      </c>
      <c r="M377" s="6">
        <v>14382</v>
      </c>
      <c r="N377" s="6">
        <v>11800</v>
      </c>
      <c r="O377" s="6">
        <v>22957</v>
      </c>
      <c r="P377" s="6">
        <v>6778</v>
      </c>
      <c r="Q377" s="6">
        <v>16120</v>
      </c>
      <c r="R377" s="16">
        <f t="shared" si="25"/>
        <v>22748</v>
      </c>
      <c r="S377" s="167">
        <f t="shared" si="23"/>
        <v>23221.5</v>
      </c>
      <c r="T377" s="168">
        <f t="shared" si="24"/>
        <v>39107</v>
      </c>
    </row>
    <row r="378" spans="1:20" ht="15.6" x14ac:dyDescent="0.3">
      <c r="A378" s="127">
        <f t="shared" si="22"/>
        <v>39114</v>
      </c>
      <c r="B378" s="6">
        <v>1526</v>
      </c>
      <c r="C378" s="6">
        <v>4293</v>
      </c>
      <c r="D378" s="6">
        <v>656</v>
      </c>
      <c r="E378" s="6">
        <v>2332</v>
      </c>
      <c r="F378" s="6">
        <v>1013</v>
      </c>
      <c r="G378" s="6">
        <v>4384</v>
      </c>
      <c r="H378" s="6">
        <v>1004</v>
      </c>
      <c r="I378" s="6">
        <v>3377</v>
      </c>
      <c r="J378" s="6">
        <v>114</v>
      </c>
      <c r="K378" s="6">
        <v>587</v>
      </c>
      <c r="L378" s="6">
        <v>4313</v>
      </c>
      <c r="M378" s="6">
        <v>14971</v>
      </c>
      <c r="N378" s="6">
        <v>11687</v>
      </c>
      <c r="O378" s="6">
        <v>23987</v>
      </c>
      <c r="P378" s="6">
        <v>6686</v>
      </c>
      <c r="Q378" s="6">
        <v>17016</v>
      </c>
      <c r="R378" s="16">
        <f t="shared" si="25"/>
        <v>22686</v>
      </c>
      <c r="S378" s="167">
        <f t="shared" si="23"/>
        <v>23199.75</v>
      </c>
      <c r="T378" s="168">
        <f t="shared" si="24"/>
        <v>39114</v>
      </c>
    </row>
    <row r="379" spans="1:20" ht="15.6" x14ac:dyDescent="0.3">
      <c r="A379" s="127">
        <f t="shared" si="22"/>
        <v>39121</v>
      </c>
      <c r="B379" s="6">
        <v>1452</v>
      </c>
      <c r="C379" s="6">
        <v>4441</v>
      </c>
      <c r="D379" s="6">
        <v>715</v>
      </c>
      <c r="E379" s="6">
        <v>2388</v>
      </c>
      <c r="F379" s="6">
        <v>1035</v>
      </c>
      <c r="G379" s="6">
        <v>4482</v>
      </c>
      <c r="H379" s="6">
        <v>948</v>
      </c>
      <c r="I379" s="6">
        <v>3483</v>
      </c>
      <c r="J379" s="6">
        <v>116</v>
      </c>
      <c r="K379" s="6">
        <v>587</v>
      </c>
      <c r="L379" s="6">
        <v>4265</v>
      </c>
      <c r="M379" s="6">
        <v>15380</v>
      </c>
      <c r="N379" s="6">
        <v>12077</v>
      </c>
      <c r="O379" s="6">
        <v>24984</v>
      </c>
      <c r="P379" s="6">
        <v>5863</v>
      </c>
      <c r="Q379" s="6">
        <v>18220</v>
      </c>
      <c r="R379" s="16">
        <f t="shared" si="25"/>
        <v>22205</v>
      </c>
      <c r="S379" s="167">
        <f t="shared" si="23"/>
        <v>22787.75</v>
      </c>
      <c r="T379" s="168">
        <f t="shared" si="24"/>
        <v>39121</v>
      </c>
    </row>
    <row r="380" spans="1:20" ht="15.6" x14ac:dyDescent="0.3">
      <c r="A380" s="127">
        <f t="shared" si="22"/>
        <v>39128</v>
      </c>
      <c r="B380" s="6">
        <v>1403</v>
      </c>
      <c r="C380" s="6">
        <v>4575</v>
      </c>
      <c r="D380" s="6">
        <v>729</v>
      </c>
      <c r="E380" s="6">
        <v>2481</v>
      </c>
      <c r="F380" s="6">
        <v>1126</v>
      </c>
      <c r="G380" s="6">
        <v>4569</v>
      </c>
      <c r="H380" s="6">
        <v>914</v>
      </c>
      <c r="I380" s="6">
        <v>3589</v>
      </c>
      <c r="J380" s="6">
        <v>116</v>
      </c>
      <c r="K380" s="6">
        <v>596</v>
      </c>
      <c r="L380" s="6">
        <v>4287</v>
      </c>
      <c r="M380" s="6">
        <v>15809</v>
      </c>
      <c r="N380" s="6">
        <v>11657</v>
      </c>
      <c r="O380" s="6">
        <v>26233</v>
      </c>
      <c r="P380" s="6">
        <v>5736</v>
      </c>
      <c r="Q380" s="6">
        <v>18959</v>
      </c>
      <c r="R380" s="16">
        <f t="shared" si="25"/>
        <v>21680</v>
      </c>
      <c r="S380" s="167">
        <f t="shared" si="23"/>
        <v>22329.75</v>
      </c>
      <c r="T380" s="168">
        <f t="shared" si="24"/>
        <v>39128</v>
      </c>
    </row>
    <row r="381" spans="1:20" ht="15.6" x14ac:dyDescent="0.3">
      <c r="A381" s="127">
        <f t="shared" si="22"/>
        <v>39135</v>
      </c>
      <c r="B381" s="6">
        <v>1315</v>
      </c>
      <c r="C381" s="6">
        <v>4783</v>
      </c>
      <c r="D381" s="6">
        <v>653</v>
      </c>
      <c r="E381" s="6">
        <v>2569</v>
      </c>
      <c r="F381" s="6">
        <v>1065</v>
      </c>
      <c r="G381" s="6">
        <v>4689</v>
      </c>
      <c r="H381" s="6">
        <v>861</v>
      </c>
      <c r="I381" s="6">
        <v>3767</v>
      </c>
      <c r="J381" s="6">
        <v>103</v>
      </c>
      <c r="K381" s="6">
        <v>614</v>
      </c>
      <c r="L381" s="6">
        <v>3997</v>
      </c>
      <c r="M381" s="6">
        <v>16421</v>
      </c>
      <c r="N381" s="6">
        <v>11084</v>
      </c>
      <c r="O381" s="6">
        <v>27106</v>
      </c>
      <c r="P381" s="6">
        <v>5217</v>
      </c>
      <c r="Q381" s="6">
        <v>19886</v>
      </c>
      <c r="R381" s="16">
        <f t="shared" si="25"/>
        <v>20298</v>
      </c>
      <c r="S381" s="167">
        <f t="shared" si="23"/>
        <v>21717.25</v>
      </c>
      <c r="T381" s="168">
        <f t="shared" si="24"/>
        <v>39135</v>
      </c>
    </row>
    <row r="382" spans="1:20" ht="15.6" x14ac:dyDescent="0.3">
      <c r="A382" s="127">
        <f t="shared" si="22"/>
        <v>39142</v>
      </c>
      <c r="B382" s="6">
        <v>1324</v>
      </c>
      <c r="C382" s="6">
        <v>4927</v>
      </c>
      <c r="D382" s="6">
        <v>733</v>
      </c>
      <c r="E382" s="6">
        <v>2607</v>
      </c>
      <c r="F382" s="6">
        <v>984</v>
      </c>
      <c r="G382" s="6">
        <v>4847</v>
      </c>
      <c r="H382" s="6">
        <v>826</v>
      </c>
      <c r="I382" s="6">
        <v>3871</v>
      </c>
      <c r="J382" s="6">
        <v>98</v>
      </c>
      <c r="K382" s="6">
        <v>616</v>
      </c>
      <c r="L382" s="6">
        <v>3965</v>
      </c>
      <c r="M382" s="6">
        <v>16875</v>
      </c>
      <c r="N382" s="6">
        <v>10731</v>
      </c>
      <c r="O382" s="6">
        <v>28647</v>
      </c>
      <c r="P382" s="6">
        <v>4920</v>
      </c>
      <c r="Q382" s="6">
        <v>20749</v>
      </c>
      <c r="R382" s="16">
        <f t="shared" si="25"/>
        <v>19616</v>
      </c>
      <c r="S382" s="167">
        <f t="shared" si="23"/>
        <v>20949.75</v>
      </c>
      <c r="T382" s="168">
        <f t="shared" si="24"/>
        <v>39142</v>
      </c>
    </row>
    <row r="383" spans="1:20" ht="15.6" x14ac:dyDescent="0.3">
      <c r="A383" s="127">
        <f t="shared" si="22"/>
        <v>39149</v>
      </c>
      <c r="B383" s="6">
        <v>1275</v>
      </c>
      <c r="C383" s="6">
        <v>5062</v>
      </c>
      <c r="D383" s="6">
        <v>642</v>
      </c>
      <c r="E383" s="6">
        <v>2803</v>
      </c>
      <c r="F383" s="6">
        <v>990</v>
      </c>
      <c r="G383" s="6">
        <v>4979</v>
      </c>
      <c r="H383" s="6">
        <v>895</v>
      </c>
      <c r="I383" s="6">
        <v>3908</v>
      </c>
      <c r="J383" s="6">
        <v>65</v>
      </c>
      <c r="K383" s="6">
        <v>665</v>
      </c>
      <c r="L383" s="6">
        <v>3865</v>
      </c>
      <c r="M383" s="6">
        <v>17418</v>
      </c>
      <c r="N383" s="6">
        <v>10330</v>
      </c>
      <c r="O383" s="6">
        <v>29682</v>
      </c>
      <c r="P383" s="6">
        <v>4587</v>
      </c>
      <c r="Q383" s="6">
        <v>21533</v>
      </c>
      <c r="R383" s="16">
        <f t="shared" si="25"/>
        <v>18782</v>
      </c>
      <c r="S383" s="167">
        <f t="shared" si="23"/>
        <v>20094</v>
      </c>
      <c r="T383" s="168">
        <f t="shared" si="24"/>
        <v>39149</v>
      </c>
    </row>
    <row r="384" spans="1:20" ht="15.6" x14ac:dyDescent="0.3">
      <c r="A384" s="127">
        <f t="shared" si="22"/>
        <v>39156</v>
      </c>
      <c r="B384" s="6">
        <v>1268</v>
      </c>
      <c r="C384" s="6">
        <v>5189</v>
      </c>
      <c r="D384" s="6">
        <v>595</v>
      </c>
      <c r="E384" s="6">
        <v>2907</v>
      </c>
      <c r="F384" s="6">
        <v>1044</v>
      </c>
      <c r="G384" s="6">
        <v>5060</v>
      </c>
      <c r="H384" s="6">
        <v>932</v>
      </c>
      <c r="I384" s="6">
        <v>4024</v>
      </c>
      <c r="J384" s="6">
        <v>74</v>
      </c>
      <c r="K384" s="6">
        <v>665</v>
      </c>
      <c r="L384" s="6">
        <v>3913</v>
      </c>
      <c r="M384" s="6">
        <v>17845</v>
      </c>
      <c r="N384" s="6">
        <v>10066</v>
      </c>
      <c r="O384" s="6">
        <v>30587</v>
      </c>
      <c r="P384" s="6">
        <v>4602</v>
      </c>
      <c r="Q384" s="6">
        <v>22033</v>
      </c>
      <c r="R384" s="16">
        <f t="shared" si="25"/>
        <v>18581</v>
      </c>
      <c r="S384" s="167">
        <f t="shared" si="23"/>
        <v>19319.25</v>
      </c>
      <c r="T384" s="168">
        <f t="shared" si="24"/>
        <v>39156</v>
      </c>
    </row>
    <row r="385" spans="1:20" ht="15.6" x14ac:dyDescent="0.3">
      <c r="A385" s="127">
        <f t="shared" si="22"/>
        <v>39163</v>
      </c>
      <c r="B385" s="6">
        <v>1237</v>
      </c>
      <c r="C385" s="6">
        <v>5349</v>
      </c>
      <c r="D385" s="6">
        <v>784</v>
      </c>
      <c r="E385" s="6">
        <v>2956</v>
      </c>
      <c r="F385" s="6">
        <v>1025</v>
      </c>
      <c r="G385" s="6">
        <v>5185</v>
      </c>
      <c r="H385" s="6">
        <v>931</v>
      </c>
      <c r="I385" s="6">
        <v>4064</v>
      </c>
      <c r="J385" s="6">
        <v>87</v>
      </c>
      <c r="K385" s="6">
        <v>669</v>
      </c>
      <c r="L385" s="6">
        <v>4064</v>
      </c>
      <c r="M385" s="6">
        <v>18223</v>
      </c>
      <c r="N385" s="6">
        <v>10043</v>
      </c>
      <c r="O385" s="6">
        <v>31734</v>
      </c>
      <c r="P385" s="6">
        <v>4316</v>
      </c>
      <c r="Q385" s="6">
        <v>22590</v>
      </c>
      <c r="R385" s="16">
        <f t="shared" si="25"/>
        <v>18423</v>
      </c>
      <c r="S385" s="167">
        <f t="shared" si="23"/>
        <v>18850.5</v>
      </c>
      <c r="T385" s="168">
        <f t="shared" si="24"/>
        <v>39163</v>
      </c>
    </row>
    <row r="386" spans="1:20" ht="15.6" x14ac:dyDescent="0.3">
      <c r="A386" s="127">
        <f t="shared" si="22"/>
        <v>39170</v>
      </c>
      <c r="B386" s="6">
        <v>1192</v>
      </c>
      <c r="C386" s="6">
        <v>5442</v>
      </c>
      <c r="D386" s="6">
        <v>729</v>
      </c>
      <c r="E386" s="6">
        <v>3080</v>
      </c>
      <c r="F386" s="6">
        <v>1003</v>
      </c>
      <c r="G386" s="6">
        <v>5291</v>
      </c>
      <c r="H386" s="6">
        <v>879</v>
      </c>
      <c r="I386" s="6">
        <v>4134</v>
      </c>
      <c r="J386" s="6">
        <v>81</v>
      </c>
      <c r="K386" s="6">
        <v>669</v>
      </c>
      <c r="L386" s="6">
        <v>3884</v>
      </c>
      <c r="M386" s="6">
        <v>18617</v>
      </c>
      <c r="N386" s="6">
        <v>9656</v>
      </c>
      <c r="O386" s="6">
        <v>32670</v>
      </c>
      <c r="P386" s="6">
        <v>3789</v>
      </c>
      <c r="Q386" s="6">
        <v>23375</v>
      </c>
      <c r="R386" s="16">
        <f t="shared" si="25"/>
        <v>17329</v>
      </c>
      <c r="S386" s="167">
        <f t="shared" si="23"/>
        <v>18278.75</v>
      </c>
      <c r="T386" s="168">
        <f t="shared" si="24"/>
        <v>39170</v>
      </c>
    </row>
    <row r="387" spans="1:20" ht="15.6" x14ac:dyDescent="0.3">
      <c r="A387" s="127">
        <f t="shared" si="22"/>
        <v>39177</v>
      </c>
      <c r="B387" s="6">
        <v>1277</v>
      </c>
      <c r="C387" s="6">
        <v>5567</v>
      </c>
      <c r="D387" s="6">
        <v>830</v>
      </c>
      <c r="E387" s="6">
        <v>3126</v>
      </c>
      <c r="F387" s="6">
        <v>1139</v>
      </c>
      <c r="G387" s="6">
        <v>5411</v>
      </c>
      <c r="H387" s="6">
        <v>832</v>
      </c>
      <c r="I387" s="6">
        <v>4228</v>
      </c>
      <c r="J387" s="6">
        <v>114</v>
      </c>
      <c r="K387" s="6">
        <v>669</v>
      </c>
      <c r="L387" s="6">
        <v>4193</v>
      </c>
      <c r="M387" s="6">
        <v>19001</v>
      </c>
      <c r="N387" s="6">
        <v>10247</v>
      </c>
      <c r="O387" s="6">
        <v>33405</v>
      </c>
      <c r="P387" s="6">
        <v>3394</v>
      </c>
      <c r="Q387" s="6">
        <v>23908</v>
      </c>
      <c r="R387" s="16">
        <f t="shared" si="25"/>
        <v>17834</v>
      </c>
      <c r="S387" s="167">
        <f t="shared" si="23"/>
        <v>18041.75</v>
      </c>
      <c r="T387" s="168">
        <f t="shared" si="24"/>
        <v>39177</v>
      </c>
    </row>
    <row r="388" spans="1:20" ht="15.6" x14ac:dyDescent="0.3">
      <c r="A388" s="127">
        <f t="shared" si="22"/>
        <v>39184</v>
      </c>
      <c r="B388" s="6">
        <v>1169</v>
      </c>
      <c r="C388" s="6">
        <v>5761</v>
      </c>
      <c r="D388" s="6">
        <v>740</v>
      </c>
      <c r="E388" s="6">
        <v>3271</v>
      </c>
      <c r="F388" s="6">
        <v>1084</v>
      </c>
      <c r="G388" s="6">
        <v>5572</v>
      </c>
      <c r="H388" s="6">
        <v>722</v>
      </c>
      <c r="I388" s="6">
        <v>4413</v>
      </c>
      <c r="J388" s="6">
        <v>128</v>
      </c>
      <c r="K388" s="6">
        <v>678</v>
      </c>
      <c r="L388" s="6">
        <v>3842</v>
      </c>
      <c r="M388" s="6">
        <v>19695</v>
      </c>
      <c r="N388" s="6">
        <v>10152</v>
      </c>
      <c r="O388" s="6">
        <v>34302</v>
      </c>
      <c r="P388" s="6">
        <v>3201</v>
      </c>
      <c r="Q388" s="6">
        <v>24385</v>
      </c>
      <c r="R388" s="16">
        <f t="shared" si="25"/>
        <v>17195</v>
      </c>
      <c r="S388" s="167">
        <f t="shared" si="23"/>
        <v>17695.25</v>
      </c>
      <c r="T388" s="168">
        <f t="shared" si="24"/>
        <v>39184</v>
      </c>
    </row>
    <row r="389" spans="1:20" ht="15.6" x14ac:dyDescent="0.3">
      <c r="A389" s="127">
        <f t="shared" si="22"/>
        <v>39191</v>
      </c>
      <c r="B389" s="6">
        <v>1196</v>
      </c>
      <c r="C389" s="6">
        <v>5887</v>
      </c>
      <c r="D389" s="6">
        <v>716</v>
      </c>
      <c r="E389" s="6">
        <v>3325</v>
      </c>
      <c r="F389" s="6">
        <v>1051</v>
      </c>
      <c r="G389" s="6">
        <v>5653</v>
      </c>
      <c r="H389" s="6">
        <v>685</v>
      </c>
      <c r="I389" s="6">
        <v>4501</v>
      </c>
      <c r="J389" s="6">
        <v>123</v>
      </c>
      <c r="K389" s="6">
        <v>678</v>
      </c>
      <c r="L389" s="6">
        <v>3771</v>
      </c>
      <c r="M389" s="6">
        <v>20044</v>
      </c>
      <c r="N389" s="6">
        <v>10350</v>
      </c>
      <c r="O389" s="6">
        <v>35210</v>
      </c>
      <c r="P389" s="6">
        <v>3169</v>
      </c>
      <c r="Q389" s="6">
        <v>24839</v>
      </c>
      <c r="R389" s="16">
        <f t="shared" si="25"/>
        <v>17290</v>
      </c>
      <c r="S389" s="167">
        <f t="shared" si="23"/>
        <v>17412</v>
      </c>
      <c r="T389" s="168">
        <f t="shared" si="24"/>
        <v>39191</v>
      </c>
    </row>
    <row r="390" spans="1:20" ht="15.6" x14ac:dyDescent="0.3">
      <c r="A390" s="127">
        <f t="shared" si="22"/>
        <v>39198</v>
      </c>
      <c r="B390" s="6">
        <v>1141</v>
      </c>
      <c r="C390" s="6">
        <v>6050</v>
      </c>
      <c r="D390" s="6">
        <v>651</v>
      </c>
      <c r="E390" s="6">
        <v>3402</v>
      </c>
      <c r="F390" s="6">
        <v>946</v>
      </c>
      <c r="G390" s="6">
        <v>5768</v>
      </c>
      <c r="H390" s="6">
        <v>617</v>
      </c>
      <c r="I390" s="6">
        <v>4590</v>
      </c>
      <c r="J390" s="6">
        <v>123</v>
      </c>
      <c r="K390" s="6">
        <v>681</v>
      </c>
      <c r="L390" s="6">
        <v>3478</v>
      </c>
      <c r="M390" s="6">
        <v>20490</v>
      </c>
      <c r="N390" s="6">
        <v>9880</v>
      </c>
      <c r="O390" s="6">
        <v>36296</v>
      </c>
      <c r="P390" s="6">
        <v>2667</v>
      </c>
      <c r="Q390" s="6">
        <v>25270</v>
      </c>
      <c r="R390" s="16">
        <f t="shared" si="25"/>
        <v>16025</v>
      </c>
      <c r="S390" s="167">
        <f t="shared" si="23"/>
        <v>17086</v>
      </c>
      <c r="T390" s="168">
        <f t="shared" si="24"/>
        <v>39198</v>
      </c>
    </row>
    <row r="391" spans="1:20" ht="15.6" x14ac:dyDescent="0.3">
      <c r="A391" s="127">
        <f t="shared" si="22"/>
        <v>39205</v>
      </c>
      <c r="B391" s="6">
        <v>1036</v>
      </c>
      <c r="C391" s="6">
        <v>6215</v>
      </c>
      <c r="D391" s="6">
        <v>526</v>
      </c>
      <c r="E391" s="6">
        <v>3527</v>
      </c>
      <c r="F391" s="6">
        <v>950</v>
      </c>
      <c r="G391" s="6">
        <v>5839</v>
      </c>
      <c r="H391" s="6">
        <v>609</v>
      </c>
      <c r="I391" s="6">
        <v>4615</v>
      </c>
      <c r="J391" s="6">
        <v>105</v>
      </c>
      <c r="K391" s="6">
        <v>731</v>
      </c>
      <c r="L391" s="6">
        <v>3226</v>
      </c>
      <c r="M391" s="6">
        <v>20927</v>
      </c>
      <c r="N391" s="6">
        <v>9468</v>
      </c>
      <c r="O391" s="6">
        <v>37232</v>
      </c>
      <c r="P391" s="6">
        <v>2475</v>
      </c>
      <c r="Q391" s="6">
        <v>25666</v>
      </c>
      <c r="R391" s="16">
        <f t="shared" si="25"/>
        <v>15169</v>
      </c>
      <c r="S391" s="167">
        <f t="shared" si="23"/>
        <v>16419.75</v>
      </c>
      <c r="T391" s="168">
        <f t="shared" si="24"/>
        <v>39205</v>
      </c>
    </row>
    <row r="392" spans="1:20" ht="15.6" x14ac:dyDescent="0.3">
      <c r="A392" s="127">
        <f t="shared" si="22"/>
        <v>39212</v>
      </c>
      <c r="B392" s="6">
        <v>971</v>
      </c>
      <c r="C392" s="6">
        <v>6320</v>
      </c>
      <c r="D392" s="6">
        <v>426</v>
      </c>
      <c r="E392" s="6">
        <v>3661</v>
      </c>
      <c r="F392" s="6">
        <v>789</v>
      </c>
      <c r="G392" s="6">
        <v>5995</v>
      </c>
      <c r="H392" s="6">
        <v>432</v>
      </c>
      <c r="I392" s="6">
        <v>4782</v>
      </c>
      <c r="J392" s="6">
        <v>99</v>
      </c>
      <c r="K392" s="6">
        <v>737</v>
      </c>
      <c r="L392" s="6">
        <v>2716</v>
      </c>
      <c r="M392" s="6">
        <v>21494</v>
      </c>
      <c r="N392" s="6">
        <v>9835</v>
      </c>
      <c r="O392" s="6">
        <v>38309</v>
      </c>
      <c r="P392" s="6">
        <v>2454</v>
      </c>
      <c r="Q392" s="6">
        <v>25910</v>
      </c>
      <c r="R392" s="16">
        <f t="shared" si="25"/>
        <v>15005</v>
      </c>
      <c r="S392" s="167">
        <f t="shared" si="23"/>
        <v>15872.25</v>
      </c>
      <c r="T392" s="168">
        <f t="shared" si="24"/>
        <v>39212</v>
      </c>
    </row>
    <row r="393" spans="1:20" ht="15.6" x14ac:dyDescent="0.3">
      <c r="A393" s="127">
        <f t="shared" si="22"/>
        <v>39219</v>
      </c>
      <c r="B393" s="6">
        <v>820</v>
      </c>
      <c r="C393" s="6">
        <v>6540</v>
      </c>
      <c r="D393" s="6">
        <v>336</v>
      </c>
      <c r="E393" s="6">
        <v>3733</v>
      </c>
      <c r="F393" s="6">
        <v>577</v>
      </c>
      <c r="G393" s="6">
        <v>6125</v>
      </c>
      <c r="H393" s="6">
        <v>287</v>
      </c>
      <c r="I393" s="6">
        <v>4889</v>
      </c>
      <c r="J393" s="6">
        <v>28</v>
      </c>
      <c r="K393" s="6">
        <v>739</v>
      </c>
      <c r="L393" s="6">
        <v>2048</v>
      </c>
      <c r="M393" s="6">
        <v>22025</v>
      </c>
      <c r="N393" s="6">
        <v>9682</v>
      </c>
      <c r="O393" s="6">
        <v>39119</v>
      </c>
      <c r="P393" s="6">
        <v>2207</v>
      </c>
      <c r="Q393" s="6">
        <v>26240</v>
      </c>
      <c r="R393" s="16">
        <f t="shared" si="25"/>
        <v>13937</v>
      </c>
      <c r="S393" s="167">
        <f t="shared" si="23"/>
        <v>15034</v>
      </c>
      <c r="T393" s="168">
        <f t="shared" si="24"/>
        <v>39219</v>
      </c>
    </row>
    <row r="394" spans="1:20" ht="15.6" x14ac:dyDescent="0.3">
      <c r="A394" s="127">
        <f t="shared" si="22"/>
        <v>39226</v>
      </c>
      <c r="B394" s="6">
        <v>560</v>
      </c>
      <c r="C394" s="6">
        <v>6650</v>
      </c>
      <c r="D394" s="6">
        <v>290</v>
      </c>
      <c r="E394" s="6">
        <v>3793</v>
      </c>
      <c r="F394" s="6">
        <v>375</v>
      </c>
      <c r="G394" s="6">
        <v>6265</v>
      </c>
      <c r="H394" s="6">
        <v>167</v>
      </c>
      <c r="I394" s="6">
        <v>4960</v>
      </c>
      <c r="J394" s="6">
        <v>27</v>
      </c>
      <c r="K394" s="6">
        <v>739</v>
      </c>
      <c r="L394" s="6">
        <v>1419</v>
      </c>
      <c r="M394" s="6">
        <v>22406</v>
      </c>
      <c r="N394" s="6">
        <v>9268</v>
      </c>
      <c r="O394" s="6">
        <v>40209</v>
      </c>
      <c r="P394" s="6">
        <v>2332</v>
      </c>
      <c r="Q394" s="6">
        <v>26461</v>
      </c>
      <c r="R394" s="16">
        <f t="shared" si="25"/>
        <v>13019</v>
      </c>
      <c r="S394" s="167">
        <f t="shared" si="23"/>
        <v>14282.5</v>
      </c>
      <c r="T394" s="168">
        <f t="shared" si="24"/>
        <v>39226</v>
      </c>
    </row>
    <row r="395" spans="1:20" ht="15.6" x14ac:dyDescent="0.3">
      <c r="A395" s="127">
        <f t="shared" ref="A395:A458" si="26">A394+7</f>
        <v>39233</v>
      </c>
      <c r="B395" s="6">
        <v>362</v>
      </c>
      <c r="C395" s="78">
        <v>6800</v>
      </c>
      <c r="D395" s="78">
        <v>216</v>
      </c>
      <c r="E395" s="78">
        <v>3866</v>
      </c>
      <c r="F395" s="78">
        <v>171</v>
      </c>
      <c r="G395" s="78">
        <v>6480</v>
      </c>
      <c r="H395" s="78">
        <v>132</v>
      </c>
      <c r="I395" s="78">
        <v>4996</v>
      </c>
      <c r="J395" s="78">
        <v>6</v>
      </c>
      <c r="K395" s="78">
        <v>761</v>
      </c>
      <c r="L395" s="78">
        <v>886</v>
      </c>
      <c r="M395" s="78">
        <v>22902</v>
      </c>
      <c r="N395" s="78">
        <v>8642</v>
      </c>
      <c r="O395" s="78">
        <v>41211</v>
      </c>
      <c r="P395" s="78">
        <v>2392</v>
      </c>
      <c r="Q395" s="78">
        <v>26601</v>
      </c>
      <c r="R395" s="79">
        <f t="shared" si="25"/>
        <v>11920</v>
      </c>
      <c r="S395" s="167">
        <f t="shared" si="23"/>
        <v>13470.25</v>
      </c>
      <c r="T395" s="168">
        <f t="shared" si="24"/>
        <v>39233</v>
      </c>
    </row>
    <row r="396" spans="1:20" ht="15.6" x14ac:dyDescent="0.3">
      <c r="A396" s="127">
        <f t="shared" si="26"/>
        <v>39240</v>
      </c>
      <c r="B396" s="6">
        <v>1595</v>
      </c>
      <c r="C396" s="6">
        <v>62</v>
      </c>
      <c r="D396" s="6">
        <v>1033</v>
      </c>
      <c r="E396" s="6">
        <v>45</v>
      </c>
      <c r="F396" s="6">
        <v>922</v>
      </c>
      <c r="G396" s="6">
        <v>92</v>
      </c>
      <c r="H396" s="6">
        <v>718</v>
      </c>
      <c r="I396" s="6">
        <v>56</v>
      </c>
      <c r="J396" s="6">
        <v>209</v>
      </c>
      <c r="K396" s="6">
        <v>12</v>
      </c>
      <c r="L396" s="6">
        <v>4476</v>
      </c>
      <c r="M396" s="6">
        <v>268</v>
      </c>
      <c r="N396" s="6">
        <v>8343</v>
      </c>
      <c r="O396" s="6">
        <v>42042</v>
      </c>
      <c r="P396" s="6">
        <v>2262</v>
      </c>
      <c r="Q396" s="6">
        <v>26952</v>
      </c>
      <c r="R396" s="16">
        <f t="shared" si="25"/>
        <v>15081</v>
      </c>
      <c r="S396" s="167">
        <f t="shared" ref="S396:S459" si="27">AVERAGE(R393:R396)</f>
        <v>13489.25</v>
      </c>
      <c r="T396" s="168">
        <f t="shared" ref="T396:T459" si="28">T395+7</f>
        <v>39240</v>
      </c>
    </row>
    <row r="397" spans="1:20" ht="15.6" x14ac:dyDescent="0.3">
      <c r="A397" s="127">
        <f t="shared" si="26"/>
        <v>39247</v>
      </c>
      <c r="B397" s="6">
        <v>1560</v>
      </c>
      <c r="C397" s="6">
        <v>244</v>
      </c>
      <c r="D397" s="6">
        <v>1100</v>
      </c>
      <c r="E397" s="6">
        <v>101</v>
      </c>
      <c r="F397" s="6">
        <v>1023</v>
      </c>
      <c r="G397" s="6">
        <v>149</v>
      </c>
      <c r="H397" s="6">
        <v>754</v>
      </c>
      <c r="I397" s="6">
        <v>133</v>
      </c>
      <c r="J397" s="6">
        <v>209</v>
      </c>
      <c r="K397" s="6">
        <v>12</v>
      </c>
      <c r="L397" s="6">
        <v>4646</v>
      </c>
      <c r="M397" s="6">
        <v>639</v>
      </c>
      <c r="N397" s="6">
        <v>8274</v>
      </c>
      <c r="O397" s="6">
        <v>42933</v>
      </c>
      <c r="P397" s="6">
        <v>2454</v>
      </c>
      <c r="Q397" s="6">
        <v>27119</v>
      </c>
      <c r="R397" s="16">
        <f t="shared" si="25"/>
        <v>15374</v>
      </c>
      <c r="S397" s="167">
        <f t="shared" si="27"/>
        <v>13848.5</v>
      </c>
      <c r="T397" s="168">
        <f t="shared" si="28"/>
        <v>39247</v>
      </c>
    </row>
    <row r="398" spans="1:20" ht="15.6" x14ac:dyDescent="0.3">
      <c r="A398" s="127">
        <f t="shared" si="26"/>
        <v>39254</v>
      </c>
      <c r="B398" s="6">
        <v>1572</v>
      </c>
      <c r="C398" s="6">
        <v>363</v>
      </c>
      <c r="D398" s="6">
        <v>985</v>
      </c>
      <c r="E398" s="6">
        <v>337</v>
      </c>
      <c r="F398" s="6">
        <v>1325</v>
      </c>
      <c r="G398" s="6">
        <v>165</v>
      </c>
      <c r="H398" s="6">
        <v>719</v>
      </c>
      <c r="I398" s="6">
        <v>205</v>
      </c>
      <c r="J398" s="6">
        <v>225</v>
      </c>
      <c r="K398" s="6">
        <v>12</v>
      </c>
      <c r="L398" s="6">
        <v>4825</v>
      </c>
      <c r="M398" s="6">
        <v>1083</v>
      </c>
      <c r="N398" s="6">
        <v>8171</v>
      </c>
      <c r="O398" s="6">
        <v>43799</v>
      </c>
      <c r="P398" s="6">
        <v>2282</v>
      </c>
      <c r="Q398" s="6">
        <v>27531</v>
      </c>
      <c r="R398" s="16">
        <f t="shared" si="25"/>
        <v>15278</v>
      </c>
      <c r="S398" s="167">
        <f t="shared" si="27"/>
        <v>14413.25</v>
      </c>
      <c r="T398" s="168">
        <f t="shared" si="28"/>
        <v>39254</v>
      </c>
    </row>
    <row r="399" spans="1:20" ht="15.6" x14ac:dyDescent="0.3">
      <c r="A399" s="127">
        <f t="shared" si="26"/>
        <v>39261</v>
      </c>
      <c r="B399" s="6">
        <v>1625</v>
      </c>
      <c r="C399" s="6">
        <v>538</v>
      </c>
      <c r="D399" s="6">
        <v>925</v>
      </c>
      <c r="E399" s="6">
        <v>522</v>
      </c>
      <c r="F399" s="6">
        <v>1244</v>
      </c>
      <c r="G399" s="6">
        <v>346</v>
      </c>
      <c r="H399" s="6">
        <v>759</v>
      </c>
      <c r="I399" s="6">
        <v>247</v>
      </c>
      <c r="J399" s="6">
        <v>219</v>
      </c>
      <c r="K399" s="6">
        <v>20</v>
      </c>
      <c r="L399" s="6">
        <v>4773</v>
      </c>
      <c r="M399" s="6">
        <v>1673</v>
      </c>
      <c r="N399" s="6">
        <v>8378</v>
      </c>
      <c r="O399" s="6">
        <v>44650</v>
      </c>
      <c r="P399" s="6">
        <v>2190</v>
      </c>
      <c r="Q399" s="6">
        <v>27815</v>
      </c>
      <c r="R399" s="16">
        <f t="shared" si="25"/>
        <v>15341</v>
      </c>
      <c r="S399" s="167">
        <f t="shared" si="27"/>
        <v>15268.5</v>
      </c>
      <c r="T399" s="168">
        <f t="shared" si="28"/>
        <v>39261</v>
      </c>
    </row>
    <row r="400" spans="1:20" ht="15.6" x14ac:dyDescent="0.3">
      <c r="A400" s="127">
        <f t="shared" si="26"/>
        <v>39268</v>
      </c>
      <c r="B400" s="6">
        <v>1842</v>
      </c>
      <c r="C400" s="6">
        <v>671</v>
      </c>
      <c r="D400" s="6">
        <v>1205</v>
      </c>
      <c r="E400" s="6">
        <v>606</v>
      </c>
      <c r="F400" s="6">
        <v>1390</v>
      </c>
      <c r="G400" s="6">
        <v>384</v>
      </c>
      <c r="H400" s="6">
        <v>949</v>
      </c>
      <c r="I400" s="6">
        <v>316</v>
      </c>
      <c r="J400" s="6">
        <v>248</v>
      </c>
      <c r="K400" s="6">
        <v>20</v>
      </c>
      <c r="L400" s="6">
        <v>5633</v>
      </c>
      <c r="M400" s="6">
        <v>1997</v>
      </c>
      <c r="N400" s="6">
        <v>8573</v>
      </c>
      <c r="O400" s="6">
        <v>45462</v>
      </c>
      <c r="P400" s="6">
        <v>2147</v>
      </c>
      <c r="Q400" s="6">
        <v>28002</v>
      </c>
      <c r="R400" s="16">
        <f t="shared" si="25"/>
        <v>16353</v>
      </c>
      <c r="S400" s="167">
        <f t="shared" si="27"/>
        <v>15586.5</v>
      </c>
      <c r="T400" s="168">
        <f t="shared" si="28"/>
        <v>39268</v>
      </c>
    </row>
    <row r="401" spans="1:20" ht="15.6" x14ac:dyDescent="0.3">
      <c r="A401" s="127">
        <f t="shared" si="26"/>
        <v>39275</v>
      </c>
      <c r="B401" s="6">
        <v>1915</v>
      </c>
      <c r="C401" s="6">
        <v>946</v>
      </c>
      <c r="D401" s="6">
        <v>1280</v>
      </c>
      <c r="E401" s="6">
        <v>649</v>
      </c>
      <c r="F401" s="6">
        <v>1495</v>
      </c>
      <c r="G401" s="6">
        <v>500</v>
      </c>
      <c r="H401" s="6">
        <v>960</v>
      </c>
      <c r="I401" s="6">
        <v>351</v>
      </c>
      <c r="J401" s="6">
        <v>277</v>
      </c>
      <c r="K401" s="6">
        <v>20</v>
      </c>
      <c r="L401" s="6">
        <v>5927</v>
      </c>
      <c r="M401" s="6">
        <v>2466</v>
      </c>
      <c r="N401" s="6">
        <v>8041</v>
      </c>
      <c r="O401" s="6">
        <v>46663</v>
      </c>
      <c r="P401" s="6">
        <v>2005</v>
      </c>
      <c r="Q401" s="6">
        <v>28325</v>
      </c>
      <c r="R401" s="16">
        <f t="shared" si="25"/>
        <v>15973</v>
      </c>
      <c r="S401" s="167">
        <f t="shared" si="27"/>
        <v>15736.25</v>
      </c>
      <c r="T401" s="168">
        <f t="shared" si="28"/>
        <v>39275</v>
      </c>
    </row>
    <row r="402" spans="1:20" ht="15.6" x14ac:dyDescent="0.3">
      <c r="A402" s="127">
        <f t="shared" si="26"/>
        <v>39282</v>
      </c>
      <c r="B402" s="6">
        <v>2714</v>
      </c>
      <c r="C402" s="6">
        <v>1087</v>
      </c>
      <c r="D402" s="6">
        <v>1859</v>
      </c>
      <c r="E402" s="6">
        <v>787</v>
      </c>
      <c r="F402" s="6">
        <v>1587</v>
      </c>
      <c r="G402" s="6">
        <v>598</v>
      </c>
      <c r="H402" s="6">
        <v>948</v>
      </c>
      <c r="I402" s="6">
        <v>384</v>
      </c>
      <c r="J402" s="6">
        <v>464</v>
      </c>
      <c r="K402" s="6">
        <v>27</v>
      </c>
      <c r="L402" s="6">
        <v>7572</v>
      </c>
      <c r="M402" s="6">
        <v>2884</v>
      </c>
      <c r="N402" s="6">
        <v>7540</v>
      </c>
      <c r="O402" s="6">
        <v>47577</v>
      </c>
      <c r="P402" s="6">
        <v>2119</v>
      </c>
      <c r="Q402" s="6">
        <v>28500</v>
      </c>
      <c r="R402" s="16">
        <f t="shared" si="25"/>
        <v>17231</v>
      </c>
      <c r="S402" s="167">
        <f t="shared" si="27"/>
        <v>16224.5</v>
      </c>
      <c r="T402" s="168">
        <f t="shared" si="28"/>
        <v>39282</v>
      </c>
    </row>
    <row r="403" spans="1:20" ht="15.6" x14ac:dyDescent="0.3">
      <c r="A403" s="127">
        <f t="shared" si="26"/>
        <v>39289</v>
      </c>
      <c r="B403" s="6">
        <v>3567</v>
      </c>
      <c r="C403" s="6">
        <v>1224</v>
      </c>
      <c r="D403" s="6">
        <v>1930</v>
      </c>
      <c r="E403" s="6">
        <v>917</v>
      </c>
      <c r="F403" s="6">
        <v>1957</v>
      </c>
      <c r="G403" s="6">
        <v>670</v>
      </c>
      <c r="H403" s="6">
        <v>974</v>
      </c>
      <c r="I403" s="6">
        <v>467</v>
      </c>
      <c r="J403" s="6">
        <v>427</v>
      </c>
      <c r="K403" s="6">
        <v>64</v>
      </c>
      <c r="L403" s="6">
        <v>8855</v>
      </c>
      <c r="M403" s="6">
        <v>3343</v>
      </c>
      <c r="N403" s="6">
        <v>7270</v>
      </c>
      <c r="O403" s="6">
        <v>48653</v>
      </c>
      <c r="P403" s="6">
        <v>2149</v>
      </c>
      <c r="Q403" s="6">
        <v>28655</v>
      </c>
      <c r="R403" s="16">
        <f t="shared" si="25"/>
        <v>18274</v>
      </c>
      <c r="S403" s="167">
        <f t="shared" si="27"/>
        <v>16957.75</v>
      </c>
      <c r="T403" s="168">
        <f t="shared" si="28"/>
        <v>39289</v>
      </c>
    </row>
    <row r="404" spans="1:20" ht="15.6" x14ac:dyDescent="0.3">
      <c r="A404" s="127">
        <f t="shared" si="26"/>
        <v>39296</v>
      </c>
      <c r="B404" s="6">
        <v>3672</v>
      </c>
      <c r="C404" s="6">
        <v>1554</v>
      </c>
      <c r="D404" s="6">
        <v>1801</v>
      </c>
      <c r="E404" s="6">
        <v>1144</v>
      </c>
      <c r="F404" s="6">
        <v>1995</v>
      </c>
      <c r="G404" s="6">
        <v>844</v>
      </c>
      <c r="H404" s="6">
        <v>994</v>
      </c>
      <c r="I404" s="6">
        <v>555</v>
      </c>
      <c r="J404" s="6">
        <v>452</v>
      </c>
      <c r="K404" s="6">
        <v>79</v>
      </c>
      <c r="L404" s="6">
        <v>8914</v>
      </c>
      <c r="M404" s="6">
        <v>4175</v>
      </c>
      <c r="N404" s="6">
        <v>6844</v>
      </c>
      <c r="O404" s="6">
        <v>49391</v>
      </c>
      <c r="P404" s="6">
        <v>1853</v>
      </c>
      <c r="Q404" s="6">
        <v>29105</v>
      </c>
      <c r="R404" s="16">
        <f t="shared" si="25"/>
        <v>17611</v>
      </c>
      <c r="S404" s="167">
        <f t="shared" si="27"/>
        <v>17272.25</v>
      </c>
      <c r="T404" s="168">
        <f t="shared" si="28"/>
        <v>39296</v>
      </c>
    </row>
    <row r="405" spans="1:20" ht="15.6" x14ac:dyDescent="0.3">
      <c r="A405" s="127">
        <f t="shared" si="26"/>
        <v>39303</v>
      </c>
      <c r="B405" s="6">
        <v>3788</v>
      </c>
      <c r="C405" s="6">
        <v>1774</v>
      </c>
      <c r="D405" s="6">
        <v>1729</v>
      </c>
      <c r="E405" s="6">
        <v>1357</v>
      </c>
      <c r="F405" s="6">
        <v>2228</v>
      </c>
      <c r="G405" s="6">
        <v>984</v>
      </c>
      <c r="H405" s="6">
        <v>1176</v>
      </c>
      <c r="I405" s="6">
        <v>629</v>
      </c>
      <c r="J405" s="6">
        <v>521</v>
      </c>
      <c r="K405" s="6">
        <v>88</v>
      </c>
      <c r="L405" s="6">
        <v>9443</v>
      </c>
      <c r="M405" s="6">
        <v>4831</v>
      </c>
      <c r="N405" s="6">
        <v>5489</v>
      </c>
      <c r="O405" s="6">
        <v>50510</v>
      </c>
      <c r="P405" s="6">
        <v>1915</v>
      </c>
      <c r="Q405" s="6">
        <v>29279</v>
      </c>
      <c r="R405" s="16">
        <f t="shared" si="25"/>
        <v>16847</v>
      </c>
      <c r="S405" s="167">
        <f t="shared" si="27"/>
        <v>17490.75</v>
      </c>
      <c r="T405" s="168">
        <f t="shared" si="28"/>
        <v>39303</v>
      </c>
    </row>
    <row r="406" spans="1:20" ht="15.6" x14ac:dyDescent="0.3">
      <c r="A406" s="127">
        <f t="shared" si="26"/>
        <v>39310</v>
      </c>
      <c r="B406" s="6">
        <v>3646</v>
      </c>
      <c r="C406" s="6">
        <v>2269</v>
      </c>
      <c r="D406" s="6">
        <v>1848</v>
      </c>
      <c r="E406" s="6">
        <v>1619</v>
      </c>
      <c r="F406" s="6">
        <v>2228</v>
      </c>
      <c r="G406" s="6">
        <v>1134</v>
      </c>
      <c r="H406" s="6">
        <v>1128</v>
      </c>
      <c r="I406" s="6">
        <v>819</v>
      </c>
      <c r="J406" s="6">
        <v>494</v>
      </c>
      <c r="K406" s="6">
        <v>136</v>
      </c>
      <c r="L406" s="6">
        <v>9344</v>
      </c>
      <c r="M406" s="6">
        <v>5976</v>
      </c>
      <c r="N406" s="6">
        <v>4677</v>
      </c>
      <c r="O406" s="6">
        <v>51460</v>
      </c>
      <c r="P406" s="6">
        <v>1650</v>
      </c>
      <c r="Q406" s="6">
        <v>29549</v>
      </c>
      <c r="R406" s="16">
        <f t="shared" si="25"/>
        <v>15671</v>
      </c>
      <c r="S406" s="167">
        <f t="shared" si="27"/>
        <v>17100.75</v>
      </c>
      <c r="T406" s="168">
        <f t="shared" si="28"/>
        <v>39310</v>
      </c>
    </row>
    <row r="407" spans="1:20" ht="15.6" x14ac:dyDescent="0.3">
      <c r="A407" s="127">
        <f t="shared" si="26"/>
        <v>39317</v>
      </c>
      <c r="B407" s="6">
        <v>3744</v>
      </c>
      <c r="C407" s="6">
        <v>2636</v>
      </c>
      <c r="D407" s="6">
        <v>1964</v>
      </c>
      <c r="E407" s="6">
        <v>1882</v>
      </c>
      <c r="F407" s="6">
        <v>2194</v>
      </c>
      <c r="G407" s="6">
        <v>1391</v>
      </c>
      <c r="H407" s="6">
        <v>1214</v>
      </c>
      <c r="I407" s="6">
        <v>876</v>
      </c>
      <c r="J407" s="6">
        <v>448</v>
      </c>
      <c r="K407" s="6">
        <v>203</v>
      </c>
      <c r="L407" s="6">
        <v>9564</v>
      </c>
      <c r="M407" s="6">
        <v>6987</v>
      </c>
      <c r="N407" s="6">
        <v>3584</v>
      </c>
      <c r="O407" s="6">
        <v>52726</v>
      </c>
      <c r="P407" s="6">
        <v>1246</v>
      </c>
      <c r="Q407" s="6">
        <v>29871</v>
      </c>
      <c r="R407" s="16">
        <f t="shared" si="25"/>
        <v>14394</v>
      </c>
      <c r="S407" s="167">
        <f t="shared" si="27"/>
        <v>16130.75</v>
      </c>
      <c r="T407" s="168">
        <f t="shared" si="28"/>
        <v>39317</v>
      </c>
    </row>
    <row r="408" spans="1:20" ht="15.6" x14ac:dyDescent="0.3">
      <c r="A408" s="127">
        <f t="shared" si="26"/>
        <v>39324</v>
      </c>
      <c r="B408" s="6">
        <v>3654</v>
      </c>
      <c r="C408" s="6">
        <v>3044</v>
      </c>
      <c r="D408" s="6">
        <v>1687</v>
      </c>
      <c r="E408" s="6">
        <v>2183</v>
      </c>
      <c r="F408" s="6">
        <v>2152</v>
      </c>
      <c r="G408" s="6">
        <v>1622</v>
      </c>
      <c r="H408" s="6">
        <v>1177</v>
      </c>
      <c r="I408" s="6">
        <v>1088</v>
      </c>
      <c r="J408" s="6">
        <v>454</v>
      </c>
      <c r="K408" s="6">
        <v>209</v>
      </c>
      <c r="L408" s="6">
        <v>9124</v>
      </c>
      <c r="M408" s="6">
        <v>8146</v>
      </c>
      <c r="N408" s="6">
        <v>2771</v>
      </c>
      <c r="O408" s="80">
        <v>53799</v>
      </c>
      <c r="P408" s="6">
        <v>990</v>
      </c>
      <c r="Q408" s="80">
        <v>30261</v>
      </c>
      <c r="R408" s="16">
        <f t="shared" si="25"/>
        <v>12885</v>
      </c>
      <c r="S408" s="167">
        <f t="shared" si="27"/>
        <v>14949.25</v>
      </c>
      <c r="T408" s="168">
        <f t="shared" si="28"/>
        <v>39324</v>
      </c>
    </row>
    <row r="409" spans="1:20" ht="15.6" x14ac:dyDescent="0.3">
      <c r="A409" s="127">
        <f t="shared" si="26"/>
        <v>39331</v>
      </c>
      <c r="B409" s="6">
        <v>4667</v>
      </c>
      <c r="C409" s="6">
        <v>3435</v>
      </c>
      <c r="D409" s="6">
        <v>1642</v>
      </c>
      <c r="E409" s="6">
        <v>2314</v>
      </c>
      <c r="F409" s="6">
        <v>2500</v>
      </c>
      <c r="G409" s="6">
        <v>1748</v>
      </c>
      <c r="H409" s="6">
        <v>1283</v>
      </c>
      <c r="I409" s="6">
        <v>1138</v>
      </c>
      <c r="J409" s="6">
        <v>435</v>
      </c>
      <c r="K409" s="6">
        <v>232</v>
      </c>
      <c r="L409" s="6">
        <v>10528</v>
      </c>
      <c r="M409" s="6">
        <v>8867</v>
      </c>
      <c r="N409" s="6">
        <v>15762</v>
      </c>
      <c r="O409" s="6">
        <v>904</v>
      </c>
      <c r="P409" s="6">
        <v>7997</v>
      </c>
      <c r="Q409" s="6">
        <v>111</v>
      </c>
      <c r="R409" s="16">
        <f t="shared" si="25"/>
        <v>34287</v>
      </c>
      <c r="S409" s="167">
        <f t="shared" si="27"/>
        <v>19309.25</v>
      </c>
      <c r="T409" s="168">
        <f t="shared" si="28"/>
        <v>39331</v>
      </c>
    </row>
    <row r="410" spans="1:20" ht="15.6" x14ac:dyDescent="0.3">
      <c r="A410" s="127">
        <f t="shared" si="26"/>
        <v>39338</v>
      </c>
      <c r="B410" s="6">
        <v>4885</v>
      </c>
      <c r="C410" s="6">
        <v>3794</v>
      </c>
      <c r="D410" s="6">
        <v>1686</v>
      </c>
      <c r="E410" s="6">
        <v>2494</v>
      </c>
      <c r="F410" s="6">
        <v>2647</v>
      </c>
      <c r="G410" s="6">
        <v>1990</v>
      </c>
      <c r="H410" s="6">
        <v>1405</v>
      </c>
      <c r="I410" s="6">
        <v>1239</v>
      </c>
      <c r="J410" s="6">
        <v>425</v>
      </c>
      <c r="K410" s="6">
        <v>270</v>
      </c>
      <c r="L410" s="6">
        <v>11047</v>
      </c>
      <c r="M410" s="6">
        <v>9787</v>
      </c>
      <c r="N410" s="6">
        <v>16920</v>
      </c>
      <c r="O410" s="6">
        <v>1778</v>
      </c>
      <c r="P410" s="6">
        <v>8106</v>
      </c>
      <c r="Q410" s="6">
        <v>515</v>
      </c>
      <c r="R410" s="16">
        <f t="shared" si="25"/>
        <v>36073</v>
      </c>
      <c r="S410" s="167">
        <f t="shared" si="27"/>
        <v>24409.75</v>
      </c>
      <c r="T410" s="168">
        <f t="shared" si="28"/>
        <v>39338</v>
      </c>
    </row>
    <row r="411" spans="1:20" ht="15.6" x14ac:dyDescent="0.3">
      <c r="A411" s="127">
        <f t="shared" si="26"/>
        <v>39345</v>
      </c>
      <c r="B411" s="6">
        <v>5440</v>
      </c>
      <c r="C411" s="6">
        <v>4211</v>
      </c>
      <c r="D411" s="6">
        <v>1389</v>
      </c>
      <c r="E411" s="6">
        <v>2793</v>
      </c>
      <c r="F411" s="6">
        <v>2777</v>
      </c>
      <c r="G411" s="6">
        <v>2174</v>
      </c>
      <c r="H411" s="6">
        <v>1472</v>
      </c>
      <c r="I411" s="6">
        <v>1351</v>
      </c>
      <c r="J411" s="6">
        <v>449</v>
      </c>
      <c r="K411" s="6">
        <v>293</v>
      </c>
      <c r="L411" s="6">
        <v>11527</v>
      </c>
      <c r="M411" s="6">
        <v>10822</v>
      </c>
      <c r="N411" s="6">
        <v>17415</v>
      </c>
      <c r="O411" s="6">
        <v>2981</v>
      </c>
      <c r="P411" s="6">
        <v>8366</v>
      </c>
      <c r="Q411" s="6">
        <v>1000</v>
      </c>
      <c r="R411" s="16">
        <f t="shared" si="25"/>
        <v>37308</v>
      </c>
      <c r="S411" s="167">
        <f t="shared" si="27"/>
        <v>30138.25</v>
      </c>
      <c r="T411" s="168">
        <f t="shared" si="28"/>
        <v>39345</v>
      </c>
    </row>
    <row r="412" spans="1:20" ht="15.6" x14ac:dyDescent="0.3">
      <c r="A412" s="127">
        <f t="shared" si="26"/>
        <v>39352</v>
      </c>
      <c r="B412" s="6">
        <v>5857</v>
      </c>
      <c r="C412" s="6">
        <v>4833</v>
      </c>
      <c r="D412" s="6">
        <v>1239</v>
      </c>
      <c r="E412" s="6">
        <v>3010</v>
      </c>
      <c r="F412" s="6">
        <v>2854</v>
      </c>
      <c r="G412" s="6">
        <v>2405</v>
      </c>
      <c r="H412" s="6">
        <v>1619</v>
      </c>
      <c r="I412" s="6">
        <v>1366</v>
      </c>
      <c r="J412" s="6">
        <v>404</v>
      </c>
      <c r="K412" s="6">
        <v>359</v>
      </c>
      <c r="L412" s="6">
        <v>11973</v>
      </c>
      <c r="M412" s="6">
        <v>11973</v>
      </c>
      <c r="N412" s="6">
        <v>17341</v>
      </c>
      <c r="O412" s="6">
        <v>4206</v>
      </c>
      <c r="P412" s="6">
        <v>8753</v>
      </c>
      <c r="Q412" s="6">
        <v>1279</v>
      </c>
      <c r="R412" s="16">
        <f t="shared" si="25"/>
        <v>38067</v>
      </c>
      <c r="S412" s="167">
        <f t="shared" si="27"/>
        <v>36433.75</v>
      </c>
      <c r="T412" s="168">
        <f t="shared" si="28"/>
        <v>39352</v>
      </c>
    </row>
    <row r="413" spans="1:20" ht="15.6" x14ac:dyDescent="0.3">
      <c r="A413" s="127">
        <f t="shared" si="26"/>
        <v>39359</v>
      </c>
      <c r="B413" s="6">
        <v>5758</v>
      </c>
      <c r="C413" s="6">
        <v>5096</v>
      </c>
      <c r="D413" s="6">
        <v>1174</v>
      </c>
      <c r="E413" s="6">
        <v>3263</v>
      </c>
      <c r="F413" s="6">
        <v>3091</v>
      </c>
      <c r="G413" s="6">
        <v>2606</v>
      </c>
      <c r="H413" s="6">
        <v>1576</v>
      </c>
      <c r="I413" s="6">
        <v>1493</v>
      </c>
      <c r="J413" s="6">
        <v>426</v>
      </c>
      <c r="K413" s="6">
        <v>397</v>
      </c>
      <c r="L413" s="6">
        <v>12025</v>
      </c>
      <c r="M413" s="6">
        <v>12856</v>
      </c>
      <c r="N413" s="6">
        <v>18468</v>
      </c>
      <c r="O413" s="6">
        <v>5398</v>
      </c>
      <c r="P413" s="6">
        <v>8772</v>
      </c>
      <c r="Q413" s="6">
        <v>1811</v>
      </c>
      <c r="R413" s="16">
        <f t="shared" si="25"/>
        <v>39265</v>
      </c>
      <c r="S413" s="167">
        <f t="shared" si="27"/>
        <v>37678.25</v>
      </c>
      <c r="T413" s="168">
        <f t="shared" si="28"/>
        <v>39359</v>
      </c>
    </row>
    <row r="414" spans="1:20" ht="15.6" x14ac:dyDescent="0.3">
      <c r="A414" s="127">
        <f t="shared" si="26"/>
        <v>39366</v>
      </c>
      <c r="B414" s="6">
        <v>5793</v>
      </c>
      <c r="C414" s="6">
        <v>5419</v>
      </c>
      <c r="D414" s="6">
        <v>1090</v>
      </c>
      <c r="E414" s="6">
        <v>3458</v>
      </c>
      <c r="F414" s="6">
        <v>3070</v>
      </c>
      <c r="G414" s="6">
        <v>2876</v>
      </c>
      <c r="H414" s="6">
        <v>1647</v>
      </c>
      <c r="I414" s="6">
        <v>1640</v>
      </c>
      <c r="J414" s="6">
        <v>420</v>
      </c>
      <c r="K414" s="6">
        <v>454</v>
      </c>
      <c r="L414" s="6">
        <v>12019</v>
      </c>
      <c r="M414" s="6">
        <v>13846</v>
      </c>
      <c r="N414" s="6">
        <v>19158</v>
      </c>
      <c r="O414" s="6">
        <v>6560</v>
      </c>
      <c r="P414" s="6">
        <v>8536</v>
      </c>
      <c r="Q414" s="6">
        <v>2797</v>
      </c>
      <c r="R414" s="16">
        <f t="shared" si="25"/>
        <v>39713</v>
      </c>
      <c r="S414" s="167">
        <f t="shared" si="27"/>
        <v>38588.25</v>
      </c>
      <c r="T414" s="168">
        <f t="shared" si="28"/>
        <v>39366</v>
      </c>
    </row>
    <row r="415" spans="1:20" ht="15.6" x14ac:dyDescent="0.3">
      <c r="A415" s="127">
        <f t="shared" si="26"/>
        <v>39373</v>
      </c>
      <c r="B415" s="6">
        <v>5490</v>
      </c>
      <c r="C415" s="6">
        <v>5799</v>
      </c>
      <c r="D415" s="6">
        <v>1111</v>
      </c>
      <c r="E415" s="6">
        <v>3555</v>
      </c>
      <c r="F415" s="6">
        <v>3170</v>
      </c>
      <c r="G415" s="6">
        <v>3089</v>
      </c>
      <c r="H415" s="6">
        <v>1569</v>
      </c>
      <c r="I415" s="6">
        <v>1756</v>
      </c>
      <c r="J415" s="6">
        <v>374</v>
      </c>
      <c r="K415" s="6">
        <v>495</v>
      </c>
      <c r="L415" s="6">
        <v>11714</v>
      </c>
      <c r="M415" s="6">
        <v>14694</v>
      </c>
      <c r="N415" s="6">
        <v>19421</v>
      </c>
      <c r="O415" s="6">
        <v>7786</v>
      </c>
      <c r="P415" s="6">
        <v>8133</v>
      </c>
      <c r="Q415" s="6">
        <v>3664</v>
      </c>
      <c r="R415" s="16">
        <f t="shared" si="25"/>
        <v>39268</v>
      </c>
      <c r="S415" s="167">
        <f t="shared" si="27"/>
        <v>39078.25</v>
      </c>
      <c r="T415" s="168">
        <f t="shared" si="28"/>
        <v>39373</v>
      </c>
    </row>
    <row r="416" spans="1:20" ht="15.6" x14ac:dyDescent="0.3">
      <c r="A416" s="127">
        <f t="shared" si="26"/>
        <v>39380</v>
      </c>
      <c r="B416" s="6">
        <v>5262</v>
      </c>
      <c r="C416" s="6">
        <v>6145</v>
      </c>
      <c r="D416" s="6">
        <v>993</v>
      </c>
      <c r="E416" s="6">
        <v>3660</v>
      </c>
      <c r="F416" s="6">
        <v>2965</v>
      </c>
      <c r="G416" s="6">
        <v>3307</v>
      </c>
      <c r="H416" s="6">
        <v>1474</v>
      </c>
      <c r="I416" s="6">
        <v>1900</v>
      </c>
      <c r="J416" s="6">
        <v>355</v>
      </c>
      <c r="K416" s="6">
        <v>522</v>
      </c>
      <c r="L416" s="6">
        <v>11048</v>
      </c>
      <c r="M416" s="6">
        <v>15533</v>
      </c>
      <c r="N416" s="6">
        <v>18806</v>
      </c>
      <c r="O416" s="6">
        <v>9011</v>
      </c>
      <c r="P416" s="6">
        <v>8069</v>
      </c>
      <c r="Q416" s="6">
        <v>4468</v>
      </c>
      <c r="R416" s="16">
        <f t="shared" si="25"/>
        <v>37923</v>
      </c>
      <c r="S416" s="167">
        <f t="shared" si="27"/>
        <v>39042.25</v>
      </c>
      <c r="T416" s="168">
        <f t="shared" si="28"/>
        <v>39380</v>
      </c>
    </row>
    <row r="417" spans="1:20" ht="15.6" x14ac:dyDescent="0.3">
      <c r="A417" s="127">
        <f t="shared" si="26"/>
        <v>39387</v>
      </c>
      <c r="B417" s="6">
        <v>4845</v>
      </c>
      <c r="C417" s="6">
        <v>6560</v>
      </c>
      <c r="D417" s="6">
        <v>973</v>
      </c>
      <c r="E417" s="6">
        <v>3685</v>
      </c>
      <c r="F417" s="6">
        <v>2683</v>
      </c>
      <c r="G417" s="6">
        <v>3563</v>
      </c>
      <c r="H417" s="6">
        <v>1443</v>
      </c>
      <c r="I417" s="6">
        <v>1967</v>
      </c>
      <c r="J417" s="6">
        <v>355</v>
      </c>
      <c r="K417" s="6">
        <v>522</v>
      </c>
      <c r="L417" s="6">
        <v>10300</v>
      </c>
      <c r="M417" s="6">
        <v>16296</v>
      </c>
      <c r="N417" s="6">
        <v>18788</v>
      </c>
      <c r="O417" s="6">
        <v>10534</v>
      </c>
      <c r="P417" s="6">
        <v>7856</v>
      </c>
      <c r="Q417" s="6">
        <v>5296</v>
      </c>
      <c r="R417" s="16">
        <f t="shared" si="25"/>
        <v>36944</v>
      </c>
      <c r="S417" s="167">
        <f t="shared" si="27"/>
        <v>38462</v>
      </c>
      <c r="T417" s="168">
        <f t="shared" si="28"/>
        <v>39387</v>
      </c>
    </row>
    <row r="418" spans="1:20" ht="15.6" x14ac:dyDescent="0.3">
      <c r="A418" s="127">
        <f t="shared" si="26"/>
        <v>39394</v>
      </c>
      <c r="B418" s="6">
        <v>4718</v>
      </c>
      <c r="C418" s="6">
        <v>6851</v>
      </c>
      <c r="D418" s="6">
        <v>994</v>
      </c>
      <c r="E418" s="6">
        <v>3706</v>
      </c>
      <c r="F418" s="6">
        <v>2660</v>
      </c>
      <c r="G418" s="6">
        <v>3709</v>
      </c>
      <c r="H418" s="6">
        <v>1391</v>
      </c>
      <c r="I418" s="6">
        <v>2075</v>
      </c>
      <c r="J418" s="6">
        <v>362</v>
      </c>
      <c r="K418" s="6">
        <v>544</v>
      </c>
      <c r="L418" s="6">
        <v>10126</v>
      </c>
      <c r="M418" s="6">
        <v>16886</v>
      </c>
      <c r="N418" s="6">
        <v>18642</v>
      </c>
      <c r="O418" s="6">
        <v>12044</v>
      </c>
      <c r="P418" s="6">
        <v>8440</v>
      </c>
      <c r="Q418" s="6">
        <v>6008</v>
      </c>
      <c r="R418" s="16">
        <f t="shared" si="25"/>
        <v>37208</v>
      </c>
      <c r="S418" s="167">
        <f t="shared" si="27"/>
        <v>37835.75</v>
      </c>
      <c r="T418" s="168">
        <f t="shared" si="28"/>
        <v>39394</v>
      </c>
    </row>
    <row r="419" spans="1:20" ht="15.6" x14ac:dyDescent="0.3">
      <c r="A419" s="127">
        <f t="shared" si="26"/>
        <v>39401</v>
      </c>
      <c r="B419" s="6">
        <v>4647.1000000000004</v>
      </c>
      <c r="C419" s="6">
        <v>7031.9</v>
      </c>
      <c r="D419" s="6">
        <v>984.2</v>
      </c>
      <c r="E419" s="6">
        <v>3730.1</v>
      </c>
      <c r="F419" s="6">
        <v>2651.8</v>
      </c>
      <c r="G419" s="6">
        <v>3964</v>
      </c>
      <c r="H419" s="6">
        <v>1408.3</v>
      </c>
      <c r="I419" s="6">
        <v>2129.1</v>
      </c>
      <c r="J419" s="6">
        <v>308.8</v>
      </c>
      <c r="K419" s="6">
        <v>648.5</v>
      </c>
      <c r="L419" s="6">
        <v>10000.200000000001</v>
      </c>
      <c r="M419" s="6">
        <v>17503.599999999999</v>
      </c>
      <c r="N419" s="6">
        <v>19111.3</v>
      </c>
      <c r="O419" s="6">
        <v>13420.3</v>
      </c>
      <c r="P419" s="6">
        <v>9589.9</v>
      </c>
      <c r="Q419" s="6">
        <v>6665.5</v>
      </c>
      <c r="R419" s="16">
        <f t="shared" si="25"/>
        <v>38701.4</v>
      </c>
      <c r="S419" s="167">
        <f t="shared" si="27"/>
        <v>37694.1</v>
      </c>
      <c r="T419" s="168">
        <f t="shared" si="28"/>
        <v>39401</v>
      </c>
    </row>
    <row r="420" spans="1:20" ht="15.6" x14ac:dyDescent="0.3">
      <c r="A420" s="127">
        <f t="shared" si="26"/>
        <v>39408</v>
      </c>
      <c r="B420" s="6">
        <v>4427</v>
      </c>
      <c r="C420" s="6">
        <v>7344</v>
      </c>
      <c r="D420" s="6">
        <v>934</v>
      </c>
      <c r="E420" s="6">
        <v>3824</v>
      </c>
      <c r="F420" s="6">
        <v>2646</v>
      </c>
      <c r="G420" s="6">
        <v>4066</v>
      </c>
      <c r="H420" s="6">
        <v>1518</v>
      </c>
      <c r="I420" s="6">
        <v>2197</v>
      </c>
      <c r="J420" s="6">
        <v>307</v>
      </c>
      <c r="K420" s="6">
        <v>648.5</v>
      </c>
      <c r="L420" s="6">
        <v>9832</v>
      </c>
      <c r="M420" s="6">
        <v>18079</v>
      </c>
      <c r="N420" s="6">
        <v>19513</v>
      </c>
      <c r="O420" s="6">
        <v>14860</v>
      </c>
      <c r="P420" s="6">
        <v>9733</v>
      </c>
      <c r="Q420" s="6">
        <v>7641</v>
      </c>
      <c r="R420" s="16">
        <f t="shared" si="25"/>
        <v>39078</v>
      </c>
      <c r="S420" s="167">
        <f t="shared" si="27"/>
        <v>37982.85</v>
      </c>
      <c r="T420" s="168">
        <f t="shared" si="28"/>
        <v>39408</v>
      </c>
    </row>
    <row r="421" spans="1:20" ht="15.6" x14ac:dyDescent="0.3">
      <c r="A421" s="127">
        <f t="shared" si="26"/>
        <v>39415</v>
      </c>
      <c r="B421" s="6">
        <v>4357</v>
      </c>
      <c r="C421" s="6">
        <v>7580</v>
      </c>
      <c r="D421" s="6">
        <v>829</v>
      </c>
      <c r="E421" s="6">
        <v>3948</v>
      </c>
      <c r="F421" s="6">
        <v>2519</v>
      </c>
      <c r="G421" s="6">
        <v>4231</v>
      </c>
      <c r="H421" s="6">
        <v>1460</v>
      </c>
      <c r="I421" s="6">
        <v>2267</v>
      </c>
      <c r="J421" s="6">
        <v>251</v>
      </c>
      <c r="K421" s="6">
        <v>706</v>
      </c>
      <c r="L421" s="6">
        <v>9416</v>
      </c>
      <c r="M421" s="6">
        <v>18731</v>
      </c>
      <c r="N421" s="6">
        <v>19044</v>
      </c>
      <c r="O421" s="6">
        <v>16388</v>
      </c>
      <c r="P421" s="6">
        <v>9797</v>
      </c>
      <c r="Q421" s="6">
        <v>8380</v>
      </c>
      <c r="R421" s="16">
        <f t="shared" si="25"/>
        <v>38257</v>
      </c>
      <c r="S421" s="167">
        <f t="shared" si="27"/>
        <v>38311.1</v>
      </c>
      <c r="T421" s="168">
        <f t="shared" si="28"/>
        <v>39415</v>
      </c>
    </row>
    <row r="422" spans="1:20" ht="15.6" x14ac:dyDescent="0.3">
      <c r="A422" s="127">
        <f t="shared" si="26"/>
        <v>39422</v>
      </c>
      <c r="B422" s="6">
        <v>4268</v>
      </c>
      <c r="C422" s="6">
        <v>7796</v>
      </c>
      <c r="D422" s="6">
        <v>951</v>
      </c>
      <c r="E422" s="6">
        <v>4016</v>
      </c>
      <c r="F422" s="6">
        <v>2458</v>
      </c>
      <c r="G422" s="6">
        <v>4471</v>
      </c>
      <c r="H422" s="6">
        <v>1410</v>
      </c>
      <c r="I422" s="6">
        <v>2369</v>
      </c>
      <c r="J422" s="6">
        <v>179</v>
      </c>
      <c r="K422" s="6">
        <v>744</v>
      </c>
      <c r="L422" s="6">
        <v>9266</v>
      </c>
      <c r="M422" s="6">
        <v>19395</v>
      </c>
      <c r="N422" s="6">
        <v>19144</v>
      </c>
      <c r="O422" s="6">
        <v>17444</v>
      </c>
      <c r="P422" s="6">
        <v>9869</v>
      </c>
      <c r="Q422" s="6">
        <v>9280</v>
      </c>
      <c r="R422" s="16">
        <f t="shared" si="25"/>
        <v>38279</v>
      </c>
      <c r="S422" s="167">
        <f t="shared" si="27"/>
        <v>38578.85</v>
      </c>
      <c r="T422" s="168">
        <f t="shared" si="28"/>
        <v>39422</v>
      </c>
    </row>
    <row r="423" spans="1:20" ht="15.6" x14ac:dyDescent="0.3">
      <c r="A423" s="127">
        <f t="shared" si="26"/>
        <v>39429</v>
      </c>
      <c r="B423" s="6">
        <v>4229</v>
      </c>
      <c r="C423" s="6">
        <v>7956</v>
      </c>
      <c r="D423" s="6">
        <v>830</v>
      </c>
      <c r="E423" s="6">
        <v>4053</v>
      </c>
      <c r="F423" s="6">
        <v>2353</v>
      </c>
      <c r="G423" s="6">
        <v>4653</v>
      </c>
      <c r="H423" s="6">
        <v>1361</v>
      </c>
      <c r="I423" s="6">
        <v>2478</v>
      </c>
      <c r="J423" s="6">
        <v>173</v>
      </c>
      <c r="K423" s="6">
        <v>766</v>
      </c>
      <c r="L423" s="6">
        <v>8946</v>
      </c>
      <c r="M423" s="6">
        <v>19906</v>
      </c>
      <c r="N423" s="6">
        <v>19083</v>
      </c>
      <c r="O423" s="6">
        <v>18662</v>
      </c>
      <c r="P423" s="6">
        <v>9638</v>
      </c>
      <c r="Q423" s="6">
        <v>10368</v>
      </c>
      <c r="R423" s="16">
        <f t="shared" si="25"/>
        <v>37667</v>
      </c>
      <c r="S423" s="167">
        <f t="shared" si="27"/>
        <v>38320.25</v>
      </c>
      <c r="T423" s="168">
        <f t="shared" si="28"/>
        <v>39429</v>
      </c>
    </row>
    <row r="424" spans="1:20" ht="15.6" x14ac:dyDescent="0.3">
      <c r="A424" s="127">
        <f t="shared" si="26"/>
        <v>39436</v>
      </c>
      <c r="B424" s="6">
        <v>4080.7</v>
      </c>
      <c r="C424" s="6">
        <v>8134.2</v>
      </c>
      <c r="D424" s="6">
        <v>830.2</v>
      </c>
      <c r="E424" s="6">
        <v>4067.5</v>
      </c>
      <c r="F424" s="6">
        <v>2419.9</v>
      </c>
      <c r="G424" s="6">
        <v>4755.8</v>
      </c>
      <c r="H424" s="6">
        <v>1372.4</v>
      </c>
      <c r="I424" s="6">
        <v>2557.6999999999998</v>
      </c>
      <c r="J424" s="6">
        <v>173</v>
      </c>
      <c r="K424" s="6">
        <v>772.1</v>
      </c>
      <c r="L424" s="6">
        <v>8863.7999999999993</v>
      </c>
      <c r="M424" s="6">
        <v>20287.2</v>
      </c>
      <c r="N424" s="6">
        <v>19243.400000000001</v>
      </c>
      <c r="O424" s="6">
        <v>19924.599999999999</v>
      </c>
      <c r="P424" s="6">
        <v>9486.7999999999993</v>
      </c>
      <c r="Q424" s="6">
        <v>11201.9</v>
      </c>
      <c r="R424" s="16">
        <f t="shared" si="25"/>
        <v>37594</v>
      </c>
      <c r="S424" s="167">
        <f t="shared" si="27"/>
        <v>37949.25</v>
      </c>
      <c r="T424" s="168">
        <f t="shared" si="28"/>
        <v>39436</v>
      </c>
    </row>
    <row r="425" spans="1:20" ht="15.6" x14ac:dyDescent="0.3">
      <c r="A425" s="127">
        <f t="shared" si="26"/>
        <v>39443</v>
      </c>
      <c r="B425" s="6">
        <v>3986</v>
      </c>
      <c r="C425" s="6">
        <v>8302</v>
      </c>
      <c r="D425" s="6">
        <v>740</v>
      </c>
      <c r="E425" s="6">
        <v>4148</v>
      </c>
      <c r="F425" s="6">
        <v>2322</v>
      </c>
      <c r="G425" s="6">
        <v>4894</v>
      </c>
      <c r="H425" s="6">
        <v>1324</v>
      </c>
      <c r="I425" s="6">
        <v>2609</v>
      </c>
      <c r="J425" s="6">
        <v>173</v>
      </c>
      <c r="K425" s="6">
        <v>772</v>
      </c>
      <c r="L425" s="6">
        <v>8545</v>
      </c>
      <c r="M425" s="6">
        <v>20725</v>
      </c>
      <c r="N425" s="6">
        <v>18804</v>
      </c>
      <c r="O425" s="6">
        <v>21065</v>
      </c>
      <c r="P425" s="6">
        <v>9041</v>
      </c>
      <c r="Q425" s="6">
        <v>11789</v>
      </c>
      <c r="R425" s="16">
        <f t="shared" si="25"/>
        <v>36390</v>
      </c>
      <c r="S425" s="167">
        <f t="shared" si="27"/>
        <v>37482.5</v>
      </c>
      <c r="T425" s="168">
        <f t="shared" si="28"/>
        <v>39443</v>
      </c>
    </row>
    <row r="426" spans="1:20" ht="15.6" x14ac:dyDescent="0.3">
      <c r="A426" s="128">
        <f t="shared" si="26"/>
        <v>39450</v>
      </c>
      <c r="B426" s="6">
        <v>3785</v>
      </c>
      <c r="C426" s="6">
        <v>8525</v>
      </c>
      <c r="D426" s="6">
        <v>820</v>
      </c>
      <c r="E426" s="6">
        <v>4197</v>
      </c>
      <c r="F426" s="6">
        <v>2207</v>
      </c>
      <c r="G426" s="6">
        <v>5037</v>
      </c>
      <c r="H426" s="6">
        <v>1282</v>
      </c>
      <c r="I426" s="6">
        <v>2642</v>
      </c>
      <c r="J426" s="6">
        <v>171</v>
      </c>
      <c r="K426" s="6">
        <v>794</v>
      </c>
      <c r="L426" s="6">
        <v>8265</v>
      </c>
      <c r="M426" s="6">
        <v>21195</v>
      </c>
      <c r="N426" s="6">
        <v>18496</v>
      </c>
      <c r="O426" s="6">
        <v>22043</v>
      </c>
      <c r="P426" s="6">
        <v>8218</v>
      </c>
      <c r="Q426" s="6">
        <v>12729</v>
      </c>
      <c r="R426" s="16">
        <f t="shared" si="25"/>
        <v>34979</v>
      </c>
      <c r="S426" s="167">
        <f t="shared" si="27"/>
        <v>36657.5</v>
      </c>
      <c r="T426" s="168">
        <f t="shared" si="28"/>
        <v>39450</v>
      </c>
    </row>
    <row r="427" spans="1:20" ht="15.6" x14ac:dyDescent="0.3">
      <c r="A427" s="128">
        <f t="shared" si="26"/>
        <v>39457</v>
      </c>
      <c r="B427" s="6">
        <v>3597</v>
      </c>
      <c r="C427" s="6">
        <v>8781</v>
      </c>
      <c r="D427" s="6">
        <v>853</v>
      </c>
      <c r="E427" s="6">
        <v>4234</v>
      </c>
      <c r="F427" s="6">
        <v>2142</v>
      </c>
      <c r="G427" s="6">
        <v>5277</v>
      </c>
      <c r="H427" s="6">
        <v>1249</v>
      </c>
      <c r="I427" s="6">
        <v>2781</v>
      </c>
      <c r="J427" s="6">
        <v>125</v>
      </c>
      <c r="K427" s="6">
        <v>827</v>
      </c>
      <c r="L427" s="6">
        <v>7966</v>
      </c>
      <c r="M427" s="6">
        <v>21899</v>
      </c>
      <c r="N427" s="6">
        <v>19363</v>
      </c>
      <c r="O427" s="6">
        <v>23482</v>
      </c>
      <c r="P427" s="6">
        <v>8428</v>
      </c>
      <c r="Q427" s="6">
        <v>13484</v>
      </c>
      <c r="R427" s="16">
        <f t="shared" si="25"/>
        <v>35757</v>
      </c>
      <c r="S427" s="167">
        <f t="shared" si="27"/>
        <v>36180</v>
      </c>
      <c r="T427" s="168">
        <f t="shared" si="28"/>
        <v>39457</v>
      </c>
    </row>
    <row r="428" spans="1:20" ht="15.6" x14ac:dyDescent="0.3">
      <c r="A428" s="128">
        <f t="shared" si="26"/>
        <v>39464</v>
      </c>
      <c r="B428" s="6">
        <v>3679</v>
      </c>
      <c r="C428" s="6">
        <v>8958</v>
      </c>
      <c r="D428" s="6">
        <v>846</v>
      </c>
      <c r="E428" s="6">
        <v>4240</v>
      </c>
      <c r="F428" s="6">
        <v>2084</v>
      </c>
      <c r="G428" s="6">
        <v>5461</v>
      </c>
      <c r="H428" s="6">
        <v>1165</v>
      </c>
      <c r="I428" s="6">
        <v>2904</v>
      </c>
      <c r="J428" s="6">
        <v>120</v>
      </c>
      <c r="K428" s="6">
        <v>832</v>
      </c>
      <c r="L428" s="6">
        <v>7894</v>
      </c>
      <c r="M428" s="6">
        <v>22394</v>
      </c>
      <c r="N428" s="6">
        <v>19623</v>
      </c>
      <c r="O428" s="6">
        <v>24817</v>
      </c>
      <c r="P428" s="6">
        <v>8085</v>
      </c>
      <c r="Q428" s="6">
        <v>14491</v>
      </c>
      <c r="R428" s="16">
        <f t="shared" si="25"/>
        <v>35602</v>
      </c>
      <c r="S428" s="167">
        <f t="shared" si="27"/>
        <v>35682</v>
      </c>
      <c r="T428" s="168">
        <f t="shared" si="28"/>
        <v>39464</v>
      </c>
    </row>
    <row r="429" spans="1:20" ht="15.6" x14ac:dyDescent="0.3">
      <c r="A429" s="128">
        <f t="shared" si="26"/>
        <v>39471</v>
      </c>
      <c r="B429" s="6">
        <v>3604</v>
      </c>
      <c r="C429" s="6">
        <v>9230</v>
      </c>
      <c r="D429" s="6">
        <v>854</v>
      </c>
      <c r="E429" s="6">
        <v>4302</v>
      </c>
      <c r="F429" s="6">
        <v>2028</v>
      </c>
      <c r="G429" s="6">
        <v>5653</v>
      </c>
      <c r="H429" s="6">
        <v>1197</v>
      </c>
      <c r="I429" s="6">
        <v>2978</v>
      </c>
      <c r="J429" s="6">
        <v>95</v>
      </c>
      <c r="K429" s="6">
        <v>854</v>
      </c>
      <c r="L429" s="6">
        <v>7779</v>
      </c>
      <c r="M429" s="6">
        <v>23018</v>
      </c>
      <c r="N429" s="6">
        <v>20020</v>
      </c>
      <c r="O429" s="6">
        <v>26308</v>
      </c>
      <c r="P429" s="6">
        <v>7841</v>
      </c>
      <c r="Q429" s="6">
        <v>15223</v>
      </c>
      <c r="R429" s="16">
        <f t="shared" si="25"/>
        <v>35640</v>
      </c>
      <c r="S429" s="167">
        <f t="shared" si="27"/>
        <v>35494.5</v>
      </c>
      <c r="T429" s="168">
        <f t="shared" si="28"/>
        <v>39471</v>
      </c>
    </row>
    <row r="430" spans="1:20" ht="15.6" x14ac:dyDescent="0.3">
      <c r="A430" s="128">
        <f t="shared" si="26"/>
        <v>39478</v>
      </c>
      <c r="B430" s="6">
        <v>3636</v>
      </c>
      <c r="C430" s="6">
        <v>9394</v>
      </c>
      <c r="D430" s="6">
        <v>818</v>
      </c>
      <c r="E430" s="6">
        <v>4343</v>
      </c>
      <c r="F430" s="6">
        <v>1966</v>
      </c>
      <c r="G430" s="6">
        <v>5812</v>
      </c>
      <c r="H430" s="6">
        <v>1126</v>
      </c>
      <c r="I430" s="6">
        <v>3051</v>
      </c>
      <c r="J430" s="6">
        <v>85</v>
      </c>
      <c r="K430" s="6">
        <v>879</v>
      </c>
      <c r="L430" s="6">
        <v>7631</v>
      </c>
      <c r="M430" s="6">
        <v>23478</v>
      </c>
      <c r="N430" s="6">
        <v>19799</v>
      </c>
      <c r="O430" s="6">
        <v>27558</v>
      </c>
      <c r="P430" s="6">
        <v>7986</v>
      </c>
      <c r="Q430" s="6">
        <v>16115</v>
      </c>
      <c r="R430" s="16">
        <f t="shared" si="25"/>
        <v>35416</v>
      </c>
      <c r="S430" s="167">
        <f t="shared" si="27"/>
        <v>35603.75</v>
      </c>
      <c r="T430" s="168">
        <f t="shared" si="28"/>
        <v>39478</v>
      </c>
    </row>
    <row r="431" spans="1:20" ht="15.6" x14ac:dyDescent="0.3">
      <c r="A431" s="128">
        <f t="shared" si="26"/>
        <v>39485</v>
      </c>
      <c r="B431" s="6">
        <v>3356</v>
      </c>
      <c r="C431" s="6">
        <v>9665</v>
      </c>
      <c r="D431" s="6">
        <v>842</v>
      </c>
      <c r="E431" s="6">
        <v>4384</v>
      </c>
      <c r="F431" s="6">
        <v>1832</v>
      </c>
      <c r="G431" s="6">
        <v>5964</v>
      </c>
      <c r="H431" s="6">
        <v>1056</v>
      </c>
      <c r="I431" s="6">
        <v>3125</v>
      </c>
      <c r="J431" s="6">
        <v>82</v>
      </c>
      <c r="K431" s="6">
        <v>887</v>
      </c>
      <c r="L431" s="6">
        <v>7168</v>
      </c>
      <c r="M431" s="6">
        <v>24025</v>
      </c>
      <c r="N431" s="6">
        <v>19586</v>
      </c>
      <c r="O431" s="6">
        <v>28695</v>
      </c>
      <c r="P431" s="6">
        <v>7289</v>
      </c>
      <c r="Q431" s="6">
        <v>17140</v>
      </c>
      <c r="R431" s="16">
        <f t="shared" si="25"/>
        <v>34043</v>
      </c>
      <c r="S431" s="167">
        <f t="shared" si="27"/>
        <v>35175.25</v>
      </c>
      <c r="T431" s="168">
        <f t="shared" si="28"/>
        <v>39485</v>
      </c>
    </row>
    <row r="432" spans="1:20" ht="15.6" x14ac:dyDescent="0.3">
      <c r="A432" s="128">
        <f t="shared" si="26"/>
        <v>39492</v>
      </c>
      <c r="B432" s="6">
        <v>3190</v>
      </c>
      <c r="C432" s="6">
        <v>9990</v>
      </c>
      <c r="D432" s="6">
        <v>736</v>
      </c>
      <c r="E432" s="6">
        <v>4407</v>
      </c>
      <c r="F432" s="6">
        <v>1689</v>
      </c>
      <c r="G432" s="6">
        <v>6128</v>
      </c>
      <c r="H432" s="6">
        <v>966</v>
      </c>
      <c r="I432" s="6">
        <v>3213</v>
      </c>
      <c r="J432" s="6">
        <v>77</v>
      </c>
      <c r="K432" s="6">
        <v>898</v>
      </c>
      <c r="L432" s="6">
        <v>6658</v>
      </c>
      <c r="M432" s="6">
        <v>24636</v>
      </c>
      <c r="N432" s="6">
        <v>19316</v>
      </c>
      <c r="O432" s="6">
        <v>30107</v>
      </c>
      <c r="P432" s="6">
        <v>6977</v>
      </c>
      <c r="Q432" s="6">
        <v>18083</v>
      </c>
      <c r="R432" s="16">
        <f t="shared" si="25"/>
        <v>32951</v>
      </c>
      <c r="S432" s="167">
        <f t="shared" si="27"/>
        <v>34512.5</v>
      </c>
      <c r="T432" s="168">
        <f t="shared" si="28"/>
        <v>39492</v>
      </c>
    </row>
    <row r="433" spans="1:20" ht="15.6" x14ac:dyDescent="0.3">
      <c r="A433" s="128">
        <f t="shared" si="26"/>
        <v>39499</v>
      </c>
      <c r="B433" s="6">
        <v>3187</v>
      </c>
      <c r="C433" s="6">
        <v>10141</v>
      </c>
      <c r="D433" s="6">
        <v>746</v>
      </c>
      <c r="E433" s="6">
        <v>4454</v>
      </c>
      <c r="F433" s="6">
        <v>1586</v>
      </c>
      <c r="G433" s="6">
        <v>6300</v>
      </c>
      <c r="H433" s="6">
        <v>860</v>
      </c>
      <c r="I433" s="6">
        <v>3325</v>
      </c>
      <c r="J433" s="6">
        <v>77</v>
      </c>
      <c r="K433" s="6">
        <v>926</v>
      </c>
      <c r="L433" s="6">
        <v>6456</v>
      </c>
      <c r="M433" s="6">
        <v>25146</v>
      </c>
      <c r="N433" s="6">
        <v>18670</v>
      </c>
      <c r="O433" s="6">
        <v>31355</v>
      </c>
      <c r="P433" s="6">
        <v>6893</v>
      </c>
      <c r="Q433" s="6">
        <v>18750</v>
      </c>
      <c r="R433" s="16">
        <f t="shared" si="25"/>
        <v>32019</v>
      </c>
      <c r="S433" s="167">
        <f t="shared" si="27"/>
        <v>33607.25</v>
      </c>
      <c r="T433" s="168">
        <f t="shared" si="28"/>
        <v>39499</v>
      </c>
    </row>
    <row r="434" spans="1:20" ht="15.6" x14ac:dyDescent="0.3">
      <c r="A434" s="128">
        <f t="shared" si="26"/>
        <v>39506</v>
      </c>
      <c r="B434" s="6">
        <v>3297</v>
      </c>
      <c r="C434" s="6">
        <v>10381</v>
      </c>
      <c r="D434" s="6">
        <v>746</v>
      </c>
      <c r="E434" s="6">
        <v>4537</v>
      </c>
      <c r="F434" s="6">
        <v>1480</v>
      </c>
      <c r="G434" s="6">
        <v>6398</v>
      </c>
      <c r="H434" s="6">
        <v>818</v>
      </c>
      <c r="I434" s="6">
        <v>3369</v>
      </c>
      <c r="J434" s="6">
        <v>67</v>
      </c>
      <c r="K434" s="6">
        <v>941</v>
      </c>
      <c r="L434" s="6">
        <v>6409</v>
      </c>
      <c r="M434" s="6">
        <v>25626</v>
      </c>
      <c r="N434" s="6">
        <v>17986</v>
      </c>
      <c r="O434" s="6">
        <v>32687</v>
      </c>
      <c r="P434" s="6">
        <v>6138</v>
      </c>
      <c r="Q434" s="6">
        <v>19709</v>
      </c>
      <c r="R434" s="16">
        <f t="shared" si="25"/>
        <v>30533</v>
      </c>
      <c r="S434" s="167">
        <f t="shared" si="27"/>
        <v>32386.5</v>
      </c>
      <c r="T434" s="168">
        <f t="shared" si="28"/>
        <v>39506</v>
      </c>
    </row>
    <row r="435" spans="1:20" ht="15.6" x14ac:dyDescent="0.3">
      <c r="A435" s="128">
        <f t="shared" si="26"/>
        <v>39513</v>
      </c>
      <c r="B435" s="6">
        <v>3224</v>
      </c>
      <c r="C435" s="6">
        <v>10602</v>
      </c>
      <c r="D435" s="6">
        <v>678</v>
      </c>
      <c r="E435" s="6">
        <v>4613</v>
      </c>
      <c r="F435" s="6">
        <v>1388</v>
      </c>
      <c r="G435" s="6">
        <v>6534</v>
      </c>
      <c r="H435" s="6">
        <v>747</v>
      </c>
      <c r="I435" s="6">
        <v>3427</v>
      </c>
      <c r="J435" s="6">
        <v>76</v>
      </c>
      <c r="K435" s="6">
        <v>956</v>
      </c>
      <c r="L435" s="6">
        <v>6113</v>
      </c>
      <c r="M435" s="6">
        <v>26132</v>
      </c>
      <c r="N435" s="6">
        <v>17692</v>
      </c>
      <c r="O435" s="6">
        <v>33749</v>
      </c>
      <c r="P435" s="6">
        <v>5509</v>
      </c>
      <c r="Q435" s="6">
        <v>20595</v>
      </c>
      <c r="R435" s="16">
        <f t="shared" si="25"/>
        <v>29314</v>
      </c>
      <c r="S435" s="167">
        <f t="shared" si="27"/>
        <v>31204.25</v>
      </c>
      <c r="T435" s="168">
        <f t="shared" si="28"/>
        <v>39513</v>
      </c>
    </row>
    <row r="436" spans="1:20" ht="15.6" x14ac:dyDescent="0.3">
      <c r="A436" s="128">
        <f t="shared" si="26"/>
        <v>39520</v>
      </c>
      <c r="B436" s="6">
        <v>2794</v>
      </c>
      <c r="C436" s="6">
        <v>10921</v>
      </c>
      <c r="D436" s="6">
        <v>664</v>
      </c>
      <c r="E436" s="6">
        <v>4771</v>
      </c>
      <c r="F436" s="6">
        <v>1304</v>
      </c>
      <c r="G436" s="6">
        <v>6599</v>
      </c>
      <c r="H436" s="6">
        <v>728</v>
      </c>
      <c r="I436" s="6">
        <v>3449</v>
      </c>
      <c r="J436" s="6">
        <v>76</v>
      </c>
      <c r="K436" s="6">
        <v>956</v>
      </c>
      <c r="L436" s="6">
        <v>5566</v>
      </c>
      <c r="M436" s="6">
        <v>26696</v>
      </c>
      <c r="N436" s="6">
        <v>16969</v>
      </c>
      <c r="O436" s="6">
        <v>35222</v>
      </c>
      <c r="P436" s="6">
        <v>5191</v>
      </c>
      <c r="Q436" s="6">
        <v>21351</v>
      </c>
      <c r="R436" s="16">
        <f t="shared" ref="R436:R499" si="29">L436+N436+P436</f>
        <v>27726</v>
      </c>
      <c r="S436" s="167">
        <f t="shared" si="27"/>
        <v>29898</v>
      </c>
      <c r="T436" s="168">
        <f t="shared" si="28"/>
        <v>39520</v>
      </c>
    </row>
    <row r="437" spans="1:20" ht="15.6" x14ac:dyDescent="0.3">
      <c r="A437" s="128">
        <f t="shared" si="26"/>
        <v>39527</v>
      </c>
      <c r="B437" s="6">
        <v>2704</v>
      </c>
      <c r="C437" s="6">
        <v>11126</v>
      </c>
      <c r="D437" s="6">
        <v>761</v>
      </c>
      <c r="E437" s="6">
        <v>4795</v>
      </c>
      <c r="F437" s="6">
        <v>1200</v>
      </c>
      <c r="G437" s="6">
        <v>6760</v>
      </c>
      <c r="H437" s="6">
        <v>696</v>
      </c>
      <c r="I437" s="6">
        <v>3566</v>
      </c>
      <c r="J437" s="6">
        <v>53</v>
      </c>
      <c r="K437" s="6">
        <v>980</v>
      </c>
      <c r="L437" s="6">
        <v>5414</v>
      </c>
      <c r="M437" s="6">
        <v>27228</v>
      </c>
      <c r="N437" s="6">
        <v>16312</v>
      </c>
      <c r="O437" s="6">
        <v>36511</v>
      </c>
      <c r="P437" s="6">
        <v>4924</v>
      </c>
      <c r="Q437" s="6">
        <v>21988</v>
      </c>
      <c r="R437" s="16">
        <f t="shared" si="29"/>
        <v>26650</v>
      </c>
      <c r="S437" s="167">
        <f t="shared" si="27"/>
        <v>28555.75</v>
      </c>
      <c r="T437" s="168">
        <f t="shared" si="28"/>
        <v>39527</v>
      </c>
    </row>
    <row r="438" spans="1:20" ht="15.6" x14ac:dyDescent="0.3">
      <c r="A438" s="128">
        <f t="shared" si="26"/>
        <v>39534</v>
      </c>
      <c r="B438" s="6">
        <v>2557</v>
      </c>
      <c r="C438" s="6">
        <v>11318</v>
      </c>
      <c r="D438" s="6">
        <v>914</v>
      </c>
      <c r="E438" s="6">
        <v>4826</v>
      </c>
      <c r="F438" s="6">
        <v>1052</v>
      </c>
      <c r="G438" s="6">
        <v>6931</v>
      </c>
      <c r="H438" s="6">
        <v>627</v>
      </c>
      <c r="I438" s="6">
        <v>3652</v>
      </c>
      <c r="J438" s="6">
        <v>53</v>
      </c>
      <c r="K438" s="6">
        <v>978</v>
      </c>
      <c r="L438" s="6">
        <v>5203</v>
      </c>
      <c r="M438" s="6">
        <v>27706</v>
      </c>
      <c r="N438" s="6">
        <v>15871</v>
      </c>
      <c r="O438" s="6">
        <v>37657</v>
      </c>
      <c r="P438" s="6">
        <v>4381</v>
      </c>
      <c r="Q438" s="6">
        <v>22716</v>
      </c>
      <c r="R438" s="16">
        <f t="shared" si="29"/>
        <v>25455</v>
      </c>
      <c r="S438" s="167">
        <f t="shared" si="27"/>
        <v>27286.25</v>
      </c>
      <c r="T438" s="168">
        <f t="shared" si="28"/>
        <v>39534</v>
      </c>
    </row>
    <row r="439" spans="1:20" ht="15.6" x14ac:dyDescent="0.3">
      <c r="A439" s="128">
        <f t="shared" si="26"/>
        <v>39541</v>
      </c>
      <c r="B439" s="6">
        <v>2431</v>
      </c>
      <c r="C439" s="6">
        <v>11743</v>
      </c>
      <c r="D439" s="6">
        <v>786</v>
      </c>
      <c r="E439" s="6">
        <v>4993</v>
      </c>
      <c r="F439" s="6">
        <v>1023</v>
      </c>
      <c r="G439" s="6">
        <v>7029</v>
      </c>
      <c r="H439" s="6">
        <v>580</v>
      </c>
      <c r="I439" s="6">
        <v>3710</v>
      </c>
      <c r="J439" s="6">
        <v>77</v>
      </c>
      <c r="K439" s="6">
        <v>992</v>
      </c>
      <c r="L439" s="6">
        <v>4897</v>
      </c>
      <c r="M439" s="6">
        <v>28466</v>
      </c>
      <c r="N439" s="6">
        <v>15090</v>
      </c>
      <c r="O439" s="6">
        <v>38906</v>
      </c>
      <c r="P439" s="6">
        <v>4538</v>
      </c>
      <c r="Q439" s="6">
        <v>23142</v>
      </c>
      <c r="R439" s="16">
        <f t="shared" si="29"/>
        <v>24525</v>
      </c>
      <c r="S439" s="167">
        <f t="shared" si="27"/>
        <v>26089</v>
      </c>
      <c r="T439" s="168">
        <f t="shared" si="28"/>
        <v>39541</v>
      </c>
    </row>
    <row r="440" spans="1:20" ht="15.6" x14ac:dyDescent="0.3">
      <c r="A440" s="128">
        <f t="shared" si="26"/>
        <v>39548</v>
      </c>
      <c r="B440" s="6">
        <v>2341</v>
      </c>
      <c r="C440" s="6">
        <v>11941</v>
      </c>
      <c r="D440" s="6">
        <v>737</v>
      </c>
      <c r="E440" s="6">
        <v>5073</v>
      </c>
      <c r="F440" s="6">
        <v>972</v>
      </c>
      <c r="G440" s="6">
        <v>7060</v>
      </c>
      <c r="H440" s="6">
        <v>571</v>
      </c>
      <c r="I440" s="6">
        <v>3722</v>
      </c>
      <c r="J440" s="6">
        <v>83</v>
      </c>
      <c r="K440" s="6">
        <v>992</v>
      </c>
      <c r="L440" s="6">
        <v>4704</v>
      </c>
      <c r="M440" s="6">
        <v>28788</v>
      </c>
      <c r="N440" s="6">
        <v>14847</v>
      </c>
      <c r="O440" s="6">
        <v>40012</v>
      </c>
      <c r="P440" s="6">
        <v>4607</v>
      </c>
      <c r="Q440" s="6">
        <v>23550</v>
      </c>
      <c r="R440" s="16">
        <f t="shared" si="29"/>
        <v>24158</v>
      </c>
      <c r="S440" s="167">
        <f t="shared" si="27"/>
        <v>25197</v>
      </c>
      <c r="T440" s="168">
        <f t="shared" si="28"/>
        <v>39548</v>
      </c>
    </row>
    <row r="441" spans="1:20" ht="15.6" x14ac:dyDescent="0.3">
      <c r="A441" s="128">
        <f t="shared" si="26"/>
        <v>39555</v>
      </c>
      <c r="B441" s="6">
        <v>2136</v>
      </c>
      <c r="C441" s="6">
        <v>12265</v>
      </c>
      <c r="D441" s="6">
        <v>734</v>
      </c>
      <c r="E441" s="6">
        <v>5080</v>
      </c>
      <c r="F441" s="6">
        <v>893</v>
      </c>
      <c r="G441" s="6">
        <v>7174</v>
      </c>
      <c r="H441" s="6">
        <v>482</v>
      </c>
      <c r="I441" s="6">
        <v>3794</v>
      </c>
      <c r="J441" s="6">
        <v>67</v>
      </c>
      <c r="K441" s="6">
        <v>1026</v>
      </c>
      <c r="L441" s="6">
        <v>4312</v>
      </c>
      <c r="M441" s="6">
        <v>29339</v>
      </c>
      <c r="N441" s="6">
        <v>14512</v>
      </c>
      <c r="O441" s="6">
        <v>41128</v>
      </c>
      <c r="P441" s="6">
        <v>4444</v>
      </c>
      <c r="Q441" s="6">
        <v>24090</v>
      </c>
      <c r="R441" s="16">
        <f t="shared" si="29"/>
        <v>23268</v>
      </c>
      <c r="S441" s="167">
        <f t="shared" si="27"/>
        <v>24351.5</v>
      </c>
      <c r="T441" s="168">
        <f t="shared" si="28"/>
        <v>39555</v>
      </c>
    </row>
    <row r="442" spans="1:20" ht="15.6" x14ac:dyDescent="0.3">
      <c r="A442" s="128">
        <f t="shared" si="26"/>
        <v>39562</v>
      </c>
      <c r="B442" s="6">
        <v>1888</v>
      </c>
      <c r="C442" s="6">
        <v>12573</v>
      </c>
      <c r="D442" s="6">
        <v>786</v>
      </c>
      <c r="E442" s="6">
        <v>5109</v>
      </c>
      <c r="F442" s="6">
        <v>860</v>
      </c>
      <c r="G442" s="6">
        <v>7229</v>
      </c>
      <c r="H442" s="6">
        <v>317</v>
      </c>
      <c r="I442" s="6">
        <v>3971</v>
      </c>
      <c r="J442" s="6">
        <v>63</v>
      </c>
      <c r="K442" s="6">
        <v>1032</v>
      </c>
      <c r="L442" s="6">
        <v>3913</v>
      </c>
      <c r="M442" s="6">
        <v>29914</v>
      </c>
      <c r="N442" s="6">
        <v>14060</v>
      </c>
      <c r="O442" s="6">
        <v>42132</v>
      </c>
      <c r="P442" s="6">
        <v>4210</v>
      </c>
      <c r="Q442" s="6">
        <v>24635</v>
      </c>
      <c r="R442" s="16">
        <f t="shared" si="29"/>
        <v>22183</v>
      </c>
      <c r="S442" s="167">
        <f t="shared" si="27"/>
        <v>23533.5</v>
      </c>
      <c r="T442" s="168">
        <f t="shared" si="28"/>
        <v>39562</v>
      </c>
    </row>
    <row r="443" spans="1:20" ht="15.6" x14ac:dyDescent="0.3">
      <c r="A443" s="128">
        <f t="shared" si="26"/>
        <v>39569</v>
      </c>
      <c r="B443" s="6">
        <v>1683</v>
      </c>
      <c r="C443" s="6">
        <v>12867</v>
      </c>
      <c r="D443" s="6">
        <v>743</v>
      </c>
      <c r="E443" s="6">
        <v>5220</v>
      </c>
      <c r="F443" s="6">
        <v>712</v>
      </c>
      <c r="G443" s="6">
        <v>7393</v>
      </c>
      <c r="H443" s="6">
        <v>257</v>
      </c>
      <c r="I443" s="6">
        <v>4035</v>
      </c>
      <c r="J443" s="6">
        <v>64</v>
      </c>
      <c r="K443" s="6">
        <v>1032</v>
      </c>
      <c r="L443" s="6">
        <v>3460</v>
      </c>
      <c r="M443" s="6">
        <v>30546</v>
      </c>
      <c r="N443" s="6">
        <v>13460</v>
      </c>
      <c r="O443" s="6">
        <v>43069</v>
      </c>
      <c r="P443" s="6">
        <v>3889</v>
      </c>
      <c r="Q443" s="6">
        <v>24997</v>
      </c>
      <c r="R443" s="16">
        <f t="shared" si="29"/>
        <v>20809</v>
      </c>
      <c r="S443" s="167">
        <f t="shared" si="27"/>
        <v>22604.5</v>
      </c>
      <c r="T443" s="168">
        <f t="shared" si="28"/>
        <v>39569</v>
      </c>
    </row>
    <row r="444" spans="1:20" ht="15.6" x14ac:dyDescent="0.3">
      <c r="A444" s="128">
        <f t="shared" si="26"/>
        <v>39576</v>
      </c>
      <c r="B444" s="6">
        <v>1484</v>
      </c>
      <c r="C444" s="6">
        <v>13066</v>
      </c>
      <c r="D444" s="6">
        <v>715</v>
      </c>
      <c r="E444" s="6">
        <v>5372</v>
      </c>
      <c r="F444" s="6">
        <v>534</v>
      </c>
      <c r="G444" s="6">
        <v>7567</v>
      </c>
      <c r="H444" s="6">
        <v>209</v>
      </c>
      <c r="I444" s="6">
        <v>4084</v>
      </c>
      <c r="J444" s="6">
        <v>38</v>
      </c>
      <c r="K444" s="6">
        <v>1057</v>
      </c>
      <c r="L444" s="6">
        <v>2980</v>
      </c>
      <c r="M444" s="6">
        <v>31146</v>
      </c>
      <c r="N444" s="6">
        <v>13012</v>
      </c>
      <c r="O444" s="6">
        <v>44064</v>
      </c>
      <c r="P444" s="6">
        <v>3603</v>
      </c>
      <c r="Q444" s="6">
        <v>25484</v>
      </c>
      <c r="R444" s="16">
        <f t="shared" si="29"/>
        <v>19595</v>
      </c>
      <c r="S444" s="167">
        <f t="shared" si="27"/>
        <v>21463.75</v>
      </c>
      <c r="T444" s="168">
        <f t="shared" si="28"/>
        <v>39576</v>
      </c>
    </row>
    <row r="445" spans="1:20" ht="15.6" x14ac:dyDescent="0.3">
      <c r="A445" s="128">
        <f t="shared" si="26"/>
        <v>39583</v>
      </c>
      <c r="B445" s="6">
        <v>1362</v>
      </c>
      <c r="C445" s="6">
        <v>13249</v>
      </c>
      <c r="D445" s="6">
        <v>720</v>
      </c>
      <c r="E445" s="6">
        <v>5404</v>
      </c>
      <c r="F445" s="6">
        <v>485</v>
      </c>
      <c r="G445" s="6">
        <v>7615</v>
      </c>
      <c r="H445" s="6">
        <v>160</v>
      </c>
      <c r="I445" s="6">
        <v>4134</v>
      </c>
      <c r="J445" s="6">
        <v>26</v>
      </c>
      <c r="K445" s="6">
        <v>1069</v>
      </c>
      <c r="L445" s="6">
        <v>2752</v>
      </c>
      <c r="M445" s="6">
        <v>31472</v>
      </c>
      <c r="N445" s="6">
        <v>12775</v>
      </c>
      <c r="O445" s="6">
        <v>44808</v>
      </c>
      <c r="P445" s="6">
        <v>3714</v>
      </c>
      <c r="Q445" s="6">
        <v>25756</v>
      </c>
      <c r="R445" s="16">
        <f t="shared" si="29"/>
        <v>19241</v>
      </c>
      <c r="S445" s="167">
        <f t="shared" si="27"/>
        <v>20457</v>
      </c>
      <c r="T445" s="168">
        <f t="shared" si="28"/>
        <v>39583</v>
      </c>
    </row>
    <row r="446" spans="1:20" ht="15.6" x14ac:dyDescent="0.3">
      <c r="A446" s="128">
        <f t="shared" si="26"/>
        <v>39590</v>
      </c>
      <c r="B446" s="6">
        <v>891</v>
      </c>
      <c r="C446" s="6">
        <v>13415</v>
      </c>
      <c r="D446" s="6">
        <v>603</v>
      </c>
      <c r="E446" s="6">
        <v>5475</v>
      </c>
      <c r="F446" s="6">
        <v>387</v>
      </c>
      <c r="G446" s="6">
        <v>7699</v>
      </c>
      <c r="H446" s="6">
        <v>137</v>
      </c>
      <c r="I446" s="6">
        <v>4156</v>
      </c>
      <c r="J446" s="6">
        <v>26</v>
      </c>
      <c r="K446" s="6">
        <v>1069</v>
      </c>
      <c r="L446" s="6">
        <v>2044</v>
      </c>
      <c r="M446" s="6">
        <v>31815</v>
      </c>
      <c r="N446" s="6">
        <v>12180</v>
      </c>
      <c r="O446" s="6">
        <v>45881</v>
      </c>
      <c r="P446" s="6">
        <v>3575</v>
      </c>
      <c r="Q446" s="6">
        <v>26141</v>
      </c>
      <c r="R446" s="16">
        <f t="shared" si="29"/>
        <v>17799</v>
      </c>
      <c r="S446" s="167">
        <f t="shared" si="27"/>
        <v>19361</v>
      </c>
      <c r="T446" s="168">
        <f t="shared" si="28"/>
        <v>39590</v>
      </c>
    </row>
    <row r="447" spans="1:20" ht="15.6" x14ac:dyDescent="0.3">
      <c r="A447" s="128">
        <f t="shared" si="26"/>
        <v>39597</v>
      </c>
      <c r="B447" s="6">
        <v>697</v>
      </c>
      <c r="C447" s="78">
        <v>13709</v>
      </c>
      <c r="D447" s="78">
        <v>525</v>
      </c>
      <c r="E447" s="78">
        <v>5568</v>
      </c>
      <c r="F447" s="78">
        <v>271</v>
      </c>
      <c r="G447" s="78">
        <v>7842</v>
      </c>
      <c r="H447" s="78">
        <v>103</v>
      </c>
      <c r="I447" s="78">
        <v>4191</v>
      </c>
      <c r="J447" s="78">
        <v>22</v>
      </c>
      <c r="K447" s="78">
        <v>1075</v>
      </c>
      <c r="L447" s="78">
        <v>1614</v>
      </c>
      <c r="M447" s="78">
        <v>32385</v>
      </c>
      <c r="N447" s="78">
        <v>11725</v>
      </c>
      <c r="O447" s="78">
        <v>46866</v>
      </c>
      <c r="P447" s="78">
        <v>3591</v>
      </c>
      <c r="Q447" s="78">
        <v>26424</v>
      </c>
      <c r="R447" s="79">
        <f t="shared" si="29"/>
        <v>16930</v>
      </c>
      <c r="S447" s="167">
        <f t="shared" si="27"/>
        <v>18391.25</v>
      </c>
      <c r="T447" s="168">
        <f t="shared" si="28"/>
        <v>39597</v>
      </c>
    </row>
    <row r="448" spans="1:20" ht="15.6" x14ac:dyDescent="0.3">
      <c r="A448" s="128">
        <f t="shared" si="26"/>
        <v>39604</v>
      </c>
      <c r="B448" s="6">
        <v>3458</v>
      </c>
      <c r="C448" s="6">
        <v>206</v>
      </c>
      <c r="D448" s="6">
        <v>1544</v>
      </c>
      <c r="E448" s="6">
        <v>75</v>
      </c>
      <c r="F448" s="6">
        <v>1129</v>
      </c>
      <c r="G448" s="6">
        <v>77</v>
      </c>
      <c r="H448" s="6">
        <v>812</v>
      </c>
      <c r="I448" s="96">
        <v>0.4</v>
      </c>
      <c r="J448" s="6">
        <v>235</v>
      </c>
      <c r="K448" s="6">
        <v>8</v>
      </c>
      <c r="L448" s="6">
        <v>7177</v>
      </c>
      <c r="M448" s="6">
        <v>367</v>
      </c>
      <c r="N448" s="6">
        <v>11085</v>
      </c>
      <c r="O448" s="6">
        <v>48031</v>
      </c>
      <c r="P448" s="6">
        <v>3658</v>
      </c>
      <c r="Q448" s="6">
        <v>26629</v>
      </c>
      <c r="R448" s="16">
        <f t="shared" si="29"/>
        <v>21920</v>
      </c>
      <c r="S448" s="167">
        <f t="shared" si="27"/>
        <v>18972.5</v>
      </c>
      <c r="T448" s="168">
        <f t="shared" si="28"/>
        <v>39604</v>
      </c>
    </row>
    <row r="449" spans="1:20" ht="15.6" x14ac:dyDescent="0.3">
      <c r="A449" s="128">
        <f t="shared" si="26"/>
        <v>39611</v>
      </c>
      <c r="B449" s="6">
        <v>3481</v>
      </c>
      <c r="C449" s="6">
        <v>496</v>
      </c>
      <c r="D449" s="6">
        <v>1577</v>
      </c>
      <c r="E449" s="6">
        <v>97</v>
      </c>
      <c r="F449" s="6">
        <v>1194</v>
      </c>
      <c r="G449" s="6">
        <v>101</v>
      </c>
      <c r="H449" s="6">
        <v>855</v>
      </c>
      <c r="I449" s="6">
        <v>38</v>
      </c>
      <c r="J449" s="6">
        <v>235</v>
      </c>
      <c r="K449" s="6">
        <v>11</v>
      </c>
      <c r="L449" s="6">
        <v>7342</v>
      </c>
      <c r="M449" s="6">
        <v>741</v>
      </c>
      <c r="N449" s="6">
        <v>10341</v>
      </c>
      <c r="O449" s="6">
        <v>49118</v>
      </c>
      <c r="P449" s="6">
        <v>3473</v>
      </c>
      <c r="Q449" s="6">
        <v>26985</v>
      </c>
      <c r="R449" s="16">
        <f t="shared" si="29"/>
        <v>21156</v>
      </c>
      <c r="S449" s="167">
        <f t="shared" si="27"/>
        <v>19451.25</v>
      </c>
      <c r="T449" s="168">
        <f t="shared" si="28"/>
        <v>39611</v>
      </c>
    </row>
    <row r="450" spans="1:20" ht="15.6" x14ac:dyDescent="0.3">
      <c r="A450" s="128">
        <f t="shared" si="26"/>
        <v>39618</v>
      </c>
      <c r="B450" s="6">
        <v>3379</v>
      </c>
      <c r="C450" s="6">
        <v>745</v>
      </c>
      <c r="D450" s="6">
        <v>1593</v>
      </c>
      <c r="E450" s="6">
        <v>232</v>
      </c>
      <c r="F450" s="6">
        <v>1261</v>
      </c>
      <c r="G450" s="6">
        <v>186</v>
      </c>
      <c r="H450" s="6">
        <v>867</v>
      </c>
      <c r="I450" s="6">
        <v>69</v>
      </c>
      <c r="J450" s="6">
        <v>236</v>
      </c>
      <c r="K450" s="6">
        <v>12</v>
      </c>
      <c r="L450" s="6">
        <v>7336</v>
      </c>
      <c r="M450" s="6">
        <v>1245</v>
      </c>
      <c r="N450" s="6">
        <v>9588</v>
      </c>
      <c r="O450" s="6">
        <v>50102</v>
      </c>
      <c r="P450" s="6">
        <v>2877</v>
      </c>
      <c r="Q450" s="6">
        <v>27313</v>
      </c>
      <c r="R450" s="16">
        <f t="shared" si="29"/>
        <v>19801</v>
      </c>
      <c r="S450" s="167">
        <f t="shared" si="27"/>
        <v>19951.75</v>
      </c>
      <c r="T450" s="168">
        <f t="shared" si="28"/>
        <v>39618</v>
      </c>
    </row>
    <row r="451" spans="1:20" ht="15.6" x14ac:dyDescent="0.3">
      <c r="A451" s="128">
        <f t="shared" si="26"/>
        <v>39625</v>
      </c>
      <c r="B451" s="78">
        <v>3519.7</v>
      </c>
      <c r="C451" s="6">
        <v>974.8</v>
      </c>
      <c r="D451" s="6">
        <v>1548.3</v>
      </c>
      <c r="E451" s="6">
        <v>387.1</v>
      </c>
      <c r="F451" s="6">
        <v>1345</v>
      </c>
      <c r="G451" s="6">
        <v>233.5</v>
      </c>
      <c r="H451" s="6">
        <v>917.9</v>
      </c>
      <c r="I451" s="6">
        <v>72.5</v>
      </c>
      <c r="J451" s="6">
        <v>236.5</v>
      </c>
      <c r="K451" s="6">
        <v>13.4</v>
      </c>
      <c r="L451" s="6">
        <v>7567.4</v>
      </c>
      <c r="M451" s="6">
        <v>1681.2</v>
      </c>
      <c r="N451" s="6">
        <v>8724.4</v>
      </c>
      <c r="O451" s="6">
        <v>51286.1</v>
      </c>
      <c r="P451" s="6">
        <v>2786.9</v>
      </c>
      <c r="Q451" s="6">
        <v>27868.5</v>
      </c>
      <c r="R451" s="16">
        <f t="shared" si="29"/>
        <v>19078.7</v>
      </c>
      <c r="S451" s="167">
        <f t="shared" si="27"/>
        <v>20488.924999999999</v>
      </c>
      <c r="T451" s="168">
        <f t="shared" si="28"/>
        <v>39625</v>
      </c>
    </row>
    <row r="452" spans="1:20" ht="15.6" x14ac:dyDescent="0.3">
      <c r="A452" s="128">
        <f t="shared" si="26"/>
        <v>39632</v>
      </c>
      <c r="B452" s="78">
        <v>3542</v>
      </c>
      <c r="C452" s="6">
        <v>1221</v>
      </c>
      <c r="D452" s="6">
        <v>1521</v>
      </c>
      <c r="E452" s="6">
        <v>615</v>
      </c>
      <c r="F452" s="6">
        <v>1393</v>
      </c>
      <c r="G452" s="6">
        <v>301</v>
      </c>
      <c r="H452" s="6">
        <v>920</v>
      </c>
      <c r="I452" s="6">
        <v>103</v>
      </c>
      <c r="J452" s="6">
        <v>236.5</v>
      </c>
      <c r="K452" s="6">
        <v>13.4</v>
      </c>
      <c r="L452" s="6">
        <v>7612</v>
      </c>
      <c r="M452" s="6">
        <v>2253</v>
      </c>
      <c r="N452" s="6">
        <v>8131</v>
      </c>
      <c r="O452" s="6">
        <v>52217</v>
      </c>
      <c r="P452" s="6">
        <v>2550</v>
      </c>
      <c r="Q452" s="6">
        <v>28172</v>
      </c>
      <c r="R452" s="16">
        <f t="shared" si="29"/>
        <v>18293</v>
      </c>
      <c r="S452" s="167">
        <f t="shared" si="27"/>
        <v>19582.174999999999</v>
      </c>
      <c r="T452" s="168">
        <f t="shared" si="28"/>
        <v>39632</v>
      </c>
    </row>
    <row r="453" spans="1:20" ht="15.6" x14ac:dyDescent="0.3">
      <c r="A453" s="128">
        <f t="shared" si="26"/>
        <v>39639</v>
      </c>
      <c r="B453" s="78">
        <v>3529</v>
      </c>
      <c r="C453" s="6">
        <v>1582</v>
      </c>
      <c r="D453" s="6">
        <v>1520</v>
      </c>
      <c r="E453" s="6">
        <v>815</v>
      </c>
      <c r="F453" s="6">
        <v>1414</v>
      </c>
      <c r="G453" s="6">
        <v>366</v>
      </c>
      <c r="H453" s="6">
        <v>1017</v>
      </c>
      <c r="I453" s="6">
        <v>123</v>
      </c>
      <c r="J453" s="6">
        <v>236.5</v>
      </c>
      <c r="K453" s="6">
        <v>13.4</v>
      </c>
      <c r="L453" s="6">
        <v>7716</v>
      </c>
      <c r="M453" s="6">
        <v>2898</v>
      </c>
      <c r="N453" s="6">
        <v>7811</v>
      </c>
      <c r="O453" s="6">
        <v>52906</v>
      </c>
      <c r="P453" s="6">
        <v>2360</v>
      </c>
      <c r="Q453" s="6">
        <v>28425</v>
      </c>
      <c r="R453" s="16">
        <f t="shared" si="29"/>
        <v>17887</v>
      </c>
      <c r="S453" s="167">
        <f t="shared" si="27"/>
        <v>18764.924999999999</v>
      </c>
      <c r="T453" s="168">
        <f t="shared" si="28"/>
        <v>39639</v>
      </c>
    </row>
    <row r="454" spans="1:20" ht="15.6" x14ac:dyDescent="0.3">
      <c r="A454" s="128">
        <f t="shared" si="26"/>
        <v>39646</v>
      </c>
      <c r="B454" s="78">
        <v>3378</v>
      </c>
      <c r="C454" s="6">
        <v>1939</v>
      </c>
      <c r="D454" s="6">
        <v>1333</v>
      </c>
      <c r="E454" s="6">
        <v>1228</v>
      </c>
      <c r="F454" s="6">
        <v>1475</v>
      </c>
      <c r="G454" s="6">
        <v>403</v>
      </c>
      <c r="H454" s="6">
        <v>1094</v>
      </c>
      <c r="I454" s="6">
        <v>123</v>
      </c>
      <c r="J454" s="6">
        <v>212</v>
      </c>
      <c r="K454" s="6">
        <v>41</v>
      </c>
      <c r="L454" s="6">
        <v>7491</v>
      </c>
      <c r="M454" s="6">
        <v>3733</v>
      </c>
      <c r="N454" s="6">
        <v>7388</v>
      </c>
      <c r="O454" s="6">
        <v>53653</v>
      </c>
      <c r="P454" s="6">
        <v>2343</v>
      </c>
      <c r="Q454" s="6">
        <v>28625</v>
      </c>
      <c r="R454" s="16">
        <f t="shared" si="29"/>
        <v>17222</v>
      </c>
      <c r="S454" s="167">
        <f t="shared" si="27"/>
        <v>18120.174999999999</v>
      </c>
      <c r="T454" s="168">
        <f t="shared" si="28"/>
        <v>39646</v>
      </c>
    </row>
    <row r="455" spans="1:20" ht="15.6" x14ac:dyDescent="0.3">
      <c r="A455" s="128">
        <f t="shared" si="26"/>
        <v>39653</v>
      </c>
      <c r="B455" s="78">
        <v>3439</v>
      </c>
      <c r="C455" s="6">
        <v>2258</v>
      </c>
      <c r="D455" s="6">
        <v>1393</v>
      </c>
      <c r="E455" s="6">
        <v>1402</v>
      </c>
      <c r="F455" s="6">
        <v>1509</v>
      </c>
      <c r="G455" s="6">
        <v>448</v>
      </c>
      <c r="H455" s="6">
        <v>1087</v>
      </c>
      <c r="I455" s="6">
        <v>156</v>
      </c>
      <c r="J455" s="6">
        <v>212</v>
      </c>
      <c r="K455" s="6">
        <v>47</v>
      </c>
      <c r="L455" s="6">
        <v>7640</v>
      </c>
      <c r="M455" s="6">
        <v>4311</v>
      </c>
      <c r="N455" s="6">
        <v>6216</v>
      </c>
      <c r="O455" s="6">
        <v>54888</v>
      </c>
      <c r="P455" s="6">
        <v>2233</v>
      </c>
      <c r="Q455" s="6">
        <v>29007</v>
      </c>
      <c r="R455" s="16">
        <f t="shared" si="29"/>
        <v>16089</v>
      </c>
      <c r="S455" s="167">
        <f t="shared" si="27"/>
        <v>17372.75</v>
      </c>
      <c r="T455" s="168">
        <f t="shared" si="28"/>
        <v>39653</v>
      </c>
    </row>
    <row r="456" spans="1:20" ht="15.6" x14ac:dyDescent="0.3">
      <c r="A456" s="128">
        <f t="shared" si="26"/>
        <v>39660</v>
      </c>
      <c r="B456" s="78">
        <v>3433</v>
      </c>
      <c r="C456" s="6">
        <v>2765</v>
      </c>
      <c r="D456" s="6">
        <v>1339</v>
      </c>
      <c r="E456" s="6">
        <v>1549</v>
      </c>
      <c r="F456" s="6">
        <v>1467</v>
      </c>
      <c r="G456" s="6">
        <v>548</v>
      </c>
      <c r="H456" s="6">
        <v>1071</v>
      </c>
      <c r="I456" s="6">
        <v>197</v>
      </c>
      <c r="J456" s="6">
        <v>212</v>
      </c>
      <c r="K456" s="6">
        <v>54</v>
      </c>
      <c r="L456" s="6">
        <v>7522</v>
      </c>
      <c r="M456" s="6">
        <v>5112</v>
      </c>
      <c r="N456" s="6">
        <v>5677</v>
      </c>
      <c r="O456" s="6">
        <v>55764</v>
      </c>
      <c r="P456" s="6">
        <v>2223</v>
      </c>
      <c r="Q456" s="6">
        <v>29391</v>
      </c>
      <c r="R456" s="16">
        <f t="shared" si="29"/>
        <v>15422</v>
      </c>
      <c r="S456" s="167">
        <f t="shared" si="27"/>
        <v>16655</v>
      </c>
      <c r="T456" s="168">
        <f t="shared" si="28"/>
        <v>39660</v>
      </c>
    </row>
    <row r="457" spans="1:20" ht="15.6" x14ac:dyDescent="0.3">
      <c r="A457" s="128">
        <f t="shared" si="26"/>
        <v>39667</v>
      </c>
      <c r="B457" s="78">
        <v>3328</v>
      </c>
      <c r="C457" s="6">
        <v>3140</v>
      </c>
      <c r="D457" s="6">
        <v>1251</v>
      </c>
      <c r="E457" s="6">
        <v>1777</v>
      </c>
      <c r="F457" s="6">
        <v>1579</v>
      </c>
      <c r="G457" s="6">
        <v>646</v>
      </c>
      <c r="H457" s="6">
        <v>1023</v>
      </c>
      <c r="I457" s="6">
        <v>272</v>
      </c>
      <c r="J457" s="6">
        <v>179</v>
      </c>
      <c r="K457" s="6">
        <v>91</v>
      </c>
      <c r="L457" s="6">
        <v>7359</v>
      </c>
      <c r="M457" s="6">
        <v>5925</v>
      </c>
      <c r="N457" s="6">
        <v>5124</v>
      </c>
      <c r="O457" s="6">
        <v>56703</v>
      </c>
      <c r="P457" s="6">
        <v>1889</v>
      </c>
      <c r="Q457" s="6">
        <v>29676</v>
      </c>
      <c r="R457" s="16">
        <f t="shared" si="29"/>
        <v>14372</v>
      </c>
      <c r="S457" s="167">
        <f t="shared" si="27"/>
        <v>15776.25</v>
      </c>
      <c r="T457" s="168">
        <f t="shared" si="28"/>
        <v>39667</v>
      </c>
    </row>
    <row r="458" spans="1:20" ht="15.6" x14ac:dyDescent="0.3">
      <c r="A458" s="128">
        <f t="shared" si="26"/>
        <v>39674</v>
      </c>
      <c r="B458" s="78">
        <v>3350</v>
      </c>
      <c r="C458" s="6">
        <v>3834</v>
      </c>
      <c r="D458" s="6">
        <v>1180</v>
      </c>
      <c r="E458" s="6">
        <v>1929</v>
      </c>
      <c r="F458" s="6">
        <v>1638</v>
      </c>
      <c r="G458" s="6">
        <v>680</v>
      </c>
      <c r="H458" s="6">
        <v>953</v>
      </c>
      <c r="I458" s="6">
        <v>364</v>
      </c>
      <c r="J458" s="6">
        <v>149</v>
      </c>
      <c r="K458" s="6">
        <v>124</v>
      </c>
      <c r="L458" s="6">
        <v>7270</v>
      </c>
      <c r="M458" s="6">
        <v>6930</v>
      </c>
      <c r="N458" s="6">
        <v>4230</v>
      </c>
      <c r="O458" s="6">
        <v>57794</v>
      </c>
      <c r="P458" s="6">
        <v>1642</v>
      </c>
      <c r="Q458" s="6">
        <v>29841</v>
      </c>
      <c r="R458" s="16">
        <f t="shared" si="29"/>
        <v>13142</v>
      </c>
      <c r="S458" s="167">
        <f t="shared" si="27"/>
        <v>14756.25</v>
      </c>
      <c r="T458" s="168">
        <f t="shared" si="28"/>
        <v>39674</v>
      </c>
    </row>
    <row r="459" spans="1:20" ht="15.6" x14ac:dyDescent="0.3">
      <c r="A459" s="128">
        <f t="shared" ref="A459:A522" si="30">A458+7</f>
        <v>39681</v>
      </c>
      <c r="B459" s="78">
        <v>3236</v>
      </c>
      <c r="C459" s="6">
        <v>4143</v>
      </c>
      <c r="D459" s="6">
        <v>1083</v>
      </c>
      <c r="E459" s="6">
        <v>2097</v>
      </c>
      <c r="F459" s="6">
        <v>1546</v>
      </c>
      <c r="G459" s="6">
        <v>790</v>
      </c>
      <c r="H459" s="6">
        <v>905</v>
      </c>
      <c r="I459" s="6">
        <v>473</v>
      </c>
      <c r="J459" s="6">
        <v>150</v>
      </c>
      <c r="K459" s="6">
        <v>146</v>
      </c>
      <c r="L459" s="6">
        <v>6919</v>
      </c>
      <c r="M459" s="6">
        <v>7649</v>
      </c>
      <c r="N459" s="6">
        <v>3712</v>
      </c>
      <c r="O459" s="6">
        <v>58615</v>
      </c>
      <c r="P459" s="6">
        <v>1225</v>
      </c>
      <c r="Q459" s="6">
        <v>30065</v>
      </c>
      <c r="R459" s="16">
        <f t="shared" si="29"/>
        <v>11856</v>
      </c>
      <c r="S459" s="167">
        <f t="shared" si="27"/>
        <v>13698</v>
      </c>
      <c r="T459" s="168">
        <f t="shared" si="28"/>
        <v>39681</v>
      </c>
    </row>
    <row r="460" spans="1:20" ht="15.6" x14ac:dyDescent="0.3">
      <c r="A460" s="128">
        <f t="shared" si="30"/>
        <v>39688</v>
      </c>
      <c r="B460" s="78">
        <v>2880</v>
      </c>
      <c r="C460" s="6">
        <v>4577</v>
      </c>
      <c r="D460" s="6">
        <v>1031</v>
      </c>
      <c r="E460" s="6">
        <v>2246</v>
      </c>
      <c r="F460" s="6">
        <v>1647</v>
      </c>
      <c r="G460" s="6">
        <v>895</v>
      </c>
      <c r="H460" s="6">
        <v>796</v>
      </c>
      <c r="I460" s="6">
        <v>622</v>
      </c>
      <c r="J460" s="6">
        <v>149</v>
      </c>
      <c r="K460" s="6">
        <v>160</v>
      </c>
      <c r="L460" s="6">
        <v>6504</v>
      </c>
      <c r="M460" s="6">
        <v>8500</v>
      </c>
      <c r="N460" s="6">
        <v>2861</v>
      </c>
      <c r="O460" s="6">
        <v>59666</v>
      </c>
      <c r="P460" s="6">
        <v>923</v>
      </c>
      <c r="Q460" s="6">
        <v>30411</v>
      </c>
      <c r="R460" s="16">
        <f t="shared" si="29"/>
        <v>10288</v>
      </c>
      <c r="S460" s="167">
        <f t="shared" ref="S460:S523" si="31">AVERAGE(R457:R460)</f>
        <v>12414.5</v>
      </c>
      <c r="T460" s="168">
        <f t="shared" ref="T460:T523" si="32">T459+7</f>
        <v>39688</v>
      </c>
    </row>
    <row r="461" spans="1:20" ht="15.6" x14ac:dyDescent="0.3">
      <c r="A461" s="128">
        <f t="shared" si="30"/>
        <v>39695</v>
      </c>
      <c r="B461" s="78">
        <v>2663</v>
      </c>
      <c r="C461" s="6">
        <v>4934</v>
      </c>
      <c r="D461" s="6">
        <v>1088</v>
      </c>
      <c r="E461" s="6">
        <v>2307</v>
      </c>
      <c r="F461" s="6">
        <v>1635</v>
      </c>
      <c r="G461" s="6">
        <v>1069</v>
      </c>
      <c r="H461" s="6">
        <v>738</v>
      </c>
      <c r="I461" s="6">
        <v>718</v>
      </c>
      <c r="J461" s="6">
        <v>149</v>
      </c>
      <c r="K461" s="6">
        <v>160</v>
      </c>
      <c r="L461" s="6">
        <v>6273</v>
      </c>
      <c r="M461" s="6">
        <v>9188</v>
      </c>
      <c r="N461" s="6">
        <v>11884</v>
      </c>
      <c r="O461" s="6">
        <v>199</v>
      </c>
      <c r="P461" s="6">
        <v>8913</v>
      </c>
      <c r="Q461" s="6">
        <v>33</v>
      </c>
      <c r="R461" s="16">
        <f t="shared" si="29"/>
        <v>27070</v>
      </c>
      <c r="S461" s="167">
        <f t="shared" si="31"/>
        <v>15589</v>
      </c>
      <c r="T461" s="168">
        <f t="shared" si="32"/>
        <v>39695</v>
      </c>
    </row>
    <row r="462" spans="1:20" ht="15.6" x14ac:dyDescent="0.3">
      <c r="A462" s="128">
        <f t="shared" si="30"/>
        <v>39702</v>
      </c>
      <c r="B462" s="78">
        <v>2728</v>
      </c>
      <c r="C462" s="6">
        <v>5171</v>
      </c>
      <c r="D462" s="6">
        <v>1063</v>
      </c>
      <c r="E462" s="6">
        <v>2422</v>
      </c>
      <c r="F462" s="6">
        <v>1640</v>
      </c>
      <c r="G462" s="6">
        <v>1211</v>
      </c>
      <c r="H462" s="6">
        <v>813</v>
      </c>
      <c r="I462" s="6">
        <v>759</v>
      </c>
      <c r="J462" s="6">
        <v>149</v>
      </c>
      <c r="K462" s="6">
        <v>162</v>
      </c>
      <c r="L462" s="6">
        <v>6394</v>
      </c>
      <c r="M462" s="6">
        <v>9725</v>
      </c>
      <c r="N462" s="6">
        <v>11346</v>
      </c>
      <c r="O462" s="6">
        <v>1062</v>
      </c>
      <c r="P462" s="6">
        <v>9103</v>
      </c>
      <c r="Q462" s="6">
        <v>515</v>
      </c>
      <c r="R462" s="16">
        <f t="shared" si="29"/>
        <v>26843</v>
      </c>
      <c r="S462" s="167">
        <f t="shared" si="31"/>
        <v>19014.25</v>
      </c>
      <c r="T462" s="168">
        <f t="shared" si="32"/>
        <v>39702</v>
      </c>
    </row>
    <row r="463" spans="1:20" ht="15.6" x14ac:dyDescent="0.3">
      <c r="A463" s="128">
        <f t="shared" si="30"/>
        <v>39709</v>
      </c>
      <c r="B463" s="78">
        <v>2565</v>
      </c>
      <c r="C463" s="6">
        <v>5371</v>
      </c>
      <c r="D463" s="6">
        <v>989</v>
      </c>
      <c r="E463" s="6">
        <v>2594</v>
      </c>
      <c r="F463" s="6">
        <v>1502</v>
      </c>
      <c r="G463" s="6">
        <v>1478</v>
      </c>
      <c r="H463" s="6">
        <v>743</v>
      </c>
      <c r="I463" s="6">
        <v>851</v>
      </c>
      <c r="J463" s="6">
        <v>149</v>
      </c>
      <c r="K463" s="6">
        <v>162</v>
      </c>
      <c r="L463" s="6">
        <v>5948</v>
      </c>
      <c r="M463" s="6">
        <v>10455</v>
      </c>
      <c r="N463" s="6">
        <v>10900</v>
      </c>
      <c r="O463" s="6">
        <v>2056</v>
      </c>
      <c r="P463" s="6">
        <v>9651</v>
      </c>
      <c r="Q463" s="6">
        <v>319</v>
      </c>
      <c r="R463" s="16">
        <f t="shared" si="29"/>
        <v>26499</v>
      </c>
      <c r="S463" s="167">
        <f t="shared" si="31"/>
        <v>22675</v>
      </c>
      <c r="T463" s="168">
        <f t="shared" si="32"/>
        <v>39709</v>
      </c>
    </row>
    <row r="464" spans="1:20" ht="15.6" x14ac:dyDescent="0.3">
      <c r="A464" s="128">
        <f t="shared" si="30"/>
        <v>39716</v>
      </c>
      <c r="B464" s="78">
        <v>2757</v>
      </c>
      <c r="C464" s="6">
        <v>5584</v>
      </c>
      <c r="D464" s="6">
        <v>1000</v>
      </c>
      <c r="E464" s="6">
        <v>2640</v>
      </c>
      <c r="F464" s="6">
        <v>1461</v>
      </c>
      <c r="G464" s="6">
        <v>1649</v>
      </c>
      <c r="H464" s="6">
        <v>645</v>
      </c>
      <c r="I464" s="6">
        <v>1000</v>
      </c>
      <c r="J464" s="6">
        <v>104</v>
      </c>
      <c r="K464" s="6">
        <v>215</v>
      </c>
      <c r="L464" s="6">
        <v>5967</v>
      </c>
      <c r="M464" s="6">
        <v>11088</v>
      </c>
      <c r="N464" s="6">
        <v>10303</v>
      </c>
      <c r="O464" s="6">
        <v>3222</v>
      </c>
      <c r="P464" s="6">
        <v>9960</v>
      </c>
      <c r="Q464" s="6">
        <v>481</v>
      </c>
      <c r="R464" s="16">
        <f t="shared" si="29"/>
        <v>26230</v>
      </c>
      <c r="S464" s="167">
        <f t="shared" si="31"/>
        <v>26660.5</v>
      </c>
      <c r="T464" s="168">
        <f t="shared" si="32"/>
        <v>39716</v>
      </c>
    </row>
    <row r="465" spans="1:20" ht="15.6" x14ac:dyDescent="0.3">
      <c r="A465" s="128">
        <f t="shared" si="30"/>
        <v>39723</v>
      </c>
      <c r="B465" s="78">
        <v>2408</v>
      </c>
      <c r="C465" s="6">
        <v>6046</v>
      </c>
      <c r="D465" s="6">
        <v>935</v>
      </c>
      <c r="E465" s="6">
        <v>2845</v>
      </c>
      <c r="F465" s="6">
        <v>1415</v>
      </c>
      <c r="G465" s="6">
        <v>1800</v>
      </c>
      <c r="H465" s="6">
        <v>724</v>
      </c>
      <c r="I465" s="6">
        <v>1075</v>
      </c>
      <c r="J465" s="6">
        <v>104</v>
      </c>
      <c r="K465" s="6">
        <v>215</v>
      </c>
      <c r="L465" s="6">
        <v>5586</v>
      </c>
      <c r="M465" s="6">
        <v>11981</v>
      </c>
      <c r="N465" s="6">
        <v>10435</v>
      </c>
      <c r="O465" s="6">
        <v>4046</v>
      </c>
      <c r="P465" s="6">
        <v>10164</v>
      </c>
      <c r="Q465" s="6">
        <v>880</v>
      </c>
      <c r="R465" s="16">
        <f t="shared" si="29"/>
        <v>26185</v>
      </c>
      <c r="S465" s="167">
        <f t="shared" si="31"/>
        <v>26439.25</v>
      </c>
      <c r="T465" s="168">
        <f t="shared" si="32"/>
        <v>39723</v>
      </c>
    </row>
    <row r="466" spans="1:20" ht="15.6" x14ac:dyDescent="0.3">
      <c r="A466" s="128">
        <f t="shared" si="30"/>
        <v>39730</v>
      </c>
      <c r="B466" s="78">
        <v>2331</v>
      </c>
      <c r="C466" s="6">
        <v>6379</v>
      </c>
      <c r="D466" s="6">
        <v>967</v>
      </c>
      <c r="E466" s="6">
        <v>2922</v>
      </c>
      <c r="F466" s="6">
        <v>1337</v>
      </c>
      <c r="G466" s="6">
        <v>2010</v>
      </c>
      <c r="H466" s="6">
        <v>659</v>
      </c>
      <c r="I466" s="6">
        <v>1107</v>
      </c>
      <c r="J466" s="6">
        <v>76</v>
      </c>
      <c r="K466" s="6">
        <v>215</v>
      </c>
      <c r="L466" s="6">
        <v>5370</v>
      </c>
      <c r="M466" s="6">
        <v>12633</v>
      </c>
      <c r="N466" s="6">
        <v>10487</v>
      </c>
      <c r="O466" s="6">
        <v>4969</v>
      </c>
      <c r="P466" s="6">
        <v>10784</v>
      </c>
      <c r="Q466" s="6">
        <v>1288</v>
      </c>
      <c r="R466" s="16">
        <f t="shared" si="29"/>
        <v>26641</v>
      </c>
      <c r="S466" s="167">
        <f t="shared" si="31"/>
        <v>26388.75</v>
      </c>
      <c r="T466" s="168">
        <f t="shared" si="32"/>
        <v>39730</v>
      </c>
    </row>
    <row r="467" spans="1:20" ht="15.6" x14ac:dyDescent="0.3">
      <c r="A467" s="128">
        <f t="shared" si="30"/>
        <v>39737</v>
      </c>
      <c r="B467" s="78">
        <v>2221</v>
      </c>
      <c r="C467" s="6">
        <v>6651</v>
      </c>
      <c r="D467" s="6">
        <v>1031</v>
      </c>
      <c r="E467" s="6">
        <v>2979</v>
      </c>
      <c r="F467" s="6">
        <v>1245</v>
      </c>
      <c r="G467" s="6">
        <v>2171</v>
      </c>
      <c r="H467" s="6">
        <v>662</v>
      </c>
      <c r="I467" s="6">
        <v>1130</v>
      </c>
      <c r="J467" s="6">
        <v>76</v>
      </c>
      <c r="K467" s="6">
        <v>222</v>
      </c>
      <c r="L467" s="6">
        <v>5234</v>
      </c>
      <c r="M467" s="6">
        <v>13152</v>
      </c>
      <c r="N467" s="6">
        <v>10523</v>
      </c>
      <c r="O467" s="6">
        <v>5723</v>
      </c>
      <c r="P467" s="78">
        <v>10489</v>
      </c>
      <c r="Q467" s="6">
        <v>2367</v>
      </c>
      <c r="R467" s="16">
        <f t="shared" si="29"/>
        <v>26246</v>
      </c>
      <c r="S467" s="167">
        <f t="shared" si="31"/>
        <v>26325.5</v>
      </c>
      <c r="T467" s="168">
        <f t="shared" si="32"/>
        <v>39737</v>
      </c>
    </row>
    <row r="468" spans="1:20" ht="15.6" x14ac:dyDescent="0.3">
      <c r="A468" s="128">
        <f t="shared" si="30"/>
        <v>39744</v>
      </c>
      <c r="B468" s="78">
        <v>2161</v>
      </c>
      <c r="C468" s="6">
        <v>6893</v>
      </c>
      <c r="D468" s="6">
        <v>1001</v>
      </c>
      <c r="E468" s="6">
        <v>3118</v>
      </c>
      <c r="F468" s="6">
        <v>1265</v>
      </c>
      <c r="G468" s="6">
        <v>2307</v>
      </c>
      <c r="H468" s="6">
        <v>603</v>
      </c>
      <c r="I468" s="6">
        <v>1203</v>
      </c>
      <c r="J468" s="6">
        <v>76</v>
      </c>
      <c r="K468" s="6">
        <v>222</v>
      </c>
      <c r="L468" s="6">
        <v>5104</v>
      </c>
      <c r="M468" s="6">
        <v>13743</v>
      </c>
      <c r="N468" s="6">
        <v>10333</v>
      </c>
      <c r="O468" s="6">
        <v>6326</v>
      </c>
      <c r="P468" s="78">
        <v>10597</v>
      </c>
      <c r="Q468" s="6">
        <v>3651</v>
      </c>
      <c r="R468" s="16">
        <f t="shared" si="29"/>
        <v>26034</v>
      </c>
      <c r="S468" s="167">
        <f t="shared" si="31"/>
        <v>26276.5</v>
      </c>
      <c r="T468" s="168">
        <f t="shared" si="32"/>
        <v>39744</v>
      </c>
    </row>
    <row r="469" spans="1:20" ht="15.6" x14ac:dyDescent="0.3">
      <c r="A469" s="128">
        <f t="shared" si="30"/>
        <v>39751</v>
      </c>
      <c r="B469" s="78">
        <v>2121</v>
      </c>
      <c r="C469" s="6">
        <v>7114</v>
      </c>
      <c r="D469" s="6">
        <v>980</v>
      </c>
      <c r="E469" s="6">
        <v>3151</v>
      </c>
      <c r="F469" s="6">
        <v>1305</v>
      </c>
      <c r="G469" s="6">
        <v>2406</v>
      </c>
      <c r="H469" s="6">
        <v>608</v>
      </c>
      <c r="I469" s="6">
        <v>1223</v>
      </c>
      <c r="J469" s="6">
        <v>80</v>
      </c>
      <c r="K469" s="6">
        <v>227</v>
      </c>
      <c r="L469" s="6">
        <v>5093</v>
      </c>
      <c r="M469" s="6">
        <v>14120</v>
      </c>
      <c r="N469" s="6">
        <v>10186</v>
      </c>
      <c r="O469" s="6">
        <v>6944</v>
      </c>
      <c r="P469" s="78">
        <v>10003</v>
      </c>
      <c r="Q469" s="6">
        <v>5140</v>
      </c>
      <c r="R469" s="16">
        <f t="shared" si="29"/>
        <v>25282</v>
      </c>
      <c r="S469" s="167">
        <f t="shared" si="31"/>
        <v>26050.75</v>
      </c>
      <c r="T469" s="168">
        <f t="shared" si="32"/>
        <v>39751</v>
      </c>
    </row>
    <row r="470" spans="1:20" ht="15.6" x14ac:dyDescent="0.3">
      <c r="A470" s="128">
        <f t="shared" si="30"/>
        <v>39758</v>
      </c>
      <c r="B470" s="78">
        <v>2046</v>
      </c>
      <c r="C470" s="6">
        <v>7272</v>
      </c>
      <c r="D470" s="6">
        <v>972</v>
      </c>
      <c r="E470" s="6">
        <v>3274</v>
      </c>
      <c r="F470" s="6">
        <v>1248</v>
      </c>
      <c r="G470" s="6">
        <v>2499</v>
      </c>
      <c r="H470" s="6">
        <v>548</v>
      </c>
      <c r="I470" s="6">
        <v>1291</v>
      </c>
      <c r="J470" s="6">
        <v>80</v>
      </c>
      <c r="K470" s="6">
        <v>233</v>
      </c>
      <c r="L470" s="6">
        <v>4893</v>
      </c>
      <c r="M470" s="6">
        <v>14568</v>
      </c>
      <c r="N470" s="6">
        <v>9733</v>
      </c>
      <c r="O470" s="6">
        <v>7753</v>
      </c>
      <c r="P470" s="78">
        <v>9439</v>
      </c>
      <c r="Q470" s="6">
        <v>6182</v>
      </c>
      <c r="R470" s="16">
        <f t="shared" si="29"/>
        <v>24065</v>
      </c>
      <c r="S470" s="167">
        <f t="shared" si="31"/>
        <v>25406.75</v>
      </c>
      <c r="T470" s="168">
        <f t="shared" si="32"/>
        <v>39758</v>
      </c>
    </row>
    <row r="471" spans="1:20" ht="15.6" x14ac:dyDescent="0.3">
      <c r="A471" s="128">
        <f t="shared" si="30"/>
        <v>39765</v>
      </c>
      <c r="B471" s="78">
        <v>2037</v>
      </c>
      <c r="C471" s="6">
        <v>7443</v>
      </c>
      <c r="D471" s="6">
        <v>1033</v>
      </c>
      <c r="E471" s="6">
        <v>3352</v>
      </c>
      <c r="F471" s="6">
        <v>1233</v>
      </c>
      <c r="G471" s="6">
        <v>2647</v>
      </c>
      <c r="H471" s="6">
        <v>570</v>
      </c>
      <c r="I471" s="6">
        <v>1345</v>
      </c>
      <c r="J471" s="6">
        <v>81</v>
      </c>
      <c r="K471" s="6">
        <v>234</v>
      </c>
      <c r="L471" s="6">
        <v>4952</v>
      </c>
      <c r="M471" s="6">
        <v>15020</v>
      </c>
      <c r="N471" s="6">
        <v>9411</v>
      </c>
      <c r="O471" s="6">
        <v>8458</v>
      </c>
      <c r="P471" s="78">
        <v>9163</v>
      </c>
      <c r="Q471" s="6">
        <v>7249</v>
      </c>
      <c r="R471" s="16">
        <f t="shared" si="29"/>
        <v>23526</v>
      </c>
      <c r="S471" s="167">
        <f t="shared" si="31"/>
        <v>24726.75</v>
      </c>
      <c r="T471" s="168">
        <f t="shared" si="32"/>
        <v>39765</v>
      </c>
    </row>
    <row r="472" spans="1:20" ht="15.6" x14ac:dyDescent="0.3">
      <c r="A472" s="128">
        <f t="shared" si="30"/>
        <v>39772</v>
      </c>
      <c r="B472" s="78">
        <v>2008</v>
      </c>
      <c r="C472" s="6">
        <v>7715</v>
      </c>
      <c r="D472" s="6">
        <v>959</v>
      </c>
      <c r="E472" s="6">
        <v>3446</v>
      </c>
      <c r="F472" s="6">
        <v>1174</v>
      </c>
      <c r="G472" s="6">
        <v>2812</v>
      </c>
      <c r="H472" s="6">
        <v>563</v>
      </c>
      <c r="I472" s="6">
        <v>1384</v>
      </c>
      <c r="J472" s="6">
        <v>115</v>
      </c>
      <c r="K472" s="6">
        <v>236</v>
      </c>
      <c r="L472" s="6">
        <v>4818</v>
      </c>
      <c r="M472" s="6">
        <v>15593</v>
      </c>
      <c r="N472" s="6">
        <v>9110</v>
      </c>
      <c r="O472" s="6">
        <v>9224</v>
      </c>
      <c r="P472" s="78">
        <v>8929</v>
      </c>
      <c r="Q472" s="6">
        <v>8265</v>
      </c>
      <c r="R472" s="16">
        <f t="shared" si="29"/>
        <v>22857</v>
      </c>
      <c r="S472" s="167">
        <f t="shared" si="31"/>
        <v>23932.5</v>
      </c>
      <c r="T472" s="168">
        <f t="shared" si="32"/>
        <v>39772</v>
      </c>
    </row>
    <row r="473" spans="1:20" ht="15.6" x14ac:dyDescent="0.3">
      <c r="A473" s="128">
        <f t="shared" si="30"/>
        <v>39779</v>
      </c>
      <c r="B473" s="78">
        <v>1842</v>
      </c>
      <c r="C473" s="6">
        <v>7899</v>
      </c>
      <c r="D473" s="6">
        <v>924</v>
      </c>
      <c r="E473" s="6">
        <v>3492</v>
      </c>
      <c r="F473" s="6">
        <v>1040</v>
      </c>
      <c r="G473" s="6">
        <v>2977</v>
      </c>
      <c r="H473" s="6">
        <v>653</v>
      </c>
      <c r="I473" s="6">
        <v>1420</v>
      </c>
      <c r="J473" s="6">
        <v>104</v>
      </c>
      <c r="K473" s="6">
        <v>268</v>
      </c>
      <c r="L473" s="6">
        <v>4563</v>
      </c>
      <c r="M473" s="6">
        <v>16056</v>
      </c>
      <c r="N473" s="6">
        <v>8524</v>
      </c>
      <c r="O473" s="6">
        <v>10198</v>
      </c>
      <c r="P473" s="78">
        <v>8026</v>
      </c>
      <c r="Q473" s="6">
        <v>9527</v>
      </c>
      <c r="R473" s="16">
        <f t="shared" si="29"/>
        <v>21113</v>
      </c>
      <c r="S473" s="167">
        <f t="shared" si="31"/>
        <v>22890.25</v>
      </c>
      <c r="T473" s="168">
        <f t="shared" si="32"/>
        <v>39779</v>
      </c>
    </row>
    <row r="474" spans="1:20" ht="15.6" x14ac:dyDescent="0.3">
      <c r="A474" s="128">
        <f t="shared" si="30"/>
        <v>39786</v>
      </c>
      <c r="B474" s="78">
        <v>1836</v>
      </c>
      <c r="C474" s="6">
        <v>7970</v>
      </c>
      <c r="D474" s="6">
        <v>901</v>
      </c>
      <c r="E474" s="6">
        <v>3534</v>
      </c>
      <c r="F474" s="6">
        <v>1096</v>
      </c>
      <c r="G474" s="6">
        <v>3032</v>
      </c>
      <c r="H474" s="6">
        <v>543</v>
      </c>
      <c r="I474" s="6">
        <v>1573</v>
      </c>
      <c r="J474" s="6">
        <v>104</v>
      </c>
      <c r="K474" s="6">
        <v>270</v>
      </c>
      <c r="L474" s="6">
        <v>4480</v>
      </c>
      <c r="M474" s="6">
        <v>16378</v>
      </c>
      <c r="N474" s="6">
        <v>8764</v>
      </c>
      <c r="O474" s="6">
        <v>10843</v>
      </c>
      <c r="P474" s="78">
        <v>7889</v>
      </c>
      <c r="Q474" s="6">
        <v>10474</v>
      </c>
      <c r="R474" s="16">
        <f t="shared" si="29"/>
        <v>21133</v>
      </c>
      <c r="S474" s="167">
        <f t="shared" si="31"/>
        <v>22157.25</v>
      </c>
      <c r="T474" s="168">
        <f t="shared" si="32"/>
        <v>39786</v>
      </c>
    </row>
    <row r="475" spans="1:20" ht="15.6" x14ac:dyDescent="0.3">
      <c r="A475" s="128">
        <f t="shared" si="30"/>
        <v>39793</v>
      </c>
      <c r="B475" s="78">
        <v>1841</v>
      </c>
      <c r="C475" s="6">
        <v>8060</v>
      </c>
      <c r="D475" s="6">
        <v>920</v>
      </c>
      <c r="E475" s="6">
        <v>3567</v>
      </c>
      <c r="F475" s="6">
        <v>979</v>
      </c>
      <c r="G475" s="6">
        <v>3224</v>
      </c>
      <c r="H475" s="6">
        <v>511</v>
      </c>
      <c r="I475" s="6">
        <v>1639</v>
      </c>
      <c r="J475" s="6">
        <v>75</v>
      </c>
      <c r="K475" s="6">
        <v>303</v>
      </c>
      <c r="L475" s="6">
        <v>4327</v>
      </c>
      <c r="M475" s="6">
        <v>16793</v>
      </c>
      <c r="N475" s="6">
        <v>8666</v>
      </c>
      <c r="O475" s="6">
        <v>11553</v>
      </c>
      <c r="P475" s="78">
        <v>7628</v>
      </c>
      <c r="Q475" s="6">
        <v>11629</v>
      </c>
      <c r="R475" s="16">
        <f t="shared" si="29"/>
        <v>20621</v>
      </c>
      <c r="S475" s="167">
        <f t="shared" si="31"/>
        <v>21431</v>
      </c>
      <c r="T475" s="168">
        <f t="shared" si="32"/>
        <v>39793</v>
      </c>
    </row>
    <row r="476" spans="1:20" ht="15.6" x14ac:dyDescent="0.3">
      <c r="A476" s="128">
        <f t="shared" si="30"/>
        <v>39800</v>
      </c>
      <c r="B476" s="78">
        <v>1807.1</v>
      </c>
      <c r="C476" s="6">
        <v>8176.6</v>
      </c>
      <c r="D476" s="6">
        <v>899.7</v>
      </c>
      <c r="E476" s="6">
        <v>3651.4</v>
      </c>
      <c r="F476" s="6">
        <v>937.8</v>
      </c>
      <c r="G476" s="6">
        <v>3292.7</v>
      </c>
      <c r="H476" s="6">
        <v>569.79999999999995</v>
      </c>
      <c r="I476" s="6">
        <v>1659.9</v>
      </c>
      <c r="J476" s="6">
        <v>75.099999999999994</v>
      </c>
      <c r="K476" s="6">
        <v>303.39999999999998</v>
      </c>
      <c r="L476" s="6">
        <v>4289.5</v>
      </c>
      <c r="M476" s="6">
        <v>17084</v>
      </c>
      <c r="N476" s="6">
        <v>8386</v>
      </c>
      <c r="O476" s="6">
        <v>12384.6</v>
      </c>
      <c r="P476" s="78">
        <v>7260.9</v>
      </c>
      <c r="Q476" s="6">
        <v>12580.5</v>
      </c>
      <c r="R476" s="16">
        <f t="shared" si="29"/>
        <v>19936.400000000001</v>
      </c>
      <c r="S476" s="167">
        <f t="shared" si="31"/>
        <v>20700.849999999999</v>
      </c>
      <c r="T476" s="168">
        <f t="shared" si="32"/>
        <v>39800</v>
      </c>
    </row>
    <row r="477" spans="1:20" ht="15.6" x14ac:dyDescent="0.3">
      <c r="A477" s="128">
        <f t="shared" si="30"/>
        <v>39807</v>
      </c>
      <c r="B477" s="78">
        <v>1878</v>
      </c>
      <c r="C477" s="6">
        <v>8210</v>
      </c>
      <c r="D477" s="6">
        <v>956</v>
      </c>
      <c r="E477" s="6">
        <v>3661</v>
      </c>
      <c r="F477" s="6">
        <v>950</v>
      </c>
      <c r="G477" s="6">
        <v>3349</v>
      </c>
      <c r="H477" s="6">
        <v>656</v>
      </c>
      <c r="I477" s="6">
        <v>1738</v>
      </c>
      <c r="J477" s="6">
        <v>91</v>
      </c>
      <c r="K477" s="6">
        <v>303.39999999999998</v>
      </c>
      <c r="L477" s="6">
        <v>4531</v>
      </c>
      <c r="M477" s="6">
        <v>17261</v>
      </c>
      <c r="N477" s="6">
        <v>8054</v>
      </c>
      <c r="O477" s="6">
        <v>12987</v>
      </c>
      <c r="P477" s="78">
        <v>6851</v>
      </c>
      <c r="Q477" s="6">
        <v>13501</v>
      </c>
      <c r="R477" s="16">
        <f t="shared" si="29"/>
        <v>19436</v>
      </c>
      <c r="S477" s="167">
        <f t="shared" si="31"/>
        <v>20281.599999999999</v>
      </c>
      <c r="T477" s="168">
        <f t="shared" si="32"/>
        <v>39807</v>
      </c>
    </row>
    <row r="478" spans="1:20" ht="15.6" x14ac:dyDescent="0.3">
      <c r="A478" s="129">
        <f t="shared" si="30"/>
        <v>39814</v>
      </c>
      <c r="B478" s="78">
        <v>1797</v>
      </c>
      <c r="C478" s="6">
        <v>8335</v>
      </c>
      <c r="D478" s="6">
        <v>869</v>
      </c>
      <c r="E478" s="6">
        <v>3743</v>
      </c>
      <c r="F478" s="6">
        <v>885</v>
      </c>
      <c r="G478" s="6">
        <v>3417</v>
      </c>
      <c r="H478" s="6">
        <v>579</v>
      </c>
      <c r="I478" s="6">
        <v>1815</v>
      </c>
      <c r="J478" s="6">
        <v>91</v>
      </c>
      <c r="K478" s="6">
        <v>304</v>
      </c>
      <c r="L478" s="6">
        <v>4221</v>
      </c>
      <c r="M478" s="6">
        <v>17613</v>
      </c>
      <c r="N478" s="6">
        <v>7703</v>
      </c>
      <c r="O478" s="6">
        <v>13598</v>
      </c>
      <c r="P478" s="78">
        <v>6576</v>
      </c>
      <c r="Q478" s="6">
        <v>14306</v>
      </c>
      <c r="R478" s="16">
        <f t="shared" si="29"/>
        <v>18500</v>
      </c>
      <c r="S478" s="167">
        <f t="shared" si="31"/>
        <v>19623.349999999999</v>
      </c>
      <c r="T478" s="168">
        <f t="shared" si="32"/>
        <v>39814</v>
      </c>
    </row>
    <row r="479" spans="1:20" ht="15.6" x14ac:dyDescent="0.3">
      <c r="A479" s="129">
        <f t="shared" si="30"/>
        <v>39821</v>
      </c>
      <c r="B479" s="78">
        <v>1577</v>
      </c>
      <c r="C479" s="6">
        <v>8640</v>
      </c>
      <c r="D479" s="6">
        <v>705</v>
      </c>
      <c r="E479" s="6">
        <v>3810</v>
      </c>
      <c r="F479" s="6">
        <v>804</v>
      </c>
      <c r="G479" s="6">
        <v>3578</v>
      </c>
      <c r="H479" s="6">
        <v>561</v>
      </c>
      <c r="I479" s="6">
        <v>1853</v>
      </c>
      <c r="J479" s="6">
        <v>91</v>
      </c>
      <c r="K479" s="6">
        <v>304</v>
      </c>
      <c r="L479" s="6">
        <v>3738</v>
      </c>
      <c r="M479" s="6">
        <v>18184</v>
      </c>
      <c r="N479" s="6">
        <v>7307</v>
      </c>
      <c r="O479" s="6">
        <v>14210</v>
      </c>
      <c r="P479" s="78">
        <v>7211</v>
      </c>
      <c r="Q479" s="6">
        <v>15033</v>
      </c>
      <c r="R479" s="16">
        <f t="shared" si="29"/>
        <v>18256</v>
      </c>
      <c r="S479" s="167">
        <f t="shared" si="31"/>
        <v>19032.099999999999</v>
      </c>
      <c r="T479" s="168">
        <f t="shared" si="32"/>
        <v>39821</v>
      </c>
    </row>
    <row r="480" spans="1:20" ht="15.6" x14ac:dyDescent="0.3">
      <c r="A480" s="129">
        <f t="shared" si="30"/>
        <v>39828</v>
      </c>
      <c r="B480" s="78">
        <v>1693</v>
      </c>
      <c r="C480" s="6">
        <v>8682</v>
      </c>
      <c r="D480" s="6">
        <v>666</v>
      </c>
      <c r="E480" s="6">
        <v>3853</v>
      </c>
      <c r="F480" s="6">
        <v>932</v>
      </c>
      <c r="G480" s="6">
        <v>3627</v>
      </c>
      <c r="H480" s="6">
        <v>583</v>
      </c>
      <c r="I480" s="6">
        <v>1898</v>
      </c>
      <c r="J480" s="6">
        <v>91</v>
      </c>
      <c r="K480" s="6">
        <v>305</v>
      </c>
      <c r="L480" s="6">
        <v>3966</v>
      </c>
      <c r="M480" s="6">
        <v>18366</v>
      </c>
      <c r="N480" s="6">
        <v>7709</v>
      </c>
      <c r="O480" s="6">
        <v>14894</v>
      </c>
      <c r="P480" s="78">
        <v>7518</v>
      </c>
      <c r="Q480" s="6">
        <v>16050</v>
      </c>
      <c r="R480" s="16">
        <f t="shared" si="29"/>
        <v>19193</v>
      </c>
      <c r="S480" s="167">
        <f t="shared" si="31"/>
        <v>18846.25</v>
      </c>
      <c r="T480" s="168">
        <f t="shared" si="32"/>
        <v>39828</v>
      </c>
    </row>
    <row r="481" spans="1:20" ht="15.6" x14ac:dyDescent="0.3">
      <c r="A481" s="129">
        <f t="shared" si="30"/>
        <v>39835</v>
      </c>
      <c r="B481" s="78">
        <v>1294</v>
      </c>
      <c r="C481" s="6">
        <v>8833</v>
      </c>
      <c r="D481" s="6">
        <v>699</v>
      </c>
      <c r="E481" s="6">
        <v>3892</v>
      </c>
      <c r="F481" s="6">
        <v>850</v>
      </c>
      <c r="G481" s="6">
        <v>3745</v>
      </c>
      <c r="H481" s="6">
        <v>725</v>
      </c>
      <c r="I481" s="6">
        <v>1922</v>
      </c>
      <c r="J481" s="6">
        <v>75</v>
      </c>
      <c r="K481" s="6">
        <v>320</v>
      </c>
      <c r="L481" s="6">
        <v>3644</v>
      </c>
      <c r="M481" s="6">
        <v>18711</v>
      </c>
      <c r="N481" s="6">
        <v>8078</v>
      </c>
      <c r="O481" s="6">
        <v>15633</v>
      </c>
      <c r="P481" s="78">
        <v>7086</v>
      </c>
      <c r="Q481" s="6">
        <v>17008</v>
      </c>
      <c r="R481" s="16">
        <f t="shared" si="29"/>
        <v>18808</v>
      </c>
      <c r="S481" s="167">
        <f t="shared" si="31"/>
        <v>18689.25</v>
      </c>
      <c r="T481" s="168">
        <f t="shared" si="32"/>
        <v>39835</v>
      </c>
    </row>
    <row r="482" spans="1:20" ht="15.6" x14ac:dyDescent="0.3">
      <c r="A482" s="129">
        <f t="shared" si="30"/>
        <v>39842</v>
      </c>
      <c r="B482" s="78">
        <v>1307</v>
      </c>
      <c r="C482" s="6">
        <v>8960</v>
      </c>
      <c r="D482" s="6">
        <v>678</v>
      </c>
      <c r="E482" s="6">
        <v>3928</v>
      </c>
      <c r="F482" s="6">
        <v>837</v>
      </c>
      <c r="G482" s="6">
        <v>3823</v>
      </c>
      <c r="H482" s="6">
        <v>692</v>
      </c>
      <c r="I482" s="6">
        <v>2046</v>
      </c>
      <c r="J482" s="6">
        <v>53</v>
      </c>
      <c r="K482" s="6">
        <v>358</v>
      </c>
      <c r="L482" s="6">
        <v>3568</v>
      </c>
      <c r="M482" s="6">
        <v>19114</v>
      </c>
      <c r="N482" s="6">
        <v>8497</v>
      </c>
      <c r="O482" s="6">
        <v>16378</v>
      </c>
      <c r="P482" s="78">
        <v>6359</v>
      </c>
      <c r="Q482" s="6">
        <v>18072</v>
      </c>
      <c r="R482" s="16">
        <f t="shared" si="29"/>
        <v>18424</v>
      </c>
      <c r="S482" s="167">
        <f t="shared" si="31"/>
        <v>18670.25</v>
      </c>
      <c r="T482" s="168">
        <f t="shared" si="32"/>
        <v>39842</v>
      </c>
    </row>
    <row r="483" spans="1:20" ht="15.6" x14ac:dyDescent="0.3">
      <c r="A483" s="129">
        <f t="shared" si="30"/>
        <v>39849</v>
      </c>
      <c r="B483" s="78">
        <v>1191</v>
      </c>
      <c r="C483" s="6">
        <v>9199</v>
      </c>
      <c r="D483" s="6">
        <v>748</v>
      </c>
      <c r="E483" s="6">
        <v>3979</v>
      </c>
      <c r="F483" s="6">
        <v>792</v>
      </c>
      <c r="G483" s="6">
        <v>3930</v>
      </c>
      <c r="H483" s="6">
        <v>679</v>
      </c>
      <c r="I483" s="6">
        <v>2165</v>
      </c>
      <c r="J483" s="6">
        <v>53</v>
      </c>
      <c r="K483" s="6">
        <v>358</v>
      </c>
      <c r="L483" s="6">
        <v>3462</v>
      </c>
      <c r="M483" s="6">
        <v>19632</v>
      </c>
      <c r="N483" s="6">
        <v>9473</v>
      </c>
      <c r="O483" s="6">
        <v>16946</v>
      </c>
      <c r="P483" s="78">
        <v>6035</v>
      </c>
      <c r="Q483" s="6">
        <v>19465</v>
      </c>
      <c r="R483" s="16">
        <f t="shared" si="29"/>
        <v>18970</v>
      </c>
      <c r="S483" s="167">
        <f t="shared" si="31"/>
        <v>18848.75</v>
      </c>
      <c r="T483" s="168">
        <f t="shared" si="32"/>
        <v>39849</v>
      </c>
    </row>
    <row r="484" spans="1:20" ht="15.6" x14ac:dyDescent="0.3">
      <c r="A484" s="129">
        <f t="shared" si="30"/>
        <v>39856</v>
      </c>
      <c r="B484" s="78">
        <v>1232</v>
      </c>
      <c r="C484" s="6">
        <v>9271</v>
      </c>
      <c r="D484" s="6">
        <v>733</v>
      </c>
      <c r="E484" s="6">
        <v>4051</v>
      </c>
      <c r="F484" s="6">
        <v>858</v>
      </c>
      <c r="G484" s="6">
        <v>4007</v>
      </c>
      <c r="H484" s="6">
        <v>768</v>
      </c>
      <c r="I484" s="6">
        <v>2197</v>
      </c>
      <c r="J484" s="6">
        <v>53</v>
      </c>
      <c r="K484" s="6">
        <v>359</v>
      </c>
      <c r="L484" s="6">
        <v>3643</v>
      </c>
      <c r="M484" s="6">
        <v>19884</v>
      </c>
      <c r="N484" s="6">
        <v>9894</v>
      </c>
      <c r="O484" s="6">
        <v>17857</v>
      </c>
      <c r="P484" s="78">
        <v>5870</v>
      </c>
      <c r="Q484" s="6">
        <v>20724</v>
      </c>
      <c r="R484" s="16">
        <f t="shared" si="29"/>
        <v>19407</v>
      </c>
      <c r="S484" s="167">
        <f t="shared" si="31"/>
        <v>18902.25</v>
      </c>
      <c r="T484" s="168">
        <f t="shared" si="32"/>
        <v>39856</v>
      </c>
    </row>
    <row r="485" spans="1:20" ht="15.6" x14ac:dyDescent="0.3">
      <c r="A485" s="129">
        <f t="shared" si="30"/>
        <v>39863</v>
      </c>
      <c r="B485" s="78">
        <v>1344</v>
      </c>
      <c r="C485" s="6">
        <v>9346</v>
      </c>
      <c r="D485" s="6">
        <v>765</v>
      </c>
      <c r="E485" s="6">
        <v>4081</v>
      </c>
      <c r="F485" s="6">
        <v>900</v>
      </c>
      <c r="G485" s="6">
        <v>4070</v>
      </c>
      <c r="H485" s="6">
        <v>751</v>
      </c>
      <c r="I485" s="6">
        <v>2324</v>
      </c>
      <c r="J485" s="6">
        <v>51</v>
      </c>
      <c r="K485" s="6">
        <v>360</v>
      </c>
      <c r="L485" s="6">
        <v>3811</v>
      </c>
      <c r="M485" s="6">
        <v>20181</v>
      </c>
      <c r="N485" s="6">
        <v>9572</v>
      </c>
      <c r="O485" s="6">
        <v>18629</v>
      </c>
      <c r="P485" s="78">
        <v>5301</v>
      </c>
      <c r="Q485" s="6">
        <v>21632</v>
      </c>
      <c r="R485" s="16">
        <f t="shared" si="29"/>
        <v>18684</v>
      </c>
      <c r="S485" s="167">
        <f t="shared" si="31"/>
        <v>18871.25</v>
      </c>
      <c r="T485" s="168">
        <f t="shared" si="32"/>
        <v>39863</v>
      </c>
    </row>
    <row r="486" spans="1:20" ht="15.6" x14ac:dyDescent="0.3">
      <c r="A486" s="129">
        <f t="shared" si="30"/>
        <v>39870</v>
      </c>
      <c r="B486" s="78">
        <v>1289</v>
      </c>
      <c r="C486" s="6">
        <v>9473</v>
      </c>
      <c r="D486" s="6">
        <v>729</v>
      </c>
      <c r="E486" s="6">
        <v>4160</v>
      </c>
      <c r="F486" s="6">
        <v>954</v>
      </c>
      <c r="G486" s="6">
        <v>4099</v>
      </c>
      <c r="H486" s="6">
        <v>822</v>
      </c>
      <c r="I486" s="6">
        <v>2341</v>
      </c>
      <c r="J486" s="6">
        <v>51</v>
      </c>
      <c r="K486" s="6">
        <v>360</v>
      </c>
      <c r="L486" s="6">
        <v>3844</v>
      </c>
      <c r="M486" s="6">
        <v>20433</v>
      </c>
      <c r="N486" s="6">
        <v>9455</v>
      </c>
      <c r="O486" s="6">
        <v>19537</v>
      </c>
      <c r="P486" s="78">
        <v>4705</v>
      </c>
      <c r="Q486" s="6">
        <v>22384</v>
      </c>
      <c r="R486" s="16">
        <f t="shared" si="29"/>
        <v>18004</v>
      </c>
      <c r="S486" s="167">
        <f t="shared" si="31"/>
        <v>18766.25</v>
      </c>
      <c r="T486" s="168">
        <f t="shared" si="32"/>
        <v>39870</v>
      </c>
    </row>
    <row r="487" spans="1:20" ht="15.6" x14ac:dyDescent="0.3">
      <c r="A487" s="129">
        <f t="shared" si="30"/>
        <v>39877</v>
      </c>
      <c r="B487" s="78">
        <v>1240</v>
      </c>
      <c r="C487" s="6">
        <v>9640</v>
      </c>
      <c r="D487" s="6">
        <v>758</v>
      </c>
      <c r="E487" s="6">
        <v>4193</v>
      </c>
      <c r="F487" s="6">
        <v>915</v>
      </c>
      <c r="G487" s="6">
        <v>4257</v>
      </c>
      <c r="H487" s="6">
        <v>764</v>
      </c>
      <c r="I487" s="6">
        <v>2436</v>
      </c>
      <c r="J487" s="6">
        <v>79</v>
      </c>
      <c r="K487" s="6">
        <v>360</v>
      </c>
      <c r="L487" s="6">
        <v>3755</v>
      </c>
      <c r="M487" s="6">
        <v>20885</v>
      </c>
      <c r="N487" s="6">
        <v>9478</v>
      </c>
      <c r="O487" s="6">
        <v>20606</v>
      </c>
      <c r="P487" s="78">
        <v>4656</v>
      </c>
      <c r="Q487" s="6">
        <v>23270</v>
      </c>
      <c r="R487" s="16">
        <f t="shared" si="29"/>
        <v>17889</v>
      </c>
      <c r="S487" s="167">
        <f t="shared" si="31"/>
        <v>18496</v>
      </c>
      <c r="T487" s="168">
        <f t="shared" si="32"/>
        <v>39877</v>
      </c>
    </row>
    <row r="488" spans="1:20" ht="15.6" x14ac:dyDescent="0.3">
      <c r="A488" s="129">
        <f t="shared" si="30"/>
        <v>39884</v>
      </c>
      <c r="B488" s="78">
        <v>1166</v>
      </c>
      <c r="C488" s="6">
        <v>9770</v>
      </c>
      <c r="D488" s="6">
        <v>717</v>
      </c>
      <c r="E488" s="6">
        <v>4262</v>
      </c>
      <c r="F488" s="6">
        <v>934</v>
      </c>
      <c r="G488" s="6">
        <v>4310</v>
      </c>
      <c r="H488" s="6">
        <v>762</v>
      </c>
      <c r="I488" s="6">
        <v>2495</v>
      </c>
      <c r="J488" s="6">
        <v>79</v>
      </c>
      <c r="K488" s="6">
        <v>360</v>
      </c>
      <c r="L488" s="6">
        <v>3658</v>
      </c>
      <c r="M488" s="6">
        <v>21197</v>
      </c>
      <c r="N488" s="6">
        <v>8986</v>
      </c>
      <c r="O488" s="6">
        <v>21540</v>
      </c>
      <c r="P488" s="78">
        <v>4170</v>
      </c>
      <c r="Q488" s="6">
        <v>23899</v>
      </c>
      <c r="R488" s="16">
        <f t="shared" si="29"/>
        <v>16814</v>
      </c>
      <c r="S488" s="167">
        <f t="shared" si="31"/>
        <v>17847.75</v>
      </c>
      <c r="T488" s="168">
        <f t="shared" si="32"/>
        <v>39884</v>
      </c>
    </row>
    <row r="489" spans="1:20" ht="15.6" x14ac:dyDescent="0.3">
      <c r="A489" s="129">
        <f t="shared" si="30"/>
        <v>39891</v>
      </c>
      <c r="B489" s="78">
        <v>1091</v>
      </c>
      <c r="C489" s="6">
        <v>9968</v>
      </c>
      <c r="D489" s="6">
        <v>556</v>
      </c>
      <c r="E489" s="6">
        <v>4458</v>
      </c>
      <c r="F489" s="6">
        <v>930</v>
      </c>
      <c r="G489" s="6">
        <v>4381</v>
      </c>
      <c r="H489" s="6">
        <v>673</v>
      </c>
      <c r="I489" s="6">
        <v>2622</v>
      </c>
      <c r="J489" s="6">
        <v>79</v>
      </c>
      <c r="K489" s="6">
        <v>362</v>
      </c>
      <c r="L489" s="6">
        <v>3329</v>
      </c>
      <c r="M489" s="6">
        <v>21790</v>
      </c>
      <c r="N489" s="6">
        <v>9400</v>
      </c>
      <c r="O489" s="6">
        <v>22316</v>
      </c>
      <c r="P489" s="78">
        <v>4105</v>
      </c>
      <c r="Q489" s="6">
        <v>24393</v>
      </c>
      <c r="R489" s="16">
        <f t="shared" si="29"/>
        <v>16834</v>
      </c>
      <c r="S489" s="167">
        <f t="shared" si="31"/>
        <v>17385.25</v>
      </c>
      <c r="T489" s="168">
        <f t="shared" si="32"/>
        <v>39891</v>
      </c>
    </row>
    <row r="490" spans="1:20" ht="15.6" x14ac:dyDescent="0.3">
      <c r="A490" s="129">
        <f t="shared" si="30"/>
        <v>39898</v>
      </c>
      <c r="B490" s="78">
        <v>1010</v>
      </c>
      <c r="C490" s="6">
        <v>10115</v>
      </c>
      <c r="D490" s="6">
        <v>486</v>
      </c>
      <c r="E490" s="6">
        <v>4541</v>
      </c>
      <c r="F490" s="6">
        <v>965</v>
      </c>
      <c r="G490" s="6">
        <v>4469</v>
      </c>
      <c r="H490" s="6">
        <v>709</v>
      </c>
      <c r="I490" s="6">
        <v>2677</v>
      </c>
      <c r="J490" s="6">
        <v>66</v>
      </c>
      <c r="K490" s="6">
        <v>365</v>
      </c>
      <c r="L490" s="6">
        <v>3236</v>
      </c>
      <c r="M490" s="6">
        <v>22167</v>
      </c>
      <c r="N490" s="6">
        <v>9657</v>
      </c>
      <c r="O490" s="6">
        <v>23310</v>
      </c>
      <c r="P490" s="78">
        <v>3955</v>
      </c>
      <c r="Q490" s="6">
        <v>25144</v>
      </c>
      <c r="R490" s="16">
        <f t="shared" si="29"/>
        <v>16848</v>
      </c>
      <c r="S490" s="167">
        <f t="shared" si="31"/>
        <v>17096.25</v>
      </c>
      <c r="T490" s="168">
        <f t="shared" si="32"/>
        <v>39898</v>
      </c>
    </row>
    <row r="491" spans="1:20" ht="15.6" x14ac:dyDescent="0.3">
      <c r="A491" s="129">
        <f t="shared" si="30"/>
        <v>39905</v>
      </c>
      <c r="B491" s="78">
        <v>965</v>
      </c>
      <c r="C491" s="6">
        <v>10252</v>
      </c>
      <c r="D491" s="6">
        <v>401</v>
      </c>
      <c r="E491" s="6">
        <v>4656</v>
      </c>
      <c r="F491" s="6">
        <v>899</v>
      </c>
      <c r="G491" s="6">
        <v>4582</v>
      </c>
      <c r="H491" s="6">
        <v>586</v>
      </c>
      <c r="I491" s="6">
        <v>2822</v>
      </c>
      <c r="J491" s="6">
        <v>66</v>
      </c>
      <c r="K491" s="6">
        <v>365</v>
      </c>
      <c r="L491" s="6">
        <v>2916</v>
      </c>
      <c r="M491" s="6">
        <v>22675</v>
      </c>
      <c r="N491" s="6">
        <v>9664</v>
      </c>
      <c r="O491" s="6">
        <v>24367</v>
      </c>
      <c r="P491" s="78">
        <v>3802</v>
      </c>
      <c r="Q491" s="6">
        <v>25728</v>
      </c>
      <c r="R491" s="16">
        <f t="shared" si="29"/>
        <v>16382</v>
      </c>
      <c r="S491" s="167">
        <f t="shared" si="31"/>
        <v>16719.5</v>
      </c>
      <c r="T491" s="168">
        <f t="shared" si="32"/>
        <v>39905</v>
      </c>
    </row>
    <row r="492" spans="1:20" ht="15.6" x14ac:dyDescent="0.3">
      <c r="A492" s="129">
        <f t="shared" si="30"/>
        <v>39912</v>
      </c>
      <c r="B492" s="78">
        <v>814</v>
      </c>
      <c r="C492" s="6">
        <v>10434</v>
      </c>
      <c r="D492" s="6">
        <v>370</v>
      </c>
      <c r="E492" s="6">
        <v>4706</v>
      </c>
      <c r="F492" s="6">
        <v>769</v>
      </c>
      <c r="G492" s="6">
        <v>4721</v>
      </c>
      <c r="H492" s="6">
        <v>533</v>
      </c>
      <c r="I492" s="6">
        <v>2919</v>
      </c>
      <c r="J492" s="6">
        <v>66</v>
      </c>
      <c r="K492" s="6">
        <v>382</v>
      </c>
      <c r="L492" s="6">
        <v>2551</v>
      </c>
      <c r="M492" s="6">
        <v>23162</v>
      </c>
      <c r="N492" s="6">
        <v>9679</v>
      </c>
      <c r="O492" s="6">
        <v>25231</v>
      </c>
      <c r="P492" s="78">
        <v>4073</v>
      </c>
      <c r="Q492" s="6">
        <v>26265</v>
      </c>
      <c r="R492" s="16">
        <f t="shared" si="29"/>
        <v>16303</v>
      </c>
      <c r="S492" s="167">
        <f t="shared" si="31"/>
        <v>16591.75</v>
      </c>
      <c r="T492" s="168">
        <f t="shared" si="32"/>
        <v>39912</v>
      </c>
    </row>
    <row r="493" spans="1:20" ht="15.6" x14ac:dyDescent="0.3">
      <c r="A493" s="129">
        <f t="shared" si="30"/>
        <v>39919</v>
      </c>
      <c r="B493" s="78">
        <v>906</v>
      </c>
      <c r="C493" s="6">
        <v>10505</v>
      </c>
      <c r="D493" s="6">
        <v>312</v>
      </c>
      <c r="E493" s="6">
        <v>4798</v>
      </c>
      <c r="F493" s="6">
        <v>668</v>
      </c>
      <c r="G493" s="6">
        <v>4854</v>
      </c>
      <c r="H493" s="6">
        <v>469</v>
      </c>
      <c r="I493" s="6">
        <v>2987</v>
      </c>
      <c r="J493" s="6">
        <v>43</v>
      </c>
      <c r="K493" s="6">
        <v>405</v>
      </c>
      <c r="L493" s="6">
        <v>2396</v>
      </c>
      <c r="M493" s="6">
        <v>23549</v>
      </c>
      <c r="N493" s="6">
        <v>9866</v>
      </c>
      <c r="O493" s="6">
        <v>26248</v>
      </c>
      <c r="P493" s="78">
        <v>4029</v>
      </c>
      <c r="Q493" s="6">
        <v>26926</v>
      </c>
      <c r="R493" s="16">
        <f t="shared" si="29"/>
        <v>16291</v>
      </c>
      <c r="S493" s="167">
        <f t="shared" si="31"/>
        <v>16456</v>
      </c>
      <c r="T493" s="168">
        <f t="shared" si="32"/>
        <v>39919</v>
      </c>
    </row>
    <row r="494" spans="1:20" ht="15.6" x14ac:dyDescent="0.3">
      <c r="A494" s="129">
        <f t="shared" si="30"/>
        <v>39926</v>
      </c>
      <c r="B494" s="78">
        <v>755</v>
      </c>
      <c r="C494" s="6">
        <v>10664</v>
      </c>
      <c r="D494" s="6">
        <v>291</v>
      </c>
      <c r="E494" s="6">
        <v>4839</v>
      </c>
      <c r="F494" s="6">
        <v>583</v>
      </c>
      <c r="G494" s="6">
        <v>4979</v>
      </c>
      <c r="H494" s="6">
        <v>515</v>
      </c>
      <c r="I494" s="6">
        <v>3013</v>
      </c>
      <c r="J494" s="6">
        <v>32</v>
      </c>
      <c r="K494" s="6">
        <v>417</v>
      </c>
      <c r="L494" s="6">
        <v>2175</v>
      </c>
      <c r="M494" s="6">
        <v>23912</v>
      </c>
      <c r="N494" s="6">
        <v>10253</v>
      </c>
      <c r="O494" s="6">
        <v>27086</v>
      </c>
      <c r="P494" s="78">
        <v>4583</v>
      </c>
      <c r="Q494" s="6">
        <v>27206</v>
      </c>
      <c r="R494" s="16">
        <f t="shared" si="29"/>
        <v>17011</v>
      </c>
      <c r="S494" s="167">
        <f t="shared" si="31"/>
        <v>16496.75</v>
      </c>
      <c r="T494" s="168">
        <f t="shared" si="32"/>
        <v>39926</v>
      </c>
    </row>
    <row r="495" spans="1:20" ht="15.6" x14ac:dyDescent="0.3">
      <c r="A495" s="129">
        <f t="shared" si="30"/>
        <v>39933</v>
      </c>
      <c r="B495" s="78">
        <v>693</v>
      </c>
      <c r="C495" s="6">
        <v>10775</v>
      </c>
      <c r="D495" s="6">
        <v>275</v>
      </c>
      <c r="E495" s="6">
        <v>4872</v>
      </c>
      <c r="F495" s="6">
        <v>613</v>
      </c>
      <c r="G495" s="6">
        <v>5055</v>
      </c>
      <c r="H495" s="6">
        <v>552</v>
      </c>
      <c r="I495" s="6">
        <v>3059</v>
      </c>
      <c r="J495" s="6">
        <v>29</v>
      </c>
      <c r="K495" s="6">
        <v>420</v>
      </c>
      <c r="L495" s="6">
        <v>2161</v>
      </c>
      <c r="M495" s="6">
        <v>24181</v>
      </c>
      <c r="N495" s="6">
        <v>10052</v>
      </c>
      <c r="O495" s="6">
        <v>27876</v>
      </c>
      <c r="P495" s="78">
        <v>4851</v>
      </c>
      <c r="Q495" s="6">
        <v>27593</v>
      </c>
      <c r="R495" s="16">
        <f t="shared" si="29"/>
        <v>17064</v>
      </c>
      <c r="S495" s="167">
        <f t="shared" si="31"/>
        <v>16667.25</v>
      </c>
      <c r="T495" s="168">
        <f t="shared" si="32"/>
        <v>39933</v>
      </c>
    </row>
    <row r="496" spans="1:20" ht="15.6" x14ac:dyDescent="0.3">
      <c r="A496" s="129">
        <f t="shared" si="30"/>
        <v>39940</v>
      </c>
      <c r="B496" s="78">
        <v>660</v>
      </c>
      <c r="C496" s="6">
        <v>10884</v>
      </c>
      <c r="D496" s="6">
        <v>208</v>
      </c>
      <c r="E496" s="6">
        <v>4943</v>
      </c>
      <c r="F496" s="6">
        <v>525</v>
      </c>
      <c r="G496" s="6">
        <v>5158</v>
      </c>
      <c r="H496" s="6">
        <v>532</v>
      </c>
      <c r="I496" s="6">
        <v>3087</v>
      </c>
      <c r="J496" s="6">
        <v>29</v>
      </c>
      <c r="K496" s="6">
        <v>420</v>
      </c>
      <c r="L496" s="6">
        <v>1953</v>
      </c>
      <c r="M496" s="6">
        <v>24492</v>
      </c>
      <c r="N496" s="6">
        <v>9717</v>
      </c>
      <c r="O496" s="6">
        <v>29149</v>
      </c>
      <c r="P496" s="78">
        <v>4811</v>
      </c>
      <c r="Q496" s="6">
        <v>28035</v>
      </c>
      <c r="R496" s="16">
        <f t="shared" si="29"/>
        <v>16481</v>
      </c>
      <c r="S496" s="167">
        <f t="shared" si="31"/>
        <v>16711.75</v>
      </c>
      <c r="T496" s="168">
        <f t="shared" si="32"/>
        <v>39940</v>
      </c>
    </row>
    <row r="497" spans="1:20" ht="15.6" x14ac:dyDescent="0.3">
      <c r="A497" s="129">
        <f t="shared" si="30"/>
        <v>39947</v>
      </c>
      <c r="B497" s="78">
        <v>619</v>
      </c>
      <c r="C497" s="6">
        <v>10969</v>
      </c>
      <c r="D497" s="6">
        <v>180</v>
      </c>
      <c r="E497" s="6">
        <v>4996</v>
      </c>
      <c r="F497" s="6">
        <v>353</v>
      </c>
      <c r="G497" s="6">
        <v>5315</v>
      </c>
      <c r="H497" s="6">
        <v>389</v>
      </c>
      <c r="I497" s="6">
        <v>3159</v>
      </c>
      <c r="J497" s="6">
        <v>20</v>
      </c>
      <c r="K497" s="6">
        <v>440</v>
      </c>
      <c r="L497" s="6">
        <v>1561</v>
      </c>
      <c r="M497" s="6">
        <v>24878</v>
      </c>
      <c r="N497" s="6">
        <v>9692</v>
      </c>
      <c r="O497" s="6">
        <v>29857</v>
      </c>
      <c r="P497" s="78">
        <v>5098</v>
      </c>
      <c r="Q497" s="6">
        <v>28448</v>
      </c>
      <c r="R497" s="16">
        <f t="shared" si="29"/>
        <v>16351</v>
      </c>
      <c r="S497" s="167">
        <f t="shared" si="31"/>
        <v>16726.75</v>
      </c>
      <c r="T497" s="168">
        <f t="shared" si="32"/>
        <v>39947</v>
      </c>
    </row>
    <row r="498" spans="1:20" ht="15.6" x14ac:dyDescent="0.3">
      <c r="A498" s="129">
        <f t="shared" si="30"/>
        <v>39954</v>
      </c>
      <c r="B498" s="78">
        <v>461</v>
      </c>
      <c r="C498" s="6">
        <v>11138</v>
      </c>
      <c r="D498" s="6">
        <v>145</v>
      </c>
      <c r="E498" s="6">
        <v>5051</v>
      </c>
      <c r="F498" s="6">
        <v>361</v>
      </c>
      <c r="G498" s="6">
        <v>5350</v>
      </c>
      <c r="H498" s="6">
        <v>232</v>
      </c>
      <c r="I498" s="6">
        <v>3345</v>
      </c>
      <c r="J498" s="6">
        <v>5</v>
      </c>
      <c r="K498" s="6">
        <v>454</v>
      </c>
      <c r="L498" s="6">
        <v>1205</v>
      </c>
      <c r="M498" s="6">
        <v>25338</v>
      </c>
      <c r="N498" s="6">
        <v>9638</v>
      </c>
      <c r="O498" s="6">
        <v>30667</v>
      </c>
      <c r="P498" s="78">
        <v>4779</v>
      </c>
      <c r="Q498" s="6">
        <v>28981</v>
      </c>
      <c r="R498" s="16">
        <f t="shared" si="29"/>
        <v>15622</v>
      </c>
      <c r="S498" s="167">
        <f t="shared" si="31"/>
        <v>16379.5</v>
      </c>
      <c r="T498" s="168">
        <f t="shared" si="32"/>
        <v>39954</v>
      </c>
    </row>
    <row r="499" spans="1:20" ht="15.6" x14ac:dyDescent="0.3">
      <c r="A499" s="129">
        <f t="shared" si="30"/>
        <v>39961</v>
      </c>
      <c r="B499" s="78">
        <v>358</v>
      </c>
      <c r="C499" s="6">
        <v>11244</v>
      </c>
      <c r="D499" s="6">
        <v>170</v>
      </c>
      <c r="E499" s="6">
        <v>5100</v>
      </c>
      <c r="F499" s="6">
        <v>304</v>
      </c>
      <c r="G499" s="6">
        <v>5408</v>
      </c>
      <c r="H499" s="6">
        <v>168</v>
      </c>
      <c r="I499" s="6">
        <v>3420</v>
      </c>
      <c r="J499" s="6">
        <v>5</v>
      </c>
      <c r="K499" s="6">
        <v>454</v>
      </c>
      <c r="L499" s="6">
        <v>1005</v>
      </c>
      <c r="M499" s="6">
        <v>25626</v>
      </c>
      <c r="N499" s="6">
        <v>9386</v>
      </c>
      <c r="O499" s="6">
        <v>31523</v>
      </c>
      <c r="P499" s="78">
        <v>4443</v>
      </c>
      <c r="Q499" s="6">
        <v>29293</v>
      </c>
      <c r="R499" s="16">
        <f t="shared" si="29"/>
        <v>14834</v>
      </c>
      <c r="S499" s="167">
        <f t="shared" si="31"/>
        <v>15822</v>
      </c>
      <c r="T499" s="168">
        <f t="shared" si="32"/>
        <v>39961</v>
      </c>
    </row>
    <row r="500" spans="1:20" ht="15.6" x14ac:dyDescent="0.3">
      <c r="A500" s="129">
        <f t="shared" si="30"/>
        <v>39968</v>
      </c>
      <c r="B500" s="78">
        <v>1074</v>
      </c>
      <c r="C500" s="6">
        <v>62</v>
      </c>
      <c r="D500" s="6">
        <v>462</v>
      </c>
      <c r="E500" s="6">
        <v>0</v>
      </c>
      <c r="F500" s="6">
        <v>801</v>
      </c>
      <c r="G500" s="6">
        <v>5</v>
      </c>
      <c r="H500" s="6">
        <v>888</v>
      </c>
      <c r="I500" s="6">
        <v>9</v>
      </c>
      <c r="J500" s="6">
        <v>186</v>
      </c>
      <c r="K500" s="6">
        <v>0</v>
      </c>
      <c r="L500" s="6">
        <v>3410</v>
      </c>
      <c r="M500" s="6">
        <v>77</v>
      </c>
      <c r="N500" s="6">
        <v>9475</v>
      </c>
      <c r="O500" s="6">
        <v>32147</v>
      </c>
      <c r="P500" s="78">
        <v>4081</v>
      </c>
      <c r="Q500" s="6">
        <v>29595</v>
      </c>
      <c r="R500" s="16">
        <f t="shared" ref="R500:R519" si="33">L500+N500+P500</f>
        <v>16966</v>
      </c>
      <c r="S500" s="167">
        <f t="shared" si="31"/>
        <v>15943.25</v>
      </c>
      <c r="T500" s="168">
        <f t="shared" si="32"/>
        <v>39968</v>
      </c>
    </row>
    <row r="501" spans="1:20" ht="15.6" x14ac:dyDescent="0.3">
      <c r="A501" s="129">
        <f t="shared" si="30"/>
        <v>39975</v>
      </c>
      <c r="B501" s="78">
        <v>1016</v>
      </c>
      <c r="C501" s="6">
        <v>206</v>
      </c>
      <c r="D501" s="6">
        <v>504</v>
      </c>
      <c r="E501" s="6">
        <v>24</v>
      </c>
      <c r="F501" s="6">
        <v>763</v>
      </c>
      <c r="G501" s="6">
        <v>123</v>
      </c>
      <c r="H501" s="6">
        <v>807</v>
      </c>
      <c r="I501" s="6">
        <v>110</v>
      </c>
      <c r="J501" s="6">
        <v>196</v>
      </c>
      <c r="K501" s="6">
        <v>7</v>
      </c>
      <c r="L501" s="6">
        <v>3286</v>
      </c>
      <c r="M501" s="6">
        <v>468</v>
      </c>
      <c r="N501" s="6">
        <v>9424</v>
      </c>
      <c r="O501" s="6">
        <v>32965</v>
      </c>
      <c r="P501" s="78">
        <v>3877</v>
      </c>
      <c r="Q501" s="6">
        <v>29944</v>
      </c>
      <c r="R501" s="16">
        <f t="shared" si="33"/>
        <v>16587</v>
      </c>
      <c r="S501" s="167">
        <f t="shared" si="31"/>
        <v>16002.25</v>
      </c>
      <c r="T501" s="168">
        <f t="shared" si="32"/>
        <v>39975</v>
      </c>
    </row>
    <row r="502" spans="1:20" ht="15.6" x14ac:dyDescent="0.3">
      <c r="A502" s="129">
        <f t="shared" si="30"/>
        <v>39982</v>
      </c>
      <c r="B502" s="78">
        <v>1041</v>
      </c>
      <c r="C502" s="6">
        <v>329</v>
      </c>
      <c r="D502" s="6">
        <v>534</v>
      </c>
      <c r="E502" s="6">
        <v>57</v>
      </c>
      <c r="F502" s="6">
        <v>751</v>
      </c>
      <c r="G502" s="6">
        <v>212</v>
      </c>
      <c r="H502" s="6">
        <v>809</v>
      </c>
      <c r="I502" s="6">
        <v>187</v>
      </c>
      <c r="J502" s="6">
        <v>196</v>
      </c>
      <c r="K502" s="6">
        <v>7</v>
      </c>
      <c r="L502" s="6">
        <v>3331</v>
      </c>
      <c r="M502" s="6">
        <v>792</v>
      </c>
      <c r="N502" s="6">
        <v>9072</v>
      </c>
      <c r="O502" s="6">
        <v>34003</v>
      </c>
      <c r="P502" s="78">
        <v>3527</v>
      </c>
      <c r="Q502" s="6">
        <v>30322</v>
      </c>
      <c r="R502" s="16">
        <f t="shared" si="33"/>
        <v>15930</v>
      </c>
      <c r="S502" s="167">
        <f t="shared" si="31"/>
        <v>16079.25</v>
      </c>
      <c r="T502" s="168">
        <f t="shared" si="32"/>
        <v>39982</v>
      </c>
    </row>
    <row r="503" spans="1:20" ht="15.6" x14ac:dyDescent="0.3">
      <c r="A503" s="129">
        <f t="shared" si="30"/>
        <v>39989</v>
      </c>
      <c r="B503" s="78">
        <v>1064.5999999999999</v>
      </c>
      <c r="C503" s="6">
        <v>418.7</v>
      </c>
      <c r="D503" s="6">
        <v>510.1</v>
      </c>
      <c r="E503" s="6">
        <v>112</v>
      </c>
      <c r="F503" s="6">
        <v>741.1</v>
      </c>
      <c r="G503" s="6">
        <v>274.7</v>
      </c>
      <c r="H503" s="6">
        <v>714.7</v>
      </c>
      <c r="I503" s="6">
        <v>306.5</v>
      </c>
      <c r="J503" s="6">
        <v>175.5</v>
      </c>
      <c r="K503" s="6">
        <v>47</v>
      </c>
      <c r="L503" s="6">
        <v>3206.1</v>
      </c>
      <c r="M503" s="6">
        <v>1158.9000000000001</v>
      </c>
      <c r="N503" s="6">
        <v>9485</v>
      </c>
      <c r="O503" s="6">
        <v>34746.199999999997</v>
      </c>
      <c r="P503" s="78">
        <v>3333.2</v>
      </c>
      <c r="Q503" s="6">
        <v>30709.200000000001</v>
      </c>
      <c r="R503" s="16">
        <f t="shared" si="33"/>
        <v>16024.3</v>
      </c>
      <c r="S503" s="167">
        <f t="shared" si="31"/>
        <v>16376.825000000001</v>
      </c>
      <c r="T503" s="168">
        <f t="shared" si="32"/>
        <v>39989</v>
      </c>
    </row>
    <row r="504" spans="1:20" ht="15.6" x14ac:dyDescent="0.3">
      <c r="A504" s="129">
        <f t="shared" si="30"/>
        <v>39996</v>
      </c>
      <c r="B504" s="108">
        <v>1093</v>
      </c>
      <c r="C504" s="106">
        <v>524</v>
      </c>
      <c r="D504" s="106">
        <v>462</v>
      </c>
      <c r="E504" s="106">
        <v>193</v>
      </c>
      <c r="F504" s="106">
        <v>896</v>
      </c>
      <c r="G504" s="106">
        <v>338</v>
      </c>
      <c r="H504" s="106">
        <v>785</v>
      </c>
      <c r="I504" s="106">
        <v>419</v>
      </c>
      <c r="J504" s="106">
        <v>185</v>
      </c>
      <c r="K504" s="106">
        <v>54</v>
      </c>
      <c r="L504" s="106">
        <v>3422</v>
      </c>
      <c r="M504" s="106">
        <v>1527</v>
      </c>
      <c r="N504" s="106">
        <v>9266</v>
      </c>
      <c r="O504" s="106">
        <v>35714</v>
      </c>
      <c r="P504" s="108">
        <v>3202</v>
      </c>
      <c r="Q504" s="106">
        <v>31127</v>
      </c>
      <c r="R504" s="16">
        <f t="shared" si="33"/>
        <v>15890</v>
      </c>
      <c r="S504" s="167">
        <f t="shared" si="31"/>
        <v>16107.825000000001</v>
      </c>
      <c r="T504" s="168">
        <f t="shared" si="32"/>
        <v>39996</v>
      </c>
    </row>
    <row r="505" spans="1:20" ht="15.6" x14ac:dyDescent="0.3">
      <c r="A505" s="129">
        <f t="shared" si="30"/>
        <v>40003</v>
      </c>
      <c r="B505" s="108">
        <v>1326</v>
      </c>
      <c r="C505" s="106">
        <v>623</v>
      </c>
      <c r="D505" s="106">
        <v>518</v>
      </c>
      <c r="E505" s="106">
        <v>207</v>
      </c>
      <c r="F505" s="106">
        <v>878</v>
      </c>
      <c r="G505" s="106">
        <v>372</v>
      </c>
      <c r="H505" s="106">
        <v>772</v>
      </c>
      <c r="I505" s="106">
        <v>436</v>
      </c>
      <c r="J505" s="106">
        <v>185</v>
      </c>
      <c r="K505" s="106">
        <v>54</v>
      </c>
      <c r="L505" s="106">
        <v>3680</v>
      </c>
      <c r="M505" s="106">
        <v>1691</v>
      </c>
      <c r="N505" s="106">
        <v>8996</v>
      </c>
      <c r="O505" s="106">
        <v>36684</v>
      </c>
      <c r="P505" s="108">
        <v>2947</v>
      </c>
      <c r="Q505" s="106">
        <v>31517</v>
      </c>
      <c r="R505" s="16">
        <f t="shared" si="33"/>
        <v>15623</v>
      </c>
      <c r="S505" s="167">
        <f t="shared" si="31"/>
        <v>15866.825000000001</v>
      </c>
      <c r="T505" s="168">
        <f t="shared" si="32"/>
        <v>40003</v>
      </c>
    </row>
    <row r="506" spans="1:20" ht="15.6" x14ac:dyDescent="0.3">
      <c r="A506" s="129">
        <f t="shared" si="30"/>
        <v>40010</v>
      </c>
      <c r="B506" s="108">
        <v>1308</v>
      </c>
      <c r="C506" s="106">
        <v>819</v>
      </c>
      <c r="D506" s="106">
        <v>538</v>
      </c>
      <c r="E506" s="106">
        <v>267</v>
      </c>
      <c r="F506" s="106">
        <v>851</v>
      </c>
      <c r="G506" s="106">
        <v>450</v>
      </c>
      <c r="H506" s="106">
        <v>705</v>
      </c>
      <c r="I506" s="106">
        <v>538</v>
      </c>
      <c r="J506" s="106">
        <v>183</v>
      </c>
      <c r="K506" s="106">
        <v>55</v>
      </c>
      <c r="L506" s="106">
        <v>3586</v>
      </c>
      <c r="M506" s="106">
        <v>2128</v>
      </c>
      <c r="N506" s="106">
        <v>8833</v>
      </c>
      <c r="O506" s="106">
        <v>37605</v>
      </c>
      <c r="P506" s="108">
        <v>2984</v>
      </c>
      <c r="Q506" s="106">
        <v>31800</v>
      </c>
      <c r="R506" s="16">
        <f t="shared" si="33"/>
        <v>15403</v>
      </c>
      <c r="S506" s="167">
        <f t="shared" si="31"/>
        <v>15735.075000000001</v>
      </c>
      <c r="T506" s="168">
        <f t="shared" si="32"/>
        <v>40010</v>
      </c>
    </row>
    <row r="507" spans="1:20" ht="15.6" x14ac:dyDescent="0.3">
      <c r="A507" s="129">
        <f t="shared" si="30"/>
        <v>40017</v>
      </c>
      <c r="B507" s="108">
        <v>1326</v>
      </c>
      <c r="C507" s="106">
        <v>946</v>
      </c>
      <c r="D507" s="106">
        <v>598</v>
      </c>
      <c r="E507" s="106">
        <v>372</v>
      </c>
      <c r="F507" s="106">
        <v>929</v>
      </c>
      <c r="G507" s="106">
        <v>494</v>
      </c>
      <c r="H507" s="106">
        <v>787</v>
      </c>
      <c r="I507" s="106">
        <v>565</v>
      </c>
      <c r="J507" s="106">
        <v>213</v>
      </c>
      <c r="K507" s="106">
        <v>61</v>
      </c>
      <c r="L507" s="106">
        <v>3853</v>
      </c>
      <c r="M507" s="106">
        <v>2436</v>
      </c>
      <c r="N507" s="106">
        <v>7837</v>
      </c>
      <c r="O507" s="106">
        <v>39086</v>
      </c>
      <c r="P507" s="108">
        <v>2887</v>
      </c>
      <c r="Q507" s="106">
        <v>32142</v>
      </c>
      <c r="R507" s="16">
        <f t="shared" si="33"/>
        <v>14577</v>
      </c>
      <c r="S507" s="167">
        <f t="shared" si="31"/>
        <v>15373.25</v>
      </c>
      <c r="T507" s="168">
        <f t="shared" si="32"/>
        <v>40017</v>
      </c>
    </row>
    <row r="508" spans="1:20" ht="15.6" x14ac:dyDescent="0.3">
      <c r="A508" s="129">
        <f t="shared" si="30"/>
        <v>40024</v>
      </c>
      <c r="B508" s="108">
        <v>1364</v>
      </c>
      <c r="C508" s="106">
        <v>1136</v>
      </c>
      <c r="D508" s="106">
        <v>569</v>
      </c>
      <c r="E508" s="106">
        <v>498</v>
      </c>
      <c r="F508" s="106">
        <v>944</v>
      </c>
      <c r="G508" s="106">
        <v>546</v>
      </c>
      <c r="H508" s="106">
        <v>898</v>
      </c>
      <c r="I508" s="106">
        <v>583</v>
      </c>
      <c r="J508" s="106">
        <v>241</v>
      </c>
      <c r="K508" s="106">
        <v>64</v>
      </c>
      <c r="L508" s="106">
        <v>4016</v>
      </c>
      <c r="M508" s="106">
        <v>2826</v>
      </c>
      <c r="N508" s="106">
        <v>7070</v>
      </c>
      <c r="O508" s="106">
        <v>40249</v>
      </c>
      <c r="P508" s="108">
        <v>3164</v>
      </c>
      <c r="Q508" s="106">
        <v>32360</v>
      </c>
      <c r="R508" s="16">
        <f t="shared" si="33"/>
        <v>14250</v>
      </c>
      <c r="S508" s="167">
        <f t="shared" si="31"/>
        <v>14963.25</v>
      </c>
      <c r="T508" s="168">
        <f t="shared" si="32"/>
        <v>40024</v>
      </c>
    </row>
    <row r="509" spans="1:20" ht="15.6" x14ac:dyDescent="0.3">
      <c r="A509" s="129">
        <f t="shared" si="30"/>
        <v>40031</v>
      </c>
      <c r="B509" s="108">
        <v>1328</v>
      </c>
      <c r="C509" s="106">
        <v>1282</v>
      </c>
      <c r="D509" s="106">
        <v>634</v>
      </c>
      <c r="E509" s="106">
        <v>523</v>
      </c>
      <c r="F509" s="106">
        <v>945</v>
      </c>
      <c r="G509" s="106">
        <v>652</v>
      </c>
      <c r="H509" s="106">
        <v>985</v>
      </c>
      <c r="I509" s="106">
        <v>653</v>
      </c>
      <c r="J509" s="106">
        <v>229</v>
      </c>
      <c r="K509" s="106">
        <v>96</v>
      </c>
      <c r="L509" s="106">
        <v>4115</v>
      </c>
      <c r="M509" s="106">
        <v>3206</v>
      </c>
      <c r="N509" s="106">
        <v>6654</v>
      </c>
      <c r="O509" s="106">
        <v>41206</v>
      </c>
      <c r="P509" s="108">
        <v>3153</v>
      </c>
      <c r="Q509" s="106">
        <v>32630</v>
      </c>
      <c r="R509" s="16">
        <f t="shared" si="33"/>
        <v>13922</v>
      </c>
      <c r="S509" s="167">
        <f t="shared" si="31"/>
        <v>14538</v>
      </c>
      <c r="T509" s="168">
        <f t="shared" si="32"/>
        <v>40031</v>
      </c>
    </row>
    <row r="510" spans="1:20" ht="15.6" x14ac:dyDescent="0.3">
      <c r="A510" s="129">
        <f t="shared" si="30"/>
        <v>40038</v>
      </c>
      <c r="B510" s="108">
        <v>1329</v>
      </c>
      <c r="C510" s="106">
        <v>1414</v>
      </c>
      <c r="D510" s="106">
        <v>625</v>
      </c>
      <c r="E510" s="106">
        <v>584</v>
      </c>
      <c r="F510" s="106">
        <v>930</v>
      </c>
      <c r="G510" s="106">
        <v>763</v>
      </c>
      <c r="H510" s="106">
        <v>983</v>
      </c>
      <c r="I510" s="106">
        <v>702</v>
      </c>
      <c r="J510" s="106">
        <v>233</v>
      </c>
      <c r="K510" s="106">
        <v>118</v>
      </c>
      <c r="L510" s="106">
        <v>4099</v>
      </c>
      <c r="M510" s="106">
        <v>3581</v>
      </c>
      <c r="N510" s="106">
        <v>6107</v>
      </c>
      <c r="O510" s="106">
        <v>42330</v>
      </c>
      <c r="P510" s="108">
        <v>3273</v>
      </c>
      <c r="Q510" s="106">
        <v>32786</v>
      </c>
      <c r="R510" s="16">
        <f t="shared" si="33"/>
        <v>13479</v>
      </c>
      <c r="S510" s="167">
        <f t="shared" si="31"/>
        <v>14057</v>
      </c>
      <c r="T510" s="168">
        <f t="shared" si="32"/>
        <v>40038</v>
      </c>
    </row>
    <row r="511" spans="1:20" ht="15.6" x14ac:dyDescent="0.3">
      <c r="A511" s="129">
        <f t="shared" si="30"/>
        <v>40045</v>
      </c>
      <c r="B511" s="108">
        <v>1402</v>
      </c>
      <c r="C511" s="106">
        <v>1597</v>
      </c>
      <c r="D511" s="106">
        <v>729</v>
      </c>
      <c r="E511" s="106">
        <v>628</v>
      </c>
      <c r="F511" s="106">
        <v>959</v>
      </c>
      <c r="G511" s="106">
        <v>888</v>
      </c>
      <c r="H511" s="106">
        <v>969</v>
      </c>
      <c r="I511" s="106">
        <v>798</v>
      </c>
      <c r="J511" s="106">
        <v>243</v>
      </c>
      <c r="K511" s="106">
        <v>120</v>
      </c>
      <c r="L511" s="106">
        <v>4302</v>
      </c>
      <c r="M511" s="106">
        <v>4031</v>
      </c>
      <c r="N511" s="106">
        <v>5098</v>
      </c>
      <c r="O511" s="106">
        <v>43605</v>
      </c>
      <c r="P511" s="108">
        <v>3049</v>
      </c>
      <c r="Q511" s="106">
        <v>33097</v>
      </c>
      <c r="R511" s="16">
        <f t="shared" si="33"/>
        <v>12449</v>
      </c>
      <c r="S511" s="167">
        <f t="shared" si="31"/>
        <v>13525</v>
      </c>
      <c r="T511" s="168">
        <f t="shared" si="32"/>
        <v>40045</v>
      </c>
    </row>
    <row r="512" spans="1:20" ht="15.6" x14ac:dyDescent="0.3">
      <c r="A512" s="129">
        <f t="shared" si="30"/>
        <v>40052</v>
      </c>
      <c r="B512" s="108">
        <v>1271</v>
      </c>
      <c r="C512" s="106">
        <v>1802</v>
      </c>
      <c r="D512" s="106">
        <v>813</v>
      </c>
      <c r="E512" s="106">
        <v>739</v>
      </c>
      <c r="F512" s="106">
        <v>954</v>
      </c>
      <c r="G512" s="106">
        <v>962</v>
      </c>
      <c r="H512" s="106">
        <v>963</v>
      </c>
      <c r="I512" s="106">
        <v>836</v>
      </c>
      <c r="J512" s="106">
        <v>270</v>
      </c>
      <c r="K512" s="106">
        <v>128</v>
      </c>
      <c r="L512" s="106">
        <v>4272</v>
      </c>
      <c r="M512" s="106">
        <v>4466</v>
      </c>
      <c r="N512" s="106">
        <v>4398</v>
      </c>
      <c r="O512" s="106">
        <v>44650</v>
      </c>
      <c r="P512" s="108">
        <v>2382</v>
      </c>
      <c r="Q512" s="106">
        <v>33705</v>
      </c>
      <c r="R512" s="16">
        <f t="shared" si="33"/>
        <v>11052</v>
      </c>
      <c r="S512" s="167">
        <f t="shared" si="31"/>
        <v>12725.5</v>
      </c>
      <c r="T512" s="168">
        <f t="shared" si="32"/>
        <v>40052</v>
      </c>
    </row>
    <row r="513" spans="1:20" ht="15.6" x14ac:dyDescent="0.3">
      <c r="A513" s="129">
        <f t="shared" si="30"/>
        <v>40059</v>
      </c>
      <c r="B513" s="108">
        <v>1282</v>
      </c>
      <c r="C513" s="106">
        <v>1935</v>
      </c>
      <c r="D513" s="106">
        <v>870</v>
      </c>
      <c r="E513" s="106">
        <v>773</v>
      </c>
      <c r="F513" s="106">
        <v>981</v>
      </c>
      <c r="G513" s="106">
        <v>1047</v>
      </c>
      <c r="H513" s="106">
        <v>962</v>
      </c>
      <c r="I513" s="106">
        <v>970</v>
      </c>
      <c r="J513" s="106">
        <v>275</v>
      </c>
      <c r="K513" s="106">
        <v>195</v>
      </c>
      <c r="L513" s="106">
        <v>4371</v>
      </c>
      <c r="M513" s="106">
        <v>4919</v>
      </c>
      <c r="N513" s="106">
        <v>12131</v>
      </c>
      <c r="O513" s="106">
        <v>537</v>
      </c>
      <c r="P513" s="108">
        <v>16947</v>
      </c>
      <c r="Q513" s="106">
        <v>194</v>
      </c>
      <c r="R513" s="16">
        <f t="shared" si="33"/>
        <v>33449</v>
      </c>
      <c r="S513" s="167">
        <f t="shared" si="31"/>
        <v>17607.25</v>
      </c>
      <c r="T513" s="168">
        <f t="shared" si="32"/>
        <v>40059</v>
      </c>
    </row>
    <row r="514" spans="1:20" ht="15.6" x14ac:dyDescent="0.3">
      <c r="A514" s="129">
        <f t="shared" si="30"/>
        <v>40066</v>
      </c>
      <c r="B514" s="108">
        <v>1284</v>
      </c>
      <c r="C514" s="106">
        <v>2121</v>
      </c>
      <c r="D514" s="106">
        <v>802</v>
      </c>
      <c r="E514" s="106">
        <v>912</v>
      </c>
      <c r="F514" s="106">
        <v>917</v>
      </c>
      <c r="G514" s="106">
        <v>1230</v>
      </c>
      <c r="H514" s="106">
        <v>930</v>
      </c>
      <c r="I514" s="106">
        <v>1043</v>
      </c>
      <c r="J514" s="106">
        <v>290</v>
      </c>
      <c r="K514" s="106">
        <v>208</v>
      </c>
      <c r="L514" s="106">
        <v>4224</v>
      </c>
      <c r="M514" s="106">
        <v>5515</v>
      </c>
      <c r="N514" s="106">
        <v>11935</v>
      </c>
      <c r="O514" s="106">
        <v>1699</v>
      </c>
      <c r="P514" s="108">
        <v>17173</v>
      </c>
      <c r="Q514" s="106">
        <v>458</v>
      </c>
      <c r="R514" s="16">
        <f t="shared" si="33"/>
        <v>33332</v>
      </c>
      <c r="S514" s="167">
        <f t="shared" si="31"/>
        <v>22570.5</v>
      </c>
      <c r="T514" s="168">
        <f t="shared" si="32"/>
        <v>40066</v>
      </c>
    </row>
    <row r="515" spans="1:20" ht="15.6" x14ac:dyDescent="0.3">
      <c r="A515" s="129">
        <f t="shared" si="30"/>
        <v>40073</v>
      </c>
      <c r="B515" s="108">
        <v>1244</v>
      </c>
      <c r="C515" s="106">
        <v>2347</v>
      </c>
      <c r="D515" s="106">
        <v>769</v>
      </c>
      <c r="E515" s="106">
        <v>997</v>
      </c>
      <c r="F515" s="106">
        <v>892</v>
      </c>
      <c r="G515" s="106">
        <v>1392</v>
      </c>
      <c r="H515" s="106">
        <v>897</v>
      </c>
      <c r="I515" s="106">
        <v>1157</v>
      </c>
      <c r="J515" s="106">
        <v>312</v>
      </c>
      <c r="K515" s="106">
        <v>224</v>
      </c>
      <c r="L515" s="106">
        <v>4114</v>
      </c>
      <c r="M515" s="106">
        <v>6117</v>
      </c>
      <c r="N515" s="106">
        <v>11570</v>
      </c>
      <c r="O515" s="106">
        <v>2738</v>
      </c>
      <c r="P515" s="108">
        <v>18242</v>
      </c>
      <c r="Q515" s="106">
        <v>541</v>
      </c>
      <c r="R515" s="16">
        <f t="shared" si="33"/>
        <v>33926</v>
      </c>
      <c r="S515" s="167">
        <f t="shared" si="31"/>
        <v>27939.75</v>
      </c>
      <c r="T515" s="168">
        <f t="shared" si="32"/>
        <v>40073</v>
      </c>
    </row>
    <row r="516" spans="1:20" ht="15.6" x14ac:dyDescent="0.3">
      <c r="A516" s="129">
        <f t="shared" si="30"/>
        <v>40080</v>
      </c>
      <c r="B516" s="108">
        <v>1189</v>
      </c>
      <c r="C516" s="106">
        <v>2523</v>
      </c>
      <c r="D516" s="106">
        <v>714</v>
      </c>
      <c r="E516" s="106">
        <v>1106</v>
      </c>
      <c r="F516" s="106">
        <v>915</v>
      </c>
      <c r="G516" s="106">
        <v>1559</v>
      </c>
      <c r="H516" s="106">
        <v>831</v>
      </c>
      <c r="I516" s="106">
        <v>1315</v>
      </c>
      <c r="J516" s="106">
        <v>372</v>
      </c>
      <c r="K516" s="106">
        <v>246</v>
      </c>
      <c r="L516" s="106">
        <v>4021</v>
      </c>
      <c r="M516" s="106">
        <v>6748</v>
      </c>
      <c r="N516" s="106">
        <v>11828</v>
      </c>
      <c r="O516" s="106">
        <v>3703</v>
      </c>
      <c r="P516" s="108">
        <v>19418</v>
      </c>
      <c r="Q516" s="106">
        <v>750</v>
      </c>
      <c r="R516" s="16">
        <f t="shared" si="33"/>
        <v>35267</v>
      </c>
      <c r="S516" s="167">
        <f t="shared" si="31"/>
        <v>33993.5</v>
      </c>
      <c r="T516" s="168">
        <f t="shared" si="32"/>
        <v>40080</v>
      </c>
    </row>
    <row r="517" spans="1:20" ht="15.6" x14ac:dyDescent="0.3">
      <c r="A517" s="129">
        <f t="shared" si="30"/>
        <v>40087</v>
      </c>
      <c r="B517" s="108">
        <v>1205</v>
      </c>
      <c r="C517" s="106">
        <v>2772</v>
      </c>
      <c r="D517" s="106">
        <v>643</v>
      </c>
      <c r="E517" s="106">
        <v>1205</v>
      </c>
      <c r="F517" s="106">
        <v>998</v>
      </c>
      <c r="G517" s="106">
        <v>1706</v>
      </c>
      <c r="H517" s="106">
        <v>871</v>
      </c>
      <c r="I517" s="106">
        <v>1427</v>
      </c>
      <c r="J517" s="106">
        <v>397</v>
      </c>
      <c r="K517" s="106">
        <v>303</v>
      </c>
      <c r="L517" s="106">
        <v>4113</v>
      </c>
      <c r="M517" s="106">
        <v>7414</v>
      </c>
      <c r="N517" s="106">
        <v>11206</v>
      </c>
      <c r="O517" s="106">
        <v>4847</v>
      </c>
      <c r="P517" s="108">
        <v>19528</v>
      </c>
      <c r="Q517" s="106">
        <v>1091</v>
      </c>
      <c r="R517" s="16">
        <f t="shared" si="33"/>
        <v>34847</v>
      </c>
      <c r="S517" s="167">
        <f t="shared" si="31"/>
        <v>34343</v>
      </c>
      <c r="T517" s="168">
        <f t="shared" si="32"/>
        <v>40087</v>
      </c>
    </row>
    <row r="518" spans="1:20" ht="15.6" x14ac:dyDescent="0.3">
      <c r="A518" s="129">
        <f t="shared" si="30"/>
        <v>40094</v>
      </c>
      <c r="B518" s="108">
        <v>1100</v>
      </c>
      <c r="C518" s="106">
        <v>2981</v>
      </c>
      <c r="D518" s="106">
        <v>623</v>
      </c>
      <c r="E518" s="106">
        <v>1262</v>
      </c>
      <c r="F518" s="106">
        <v>1009</v>
      </c>
      <c r="G518" s="106">
        <v>1849</v>
      </c>
      <c r="H518" s="106">
        <v>932</v>
      </c>
      <c r="I518" s="106">
        <v>1488</v>
      </c>
      <c r="J518" s="106">
        <v>404</v>
      </c>
      <c r="K518" s="106">
        <v>357</v>
      </c>
      <c r="L518" s="106">
        <v>4069</v>
      </c>
      <c r="M518" s="106">
        <v>7938</v>
      </c>
      <c r="N518" s="106">
        <v>11167</v>
      </c>
      <c r="O518" s="106">
        <v>5517</v>
      </c>
      <c r="P518" s="108">
        <v>19577</v>
      </c>
      <c r="Q518" s="106">
        <v>1696</v>
      </c>
      <c r="R518" s="16">
        <f t="shared" si="33"/>
        <v>34813</v>
      </c>
      <c r="S518" s="167">
        <f t="shared" si="31"/>
        <v>34713.25</v>
      </c>
      <c r="T518" s="168">
        <f t="shared" si="32"/>
        <v>40094</v>
      </c>
    </row>
    <row r="519" spans="1:20" ht="15.6" x14ac:dyDescent="0.3">
      <c r="A519" s="129">
        <f t="shared" si="30"/>
        <v>40101</v>
      </c>
      <c r="B519" s="108">
        <v>1252</v>
      </c>
      <c r="C519" s="106">
        <v>3130</v>
      </c>
      <c r="D519" s="106">
        <v>589</v>
      </c>
      <c r="E519" s="106">
        <v>1373</v>
      </c>
      <c r="F519" s="106">
        <v>1008</v>
      </c>
      <c r="G519" s="106">
        <v>1967</v>
      </c>
      <c r="H519" s="106">
        <v>995</v>
      </c>
      <c r="I519" s="106">
        <v>1544</v>
      </c>
      <c r="J519" s="106">
        <v>385</v>
      </c>
      <c r="K519" s="106">
        <v>390</v>
      </c>
      <c r="L519" s="106">
        <v>4229</v>
      </c>
      <c r="M519" s="106">
        <v>8405</v>
      </c>
      <c r="N519" s="106">
        <v>10584</v>
      </c>
      <c r="O519" s="106">
        <v>6335</v>
      </c>
      <c r="P519" s="108">
        <v>19708</v>
      </c>
      <c r="Q519" s="106">
        <v>2552</v>
      </c>
      <c r="R519" s="16">
        <f t="shared" si="33"/>
        <v>34521</v>
      </c>
      <c r="S519" s="167">
        <f t="shared" si="31"/>
        <v>34862</v>
      </c>
      <c r="T519" s="168">
        <f t="shared" si="32"/>
        <v>40101</v>
      </c>
    </row>
    <row r="520" spans="1:20" ht="15.6" x14ac:dyDescent="0.3">
      <c r="A520" s="129">
        <f t="shared" si="30"/>
        <v>40108</v>
      </c>
      <c r="B520" s="108">
        <v>1256</v>
      </c>
      <c r="C520" s="106">
        <v>3244</v>
      </c>
      <c r="D520" s="106">
        <v>594</v>
      </c>
      <c r="E520" s="106">
        <v>1386</v>
      </c>
      <c r="F520" s="106">
        <v>1013</v>
      </c>
      <c r="G520" s="106">
        <v>2109</v>
      </c>
      <c r="H520" s="106">
        <v>961</v>
      </c>
      <c r="I520" s="106">
        <v>1647</v>
      </c>
      <c r="J520" s="106">
        <v>322</v>
      </c>
      <c r="K520" s="106">
        <v>444</v>
      </c>
      <c r="L520" s="106">
        <v>4146</v>
      </c>
      <c r="M520" s="106">
        <v>8830</v>
      </c>
      <c r="N520" s="106">
        <v>10284</v>
      </c>
      <c r="O520" s="106">
        <v>7002</v>
      </c>
      <c r="P520" s="108">
        <v>18965</v>
      </c>
      <c r="Q520" s="106">
        <v>3986</v>
      </c>
      <c r="R520" s="16">
        <f t="shared" ref="R520:R532" si="34">P520+N520+L520</f>
        <v>33395</v>
      </c>
      <c r="S520" s="167">
        <f t="shared" si="31"/>
        <v>34394</v>
      </c>
      <c r="T520" s="168">
        <f t="shared" si="32"/>
        <v>40108</v>
      </c>
    </row>
    <row r="521" spans="1:20" ht="15.6" x14ac:dyDescent="0.3">
      <c r="A521" s="129">
        <f t="shared" si="30"/>
        <v>40115</v>
      </c>
      <c r="B521" s="108">
        <v>1263</v>
      </c>
      <c r="C521" s="106">
        <v>3346</v>
      </c>
      <c r="D521" s="106">
        <v>557</v>
      </c>
      <c r="E521" s="106">
        <v>1462</v>
      </c>
      <c r="F521" s="106">
        <v>1020</v>
      </c>
      <c r="G521" s="106">
        <v>2167</v>
      </c>
      <c r="H521" s="106">
        <v>980</v>
      </c>
      <c r="I521" s="106">
        <v>1677</v>
      </c>
      <c r="J521" s="106">
        <v>322</v>
      </c>
      <c r="K521" s="106">
        <v>468</v>
      </c>
      <c r="L521" s="106">
        <v>4141</v>
      </c>
      <c r="M521" s="106">
        <v>9120</v>
      </c>
      <c r="N521" s="106">
        <v>10140</v>
      </c>
      <c r="O521" s="106">
        <v>7710</v>
      </c>
      <c r="P521" s="108">
        <v>17795</v>
      </c>
      <c r="Q521" s="106">
        <v>5679</v>
      </c>
      <c r="R521" s="16">
        <f t="shared" si="34"/>
        <v>32076</v>
      </c>
      <c r="S521" s="167">
        <f t="shared" si="31"/>
        <v>33701.25</v>
      </c>
      <c r="T521" s="168">
        <f t="shared" si="32"/>
        <v>40115</v>
      </c>
    </row>
    <row r="522" spans="1:20" ht="15.6" x14ac:dyDescent="0.3">
      <c r="A522" s="129">
        <f t="shared" si="30"/>
        <v>40122</v>
      </c>
      <c r="B522" s="108">
        <v>1406</v>
      </c>
      <c r="C522" s="106">
        <v>3431</v>
      </c>
      <c r="D522" s="106">
        <v>540</v>
      </c>
      <c r="E522" s="106">
        <v>1506</v>
      </c>
      <c r="F522" s="106">
        <v>1026</v>
      </c>
      <c r="G522" s="106">
        <v>2250</v>
      </c>
      <c r="H522" s="106">
        <v>826</v>
      </c>
      <c r="I522" s="106">
        <v>1876</v>
      </c>
      <c r="J522" s="106">
        <v>300</v>
      </c>
      <c r="K522" s="106">
        <v>514</v>
      </c>
      <c r="L522" s="106">
        <v>4097</v>
      </c>
      <c r="M522" s="106">
        <v>9576</v>
      </c>
      <c r="N522" s="106">
        <v>9871</v>
      </c>
      <c r="O522" s="106">
        <v>8468</v>
      </c>
      <c r="P522" s="108">
        <v>17431</v>
      </c>
      <c r="Q522" s="106">
        <v>7251</v>
      </c>
      <c r="R522" s="16">
        <f t="shared" si="34"/>
        <v>31399</v>
      </c>
      <c r="S522" s="167">
        <f t="shared" si="31"/>
        <v>32847.75</v>
      </c>
      <c r="T522" s="168">
        <f t="shared" si="32"/>
        <v>40122</v>
      </c>
    </row>
    <row r="523" spans="1:20" ht="15.6" x14ac:dyDescent="0.3">
      <c r="A523" s="129">
        <f t="shared" ref="A523:A586" si="35">A522+7</f>
        <v>40129</v>
      </c>
      <c r="B523" s="108">
        <v>1318</v>
      </c>
      <c r="C523" s="106">
        <v>3642</v>
      </c>
      <c r="D523" s="106">
        <v>505</v>
      </c>
      <c r="E523" s="106">
        <v>1573</v>
      </c>
      <c r="F523" s="106">
        <v>1044</v>
      </c>
      <c r="G523" s="106">
        <v>2366</v>
      </c>
      <c r="H523" s="106">
        <v>793</v>
      </c>
      <c r="I523" s="106">
        <v>1955</v>
      </c>
      <c r="J523" s="106">
        <v>312</v>
      </c>
      <c r="K523" s="106">
        <v>528</v>
      </c>
      <c r="L523" s="106">
        <v>3972</v>
      </c>
      <c r="M523" s="106">
        <v>10063</v>
      </c>
      <c r="N523" s="106">
        <v>9540</v>
      </c>
      <c r="O523" s="106">
        <v>9151</v>
      </c>
      <c r="P523" s="108">
        <v>17057</v>
      </c>
      <c r="Q523" s="106">
        <v>8975</v>
      </c>
      <c r="R523" s="16">
        <f t="shared" si="34"/>
        <v>30569</v>
      </c>
      <c r="S523" s="167">
        <f t="shared" si="31"/>
        <v>31859.75</v>
      </c>
      <c r="T523" s="168">
        <f t="shared" si="32"/>
        <v>40129</v>
      </c>
    </row>
    <row r="524" spans="1:20" ht="15.6" x14ac:dyDescent="0.3">
      <c r="A524" s="129">
        <f t="shared" si="35"/>
        <v>40136</v>
      </c>
      <c r="B524" s="108">
        <v>1300</v>
      </c>
      <c r="C524" s="106">
        <v>3799</v>
      </c>
      <c r="D524" s="106">
        <v>473</v>
      </c>
      <c r="E524" s="106">
        <v>1617</v>
      </c>
      <c r="F524" s="106">
        <v>1108</v>
      </c>
      <c r="G524" s="106">
        <v>2450</v>
      </c>
      <c r="H524" s="106">
        <v>724</v>
      </c>
      <c r="I524" s="106">
        <v>2055</v>
      </c>
      <c r="J524" s="106">
        <v>303</v>
      </c>
      <c r="K524" s="106">
        <v>558</v>
      </c>
      <c r="L524" s="106">
        <v>3907</v>
      </c>
      <c r="M524" s="106">
        <v>10479</v>
      </c>
      <c r="N524" s="106">
        <v>10136</v>
      </c>
      <c r="O524" s="106">
        <v>9779</v>
      </c>
      <c r="P524" s="108">
        <v>15758</v>
      </c>
      <c r="Q524" s="106">
        <v>11334</v>
      </c>
      <c r="R524" s="16">
        <f t="shared" si="34"/>
        <v>29801</v>
      </c>
      <c r="S524" s="167">
        <f t="shared" ref="S524:S587" si="36">AVERAGE(R521:R524)</f>
        <v>30961.25</v>
      </c>
      <c r="T524" s="168">
        <f t="shared" ref="T524:T587" si="37">T523+7</f>
        <v>40136</v>
      </c>
    </row>
    <row r="525" spans="1:20" ht="15.6" x14ac:dyDescent="0.3">
      <c r="A525" s="129">
        <f t="shared" si="35"/>
        <v>40143</v>
      </c>
      <c r="B525" s="108">
        <v>1461</v>
      </c>
      <c r="C525" s="106">
        <v>3869</v>
      </c>
      <c r="D525" s="106">
        <v>474</v>
      </c>
      <c r="E525" s="106">
        <v>1646</v>
      </c>
      <c r="F525" s="106">
        <v>1001</v>
      </c>
      <c r="G525" s="106">
        <v>2597</v>
      </c>
      <c r="H525" s="106">
        <v>699</v>
      </c>
      <c r="I525" s="106">
        <v>2150</v>
      </c>
      <c r="J525" s="106">
        <v>278</v>
      </c>
      <c r="K525" s="106">
        <v>603</v>
      </c>
      <c r="L525" s="106">
        <v>3913</v>
      </c>
      <c r="M525" s="106">
        <v>10864</v>
      </c>
      <c r="N525" s="106">
        <v>9915</v>
      </c>
      <c r="O525" s="106">
        <v>10659</v>
      </c>
      <c r="P525" s="108">
        <v>15116</v>
      </c>
      <c r="Q525" s="106">
        <v>12698</v>
      </c>
      <c r="R525" s="16">
        <f t="shared" si="34"/>
        <v>28944</v>
      </c>
      <c r="S525" s="167">
        <f t="shared" si="36"/>
        <v>30178.25</v>
      </c>
      <c r="T525" s="168">
        <f t="shared" si="37"/>
        <v>40143</v>
      </c>
    </row>
    <row r="526" spans="1:20" ht="15.6" x14ac:dyDescent="0.3">
      <c r="A526" s="129">
        <f t="shared" si="35"/>
        <v>40150</v>
      </c>
      <c r="B526" s="108">
        <v>1467</v>
      </c>
      <c r="C526" s="106">
        <v>3980</v>
      </c>
      <c r="D526" s="106">
        <v>489</v>
      </c>
      <c r="E526" s="106">
        <v>1675</v>
      </c>
      <c r="F526" s="106">
        <v>930</v>
      </c>
      <c r="G526" s="106">
        <v>2700</v>
      </c>
      <c r="H526" s="106">
        <v>725</v>
      </c>
      <c r="I526" s="106">
        <v>2176</v>
      </c>
      <c r="J526" s="106">
        <v>241</v>
      </c>
      <c r="K526" s="106">
        <v>640</v>
      </c>
      <c r="L526" s="106">
        <v>3851</v>
      </c>
      <c r="M526" s="106">
        <v>11170</v>
      </c>
      <c r="N526" s="106">
        <v>10057</v>
      </c>
      <c r="O526" s="106">
        <v>11365</v>
      </c>
      <c r="P526" s="108">
        <v>13977</v>
      </c>
      <c r="Q526" s="106">
        <v>14642</v>
      </c>
      <c r="R526" s="16">
        <f t="shared" si="34"/>
        <v>27885</v>
      </c>
      <c r="S526" s="167">
        <f t="shared" si="36"/>
        <v>29299.75</v>
      </c>
      <c r="T526" s="168">
        <f t="shared" si="37"/>
        <v>40150</v>
      </c>
    </row>
    <row r="527" spans="1:20" ht="15.6" x14ac:dyDescent="0.3">
      <c r="A527" s="129">
        <f t="shared" si="35"/>
        <v>40157</v>
      </c>
      <c r="B527" s="108">
        <v>1424</v>
      </c>
      <c r="C527" s="106">
        <v>4172</v>
      </c>
      <c r="D527" s="106">
        <v>512</v>
      </c>
      <c r="E527" s="106">
        <v>1698</v>
      </c>
      <c r="F527" s="106">
        <v>973</v>
      </c>
      <c r="G527" s="106">
        <v>2749</v>
      </c>
      <c r="H527" s="106">
        <v>708</v>
      </c>
      <c r="I527" s="106">
        <v>2251</v>
      </c>
      <c r="J527" s="106">
        <v>241</v>
      </c>
      <c r="K527" s="106">
        <v>640</v>
      </c>
      <c r="L527" s="106">
        <v>3858</v>
      </c>
      <c r="M527" s="106">
        <v>11509</v>
      </c>
      <c r="N527" s="106">
        <v>10507</v>
      </c>
      <c r="O527" s="106">
        <v>12142</v>
      </c>
      <c r="P527" s="108">
        <v>13248</v>
      </c>
      <c r="Q527" s="106">
        <v>16305</v>
      </c>
      <c r="R527" s="16">
        <f t="shared" si="34"/>
        <v>27613</v>
      </c>
      <c r="S527" s="167">
        <f t="shared" si="36"/>
        <v>28560.75</v>
      </c>
      <c r="T527" s="168">
        <f t="shared" si="37"/>
        <v>40157</v>
      </c>
    </row>
    <row r="528" spans="1:20" ht="15.6" x14ac:dyDescent="0.3">
      <c r="A528" s="129">
        <f t="shared" si="35"/>
        <v>40164</v>
      </c>
      <c r="B528" s="108">
        <v>1369</v>
      </c>
      <c r="C528" s="106">
        <v>4325</v>
      </c>
      <c r="D528" s="106">
        <v>502</v>
      </c>
      <c r="E528" s="106">
        <v>1732</v>
      </c>
      <c r="F528" s="106">
        <v>972</v>
      </c>
      <c r="G528" s="106">
        <v>2800</v>
      </c>
      <c r="H528" s="106">
        <v>670</v>
      </c>
      <c r="I528" s="106">
        <v>2341</v>
      </c>
      <c r="J528" s="106">
        <v>241</v>
      </c>
      <c r="K528" s="106">
        <v>640</v>
      </c>
      <c r="L528" s="106">
        <v>3752</v>
      </c>
      <c r="M528" s="106">
        <v>11837</v>
      </c>
      <c r="N528" s="106">
        <v>11684</v>
      </c>
      <c r="O528" s="106">
        <v>12556</v>
      </c>
      <c r="P528" s="108">
        <v>13551</v>
      </c>
      <c r="Q528" s="106">
        <v>17199</v>
      </c>
      <c r="R528" s="16">
        <f t="shared" si="34"/>
        <v>28987</v>
      </c>
      <c r="S528" s="167">
        <f t="shared" si="36"/>
        <v>28357.25</v>
      </c>
      <c r="T528" s="168">
        <f t="shared" si="37"/>
        <v>40164</v>
      </c>
    </row>
    <row r="529" spans="1:20" ht="15.6" x14ac:dyDescent="0.3">
      <c r="A529" s="129">
        <f t="shared" si="35"/>
        <v>40171</v>
      </c>
      <c r="B529" s="108">
        <v>1406</v>
      </c>
      <c r="C529" s="106">
        <v>4434</v>
      </c>
      <c r="D529" s="106">
        <v>502</v>
      </c>
      <c r="E529" s="106">
        <v>1762</v>
      </c>
      <c r="F529" s="106">
        <v>955</v>
      </c>
      <c r="G529" s="106">
        <v>2895</v>
      </c>
      <c r="H529" s="106">
        <v>724</v>
      </c>
      <c r="I529" s="106">
        <v>2394</v>
      </c>
      <c r="J529" s="106">
        <v>241</v>
      </c>
      <c r="K529" s="106">
        <v>645</v>
      </c>
      <c r="L529" s="106">
        <v>3828</v>
      </c>
      <c r="M529" s="106">
        <v>12131</v>
      </c>
      <c r="N529" s="106">
        <v>11593</v>
      </c>
      <c r="O529" s="106">
        <v>13420</v>
      </c>
      <c r="P529" s="108">
        <v>12970</v>
      </c>
      <c r="Q529" s="106">
        <v>18579</v>
      </c>
      <c r="R529" s="16">
        <f t="shared" si="34"/>
        <v>28391</v>
      </c>
      <c r="S529" s="167">
        <f t="shared" si="36"/>
        <v>28219</v>
      </c>
      <c r="T529" s="168">
        <f t="shared" si="37"/>
        <v>40171</v>
      </c>
    </row>
    <row r="530" spans="1:20" ht="15.6" x14ac:dyDescent="0.3">
      <c r="A530" s="129">
        <f t="shared" si="35"/>
        <v>40178</v>
      </c>
      <c r="B530" s="108">
        <v>1368</v>
      </c>
      <c r="C530" s="106">
        <v>4544</v>
      </c>
      <c r="D530" s="106">
        <v>482</v>
      </c>
      <c r="E530" s="106">
        <v>1797</v>
      </c>
      <c r="F530" s="106">
        <v>914</v>
      </c>
      <c r="G530" s="106">
        <v>2940</v>
      </c>
      <c r="H530" s="106">
        <v>695</v>
      </c>
      <c r="I530" s="106">
        <v>2425</v>
      </c>
      <c r="J530" s="106">
        <v>218</v>
      </c>
      <c r="K530" s="106">
        <v>669</v>
      </c>
      <c r="L530" s="106">
        <v>3677</v>
      </c>
      <c r="M530" s="106">
        <v>12375</v>
      </c>
      <c r="N530" s="106">
        <v>11160</v>
      </c>
      <c r="O530" s="106">
        <v>14218</v>
      </c>
      <c r="P530" s="108">
        <v>12517</v>
      </c>
      <c r="Q530" s="106">
        <v>19749</v>
      </c>
      <c r="R530" s="16">
        <f t="shared" si="34"/>
        <v>27354</v>
      </c>
      <c r="S530" s="167">
        <f t="shared" si="36"/>
        <v>28086.25</v>
      </c>
      <c r="T530" s="168">
        <f t="shared" si="37"/>
        <v>40178</v>
      </c>
    </row>
    <row r="531" spans="1:20" ht="15.6" x14ac:dyDescent="0.3">
      <c r="A531" s="137">
        <f t="shared" si="35"/>
        <v>40185</v>
      </c>
      <c r="B531" s="108">
        <v>1323</v>
      </c>
      <c r="C531" s="106">
        <v>4719</v>
      </c>
      <c r="D531" s="106">
        <v>478</v>
      </c>
      <c r="E531" s="106">
        <v>1803</v>
      </c>
      <c r="F531" s="106">
        <v>882</v>
      </c>
      <c r="G531" s="106">
        <v>2995</v>
      </c>
      <c r="H531" s="106">
        <v>671</v>
      </c>
      <c r="I531" s="106">
        <v>2475</v>
      </c>
      <c r="J531" s="106">
        <v>214</v>
      </c>
      <c r="K531" s="106">
        <v>674</v>
      </c>
      <c r="L531" s="106">
        <v>3568</v>
      </c>
      <c r="M531" s="106">
        <v>12666</v>
      </c>
      <c r="N531" s="106">
        <v>10829</v>
      </c>
      <c r="O531" s="106">
        <v>14876</v>
      </c>
      <c r="P531" s="108">
        <v>11648</v>
      </c>
      <c r="Q531" s="106">
        <v>21314</v>
      </c>
      <c r="R531" s="16">
        <f t="shared" si="34"/>
        <v>26045</v>
      </c>
      <c r="S531" s="167">
        <f t="shared" si="36"/>
        <v>27694.25</v>
      </c>
      <c r="T531" s="168">
        <f t="shared" si="37"/>
        <v>40185</v>
      </c>
    </row>
    <row r="532" spans="1:20" ht="15.6" x14ac:dyDescent="0.3">
      <c r="A532" s="137">
        <f t="shared" si="35"/>
        <v>40192</v>
      </c>
      <c r="B532" s="108">
        <v>1552</v>
      </c>
      <c r="C532" s="106">
        <v>4806</v>
      </c>
      <c r="D532" s="106">
        <v>465</v>
      </c>
      <c r="E532" s="106">
        <v>1876</v>
      </c>
      <c r="F532" s="106">
        <v>1052</v>
      </c>
      <c r="G532" s="106">
        <v>3086</v>
      </c>
      <c r="H532" s="106">
        <v>798</v>
      </c>
      <c r="I532" s="106">
        <v>2514</v>
      </c>
      <c r="J532" s="106">
        <v>210</v>
      </c>
      <c r="K532" s="106">
        <v>701</v>
      </c>
      <c r="L532" s="106">
        <v>4077</v>
      </c>
      <c r="M532" s="106">
        <v>12983</v>
      </c>
      <c r="N532" s="106">
        <v>11604</v>
      </c>
      <c r="O532" s="106">
        <v>15712</v>
      </c>
      <c r="P532" s="108">
        <v>11031</v>
      </c>
      <c r="Q532" s="106">
        <v>22860</v>
      </c>
      <c r="R532" s="16">
        <f t="shared" si="34"/>
        <v>26712</v>
      </c>
      <c r="S532" s="167">
        <f t="shared" si="36"/>
        <v>27125.5</v>
      </c>
      <c r="T532" s="168">
        <f t="shared" si="37"/>
        <v>40192</v>
      </c>
    </row>
    <row r="533" spans="1:20" ht="15.6" x14ac:dyDescent="0.3">
      <c r="A533" s="137">
        <f t="shared" si="35"/>
        <v>40199</v>
      </c>
      <c r="B533" s="108">
        <v>1677</v>
      </c>
      <c r="C533" s="106">
        <v>5028</v>
      </c>
      <c r="D533" s="106">
        <v>470</v>
      </c>
      <c r="E533" s="106">
        <v>1918</v>
      </c>
      <c r="F533" s="106">
        <v>1078</v>
      </c>
      <c r="G533" s="106">
        <v>3173</v>
      </c>
      <c r="H533" s="106">
        <v>900</v>
      </c>
      <c r="I533" s="106">
        <v>2586</v>
      </c>
      <c r="J533" s="106">
        <v>189</v>
      </c>
      <c r="K533" s="106">
        <v>703</v>
      </c>
      <c r="L533" s="106">
        <v>4313</v>
      </c>
      <c r="M533" s="106">
        <v>13407</v>
      </c>
      <c r="N533" s="106">
        <v>11974</v>
      </c>
      <c r="O533" s="106">
        <v>16244</v>
      </c>
      <c r="P533" s="108">
        <v>10310</v>
      </c>
      <c r="Q533" s="106">
        <v>24254</v>
      </c>
      <c r="R533" s="16">
        <f t="shared" ref="R533:R538" si="38">P533+N533+L533</f>
        <v>26597</v>
      </c>
      <c r="S533" s="167">
        <f t="shared" si="36"/>
        <v>26677</v>
      </c>
      <c r="T533" s="168">
        <f t="shared" si="37"/>
        <v>40199</v>
      </c>
    </row>
    <row r="534" spans="1:20" ht="15.6" x14ac:dyDescent="0.3">
      <c r="A534" s="137">
        <f t="shared" si="35"/>
        <v>40206</v>
      </c>
      <c r="B534" s="108">
        <v>1644</v>
      </c>
      <c r="C534" s="106">
        <v>5208</v>
      </c>
      <c r="D534" s="106">
        <v>484</v>
      </c>
      <c r="E534" s="106">
        <v>1977</v>
      </c>
      <c r="F534" s="106">
        <v>1073</v>
      </c>
      <c r="G534" s="106">
        <v>3299</v>
      </c>
      <c r="H534" s="106">
        <v>886</v>
      </c>
      <c r="I534" s="106">
        <v>2647</v>
      </c>
      <c r="J534" s="106">
        <v>194</v>
      </c>
      <c r="K534" s="106">
        <v>705</v>
      </c>
      <c r="L534" s="106">
        <v>4282</v>
      </c>
      <c r="M534" s="106">
        <v>13857</v>
      </c>
      <c r="N534" s="106">
        <v>11775</v>
      </c>
      <c r="O534" s="106">
        <v>17367</v>
      </c>
      <c r="P534" s="108">
        <v>9417</v>
      </c>
      <c r="Q534" s="106">
        <v>25529</v>
      </c>
      <c r="R534" s="16">
        <f t="shared" si="38"/>
        <v>25474</v>
      </c>
      <c r="S534" s="167">
        <f t="shared" si="36"/>
        <v>26207</v>
      </c>
      <c r="T534" s="168">
        <f t="shared" si="37"/>
        <v>40206</v>
      </c>
    </row>
    <row r="535" spans="1:20" ht="15.6" x14ac:dyDescent="0.3">
      <c r="A535" s="137">
        <f t="shared" si="35"/>
        <v>40213</v>
      </c>
      <c r="B535" s="108">
        <v>1653</v>
      </c>
      <c r="C535" s="106">
        <v>5385</v>
      </c>
      <c r="D535" s="106">
        <v>506</v>
      </c>
      <c r="E535" s="106">
        <v>2040</v>
      </c>
      <c r="F535" s="106">
        <v>1061</v>
      </c>
      <c r="G535" s="106">
        <v>3366</v>
      </c>
      <c r="H535" s="106">
        <v>952</v>
      </c>
      <c r="I535" s="106">
        <v>2801</v>
      </c>
      <c r="J535" s="106">
        <v>210</v>
      </c>
      <c r="K535" s="106">
        <v>713</v>
      </c>
      <c r="L535" s="106">
        <v>4382</v>
      </c>
      <c r="M535" s="106">
        <v>14305</v>
      </c>
      <c r="N535" s="106">
        <v>11914</v>
      </c>
      <c r="O535" s="106">
        <v>17971</v>
      </c>
      <c r="P535" s="108">
        <v>8531</v>
      </c>
      <c r="Q535" s="106">
        <v>26728</v>
      </c>
      <c r="R535" s="16">
        <f t="shared" si="38"/>
        <v>24827</v>
      </c>
      <c r="S535" s="167">
        <f t="shared" si="36"/>
        <v>25902.5</v>
      </c>
      <c r="T535" s="168">
        <f t="shared" si="37"/>
        <v>40213</v>
      </c>
    </row>
    <row r="536" spans="1:20" ht="15.6" x14ac:dyDescent="0.3">
      <c r="A536" s="137">
        <f t="shared" si="35"/>
        <v>40220</v>
      </c>
      <c r="B536" s="108">
        <v>1714</v>
      </c>
      <c r="C536" s="106">
        <v>5577</v>
      </c>
      <c r="D536" s="106">
        <v>531</v>
      </c>
      <c r="E536" s="106">
        <v>2062</v>
      </c>
      <c r="F536" s="106">
        <v>1115</v>
      </c>
      <c r="G536" s="106">
        <v>3444</v>
      </c>
      <c r="H536" s="106">
        <v>880</v>
      </c>
      <c r="I536" s="106">
        <v>2849</v>
      </c>
      <c r="J536" s="106">
        <v>186</v>
      </c>
      <c r="K536" s="106">
        <v>738</v>
      </c>
      <c r="L536" s="106">
        <v>4427</v>
      </c>
      <c r="M536" s="106">
        <v>14670</v>
      </c>
      <c r="N536" s="106">
        <v>12236</v>
      </c>
      <c r="O536" s="106">
        <v>18623</v>
      </c>
      <c r="P536" s="108">
        <v>7615</v>
      </c>
      <c r="Q536" s="106">
        <v>27847</v>
      </c>
      <c r="R536" s="16">
        <f t="shared" si="38"/>
        <v>24278</v>
      </c>
      <c r="S536" s="167">
        <f t="shared" si="36"/>
        <v>25294</v>
      </c>
      <c r="T536" s="168">
        <f t="shared" si="37"/>
        <v>40220</v>
      </c>
    </row>
    <row r="537" spans="1:20" ht="15.6" x14ac:dyDescent="0.3">
      <c r="A537" s="137">
        <f t="shared" si="35"/>
        <v>40227</v>
      </c>
      <c r="B537" s="108">
        <v>1748</v>
      </c>
      <c r="C537" s="106">
        <v>5798</v>
      </c>
      <c r="D537" s="106">
        <v>534</v>
      </c>
      <c r="E537" s="106">
        <v>2092</v>
      </c>
      <c r="F537" s="106">
        <v>1052</v>
      </c>
      <c r="G537" s="106">
        <v>3578</v>
      </c>
      <c r="H537" s="106">
        <v>822</v>
      </c>
      <c r="I537" s="106">
        <v>2922</v>
      </c>
      <c r="J537" s="106">
        <v>186</v>
      </c>
      <c r="K537" s="106">
        <v>738</v>
      </c>
      <c r="L537" s="106">
        <v>4342</v>
      </c>
      <c r="M537" s="106">
        <v>15129</v>
      </c>
      <c r="N537" s="106">
        <v>11397</v>
      </c>
      <c r="O537" s="106">
        <v>19839</v>
      </c>
      <c r="P537" s="108">
        <v>6732</v>
      </c>
      <c r="Q537" s="106">
        <v>28969</v>
      </c>
      <c r="R537" s="16">
        <f t="shared" si="38"/>
        <v>22471</v>
      </c>
      <c r="S537" s="167">
        <f t="shared" si="36"/>
        <v>24262.5</v>
      </c>
      <c r="T537" s="168">
        <f t="shared" si="37"/>
        <v>40227</v>
      </c>
    </row>
    <row r="538" spans="1:20" ht="15.6" x14ac:dyDescent="0.3">
      <c r="A538" s="137">
        <f t="shared" si="35"/>
        <v>40234</v>
      </c>
      <c r="B538" s="108">
        <v>1563</v>
      </c>
      <c r="C538" s="106">
        <v>6036</v>
      </c>
      <c r="D538" s="106">
        <v>526</v>
      </c>
      <c r="E538" s="106">
        <v>2120</v>
      </c>
      <c r="F538" s="106">
        <v>962</v>
      </c>
      <c r="G538" s="106">
        <v>3697</v>
      </c>
      <c r="H538" s="106">
        <v>736</v>
      </c>
      <c r="I538" s="106">
        <v>3011</v>
      </c>
      <c r="J538" s="106">
        <v>186</v>
      </c>
      <c r="K538" s="106">
        <v>738</v>
      </c>
      <c r="L538" s="106">
        <v>3971</v>
      </c>
      <c r="M538" s="106">
        <v>15602</v>
      </c>
      <c r="N538" s="106">
        <v>11103</v>
      </c>
      <c r="O538" s="106">
        <v>20894</v>
      </c>
      <c r="P538" s="108">
        <v>5817</v>
      </c>
      <c r="Q538" s="106">
        <v>300677</v>
      </c>
      <c r="R538" s="16">
        <f t="shared" si="38"/>
        <v>20891</v>
      </c>
      <c r="S538" s="167">
        <f t="shared" si="36"/>
        <v>23116.75</v>
      </c>
      <c r="T538" s="168">
        <f t="shared" si="37"/>
        <v>40234</v>
      </c>
    </row>
    <row r="539" spans="1:20" ht="15.6" x14ac:dyDescent="0.3">
      <c r="A539" s="137">
        <f t="shared" si="35"/>
        <v>40241</v>
      </c>
      <c r="B539" s="108">
        <v>1524</v>
      </c>
      <c r="C539" s="106">
        <v>6272</v>
      </c>
      <c r="D539" s="106">
        <v>531</v>
      </c>
      <c r="E539" s="106">
        <v>2168</v>
      </c>
      <c r="F539" s="106">
        <v>940</v>
      </c>
      <c r="G539" s="106">
        <v>3825</v>
      </c>
      <c r="H539" s="106">
        <v>638</v>
      </c>
      <c r="I539" s="106">
        <v>3134</v>
      </c>
      <c r="J539" s="106">
        <v>207</v>
      </c>
      <c r="K539" s="106">
        <v>743</v>
      </c>
      <c r="L539" s="106">
        <v>3838</v>
      </c>
      <c r="M539" s="106">
        <v>16143</v>
      </c>
      <c r="N539" s="106">
        <v>10477</v>
      </c>
      <c r="O539" s="106">
        <v>21859</v>
      </c>
      <c r="P539" s="108">
        <v>4768</v>
      </c>
      <c r="Q539" s="106">
        <v>31000</v>
      </c>
      <c r="R539" s="16">
        <f t="shared" ref="R539:R544" si="39">P539+N539+L539</f>
        <v>19083</v>
      </c>
      <c r="S539" s="167">
        <f t="shared" si="36"/>
        <v>21680.75</v>
      </c>
      <c r="T539" s="168">
        <f t="shared" si="37"/>
        <v>40241</v>
      </c>
    </row>
    <row r="540" spans="1:20" ht="15.6" x14ac:dyDescent="0.3">
      <c r="A540" s="137">
        <f t="shared" si="35"/>
        <v>40248</v>
      </c>
      <c r="B540" s="108">
        <v>1476</v>
      </c>
      <c r="C540" s="106">
        <v>6399</v>
      </c>
      <c r="D540" s="106">
        <v>518</v>
      </c>
      <c r="E540" s="106">
        <v>2180</v>
      </c>
      <c r="F540" s="106">
        <v>1070</v>
      </c>
      <c r="G540" s="106">
        <v>3868</v>
      </c>
      <c r="H540" s="106">
        <v>677</v>
      </c>
      <c r="I540" s="106">
        <v>3144</v>
      </c>
      <c r="J540" s="106">
        <v>165</v>
      </c>
      <c r="K540" s="106">
        <v>808</v>
      </c>
      <c r="L540" s="106">
        <v>3906</v>
      </c>
      <c r="M540" s="106">
        <v>16400</v>
      </c>
      <c r="N540" s="106">
        <v>10269</v>
      </c>
      <c r="O540" s="106">
        <v>22814</v>
      </c>
      <c r="P540" s="108">
        <v>4069</v>
      </c>
      <c r="Q540" s="106">
        <v>31913</v>
      </c>
      <c r="R540" s="16">
        <f t="shared" si="39"/>
        <v>18244</v>
      </c>
      <c r="S540" s="167">
        <f t="shared" si="36"/>
        <v>20172.25</v>
      </c>
      <c r="T540" s="168">
        <f t="shared" si="37"/>
        <v>40248</v>
      </c>
    </row>
    <row r="541" spans="1:20" ht="15.6" x14ac:dyDescent="0.3">
      <c r="A541" s="137">
        <f t="shared" si="35"/>
        <v>40255</v>
      </c>
      <c r="B541" s="108">
        <v>1490</v>
      </c>
      <c r="C541" s="106">
        <v>6588</v>
      </c>
      <c r="D541" s="106">
        <v>497</v>
      </c>
      <c r="E541" s="106">
        <v>2271</v>
      </c>
      <c r="F541" s="106">
        <v>1031</v>
      </c>
      <c r="G541" s="106">
        <v>3951</v>
      </c>
      <c r="H541" s="106">
        <v>656</v>
      </c>
      <c r="I541" s="106">
        <v>3212</v>
      </c>
      <c r="J541" s="106">
        <v>151</v>
      </c>
      <c r="K541" s="106">
        <v>831</v>
      </c>
      <c r="L541" s="106">
        <v>3824</v>
      </c>
      <c r="M541" s="106">
        <v>16854</v>
      </c>
      <c r="N541" s="106">
        <v>9715</v>
      </c>
      <c r="O541" s="106">
        <v>23975</v>
      </c>
      <c r="P541" s="108">
        <v>3546</v>
      </c>
      <c r="Q541" s="106">
        <v>32652</v>
      </c>
      <c r="R541" s="16">
        <f t="shared" si="39"/>
        <v>17085</v>
      </c>
      <c r="S541" s="167">
        <f t="shared" si="36"/>
        <v>18825.75</v>
      </c>
      <c r="T541" s="168">
        <f t="shared" si="37"/>
        <v>40255</v>
      </c>
    </row>
    <row r="542" spans="1:20" ht="15.6" x14ac:dyDescent="0.3">
      <c r="A542" s="137">
        <f t="shared" si="35"/>
        <v>40262</v>
      </c>
      <c r="B542" s="108">
        <v>1268</v>
      </c>
      <c r="C542" s="106">
        <v>6881</v>
      </c>
      <c r="D542" s="106">
        <v>478</v>
      </c>
      <c r="E542" s="106">
        <v>2309</v>
      </c>
      <c r="F542" s="106">
        <v>977</v>
      </c>
      <c r="G542" s="106">
        <v>4282</v>
      </c>
      <c r="H542" s="106">
        <v>685</v>
      </c>
      <c r="I542" s="106">
        <v>3243</v>
      </c>
      <c r="J542" s="106">
        <v>155</v>
      </c>
      <c r="K542" s="106">
        <v>831</v>
      </c>
      <c r="L542" s="106">
        <v>3562</v>
      </c>
      <c r="M542" s="106">
        <v>17546</v>
      </c>
      <c r="N542" s="106">
        <v>9327</v>
      </c>
      <c r="O542" s="106">
        <v>25190</v>
      </c>
      <c r="P542" s="108">
        <v>2691</v>
      </c>
      <c r="Q542" s="106">
        <v>33686</v>
      </c>
      <c r="R542" s="16">
        <f t="shared" si="39"/>
        <v>15580</v>
      </c>
      <c r="S542" s="167">
        <f t="shared" si="36"/>
        <v>17498</v>
      </c>
      <c r="T542" s="168">
        <f t="shared" si="37"/>
        <v>40262</v>
      </c>
    </row>
    <row r="543" spans="1:20" ht="15.6" x14ac:dyDescent="0.3">
      <c r="A543" s="137">
        <f t="shared" si="35"/>
        <v>40269</v>
      </c>
      <c r="B543" s="108">
        <v>1117</v>
      </c>
      <c r="C543" s="106">
        <v>7089</v>
      </c>
      <c r="D543" s="106">
        <v>451</v>
      </c>
      <c r="E543" s="106">
        <v>2368</v>
      </c>
      <c r="F543" s="106">
        <v>1118</v>
      </c>
      <c r="G543" s="106">
        <v>4342</v>
      </c>
      <c r="H543" s="106">
        <v>610</v>
      </c>
      <c r="I543" s="106">
        <v>3351</v>
      </c>
      <c r="J543" s="106">
        <v>139</v>
      </c>
      <c r="K543" s="106">
        <v>847</v>
      </c>
      <c r="L543" s="106">
        <v>3435</v>
      </c>
      <c r="M543" s="106">
        <v>17997</v>
      </c>
      <c r="N543" s="106">
        <v>9809</v>
      </c>
      <c r="O543" s="106">
        <v>26065</v>
      </c>
      <c r="P543" s="108">
        <v>2456</v>
      </c>
      <c r="Q543" s="106">
        <v>34127</v>
      </c>
      <c r="R543" s="16">
        <f t="shared" si="39"/>
        <v>15700</v>
      </c>
      <c r="S543" s="167">
        <f t="shared" si="36"/>
        <v>16652.25</v>
      </c>
      <c r="T543" s="168">
        <f t="shared" si="37"/>
        <v>40269</v>
      </c>
    </row>
    <row r="544" spans="1:20" ht="15.6" x14ac:dyDescent="0.3">
      <c r="A544" s="137">
        <f t="shared" si="35"/>
        <v>40276</v>
      </c>
      <c r="B544" s="108">
        <v>961</v>
      </c>
      <c r="C544" s="106">
        <v>7281</v>
      </c>
      <c r="D544" s="106">
        <v>385</v>
      </c>
      <c r="E544" s="106">
        <v>2439</v>
      </c>
      <c r="F544" s="106">
        <v>988</v>
      </c>
      <c r="G544" s="106">
        <v>4495</v>
      </c>
      <c r="H544" s="106">
        <v>619</v>
      </c>
      <c r="I544" s="106">
        <v>3381</v>
      </c>
      <c r="J544" s="106">
        <v>107</v>
      </c>
      <c r="K544" s="106">
        <v>877</v>
      </c>
      <c r="L544" s="106">
        <v>3060</v>
      </c>
      <c r="M544" s="106">
        <v>18473</v>
      </c>
      <c r="N544" s="106">
        <v>9702</v>
      </c>
      <c r="O544" s="106">
        <v>27178</v>
      </c>
      <c r="P544" s="108">
        <v>2175</v>
      </c>
      <c r="Q544" s="106">
        <v>34566</v>
      </c>
      <c r="R544" s="16">
        <f t="shared" si="39"/>
        <v>14937</v>
      </c>
      <c r="S544" s="167">
        <f t="shared" si="36"/>
        <v>15825.5</v>
      </c>
      <c r="T544" s="168">
        <f t="shared" si="37"/>
        <v>40276</v>
      </c>
    </row>
    <row r="545" spans="1:23" ht="15.6" x14ac:dyDescent="0.3">
      <c r="A545" s="137">
        <f t="shared" si="35"/>
        <v>40283</v>
      </c>
      <c r="B545" s="108">
        <v>1006</v>
      </c>
      <c r="C545" s="106">
        <v>7406</v>
      </c>
      <c r="D545" s="106">
        <v>331</v>
      </c>
      <c r="E545" s="106">
        <v>2503</v>
      </c>
      <c r="F545" s="106">
        <v>865</v>
      </c>
      <c r="G545" s="106">
        <v>4632</v>
      </c>
      <c r="H545" s="106">
        <v>475</v>
      </c>
      <c r="I545" s="106">
        <v>3486</v>
      </c>
      <c r="J545" s="106">
        <v>118</v>
      </c>
      <c r="K545" s="106">
        <v>878</v>
      </c>
      <c r="L545" s="106">
        <v>2794</v>
      </c>
      <c r="M545" s="106">
        <v>18905</v>
      </c>
      <c r="N545" s="106">
        <v>10028</v>
      </c>
      <c r="O545" s="106">
        <v>28334</v>
      </c>
      <c r="P545" s="108">
        <v>2057</v>
      </c>
      <c r="Q545" s="106">
        <v>34993</v>
      </c>
      <c r="R545" s="16">
        <f t="shared" ref="R545:R551" si="40">P545+N545+L545</f>
        <v>14879</v>
      </c>
      <c r="S545" s="167">
        <f t="shared" si="36"/>
        <v>15274</v>
      </c>
      <c r="T545" s="168">
        <f t="shared" si="37"/>
        <v>40283</v>
      </c>
    </row>
    <row r="546" spans="1:23" ht="15.6" x14ac:dyDescent="0.3">
      <c r="A546" s="137">
        <f t="shared" si="35"/>
        <v>40290</v>
      </c>
      <c r="B546" s="108">
        <v>1013</v>
      </c>
      <c r="C546" s="106">
        <v>7479</v>
      </c>
      <c r="D546" s="106">
        <v>281</v>
      </c>
      <c r="E546" s="106">
        <v>2577</v>
      </c>
      <c r="F546" s="106">
        <v>833</v>
      </c>
      <c r="G546" s="106">
        <v>4701</v>
      </c>
      <c r="H546" s="106">
        <v>471</v>
      </c>
      <c r="I546" s="106">
        <v>3525</v>
      </c>
      <c r="J546" s="106">
        <v>90</v>
      </c>
      <c r="K546" s="106">
        <v>903</v>
      </c>
      <c r="L546" s="106">
        <v>2689</v>
      </c>
      <c r="M546" s="106">
        <v>19184</v>
      </c>
      <c r="N546" s="106">
        <v>10343</v>
      </c>
      <c r="O546" s="106">
        <v>29248</v>
      </c>
      <c r="P546" s="108">
        <v>1880</v>
      </c>
      <c r="Q546" s="106">
        <v>35270</v>
      </c>
      <c r="R546" s="16">
        <f t="shared" si="40"/>
        <v>14912</v>
      </c>
      <c r="S546" s="167">
        <f t="shared" si="36"/>
        <v>15107</v>
      </c>
      <c r="T546" s="168">
        <f t="shared" si="37"/>
        <v>40290</v>
      </c>
    </row>
    <row r="547" spans="1:23" ht="15.6" x14ac:dyDescent="0.3">
      <c r="A547" s="137">
        <f t="shared" si="35"/>
        <v>40297</v>
      </c>
      <c r="B547" s="108">
        <v>910</v>
      </c>
      <c r="C547" s="106">
        <v>7651</v>
      </c>
      <c r="D547" s="106">
        <v>258</v>
      </c>
      <c r="E547" s="106">
        <v>2610</v>
      </c>
      <c r="F547" s="106">
        <v>683</v>
      </c>
      <c r="G547" s="106">
        <v>4906</v>
      </c>
      <c r="H547" s="106">
        <v>406</v>
      </c>
      <c r="I547" s="106">
        <v>3605</v>
      </c>
      <c r="J547" s="106">
        <v>93</v>
      </c>
      <c r="K547" s="106">
        <v>903</v>
      </c>
      <c r="L547" s="106">
        <v>2348</v>
      </c>
      <c r="M547" s="106">
        <v>19675</v>
      </c>
      <c r="N547" s="106">
        <v>11338</v>
      </c>
      <c r="O547" s="106">
        <v>30084</v>
      </c>
      <c r="P547" s="108">
        <v>1874</v>
      </c>
      <c r="Q547" s="106">
        <v>35560</v>
      </c>
      <c r="R547" s="16">
        <f t="shared" si="40"/>
        <v>15560</v>
      </c>
      <c r="S547" s="167">
        <f t="shared" si="36"/>
        <v>15072</v>
      </c>
      <c r="T547" s="168">
        <f t="shared" si="37"/>
        <v>40297</v>
      </c>
    </row>
    <row r="548" spans="1:23" ht="15.6" x14ac:dyDescent="0.3">
      <c r="A548" s="137">
        <f t="shared" si="35"/>
        <v>40304</v>
      </c>
      <c r="B548" s="108">
        <v>813</v>
      </c>
      <c r="C548" s="106">
        <v>7879</v>
      </c>
      <c r="D548" s="106">
        <v>247</v>
      </c>
      <c r="E548" s="106">
        <v>2635</v>
      </c>
      <c r="F548" s="106">
        <v>507</v>
      </c>
      <c r="G548" s="106">
        <v>5083</v>
      </c>
      <c r="H548" s="106">
        <v>397</v>
      </c>
      <c r="I548" s="106">
        <v>3688</v>
      </c>
      <c r="J548" s="106">
        <v>111</v>
      </c>
      <c r="K548" s="106">
        <v>909</v>
      </c>
      <c r="L548" s="106">
        <v>2074</v>
      </c>
      <c r="M548" s="106">
        <v>20193</v>
      </c>
      <c r="N548" s="106">
        <v>11124</v>
      </c>
      <c r="O548" s="106">
        <v>31117</v>
      </c>
      <c r="P548" s="108">
        <v>1942</v>
      </c>
      <c r="Q548" s="106">
        <v>35700</v>
      </c>
      <c r="R548" s="16">
        <f t="shared" si="40"/>
        <v>15140</v>
      </c>
      <c r="S548" s="167">
        <f t="shared" si="36"/>
        <v>15122.75</v>
      </c>
      <c r="T548" s="168">
        <f t="shared" si="37"/>
        <v>40304</v>
      </c>
    </row>
    <row r="549" spans="1:23" ht="15.6" x14ac:dyDescent="0.3">
      <c r="A549" s="137">
        <f t="shared" si="35"/>
        <v>40311</v>
      </c>
      <c r="B549" s="108">
        <v>743</v>
      </c>
      <c r="C549" s="106">
        <v>8037</v>
      </c>
      <c r="D549" s="106">
        <v>235</v>
      </c>
      <c r="E549" s="106">
        <v>2662</v>
      </c>
      <c r="F549" s="106">
        <v>493</v>
      </c>
      <c r="G549" s="106">
        <v>5162</v>
      </c>
      <c r="H549" s="106">
        <v>392</v>
      </c>
      <c r="I549" s="106">
        <v>3751</v>
      </c>
      <c r="J549" s="106">
        <v>125</v>
      </c>
      <c r="K549" s="106">
        <v>916</v>
      </c>
      <c r="L549" s="106">
        <v>1989</v>
      </c>
      <c r="M549" s="106">
        <v>20528</v>
      </c>
      <c r="N549" s="106">
        <v>11499</v>
      </c>
      <c r="O549" s="106">
        <v>32096</v>
      </c>
      <c r="P549" s="108">
        <v>2149</v>
      </c>
      <c r="Q549" s="106">
        <v>35970</v>
      </c>
      <c r="R549" s="16">
        <f t="shared" si="40"/>
        <v>15637</v>
      </c>
      <c r="S549" s="167">
        <f t="shared" si="36"/>
        <v>15312.25</v>
      </c>
      <c r="T549" s="168">
        <f t="shared" si="37"/>
        <v>40311</v>
      </c>
    </row>
    <row r="550" spans="1:23" ht="15.6" x14ac:dyDescent="0.3">
      <c r="A550" s="137">
        <f t="shared" si="35"/>
        <v>40318</v>
      </c>
      <c r="B550" s="108">
        <v>591</v>
      </c>
      <c r="C550" s="106">
        <v>8285</v>
      </c>
      <c r="D550" s="106">
        <v>256</v>
      </c>
      <c r="E550" s="106">
        <v>2695</v>
      </c>
      <c r="F550" s="106">
        <v>369</v>
      </c>
      <c r="G550" s="106">
        <v>5290</v>
      </c>
      <c r="H550" s="106">
        <v>269</v>
      </c>
      <c r="I550" s="106">
        <v>3873</v>
      </c>
      <c r="J550" s="106">
        <v>81</v>
      </c>
      <c r="K550" s="106">
        <v>957</v>
      </c>
      <c r="L550" s="106">
        <v>1566</v>
      </c>
      <c r="M550" s="106">
        <v>21100</v>
      </c>
      <c r="N550" s="106">
        <v>11290</v>
      </c>
      <c r="O550" s="106">
        <v>33336</v>
      </c>
      <c r="P550" s="108">
        <v>2180</v>
      </c>
      <c r="Q550" s="106">
        <v>36115</v>
      </c>
      <c r="R550" s="16">
        <f t="shared" si="40"/>
        <v>15036</v>
      </c>
      <c r="S550" s="167">
        <f t="shared" si="36"/>
        <v>15343.25</v>
      </c>
      <c r="T550" s="168">
        <f t="shared" si="37"/>
        <v>40318</v>
      </c>
    </row>
    <row r="551" spans="1:23" ht="15.6" x14ac:dyDescent="0.3">
      <c r="A551" s="137">
        <f t="shared" si="35"/>
        <v>40325</v>
      </c>
      <c r="B551" s="108">
        <v>340</v>
      </c>
      <c r="C551" s="106">
        <v>8458</v>
      </c>
      <c r="D551" s="106">
        <v>252</v>
      </c>
      <c r="E551" s="106">
        <v>2733</v>
      </c>
      <c r="F551" s="106">
        <v>323</v>
      </c>
      <c r="G551" s="106">
        <v>5329</v>
      </c>
      <c r="H551" s="106">
        <v>258</v>
      </c>
      <c r="I551" s="106">
        <v>3897</v>
      </c>
      <c r="J551" s="106">
        <v>40</v>
      </c>
      <c r="K551" s="106">
        <v>983</v>
      </c>
      <c r="L551" s="106">
        <v>1213</v>
      </c>
      <c r="M551" s="106">
        <v>21400</v>
      </c>
      <c r="N551" s="106">
        <v>10262</v>
      </c>
      <c r="O551" s="106">
        <v>34562</v>
      </c>
      <c r="P551" s="108">
        <v>2166</v>
      </c>
      <c r="Q551" s="106">
        <v>36264</v>
      </c>
      <c r="R551" s="16">
        <f t="shared" si="40"/>
        <v>13641</v>
      </c>
      <c r="S551" s="167">
        <f t="shared" si="36"/>
        <v>14863.5</v>
      </c>
      <c r="T551" s="168">
        <f t="shared" si="37"/>
        <v>40325</v>
      </c>
    </row>
    <row r="552" spans="1:23" ht="15.6" x14ac:dyDescent="0.3">
      <c r="A552" s="137">
        <f t="shared" si="35"/>
        <v>40332</v>
      </c>
      <c r="B552" s="108">
        <v>1462</v>
      </c>
      <c r="C552" s="106">
        <v>71</v>
      </c>
      <c r="D552" s="106">
        <v>470</v>
      </c>
      <c r="E552" s="106">
        <v>43</v>
      </c>
      <c r="F552" s="106">
        <v>966</v>
      </c>
      <c r="G552" s="106">
        <v>14</v>
      </c>
      <c r="H552" s="106">
        <v>898</v>
      </c>
      <c r="I552" s="106">
        <v>12</v>
      </c>
      <c r="J552" s="106">
        <v>231</v>
      </c>
      <c r="K552" s="106">
        <v>6</v>
      </c>
      <c r="L552" s="106">
        <v>4028</v>
      </c>
      <c r="M552" s="106">
        <v>146</v>
      </c>
      <c r="N552" s="106">
        <v>10369</v>
      </c>
      <c r="O552" s="106">
        <v>35474</v>
      </c>
      <c r="P552" s="108">
        <v>2419</v>
      </c>
      <c r="Q552" s="106">
        <v>36432</v>
      </c>
      <c r="R552" s="16">
        <f t="shared" ref="R552:R557" si="41">P552+N552+L552</f>
        <v>16816</v>
      </c>
      <c r="S552" s="167">
        <f t="shared" si="36"/>
        <v>15282.5</v>
      </c>
      <c r="T552" s="168">
        <f t="shared" si="37"/>
        <v>40332</v>
      </c>
    </row>
    <row r="553" spans="1:23" ht="15.6" x14ac:dyDescent="0.3">
      <c r="A553" s="137">
        <f t="shared" si="35"/>
        <v>40339</v>
      </c>
      <c r="B553" s="108">
        <v>1878</v>
      </c>
      <c r="C553" s="106">
        <v>206</v>
      </c>
      <c r="D553" s="106">
        <v>485</v>
      </c>
      <c r="E553" s="106">
        <v>79</v>
      </c>
      <c r="F553" s="106">
        <v>995</v>
      </c>
      <c r="G553" s="106">
        <v>121</v>
      </c>
      <c r="H553" s="106">
        <v>992</v>
      </c>
      <c r="I553" s="106">
        <v>98</v>
      </c>
      <c r="J553" s="106">
        <v>243</v>
      </c>
      <c r="K553" s="106">
        <v>36</v>
      </c>
      <c r="L553" s="106">
        <v>4592</v>
      </c>
      <c r="M553" s="106">
        <v>540</v>
      </c>
      <c r="N553" s="106">
        <v>10386</v>
      </c>
      <c r="O553" s="106">
        <v>36547</v>
      </c>
      <c r="P553" s="108">
        <v>2071</v>
      </c>
      <c r="Q553" s="106">
        <v>36643</v>
      </c>
      <c r="R553" s="16">
        <f t="shared" si="41"/>
        <v>17049</v>
      </c>
      <c r="S553" s="167">
        <f t="shared" si="36"/>
        <v>15635.5</v>
      </c>
      <c r="T553" s="168">
        <f t="shared" si="37"/>
        <v>40339</v>
      </c>
    </row>
    <row r="554" spans="1:23" ht="15.6" x14ac:dyDescent="0.3">
      <c r="A554" s="137">
        <f t="shared" si="35"/>
        <v>40346</v>
      </c>
      <c r="B554" s="108">
        <v>2169</v>
      </c>
      <c r="C554" s="106">
        <v>302</v>
      </c>
      <c r="D554" s="106">
        <v>514</v>
      </c>
      <c r="E554" s="106">
        <v>117</v>
      </c>
      <c r="F554" s="106">
        <v>1021</v>
      </c>
      <c r="G554" s="106">
        <v>211</v>
      </c>
      <c r="H554" s="106">
        <v>1079</v>
      </c>
      <c r="I554" s="106">
        <v>156</v>
      </c>
      <c r="J554" s="106">
        <v>250</v>
      </c>
      <c r="K554" s="106">
        <v>36</v>
      </c>
      <c r="L554" s="106">
        <v>5033</v>
      </c>
      <c r="M554" s="106">
        <v>821</v>
      </c>
      <c r="N554" s="106">
        <v>10692</v>
      </c>
      <c r="O554" s="106">
        <v>37365</v>
      </c>
      <c r="P554" s="108">
        <v>2140</v>
      </c>
      <c r="Q554" s="106">
        <v>36882</v>
      </c>
      <c r="R554" s="16">
        <f t="shared" si="41"/>
        <v>17865</v>
      </c>
      <c r="S554" s="167">
        <f t="shared" si="36"/>
        <v>16342.75</v>
      </c>
      <c r="T554" s="168">
        <f t="shared" si="37"/>
        <v>40346</v>
      </c>
    </row>
    <row r="555" spans="1:23" ht="15.6" x14ac:dyDescent="0.3">
      <c r="A555" s="137">
        <f t="shared" si="35"/>
        <v>40353</v>
      </c>
      <c r="B555" s="108">
        <v>2104</v>
      </c>
      <c r="C555" s="106">
        <v>528</v>
      </c>
      <c r="D555" s="106">
        <v>548</v>
      </c>
      <c r="E555" s="106">
        <v>167</v>
      </c>
      <c r="F555" s="106">
        <v>961</v>
      </c>
      <c r="G555" s="106">
        <v>365</v>
      </c>
      <c r="H555" s="106">
        <v>1039</v>
      </c>
      <c r="I555" s="106">
        <v>274</v>
      </c>
      <c r="J555" s="106">
        <v>250</v>
      </c>
      <c r="K555" s="106">
        <v>36</v>
      </c>
      <c r="L555" s="106">
        <v>4902</v>
      </c>
      <c r="M555" s="106">
        <v>1369</v>
      </c>
      <c r="N555" s="106">
        <v>10389</v>
      </c>
      <c r="O555" s="106">
        <v>38318</v>
      </c>
      <c r="P555" s="108">
        <v>2266</v>
      </c>
      <c r="Q555" s="106">
        <v>37021</v>
      </c>
      <c r="R555" s="16">
        <f t="shared" si="41"/>
        <v>17557</v>
      </c>
      <c r="S555" s="167">
        <f t="shared" si="36"/>
        <v>17321.75</v>
      </c>
      <c r="T555" s="168">
        <f t="shared" si="37"/>
        <v>40353</v>
      </c>
    </row>
    <row r="556" spans="1:23" ht="15.6" x14ac:dyDescent="0.3">
      <c r="A556" s="137">
        <f t="shared" si="35"/>
        <v>40360</v>
      </c>
      <c r="B556" s="108">
        <v>2066</v>
      </c>
      <c r="C556" s="106">
        <v>792</v>
      </c>
      <c r="D556" s="106">
        <v>540</v>
      </c>
      <c r="E556" s="106">
        <v>212</v>
      </c>
      <c r="F556" s="106">
        <v>1013</v>
      </c>
      <c r="G556" s="106">
        <v>453</v>
      </c>
      <c r="H556" s="106">
        <v>959</v>
      </c>
      <c r="I556" s="106">
        <v>433</v>
      </c>
      <c r="J556" s="106">
        <v>280</v>
      </c>
      <c r="K556" s="106">
        <v>37</v>
      </c>
      <c r="L556" s="106">
        <v>4858</v>
      </c>
      <c r="M556" s="106">
        <v>1927</v>
      </c>
      <c r="N556" s="106">
        <v>9860</v>
      </c>
      <c r="O556" s="106">
        <v>39348</v>
      </c>
      <c r="P556" s="108">
        <v>2452</v>
      </c>
      <c r="Q556" s="106">
        <v>37097</v>
      </c>
      <c r="R556" s="16">
        <f t="shared" si="41"/>
        <v>17170</v>
      </c>
      <c r="S556" s="167">
        <f t="shared" si="36"/>
        <v>17410.25</v>
      </c>
      <c r="T556" s="168">
        <f t="shared" si="37"/>
        <v>40360</v>
      </c>
      <c r="U556" s="16"/>
    </row>
    <row r="557" spans="1:23" ht="15.6" x14ac:dyDescent="0.3">
      <c r="A557" s="137">
        <f t="shared" si="35"/>
        <v>40367</v>
      </c>
      <c r="B557" s="108">
        <v>1980</v>
      </c>
      <c r="C557" s="106">
        <v>1051</v>
      </c>
      <c r="D557" s="106">
        <v>523</v>
      </c>
      <c r="E557" s="106">
        <v>238</v>
      </c>
      <c r="F557" s="106">
        <v>1044</v>
      </c>
      <c r="G557" s="106">
        <v>506</v>
      </c>
      <c r="H557" s="106">
        <v>978</v>
      </c>
      <c r="I557" s="106">
        <v>451</v>
      </c>
      <c r="J557" s="106">
        <v>286</v>
      </c>
      <c r="K557" s="106">
        <v>37</v>
      </c>
      <c r="L557" s="106">
        <v>4812</v>
      </c>
      <c r="M557" s="106">
        <v>2283</v>
      </c>
      <c r="N557" s="106">
        <v>9495</v>
      </c>
      <c r="O557" s="106">
        <v>40391</v>
      </c>
      <c r="P557" s="108">
        <v>2912</v>
      </c>
      <c r="Q557" s="106">
        <v>37303</v>
      </c>
      <c r="R557" s="16">
        <f t="shared" si="41"/>
        <v>17219</v>
      </c>
      <c r="S557" s="167">
        <f t="shared" si="36"/>
        <v>17452.75</v>
      </c>
      <c r="T557" s="168">
        <f t="shared" si="37"/>
        <v>40367</v>
      </c>
      <c r="U557" s="108"/>
      <c r="V557" s="106"/>
      <c r="W557" s="16"/>
    </row>
    <row r="558" spans="1:23" ht="15.6" x14ac:dyDescent="0.3">
      <c r="A558" s="137">
        <f t="shared" si="35"/>
        <v>40374</v>
      </c>
      <c r="B558" s="108">
        <v>1825</v>
      </c>
      <c r="C558" s="106">
        <v>1317</v>
      </c>
      <c r="D558" s="106">
        <v>519</v>
      </c>
      <c r="E558" s="106">
        <v>291</v>
      </c>
      <c r="F558" s="106">
        <v>1035</v>
      </c>
      <c r="G558" s="106">
        <v>598</v>
      </c>
      <c r="H558" s="106">
        <v>976</v>
      </c>
      <c r="I558" s="106">
        <v>559</v>
      </c>
      <c r="J558" s="106">
        <v>294</v>
      </c>
      <c r="K558" s="106">
        <v>64</v>
      </c>
      <c r="L558" s="106">
        <v>4649</v>
      </c>
      <c r="M558" s="106">
        <v>2828</v>
      </c>
      <c r="N558" s="106">
        <v>9161</v>
      </c>
      <c r="O558" s="106">
        <v>41339</v>
      </c>
      <c r="P558" s="108">
        <v>2749</v>
      </c>
      <c r="Q558" s="106">
        <v>37578</v>
      </c>
      <c r="R558" s="16">
        <f t="shared" ref="R558:R563" si="42">P558+N558+L558</f>
        <v>16559</v>
      </c>
      <c r="S558" s="167">
        <f t="shared" si="36"/>
        <v>17126.25</v>
      </c>
      <c r="T558" s="168">
        <f t="shared" si="37"/>
        <v>40374</v>
      </c>
    </row>
    <row r="559" spans="1:23" ht="15.6" x14ac:dyDescent="0.3">
      <c r="A559" s="137">
        <f t="shared" si="35"/>
        <v>40381</v>
      </c>
      <c r="B559" s="108">
        <v>2013</v>
      </c>
      <c r="C559" s="106">
        <v>1539</v>
      </c>
      <c r="D559" s="106">
        <v>540</v>
      </c>
      <c r="E559" s="106">
        <v>336</v>
      </c>
      <c r="F559" s="106">
        <v>1187</v>
      </c>
      <c r="G559" s="106">
        <v>747</v>
      </c>
      <c r="H559" s="106">
        <v>1021</v>
      </c>
      <c r="I559" s="106">
        <v>581</v>
      </c>
      <c r="J559" s="106">
        <v>356</v>
      </c>
      <c r="K559" s="106">
        <v>76</v>
      </c>
      <c r="L559" s="106">
        <v>5118</v>
      </c>
      <c r="M559" s="106">
        <v>3279</v>
      </c>
      <c r="N559" s="106">
        <v>8394</v>
      </c>
      <c r="O559" s="106">
        <v>42539</v>
      </c>
      <c r="P559" s="108">
        <v>2910</v>
      </c>
      <c r="Q559" s="106">
        <v>37756</v>
      </c>
      <c r="R559" s="16">
        <f t="shared" si="42"/>
        <v>16422</v>
      </c>
      <c r="S559" s="167">
        <f t="shared" si="36"/>
        <v>16842.5</v>
      </c>
      <c r="T559" s="168">
        <f t="shared" si="37"/>
        <v>40381</v>
      </c>
    </row>
    <row r="560" spans="1:23" ht="15.6" x14ac:dyDescent="0.3">
      <c r="A560" s="137">
        <f t="shared" si="35"/>
        <v>40388</v>
      </c>
      <c r="B560" s="108">
        <v>2116</v>
      </c>
      <c r="C560" s="106">
        <v>1836</v>
      </c>
      <c r="D560" s="106">
        <v>601</v>
      </c>
      <c r="E560" s="106">
        <v>357</v>
      </c>
      <c r="F560" s="106">
        <v>1229</v>
      </c>
      <c r="G560" s="106">
        <v>938</v>
      </c>
      <c r="H560" s="106">
        <v>1144</v>
      </c>
      <c r="I560" s="106">
        <v>629</v>
      </c>
      <c r="J560" s="106">
        <v>309</v>
      </c>
      <c r="K560" s="106">
        <v>94</v>
      </c>
      <c r="L560" s="106">
        <v>5400</v>
      </c>
      <c r="M560" s="106">
        <v>3852</v>
      </c>
      <c r="N560" s="106">
        <v>8033</v>
      </c>
      <c r="O560" s="106">
        <v>43372</v>
      </c>
      <c r="P560" s="108">
        <v>2656</v>
      </c>
      <c r="Q560" s="106">
        <v>38016</v>
      </c>
      <c r="R560" s="16">
        <f t="shared" si="42"/>
        <v>16089</v>
      </c>
      <c r="S560" s="167">
        <f t="shared" si="36"/>
        <v>16572.25</v>
      </c>
      <c r="T560" s="168">
        <f t="shared" si="37"/>
        <v>40388</v>
      </c>
    </row>
    <row r="561" spans="1:20" ht="15.6" x14ac:dyDescent="0.3">
      <c r="A561" s="137">
        <f t="shared" si="35"/>
        <v>40395</v>
      </c>
      <c r="B561" s="108">
        <v>2753</v>
      </c>
      <c r="C561" s="106">
        <v>1998</v>
      </c>
      <c r="D561" s="106">
        <v>584</v>
      </c>
      <c r="E561" s="106">
        <v>399</v>
      </c>
      <c r="F561" s="106">
        <v>1391</v>
      </c>
      <c r="G561" s="106">
        <v>1046</v>
      </c>
      <c r="H561" s="106">
        <v>1261</v>
      </c>
      <c r="I561" s="106">
        <v>708</v>
      </c>
      <c r="J561" s="106">
        <v>307</v>
      </c>
      <c r="K561" s="106">
        <v>123</v>
      </c>
      <c r="L561" s="106">
        <v>6295</v>
      </c>
      <c r="M561" s="106">
        <v>4274</v>
      </c>
      <c r="N561" s="106">
        <v>7464</v>
      </c>
      <c r="O561" s="106">
        <v>44379</v>
      </c>
      <c r="P561" s="108">
        <v>2707</v>
      </c>
      <c r="Q561" s="106">
        <v>38232</v>
      </c>
      <c r="R561" s="16">
        <f t="shared" si="42"/>
        <v>16466</v>
      </c>
      <c r="S561" s="167">
        <f t="shared" si="36"/>
        <v>16384</v>
      </c>
      <c r="T561" s="168">
        <f t="shared" si="37"/>
        <v>40395</v>
      </c>
    </row>
    <row r="562" spans="1:20" ht="15.6" x14ac:dyDescent="0.3">
      <c r="A562" s="137">
        <f t="shared" si="35"/>
        <v>40402</v>
      </c>
      <c r="B562" s="108">
        <v>3191</v>
      </c>
      <c r="C562" s="106">
        <v>2242</v>
      </c>
      <c r="D562" s="106">
        <v>559</v>
      </c>
      <c r="E562" s="106">
        <v>437</v>
      </c>
      <c r="F562" s="106">
        <v>1781</v>
      </c>
      <c r="G562" s="106">
        <v>1170</v>
      </c>
      <c r="H562" s="106">
        <v>1230</v>
      </c>
      <c r="I562" s="106">
        <v>859</v>
      </c>
      <c r="J562" s="106">
        <v>370</v>
      </c>
      <c r="K562" s="106">
        <v>144</v>
      </c>
      <c r="L562" s="106">
        <v>7131</v>
      </c>
      <c r="M562" s="106">
        <v>4851</v>
      </c>
      <c r="N562" s="106">
        <v>7053</v>
      </c>
      <c r="O562" s="106">
        <v>45386</v>
      </c>
      <c r="P562" s="108">
        <v>2391</v>
      </c>
      <c r="Q562" s="106">
        <v>38729</v>
      </c>
      <c r="R562" s="16">
        <f t="shared" si="42"/>
        <v>16575</v>
      </c>
      <c r="S562" s="167">
        <f t="shared" si="36"/>
        <v>16388</v>
      </c>
      <c r="T562" s="168">
        <f t="shared" si="37"/>
        <v>40402</v>
      </c>
    </row>
    <row r="563" spans="1:20" ht="15.6" x14ac:dyDescent="0.3">
      <c r="A563" s="137">
        <f t="shared" si="35"/>
        <v>40409</v>
      </c>
      <c r="B563" s="108">
        <v>3565</v>
      </c>
      <c r="C563" s="106">
        <v>2518</v>
      </c>
      <c r="D563" s="106">
        <v>608</v>
      </c>
      <c r="E563" s="106">
        <v>464</v>
      </c>
      <c r="F563" s="106">
        <v>1952</v>
      </c>
      <c r="G563" s="106">
        <v>1245</v>
      </c>
      <c r="H563" s="106">
        <v>1246</v>
      </c>
      <c r="I563" s="106">
        <v>947</v>
      </c>
      <c r="J563" s="106">
        <v>331</v>
      </c>
      <c r="K563" s="106">
        <v>185</v>
      </c>
      <c r="L563" s="106">
        <v>7702</v>
      </c>
      <c r="M563" s="106">
        <v>5358</v>
      </c>
      <c r="N563" s="106">
        <v>5923</v>
      </c>
      <c r="O563" s="106">
        <v>46557</v>
      </c>
      <c r="P563" s="108">
        <v>2237</v>
      </c>
      <c r="Q563" s="106">
        <v>39050</v>
      </c>
      <c r="R563" s="16">
        <f t="shared" si="42"/>
        <v>15862</v>
      </c>
      <c r="S563" s="167">
        <f t="shared" si="36"/>
        <v>16248</v>
      </c>
      <c r="T563" s="168">
        <f t="shared" si="37"/>
        <v>40409</v>
      </c>
    </row>
    <row r="564" spans="1:20" ht="15.6" x14ac:dyDescent="0.3">
      <c r="A564" s="137">
        <f t="shared" si="35"/>
        <v>40416</v>
      </c>
      <c r="B564" s="108">
        <v>3585</v>
      </c>
      <c r="C564" s="106">
        <v>2903</v>
      </c>
      <c r="D564" s="106">
        <v>629</v>
      </c>
      <c r="E564" s="106">
        <v>497</v>
      </c>
      <c r="F564" s="106">
        <v>2232</v>
      </c>
      <c r="G564" s="106">
        <v>1365</v>
      </c>
      <c r="H564" s="106">
        <v>1329</v>
      </c>
      <c r="I564" s="106">
        <v>998</v>
      </c>
      <c r="J564" s="106">
        <v>357</v>
      </c>
      <c r="K564" s="106">
        <v>188</v>
      </c>
      <c r="L564" s="106">
        <v>8133</v>
      </c>
      <c r="M564" s="106">
        <v>5951</v>
      </c>
      <c r="N564" s="106">
        <v>4753</v>
      </c>
      <c r="O564" s="106">
        <v>47700</v>
      </c>
      <c r="P564" s="108">
        <v>2004</v>
      </c>
      <c r="Q564" s="106">
        <v>39285</v>
      </c>
      <c r="R564" s="16">
        <f t="shared" ref="R564:R569" si="43">P564+N564+L564</f>
        <v>14890</v>
      </c>
      <c r="S564" s="167">
        <f t="shared" si="36"/>
        <v>15948.25</v>
      </c>
      <c r="T564" s="168">
        <f t="shared" si="37"/>
        <v>40416</v>
      </c>
    </row>
    <row r="565" spans="1:20" ht="15.6" x14ac:dyDescent="0.3">
      <c r="A565" s="137">
        <f t="shared" si="35"/>
        <v>40423</v>
      </c>
      <c r="B565" s="108">
        <v>3899</v>
      </c>
      <c r="C565" s="106">
        <v>3152</v>
      </c>
      <c r="D565" s="106">
        <v>599</v>
      </c>
      <c r="E565" s="106">
        <v>541</v>
      </c>
      <c r="F565" s="106">
        <v>2230</v>
      </c>
      <c r="G565" s="106">
        <v>1608</v>
      </c>
      <c r="H565" s="106">
        <v>1341</v>
      </c>
      <c r="I565" s="106">
        <v>1121</v>
      </c>
      <c r="J565" s="106">
        <v>358</v>
      </c>
      <c r="K565" s="106">
        <v>190</v>
      </c>
      <c r="L565" s="164">
        <v>8426</v>
      </c>
      <c r="M565" s="106">
        <v>6611</v>
      </c>
      <c r="N565" s="164">
        <v>15102</v>
      </c>
      <c r="O565" s="106">
        <v>259</v>
      </c>
      <c r="P565" s="164">
        <v>17705</v>
      </c>
      <c r="Q565" s="106">
        <v>81</v>
      </c>
      <c r="R565" s="16">
        <f t="shared" si="43"/>
        <v>41233</v>
      </c>
      <c r="S565" s="167">
        <f t="shared" si="36"/>
        <v>22140</v>
      </c>
      <c r="T565" s="168">
        <f t="shared" si="37"/>
        <v>40423</v>
      </c>
    </row>
    <row r="566" spans="1:20" ht="15.6" x14ac:dyDescent="0.3">
      <c r="A566" s="137">
        <f t="shared" si="35"/>
        <v>40430</v>
      </c>
      <c r="B566" s="108">
        <v>3506</v>
      </c>
      <c r="C566" s="106">
        <v>3712</v>
      </c>
      <c r="D566" s="106">
        <v>598</v>
      </c>
      <c r="E566" s="106">
        <v>560</v>
      </c>
      <c r="F566" s="106">
        <v>2177</v>
      </c>
      <c r="G566" s="106">
        <v>1828</v>
      </c>
      <c r="H566" s="106">
        <v>1385</v>
      </c>
      <c r="I566" s="106">
        <v>1162</v>
      </c>
      <c r="J566" s="106">
        <v>373</v>
      </c>
      <c r="K566" s="106">
        <v>221</v>
      </c>
      <c r="L566" s="106">
        <v>8039</v>
      </c>
      <c r="M566" s="106">
        <v>7483</v>
      </c>
      <c r="N566" s="106">
        <v>14588</v>
      </c>
      <c r="O566" s="106">
        <v>1385</v>
      </c>
      <c r="P566" s="108">
        <v>18201</v>
      </c>
      <c r="Q566" s="106">
        <v>254</v>
      </c>
      <c r="R566" s="16">
        <f t="shared" si="43"/>
        <v>40828</v>
      </c>
      <c r="S566" s="167">
        <f t="shared" si="36"/>
        <v>28203.25</v>
      </c>
      <c r="T566" s="168">
        <f t="shared" si="37"/>
        <v>40430</v>
      </c>
    </row>
    <row r="567" spans="1:20" ht="15.6" x14ac:dyDescent="0.3">
      <c r="A567" s="137">
        <f t="shared" si="35"/>
        <v>40437</v>
      </c>
      <c r="B567" s="108">
        <v>3697</v>
      </c>
      <c r="C567" s="106">
        <v>4153</v>
      </c>
      <c r="D567" s="106">
        <v>591</v>
      </c>
      <c r="E567" s="106">
        <v>573</v>
      </c>
      <c r="F567" s="106">
        <v>2225</v>
      </c>
      <c r="G567" s="106">
        <v>1998</v>
      </c>
      <c r="H567" s="106">
        <v>1305</v>
      </c>
      <c r="I567" s="106">
        <v>1378</v>
      </c>
      <c r="J567" s="106">
        <v>253</v>
      </c>
      <c r="K567" s="106">
        <v>300</v>
      </c>
      <c r="L567" s="106">
        <v>8070</v>
      </c>
      <c r="M567" s="106">
        <v>8402</v>
      </c>
      <c r="N567" s="106">
        <v>14158</v>
      </c>
      <c r="O567" s="106">
        <v>2377</v>
      </c>
      <c r="P567" s="108">
        <v>18939</v>
      </c>
      <c r="Q567" s="106">
        <v>600</v>
      </c>
      <c r="R567" s="16">
        <f t="shared" si="43"/>
        <v>41167</v>
      </c>
      <c r="S567" s="167">
        <f t="shared" si="36"/>
        <v>34529.5</v>
      </c>
      <c r="T567" s="168">
        <f t="shared" si="37"/>
        <v>40437</v>
      </c>
    </row>
    <row r="568" spans="1:20" ht="15.6" x14ac:dyDescent="0.3">
      <c r="A568" s="137">
        <f t="shared" si="35"/>
        <v>40444</v>
      </c>
      <c r="B568" s="108">
        <v>3734</v>
      </c>
      <c r="C568" s="106">
        <v>4417</v>
      </c>
      <c r="D568" s="106">
        <v>609</v>
      </c>
      <c r="E568" s="106">
        <v>589</v>
      </c>
      <c r="F568" s="106">
        <v>2119</v>
      </c>
      <c r="G568" s="106">
        <v>2331</v>
      </c>
      <c r="H568" s="106">
        <v>1216</v>
      </c>
      <c r="I568" s="106">
        <v>1519</v>
      </c>
      <c r="J568" s="106">
        <v>238</v>
      </c>
      <c r="K568" s="106">
        <v>331</v>
      </c>
      <c r="L568" s="106">
        <v>7916</v>
      </c>
      <c r="M568" s="106">
        <v>9187</v>
      </c>
      <c r="N568" s="106">
        <v>14142</v>
      </c>
      <c r="O568" s="106">
        <v>3319</v>
      </c>
      <c r="P568" s="108">
        <v>20155</v>
      </c>
      <c r="Q568" s="106">
        <v>1121</v>
      </c>
      <c r="R568" s="16">
        <f t="shared" si="43"/>
        <v>42213</v>
      </c>
      <c r="S568" s="167">
        <f t="shared" si="36"/>
        <v>41360.25</v>
      </c>
      <c r="T568" s="168">
        <f t="shared" si="37"/>
        <v>40444</v>
      </c>
    </row>
    <row r="569" spans="1:20" ht="15.6" x14ac:dyDescent="0.3">
      <c r="A569" s="137">
        <f t="shared" si="35"/>
        <v>40451</v>
      </c>
      <c r="B569" s="108">
        <v>3600</v>
      </c>
      <c r="C569" s="106">
        <v>4788</v>
      </c>
      <c r="D569" s="106">
        <v>560</v>
      </c>
      <c r="E569" s="106">
        <v>676</v>
      </c>
      <c r="F569" s="106">
        <v>2245</v>
      </c>
      <c r="G569" s="106">
        <v>2572</v>
      </c>
      <c r="H569" s="106">
        <v>1228</v>
      </c>
      <c r="I569" s="106">
        <v>1657</v>
      </c>
      <c r="J569" s="106">
        <v>213</v>
      </c>
      <c r="K569" s="106">
        <v>373</v>
      </c>
      <c r="L569" s="106">
        <v>7846</v>
      </c>
      <c r="M569" s="106">
        <v>10066</v>
      </c>
      <c r="N569" s="106">
        <v>13770</v>
      </c>
      <c r="O569" s="106">
        <v>4297</v>
      </c>
      <c r="P569" s="108">
        <v>20449</v>
      </c>
      <c r="Q569" s="106">
        <v>1776</v>
      </c>
      <c r="R569" s="16">
        <f t="shared" si="43"/>
        <v>42065</v>
      </c>
      <c r="S569" s="167">
        <f t="shared" si="36"/>
        <v>41568.25</v>
      </c>
      <c r="T569" s="168">
        <f t="shared" si="37"/>
        <v>40451</v>
      </c>
    </row>
    <row r="570" spans="1:20" ht="15.6" x14ac:dyDescent="0.3">
      <c r="A570" s="137">
        <f>A569+7</f>
        <v>40458</v>
      </c>
      <c r="B570" s="108">
        <v>3505</v>
      </c>
      <c r="C570" s="106">
        <v>5058</v>
      </c>
      <c r="D570" s="106">
        <v>488</v>
      </c>
      <c r="E570" s="106">
        <v>714</v>
      </c>
      <c r="F570" s="106">
        <v>2110</v>
      </c>
      <c r="G570" s="106">
        <v>2798</v>
      </c>
      <c r="H570" s="106">
        <v>1254</v>
      </c>
      <c r="I570" s="106">
        <v>1764</v>
      </c>
      <c r="J570" s="106">
        <v>197</v>
      </c>
      <c r="K570" s="106">
        <v>395</v>
      </c>
      <c r="L570" s="106">
        <v>7554</v>
      </c>
      <c r="M570" s="106">
        <v>10729</v>
      </c>
      <c r="N570" s="106">
        <v>13868</v>
      </c>
      <c r="O570" s="106">
        <v>5105</v>
      </c>
      <c r="P570" s="108">
        <v>20368</v>
      </c>
      <c r="Q570" s="106">
        <v>2965</v>
      </c>
      <c r="R570" s="16">
        <f t="shared" ref="R570:R575" si="44">P570+N570+L570</f>
        <v>41790</v>
      </c>
      <c r="S570" s="167">
        <f>AVERAGE(R567:R570)</f>
        <v>41808.75</v>
      </c>
      <c r="T570" s="168">
        <f>T569+7</f>
        <v>40458</v>
      </c>
    </row>
    <row r="571" spans="1:20" ht="15.6" x14ac:dyDescent="0.3">
      <c r="A571" s="137">
        <f t="shared" si="35"/>
        <v>40465</v>
      </c>
      <c r="B571" s="108">
        <v>3531</v>
      </c>
      <c r="C571" s="106">
        <v>5363</v>
      </c>
      <c r="D571" s="106">
        <v>546</v>
      </c>
      <c r="E571" s="106">
        <v>734</v>
      </c>
      <c r="F571" s="106">
        <v>2029</v>
      </c>
      <c r="G571" s="106">
        <v>3004</v>
      </c>
      <c r="H571" s="106">
        <v>1220</v>
      </c>
      <c r="I571" s="106">
        <v>1820</v>
      </c>
      <c r="J571" s="106">
        <v>211</v>
      </c>
      <c r="K571" s="106">
        <v>401</v>
      </c>
      <c r="L571" s="106">
        <v>7536</v>
      </c>
      <c r="M571" s="106">
        <v>11321</v>
      </c>
      <c r="N571" s="106">
        <v>13247</v>
      </c>
      <c r="O571" s="106">
        <v>5938</v>
      </c>
      <c r="P571" s="108">
        <v>20760</v>
      </c>
      <c r="Q571" s="106">
        <v>4569</v>
      </c>
      <c r="R571" s="16">
        <f t="shared" si="44"/>
        <v>41543</v>
      </c>
      <c r="S571" s="167">
        <f>AVERAGE(R568:R571)</f>
        <v>41902.75</v>
      </c>
      <c r="T571" s="168">
        <f t="shared" si="37"/>
        <v>40465</v>
      </c>
    </row>
    <row r="572" spans="1:20" ht="15.6" x14ac:dyDescent="0.3">
      <c r="A572" s="137">
        <f t="shared" si="35"/>
        <v>40472</v>
      </c>
      <c r="B572" s="108">
        <v>3320</v>
      </c>
      <c r="C572" s="106">
        <v>5631</v>
      </c>
      <c r="D572" s="106">
        <v>624</v>
      </c>
      <c r="E572" s="106">
        <v>788</v>
      </c>
      <c r="F572" s="106">
        <v>2193</v>
      </c>
      <c r="G572" s="106">
        <v>3155</v>
      </c>
      <c r="H572" s="106">
        <v>1191</v>
      </c>
      <c r="I572" s="106">
        <v>1927</v>
      </c>
      <c r="J572" s="106">
        <v>160</v>
      </c>
      <c r="K572" s="106">
        <v>465</v>
      </c>
      <c r="L572" s="106">
        <v>7487</v>
      </c>
      <c r="M572" s="106">
        <v>11965</v>
      </c>
      <c r="N572" s="106">
        <v>13217</v>
      </c>
      <c r="O572" s="106">
        <v>6502</v>
      </c>
      <c r="P572" s="108">
        <v>20852</v>
      </c>
      <c r="Q572" s="106">
        <v>6503</v>
      </c>
      <c r="R572" s="16">
        <f t="shared" si="44"/>
        <v>41556</v>
      </c>
      <c r="S572" s="167">
        <f>AVERAGE(R569:R572)</f>
        <v>41738.5</v>
      </c>
      <c r="T572" s="168">
        <f t="shared" si="37"/>
        <v>40472</v>
      </c>
    </row>
    <row r="573" spans="1:20" ht="15.6" x14ac:dyDescent="0.3">
      <c r="A573" s="137">
        <f t="shared" si="35"/>
        <v>40479</v>
      </c>
      <c r="B573" s="108">
        <v>3365</v>
      </c>
      <c r="C573" s="106">
        <v>5834</v>
      </c>
      <c r="D573" s="106">
        <v>553</v>
      </c>
      <c r="E573" s="106">
        <v>868</v>
      </c>
      <c r="F573" s="106">
        <v>2326</v>
      </c>
      <c r="G573" s="106">
        <v>3230</v>
      </c>
      <c r="H573" s="106">
        <v>1185</v>
      </c>
      <c r="I573" s="106">
        <v>1993</v>
      </c>
      <c r="J573" s="106">
        <v>194</v>
      </c>
      <c r="K573" s="106">
        <v>469</v>
      </c>
      <c r="L573" s="106">
        <v>7623</v>
      </c>
      <c r="M573" s="106">
        <v>12394</v>
      </c>
      <c r="N573" s="106">
        <v>12798</v>
      </c>
      <c r="O573" s="106">
        <v>7382</v>
      </c>
      <c r="P573" s="108">
        <v>20473</v>
      </c>
      <c r="Q573" s="106">
        <v>8459</v>
      </c>
      <c r="R573" s="16">
        <f t="shared" si="44"/>
        <v>40894</v>
      </c>
      <c r="S573" s="167">
        <f t="shared" si="36"/>
        <v>41445.75</v>
      </c>
      <c r="T573" s="168">
        <f t="shared" si="37"/>
        <v>40479</v>
      </c>
    </row>
    <row r="574" spans="1:20" ht="15.6" x14ac:dyDescent="0.3">
      <c r="A574" s="137">
        <f t="shared" si="35"/>
        <v>40486</v>
      </c>
      <c r="B574" s="108">
        <v>3546</v>
      </c>
      <c r="C574" s="106">
        <v>6004</v>
      </c>
      <c r="D574" s="106">
        <v>560</v>
      </c>
      <c r="E574" s="106">
        <v>870</v>
      </c>
      <c r="F574" s="106">
        <v>2509</v>
      </c>
      <c r="G574" s="106">
        <v>3414</v>
      </c>
      <c r="H574" s="106">
        <v>1169</v>
      </c>
      <c r="I574" s="106">
        <v>2112</v>
      </c>
      <c r="J574" s="106">
        <v>156</v>
      </c>
      <c r="K574" s="106">
        <v>511</v>
      </c>
      <c r="L574" s="106">
        <v>7939</v>
      </c>
      <c r="M574" s="106">
        <v>12911</v>
      </c>
      <c r="N574" s="106">
        <v>12620</v>
      </c>
      <c r="O574" s="106">
        <v>8133</v>
      </c>
      <c r="P574" s="108">
        <v>19603</v>
      </c>
      <c r="Q574" s="106">
        <v>10138</v>
      </c>
      <c r="R574" s="16">
        <f t="shared" si="44"/>
        <v>40162</v>
      </c>
      <c r="S574" s="167">
        <f t="shared" si="36"/>
        <v>41038.75</v>
      </c>
      <c r="T574" s="168">
        <f t="shared" si="37"/>
        <v>40486</v>
      </c>
    </row>
    <row r="575" spans="1:20" ht="15.6" x14ac:dyDescent="0.3">
      <c r="A575" s="137">
        <f t="shared" si="35"/>
        <v>40493</v>
      </c>
      <c r="B575" s="108">
        <v>3801</v>
      </c>
      <c r="C575" s="106">
        <v>6236</v>
      </c>
      <c r="D575" s="106">
        <v>596</v>
      </c>
      <c r="E575" s="106">
        <v>913</v>
      </c>
      <c r="F575" s="106">
        <v>2646</v>
      </c>
      <c r="G575" s="106">
        <v>3546</v>
      </c>
      <c r="H575" s="106">
        <v>1246</v>
      </c>
      <c r="I575" s="106">
        <v>2143</v>
      </c>
      <c r="J575" s="106">
        <v>157</v>
      </c>
      <c r="K575" s="106">
        <v>512</v>
      </c>
      <c r="L575" s="106">
        <v>8444</v>
      </c>
      <c r="M575" s="106">
        <v>13349</v>
      </c>
      <c r="N575" s="106">
        <v>12375</v>
      </c>
      <c r="O575" s="106">
        <v>8912</v>
      </c>
      <c r="P575" s="108">
        <v>18843</v>
      </c>
      <c r="Q575" s="106">
        <v>11905</v>
      </c>
      <c r="R575" s="16">
        <f t="shared" si="44"/>
        <v>39662</v>
      </c>
      <c r="S575" s="167">
        <f t="shared" si="36"/>
        <v>40568.5</v>
      </c>
      <c r="T575" s="168">
        <f t="shared" si="37"/>
        <v>40493</v>
      </c>
    </row>
    <row r="576" spans="1:20" ht="15.6" x14ac:dyDescent="0.3">
      <c r="A576" s="137">
        <f t="shared" si="35"/>
        <v>40500</v>
      </c>
      <c r="B576" s="108">
        <v>3660</v>
      </c>
      <c r="C576" s="106">
        <v>6562</v>
      </c>
      <c r="D576" s="106">
        <v>694</v>
      </c>
      <c r="E576" s="106">
        <v>934</v>
      </c>
      <c r="F576" s="106">
        <v>2772</v>
      </c>
      <c r="G576" s="106">
        <v>3654</v>
      </c>
      <c r="H576" s="106">
        <v>1344</v>
      </c>
      <c r="I576" s="106">
        <v>2198</v>
      </c>
      <c r="J576" s="106">
        <v>195</v>
      </c>
      <c r="K576" s="106">
        <v>526</v>
      </c>
      <c r="L576" s="106">
        <v>8665</v>
      </c>
      <c r="M576" s="106">
        <v>13873</v>
      </c>
      <c r="N576" s="106">
        <v>12416</v>
      </c>
      <c r="O576" s="106">
        <v>9695</v>
      </c>
      <c r="P576" s="108">
        <v>17885</v>
      </c>
      <c r="Q576" s="106">
        <v>13537</v>
      </c>
      <c r="R576" s="16">
        <f t="shared" ref="R576:R582" si="45">P576+N576+L576</f>
        <v>38966</v>
      </c>
      <c r="S576" s="167">
        <f t="shared" si="36"/>
        <v>39921</v>
      </c>
      <c r="T576" s="168">
        <f t="shared" si="37"/>
        <v>40500</v>
      </c>
    </row>
    <row r="577" spans="1:20" ht="15.6" x14ac:dyDescent="0.3">
      <c r="A577" s="137">
        <f t="shared" si="35"/>
        <v>40507</v>
      </c>
      <c r="B577" s="108">
        <v>3650</v>
      </c>
      <c r="C577" s="106">
        <v>6895</v>
      </c>
      <c r="D577" s="106">
        <v>780</v>
      </c>
      <c r="E577" s="106">
        <v>952</v>
      </c>
      <c r="F577" s="106">
        <v>2808</v>
      </c>
      <c r="G577" s="106">
        <v>3820</v>
      </c>
      <c r="H577" s="106">
        <v>1329</v>
      </c>
      <c r="I577" s="106">
        <v>2239</v>
      </c>
      <c r="J577" s="106">
        <v>174</v>
      </c>
      <c r="K577" s="106">
        <v>556</v>
      </c>
      <c r="L577" s="106">
        <v>8740</v>
      </c>
      <c r="M577" s="106">
        <v>14461</v>
      </c>
      <c r="N577" s="106">
        <v>12389</v>
      </c>
      <c r="O577" s="106">
        <v>10479</v>
      </c>
      <c r="P577" s="108">
        <v>17599</v>
      </c>
      <c r="Q577" s="106">
        <v>15165</v>
      </c>
      <c r="R577" s="16">
        <f t="shared" si="45"/>
        <v>38728</v>
      </c>
      <c r="S577" s="167">
        <f t="shared" si="36"/>
        <v>39379.5</v>
      </c>
      <c r="T577" s="168">
        <f t="shared" si="37"/>
        <v>40507</v>
      </c>
    </row>
    <row r="578" spans="1:20" ht="15.6" x14ac:dyDescent="0.3">
      <c r="A578" s="137">
        <f t="shared" si="35"/>
        <v>40514</v>
      </c>
      <c r="B578" s="108">
        <v>3613</v>
      </c>
      <c r="C578" s="106">
        <v>7156</v>
      </c>
      <c r="D578" s="106">
        <v>802</v>
      </c>
      <c r="E578" s="106">
        <v>998</v>
      </c>
      <c r="F578" s="106">
        <v>2750</v>
      </c>
      <c r="G578" s="106">
        <v>4057</v>
      </c>
      <c r="H578" s="106">
        <v>1273</v>
      </c>
      <c r="I578" s="106">
        <v>2358</v>
      </c>
      <c r="J578" s="106">
        <v>163</v>
      </c>
      <c r="K578" s="106">
        <v>568</v>
      </c>
      <c r="L578" s="106">
        <v>8601</v>
      </c>
      <c r="M578" s="106">
        <v>15136</v>
      </c>
      <c r="N578" s="106">
        <v>12365</v>
      </c>
      <c r="O578" s="106">
        <v>11174</v>
      </c>
      <c r="P578" s="108">
        <v>16742</v>
      </c>
      <c r="Q578" s="106">
        <v>16659</v>
      </c>
      <c r="R578" s="16">
        <f t="shared" si="45"/>
        <v>37708</v>
      </c>
      <c r="S578" s="167">
        <f t="shared" si="36"/>
        <v>38766</v>
      </c>
      <c r="T578" s="168">
        <f t="shared" si="37"/>
        <v>40514</v>
      </c>
    </row>
    <row r="579" spans="1:20" ht="15.6" x14ac:dyDescent="0.3">
      <c r="A579" s="137">
        <f t="shared" si="35"/>
        <v>40521</v>
      </c>
      <c r="B579" s="108">
        <v>4012</v>
      </c>
      <c r="C579" s="106">
        <v>7257</v>
      </c>
      <c r="D579" s="106">
        <v>810</v>
      </c>
      <c r="E579" s="106">
        <v>1037</v>
      </c>
      <c r="F579" s="106">
        <v>2737</v>
      </c>
      <c r="G579" s="106">
        <v>4273</v>
      </c>
      <c r="H579" s="106">
        <v>1273</v>
      </c>
      <c r="I579" s="106">
        <v>2479</v>
      </c>
      <c r="J579" s="106">
        <v>164</v>
      </c>
      <c r="K579" s="106">
        <v>590</v>
      </c>
      <c r="L579" s="106">
        <v>8996</v>
      </c>
      <c r="M579" s="106">
        <v>15635</v>
      </c>
      <c r="N579" s="106">
        <v>12365</v>
      </c>
      <c r="O579" s="106">
        <v>11985</v>
      </c>
      <c r="P579" s="108">
        <v>15478</v>
      </c>
      <c r="Q579" s="106">
        <v>18008</v>
      </c>
      <c r="R579" s="16">
        <f t="shared" si="45"/>
        <v>36839</v>
      </c>
      <c r="S579" s="167">
        <f t="shared" si="36"/>
        <v>38060.25</v>
      </c>
      <c r="T579" s="168">
        <f t="shared" si="37"/>
        <v>40521</v>
      </c>
    </row>
    <row r="580" spans="1:20" ht="15.6" x14ac:dyDescent="0.3">
      <c r="A580" s="137">
        <v>40528</v>
      </c>
      <c r="B580" s="108">
        <v>4040</v>
      </c>
      <c r="C580" s="106">
        <v>7541.3</v>
      </c>
      <c r="D580" s="106">
        <v>832</v>
      </c>
      <c r="E580" s="106">
        <v>1103.0999999999999</v>
      </c>
      <c r="F580" s="106">
        <v>2611.9</v>
      </c>
      <c r="G580" s="106">
        <v>4512.3999999999996</v>
      </c>
      <c r="H580" s="106">
        <v>1287.2</v>
      </c>
      <c r="I580" s="106">
        <v>2541.1</v>
      </c>
      <c r="J580" s="106">
        <v>101.9</v>
      </c>
      <c r="K580" s="106">
        <v>650.9</v>
      </c>
      <c r="L580" s="106">
        <v>8873</v>
      </c>
      <c r="M580" s="106">
        <v>16348.9</v>
      </c>
      <c r="N580" s="106">
        <v>12442.6</v>
      </c>
      <c r="O580" s="106">
        <v>12813.5</v>
      </c>
      <c r="P580" s="108">
        <v>14873.4</v>
      </c>
      <c r="Q580" s="106">
        <v>19440</v>
      </c>
      <c r="R580" s="16">
        <f t="shared" si="45"/>
        <v>36189</v>
      </c>
      <c r="S580" s="167">
        <f t="shared" si="36"/>
        <v>37366</v>
      </c>
      <c r="T580" s="168">
        <f t="shared" si="37"/>
        <v>40528</v>
      </c>
    </row>
    <row r="581" spans="1:20" ht="15.6" x14ac:dyDescent="0.3">
      <c r="A581" s="137">
        <f t="shared" si="35"/>
        <v>40535</v>
      </c>
      <c r="B581" s="108">
        <v>4048</v>
      </c>
      <c r="C581" s="106">
        <v>7712</v>
      </c>
      <c r="D581" s="106">
        <v>836</v>
      </c>
      <c r="E581" s="106">
        <v>1144</v>
      </c>
      <c r="F581" s="106">
        <v>2521</v>
      </c>
      <c r="G581" s="106">
        <v>4689</v>
      </c>
      <c r="H581" s="106">
        <v>1238</v>
      </c>
      <c r="I581" s="106">
        <v>2674</v>
      </c>
      <c r="J581" s="106">
        <v>114</v>
      </c>
      <c r="K581" s="106">
        <v>677</v>
      </c>
      <c r="L581" s="106">
        <v>8758</v>
      </c>
      <c r="M581" s="106">
        <v>16896</v>
      </c>
      <c r="N581" s="106">
        <v>12059</v>
      </c>
      <c r="O581" s="106">
        <v>13954</v>
      </c>
      <c r="P581" s="108">
        <v>14623</v>
      </c>
      <c r="Q581" s="106">
        <v>20354</v>
      </c>
      <c r="R581" s="16">
        <f t="shared" si="45"/>
        <v>35440</v>
      </c>
      <c r="S581" s="167">
        <f t="shared" si="36"/>
        <v>36544</v>
      </c>
      <c r="T581" s="168">
        <f t="shared" si="37"/>
        <v>40535</v>
      </c>
    </row>
    <row r="582" spans="1:20" ht="15.6" x14ac:dyDescent="0.3">
      <c r="A582" s="137">
        <f t="shared" si="35"/>
        <v>40542</v>
      </c>
      <c r="B582" s="108">
        <v>3971</v>
      </c>
      <c r="C582" s="106">
        <v>8025</v>
      </c>
      <c r="D582" s="106">
        <v>814</v>
      </c>
      <c r="E582" s="106">
        <v>1171</v>
      </c>
      <c r="F582" s="106">
        <v>2611</v>
      </c>
      <c r="G582" s="106">
        <v>4696</v>
      </c>
      <c r="H582" s="106">
        <v>1277</v>
      </c>
      <c r="I582" s="106">
        <v>2701</v>
      </c>
      <c r="J582" s="106">
        <v>114</v>
      </c>
      <c r="K582" s="106">
        <v>672</v>
      </c>
      <c r="L582" s="106">
        <v>8786</v>
      </c>
      <c r="M582" s="106">
        <v>17265</v>
      </c>
      <c r="N582" s="106">
        <v>11814</v>
      </c>
      <c r="O582" s="106">
        <v>14510</v>
      </c>
      <c r="P582" s="108">
        <v>14129</v>
      </c>
      <c r="Q582" s="106">
        <v>21272</v>
      </c>
      <c r="R582" s="16">
        <f t="shared" si="45"/>
        <v>34729</v>
      </c>
      <c r="S582" s="167">
        <f t="shared" si="36"/>
        <v>35799.25</v>
      </c>
      <c r="T582" s="168">
        <f t="shared" si="37"/>
        <v>40542</v>
      </c>
    </row>
    <row r="583" spans="1:20" ht="15.6" x14ac:dyDescent="0.3">
      <c r="A583" s="151">
        <f t="shared" si="35"/>
        <v>40549</v>
      </c>
      <c r="B583" s="108">
        <v>3675</v>
      </c>
      <c r="C583" s="106">
        <v>8369</v>
      </c>
      <c r="D583" s="106">
        <v>810</v>
      </c>
      <c r="E583" s="106">
        <v>1234</v>
      </c>
      <c r="F583" s="106">
        <v>2537</v>
      </c>
      <c r="G583" s="106">
        <v>4815</v>
      </c>
      <c r="H583" s="106">
        <v>1197</v>
      </c>
      <c r="I583" s="106">
        <v>2788</v>
      </c>
      <c r="J583" s="106">
        <v>101</v>
      </c>
      <c r="K583" s="106">
        <v>672</v>
      </c>
      <c r="L583" s="106">
        <v>8320</v>
      </c>
      <c r="M583" s="106">
        <v>17879</v>
      </c>
      <c r="N583" s="106">
        <v>11738</v>
      </c>
      <c r="O583" s="106">
        <v>15026</v>
      </c>
      <c r="P583" s="108">
        <v>13674</v>
      </c>
      <c r="Q583" s="106">
        <v>22222</v>
      </c>
      <c r="R583" s="16">
        <f t="shared" ref="R583:R588" si="46">P583+N583+L583</f>
        <v>33732</v>
      </c>
      <c r="S583" s="167">
        <f t="shared" si="36"/>
        <v>35022.5</v>
      </c>
      <c r="T583" s="168">
        <f t="shared" si="37"/>
        <v>40549</v>
      </c>
    </row>
    <row r="584" spans="1:20" ht="15.6" x14ac:dyDescent="0.3">
      <c r="A584" s="151">
        <f t="shared" si="35"/>
        <v>40556</v>
      </c>
      <c r="B584" s="108">
        <v>3798</v>
      </c>
      <c r="C584" s="106">
        <v>8739</v>
      </c>
      <c r="D584" s="106">
        <v>807</v>
      </c>
      <c r="E584" s="106">
        <v>1286</v>
      </c>
      <c r="F584" s="106">
        <v>2629</v>
      </c>
      <c r="G584" s="106">
        <v>5029</v>
      </c>
      <c r="H584" s="106">
        <v>1321</v>
      </c>
      <c r="I584" s="106">
        <v>2845</v>
      </c>
      <c r="J584" s="106">
        <v>121</v>
      </c>
      <c r="K584" s="106">
        <v>679</v>
      </c>
      <c r="L584" s="106">
        <v>8676</v>
      </c>
      <c r="M584" s="106">
        <v>18577</v>
      </c>
      <c r="N584" s="106">
        <v>12055</v>
      </c>
      <c r="O584" s="106">
        <v>15613</v>
      </c>
      <c r="P584" s="108">
        <v>13062</v>
      </c>
      <c r="Q584" s="106">
        <v>23567</v>
      </c>
      <c r="R584" s="16">
        <f t="shared" si="46"/>
        <v>33793</v>
      </c>
      <c r="S584" s="167">
        <f t="shared" si="36"/>
        <v>34423.5</v>
      </c>
      <c r="T584" s="168">
        <f t="shared" si="37"/>
        <v>40556</v>
      </c>
    </row>
    <row r="585" spans="1:20" ht="15.6" x14ac:dyDescent="0.3">
      <c r="A585" s="151">
        <f t="shared" si="35"/>
        <v>40563</v>
      </c>
      <c r="B585" s="108">
        <v>3993</v>
      </c>
      <c r="C585" s="106">
        <v>9030</v>
      </c>
      <c r="D585" s="106">
        <v>781</v>
      </c>
      <c r="E585" s="106">
        <v>1406</v>
      </c>
      <c r="F585" s="106">
        <v>2682</v>
      </c>
      <c r="G585" s="106">
        <v>5148</v>
      </c>
      <c r="H585" s="106">
        <v>1343</v>
      </c>
      <c r="I585" s="106">
        <v>2934</v>
      </c>
      <c r="J585" s="106">
        <v>101</v>
      </c>
      <c r="K585" s="106">
        <v>701</v>
      </c>
      <c r="L585" s="106">
        <v>8900</v>
      </c>
      <c r="M585" s="106">
        <v>19219</v>
      </c>
      <c r="N585" s="106">
        <v>11700</v>
      </c>
      <c r="O585" s="106">
        <v>16383</v>
      </c>
      <c r="P585" s="108">
        <v>12565</v>
      </c>
      <c r="Q585" s="106">
        <v>24769</v>
      </c>
      <c r="R585" s="16">
        <f t="shared" si="46"/>
        <v>33165</v>
      </c>
      <c r="S585" s="167">
        <f t="shared" si="36"/>
        <v>33854.75</v>
      </c>
      <c r="T585" s="168">
        <f t="shared" si="37"/>
        <v>40563</v>
      </c>
    </row>
    <row r="586" spans="1:20" ht="15.6" x14ac:dyDescent="0.3">
      <c r="A586" s="151">
        <f t="shared" si="35"/>
        <v>40570</v>
      </c>
      <c r="B586" s="108">
        <v>3915</v>
      </c>
      <c r="C586" s="106">
        <v>9345</v>
      </c>
      <c r="D586" s="106">
        <v>844</v>
      </c>
      <c r="E586" s="106">
        <v>1454</v>
      </c>
      <c r="F586" s="106">
        <v>2667</v>
      </c>
      <c r="G586" s="106">
        <v>5273</v>
      </c>
      <c r="H586" s="106">
        <v>1301</v>
      </c>
      <c r="I586" s="106">
        <v>3033</v>
      </c>
      <c r="J586" s="106">
        <v>116</v>
      </c>
      <c r="K586" s="106">
        <v>706</v>
      </c>
      <c r="L586" s="106">
        <v>8843</v>
      </c>
      <c r="M586" s="106">
        <v>19810</v>
      </c>
      <c r="N586" s="106">
        <v>12005</v>
      </c>
      <c r="O586" s="106">
        <v>17245</v>
      </c>
      <c r="P586" s="108">
        <v>12478</v>
      </c>
      <c r="Q586" s="106">
        <v>25886</v>
      </c>
      <c r="R586" s="16">
        <f t="shared" si="46"/>
        <v>33326</v>
      </c>
      <c r="S586" s="167">
        <f t="shared" si="36"/>
        <v>33504</v>
      </c>
      <c r="T586" s="168">
        <f t="shared" si="37"/>
        <v>40570</v>
      </c>
    </row>
    <row r="587" spans="1:20" ht="15.6" x14ac:dyDescent="0.3">
      <c r="A587" s="151">
        <f t="shared" ref="A587:A650" si="47">A586+7</f>
        <v>40577</v>
      </c>
      <c r="B587" s="108">
        <v>3620</v>
      </c>
      <c r="C587" s="106">
        <v>9813</v>
      </c>
      <c r="D587" s="106">
        <v>789</v>
      </c>
      <c r="E587" s="106">
        <v>1544</v>
      </c>
      <c r="F587" s="106">
        <v>2545</v>
      </c>
      <c r="G587" s="106">
        <v>5472</v>
      </c>
      <c r="H587" s="106">
        <v>1300</v>
      </c>
      <c r="I587" s="106">
        <v>3129</v>
      </c>
      <c r="J587" s="106">
        <v>97</v>
      </c>
      <c r="K587" s="106">
        <v>735</v>
      </c>
      <c r="L587" s="106">
        <v>8352</v>
      </c>
      <c r="M587" s="106">
        <v>20693</v>
      </c>
      <c r="N587" s="106">
        <v>12443</v>
      </c>
      <c r="O587" s="106">
        <v>17914</v>
      </c>
      <c r="P587" s="108">
        <v>11265</v>
      </c>
      <c r="Q587" s="106">
        <v>27123</v>
      </c>
      <c r="R587" s="16">
        <f t="shared" si="46"/>
        <v>32060</v>
      </c>
      <c r="S587" s="167">
        <f t="shared" si="36"/>
        <v>33086</v>
      </c>
      <c r="T587" s="168">
        <f t="shared" si="37"/>
        <v>40577</v>
      </c>
    </row>
    <row r="588" spans="1:20" ht="15.6" x14ac:dyDescent="0.3">
      <c r="A588" s="151">
        <f t="shared" si="47"/>
        <v>40584</v>
      </c>
      <c r="B588" s="108">
        <v>3712</v>
      </c>
      <c r="C588" s="106">
        <v>10151</v>
      </c>
      <c r="D588" s="106">
        <v>707</v>
      </c>
      <c r="E588" s="106">
        <v>1602</v>
      </c>
      <c r="F588" s="106">
        <v>2526</v>
      </c>
      <c r="G588" s="106">
        <v>5585</v>
      </c>
      <c r="H588" s="106">
        <v>1312</v>
      </c>
      <c r="I588" s="106">
        <v>3207</v>
      </c>
      <c r="J588" s="106">
        <v>107</v>
      </c>
      <c r="K588" s="106">
        <v>735</v>
      </c>
      <c r="L588" s="106">
        <v>8365</v>
      </c>
      <c r="M588" s="106">
        <v>21279</v>
      </c>
      <c r="N588" s="106">
        <v>12798</v>
      </c>
      <c r="O588" s="106">
        <v>18590</v>
      </c>
      <c r="P588" s="108">
        <v>10756</v>
      </c>
      <c r="Q588" s="106">
        <v>28146</v>
      </c>
      <c r="R588" s="16">
        <f t="shared" si="46"/>
        <v>31919</v>
      </c>
      <c r="S588" s="167">
        <f t="shared" ref="S588:S634" si="48">AVERAGE(R585:R588)</f>
        <v>32617.5</v>
      </c>
      <c r="T588" s="168">
        <f t="shared" ref="T588:T651" si="49">T587+7</f>
        <v>40584</v>
      </c>
    </row>
    <row r="589" spans="1:20" ht="15.6" x14ac:dyDescent="0.3">
      <c r="A589" s="151">
        <f t="shared" si="47"/>
        <v>40591</v>
      </c>
      <c r="B589" s="108">
        <v>3720</v>
      </c>
      <c r="C589" s="106">
        <v>10588</v>
      </c>
      <c r="D589" s="106">
        <v>820</v>
      </c>
      <c r="E589" s="106">
        <v>1723</v>
      </c>
      <c r="F589" s="106">
        <v>2618</v>
      </c>
      <c r="G589" s="106">
        <v>5721</v>
      </c>
      <c r="H589" s="106">
        <v>1215</v>
      </c>
      <c r="I589" s="106">
        <v>3373</v>
      </c>
      <c r="J589" s="106">
        <v>129</v>
      </c>
      <c r="K589" s="106">
        <v>744</v>
      </c>
      <c r="L589" s="106">
        <v>8502</v>
      </c>
      <c r="M589" s="106">
        <v>22150</v>
      </c>
      <c r="N589" s="106">
        <v>13238</v>
      </c>
      <c r="O589" s="106">
        <v>19650</v>
      </c>
      <c r="P589" s="108">
        <v>9719</v>
      </c>
      <c r="Q589" s="106">
        <v>29318</v>
      </c>
      <c r="R589" s="16">
        <f t="shared" ref="R589:R594" si="50">P589+N589+L589</f>
        <v>31459</v>
      </c>
      <c r="S589" s="167">
        <f t="shared" si="48"/>
        <v>32191</v>
      </c>
      <c r="T589" s="168">
        <f t="shared" si="49"/>
        <v>40591</v>
      </c>
    </row>
    <row r="590" spans="1:20" ht="15.6" x14ac:dyDescent="0.3">
      <c r="A590" s="151">
        <f t="shared" si="47"/>
        <v>40598</v>
      </c>
      <c r="B590" s="108">
        <v>3830</v>
      </c>
      <c r="C590" s="106">
        <v>10845</v>
      </c>
      <c r="D590" s="106">
        <v>910</v>
      </c>
      <c r="E590" s="106">
        <v>1754</v>
      </c>
      <c r="F590" s="106">
        <v>2447</v>
      </c>
      <c r="G590" s="106">
        <v>5935</v>
      </c>
      <c r="H590" s="106">
        <v>1206</v>
      </c>
      <c r="I590" s="106">
        <v>3414</v>
      </c>
      <c r="J590" s="106">
        <v>129</v>
      </c>
      <c r="K590" s="106">
        <v>744</v>
      </c>
      <c r="L590" s="106">
        <v>8521</v>
      </c>
      <c r="M590" s="106">
        <v>22692</v>
      </c>
      <c r="N590" s="106">
        <v>13519</v>
      </c>
      <c r="O590" s="106">
        <v>20451</v>
      </c>
      <c r="P590" s="108">
        <v>8387</v>
      </c>
      <c r="Q590" s="106">
        <v>31012</v>
      </c>
      <c r="R590" s="16">
        <f t="shared" si="50"/>
        <v>30427</v>
      </c>
      <c r="S590" s="167">
        <f t="shared" si="48"/>
        <v>31466.25</v>
      </c>
      <c r="T590" s="168">
        <f t="shared" si="49"/>
        <v>40598</v>
      </c>
    </row>
    <row r="591" spans="1:20" ht="15.6" x14ac:dyDescent="0.3">
      <c r="A591" s="151">
        <f t="shared" si="47"/>
        <v>40605</v>
      </c>
      <c r="B591" s="108">
        <v>3780</v>
      </c>
      <c r="C591" s="106">
        <v>11209</v>
      </c>
      <c r="D591" s="106">
        <v>903</v>
      </c>
      <c r="E591" s="106">
        <v>1805</v>
      </c>
      <c r="F591" s="106">
        <v>2434</v>
      </c>
      <c r="G591" s="106">
        <v>6036</v>
      </c>
      <c r="H591" s="108">
        <v>1265</v>
      </c>
      <c r="I591" s="106">
        <v>3483</v>
      </c>
      <c r="J591" s="106">
        <v>126</v>
      </c>
      <c r="K591" s="106">
        <v>748</v>
      </c>
      <c r="L591" s="106">
        <v>8508</v>
      </c>
      <c r="M591" s="106">
        <v>23281</v>
      </c>
      <c r="N591" s="106">
        <v>12791</v>
      </c>
      <c r="O591" s="106">
        <v>21655</v>
      </c>
      <c r="P591" s="108">
        <v>8066</v>
      </c>
      <c r="Q591" s="106">
        <v>31744</v>
      </c>
      <c r="R591" s="16">
        <f t="shared" si="50"/>
        <v>29365</v>
      </c>
      <c r="S591" s="167">
        <f t="shared" si="48"/>
        <v>30792.5</v>
      </c>
      <c r="T591" s="168">
        <f t="shared" si="49"/>
        <v>40605</v>
      </c>
    </row>
    <row r="592" spans="1:20" ht="15.6" x14ac:dyDescent="0.3">
      <c r="A592" s="151">
        <f t="shared" si="47"/>
        <v>40612</v>
      </c>
      <c r="B592" s="108">
        <v>3811</v>
      </c>
      <c r="C592" s="106">
        <v>11679</v>
      </c>
      <c r="D592" s="106">
        <v>906</v>
      </c>
      <c r="E592" s="106">
        <v>1819</v>
      </c>
      <c r="F592" s="106">
        <v>2378</v>
      </c>
      <c r="G592" s="106">
        <v>6171</v>
      </c>
      <c r="H592" s="108">
        <v>1248</v>
      </c>
      <c r="I592" s="106">
        <v>3553</v>
      </c>
      <c r="J592" s="106">
        <v>139</v>
      </c>
      <c r="K592" s="106">
        <v>750</v>
      </c>
      <c r="L592" s="106">
        <v>8481</v>
      </c>
      <c r="M592" s="106">
        <v>23971</v>
      </c>
      <c r="N592" s="106">
        <v>12947</v>
      </c>
      <c r="O592" s="106">
        <v>22536</v>
      </c>
      <c r="P592" s="108">
        <v>7374</v>
      </c>
      <c r="Q592" s="106">
        <v>32583</v>
      </c>
      <c r="R592" s="16">
        <f t="shared" si="50"/>
        <v>28802</v>
      </c>
      <c r="S592" s="167">
        <f t="shared" si="48"/>
        <v>30013.25</v>
      </c>
      <c r="T592" s="168">
        <f t="shared" si="49"/>
        <v>40612</v>
      </c>
    </row>
    <row r="593" spans="1:20" ht="15.6" x14ac:dyDescent="0.3">
      <c r="A593" s="151">
        <f t="shared" si="47"/>
        <v>40619</v>
      </c>
      <c r="B593" s="108">
        <v>3795</v>
      </c>
      <c r="C593" s="106">
        <v>12003</v>
      </c>
      <c r="D593" s="106">
        <v>863</v>
      </c>
      <c r="E593" s="106">
        <v>1903</v>
      </c>
      <c r="F593" s="106">
        <v>2359</v>
      </c>
      <c r="G593" s="106">
        <v>6343</v>
      </c>
      <c r="H593" s="108">
        <v>1372</v>
      </c>
      <c r="I593" s="106">
        <v>3577</v>
      </c>
      <c r="J593" s="106">
        <v>131</v>
      </c>
      <c r="K593" s="106">
        <v>767</v>
      </c>
      <c r="L593" s="106">
        <v>8520</v>
      </c>
      <c r="M593" s="106">
        <v>24592</v>
      </c>
      <c r="N593" s="106">
        <v>12962</v>
      </c>
      <c r="O593" s="106">
        <v>23416</v>
      </c>
      <c r="P593" s="108">
        <v>6823</v>
      </c>
      <c r="Q593" s="106">
        <v>33399</v>
      </c>
      <c r="R593" s="16">
        <f t="shared" si="50"/>
        <v>28305</v>
      </c>
      <c r="S593" s="167">
        <f t="shared" si="48"/>
        <v>29224.75</v>
      </c>
      <c r="T593" s="168">
        <f t="shared" si="49"/>
        <v>40619</v>
      </c>
    </row>
    <row r="594" spans="1:20" ht="15.6" x14ac:dyDescent="0.3">
      <c r="A594" s="151">
        <f t="shared" si="47"/>
        <v>40626</v>
      </c>
      <c r="B594" s="108">
        <v>3558</v>
      </c>
      <c r="C594" s="106">
        <v>12372</v>
      </c>
      <c r="D594" s="106">
        <v>833</v>
      </c>
      <c r="E594" s="106">
        <v>1948</v>
      </c>
      <c r="F594" s="106">
        <v>2116</v>
      </c>
      <c r="G594" s="106">
        <v>6668</v>
      </c>
      <c r="H594" s="108">
        <v>1256</v>
      </c>
      <c r="I594" s="106">
        <v>3726</v>
      </c>
      <c r="J594" s="106">
        <v>140</v>
      </c>
      <c r="K594" s="106">
        <v>768</v>
      </c>
      <c r="L594" s="106">
        <v>7903</v>
      </c>
      <c r="M594" s="106">
        <v>25480</v>
      </c>
      <c r="N594" s="106">
        <v>13857</v>
      </c>
      <c r="O594" s="106">
        <v>24436</v>
      </c>
      <c r="P594" s="108">
        <v>6139</v>
      </c>
      <c r="Q594" s="106">
        <v>34227</v>
      </c>
      <c r="R594" s="16">
        <f t="shared" si="50"/>
        <v>27899</v>
      </c>
      <c r="S594" s="167">
        <f t="shared" si="48"/>
        <v>28592.75</v>
      </c>
      <c r="T594" s="168">
        <f t="shared" si="49"/>
        <v>40626</v>
      </c>
    </row>
    <row r="595" spans="1:20" ht="15.6" x14ac:dyDescent="0.3">
      <c r="A595" s="151">
        <f t="shared" si="47"/>
        <v>40633</v>
      </c>
      <c r="B595" s="108">
        <v>3386</v>
      </c>
      <c r="C595" s="106">
        <v>12842</v>
      </c>
      <c r="D595" s="106">
        <v>741</v>
      </c>
      <c r="E595" s="106">
        <v>2030</v>
      </c>
      <c r="F595" s="106">
        <v>2089</v>
      </c>
      <c r="G595" s="106">
        <v>6825</v>
      </c>
      <c r="H595" s="108">
        <v>1284</v>
      </c>
      <c r="I595" s="106">
        <v>3739</v>
      </c>
      <c r="J595" s="106">
        <v>140</v>
      </c>
      <c r="K595" s="106">
        <v>767</v>
      </c>
      <c r="L595" s="106">
        <v>7639</v>
      </c>
      <c r="M595" s="106">
        <v>26202</v>
      </c>
      <c r="N595" s="106">
        <v>13461</v>
      </c>
      <c r="O595" s="106">
        <v>25451</v>
      </c>
      <c r="P595" s="108">
        <v>5567</v>
      </c>
      <c r="Q595" s="106">
        <v>34876</v>
      </c>
      <c r="R595" s="16">
        <f t="shared" ref="R595:R601" si="51">P595+N595+L595</f>
        <v>26667</v>
      </c>
      <c r="S595" s="167">
        <f t="shared" si="48"/>
        <v>27918.25</v>
      </c>
      <c r="T595" s="168">
        <f t="shared" si="49"/>
        <v>40633</v>
      </c>
    </row>
    <row r="596" spans="1:20" ht="15.6" x14ac:dyDescent="0.3">
      <c r="A596" s="151">
        <f t="shared" si="47"/>
        <v>40640</v>
      </c>
      <c r="B596" s="108">
        <v>3152</v>
      </c>
      <c r="C596" s="106">
        <v>13167</v>
      </c>
      <c r="D596" s="106">
        <v>704</v>
      </c>
      <c r="E596" s="106">
        <v>2097</v>
      </c>
      <c r="F596" s="106">
        <v>2103</v>
      </c>
      <c r="G596" s="106">
        <v>7011</v>
      </c>
      <c r="H596" s="108">
        <v>1275</v>
      </c>
      <c r="I596" s="106">
        <v>3844</v>
      </c>
      <c r="J596" s="106">
        <v>125</v>
      </c>
      <c r="K596" s="106">
        <v>809</v>
      </c>
      <c r="L596" s="106">
        <v>7358</v>
      </c>
      <c r="M596" s="106">
        <v>26927</v>
      </c>
      <c r="N596" s="106">
        <v>13211</v>
      </c>
      <c r="O596" s="106">
        <v>26549</v>
      </c>
      <c r="P596" s="108">
        <v>5142</v>
      </c>
      <c r="Q596" s="106">
        <v>35431</v>
      </c>
      <c r="R596" s="16">
        <f t="shared" si="51"/>
        <v>25711</v>
      </c>
      <c r="S596" s="167">
        <f t="shared" si="48"/>
        <v>27145.5</v>
      </c>
      <c r="T596" s="168">
        <f t="shared" si="49"/>
        <v>40640</v>
      </c>
    </row>
    <row r="597" spans="1:20" ht="15.6" x14ac:dyDescent="0.3">
      <c r="A597" s="151">
        <f t="shared" si="47"/>
        <v>40647</v>
      </c>
      <c r="B597" s="108">
        <v>2966</v>
      </c>
      <c r="C597" s="106">
        <v>13516</v>
      </c>
      <c r="D597" s="106">
        <v>541</v>
      </c>
      <c r="E597" s="106">
        <v>2284</v>
      </c>
      <c r="F597" s="106">
        <v>1822</v>
      </c>
      <c r="G597" s="106">
        <v>7176</v>
      </c>
      <c r="H597" s="108">
        <v>1233</v>
      </c>
      <c r="I597" s="106">
        <v>3933</v>
      </c>
      <c r="J597" s="106">
        <v>69</v>
      </c>
      <c r="K597" s="106">
        <v>879</v>
      </c>
      <c r="L597" s="106">
        <v>6631</v>
      </c>
      <c r="M597" s="106">
        <v>27789</v>
      </c>
      <c r="N597" s="106">
        <v>12889</v>
      </c>
      <c r="O597" s="106">
        <v>27485</v>
      </c>
      <c r="P597" s="108">
        <v>5048</v>
      </c>
      <c r="Q597" s="106">
        <v>35874</v>
      </c>
      <c r="R597" s="16">
        <f t="shared" si="51"/>
        <v>24568</v>
      </c>
      <c r="S597" s="167">
        <f t="shared" si="48"/>
        <v>26211.25</v>
      </c>
      <c r="T597" s="168">
        <f t="shared" si="49"/>
        <v>40647</v>
      </c>
    </row>
    <row r="598" spans="1:20" ht="15.6" x14ac:dyDescent="0.3">
      <c r="A598" s="151">
        <f t="shared" si="47"/>
        <v>40654</v>
      </c>
      <c r="B598" s="108">
        <v>2852</v>
      </c>
      <c r="C598" s="106">
        <v>13773</v>
      </c>
      <c r="D598" s="106">
        <v>529</v>
      </c>
      <c r="E598" s="106">
        <v>2329</v>
      </c>
      <c r="F598" s="106">
        <v>1535</v>
      </c>
      <c r="G598" s="106">
        <v>7497</v>
      </c>
      <c r="H598" s="108">
        <v>1106</v>
      </c>
      <c r="I598" s="106">
        <v>4117</v>
      </c>
      <c r="J598" s="106">
        <v>49</v>
      </c>
      <c r="K598" s="106">
        <v>900</v>
      </c>
      <c r="L598" s="106">
        <v>6070</v>
      </c>
      <c r="M598" s="106">
        <v>28615</v>
      </c>
      <c r="N598" s="106">
        <v>12330</v>
      </c>
      <c r="O598" s="106">
        <v>28393</v>
      </c>
      <c r="P598" s="108">
        <v>4921</v>
      </c>
      <c r="Q598" s="106">
        <v>36144</v>
      </c>
      <c r="R598" s="16">
        <f t="shared" si="51"/>
        <v>23321</v>
      </c>
      <c r="S598" s="167">
        <f t="shared" si="48"/>
        <v>25066.75</v>
      </c>
      <c r="T598" s="168">
        <f t="shared" si="49"/>
        <v>40654</v>
      </c>
    </row>
    <row r="599" spans="1:20" ht="15.6" x14ac:dyDescent="0.3">
      <c r="A599" s="151">
        <f t="shared" si="47"/>
        <v>40661</v>
      </c>
      <c r="B599" s="108">
        <v>2567</v>
      </c>
      <c r="C599" s="106">
        <v>14158</v>
      </c>
      <c r="D599" s="106">
        <v>461</v>
      </c>
      <c r="E599" s="106">
        <v>2403</v>
      </c>
      <c r="F599" s="106">
        <v>1402</v>
      </c>
      <c r="G599" s="106">
        <v>7768</v>
      </c>
      <c r="H599" s="108">
        <v>988</v>
      </c>
      <c r="I599" s="106">
        <v>4246</v>
      </c>
      <c r="J599" s="106">
        <v>60</v>
      </c>
      <c r="K599" s="106">
        <v>908</v>
      </c>
      <c r="L599" s="106">
        <v>5477</v>
      </c>
      <c r="M599" s="106">
        <v>29482</v>
      </c>
      <c r="N599" s="106">
        <v>11816</v>
      </c>
      <c r="O599" s="106">
        <v>29191</v>
      </c>
      <c r="P599" s="108">
        <v>4742</v>
      </c>
      <c r="Q599" s="106">
        <v>36344</v>
      </c>
      <c r="R599" s="16">
        <f t="shared" si="51"/>
        <v>22035</v>
      </c>
      <c r="S599" s="167">
        <f t="shared" si="48"/>
        <v>23908.75</v>
      </c>
      <c r="T599" s="168">
        <f t="shared" si="49"/>
        <v>40661</v>
      </c>
    </row>
    <row r="600" spans="1:20" ht="15.6" x14ac:dyDescent="0.3">
      <c r="A600" s="151">
        <f t="shared" si="47"/>
        <v>40668</v>
      </c>
      <c r="B600" s="108">
        <v>2234</v>
      </c>
      <c r="C600" s="106">
        <v>14653</v>
      </c>
      <c r="D600" s="106">
        <v>378</v>
      </c>
      <c r="E600" s="106">
        <v>2555</v>
      </c>
      <c r="F600" s="106">
        <v>1263</v>
      </c>
      <c r="G600" s="106">
        <v>7932</v>
      </c>
      <c r="H600" s="108">
        <v>854</v>
      </c>
      <c r="I600" s="106">
        <v>4443</v>
      </c>
      <c r="J600" s="106">
        <v>43</v>
      </c>
      <c r="K600" s="106">
        <v>925</v>
      </c>
      <c r="L600" s="106">
        <v>4771</v>
      </c>
      <c r="M600" s="106">
        <v>30509</v>
      </c>
      <c r="N600" s="106">
        <v>11389</v>
      </c>
      <c r="O600" s="106">
        <v>30051</v>
      </c>
      <c r="P600" s="108">
        <v>4621</v>
      </c>
      <c r="Q600" s="106">
        <v>36525</v>
      </c>
      <c r="R600" s="16">
        <f t="shared" si="51"/>
        <v>20781</v>
      </c>
      <c r="S600" s="167">
        <f t="shared" si="48"/>
        <v>22676.25</v>
      </c>
      <c r="T600" s="168">
        <f t="shared" si="49"/>
        <v>40668</v>
      </c>
    </row>
    <row r="601" spans="1:20" ht="15.6" x14ac:dyDescent="0.3">
      <c r="A601" s="151">
        <f t="shared" si="47"/>
        <v>40675</v>
      </c>
      <c r="B601" s="108">
        <v>1982</v>
      </c>
      <c r="C601" s="106">
        <v>14979</v>
      </c>
      <c r="D601" s="106">
        <v>235</v>
      </c>
      <c r="E601" s="106">
        <v>2692</v>
      </c>
      <c r="F601" s="106">
        <v>1057</v>
      </c>
      <c r="G601" s="106">
        <v>8177</v>
      </c>
      <c r="H601" s="108">
        <v>786</v>
      </c>
      <c r="I601" s="106">
        <v>4529</v>
      </c>
      <c r="J601" s="106">
        <v>43</v>
      </c>
      <c r="K601" s="106">
        <v>925</v>
      </c>
      <c r="L601" s="106">
        <v>4103</v>
      </c>
      <c r="M601" s="106">
        <v>31303</v>
      </c>
      <c r="N601" s="106">
        <v>11271</v>
      </c>
      <c r="O601" s="106">
        <v>31013</v>
      </c>
      <c r="P601" s="108">
        <v>4671</v>
      </c>
      <c r="Q601" s="106">
        <v>36641</v>
      </c>
      <c r="R601" s="16">
        <f t="shared" si="51"/>
        <v>20045</v>
      </c>
      <c r="S601" s="167">
        <f t="shared" si="48"/>
        <v>21545.5</v>
      </c>
      <c r="T601" s="168">
        <f t="shared" si="49"/>
        <v>40675</v>
      </c>
    </row>
    <row r="602" spans="1:20" ht="15.6" x14ac:dyDescent="0.3">
      <c r="A602" s="151">
        <f t="shared" si="47"/>
        <v>40682</v>
      </c>
      <c r="B602" s="108">
        <v>1593</v>
      </c>
      <c r="C602" s="106">
        <v>15301</v>
      </c>
      <c r="D602" s="106">
        <v>175</v>
      </c>
      <c r="E602" s="106">
        <v>2747</v>
      </c>
      <c r="F602" s="106">
        <v>882</v>
      </c>
      <c r="G602" s="106">
        <v>8378</v>
      </c>
      <c r="H602" s="108">
        <v>615</v>
      </c>
      <c r="I602" s="106">
        <v>4709</v>
      </c>
      <c r="J602" s="106">
        <v>23</v>
      </c>
      <c r="K602" s="106">
        <v>956</v>
      </c>
      <c r="L602" s="106">
        <v>3288</v>
      </c>
      <c r="M602" s="106">
        <v>32089</v>
      </c>
      <c r="N602" s="106">
        <v>11044</v>
      </c>
      <c r="O602" s="106">
        <v>31967</v>
      </c>
      <c r="P602" s="108">
        <v>4422</v>
      </c>
      <c r="Q602" s="106">
        <v>37053</v>
      </c>
      <c r="R602" s="16">
        <f t="shared" ref="R602:R607" si="52">P602+N602+L602</f>
        <v>18754</v>
      </c>
      <c r="S602" s="167">
        <f t="shared" si="48"/>
        <v>20403.75</v>
      </c>
      <c r="T602" s="168">
        <f t="shared" si="49"/>
        <v>40682</v>
      </c>
    </row>
    <row r="603" spans="1:20" ht="15.6" x14ac:dyDescent="0.3">
      <c r="A603" s="151">
        <f t="shared" si="47"/>
        <v>40689</v>
      </c>
      <c r="B603" s="108">
        <v>1024</v>
      </c>
      <c r="C603" s="106">
        <v>15837</v>
      </c>
      <c r="D603" s="106">
        <v>109</v>
      </c>
      <c r="E603" s="106">
        <v>2828</v>
      </c>
      <c r="F603" s="108">
        <v>623</v>
      </c>
      <c r="G603" s="108">
        <v>8623</v>
      </c>
      <c r="H603" s="108">
        <v>551</v>
      </c>
      <c r="I603" s="108">
        <v>4717</v>
      </c>
      <c r="J603" s="108">
        <v>11</v>
      </c>
      <c r="K603" s="108">
        <v>979</v>
      </c>
      <c r="L603" s="108">
        <v>2320</v>
      </c>
      <c r="M603" s="108">
        <v>32984</v>
      </c>
      <c r="N603" s="108">
        <v>10615</v>
      </c>
      <c r="O603" s="108">
        <v>32867</v>
      </c>
      <c r="P603" s="108">
        <v>4240</v>
      </c>
      <c r="Q603" s="108">
        <v>37318</v>
      </c>
      <c r="R603" s="16">
        <f t="shared" si="52"/>
        <v>17175</v>
      </c>
      <c r="S603" s="167">
        <f t="shared" si="48"/>
        <v>19188.75</v>
      </c>
      <c r="T603" s="168">
        <f t="shared" si="49"/>
        <v>40689</v>
      </c>
    </row>
    <row r="604" spans="1:20" ht="15.6" x14ac:dyDescent="0.3">
      <c r="A604" s="151">
        <f t="shared" si="47"/>
        <v>40696</v>
      </c>
      <c r="B604" s="108">
        <v>1462</v>
      </c>
      <c r="C604" s="106">
        <v>71</v>
      </c>
      <c r="D604" s="106">
        <v>470</v>
      </c>
      <c r="E604" s="106">
        <v>43</v>
      </c>
      <c r="F604" s="108">
        <v>966</v>
      </c>
      <c r="G604" s="108">
        <v>14</v>
      </c>
      <c r="H604" s="108">
        <v>898</v>
      </c>
      <c r="I604" s="108">
        <v>12</v>
      </c>
      <c r="J604" s="108">
        <v>231</v>
      </c>
      <c r="K604" s="108">
        <v>6</v>
      </c>
      <c r="L604" s="108">
        <v>146</v>
      </c>
      <c r="M604" s="108">
        <v>146</v>
      </c>
      <c r="N604" s="108">
        <v>10369</v>
      </c>
      <c r="O604" s="108">
        <v>35474</v>
      </c>
      <c r="P604" s="108">
        <v>2419</v>
      </c>
      <c r="Q604" s="108">
        <v>36432</v>
      </c>
      <c r="R604" s="16">
        <f t="shared" si="52"/>
        <v>12934</v>
      </c>
      <c r="S604" s="167">
        <f t="shared" si="48"/>
        <v>17227</v>
      </c>
      <c r="T604" s="168">
        <f t="shared" si="49"/>
        <v>40696</v>
      </c>
    </row>
    <row r="605" spans="1:20" ht="15.6" x14ac:dyDescent="0.3">
      <c r="A605" s="151">
        <f t="shared" si="47"/>
        <v>40703</v>
      </c>
      <c r="B605" s="108">
        <v>2155</v>
      </c>
      <c r="C605" s="106">
        <v>360</v>
      </c>
      <c r="D605" s="106">
        <v>722</v>
      </c>
      <c r="E605" s="106">
        <v>74</v>
      </c>
      <c r="F605" s="108">
        <v>2075</v>
      </c>
      <c r="G605" s="108">
        <v>158</v>
      </c>
      <c r="H605" s="108">
        <v>1207</v>
      </c>
      <c r="I605" s="108">
        <v>178</v>
      </c>
      <c r="J605" s="108">
        <v>143</v>
      </c>
      <c r="K605" s="108">
        <v>23</v>
      </c>
      <c r="L605" s="108">
        <v>6301</v>
      </c>
      <c r="M605" s="108">
        <v>793</v>
      </c>
      <c r="N605" s="108">
        <v>9407</v>
      </c>
      <c r="O605" s="108">
        <v>34692</v>
      </c>
      <c r="P605" s="108">
        <v>4223</v>
      </c>
      <c r="Q605" s="108">
        <v>37634</v>
      </c>
      <c r="R605" s="16">
        <f t="shared" si="52"/>
        <v>19931</v>
      </c>
      <c r="S605" s="167">
        <f t="shared" si="48"/>
        <v>17198.5</v>
      </c>
      <c r="T605" s="168">
        <f t="shared" si="49"/>
        <v>40703</v>
      </c>
    </row>
    <row r="606" spans="1:20" ht="15.6" x14ac:dyDescent="0.3">
      <c r="A606" s="151">
        <f t="shared" si="47"/>
        <v>40710</v>
      </c>
      <c r="B606" s="108">
        <v>2154</v>
      </c>
      <c r="C606" s="106">
        <v>648</v>
      </c>
      <c r="D606" s="106">
        <v>821</v>
      </c>
      <c r="E606" s="106">
        <v>119</v>
      </c>
      <c r="F606" s="108">
        <v>2006</v>
      </c>
      <c r="G606" s="108">
        <v>353</v>
      </c>
      <c r="H606" s="108">
        <v>1203</v>
      </c>
      <c r="I606" s="108">
        <v>286</v>
      </c>
      <c r="J606" s="108">
        <v>118</v>
      </c>
      <c r="K606" s="108">
        <v>48</v>
      </c>
      <c r="L606" s="108">
        <v>6301</v>
      </c>
      <c r="M606" s="108">
        <v>1455</v>
      </c>
      <c r="N606" s="108">
        <v>8650</v>
      </c>
      <c r="O606" s="108">
        <v>35859</v>
      </c>
      <c r="P606" s="108">
        <v>4007</v>
      </c>
      <c r="Q606" s="108">
        <v>37818</v>
      </c>
      <c r="R606" s="16">
        <f t="shared" si="52"/>
        <v>18958</v>
      </c>
      <c r="S606" s="167">
        <f t="shared" si="48"/>
        <v>17249.5</v>
      </c>
      <c r="T606" s="168">
        <f t="shared" si="49"/>
        <v>40710</v>
      </c>
    </row>
    <row r="607" spans="1:20" ht="15.6" x14ac:dyDescent="0.3">
      <c r="A607" s="151">
        <f t="shared" si="47"/>
        <v>40717</v>
      </c>
      <c r="B607" s="108">
        <v>2180</v>
      </c>
      <c r="C607" s="106">
        <v>921</v>
      </c>
      <c r="D607" s="106">
        <v>891</v>
      </c>
      <c r="E607" s="106">
        <v>187</v>
      </c>
      <c r="F607" s="108">
        <v>1958</v>
      </c>
      <c r="G607" s="108">
        <v>440</v>
      </c>
      <c r="H607" s="108">
        <v>1231</v>
      </c>
      <c r="I607" s="108">
        <v>339</v>
      </c>
      <c r="J607" s="108">
        <v>103</v>
      </c>
      <c r="K607" s="108">
        <v>51</v>
      </c>
      <c r="L607" s="108">
        <v>6363</v>
      </c>
      <c r="M607" s="108">
        <v>1937</v>
      </c>
      <c r="N607" s="108">
        <v>8686</v>
      </c>
      <c r="O607" s="108">
        <v>36515</v>
      </c>
      <c r="P607" s="108">
        <v>3517</v>
      </c>
      <c r="Q607" s="108">
        <v>37973</v>
      </c>
      <c r="R607" s="16">
        <f t="shared" si="52"/>
        <v>18566</v>
      </c>
      <c r="S607" s="167">
        <f t="shared" si="48"/>
        <v>17597.25</v>
      </c>
      <c r="T607" s="168">
        <f t="shared" si="49"/>
        <v>40717</v>
      </c>
    </row>
    <row r="608" spans="1:20" ht="15.6" x14ac:dyDescent="0.3">
      <c r="A608" s="151">
        <f t="shared" si="47"/>
        <v>40724</v>
      </c>
      <c r="B608" s="108">
        <v>1908</v>
      </c>
      <c r="C608" s="106">
        <v>1284</v>
      </c>
      <c r="D608" s="108">
        <v>1004</v>
      </c>
      <c r="E608" s="108">
        <v>229</v>
      </c>
      <c r="F608" s="108">
        <v>1911</v>
      </c>
      <c r="G608" s="108">
        <v>581</v>
      </c>
      <c r="H608" s="108">
        <v>1163</v>
      </c>
      <c r="I608" s="108">
        <v>486</v>
      </c>
      <c r="J608" s="108">
        <v>74</v>
      </c>
      <c r="K608" s="108">
        <v>85</v>
      </c>
      <c r="L608" s="108">
        <v>6060</v>
      </c>
      <c r="M608" s="108">
        <v>2664</v>
      </c>
      <c r="N608" s="108">
        <v>8267</v>
      </c>
      <c r="O608" s="108">
        <v>37555</v>
      </c>
      <c r="P608" s="108">
        <v>3671</v>
      </c>
      <c r="Q608" s="108">
        <v>38124</v>
      </c>
      <c r="R608" s="16">
        <f t="shared" ref="R608:R613" si="53">P608+N608+L608</f>
        <v>17998</v>
      </c>
      <c r="S608" s="167">
        <f t="shared" si="48"/>
        <v>18863.25</v>
      </c>
      <c r="T608" s="168">
        <f t="shared" si="49"/>
        <v>40724</v>
      </c>
    </row>
    <row r="609" spans="1:20" ht="15.6" x14ac:dyDescent="0.3">
      <c r="A609" s="151">
        <f t="shared" si="47"/>
        <v>40731</v>
      </c>
      <c r="B609" s="108">
        <v>1993</v>
      </c>
      <c r="C609" s="106">
        <v>1462</v>
      </c>
      <c r="D609" s="108">
        <v>997</v>
      </c>
      <c r="E609" s="108">
        <v>325</v>
      </c>
      <c r="F609" s="108">
        <v>1806</v>
      </c>
      <c r="G609" s="108">
        <v>772</v>
      </c>
      <c r="H609" s="108">
        <v>1133</v>
      </c>
      <c r="I609" s="108">
        <v>592</v>
      </c>
      <c r="J609" s="108">
        <v>74</v>
      </c>
      <c r="K609" s="108">
        <v>90</v>
      </c>
      <c r="L609" s="108">
        <v>6003</v>
      </c>
      <c r="M609" s="108">
        <v>3241</v>
      </c>
      <c r="N609" s="108">
        <v>7888</v>
      </c>
      <c r="O609" s="108">
        <v>38416</v>
      </c>
      <c r="P609" s="108">
        <v>3435</v>
      </c>
      <c r="Q609" s="108">
        <v>38364</v>
      </c>
      <c r="R609" s="16">
        <f t="shared" si="53"/>
        <v>17326</v>
      </c>
      <c r="S609" s="167">
        <f t="shared" si="48"/>
        <v>18212</v>
      </c>
      <c r="T609" s="168">
        <f t="shared" si="49"/>
        <v>40731</v>
      </c>
    </row>
    <row r="610" spans="1:20" ht="15.6" x14ac:dyDescent="0.3">
      <c r="A610" s="151">
        <f t="shared" si="47"/>
        <v>40738</v>
      </c>
      <c r="B610" s="108">
        <v>1803</v>
      </c>
      <c r="C610" s="106">
        <v>1751</v>
      </c>
      <c r="D610" s="108">
        <v>1037</v>
      </c>
      <c r="E610" s="108">
        <v>362</v>
      </c>
      <c r="F610" s="108">
        <v>1798</v>
      </c>
      <c r="G610" s="108">
        <v>879</v>
      </c>
      <c r="H610" s="108">
        <v>1140</v>
      </c>
      <c r="I610" s="108">
        <v>632</v>
      </c>
      <c r="J610" s="108">
        <v>86</v>
      </c>
      <c r="K610" s="108">
        <v>101</v>
      </c>
      <c r="L610" s="108">
        <v>5863</v>
      </c>
      <c r="M610" s="108">
        <v>3725</v>
      </c>
      <c r="N610" s="108">
        <v>7391</v>
      </c>
      <c r="O610" s="108">
        <v>39342</v>
      </c>
      <c r="P610" s="108">
        <v>3556</v>
      </c>
      <c r="Q610" s="108">
        <v>38500</v>
      </c>
      <c r="R610" s="16">
        <f t="shared" si="53"/>
        <v>16810</v>
      </c>
      <c r="S610" s="167">
        <f t="shared" si="48"/>
        <v>17675</v>
      </c>
      <c r="T610" s="168">
        <f t="shared" si="49"/>
        <v>40738</v>
      </c>
    </row>
    <row r="611" spans="1:20" ht="15.6" x14ac:dyDescent="0.3">
      <c r="A611" s="151">
        <f t="shared" si="47"/>
        <v>40745</v>
      </c>
      <c r="B611" s="108">
        <v>1787</v>
      </c>
      <c r="C611" s="106">
        <v>1946</v>
      </c>
      <c r="D611" s="108">
        <v>897</v>
      </c>
      <c r="E611" s="108">
        <v>521</v>
      </c>
      <c r="F611" s="108">
        <v>1781</v>
      </c>
      <c r="G611" s="108">
        <v>1039</v>
      </c>
      <c r="H611" s="108">
        <v>1157</v>
      </c>
      <c r="I611" s="108">
        <v>672</v>
      </c>
      <c r="J611" s="108">
        <v>151</v>
      </c>
      <c r="K611" s="108">
        <v>111</v>
      </c>
      <c r="L611" s="108">
        <v>5773</v>
      </c>
      <c r="M611" s="108">
        <v>4289</v>
      </c>
      <c r="N611" s="108">
        <v>6717</v>
      </c>
      <c r="O611" s="108">
        <v>40348</v>
      </c>
      <c r="P611" s="108">
        <v>3371</v>
      </c>
      <c r="Q611" s="108">
        <v>38695</v>
      </c>
      <c r="R611" s="16">
        <f t="shared" si="53"/>
        <v>15861</v>
      </c>
      <c r="S611" s="167">
        <f t="shared" si="48"/>
        <v>16998.75</v>
      </c>
      <c r="T611" s="168">
        <f t="shared" si="49"/>
        <v>40745</v>
      </c>
    </row>
    <row r="612" spans="1:20" ht="15.6" x14ac:dyDescent="0.3">
      <c r="A612" s="151">
        <f t="shared" si="47"/>
        <v>40752</v>
      </c>
      <c r="B612" s="108">
        <v>1819</v>
      </c>
      <c r="C612" s="106">
        <v>2159</v>
      </c>
      <c r="D612" s="108">
        <v>979</v>
      </c>
      <c r="E612" s="108">
        <v>548</v>
      </c>
      <c r="F612" s="108">
        <v>1709</v>
      </c>
      <c r="G612" s="108">
        <v>1204</v>
      </c>
      <c r="H612" s="108">
        <v>1140</v>
      </c>
      <c r="I612" s="108">
        <v>737</v>
      </c>
      <c r="J612" s="108">
        <v>153</v>
      </c>
      <c r="K612" s="108">
        <v>113</v>
      </c>
      <c r="L612" s="108">
        <v>5800</v>
      </c>
      <c r="M612" s="108">
        <v>4761</v>
      </c>
      <c r="N612" s="108">
        <v>6236</v>
      </c>
      <c r="O612" s="108">
        <v>41126</v>
      </c>
      <c r="P612" s="108">
        <v>2761</v>
      </c>
      <c r="Q612" s="108">
        <v>38900</v>
      </c>
      <c r="R612" s="16">
        <f t="shared" si="53"/>
        <v>14797</v>
      </c>
      <c r="S612" s="167">
        <f t="shared" si="48"/>
        <v>16198.5</v>
      </c>
      <c r="T612" s="168">
        <f t="shared" si="49"/>
        <v>40752</v>
      </c>
    </row>
    <row r="613" spans="1:20" ht="15.6" x14ac:dyDescent="0.3">
      <c r="A613" s="151">
        <f t="shared" si="47"/>
        <v>40759</v>
      </c>
      <c r="B613" s="108">
        <v>1672</v>
      </c>
      <c r="C613" s="106">
        <v>2440</v>
      </c>
      <c r="D613" s="108">
        <v>905</v>
      </c>
      <c r="E613" s="108">
        <v>707</v>
      </c>
      <c r="F613" s="108">
        <v>1729</v>
      </c>
      <c r="G613" s="108">
        <v>1294</v>
      </c>
      <c r="H613" s="108">
        <v>1062</v>
      </c>
      <c r="I613" s="108">
        <v>839</v>
      </c>
      <c r="J613" s="108">
        <v>176</v>
      </c>
      <c r="K613" s="108">
        <v>113</v>
      </c>
      <c r="L613" s="108">
        <v>5544</v>
      </c>
      <c r="M613" s="108">
        <v>5393</v>
      </c>
      <c r="N613" s="108">
        <v>5728</v>
      </c>
      <c r="O613" s="108">
        <v>42075</v>
      </c>
      <c r="P613" s="108">
        <v>2855</v>
      </c>
      <c r="Q613" s="108">
        <v>39045</v>
      </c>
      <c r="R613" s="16">
        <f t="shared" si="53"/>
        <v>14127</v>
      </c>
      <c r="S613" s="167">
        <f t="shared" si="48"/>
        <v>15398.75</v>
      </c>
      <c r="T613" s="168">
        <f t="shared" si="49"/>
        <v>40759</v>
      </c>
    </row>
    <row r="614" spans="1:20" ht="15.6" x14ac:dyDescent="0.3">
      <c r="A614" s="151">
        <f t="shared" si="47"/>
        <v>40766</v>
      </c>
      <c r="B614" s="108">
        <v>1742</v>
      </c>
      <c r="C614" s="106">
        <v>2650</v>
      </c>
      <c r="D614" s="108">
        <v>891</v>
      </c>
      <c r="E614" s="108">
        <v>770</v>
      </c>
      <c r="F614" s="108">
        <v>1607</v>
      </c>
      <c r="G614" s="108">
        <v>1503</v>
      </c>
      <c r="H614" s="108">
        <v>1021</v>
      </c>
      <c r="I614" s="108">
        <v>1003</v>
      </c>
      <c r="J614" s="108">
        <v>186</v>
      </c>
      <c r="K614" s="108">
        <v>113</v>
      </c>
      <c r="L614" s="108">
        <v>5447</v>
      </c>
      <c r="M614" s="108">
        <v>6040</v>
      </c>
      <c r="N614" s="108">
        <v>5069</v>
      </c>
      <c r="O614" s="108">
        <v>42977</v>
      </c>
      <c r="P614" s="108">
        <v>2888</v>
      </c>
      <c r="Q614" s="108">
        <v>39235</v>
      </c>
      <c r="R614" s="16">
        <f t="shared" ref="R614:R619" si="54">P614+N614+L614</f>
        <v>13404</v>
      </c>
      <c r="S614" s="167">
        <f t="shared" si="48"/>
        <v>14547.25</v>
      </c>
      <c r="T614" s="168">
        <f t="shared" si="49"/>
        <v>40766</v>
      </c>
    </row>
    <row r="615" spans="1:20" ht="15.6" x14ac:dyDescent="0.3">
      <c r="A615" s="151">
        <f t="shared" si="47"/>
        <v>40773</v>
      </c>
      <c r="B615" s="108">
        <v>1777</v>
      </c>
      <c r="C615" s="106">
        <v>2757</v>
      </c>
      <c r="D615" s="108">
        <v>708</v>
      </c>
      <c r="E615" s="108">
        <v>983</v>
      </c>
      <c r="F615" s="108">
        <v>1602</v>
      </c>
      <c r="G615" s="108">
        <v>1563</v>
      </c>
      <c r="H615" s="108">
        <v>1044</v>
      </c>
      <c r="I615" s="108">
        <v>1090</v>
      </c>
      <c r="J615" s="108">
        <v>193</v>
      </c>
      <c r="K615" s="108">
        <v>116</v>
      </c>
      <c r="L615" s="108">
        <v>5325</v>
      </c>
      <c r="M615" s="108">
        <v>6509</v>
      </c>
      <c r="N615" s="108">
        <v>4627</v>
      </c>
      <c r="O615" s="108">
        <v>43803</v>
      </c>
      <c r="P615" s="108">
        <v>2713</v>
      </c>
      <c r="Q615" s="108">
        <v>39518</v>
      </c>
      <c r="R615" s="16">
        <f t="shared" si="54"/>
        <v>12665</v>
      </c>
      <c r="S615" s="167">
        <f t="shared" si="48"/>
        <v>13748.25</v>
      </c>
      <c r="T615" s="168">
        <f t="shared" si="49"/>
        <v>40773</v>
      </c>
    </row>
    <row r="616" spans="1:20" ht="15.6" x14ac:dyDescent="0.3">
      <c r="A616" s="151">
        <f t="shared" si="47"/>
        <v>40780</v>
      </c>
      <c r="B616" s="108">
        <v>1746</v>
      </c>
      <c r="C616" s="106">
        <v>3040</v>
      </c>
      <c r="D616" s="108">
        <v>652</v>
      </c>
      <c r="E616" s="108">
        <v>1066</v>
      </c>
      <c r="F616" s="108">
        <v>1537</v>
      </c>
      <c r="G616" s="108">
        <v>1676</v>
      </c>
      <c r="H616" s="108">
        <v>1008</v>
      </c>
      <c r="I616" s="108">
        <v>1187</v>
      </c>
      <c r="J616" s="108">
        <v>141</v>
      </c>
      <c r="K616" s="108">
        <v>149</v>
      </c>
      <c r="L616" s="108">
        <v>5084</v>
      </c>
      <c r="M616" s="108">
        <v>7118</v>
      </c>
      <c r="N616" s="108">
        <v>3540</v>
      </c>
      <c r="O616" s="108">
        <v>44569</v>
      </c>
      <c r="P616" s="108">
        <v>2478</v>
      </c>
      <c r="Q616" s="108">
        <v>39753</v>
      </c>
      <c r="R616" s="16">
        <f t="shared" si="54"/>
        <v>11102</v>
      </c>
      <c r="S616" s="167">
        <f t="shared" si="48"/>
        <v>12824.5</v>
      </c>
      <c r="T616" s="168">
        <f t="shared" si="49"/>
        <v>40780</v>
      </c>
    </row>
    <row r="617" spans="1:20" ht="15.6" x14ac:dyDescent="0.3">
      <c r="A617" s="151">
        <f t="shared" si="47"/>
        <v>40787</v>
      </c>
      <c r="B617" s="108">
        <v>1743</v>
      </c>
      <c r="C617" s="106">
        <v>3306</v>
      </c>
      <c r="D617" s="108">
        <v>671</v>
      </c>
      <c r="E617" s="108">
        <v>1111</v>
      </c>
      <c r="F617" s="108">
        <v>1454</v>
      </c>
      <c r="G617" s="108">
        <v>1883</v>
      </c>
      <c r="H617" s="108">
        <v>1023</v>
      </c>
      <c r="I617" s="108">
        <v>1255</v>
      </c>
      <c r="J617" s="108">
        <v>81</v>
      </c>
      <c r="K617" s="108">
        <v>188</v>
      </c>
      <c r="L617" s="108">
        <v>4972</v>
      </c>
      <c r="M617" s="108">
        <v>7743</v>
      </c>
      <c r="N617" s="108">
        <v>13171</v>
      </c>
      <c r="O617" s="108">
        <v>136</v>
      </c>
      <c r="P617" s="108">
        <v>14284</v>
      </c>
      <c r="Q617" s="108">
        <v>42</v>
      </c>
      <c r="R617" s="16">
        <f t="shared" si="54"/>
        <v>32427</v>
      </c>
      <c r="S617" s="167">
        <f t="shared" si="48"/>
        <v>17399.5</v>
      </c>
      <c r="T617" s="168">
        <f t="shared" si="49"/>
        <v>40787</v>
      </c>
    </row>
    <row r="618" spans="1:20" ht="15.6" x14ac:dyDescent="0.3">
      <c r="A618" s="151">
        <f t="shared" si="47"/>
        <v>40794</v>
      </c>
      <c r="B618" s="108">
        <v>1632</v>
      </c>
      <c r="C618" s="106">
        <v>3533</v>
      </c>
      <c r="D618" s="108">
        <v>663</v>
      </c>
      <c r="E618" s="108">
        <v>1166</v>
      </c>
      <c r="F618" s="108">
        <v>1527</v>
      </c>
      <c r="G618" s="108">
        <v>1945</v>
      </c>
      <c r="H618" s="108">
        <v>1009</v>
      </c>
      <c r="I618" s="108">
        <v>1383</v>
      </c>
      <c r="J618" s="108">
        <v>83</v>
      </c>
      <c r="K618" s="108">
        <v>188</v>
      </c>
      <c r="L618" s="108">
        <v>4914</v>
      </c>
      <c r="M618" s="108">
        <v>8214</v>
      </c>
      <c r="N618" s="108">
        <v>13813</v>
      </c>
      <c r="O618" s="108">
        <v>621</v>
      </c>
      <c r="P618" s="108">
        <v>14332</v>
      </c>
      <c r="Q618" s="108">
        <v>346</v>
      </c>
      <c r="R618" s="16">
        <f t="shared" si="54"/>
        <v>33059</v>
      </c>
      <c r="S618" s="167">
        <f t="shared" si="48"/>
        <v>22313.25</v>
      </c>
      <c r="T618" s="168">
        <f t="shared" si="49"/>
        <v>40794</v>
      </c>
    </row>
    <row r="619" spans="1:20" ht="15.6" x14ac:dyDescent="0.3">
      <c r="A619" s="151">
        <f t="shared" si="47"/>
        <v>40801</v>
      </c>
      <c r="B619" s="108">
        <v>1572</v>
      </c>
      <c r="C619" s="106">
        <v>3895</v>
      </c>
      <c r="D619" s="108">
        <v>615</v>
      </c>
      <c r="E619" s="108">
        <v>1256</v>
      </c>
      <c r="F619" s="108">
        <v>1391</v>
      </c>
      <c r="G619" s="108">
        <v>2219</v>
      </c>
      <c r="H619" s="108">
        <v>1069</v>
      </c>
      <c r="I619" s="108">
        <v>1520</v>
      </c>
      <c r="J619" s="108">
        <v>61</v>
      </c>
      <c r="K619" s="108">
        <v>210</v>
      </c>
      <c r="L619" s="108">
        <v>4707</v>
      </c>
      <c r="M619" s="108">
        <v>9100</v>
      </c>
      <c r="N619" s="108">
        <v>13784</v>
      </c>
      <c r="O619" s="108">
        <v>1248</v>
      </c>
      <c r="P619" s="108">
        <v>14501</v>
      </c>
      <c r="Q619" s="108">
        <v>581</v>
      </c>
      <c r="R619" s="16">
        <f t="shared" si="54"/>
        <v>32992</v>
      </c>
      <c r="S619" s="167">
        <f t="shared" si="48"/>
        <v>27395</v>
      </c>
      <c r="T619" s="168">
        <f t="shared" si="49"/>
        <v>40801</v>
      </c>
    </row>
    <row r="620" spans="1:20" ht="15.6" x14ac:dyDescent="0.3">
      <c r="A620" s="151">
        <f t="shared" si="47"/>
        <v>40808</v>
      </c>
      <c r="B620" s="108">
        <v>1503</v>
      </c>
      <c r="C620" s="106">
        <v>4088</v>
      </c>
      <c r="D620" s="108">
        <v>674</v>
      </c>
      <c r="E620" s="108">
        <v>1326</v>
      </c>
      <c r="F620" s="108">
        <v>1367</v>
      </c>
      <c r="G620" s="108">
        <v>2392</v>
      </c>
      <c r="H620" s="108">
        <v>988</v>
      </c>
      <c r="I620" s="108">
        <v>1595</v>
      </c>
      <c r="J620" s="108">
        <v>84</v>
      </c>
      <c r="K620" s="108">
        <v>221</v>
      </c>
      <c r="L620" s="108">
        <v>4615</v>
      </c>
      <c r="M620" s="108">
        <v>9622</v>
      </c>
      <c r="N620" s="108">
        <v>13748</v>
      </c>
      <c r="O620" s="108">
        <v>2071</v>
      </c>
      <c r="P620" s="108">
        <v>15213</v>
      </c>
      <c r="Q620" s="108">
        <v>903</v>
      </c>
      <c r="R620" s="16">
        <f t="shared" ref="R620:R625" si="55">P620+N620+L620</f>
        <v>33576</v>
      </c>
      <c r="S620" s="167">
        <f t="shared" si="48"/>
        <v>33013.5</v>
      </c>
      <c r="T620" s="168">
        <f t="shared" si="49"/>
        <v>40808</v>
      </c>
    </row>
    <row r="621" spans="1:20" ht="15.6" x14ac:dyDescent="0.3">
      <c r="A621" s="151">
        <f t="shared" si="47"/>
        <v>40815</v>
      </c>
      <c r="B621" s="108">
        <v>1417</v>
      </c>
      <c r="C621" s="106">
        <v>4370</v>
      </c>
      <c r="D621" s="108">
        <v>746</v>
      </c>
      <c r="E621" s="108">
        <v>1376</v>
      </c>
      <c r="F621" s="108">
        <v>1280</v>
      </c>
      <c r="G621" s="108">
        <v>2507</v>
      </c>
      <c r="H621" s="108">
        <v>918</v>
      </c>
      <c r="I621" s="108">
        <v>1749</v>
      </c>
      <c r="J621" s="108">
        <v>84</v>
      </c>
      <c r="K621" s="108">
        <v>221</v>
      </c>
      <c r="L621" s="108">
        <v>4445</v>
      </c>
      <c r="M621" s="108">
        <v>10223</v>
      </c>
      <c r="N621" s="108">
        <v>14282</v>
      </c>
      <c r="O621" s="108">
        <v>2827</v>
      </c>
      <c r="P621" s="108">
        <v>15589</v>
      </c>
      <c r="Q621" s="108">
        <v>1229</v>
      </c>
      <c r="R621" s="16">
        <f t="shared" si="55"/>
        <v>34316</v>
      </c>
      <c r="S621" s="167">
        <f t="shared" si="48"/>
        <v>33485.75</v>
      </c>
      <c r="T621" s="168">
        <f t="shared" si="49"/>
        <v>40815</v>
      </c>
    </row>
    <row r="622" spans="1:20" ht="15.6" x14ac:dyDescent="0.3">
      <c r="A622" s="151">
        <f t="shared" si="47"/>
        <v>40822</v>
      </c>
      <c r="B622" s="108">
        <v>1459</v>
      </c>
      <c r="C622" s="108">
        <v>4494</v>
      </c>
      <c r="D622" s="108">
        <v>737</v>
      </c>
      <c r="E622" s="108">
        <v>1394</v>
      </c>
      <c r="F622" s="108">
        <v>1282</v>
      </c>
      <c r="G622" s="108">
        <v>2628</v>
      </c>
      <c r="H622" s="108">
        <v>1000</v>
      </c>
      <c r="I622" s="108">
        <v>1842</v>
      </c>
      <c r="J622" s="108">
        <v>85</v>
      </c>
      <c r="K622" s="108">
        <v>229</v>
      </c>
      <c r="L622" s="108">
        <v>4563</v>
      </c>
      <c r="M622" s="108">
        <v>10588</v>
      </c>
      <c r="N622" s="108">
        <v>14630</v>
      </c>
      <c r="O622" s="108">
        <v>3738</v>
      </c>
      <c r="P622" s="108">
        <v>15658</v>
      </c>
      <c r="Q622" s="108">
        <v>1832</v>
      </c>
      <c r="R622" s="16">
        <f t="shared" si="55"/>
        <v>34851</v>
      </c>
      <c r="S622" s="167">
        <f t="shared" si="48"/>
        <v>33933.75</v>
      </c>
      <c r="T622" s="168">
        <f t="shared" si="49"/>
        <v>40822</v>
      </c>
    </row>
    <row r="623" spans="1:20" ht="15.6" x14ac:dyDescent="0.3">
      <c r="A623" s="151">
        <f t="shared" si="47"/>
        <v>40829</v>
      </c>
      <c r="B623" s="108">
        <v>1426</v>
      </c>
      <c r="C623" s="108">
        <v>4687</v>
      </c>
      <c r="D623" s="108">
        <v>769</v>
      </c>
      <c r="E623" s="108">
        <v>1407</v>
      </c>
      <c r="F623" s="108">
        <v>1302</v>
      </c>
      <c r="G623" s="108">
        <v>2753</v>
      </c>
      <c r="H623" s="108">
        <v>1002</v>
      </c>
      <c r="I623" s="108">
        <v>1890</v>
      </c>
      <c r="J623" s="108">
        <v>78</v>
      </c>
      <c r="K623" s="108">
        <v>237</v>
      </c>
      <c r="L623" s="108">
        <v>4577</v>
      </c>
      <c r="M623" s="108">
        <v>10974</v>
      </c>
      <c r="N623" s="108">
        <v>15829</v>
      </c>
      <c r="O623" s="108">
        <v>4302</v>
      </c>
      <c r="P623" s="108">
        <v>15084</v>
      </c>
      <c r="Q623" s="108">
        <v>3000</v>
      </c>
      <c r="R623" s="16">
        <f t="shared" si="55"/>
        <v>35490</v>
      </c>
      <c r="S623" s="167">
        <f t="shared" si="48"/>
        <v>34558.25</v>
      </c>
      <c r="T623" s="168">
        <f t="shared" si="49"/>
        <v>40829</v>
      </c>
    </row>
    <row r="624" spans="1:20" ht="15.6" x14ac:dyDescent="0.3">
      <c r="A624" s="151">
        <f t="shared" si="47"/>
        <v>40836</v>
      </c>
      <c r="B624" s="108">
        <v>1342</v>
      </c>
      <c r="C624" s="108">
        <v>4831</v>
      </c>
      <c r="D624" s="108">
        <v>792</v>
      </c>
      <c r="E624" s="108">
        <v>1483</v>
      </c>
      <c r="F624" s="108">
        <v>1258</v>
      </c>
      <c r="G624" s="108">
        <v>2845</v>
      </c>
      <c r="H624" s="108">
        <v>1041</v>
      </c>
      <c r="I624" s="108">
        <v>1963</v>
      </c>
      <c r="J624" s="108">
        <v>78</v>
      </c>
      <c r="K624" s="108">
        <v>237</v>
      </c>
      <c r="L624" s="108">
        <v>4511</v>
      </c>
      <c r="M624" s="108">
        <v>11357</v>
      </c>
      <c r="N624" s="108">
        <v>15488</v>
      </c>
      <c r="O624" s="108">
        <v>4979</v>
      </c>
      <c r="P624" s="108">
        <v>14171</v>
      </c>
      <c r="Q624" s="108">
        <v>4141</v>
      </c>
      <c r="R624" s="16">
        <f t="shared" si="55"/>
        <v>34170</v>
      </c>
      <c r="S624" s="167">
        <f t="shared" si="48"/>
        <v>34706.75</v>
      </c>
      <c r="T624" s="168">
        <f t="shared" si="49"/>
        <v>40836</v>
      </c>
    </row>
    <row r="625" spans="1:20" ht="15.6" x14ac:dyDescent="0.3">
      <c r="A625" s="151">
        <f t="shared" si="47"/>
        <v>40843</v>
      </c>
      <c r="B625" s="108">
        <v>1322</v>
      </c>
      <c r="C625" s="108">
        <v>4989</v>
      </c>
      <c r="D625" s="108">
        <v>738</v>
      </c>
      <c r="E625" s="108">
        <v>1554</v>
      </c>
      <c r="F625" s="108">
        <v>1162</v>
      </c>
      <c r="G625" s="108">
        <v>3072</v>
      </c>
      <c r="H625" s="108">
        <v>926</v>
      </c>
      <c r="I625" s="108">
        <v>2110</v>
      </c>
      <c r="J625" s="108">
        <v>58</v>
      </c>
      <c r="K625" s="108">
        <v>257</v>
      </c>
      <c r="L625" s="108">
        <v>4206</v>
      </c>
      <c r="M625" s="108">
        <v>11982</v>
      </c>
      <c r="N625" s="108">
        <v>15364</v>
      </c>
      <c r="O625" s="108">
        <v>5726</v>
      </c>
      <c r="P625" s="108">
        <v>13181</v>
      </c>
      <c r="Q625" s="108">
        <v>5341</v>
      </c>
      <c r="R625" s="16">
        <f t="shared" si="55"/>
        <v>32751</v>
      </c>
      <c r="S625" s="167">
        <f t="shared" si="48"/>
        <v>34315.5</v>
      </c>
      <c r="T625" s="168">
        <f t="shared" si="49"/>
        <v>40843</v>
      </c>
    </row>
    <row r="626" spans="1:20" ht="15.6" x14ac:dyDescent="0.3">
      <c r="A626" s="151">
        <f t="shared" si="47"/>
        <v>40850</v>
      </c>
      <c r="B626" s="108">
        <v>1333</v>
      </c>
      <c r="C626" s="108">
        <v>5064</v>
      </c>
      <c r="D626" s="108">
        <v>690</v>
      </c>
      <c r="E626" s="108">
        <v>1647</v>
      </c>
      <c r="F626" s="108">
        <v>1174</v>
      </c>
      <c r="G626" s="108">
        <v>3156</v>
      </c>
      <c r="H626" s="108">
        <v>899</v>
      </c>
      <c r="I626" s="108">
        <v>2198</v>
      </c>
      <c r="J626" s="108">
        <v>56</v>
      </c>
      <c r="K626" s="108">
        <v>271</v>
      </c>
      <c r="L626" s="108">
        <v>4151</v>
      </c>
      <c r="M626" s="108">
        <v>12335</v>
      </c>
      <c r="N626" s="108">
        <v>14991</v>
      </c>
      <c r="O626" s="108">
        <v>6350</v>
      </c>
      <c r="P626" s="108">
        <v>12561</v>
      </c>
      <c r="Q626" s="108">
        <v>6565</v>
      </c>
      <c r="R626" s="16">
        <f t="shared" ref="R626:R631" si="56">P626+N626+L626</f>
        <v>31703</v>
      </c>
      <c r="S626" s="167">
        <f t="shared" si="48"/>
        <v>33528.5</v>
      </c>
      <c r="T626" s="121">
        <f t="shared" si="49"/>
        <v>40850</v>
      </c>
    </row>
    <row r="627" spans="1:20" ht="15.6" x14ac:dyDescent="0.3">
      <c r="A627" s="151">
        <f t="shared" si="47"/>
        <v>40857</v>
      </c>
      <c r="B627" s="108">
        <v>1434</v>
      </c>
      <c r="C627" s="108">
        <v>5176</v>
      </c>
      <c r="D627" s="108">
        <v>689</v>
      </c>
      <c r="E627" s="108">
        <v>1701</v>
      </c>
      <c r="F627" s="108">
        <v>1103</v>
      </c>
      <c r="G627" s="108">
        <v>3262</v>
      </c>
      <c r="H627" s="108">
        <v>877</v>
      </c>
      <c r="I627" s="108">
        <v>2227</v>
      </c>
      <c r="J627" s="108">
        <v>64</v>
      </c>
      <c r="K627" s="108">
        <v>271</v>
      </c>
      <c r="L627" s="108">
        <v>4167</v>
      </c>
      <c r="M627" s="108">
        <v>12637</v>
      </c>
      <c r="N627" s="108">
        <v>14305</v>
      </c>
      <c r="O627" s="108">
        <v>7245</v>
      </c>
      <c r="P627" s="108">
        <v>11879</v>
      </c>
      <c r="Q627" s="108">
        <v>7994</v>
      </c>
      <c r="R627" s="16">
        <f t="shared" si="56"/>
        <v>30351</v>
      </c>
      <c r="S627" s="167">
        <f t="shared" si="48"/>
        <v>32243.75</v>
      </c>
      <c r="T627" s="121">
        <f t="shared" si="49"/>
        <v>40857</v>
      </c>
    </row>
    <row r="628" spans="1:20" ht="15.6" x14ac:dyDescent="0.3">
      <c r="A628" s="151">
        <f t="shared" si="47"/>
        <v>40864</v>
      </c>
      <c r="B628" s="108">
        <v>1461</v>
      </c>
      <c r="C628" s="108">
        <v>5302</v>
      </c>
      <c r="D628" s="108">
        <v>722</v>
      </c>
      <c r="E628" s="108">
        <v>1744</v>
      </c>
      <c r="F628" s="108">
        <v>1184</v>
      </c>
      <c r="G628" s="108">
        <v>3339</v>
      </c>
      <c r="H628" s="108">
        <v>986</v>
      </c>
      <c r="I628" s="108">
        <v>2343</v>
      </c>
      <c r="J628" s="108">
        <v>65</v>
      </c>
      <c r="K628" s="108">
        <v>271</v>
      </c>
      <c r="L628" s="108">
        <v>4419</v>
      </c>
      <c r="M628" s="108">
        <v>12999</v>
      </c>
      <c r="N628" s="108">
        <v>13643</v>
      </c>
      <c r="O628" s="108">
        <v>8219</v>
      </c>
      <c r="P628" s="108">
        <v>11809</v>
      </c>
      <c r="Q628" s="108">
        <v>8985</v>
      </c>
      <c r="R628" s="16">
        <f t="shared" si="56"/>
        <v>29871</v>
      </c>
      <c r="S628" s="167">
        <f t="shared" si="48"/>
        <v>31169</v>
      </c>
      <c r="T628" s="121">
        <f t="shared" si="49"/>
        <v>40864</v>
      </c>
    </row>
    <row r="629" spans="1:20" ht="15.6" x14ac:dyDescent="0.3">
      <c r="A629" s="151">
        <f t="shared" si="47"/>
        <v>40871</v>
      </c>
      <c r="B629" s="108">
        <v>1370</v>
      </c>
      <c r="C629" s="108">
        <v>5462</v>
      </c>
      <c r="D629" s="108">
        <v>740</v>
      </c>
      <c r="E629" s="108">
        <v>1798</v>
      </c>
      <c r="F629" s="108">
        <v>1310</v>
      </c>
      <c r="G629" s="108">
        <v>3376</v>
      </c>
      <c r="H629" s="108">
        <v>1143</v>
      </c>
      <c r="I629" s="108">
        <v>2371</v>
      </c>
      <c r="J629" s="108">
        <v>55</v>
      </c>
      <c r="K629" s="108">
        <v>294</v>
      </c>
      <c r="L629" s="108">
        <v>4620</v>
      </c>
      <c r="M629" s="108">
        <v>13301</v>
      </c>
      <c r="N629" s="108">
        <v>13114</v>
      </c>
      <c r="O629" s="108">
        <v>9029</v>
      </c>
      <c r="P629" s="108">
        <v>11081</v>
      </c>
      <c r="Q629" s="108">
        <v>10202</v>
      </c>
      <c r="R629" s="16">
        <f t="shared" si="56"/>
        <v>28815</v>
      </c>
      <c r="S629" s="167">
        <f t="shared" si="48"/>
        <v>30185</v>
      </c>
      <c r="T629" s="121">
        <f t="shared" si="49"/>
        <v>40871</v>
      </c>
    </row>
    <row r="630" spans="1:20" ht="15.6" x14ac:dyDescent="0.3">
      <c r="A630" s="151">
        <f t="shared" si="47"/>
        <v>40878</v>
      </c>
      <c r="B630" s="108">
        <v>1411</v>
      </c>
      <c r="C630" s="108">
        <v>5563</v>
      </c>
      <c r="D630" s="108">
        <v>685</v>
      </c>
      <c r="E630" s="108">
        <v>1888</v>
      </c>
      <c r="F630" s="108">
        <v>1251</v>
      </c>
      <c r="G630" s="108">
        <v>3544</v>
      </c>
      <c r="H630" s="108">
        <v>1205</v>
      </c>
      <c r="I630" s="108">
        <v>2443</v>
      </c>
      <c r="J630" s="108">
        <v>64</v>
      </c>
      <c r="K630" s="108">
        <v>294</v>
      </c>
      <c r="L630" s="108">
        <v>4616</v>
      </c>
      <c r="M630" s="108">
        <v>13732</v>
      </c>
      <c r="N630" s="108">
        <v>12773</v>
      </c>
      <c r="O630" s="108">
        <v>10066</v>
      </c>
      <c r="P630" s="108">
        <v>11005</v>
      </c>
      <c r="Q630" s="108">
        <v>11049</v>
      </c>
      <c r="R630" s="79">
        <f t="shared" si="56"/>
        <v>28394</v>
      </c>
      <c r="S630" s="167">
        <f t="shared" si="48"/>
        <v>29357.75</v>
      </c>
      <c r="T630" s="121">
        <f t="shared" si="49"/>
        <v>40878</v>
      </c>
    </row>
    <row r="631" spans="1:20" ht="15.6" x14ac:dyDescent="0.3">
      <c r="A631" s="151">
        <f t="shared" si="47"/>
        <v>40885</v>
      </c>
      <c r="B631" s="108">
        <v>1311</v>
      </c>
      <c r="C631" s="108">
        <v>5769</v>
      </c>
      <c r="D631" s="108">
        <v>700</v>
      </c>
      <c r="E631" s="108">
        <v>1896</v>
      </c>
      <c r="F631" s="108">
        <v>1116</v>
      </c>
      <c r="G631" s="108">
        <v>3785</v>
      </c>
      <c r="H631" s="108">
        <v>1190</v>
      </c>
      <c r="I631" s="108">
        <v>2528</v>
      </c>
      <c r="J631" s="108">
        <v>79</v>
      </c>
      <c r="K631" s="108">
        <v>294</v>
      </c>
      <c r="L631" s="108">
        <v>4396</v>
      </c>
      <c r="M631" s="108">
        <v>14271</v>
      </c>
      <c r="N631" s="108">
        <v>12390</v>
      </c>
      <c r="O631" s="108">
        <v>10948</v>
      </c>
      <c r="P631" s="108">
        <v>10465</v>
      </c>
      <c r="Q631" s="108">
        <v>12057</v>
      </c>
      <c r="R631" s="79">
        <f t="shared" si="56"/>
        <v>27251</v>
      </c>
      <c r="S631" s="167">
        <f t="shared" si="48"/>
        <v>28582.75</v>
      </c>
      <c r="T631" s="121">
        <f t="shared" si="49"/>
        <v>40885</v>
      </c>
    </row>
    <row r="632" spans="1:20" ht="15.6" x14ac:dyDescent="0.3">
      <c r="A632" s="151">
        <f t="shared" si="47"/>
        <v>40892</v>
      </c>
      <c r="B632" s="108">
        <v>1339.3</v>
      </c>
      <c r="C632" s="108">
        <v>5873.8</v>
      </c>
      <c r="D632" s="108">
        <v>709</v>
      </c>
      <c r="E632" s="108">
        <v>1919.7</v>
      </c>
      <c r="F632" s="108">
        <v>1188</v>
      </c>
      <c r="G632" s="108">
        <v>3838.6</v>
      </c>
      <c r="H632" s="108">
        <v>1071.2</v>
      </c>
      <c r="I632" s="108">
        <v>2715.4</v>
      </c>
      <c r="J632" s="108">
        <v>50.3</v>
      </c>
      <c r="K632" s="108">
        <v>323.3</v>
      </c>
      <c r="L632" s="108">
        <v>4357.8</v>
      </c>
      <c r="M632" s="108">
        <v>14670.8</v>
      </c>
      <c r="N632" s="108">
        <v>11804.4</v>
      </c>
      <c r="O632" s="108">
        <v>12248.7</v>
      </c>
      <c r="P632" s="108">
        <v>10184.299999999999</v>
      </c>
      <c r="Q632" s="108">
        <v>12991.3</v>
      </c>
      <c r="R632" s="79">
        <f t="shared" ref="R632:R637" si="57">P632+N632+L632</f>
        <v>26346.499999999996</v>
      </c>
      <c r="S632" s="167">
        <f t="shared" si="48"/>
        <v>27701.625</v>
      </c>
      <c r="T632" s="121">
        <f t="shared" si="49"/>
        <v>40892</v>
      </c>
    </row>
    <row r="633" spans="1:20" ht="15.6" x14ac:dyDescent="0.3">
      <c r="A633" s="151">
        <f t="shared" si="47"/>
        <v>40899</v>
      </c>
      <c r="B633" s="108">
        <v>1368</v>
      </c>
      <c r="C633" s="108">
        <v>6070</v>
      </c>
      <c r="D633" s="108">
        <v>688</v>
      </c>
      <c r="E633" s="108">
        <v>1958</v>
      </c>
      <c r="F633" s="108">
        <v>1182</v>
      </c>
      <c r="G633" s="108">
        <v>3930</v>
      </c>
      <c r="H633" s="108">
        <v>1082</v>
      </c>
      <c r="I633" s="108">
        <v>2780</v>
      </c>
      <c r="J633" s="108">
        <v>55</v>
      </c>
      <c r="K633" s="108">
        <v>347</v>
      </c>
      <c r="L633" s="108">
        <v>4375</v>
      </c>
      <c r="M633" s="108">
        <v>15084</v>
      </c>
      <c r="N633" s="108">
        <v>11178</v>
      </c>
      <c r="O633" s="108">
        <v>13195</v>
      </c>
      <c r="P633" s="108">
        <v>9779</v>
      </c>
      <c r="Q633" s="108">
        <v>14060</v>
      </c>
      <c r="R633" s="79">
        <f t="shared" si="57"/>
        <v>25332</v>
      </c>
      <c r="S633" s="167">
        <f t="shared" si="48"/>
        <v>26830.875</v>
      </c>
      <c r="T633" s="121">
        <f t="shared" si="49"/>
        <v>40899</v>
      </c>
    </row>
    <row r="634" spans="1:20" ht="15.6" x14ac:dyDescent="0.3">
      <c r="A634" s="151">
        <f t="shared" si="47"/>
        <v>40906</v>
      </c>
      <c r="B634" s="108">
        <v>1298</v>
      </c>
      <c r="C634" s="108">
        <v>6211</v>
      </c>
      <c r="D634" s="108">
        <v>590</v>
      </c>
      <c r="E634" s="108">
        <v>2028</v>
      </c>
      <c r="F634" s="108">
        <v>1144</v>
      </c>
      <c r="G634" s="108">
        <v>3997</v>
      </c>
      <c r="H634" s="108">
        <v>1001</v>
      </c>
      <c r="I634" s="108">
        <v>2917</v>
      </c>
      <c r="J634" s="108">
        <v>55</v>
      </c>
      <c r="K634" s="108">
        <v>358</v>
      </c>
      <c r="L634" s="108">
        <v>4088</v>
      </c>
      <c r="M634" s="108">
        <v>15510</v>
      </c>
      <c r="N634" s="108">
        <v>10900</v>
      </c>
      <c r="O634" s="108">
        <v>13771</v>
      </c>
      <c r="P634" s="108">
        <v>9032</v>
      </c>
      <c r="Q634" s="108">
        <v>15088</v>
      </c>
      <c r="R634" s="79">
        <f t="shared" si="57"/>
        <v>24020</v>
      </c>
      <c r="S634" s="167">
        <f t="shared" si="48"/>
        <v>25737.375</v>
      </c>
      <c r="T634" s="121">
        <f t="shared" si="49"/>
        <v>40906</v>
      </c>
    </row>
    <row r="635" spans="1:20" ht="15.6" x14ac:dyDescent="0.3">
      <c r="A635" s="122">
        <f t="shared" si="47"/>
        <v>40913</v>
      </c>
      <c r="B635" s="108">
        <v>1300</v>
      </c>
      <c r="C635" s="108">
        <v>6274</v>
      </c>
      <c r="D635" s="108">
        <v>583</v>
      </c>
      <c r="E635" s="108">
        <v>2059</v>
      </c>
      <c r="F635" s="108">
        <v>1187</v>
      </c>
      <c r="G635" s="108">
        <v>4042</v>
      </c>
      <c r="H635" s="108">
        <v>1132</v>
      </c>
      <c r="I635" s="108">
        <v>2965</v>
      </c>
      <c r="J635" s="108">
        <v>55</v>
      </c>
      <c r="K635" s="108">
        <v>358</v>
      </c>
      <c r="L635" s="108">
        <v>4257</v>
      </c>
      <c r="M635" s="108">
        <v>15698</v>
      </c>
      <c r="N635" s="108">
        <v>10474</v>
      </c>
      <c r="O635" s="108">
        <v>14519</v>
      </c>
      <c r="P635" s="108">
        <v>8679</v>
      </c>
      <c r="Q635" s="108">
        <v>15874</v>
      </c>
      <c r="R635" s="79">
        <f t="shared" si="57"/>
        <v>23410</v>
      </c>
      <c r="S635" s="167">
        <f t="shared" ref="S635:S645" si="58">AVERAGE(R632:R635)</f>
        <v>24777.125</v>
      </c>
      <c r="T635" s="121">
        <f t="shared" si="49"/>
        <v>40913</v>
      </c>
    </row>
    <row r="636" spans="1:20" ht="15.6" x14ac:dyDescent="0.3">
      <c r="A636" s="122">
        <f t="shared" si="47"/>
        <v>40920</v>
      </c>
      <c r="B636" s="108">
        <v>1341</v>
      </c>
      <c r="C636" s="108">
        <v>6406</v>
      </c>
      <c r="D636" s="108">
        <v>597</v>
      </c>
      <c r="E636" s="108">
        <v>2113</v>
      </c>
      <c r="F636" s="108">
        <v>1251</v>
      </c>
      <c r="G636" s="108">
        <v>4105</v>
      </c>
      <c r="H636" s="108">
        <v>1132</v>
      </c>
      <c r="I636" s="108">
        <v>3072</v>
      </c>
      <c r="J636" s="108">
        <v>45</v>
      </c>
      <c r="K636" s="108">
        <v>360</v>
      </c>
      <c r="L636" s="108">
        <v>4486</v>
      </c>
      <c r="M636" s="108">
        <v>16056</v>
      </c>
      <c r="N636" s="108">
        <v>10480</v>
      </c>
      <c r="O636" s="108">
        <v>15273</v>
      </c>
      <c r="P636" s="108">
        <v>8592</v>
      </c>
      <c r="Q636" s="108">
        <v>16953</v>
      </c>
      <c r="R636" s="79">
        <f t="shared" si="57"/>
        <v>23558</v>
      </c>
      <c r="S636" s="167">
        <f t="shared" si="58"/>
        <v>24080</v>
      </c>
      <c r="T636" s="121">
        <f t="shared" si="49"/>
        <v>40920</v>
      </c>
    </row>
    <row r="637" spans="1:20" ht="15.6" x14ac:dyDescent="0.3">
      <c r="A637" s="122">
        <f t="shared" si="47"/>
        <v>40927</v>
      </c>
      <c r="B637" s="108">
        <v>1346</v>
      </c>
      <c r="C637" s="108">
        <v>6545</v>
      </c>
      <c r="D637" s="108">
        <v>629</v>
      </c>
      <c r="E637" s="108">
        <v>2176</v>
      </c>
      <c r="F637" s="108">
        <v>1219</v>
      </c>
      <c r="G637" s="108">
        <v>4167</v>
      </c>
      <c r="H637" s="108">
        <v>1443</v>
      </c>
      <c r="I637" s="108">
        <v>3217</v>
      </c>
      <c r="J637" s="108">
        <v>30</v>
      </c>
      <c r="K637" s="108">
        <v>375</v>
      </c>
      <c r="L637" s="108">
        <v>4667</v>
      </c>
      <c r="M637" s="108">
        <v>16481</v>
      </c>
      <c r="N637" s="108">
        <v>10497</v>
      </c>
      <c r="O637" s="108">
        <v>16214</v>
      </c>
      <c r="P637" s="108">
        <v>7873</v>
      </c>
      <c r="Q637" s="108">
        <v>18137</v>
      </c>
      <c r="R637" s="79">
        <f t="shared" si="57"/>
        <v>23037</v>
      </c>
      <c r="S637" s="167">
        <f t="shared" si="58"/>
        <v>23506.25</v>
      </c>
      <c r="T637" s="121">
        <f t="shared" si="49"/>
        <v>40927</v>
      </c>
    </row>
    <row r="638" spans="1:20" ht="15.6" x14ac:dyDescent="0.3">
      <c r="A638" s="122">
        <f t="shared" si="47"/>
        <v>40934</v>
      </c>
      <c r="B638" s="108">
        <v>1452</v>
      </c>
      <c r="C638" s="108">
        <v>6790</v>
      </c>
      <c r="D638" s="108">
        <v>592</v>
      </c>
      <c r="E638" s="108">
        <v>2254</v>
      </c>
      <c r="F638" s="108">
        <v>1199</v>
      </c>
      <c r="G638" s="108">
        <v>4236</v>
      </c>
      <c r="H638" s="108">
        <v>1458</v>
      </c>
      <c r="I638" s="108">
        <v>3280</v>
      </c>
      <c r="J638" s="108">
        <v>30</v>
      </c>
      <c r="K638" s="108">
        <v>375</v>
      </c>
      <c r="L638" s="108">
        <v>4731</v>
      </c>
      <c r="M638" s="108">
        <v>16935</v>
      </c>
      <c r="N638" s="108">
        <v>10739</v>
      </c>
      <c r="O638" s="108">
        <v>16883</v>
      </c>
      <c r="P638" s="108">
        <v>7012</v>
      </c>
      <c r="Q638" s="108">
        <v>19307</v>
      </c>
      <c r="R638" s="79">
        <f t="shared" ref="R638:R643" si="59">P638+N638+L638</f>
        <v>22482</v>
      </c>
      <c r="S638" s="167">
        <f t="shared" si="58"/>
        <v>23121.75</v>
      </c>
      <c r="T638" s="121">
        <f t="shared" si="49"/>
        <v>40934</v>
      </c>
    </row>
    <row r="639" spans="1:20" ht="15.6" x14ac:dyDescent="0.3">
      <c r="A639" s="122">
        <f t="shared" si="47"/>
        <v>40941</v>
      </c>
      <c r="B639" s="108">
        <v>1396</v>
      </c>
      <c r="C639" s="108">
        <v>6977</v>
      </c>
      <c r="D639" s="108">
        <v>734</v>
      </c>
      <c r="E639" s="108">
        <v>2280</v>
      </c>
      <c r="F639" s="108">
        <v>1120</v>
      </c>
      <c r="G639" s="108">
        <v>4433</v>
      </c>
      <c r="H639" s="108">
        <v>1694</v>
      </c>
      <c r="I639" s="108">
        <v>3331</v>
      </c>
      <c r="J639" s="108">
        <v>31</v>
      </c>
      <c r="K639" s="108">
        <v>379</v>
      </c>
      <c r="L639" s="108">
        <v>4975</v>
      </c>
      <c r="M639" s="108">
        <v>17399</v>
      </c>
      <c r="N639" s="108">
        <v>10345</v>
      </c>
      <c r="O639" s="108">
        <v>17972</v>
      </c>
      <c r="P639" s="108">
        <v>6592</v>
      </c>
      <c r="Q639" s="108">
        <v>20330</v>
      </c>
      <c r="R639" s="79">
        <f t="shared" si="59"/>
        <v>21912</v>
      </c>
      <c r="S639" s="167">
        <f t="shared" si="58"/>
        <v>22747.25</v>
      </c>
      <c r="T639" s="121">
        <f t="shared" si="49"/>
        <v>40941</v>
      </c>
    </row>
    <row r="640" spans="1:20" ht="15.6" x14ac:dyDescent="0.3">
      <c r="A640" s="122">
        <f t="shared" si="47"/>
        <v>40948</v>
      </c>
      <c r="B640" s="108">
        <v>1323</v>
      </c>
      <c r="C640" s="108">
        <v>7104</v>
      </c>
      <c r="D640" s="108">
        <v>749</v>
      </c>
      <c r="E640" s="108">
        <v>2335</v>
      </c>
      <c r="F640" s="108">
        <v>1045</v>
      </c>
      <c r="G640" s="108">
        <v>4564</v>
      </c>
      <c r="H640" s="108">
        <v>1775</v>
      </c>
      <c r="I640" s="108">
        <v>3490</v>
      </c>
      <c r="J640" s="108">
        <v>25</v>
      </c>
      <c r="K640" s="108">
        <v>386</v>
      </c>
      <c r="L640" s="108">
        <v>4916</v>
      </c>
      <c r="M640" s="108">
        <v>17878</v>
      </c>
      <c r="N640" s="108">
        <v>10664</v>
      </c>
      <c r="O640" s="108">
        <v>18658</v>
      </c>
      <c r="P640" s="108">
        <v>6027</v>
      </c>
      <c r="Q640" s="108">
        <v>21332</v>
      </c>
      <c r="R640" s="79">
        <f t="shared" si="59"/>
        <v>21607</v>
      </c>
      <c r="S640" s="167">
        <f t="shared" si="58"/>
        <v>22259.5</v>
      </c>
      <c r="T640" s="121">
        <f t="shared" si="49"/>
        <v>40948</v>
      </c>
    </row>
    <row r="641" spans="1:20" ht="15.6" x14ac:dyDescent="0.3">
      <c r="A641" s="122">
        <f t="shared" si="47"/>
        <v>40955</v>
      </c>
      <c r="B641" s="108">
        <v>1215</v>
      </c>
      <c r="C641" s="108">
        <v>7310</v>
      </c>
      <c r="D641" s="108">
        <v>913</v>
      </c>
      <c r="E641" s="108">
        <v>2390</v>
      </c>
      <c r="F641" s="108">
        <v>1229</v>
      </c>
      <c r="G641" s="108">
        <v>4658</v>
      </c>
      <c r="H641" s="108">
        <v>1708</v>
      </c>
      <c r="I641" s="108">
        <v>3663</v>
      </c>
      <c r="J641" s="108">
        <v>22</v>
      </c>
      <c r="K641" s="108">
        <v>388</v>
      </c>
      <c r="L641" s="108">
        <v>5087</v>
      </c>
      <c r="M641" s="108">
        <v>18409</v>
      </c>
      <c r="N641" s="108">
        <v>10729</v>
      </c>
      <c r="O641" s="108">
        <v>19435</v>
      </c>
      <c r="P641" s="108">
        <v>5979</v>
      </c>
      <c r="Q641" s="108">
        <v>22408</v>
      </c>
      <c r="R641" s="79">
        <f t="shared" si="59"/>
        <v>21795</v>
      </c>
      <c r="S641" s="167">
        <f t="shared" si="58"/>
        <v>21949</v>
      </c>
      <c r="T641" s="121">
        <f t="shared" si="49"/>
        <v>40955</v>
      </c>
    </row>
    <row r="642" spans="1:20" ht="15.6" x14ac:dyDescent="0.3">
      <c r="A642" s="122">
        <f t="shared" si="47"/>
        <v>40962</v>
      </c>
      <c r="B642" s="108">
        <v>1272</v>
      </c>
      <c r="C642" s="108">
        <v>7355</v>
      </c>
      <c r="D642" s="108">
        <v>951</v>
      </c>
      <c r="E642" s="108">
        <v>2422</v>
      </c>
      <c r="F642" s="108">
        <v>1238</v>
      </c>
      <c r="G642" s="108">
        <v>4730</v>
      </c>
      <c r="H642" s="108">
        <v>1812</v>
      </c>
      <c r="I642" s="108">
        <v>3720</v>
      </c>
      <c r="J642" s="108">
        <v>22</v>
      </c>
      <c r="K642" s="108">
        <v>388</v>
      </c>
      <c r="L642" s="108">
        <v>5295</v>
      </c>
      <c r="M642" s="108">
        <v>18614</v>
      </c>
      <c r="N642" s="108">
        <v>10601</v>
      </c>
      <c r="O642" s="108">
        <v>20253</v>
      </c>
      <c r="P642" s="108">
        <v>5548</v>
      </c>
      <c r="Q642" s="108">
        <v>23388</v>
      </c>
      <c r="R642" s="79">
        <f t="shared" si="59"/>
        <v>21444</v>
      </c>
      <c r="S642" s="167">
        <f t="shared" si="58"/>
        <v>21689.5</v>
      </c>
      <c r="T642" s="121">
        <f t="shared" si="49"/>
        <v>40962</v>
      </c>
    </row>
    <row r="643" spans="1:20" ht="15.6" x14ac:dyDescent="0.3">
      <c r="A643" s="122">
        <f t="shared" si="47"/>
        <v>40969</v>
      </c>
      <c r="B643" s="108">
        <v>1393</v>
      </c>
      <c r="C643" s="108">
        <v>7443</v>
      </c>
      <c r="D643" s="108">
        <v>966</v>
      </c>
      <c r="E643" s="108">
        <v>2480</v>
      </c>
      <c r="F643" s="108">
        <v>1303</v>
      </c>
      <c r="G643" s="108">
        <v>4822</v>
      </c>
      <c r="H643" s="108">
        <v>1621</v>
      </c>
      <c r="I643" s="108">
        <v>3914</v>
      </c>
      <c r="J643" s="108">
        <v>26</v>
      </c>
      <c r="K643" s="108">
        <v>388</v>
      </c>
      <c r="L643" s="108">
        <v>5309</v>
      </c>
      <c r="M643" s="108">
        <v>19047</v>
      </c>
      <c r="N643" s="108">
        <v>10277</v>
      </c>
      <c r="O643" s="108">
        <v>21022</v>
      </c>
      <c r="P643" s="108">
        <v>5488</v>
      </c>
      <c r="Q643" s="108">
        <v>24388</v>
      </c>
      <c r="R643" s="79">
        <f t="shared" si="59"/>
        <v>21074</v>
      </c>
      <c r="S643" s="167">
        <f t="shared" si="58"/>
        <v>21480</v>
      </c>
      <c r="T643" s="121">
        <f t="shared" si="49"/>
        <v>40969</v>
      </c>
    </row>
    <row r="644" spans="1:20" ht="15.6" x14ac:dyDescent="0.3">
      <c r="A644" s="122">
        <f t="shared" si="47"/>
        <v>40976</v>
      </c>
      <c r="B644" s="108">
        <v>1283</v>
      </c>
      <c r="C644" s="108">
        <v>7688</v>
      </c>
      <c r="D644" s="108">
        <v>834</v>
      </c>
      <c r="E644" s="108">
        <v>2662</v>
      </c>
      <c r="F644" s="108">
        <v>1146</v>
      </c>
      <c r="G644" s="108">
        <v>5050</v>
      </c>
      <c r="H644" s="108">
        <v>1392</v>
      </c>
      <c r="I644" s="108">
        <v>4172</v>
      </c>
      <c r="J644" s="108">
        <v>44</v>
      </c>
      <c r="K644" s="108">
        <v>388</v>
      </c>
      <c r="L644" s="108">
        <v>4699</v>
      </c>
      <c r="M644" s="108">
        <v>19960</v>
      </c>
      <c r="N644" s="108">
        <v>10078</v>
      </c>
      <c r="O644" s="108">
        <v>22058</v>
      </c>
      <c r="P644" s="108">
        <v>5387</v>
      </c>
      <c r="Q644" s="108">
        <v>25098</v>
      </c>
      <c r="R644" s="79">
        <f t="shared" ref="R644:R649" si="60">P644+N644+L644</f>
        <v>20164</v>
      </c>
      <c r="S644" s="167">
        <f t="shared" si="58"/>
        <v>21119.25</v>
      </c>
      <c r="T644" s="121">
        <f t="shared" si="49"/>
        <v>40976</v>
      </c>
    </row>
    <row r="645" spans="1:20" ht="15.6" x14ac:dyDescent="0.3">
      <c r="A645" s="122">
        <f t="shared" si="47"/>
        <v>40983</v>
      </c>
      <c r="B645" s="108">
        <v>1208</v>
      </c>
      <c r="C645" s="108">
        <v>7935</v>
      </c>
      <c r="D645" s="108">
        <v>855</v>
      </c>
      <c r="E645" s="108">
        <v>2754</v>
      </c>
      <c r="F645" s="108">
        <v>1167</v>
      </c>
      <c r="G645" s="108">
        <v>5147</v>
      </c>
      <c r="H645" s="108">
        <v>1405</v>
      </c>
      <c r="I645" s="108">
        <v>4275</v>
      </c>
      <c r="J645" s="108">
        <v>55</v>
      </c>
      <c r="K645" s="108">
        <v>388</v>
      </c>
      <c r="L645" s="108">
        <v>4689</v>
      </c>
      <c r="M645" s="108">
        <v>20498</v>
      </c>
      <c r="N645" s="108">
        <v>10432</v>
      </c>
      <c r="O645" s="108">
        <v>22566</v>
      </c>
      <c r="P645" s="108">
        <v>5133</v>
      </c>
      <c r="Q645" s="108">
        <v>25708</v>
      </c>
      <c r="R645" s="79">
        <f t="shared" si="60"/>
        <v>20254</v>
      </c>
      <c r="S645" s="167">
        <f t="shared" si="58"/>
        <v>20734</v>
      </c>
      <c r="T645" s="121">
        <f t="shared" si="49"/>
        <v>40983</v>
      </c>
    </row>
    <row r="646" spans="1:20" ht="15.6" x14ac:dyDescent="0.3">
      <c r="A646" s="122">
        <f t="shared" si="47"/>
        <v>40990</v>
      </c>
      <c r="B646" s="108">
        <v>1222</v>
      </c>
      <c r="C646" s="108">
        <v>8003</v>
      </c>
      <c r="D646" s="108">
        <v>834</v>
      </c>
      <c r="E646" s="108">
        <v>2901</v>
      </c>
      <c r="F646" s="108">
        <v>1028</v>
      </c>
      <c r="G646" s="108">
        <v>5300</v>
      </c>
      <c r="H646" s="108">
        <v>1337</v>
      </c>
      <c r="I646" s="108">
        <v>4348</v>
      </c>
      <c r="J646" s="108">
        <v>55</v>
      </c>
      <c r="K646" s="108">
        <v>388</v>
      </c>
      <c r="L646" s="108">
        <v>4475</v>
      </c>
      <c r="M646" s="108">
        <v>20939</v>
      </c>
      <c r="N646" s="108">
        <v>9919</v>
      </c>
      <c r="O646" s="108">
        <v>23209</v>
      </c>
      <c r="P646" s="108">
        <v>5044</v>
      </c>
      <c r="Q646" s="108">
        <v>26269</v>
      </c>
      <c r="R646" s="79">
        <f t="shared" si="60"/>
        <v>19438</v>
      </c>
      <c r="S646" s="167">
        <f t="shared" ref="S646:S679" si="61">AVERAGE(R643:R646)</f>
        <v>20232.5</v>
      </c>
      <c r="T646" s="121">
        <f t="shared" si="49"/>
        <v>40990</v>
      </c>
    </row>
    <row r="647" spans="1:20" ht="15.6" x14ac:dyDescent="0.3">
      <c r="A647" s="122">
        <f t="shared" si="47"/>
        <v>40997</v>
      </c>
      <c r="B647" s="108">
        <v>1123</v>
      </c>
      <c r="C647" s="108">
        <v>8225</v>
      </c>
      <c r="D647" s="108">
        <v>885</v>
      </c>
      <c r="E647" s="108">
        <v>2977</v>
      </c>
      <c r="F647" s="108">
        <v>1057</v>
      </c>
      <c r="G647" s="108">
        <v>5377</v>
      </c>
      <c r="H647" s="108">
        <v>1357</v>
      </c>
      <c r="I647" s="108">
        <v>4372</v>
      </c>
      <c r="J647" s="108">
        <v>56</v>
      </c>
      <c r="K647" s="108">
        <v>392</v>
      </c>
      <c r="L647" s="108">
        <v>4478</v>
      </c>
      <c r="M647" s="108">
        <v>21344</v>
      </c>
      <c r="N647" s="108">
        <v>10064</v>
      </c>
      <c r="O647" s="108">
        <v>24003</v>
      </c>
      <c r="P647" s="108">
        <v>4595</v>
      </c>
      <c r="Q647" s="108">
        <v>27125</v>
      </c>
      <c r="R647" s="79">
        <f t="shared" si="60"/>
        <v>19137</v>
      </c>
      <c r="S647" s="167">
        <f t="shared" si="61"/>
        <v>19748.25</v>
      </c>
      <c r="T647" s="121">
        <f t="shared" si="49"/>
        <v>40997</v>
      </c>
    </row>
    <row r="648" spans="1:20" ht="15.6" x14ac:dyDescent="0.3">
      <c r="A648" s="122">
        <f t="shared" si="47"/>
        <v>41004</v>
      </c>
      <c r="B648" s="108">
        <v>1220</v>
      </c>
      <c r="C648" s="108">
        <v>8369</v>
      </c>
      <c r="D648" s="108">
        <v>858</v>
      </c>
      <c r="E648" s="108">
        <v>3093</v>
      </c>
      <c r="F648" s="108">
        <v>1093</v>
      </c>
      <c r="G648" s="108">
        <v>5390</v>
      </c>
      <c r="H648" s="108">
        <v>1263</v>
      </c>
      <c r="I648" s="108">
        <v>4530</v>
      </c>
      <c r="J648" s="108">
        <v>56</v>
      </c>
      <c r="K648" s="108">
        <v>392</v>
      </c>
      <c r="L648" s="108">
        <v>4490</v>
      </c>
      <c r="M648" s="108">
        <v>21783</v>
      </c>
      <c r="N648" s="108">
        <v>10365</v>
      </c>
      <c r="O648" s="108">
        <v>24660</v>
      </c>
      <c r="P648" s="108">
        <v>4282</v>
      </c>
      <c r="Q648" s="108">
        <v>27899</v>
      </c>
      <c r="R648" s="79">
        <f t="shared" si="60"/>
        <v>19137</v>
      </c>
      <c r="S648" s="167">
        <f t="shared" si="61"/>
        <v>19491.5</v>
      </c>
      <c r="T648" s="121">
        <f t="shared" si="49"/>
        <v>41004</v>
      </c>
    </row>
    <row r="649" spans="1:20" ht="15.6" x14ac:dyDescent="0.3">
      <c r="A649" s="122">
        <f t="shared" si="47"/>
        <v>41011</v>
      </c>
      <c r="B649" s="108">
        <v>1221</v>
      </c>
      <c r="C649" s="108">
        <v>8470</v>
      </c>
      <c r="D649" s="108">
        <v>882</v>
      </c>
      <c r="E649" s="108">
        <v>3210</v>
      </c>
      <c r="F649" s="108">
        <v>1026</v>
      </c>
      <c r="G649" s="108">
        <v>5531</v>
      </c>
      <c r="H649" s="108">
        <v>1074</v>
      </c>
      <c r="I649" s="108">
        <v>4764</v>
      </c>
      <c r="J649" s="108">
        <v>22</v>
      </c>
      <c r="K649" s="108">
        <v>440</v>
      </c>
      <c r="L649" s="108">
        <v>4224</v>
      </c>
      <c r="M649" s="108">
        <v>22416</v>
      </c>
      <c r="N649" s="108">
        <v>9551</v>
      </c>
      <c r="O649" s="108">
        <v>25775</v>
      </c>
      <c r="P649" s="108">
        <v>4162</v>
      </c>
      <c r="Q649" s="108">
        <v>28392</v>
      </c>
      <c r="R649" s="79">
        <f t="shared" si="60"/>
        <v>17937</v>
      </c>
      <c r="S649" s="167">
        <f t="shared" si="61"/>
        <v>18912.25</v>
      </c>
      <c r="T649" s="121">
        <f t="shared" si="49"/>
        <v>41011</v>
      </c>
    </row>
    <row r="650" spans="1:20" ht="15.6" x14ac:dyDescent="0.3">
      <c r="A650" s="122">
        <f t="shared" si="47"/>
        <v>41018</v>
      </c>
      <c r="B650" s="108">
        <v>1187</v>
      </c>
      <c r="C650" s="108">
        <v>8626</v>
      </c>
      <c r="D650" s="108">
        <v>899</v>
      </c>
      <c r="E650" s="108">
        <v>3380</v>
      </c>
      <c r="F650" s="108">
        <v>1044</v>
      </c>
      <c r="G650" s="108">
        <v>5621</v>
      </c>
      <c r="H650" s="108">
        <v>834</v>
      </c>
      <c r="I650" s="108">
        <v>4966</v>
      </c>
      <c r="J650" s="108">
        <v>29</v>
      </c>
      <c r="K650" s="108">
        <v>440</v>
      </c>
      <c r="L650" s="108">
        <v>3993</v>
      </c>
      <c r="M650" s="108">
        <v>23033</v>
      </c>
      <c r="N650" s="108">
        <v>9495</v>
      </c>
      <c r="O650" s="108">
        <v>26475</v>
      </c>
      <c r="P650" s="108">
        <v>4742</v>
      </c>
      <c r="Q650" s="108">
        <v>28678</v>
      </c>
      <c r="R650" s="79">
        <f t="shared" ref="R650:R655" si="62">P650+N650+L650</f>
        <v>18230</v>
      </c>
      <c r="S650" s="167">
        <f t="shared" si="61"/>
        <v>18610.25</v>
      </c>
      <c r="T650" s="121">
        <f t="shared" si="49"/>
        <v>41018</v>
      </c>
    </row>
    <row r="651" spans="1:20" ht="15.6" x14ac:dyDescent="0.3">
      <c r="A651" s="122">
        <f t="shared" ref="A651:A714" si="63">A650+7</f>
        <v>41025</v>
      </c>
      <c r="B651" s="108">
        <v>1202</v>
      </c>
      <c r="C651" s="108">
        <v>8808</v>
      </c>
      <c r="D651" s="108">
        <v>904</v>
      </c>
      <c r="E651" s="108">
        <v>3447</v>
      </c>
      <c r="F651" s="108">
        <v>889</v>
      </c>
      <c r="G651" s="108">
        <v>5802</v>
      </c>
      <c r="H651" s="108">
        <v>610</v>
      </c>
      <c r="I651" s="108">
        <v>5151</v>
      </c>
      <c r="J651" s="108">
        <v>24</v>
      </c>
      <c r="K651" s="108">
        <v>447</v>
      </c>
      <c r="L651" s="108">
        <v>3628</v>
      </c>
      <c r="M651" s="108">
        <v>23655</v>
      </c>
      <c r="N651" s="108">
        <v>10163</v>
      </c>
      <c r="O651" s="108">
        <v>27140</v>
      </c>
      <c r="P651" s="108">
        <v>4904</v>
      </c>
      <c r="Q651" s="108">
        <v>29114</v>
      </c>
      <c r="R651" s="79">
        <f t="shared" si="62"/>
        <v>18695</v>
      </c>
      <c r="S651" s="167">
        <f t="shared" si="61"/>
        <v>18499.75</v>
      </c>
      <c r="T651" s="121">
        <f t="shared" si="49"/>
        <v>41025</v>
      </c>
    </row>
    <row r="652" spans="1:20" ht="15.6" x14ac:dyDescent="0.3">
      <c r="A652" s="122">
        <f t="shared" si="63"/>
        <v>41032</v>
      </c>
      <c r="B652" s="108">
        <v>1074</v>
      </c>
      <c r="C652" s="108">
        <v>9067</v>
      </c>
      <c r="D652" s="108">
        <v>711</v>
      </c>
      <c r="E652" s="108">
        <v>3621</v>
      </c>
      <c r="F652" s="108">
        <v>874</v>
      </c>
      <c r="G652" s="108">
        <v>5874</v>
      </c>
      <c r="H652" s="108">
        <v>596</v>
      </c>
      <c r="I652" s="108">
        <v>5198</v>
      </c>
      <c r="J652" s="108">
        <v>44</v>
      </c>
      <c r="K652" s="108">
        <v>447</v>
      </c>
      <c r="L652" s="108">
        <v>3299</v>
      </c>
      <c r="M652" s="108">
        <v>24206</v>
      </c>
      <c r="N652" s="108">
        <v>9691</v>
      </c>
      <c r="O652" s="108">
        <v>27837</v>
      </c>
      <c r="P652" s="108">
        <v>5065</v>
      </c>
      <c r="Q652" s="108">
        <v>29419</v>
      </c>
      <c r="R652" s="79">
        <f t="shared" si="62"/>
        <v>18055</v>
      </c>
      <c r="S652" s="167">
        <f t="shared" si="61"/>
        <v>18229.25</v>
      </c>
      <c r="T652" s="121">
        <f t="shared" ref="T652:T715" si="64">T651+7</f>
        <v>41032</v>
      </c>
    </row>
    <row r="653" spans="1:20" ht="15.6" x14ac:dyDescent="0.3">
      <c r="A653" s="122">
        <f t="shared" si="63"/>
        <v>41039</v>
      </c>
      <c r="B653" s="108">
        <v>977</v>
      </c>
      <c r="C653" s="108">
        <v>9271</v>
      </c>
      <c r="D653" s="108">
        <v>480</v>
      </c>
      <c r="E653" s="108">
        <v>3900</v>
      </c>
      <c r="F653" s="108">
        <v>888</v>
      </c>
      <c r="G653" s="108">
        <v>5933</v>
      </c>
      <c r="H653" s="108">
        <v>550</v>
      </c>
      <c r="I653" s="108">
        <v>5329</v>
      </c>
      <c r="J653" s="108">
        <v>47</v>
      </c>
      <c r="K653" s="108">
        <v>452</v>
      </c>
      <c r="L653" s="108">
        <v>2942</v>
      </c>
      <c r="M653" s="108">
        <v>24885</v>
      </c>
      <c r="N653" s="108">
        <v>9364</v>
      </c>
      <c r="O653" s="108">
        <v>28503</v>
      </c>
      <c r="P653" s="108">
        <v>5111</v>
      </c>
      <c r="Q653" s="108">
        <v>29989</v>
      </c>
      <c r="R653" s="79">
        <f t="shared" si="62"/>
        <v>17417</v>
      </c>
      <c r="S653" s="167">
        <f t="shared" si="61"/>
        <v>18099.25</v>
      </c>
      <c r="T653" s="121">
        <f t="shared" si="64"/>
        <v>41039</v>
      </c>
    </row>
    <row r="654" spans="1:20" ht="15.6" x14ac:dyDescent="0.3">
      <c r="A654" s="122">
        <f t="shared" si="63"/>
        <v>41046</v>
      </c>
      <c r="B654" s="108">
        <v>774</v>
      </c>
      <c r="C654" s="108">
        <v>9490</v>
      </c>
      <c r="D654" s="108">
        <v>449</v>
      </c>
      <c r="E654" s="108">
        <v>3995</v>
      </c>
      <c r="F654" s="108">
        <v>888</v>
      </c>
      <c r="G654" s="108">
        <v>6052</v>
      </c>
      <c r="H654" s="108">
        <v>430</v>
      </c>
      <c r="I654" s="108">
        <v>5462</v>
      </c>
      <c r="J654" s="108">
        <v>45</v>
      </c>
      <c r="K654" s="108">
        <v>455</v>
      </c>
      <c r="L654" s="108">
        <v>2446</v>
      </c>
      <c r="M654" s="108">
        <v>25453</v>
      </c>
      <c r="N654" s="108">
        <v>8830</v>
      </c>
      <c r="O654" s="108">
        <v>29193</v>
      </c>
      <c r="P654" s="108">
        <v>5510</v>
      </c>
      <c r="Q654" s="108">
        <v>30391</v>
      </c>
      <c r="R654" s="79">
        <f t="shared" si="62"/>
        <v>16786</v>
      </c>
      <c r="S654" s="167">
        <f t="shared" si="61"/>
        <v>17738.25</v>
      </c>
      <c r="T654" s="121">
        <f t="shared" si="64"/>
        <v>41046</v>
      </c>
    </row>
    <row r="655" spans="1:20" ht="15.6" x14ac:dyDescent="0.3">
      <c r="A655" s="122">
        <f t="shared" si="63"/>
        <v>41053</v>
      </c>
      <c r="B655" s="108">
        <v>606</v>
      </c>
      <c r="C655" s="108">
        <v>9648</v>
      </c>
      <c r="D655" s="108">
        <v>272</v>
      </c>
      <c r="E655" s="108">
        <v>4184</v>
      </c>
      <c r="F655" s="108">
        <v>542</v>
      </c>
      <c r="G655" s="108">
        <v>6244</v>
      </c>
      <c r="H655" s="108">
        <v>340</v>
      </c>
      <c r="I655" s="108">
        <v>5556</v>
      </c>
      <c r="J655" s="108">
        <v>36</v>
      </c>
      <c r="K655" s="108">
        <v>463</v>
      </c>
      <c r="L655" s="108">
        <v>1796</v>
      </c>
      <c r="M655" s="108">
        <v>26097</v>
      </c>
      <c r="N655" s="108">
        <v>8204</v>
      </c>
      <c r="O655" s="108">
        <v>30008</v>
      </c>
      <c r="P655" s="108">
        <v>5442</v>
      </c>
      <c r="Q655" s="108">
        <v>30699</v>
      </c>
      <c r="R655" s="79">
        <f t="shared" si="62"/>
        <v>15442</v>
      </c>
      <c r="S655" s="167">
        <f t="shared" si="61"/>
        <v>16925</v>
      </c>
      <c r="T655" s="121">
        <f t="shared" si="64"/>
        <v>41053</v>
      </c>
    </row>
    <row r="656" spans="1:20" ht="15.6" x14ac:dyDescent="0.3">
      <c r="A656" s="122">
        <f t="shared" si="63"/>
        <v>41060</v>
      </c>
      <c r="B656" s="108">
        <v>396</v>
      </c>
      <c r="C656" s="108">
        <v>9904</v>
      </c>
      <c r="D656" s="108">
        <v>130</v>
      </c>
      <c r="E656" s="108">
        <v>4319</v>
      </c>
      <c r="F656" s="108">
        <v>466</v>
      </c>
      <c r="G656" s="108">
        <v>6312</v>
      </c>
      <c r="H656" s="108">
        <v>297</v>
      </c>
      <c r="I656" s="108">
        <v>5601</v>
      </c>
      <c r="J656" s="108">
        <v>7.6</v>
      </c>
      <c r="K656" s="108">
        <v>491</v>
      </c>
      <c r="L656" s="108">
        <v>1296</v>
      </c>
      <c r="M656" s="108">
        <v>26627</v>
      </c>
      <c r="N656" s="108">
        <v>7723</v>
      </c>
      <c r="O656" s="108">
        <v>30741</v>
      </c>
      <c r="P656" s="108">
        <v>5223</v>
      </c>
      <c r="Q656" s="108">
        <v>31139</v>
      </c>
      <c r="R656" s="79">
        <f t="shared" ref="R656:R661" si="65">P656+N656+L656</f>
        <v>14242</v>
      </c>
      <c r="S656" s="167">
        <f t="shared" si="61"/>
        <v>15971.75</v>
      </c>
      <c r="T656" s="121">
        <f t="shared" si="64"/>
        <v>41060</v>
      </c>
    </row>
    <row r="657" spans="1:20" ht="15.6" x14ac:dyDescent="0.3">
      <c r="A657" s="122">
        <f t="shared" si="63"/>
        <v>41067</v>
      </c>
      <c r="B657" s="108">
        <v>1630</v>
      </c>
      <c r="C657" s="108">
        <v>333</v>
      </c>
      <c r="D657" s="108">
        <v>819</v>
      </c>
      <c r="E657" s="108">
        <v>80</v>
      </c>
      <c r="F657" s="108">
        <v>1375</v>
      </c>
      <c r="G657" s="108">
        <v>149</v>
      </c>
      <c r="H657" s="108">
        <v>915</v>
      </c>
      <c r="I657" s="108">
        <v>106</v>
      </c>
      <c r="J657" s="108">
        <v>143</v>
      </c>
      <c r="K657" s="108">
        <v>0</v>
      </c>
      <c r="L657" s="108">
        <v>4881</v>
      </c>
      <c r="M657" s="108">
        <v>667</v>
      </c>
      <c r="N657" s="108">
        <v>7382</v>
      </c>
      <c r="O657" s="108">
        <v>31174</v>
      </c>
      <c r="P657" s="108">
        <v>5272</v>
      </c>
      <c r="Q657" s="108">
        <v>31515</v>
      </c>
      <c r="R657" s="79">
        <f t="shared" si="65"/>
        <v>17535</v>
      </c>
      <c r="S657" s="167">
        <f t="shared" si="61"/>
        <v>16001.25</v>
      </c>
      <c r="T657" s="121">
        <f t="shared" si="64"/>
        <v>41067</v>
      </c>
    </row>
    <row r="658" spans="1:20" ht="15.6" x14ac:dyDescent="0.3">
      <c r="A658" s="122">
        <f t="shared" si="63"/>
        <v>41074</v>
      </c>
      <c r="B658" s="108">
        <v>1723</v>
      </c>
      <c r="C658" s="108">
        <v>506</v>
      </c>
      <c r="D658" s="108">
        <v>896</v>
      </c>
      <c r="E658" s="108">
        <v>240</v>
      </c>
      <c r="F658" s="108">
        <v>1361</v>
      </c>
      <c r="G658" s="108">
        <v>326</v>
      </c>
      <c r="H658" s="108">
        <v>994</v>
      </c>
      <c r="I658" s="108">
        <v>190</v>
      </c>
      <c r="J658" s="108">
        <v>154</v>
      </c>
      <c r="K658" s="108">
        <v>0</v>
      </c>
      <c r="L658" s="108">
        <v>5128</v>
      </c>
      <c r="M658" s="108">
        <v>1262</v>
      </c>
      <c r="N658" s="108">
        <v>6840</v>
      </c>
      <c r="O658" s="108">
        <v>31887</v>
      </c>
      <c r="P658" s="108">
        <v>5002</v>
      </c>
      <c r="Q658" s="108">
        <v>31948</v>
      </c>
      <c r="R658" s="79">
        <f t="shared" si="65"/>
        <v>16970</v>
      </c>
      <c r="S658" s="167">
        <f t="shared" si="61"/>
        <v>16047.25</v>
      </c>
      <c r="T658" s="121">
        <f t="shared" si="64"/>
        <v>41074</v>
      </c>
    </row>
    <row r="659" spans="1:20" ht="15.6" x14ac:dyDescent="0.3">
      <c r="A659" s="122">
        <f t="shared" si="63"/>
        <v>41081</v>
      </c>
      <c r="B659" s="108">
        <v>1654</v>
      </c>
      <c r="C659" s="108">
        <v>749</v>
      </c>
      <c r="D659" s="108">
        <v>823</v>
      </c>
      <c r="E659" s="108">
        <v>334</v>
      </c>
      <c r="F659" s="108">
        <v>1321</v>
      </c>
      <c r="G659" s="108">
        <v>402</v>
      </c>
      <c r="H659" s="108">
        <v>1030</v>
      </c>
      <c r="I659" s="108">
        <v>247</v>
      </c>
      <c r="J659" s="108">
        <v>152</v>
      </c>
      <c r="K659" s="108">
        <v>3</v>
      </c>
      <c r="L659" s="108">
        <v>4980</v>
      </c>
      <c r="M659" s="108">
        <v>1735</v>
      </c>
      <c r="N659" s="108">
        <v>6368</v>
      </c>
      <c r="O659" s="108">
        <v>32552</v>
      </c>
      <c r="P659" s="108">
        <v>5151</v>
      </c>
      <c r="Q659" s="108">
        <v>32179</v>
      </c>
      <c r="R659" s="79">
        <f t="shared" si="65"/>
        <v>16499</v>
      </c>
      <c r="S659" s="167">
        <f t="shared" si="61"/>
        <v>16311.5</v>
      </c>
      <c r="T659" s="121">
        <f t="shared" si="64"/>
        <v>41081</v>
      </c>
    </row>
    <row r="660" spans="1:20" ht="15.6" x14ac:dyDescent="0.3">
      <c r="A660" s="122">
        <f t="shared" si="63"/>
        <v>41088</v>
      </c>
      <c r="B660" s="108">
        <v>1533</v>
      </c>
      <c r="C660" s="108">
        <v>1112</v>
      </c>
      <c r="D660" s="108">
        <v>821</v>
      </c>
      <c r="E660" s="108">
        <v>397</v>
      </c>
      <c r="F660" s="108">
        <v>1271</v>
      </c>
      <c r="G660" s="108">
        <v>490</v>
      </c>
      <c r="H660" s="108">
        <v>1050</v>
      </c>
      <c r="I660" s="108">
        <v>290</v>
      </c>
      <c r="J660" s="108">
        <v>127</v>
      </c>
      <c r="K660" s="108">
        <v>43</v>
      </c>
      <c r="L660" s="108">
        <v>4802</v>
      </c>
      <c r="M660" s="108">
        <v>2332</v>
      </c>
      <c r="N660" s="108">
        <v>5742</v>
      </c>
      <c r="O660" s="108">
        <v>33197</v>
      </c>
      <c r="P660" s="108">
        <v>5053</v>
      </c>
      <c r="Q660" s="108">
        <v>32577</v>
      </c>
      <c r="R660" s="79">
        <f t="shared" si="65"/>
        <v>15597</v>
      </c>
      <c r="S660" s="167">
        <f t="shared" si="61"/>
        <v>16650.25</v>
      </c>
      <c r="T660" s="121">
        <f t="shared" si="64"/>
        <v>41088</v>
      </c>
    </row>
    <row r="661" spans="1:20" ht="15.6" x14ac:dyDescent="0.3">
      <c r="A661" s="122">
        <f t="shared" si="63"/>
        <v>41095</v>
      </c>
      <c r="B661" s="108">
        <v>1417</v>
      </c>
      <c r="C661" s="108">
        <v>1349</v>
      </c>
      <c r="D661" s="108">
        <v>806</v>
      </c>
      <c r="E661" s="108">
        <v>441</v>
      </c>
      <c r="F661" s="108">
        <v>1287</v>
      </c>
      <c r="G661" s="108">
        <v>564</v>
      </c>
      <c r="H661" s="108">
        <v>1066</v>
      </c>
      <c r="I661" s="108">
        <v>346</v>
      </c>
      <c r="J661" s="108">
        <v>127</v>
      </c>
      <c r="K661" s="108">
        <v>43</v>
      </c>
      <c r="L661" s="108">
        <v>4703</v>
      </c>
      <c r="M661" s="108">
        <v>2743</v>
      </c>
      <c r="N661" s="108">
        <v>5309</v>
      </c>
      <c r="O661" s="108">
        <v>33803</v>
      </c>
      <c r="P661" s="108">
        <v>4951</v>
      </c>
      <c r="Q661" s="108">
        <v>32577</v>
      </c>
      <c r="R661" s="79">
        <f t="shared" si="65"/>
        <v>14963</v>
      </c>
      <c r="S661" s="167">
        <f t="shared" si="61"/>
        <v>16007.25</v>
      </c>
      <c r="T661" s="121">
        <f t="shared" si="64"/>
        <v>41095</v>
      </c>
    </row>
    <row r="662" spans="1:20" ht="15.6" x14ac:dyDescent="0.3">
      <c r="A662" s="122">
        <f t="shared" si="63"/>
        <v>41102</v>
      </c>
      <c r="B662" s="108">
        <v>1500</v>
      </c>
      <c r="C662" s="108">
        <v>1522</v>
      </c>
      <c r="D662" s="108">
        <v>813</v>
      </c>
      <c r="E662" s="108">
        <v>487</v>
      </c>
      <c r="F662" s="108">
        <v>1348</v>
      </c>
      <c r="G662" s="108">
        <v>670</v>
      </c>
      <c r="H662" s="108">
        <v>1137</v>
      </c>
      <c r="I662" s="108">
        <v>387</v>
      </c>
      <c r="J662" s="108">
        <v>123</v>
      </c>
      <c r="K662" s="108">
        <v>47</v>
      </c>
      <c r="L662" s="108">
        <v>4922</v>
      </c>
      <c r="M662" s="108">
        <v>3113</v>
      </c>
      <c r="N662" s="108">
        <v>4659</v>
      </c>
      <c r="O662" s="108">
        <v>34485</v>
      </c>
      <c r="P662" s="108">
        <v>4669</v>
      </c>
      <c r="Q662" s="108">
        <v>33428</v>
      </c>
      <c r="R662" s="79">
        <f t="shared" ref="R662:R668" si="66">P662+N662+L662</f>
        <v>14250</v>
      </c>
      <c r="S662" s="167">
        <f t="shared" si="61"/>
        <v>15327.25</v>
      </c>
      <c r="T662" s="121">
        <f t="shared" si="64"/>
        <v>41102</v>
      </c>
    </row>
    <row r="663" spans="1:20" ht="15.6" x14ac:dyDescent="0.3">
      <c r="A663" s="122">
        <f t="shared" si="63"/>
        <v>41109</v>
      </c>
      <c r="B663" s="108">
        <v>1517</v>
      </c>
      <c r="C663" s="108">
        <v>1676</v>
      </c>
      <c r="D663" s="108">
        <v>840</v>
      </c>
      <c r="E663" s="108">
        <v>544</v>
      </c>
      <c r="F663" s="108">
        <v>1390</v>
      </c>
      <c r="G663" s="108">
        <v>729</v>
      </c>
      <c r="H663" s="108">
        <v>1160</v>
      </c>
      <c r="I663" s="108">
        <v>408</v>
      </c>
      <c r="J663" s="108">
        <v>112</v>
      </c>
      <c r="K663" s="108">
        <v>57</v>
      </c>
      <c r="L663" s="108">
        <v>5019</v>
      </c>
      <c r="M663" s="108">
        <v>3383</v>
      </c>
      <c r="N663" s="108">
        <v>4137</v>
      </c>
      <c r="O663" s="108">
        <v>34998</v>
      </c>
      <c r="P663" s="108">
        <v>4386</v>
      </c>
      <c r="Q663" s="108">
        <v>33904</v>
      </c>
      <c r="R663" s="79">
        <f t="shared" si="66"/>
        <v>13542</v>
      </c>
      <c r="S663" s="167">
        <f t="shared" si="61"/>
        <v>14588</v>
      </c>
      <c r="T663" s="121">
        <f t="shared" si="64"/>
        <v>41109</v>
      </c>
    </row>
    <row r="664" spans="1:20" ht="15.6" x14ac:dyDescent="0.3">
      <c r="A664" s="122">
        <f t="shared" si="63"/>
        <v>41116</v>
      </c>
      <c r="B664" s="108">
        <v>1509</v>
      </c>
      <c r="C664" s="108">
        <v>1871</v>
      </c>
      <c r="D664" s="108">
        <v>745</v>
      </c>
      <c r="E664" s="108">
        <v>631</v>
      </c>
      <c r="F664" s="108">
        <v>1449</v>
      </c>
      <c r="G664" s="108">
        <v>819</v>
      </c>
      <c r="H664" s="108">
        <v>1266</v>
      </c>
      <c r="I664" s="108">
        <v>447</v>
      </c>
      <c r="J664" s="108">
        <v>102</v>
      </c>
      <c r="K664" s="108">
        <v>78</v>
      </c>
      <c r="L664" s="108">
        <v>5072</v>
      </c>
      <c r="M664" s="108">
        <v>3846</v>
      </c>
      <c r="N664" s="108">
        <v>3732</v>
      </c>
      <c r="O664" s="108">
        <v>35581</v>
      </c>
      <c r="P664" s="108">
        <v>4135</v>
      </c>
      <c r="Q664" s="108">
        <v>34349</v>
      </c>
      <c r="R664" s="79">
        <f t="shared" si="66"/>
        <v>12939</v>
      </c>
      <c r="S664" s="167">
        <f t="shared" si="61"/>
        <v>13923.5</v>
      </c>
      <c r="T664" s="121">
        <f t="shared" si="64"/>
        <v>41116</v>
      </c>
    </row>
    <row r="665" spans="1:20" ht="15.6" x14ac:dyDescent="0.3">
      <c r="A665" s="122">
        <f t="shared" si="63"/>
        <v>41123</v>
      </c>
      <c r="B665" s="108">
        <v>1535</v>
      </c>
      <c r="C665" s="108">
        <v>2129</v>
      </c>
      <c r="D665" s="108">
        <v>681</v>
      </c>
      <c r="E665" s="108">
        <v>762</v>
      </c>
      <c r="F665" s="108">
        <v>1525</v>
      </c>
      <c r="G665" s="108">
        <v>909</v>
      </c>
      <c r="H665" s="108">
        <v>1267</v>
      </c>
      <c r="I665" s="108">
        <v>566</v>
      </c>
      <c r="J665" s="108">
        <v>132</v>
      </c>
      <c r="K665" s="108">
        <v>78</v>
      </c>
      <c r="L665" s="108">
        <v>5141</v>
      </c>
      <c r="M665" s="108">
        <v>4443</v>
      </c>
      <c r="N665" s="108">
        <v>3430</v>
      </c>
      <c r="O665" s="108">
        <v>36057</v>
      </c>
      <c r="P665" s="108">
        <v>3880</v>
      </c>
      <c r="Q665" s="108">
        <v>34709</v>
      </c>
      <c r="R665" s="79">
        <f t="shared" si="66"/>
        <v>12451</v>
      </c>
      <c r="S665" s="167">
        <f t="shared" si="61"/>
        <v>13295.5</v>
      </c>
      <c r="T665" s="121">
        <f t="shared" si="64"/>
        <v>41123</v>
      </c>
    </row>
    <row r="666" spans="1:20" ht="15.6" x14ac:dyDescent="0.3">
      <c r="A666" s="122">
        <f t="shared" si="63"/>
        <v>41130</v>
      </c>
      <c r="B666" s="108">
        <v>1462</v>
      </c>
      <c r="C666" s="108">
        <v>2319</v>
      </c>
      <c r="D666" s="108">
        <v>676</v>
      </c>
      <c r="E666" s="108">
        <v>811</v>
      </c>
      <c r="F666" s="108">
        <v>1512</v>
      </c>
      <c r="G666" s="108">
        <v>1049</v>
      </c>
      <c r="H666" s="108">
        <v>1225</v>
      </c>
      <c r="I666" s="108">
        <v>709</v>
      </c>
      <c r="J666" s="108">
        <v>104</v>
      </c>
      <c r="K666" s="108">
        <v>114</v>
      </c>
      <c r="L666" s="108">
        <v>4978</v>
      </c>
      <c r="M666" s="108">
        <v>5002</v>
      </c>
      <c r="N666" s="108">
        <v>2920</v>
      </c>
      <c r="O666" s="108">
        <v>36690</v>
      </c>
      <c r="P666" s="108">
        <v>3597</v>
      </c>
      <c r="Q666" s="108">
        <v>35179</v>
      </c>
      <c r="R666" s="79">
        <f t="shared" si="66"/>
        <v>11495</v>
      </c>
      <c r="S666" s="167">
        <f t="shared" si="61"/>
        <v>12606.75</v>
      </c>
      <c r="T666" s="121">
        <f t="shared" si="64"/>
        <v>41130</v>
      </c>
    </row>
    <row r="667" spans="1:20" ht="15.6" x14ac:dyDescent="0.3">
      <c r="A667" s="122">
        <f t="shared" si="63"/>
        <v>41137</v>
      </c>
      <c r="B667" s="108">
        <v>1402</v>
      </c>
      <c r="C667" s="108">
        <v>2579</v>
      </c>
      <c r="D667" s="108">
        <v>617</v>
      </c>
      <c r="E667" s="108">
        <v>873</v>
      </c>
      <c r="F667" s="108">
        <v>1553</v>
      </c>
      <c r="G667" s="108">
        <v>1179</v>
      </c>
      <c r="H667" s="108">
        <v>1091</v>
      </c>
      <c r="I667" s="108">
        <v>909</v>
      </c>
      <c r="J667" s="108">
        <v>87</v>
      </c>
      <c r="K667" s="108">
        <v>131</v>
      </c>
      <c r="L667" s="108">
        <v>4749</v>
      </c>
      <c r="M667" s="108">
        <v>5671</v>
      </c>
      <c r="N667" s="108">
        <v>2427</v>
      </c>
      <c r="O667" s="108">
        <v>37292</v>
      </c>
      <c r="P667" s="108">
        <v>3043</v>
      </c>
      <c r="Q667" s="108">
        <v>35777</v>
      </c>
      <c r="R667" s="79">
        <f t="shared" si="66"/>
        <v>10219</v>
      </c>
      <c r="S667" s="167">
        <f t="shared" si="61"/>
        <v>11776</v>
      </c>
      <c r="T667" s="121">
        <f t="shared" si="64"/>
        <v>41137</v>
      </c>
    </row>
    <row r="668" spans="1:20" ht="15.6" x14ac:dyDescent="0.3">
      <c r="A668" s="122">
        <f t="shared" si="63"/>
        <v>41144</v>
      </c>
      <c r="B668" s="108">
        <v>1502</v>
      </c>
      <c r="C668" s="108">
        <v>2729</v>
      </c>
      <c r="D668" s="108">
        <v>646</v>
      </c>
      <c r="E668" s="108">
        <v>904</v>
      </c>
      <c r="F668" s="108">
        <v>1564</v>
      </c>
      <c r="G668" s="108">
        <v>1294</v>
      </c>
      <c r="H668" s="108">
        <v>879</v>
      </c>
      <c r="I668" s="108">
        <v>1172</v>
      </c>
      <c r="J668" s="108">
        <v>107</v>
      </c>
      <c r="K668" s="108">
        <v>131</v>
      </c>
      <c r="L668" s="108">
        <v>4698</v>
      </c>
      <c r="M668" s="108">
        <v>6230</v>
      </c>
      <c r="N668" s="108">
        <v>2021</v>
      </c>
      <c r="O668" s="108">
        <v>37664</v>
      </c>
      <c r="P668" s="108">
        <v>2497</v>
      </c>
      <c r="Q668" s="108">
        <v>36312</v>
      </c>
      <c r="R668" s="79">
        <f t="shared" si="66"/>
        <v>9216</v>
      </c>
      <c r="S668" s="167">
        <f t="shared" si="61"/>
        <v>10845.25</v>
      </c>
      <c r="T668" s="121">
        <f t="shared" si="64"/>
        <v>41144</v>
      </c>
    </row>
    <row r="669" spans="1:20" ht="15.6" x14ac:dyDescent="0.3">
      <c r="A669" s="122">
        <f t="shared" si="63"/>
        <v>41151</v>
      </c>
      <c r="B669" s="108">
        <v>1547</v>
      </c>
      <c r="C669" s="108">
        <v>2946</v>
      </c>
      <c r="D669" s="108">
        <v>714</v>
      </c>
      <c r="E669" s="108">
        <v>969</v>
      </c>
      <c r="F669" s="108">
        <v>1477</v>
      </c>
      <c r="G669" s="108">
        <v>1500</v>
      </c>
      <c r="H669" s="108">
        <v>801</v>
      </c>
      <c r="I669" s="108">
        <v>1285</v>
      </c>
      <c r="J669" s="108">
        <v>115</v>
      </c>
      <c r="K669" s="108">
        <v>131</v>
      </c>
      <c r="L669" s="108">
        <v>4652</v>
      </c>
      <c r="M669" s="108">
        <v>6831</v>
      </c>
      <c r="N669" s="108">
        <v>1681</v>
      </c>
      <c r="O669" s="108">
        <v>37900</v>
      </c>
      <c r="P669" s="108">
        <v>2088</v>
      </c>
      <c r="Q669" s="108">
        <v>36727</v>
      </c>
      <c r="R669" s="79">
        <f t="shared" ref="R669:R674" si="67">P669+N669+L669</f>
        <v>8421</v>
      </c>
      <c r="S669" s="167">
        <f t="shared" si="61"/>
        <v>9837.75</v>
      </c>
      <c r="T669" s="121">
        <f t="shared" si="64"/>
        <v>41151</v>
      </c>
    </row>
    <row r="670" spans="1:20" ht="15.6" x14ac:dyDescent="0.3">
      <c r="A670" s="122">
        <f t="shared" si="63"/>
        <v>41158</v>
      </c>
      <c r="B670" s="108">
        <v>1477</v>
      </c>
      <c r="C670" s="108">
        <v>3083</v>
      </c>
      <c r="D670" s="108">
        <v>731</v>
      </c>
      <c r="E670" s="108">
        <v>1041</v>
      </c>
      <c r="F670" s="108">
        <v>1400</v>
      </c>
      <c r="G670" s="108">
        <v>1708</v>
      </c>
      <c r="H670" s="108">
        <v>835</v>
      </c>
      <c r="I670" s="108">
        <v>1339</v>
      </c>
      <c r="J670" s="108">
        <v>105</v>
      </c>
      <c r="K670" s="108">
        <v>142</v>
      </c>
      <c r="L670" s="108">
        <v>4547</v>
      </c>
      <c r="M670" s="108">
        <v>7313</v>
      </c>
      <c r="N670" s="108">
        <v>9783</v>
      </c>
      <c r="O670" s="108">
        <v>249</v>
      </c>
      <c r="P670" s="108">
        <v>20385</v>
      </c>
      <c r="Q670" s="108">
        <v>339</v>
      </c>
      <c r="R670" s="79">
        <f t="shared" si="67"/>
        <v>34715</v>
      </c>
      <c r="S670" s="167">
        <f t="shared" si="61"/>
        <v>15642.75</v>
      </c>
      <c r="T670" s="121">
        <f t="shared" si="64"/>
        <v>41158</v>
      </c>
    </row>
    <row r="671" spans="1:20" ht="15.6" x14ac:dyDescent="0.3">
      <c r="A671" s="122">
        <f t="shared" si="63"/>
        <v>41165</v>
      </c>
      <c r="B671" s="108">
        <v>1458</v>
      </c>
      <c r="C671" s="108">
        <v>3287</v>
      </c>
      <c r="D671" s="108">
        <v>684</v>
      </c>
      <c r="E671" s="108">
        <v>1152</v>
      </c>
      <c r="F671" s="108">
        <v>1202</v>
      </c>
      <c r="G671" s="108">
        <v>2020</v>
      </c>
      <c r="H671" s="108">
        <v>824</v>
      </c>
      <c r="I671" s="108">
        <v>1469</v>
      </c>
      <c r="J671" s="108">
        <v>92</v>
      </c>
      <c r="K671" s="108">
        <v>161</v>
      </c>
      <c r="L671" s="108">
        <v>4260</v>
      </c>
      <c r="M671" s="108">
        <v>8089</v>
      </c>
      <c r="N671" s="108">
        <v>9113</v>
      </c>
      <c r="O671" s="108">
        <v>989</v>
      </c>
      <c r="P671" s="108">
        <v>20825</v>
      </c>
      <c r="Q671" s="108">
        <v>612</v>
      </c>
      <c r="R671" s="79">
        <f t="shared" si="67"/>
        <v>34198</v>
      </c>
      <c r="S671" s="167">
        <f t="shared" si="61"/>
        <v>21637.5</v>
      </c>
      <c r="T671" s="121">
        <f t="shared" si="64"/>
        <v>41165</v>
      </c>
    </row>
    <row r="672" spans="1:20" ht="15.6" x14ac:dyDescent="0.3">
      <c r="A672" s="122">
        <f t="shared" si="63"/>
        <v>41172</v>
      </c>
      <c r="B672" s="108">
        <v>1359</v>
      </c>
      <c r="C672" s="108">
        <v>3503</v>
      </c>
      <c r="D672" s="108">
        <v>712</v>
      </c>
      <c r="E672" s="108">
        <v>1174</v>
      </c>
      <c r="F672" s="108">
        <v>1182</v>
      </c>
      <c r="G672" s="108">
        <v>2162</v>
      </c>
      <c r="H672" s="108">
        <v>783</v>
      </c>
      <c r="I672" s="108">
        <v>1597</v>
      </c>
      <c r="J672" s="108">
        <v>108</v>
      </c>
      <c r="K672" s="108">
        <v>196</v>
      </c>
      <c r="L672" s="108">
        <v>4143</v>
      </c>
      <c r="M672" s="108">
        <v>8631</v>
      </c>
      <c r="N672" s="108">
        <v>8434</v>
      </c>
      <c r="O672" s="108">
        <v>1669</v>
      </c>
      <c r="P672" s="108">
        <v>21296</v>
      </c>
      <c r="Q672" s="108">
        <v>941</v>
      </c>
      <c r="R672" s="79">
        <f t="shared" si="67"/>
        <v>33873</v>
      </c>
      <c r="S672" s="167">
        <f t="shared" si="61"/>
        <v>27801.75</v>
      </c>
      <c r="T672" s="121">
        <f t="shared" si="64"/>
        <v>41172</v>
      </c>
    </row>
    <row r="673" spans="1:20" ht="15.6" x14ac:dyDescent="0.3">
      <c r="A673" s="122">
        <f t="shared" si="63"/>
        <v>41179</v>
      </c>
      <c r="B673" s="108">
        <v>1326</v>
      </c>
      <c r="C673" s="108">
        <v>3685</v>
      </c>
      <c r="D673" s="108">
        <v>639</v>
      </c>
      <c r="E673" s="108">
        <v>1252</v>
      </c>
      <c r="F673" s="108">
        <v>1033</v>
      </c>
      <c r="G673" s="108">
        <v>2360</v>
      </c>
      <c r="H673" s="108">
        <v>749</v>
      </c>
      <c r="I673" s="108">
        <v>1730</v>
      </c>
      <c r="J673" s="108">
        <v>112</v>
      </c>
      <c r="K673" s="108">
        <v>196</v>
      </c>
      <c r="L673" s="108">
        <v>3859</v>
      </c>
      <c r="M673" s="108">
        <v>9222</v>
      </c>
      <c r="N673" s="108">
        <v>8331</v>
      </c>
      <c r="O673" s="108">
        <v>2099</v>
      </c>
      <c r="P673" s="108">
        <v>21415</v>
      </c>
      <c r="Q673" s="108">
        <v>2053</v>
      </c>
      <c r="R673" s="79">
        <f t="shared" si="67"/>
        <v>33605</v>
      </c>
      <c r="S673" s="167">
        <f t="shared" si="61"/>
        <v>34097.75</v>
      </c>
      <c r="T673" s="121">
        <f t="shared" si="64"/>
        <v>41179</v>
      </c>
    </row>
    <row r="674" spans="1:20" ht="15.6" x14ac:dyDescent="0.3">
      <c r="A674" s="122">
        <f t="shared" si="63"/>
        <v>41186</v>
      </c>
      <c r="B674" s="72">
        <v>1227.9000000000001</v>
      </c>
      <c r="C674" s="72">
        <v>3908</v>
      </c>
      <c r="D674" s="72">
        <v>625.1</v>
      </c>
      <c r="E674" s="72">
        <v>1298.9000000000001</v>
      </c>
      <c r="F674" s="72">
        <v>1091.0999999999999</v>
      </c>
      <c r="G674" s="72">
        <v>2422.8000000000002</v>
      </c>
      <c r="H674" s="72">
        <v>728.8</v>
      </c>
      <c r="I674" s="72">
        <v>1751.4</v>
      </c>
      <c r="J674" s="72">
        <v>84</v>
      </c>
      <c r="K674" s="72">
        <v>222.7</v>
      </c>
      <c r="L674" s="174">
        <v>3756.9</v>
      </c>
      <c r="M674" s="174">
        <v>9604</v>
      </c>
      <c r="N674" s="174">
        <v>7813.9</v>
      </c>
      <c r="O674" s="174">
        <v>2619.6</v>
      </c>
      <c r="P674" s="174">
        <v>20736.900000000001</v>
      </c>
      <c r="Q674" s="174">
        <v>3231.6</v>
      </c>
      <c r="R674" s="79">
        <f t="shared" si="67"/>
        <v>32307.700000000004</v>
      </c>
      <c r="S674" s="167">
        <f t="shared" si="61"/>
        <v>33495.925000000003</v>
      </c>
      <c r="T674" s="121">
        <f t="shared" si="64"/>
        <v>41186</v>
      </c>
    </row>
    <row r="675" spans="1:20" ht="15.6" x14ac:dyDescent="0.3">
      <c r="A675" s="122">
        <f t="shared" si="63"/>
        <v>41193</v>
      </c>
      <c r="B675" s="73">
        <v>1408</v>
      </c>
      <c r="C675" s="73">
        <v>3924</v>
      </c>
      <c r="D675" s="73">
        <v>619</v>
      </c>
      <c r="E675" s="73">
        <v>1345</v>
      </c>
      <c r="F675" s="73">
        <v>1116</v>
      </c>
      <c r="G675" s="73">
        <v>2443</v>
      </c>
      <c r="H675" s="73">
        <v>789</v>
      </c>
      <c r="I675" s="73">
        <v>1782</v>
      </c>
      <c r="J675" s="73">
        <v>104</v>
      </c>
      <c r="K675" s="73">
        <v>241</v>
      </c>
      <c r="L675" s="175">
        <v>4036</v>
      </c>
      <c r="M675" s="175">
        <v>9735</v>
      </c>
      <c r="N675" s="175">
        <v>7563</v>
      </c>
      <c r="O675" s="175">
        <v>3037</v>
      </c>
      <c r="P675" s="175">
        <v>19790</v>
      </c>
      <c r="Q675" s="175">
        <v>4701</v>
      </c>
      <c r="R675" s="79">
        <f t="shared" ref="R675:R680" si="68">P675+N675+L675</f>
        <v>31389</v>
      </c>
      <c r="S675" s="167">
        <f t="shared" si="61"/>
        <v>32793.675000000003</v>
      </c>
      <c r="T675" s="121">
        <f t="shared" si="64"/>
        <v>41193</v>
      </c>
    </row>
    <row r="676" spans="1:20" ht="15.6" x14ac:dyDescent="0.3">
      <c r="A676" s="122">
        <f t="shared" si="63"/>
        <v>41200</v>
      </c>
      <c r="B676" s="73">
        <v>1482</v>
      </c>
      <c r="C676" s="73">
        <v>4105</v>
      </c>
      <c r="D676" s="73">
        <v>628</v>
      </c>
      <c r="E676" s="73">
        <v>1396</v>
      </c>
      <c r="F676" s="73">
        <v>1209</v>
      </c>
      <c r="G676" s="73">
        <v>2539</v>
      </c>
      <c r="H676" s="73">
        <v>839</v>
      </c>
      <c r="I676" s="73">
        <v>1834</v>
      </c>
      <c r="J676" s="73">
        <v>72</v>
      </c>
      <c r="K676" s="73">
        <v>241</v>
      </c>
      <c r="L676" s="175">
        <v>4228</v>
      </c>
      <c r="M676" s="175">
        <v>10115</v>
      </c>
      <c r="N676" s="175">
        <v>7415</v>
      </c>
      <c r="O676" s="175">
        <v>3327</v>
      </c>
      <c r="P676" s="175">
        <v>18671</v>
      </c>
      <c r="Q676" s="175">
        <v>6343</v>
      </c>
      <c r="R676" s="79">
        <f t="shared" si="68"/>
        <v>30314</v>
      </c>
      <c r="S676" s="167">
        <f t="shared" si="61"/>
        <v>31903.925000000003</v>
      </c>
      <c r="T676" s="121">
        <f t="shared" si="64"/>
        <v>41200</v>
      </c>
    </row>
    <row r="677" spans="1:20" ht="15.6" x14ac:dyDescent="0.3">
      <c r="A677" s="122">
        <f t="shared" si="63"/>
        <v>41207</v>
      </c>
      <c r="B677" s="73">
        <v>1510</v>
      </c>
      <c r="C677" s="73">
        <v>4207</v>
      </c>
      <c r="D677" s="73">
        <v>611</v>
      </c>
      <c r="E677" s="73">
        <v>1452</v>
      </c>
      <c r="F677" s="73">
        <v>1252</v>
      </c>
      <c r="G677" s="73">
        <v>2601</v>
      </c>
      <c r="H677" s="73">
        <v>829</v>
      </c>
      <c r="I677" s="73">
        <v>1908</v>
      </c>
      <c r="J677" s="73">
        <v>95</v>
      </c>
      <c r="K677" s="73">
        <v>241</v>
      </c>
      <c r="L677" s="175">
        <v>4296</v>
      </c>
      <c r="M677" s="175">
        <v>10410</v>
      </c>
      <c r="N677" s="175">
        <v>7195</v>
      </c>
      <c r="O677" s="175">
        <v>3716</v>
      </c>
      <c r="P677" s="175">
        <v>17699</v>
      </c>
      <c r="Q677" s="175">
        <v>8057</v>
      </c>
      <c r="R677" s="79">
        <f t="shared" si="68"/>
        <v>29190</v>
      </c>
      <c r="S677" s="167">
        <f t="shared" si="61"/>
        <v>30800.175000000003</v>
      </c>
      <c r="T677" s="121">
        <f t="shared" si="64"/>
        <v>41207</v>
      </c>
    </row>
    <row r="678" spans="1:20" ht="15.6" x14ac:dyDescent="0.3">
      <c r="A678" s="122">
        <f t="shared" si="63"/>
        <v>41214</v>
      </c>
      <c r="B678" s="73">
        <v>1424</v>
      </c>
      <c r="C678" s="73">
        <v>4361</v>
      </c>
      <c r="D678" s="73">
        <v>638</v>
      </c>
      <c r="E678" s="73">
        <v>1480</v>
      </c>
      <c r="F678" s="73">
        <v>1220</v>
      </c>
      <c r="G678" s="73">
        <v>2677</v>
      </c>
      <c r="H678" s="73">
        <v>759</v>
      </c>
      <c r="I678" s="73">
        <v>2014</v>
      </c>
      <c r="J678" s="73">
        <v>72</v>
      </c>
      <c r="K678" s="73">
        <v>269</v>
      </c>
      <c r="L678" s="175">
        <v>4113</v>
      </c>
      <c r="M678" s="175">
        <v>10802</v>
      </c>
      <c r="N678" s="175">
        <v>6957</v>
      </c>
      <c r="O678" s="175">
        <v>4113</v>
      </c>
      <c r="P678" s="175">
        <v>16137</v>
      </c>
      <c r="Q678" s="175">
        <v>9805</v>
      </c>
      <c r="R678" s="79">
        <f t="shared" si="68"/>
        <v>27207</v>
      </c>
      <c r="S678" s="167">
        <f t="shared" si="61"/>
        <v>29525</v>
      </c>
      <c r="T678" s="121">
        <f t="shared" si="64"/>
        <v>41214</v>
      </c>
    </row>
    <row r="679" spans="1:20" ht="15.6" x14ac:dyDescent="0.3">
      <c r="A679" s="122">
        <f t="shared" si="63"/>
        <v>41221</v>
      </c>
      <c r="B679" s="73">
        <v>1421</v>
      </c>
      <c r="C679" s="73">
        <v>4489</v>
      </c>
      <c r="D679" s="73">
        <v>610</v>
      </c>
      <c r="E679" s="73">
        <v>1526</v>
      </c>
      <c r="F679" s="73">
        <v>1215</v>
      </c>
      <c r="G679" s="73">
        <v>2739</v>
      </c>
      <c r="H679" s="73">
        <v>836</v>
      </c>
      <c r="I679" s="73">
        <v>2062</v>
      </c>
      <c r="J679" s="73">
        <v>47</v>
      </c>
      <c r="K679" s="73">
        <v>284</v>
      </c>
      <c r="L679" s="175">
        <v>4129</v>
      </c>
      <c r="M679" s="175">
        <v>11101</v>
      </c>
      <c r="N679" s="175">
        <v>6829</v>
      </c>
      <c r="O679" s="175">
        <v>4343</v>
      </c>
      <c r="P679" s="175">
        <v>14882</v>
      </c>
      <c r="Q679" s="175">
        <v>11620</v>
      </c>
      <c r="R679" s="79">
        <f t="shared" si="68"/>
        <v>25840</v>
      </c>
      <c r="S679" s="167">
        <f t="shared" si="61"/>
        <v>28137.75</v>
      </c>
      <c r="T679" s="121">
        <f t="shared" si="64"/>
        <v>41221</v>
      </c>
    </row>
    <row r="680" spans="1:20" ht="15.6" x14ac:dyDescent="0.3">
      <c r="A680" s="122">
        <f t="shared" si="63"/>
        <v>41228</v>
      </c>
      <c r="B680" s="73">
        <v>1514.2</v>
      </c>
      <c r="C680" s="73">
        <v>4595.8999999999996</v>
      </c>
      <c r="D680" s="73">
        <v>690.6</v>
      </c>
      <c r="E680" s="73">
        <v>1582.3</v>
      </c>
      <c r="F680" s="73">
        <v>1286.0999999999999</v>
      </c>
      <c r="G680" s="73">
        <v>2817.9</v>
      </c>
      <c r="H680" s="73">
        <v>899.1</v>
      </c>
      <c r="I680" s="73">
        <v>2148.1999999999998</v>
      </c>
      <c r="J680" s="73">
        <v>45.1</v>
      </c>
      <c r="K680" s="73">
        <v>285.8</v>
      </c>
      <c r="L680" s="175">
        <v>4435.1000000000004</v>
      </c>
      <c r="M680" s="175">
        <v>11430.1</v>
      </c>
      <c r="N680" s="175">
        <v>7203.8</v>
      </c>
      <c r="O680" s="175">
        <v>4737.8999999999996</v>
      </c>
      <c r="P680" s="175">
        <v>13449</v>
      </c>
      <c r="Q680" s="175">
        <v>8985.1</v>
      </c>
      <c r="R680" s="79">
        <f t="shared" si="68"/>
        <v>25087.9</v>
      </c>
      <c r="S680" s="167">
        <f t="shared" ref="S680:S704" si="69">AVERAGE(R677:R680)</f>
        <v>26831.224999999999</v>
      </c>
      <c r="T680" s="121">
        <f t="shared" si="64"/>
        <v>41228</v>
      </c>
    </row>
    <row r="681" spans="1:20" ht="15.6" x14ac:dyDescent="0.3">
      <c r="A681" s="122">
        <f t="shared" si="63"/>
        <v>41235</v>
      </c>
      <c r="B681" s="73">
        <v>1446</v>
      </c>
      <c r="C681" s="73">
        <v>4694</v>
      </c>
      <c r="D681" s="73">
        <v>671</v>
      </c>
      <c r="E681" s="73">
        <v>1605</v>
      </c>
      <c r="F681" s="73">
        <v>1246</v>
      </c>
      <c r="G681" s="73">
        <v>2901</v>
      </c>
      <c r="H681" s="73">
        <v>1077</v>
      </c>
      <c r="I681" s="73">
        <v>2173</v>
      </c>
      <c r="J681" s="73">
        <v>45.1</v>
      </c>
      <c r="K681" s="73">
        <v>285.8</v>
      </c>
      <c r="L681" s="175">
        <v>4486</v>
      </c>
      <c r="M681" s="175">
        <v>11659</v>
      </c>
      <c r="N681" s="175">
        <v>7071</v>
      </c>
      <c r="O681" s="175">
        <v>5107</v>
      </c>
      <c r="P681" s="175">
        <v>12414</v>
      </c>
      <c r="Q681" s="175">
        <v>14946</v>
      </c>
      <c r="R681" s="79">
        <f t="shared" ref="R681:R686" si="70">P681+N681+L681</f>
        <v>23971</v>
      </c>
      <c r="S681" s="167">
        <f t="shared" si="69"/>
        <v>25526.474999999999</v>
      </c>
      <c r="T681" s="121">
        <f t="shared" si="64"/>
        <v>41235</v>
      </c>
    </row>
    <row r="682" spans="1:20" ht="15.6" x14ac:dyDescent="0.3">
      <c r="A682" s="122">
        <f t="shared" si="63"/>
        <v>41242</v>
      </c>
      <c r="B682" s="73">
        <v>1473</v>
      </c>
      <c r="C682" s="73">
        <v>4821</v>
      </c>
      <c r="D682" s="73">
        <v>671</v>
      </c>
      <c r="E682" s="73">
        <v>1664</v>
      </c>
      <c r="F682" s="73">
        <v>1203</v>
      </c>
      <c r="G682" s="73">
        <v>2989</v>
      </c>
      <c r="H682" s="73">
        <v>1051</v>
      </c>
      <c r="I682" s="73">
        <v>2287</v>
      </c>
      <c r="J682" s="73">
        <v>54</v>
      </c>
      <c r="K682" s="73">
        <v>285.8</v>
      </c>
      <c r="L682" s="175">
        <v>4452</v>
      </c>
      <c r="M682" s="175">
        <v>12045</v>
      </c>
      <c r="N682" s="175">
        <v>6830</v>
      </c>
      <c r="O682" s="175">
        <v>5399</v>
      </c>
      <c r="P682" s="175">
        <v>12004</v>
      </c>
      <c r="Q682" s="175">
        <v>16400</v>
      </c>
      <c r="R682" s="79">
        <f t="shared" si="70"/>
        <v>23286</v>
      </c>
      <c r="S682" s="167">
        <f t="shared" si="69"/>
        <v>24546.224999999999</v>
      </c>
      <c r="T682" s="121">
        <f t="shared" si="64"/>
        <v>41242</v>
      </c>
    </row>
    <row r="683" spans="1:20" ht="15.6" x14ac:dyDescent="0.3">
      <c r="A683" s="122">
        <f t="shared" si="63"/>
        <v>41249</v>
      </c>
      <c r="B683" s="73">
        <v>1417</v>
      </c>
      <c r="C683" s="73">
        <v>4970</v>
      </c>
      <c r="D683" s="73">
        <v>705</v>
      </c>
      <c r="E683" s="73">
        <v>1713</v>
      </c>
      <c r="F683" s="73">
        <v>1252</v>
      </c>
      <c r="G683" s="73">
        <v>3063</v>
      </c>
      <c r="H683" s="73">
        <v>1213</v>
      </c>
      <c r="I683" s="73">
        <v>2323</v>
      </c>
      <c r="J683" s="73">
        <v>74</v>
      </c>
      <c r="K683" s="73">
        <v>285.8</v>
      </c>
      <c r="L683" s="175">
        <v>4661</v>
      </c>
      <c r="M683" s="175">
        <v>12355</v>
      </c>
      <c r="N683" s="175">
        <v>6380</v>
      </c>
      <c r="O683" s="175">
        <v>5658</v>
      </c>
      <c r="P683" s="175">
        <v>12164</v>
      </c>
      <c r="Q683" s="175">
        <v>17559</v>
      </c>
      <c r="R683" s="79">
        <f t="shared" si="70"/>
        <v>23205</v>
      </c>
      <c r="S683" s="167">
        <f t="shared" si="69"/>
        <v>23887.474999999999</v>
      </c>
      <c r="T683" s="121">
        <f t="shared" si="64"/>
        <v>41249</v>
      </c>
    </row>
    <row r="684" spans="1:20" ht="15.6" x14ac:dyDescent="0.3">
      <c r="A684" s="122">
        <f t="shared" si="63"/>
        <v>41256</v>
      </c>
      <c r="B684" s="73">
        <v>1453</v>
      </c>
      <c r="C684" s="73">
        <v>5169</v>
      </c>
      <c r="D684" s="73">
        <v>846</v>
      </c>
      <c r="E684" s="73">
        <v>1718</v>
      </c>
      <c r="F684" s="73">
        <v>1287</v>
      </c>
      <c r="G684" s="73">
        <v>3183</v>
      </c>
      <c r="H684" s="73">
        <v>1223</v>
      </c>
      <c r="I684" s="73">
        <v>2408</v>
      </c>
      <c r="J684" s="73">
        <v>94</v>
      </c>
      <c r="K684" s="73">
        <v>286</v>
      </c>
      <c r="L684" s="175">
        <v>4904</v>
      </c>
      <c r="M684" s="175">
        <v>12763</v>
      </c>
      <c r="N684" s="175">
        <v>6511</v>
      </c>
      <c r="O684" s="175">
        <v>6091</v>
      </c>
      <c r="P684" s="175">
        <v>11435</v>
      </c>
      <c r="Q684" s="175">
        <v>18908</v>
      </c>
      <c r="R684" s="79">
        <f t="shared" si="70"/>
        <v>22850</v>
      </c>
      <c r="S684" s="167">
        <f t="shared" si="69"/>
        <v>23328</v>
      </c>
      <c r="T684" s="121">
        <f t="shared" si="64"/>
        <v>41256</v>
      </c>
    </row>
    <row r="685" spans="1:20" ht="15.6" x14ac:dyDescent="0.3">
      <c r="A685" s="122">
        <v>41263</v>
      </c>
      <c r="B685" s="73">
        <v>1715.9</v>
      </c>
      <c r="C685" s="73">
        <v>5332.4</v>
      </c>
      <c r="D685" s="73">
        <v>1190.4000000000001</v>
      </c>
      <c r="E685" s="73">
        <v>1752.1</v>
      </c>
      <c r="F685" s="73">
        <v>1220</v>
      </c>
      <c r="G685" s="73">
        <v>1752.1</v>
      </c>
      <c r="H685" s="73">
        <v>1256.5</v>
      </c>
      <c r="I685" s="73">
        <v>2475.3000000000002</v>
      </c>
      <c r="J685" s="73">
        <v>106.9</v>
      </c>
      <c r="K685" s="73">
        <v>317.8</v>
      </c>
      <c r="L685" s="175">
        <v>5489.8</v>
      </c>
      <c r="M685" s="175">
        <v>13186.5</v>
      </c>
      <c r="N685" s="175">
        <v>6329.1</v>
      </c>
      <c r="O685" s="175">
        <v>6377.9</v>
      </c>
      <c r="P685" s="175">
        <v>10368.200000000001</v>
      </c>
      <c r="Q685" s="175">
        <v>20062</v>
      </c>
      <c r="R685" s="79">
        <f t="shared" si="70"/>
        <v>22187.100000000002</v>
      </c>
      <c r="S685" s="167">
        <f t="shared" si="69"/>
        <v>22882.025000000001</v>
      </c>
      <c r="T685" s="121">
        <f t="shared" si="64"/>
        <v>41263</v>
      </c>
    </row>
    <row r="686" spans="1:20" ht="15.6" x14ac:dyDescent="0.3">
      <c r="A686" s="122">
        <f t="shared" si="63"/>
        <v>41270</v>
      </c>
      <c r="B686" s="73">
        <v>1802</v>
      </c>
      <c r="C686" s="73">
        <v>5399</v>
      </c>
      <c r="D686" s="73">
        <v>1278</v>
      </c>
      <c r="E686" s="73">
        <v>1777</v>
      </c>
      <c r="F686" s="73">
        <v>1285</v>
      </c>
      <c r="G686" s="73">
        <v>3354</v>
      </c>
      <c r="H686" s="73">
        <v>1260</v>
      </c>
      <c r="I686" s="73">
        <v>2498</v>
      </c>
      <c r="J686" s="73">
        <v>106.9</v>
      </c>
      <c r="K686" s="73">
        <v>317.8</v>
      </c>
      <c r="L686" s="175">
        <v>5731</v>
      </c>
      <c r="M686" s="175">
        <v>13345</v>
      </c>
      <c r="N686" s="175">
        <v>6173</v>
      </c>
      <c r="O686" s="175">
        <v>6583</v>
      </c>
      <c r="P686" s="175">
        <v>9767</v>
      </c>
      <c r="Q686" s="175">
        <v>21098</v>
      </c>
      <c r="R686" s="79">
        <f t="shared" si="70"/>
        <v>21671</v>
      </c>
      <c r="S686" s="167">
        <f t="shared" si="69"/>
        <v>22478.275000000001</v>
      </c>
      <c r="T686" s="121">
        <f t="shared" si="64"/>
        <v>41270</v>
      </c>
    </row>
    <row r="687" spans="1:20" ht="15.6" x14ac:dyDescent="0.3">
      <c r="A687" s="181">
        <f t="shared" si="63"/>
        <v>41277</v>
      </c>
      <c r="B687" s="73">
        <v>1843</v>
      </c>
      <c r="C687" s="73">
        <v>5436</v>
      </c>
      <c r="D687" s="73">
        <v>1220</v>
      </c>
      <c r="E687" s="73">
        <v>1806</v>
      </c>
      <c r="F687" s="73">
        <v>1200</v>
      </c>
      <c r="G687" s="73">
        <v>3463</v>
      </c>
      <c r="H687" s="73">
        <v>1220</v>
      </c>
      <c r="I687" s="73">
        <v>2587</v>
      </c>
      <c r="J687" s="73">
        <v>106.9</v>
      </c>
      <c r="K687" s="73">
        <v>317.8</v>
      </c>
      <c r="L687" s="175">
        <v>5701</v>
      </c>
      <c r="M687" s="175">
        <v>13610</v>
      </c>
      <c r="N687" s="175">
        <v>6079</v>
      </c>
      <c r="O687" s="175">
        <v>6690</v>
      </c>
      <c r="P687" s="175">
        <v>8912</v>
      </c>
      <c r="Q687" s="175">
        <v>22179</v>
      </c>
      <c r="R687" s="79">
        <f t="shared" ref="R687:R692" si="71">P687+N687+L687</f>
        <v>20692</v>
      </c>
      <c r="S687" s="167">
        <f t="shared" si="69"/>
        <v>21850.025000000001</v>
      </c>
      <c r="T687" s="121">
        <f t="shared" si="64"/>
        <v>41277</v>
      </c>
    </row>
    <row r="688" spans="1:20" ht="15.6" x14ac:dyDescent="0.3">
      <c r="A688" s="181">
        <f t="shared" si="63"/>
        <v>41284</v>
      </c>
      <c r="B688" s="73">
        <v>1825</v>
      </c>
      <c r="C688" s="73">
        <v>5528</v>
      </c>
      <c r="D688" s="73">
        <v>1618</v>
      </c>
      <c r="E688" s="73">
        <v>1839</v>
      </c>
      <c r="F688" s="73">
        <v>1167</v>
      </c>
      <c r="G688" s="73">
        <v>3556</v>
      </c>
      <c r="H688" s="73">
        <v>1235</v>
      </c>
      <c r="I688" s="73">
        <v>2653</v>
      </c>
      <c r="J688" s="73">
        <v>106.9</v>
      </c>
      <c r="K688" s="73">
        <v>317.8</v>
      </c>
      <c r="L688" s="175">
        <v>5952</v>
      </c>
      <c r="M688" s="175">
        <v>13895</v>
      </c>
      <c r="N688" s="175">
        <v>6225</v>
      </c>
      <c r="O688" s="175">
        <v>6937</v>
      </c>
      <c r="P688" s="175">
        <v>9240</v>
      </c>
      <c r="Q688" s="175">
        <v>23460</v>
      </c>
      <c r="R688" s="79">
        <f t="shared" si="71"/>
        <v>21417</v>
      </c>
      <c r="S688" s="167">
        <f t="shared" si="69"/>
        <v>21491.775000000001</v>
      </c>
      <c r="T688" s="121">
        <f t="shared" si="64"/>
        <v>41284</v>
      </c>
    </row>
    <row r="689" spans="1:20" ht="15.6" x14ac:dyDescent="0.3">
      <c r="A689" s="181">
        <f t="shared" si="63"/>
        <v>41291</v>
      </c>
      <c r="B689" s="73">
        <v>1897</v>
      </c>
      <c r="C689" s="73">
        <v>5709</v>
      </c>
      <c r="D689" s="73">
        <v>1680</v>
      </c>
      <c r="E689" s="73">
        <v>1879</v>
      </c>
      <c r="F689" s="73">
        <v>1202</v>
      </c>
      <c r="G689" s="73">
        <v>3656</v>
      </c>
      <c r="H689" s="73">
        <v>1077</v>
      </c>
      <c r="I689" s="73">
        <v>2885</v>
      </c>
      <c r="J689" s="73">
        <v>109</v>
      </c>
      <c r="K689" s="73">
        <v>317.8</v>
      </c>
      <c r="L689" s="175">
        <v>5965</v>
      </c>
      <c r="M689" s="175">
        <v>14448</v>
      </c>
      <c r="N689" s="175">
        <v>5994</v>
      </c>
      <c r="O689" s="175">
        <v>7306</v>
      </c>
      <c r="P689" s="175">
        <v>8352</v>
      </c>
      <c r="Q689" s="175">
        <v>24665</v>
      </c>
      <c r="R689" s="79">
        <f t="shared" si="71"/>
        <v>20311</v>
      </c>
      <c r="S689" s="167">
        <f t="shared" si="69"/>
        <v>21022.75</v>
      </c>
      <c r="T689" s="121">
        <f t="shared" si="64"/>
        <v>41291</v>
      </c>
    </row>
    <row r="690" spans="1:20" ht="15.6" x14ac:dyDescent="0.3">
      <c r="A690" s="181">
        <f t="shared" si="63"/>
        <v>41298</v>
      </c>
      <c r="B690" s="73">
        <v>1747</v>
      </c>
      <c r="C690" s="73">
        <v>5960</v>
      </c>
      <c r="D690" s="73">
        <v>1627</v>
      </c>
      <c r="E690" s="73">
        <v>1981</v>
      </c>
      <c r="F690" s="73">
        <v>1135</v>
      </c>
      <c r="G690" s="73">
        <v>3781</v>
      </c>
      <c r="H690" s="73">
        <v>1019</v>
      </c>
      <c r="I690" s="73">
        <v>3020</v>
      </c>
      <c r="J690" s="73">
        <v>107</v>
      </c>
      <c r="K690" s="73">
        <v>330</v>
      </c>
      <c r="L690" s="175">
        <v>5635</v>
      </c>
      <c r="M690" s="175">
        <v>15072</v>
      </c>
      <c r="N690" s="175">
        <v>5572</v>
      </c>
      <c r="O690" s="175">
        <v>7916</v>
      </c>
      <c r="P690" s="175">
        <v>7603</v>
      </c>
      <c r="Q690" s="175">
        <v>25800</v>
      </c>
      <c r="R690" s="79">
        <f t="shared" si="71"/>
        <v>18810</v>
      </c>
      <c r="S690" s="167">
        <f t="shared" si="69"/>
        <v>20307.5</v>
      </c>
      <c r="T690" s="121">
        <f t="shared" si="64"/>
        <v>41298</v>
      </c>
    </row>
    <row r="691" spans="1:20" ht="15.6" x14ac:dyDescent="0.3">
      <c r="A691" s="181">
        <f t="shared" si="63"/>
        <v>41305</v>
      </c>
      <c r="B691" s="73">
        <v>1730</v>
      </c>
      <c r="C691" s="73">
        <v>6052</v>
      </c>
      <c r="D691" s="73">
        <v>1504</v>
      </c>
      <c r="E691" s="73">
        <v>2172</v>
      </c>
      <c r="F691" s="73">
        <v>1134</v>
      </c>
      <c r="G691" s="73">
        <v>3817</v>
      </c>
      <c r="H691" s="73">
        <v>994</v>
      </c>
      <c r="I691" s="73">
        <v>3139</v>
      </c>
      <c r="J691" s="73">
        <v>107</v>
      </c>
      <c r="K691" s="73">
        <v>349</v>
      </c>
      <c r="L691" s="175">
        <v>5468</v>
      </c>
      <c r="M691" s="175">
        <v>15529</v>
      </c>
      <c r="N691" s="175">
        <v>5532</v>
      </c>
      <c r="O691" s="175">
        <v>8124</v>
      </c>
      <c r="P691" s="175">
        <v>6944</v>
      </c>
      <c r="Q691" s="175">
        <v>27278</v>
      </c>
      <c r="R691" s="79">
        <f t="shared" si="71"/>
        <v>17944</v>
      </c>
      <c r="S691" s="167">
        <f t="shared" si="69"/>
        <v>19620.5</v>
      </c>
      <c r="T691" s="121">
        <f t="shared" si="64"/>
        <v>41305</v>
      </c>
    </row>
    <row r="692" spans="1:20" ht="15.6" x14ac:dyDescent="0.3">
      <c r="A692" s="181">
        <f t="shared" si="63"/>
        <v>41312</v>
      </c>
      <c r="B692" s="73">
        <v>1826</v>
      </c>
      <c r="C692" s="73">
        <v>6160</v>
      </c>
      <c r="D692" s="73">
        <v>1570</v>
      </c>
      <c r="E692" s="73">
        <v>2334</v>
      </c>
      <c r="F692" s="73">
        <v>1094</v>
      </c>
      <c r="G692" s="73">
        <v>3992</v>
      </c>
      <c r="H692" s="73">
        <v>932</v>
      </c>
      <c r="I692" s="73">
        <v>3267</v>
      </c>
      <c r="J692" s="73">
        <v>81</v>
      </c>
      <c r="K692" s="73">
        <v>352</v>
      </c>
      <c r="L692" s="175">
        <v>5543</v>
      </c>
      <c r="M692" s="175">
        <v>16105</v>
      </c>
      <c r="N692" s="175">
        <v>5365</v>
      </c>
      <c r="O692" s="175">
        <v>8517</v>
      </c>
      <c r="P692" s="175">
        <v>5845</v>
      </c>
      <c r="Q692" s="175">
        <v>28185</v>
      </c>
      <c r="R692" s="79">
        <f t="shared" si="71"/>
        <v>16753</v>
      </c>
      <c r="S692" s="167">
        <f t="shared" si="69"/>
        <v>18454.5</v>
      </c>
      <c r="T692" s="121">
        <f t="shared" si="64"/>
        <v>41312</v>
      </c>
    </row>
    <row r="693" spans="1:20" ht="15.6" x14ac:dyDescent="0.3">
      <c r="A693" s="181">
        <f t="shared" si="63"/>
        <v>41319</v>
      </c>
      <c r="B693" s="73">
        <v>1810</v>
      </c>
      <c r="C693" s="73">
        <v>6282</v>
      </c>
      <c r="D693" s="73">
        <v>1636</v>
      </c>
      <c r="E693" s="73">
        <v>2550</v>
      </c>
      <c r="F693" s="73">
        <v>1259</v>
      </c>
      <c r="G693" s="73">
        <v>4121</v>
      </c>
      <c r="H693" s="73">
        <v>941</v>
      </c>
      <c r="I693" s="73">
        <v>3312</v>
      </c>
      <c r="J693" s="73">
        <v>81</v>
      </c>
      <c r="K693" s="73">
        <v>356</v>
      </c>
      <c r="L693" s="175">
        <v>5726</v>
      </c>
      <c r="M693" s="175">
        <v>16622</v>
      </c>
      <c r="N693" s="175">
        <v>5470</v>
      </c>
      <c r="O693" s="175">
        <v>8773</v>
      </c>
      <c r="P693" s="175">
        <v>4769</v>
      </c>
      <c r="Q693" s="175">
        <v>29141</v>
      </c>
      <c r="R693" s="79">
        <f t="shared" ref="R693:R698" si="72">P693+N693+L693</f>
        <v>15965</v>
      </c>
      <c r="S693" s="167">
        <f t="shared" si="69"/>
        <v>17368</v>
      </c>
      <c r="T693" s="121">
        <f t="shared" si="64"/>
        <v>41319</v>
      </c>
    </row>
    <row r="694" spans="1:20" ht="15.6" x14ac:dyDescent="0.3">
      <c r="A694" s="181">
        <f t="shared" si="63"/>
        <v>41326</v>
      </c>
      <c r="B694" s="73">
        <v>1755</v>
      </c>
      <c r="C694" s="73">
        <v>6517</v>
      </c>
      <c r="D694" s="73">
        <v>1652</v>
      </c>
      <c r="E694" s="73">
        <v>2702</v>
      </c>
      <c r="F694" s="73">
        <v>1223</v>
      </c>
      <c r="G694" s="73">
        <v>4197</v>
      </c>
      <c r="H694" s="73">
        <v>804</v>
      </c>
      <c r="I694" s="73">
        <v>3436</v>
      </c>
      <c r="J694" s="73">
        <v>81</v>
      </c>
      <c r="K694" s="73">
        <v>356</v>
      </c>
      <c r="L694" s="175">
        <v>5514</v>
      </c>
      <c r="M694" s="175">
        <v>17206</v>
      </c>
      <c r="N694" s="175">
        <v>5477</v>
      </c>
      <c r="O694" s="175">
        <v>9070</v>
      </c>
      <c r="P694" s="175">
        <v>4636</v>
      </c>
      <c r="Q694" s="175">
        <v>29964</v>
      </c>
      <c r="R694" s="79">
        <f t="shared" si="72"/>
        <v>15627</v>
      </c>
      <c r="S694" s="167">
        <f t="shared" si="69"/>
        <v>16572.25</v>
      </c>
      <c r="T694" s="121">
        <f t="shared" si="64"/>
        <v>41326</v>
      </c>
    </row>
    <row r="695" spans="1:20" ht="15.6" x14ac:dyDescent="0.3">
      <c r="A695" s="181">
        <f t="shared" si="63"/>
        <v>41333</v>
      </c>
      <c r="B695" s="73">
        <v>1685</v>
      </c>
      <c r="C695" s="73">
        <v>6837</v>
      </c>
      <c r="D695" s="73">
        <v>1681</v>
      </c>
      <c r="E695" s="73">
        <v>2899</v>
      </c>
      <c r="F695" s="73">
        <v>1163</v>
      </c>
      <c r="G695" s="73">
        <v>4297</v>
      </c>
      <c r="H695" s="73">
        <v>726</v>
      </c>
      <c r="I695" s="73">
        <v>3577</v>
      </c>
      <c r="J695" s="73">
        <v>111</v>
      </c>
      <c r="K695" s="73">
        <v>363</v>
      </c>
      <c r="L695" s="175">
        <v>5366</v>
      </c>
      <c r="M695" s="175">
        <v>17973</v>
      </c>
      <c r="N695" s="175">
        <v>5059</v>
      </c>
      <c r="O695" s="175">
        <v>9437</v>
      </c>
      <c r="P695" s="175">
        <v>3933</v>
      </c>
      <c r="Q695" s="175">
        <v>31059</v>
      </c>
      <c r="R695" s="79">
        <f t="shared" si="72"/>
        <v>14358</v>
      </c>
      <c r="S695" s="167">
        <f t="shared" si="69"/>
        <v>15675.75</v>
      </c>
      <c r="T695" s="121">
        <f t="shared" si="64"/>
        <v>41333</v>
      </c>
    </row>
    <row r="696" spans="1:20" ht="15.6" x14ac:dyDescent="0.3">
      <c r="A696" s="181">
        <f t="shared" si="63"/>
        <v>41340</v>
      </c>
      <c r="B696" s="73">
        <v>1848</v>
      </c>
      <c r="C696" s="73">
        <v>7074</v>
      </c>
      <c r="D696" s="73">
        <v>1511</v>
      </c>
      <c r="E696" s="73">
        <v>3286</v>
      </c>
      <c r="F696" s="73">
        <v>1230</v>
      </c>
      <c r="G696" s="73">
        <v>4364</v>
      </c>
      <c r="H696" s="73">
        <v>782</v>
      </c>
      <c r="I696" s="73">
        <v>3672</v>
      </c>
      <c r="J696" s="73">
        <v>97</v>
      </c>
      <c r="K696" s="73">
        <v>363</v>
      </c>
      <c r="L696" s="175">
        <v>5467</v>
      </c>
      <c r="M696" s="175">
        <v>18760</v>
      </c>
      <c r="N696" s="175">
        <v>4934</v>
      </c>
      <c r="O696" s="175">
        <v>9845</v>
      </c>
      <c r="P696" s="175">
        <v>3826</v>
      </c>
      <c r="Q696" s="175">
        <v>31672</v>
      </c>
      <c r="R696" s="79">
        <f t="shared" si="72"/>
        <v>14227</v>
      </c>
      <c r="S696" s="167">
        <f t="shared" si="69"/>
        <v>15044.25</v>
      </c>
      <c r="T696" s="121">
        <f t="shared" si="64"/>
        <v>41340</v>
      </c>
    </row>
    <row r="697" spans="1:20" ht="15.6" x14ac:dyDescent="0.3">
      <c r="A697" s="181">
        <f t="shared" si="63"/>
        <v>41347</v>
      </c>
      <c r="B697" s="73">
        <v>1815</v>
      </c>
      <c r="C697" s="73">
        <v>7279</v>
      </c>
      <c r="D697" s="73">
        <v>1460</v>
      </c>
      <c r="E697" s="73">
        <v>3539</v>
      </c>
      <c r="F697" s="73">
        <v>1196</v>
      </c>
      <c r="G697" s="73">
        <v>4480</v>
      </c>
      <c r="H697" s="73">
        <v>754</v>
      </c>
      <c r="I697" s="73">
        <v>3725</v>
      </c>
      <c r="J697" s="73">
        <v>90</v>
      </c>
      <c r="K697" s="73">
        <v>375</v>
      </c>
      <c r="L697" s="175">
        <v>5315</v>
      </c>
      <c r="M697" s="175">
        <v>19397</v>
      </c>
      <c r="N697" s="175">
        <v>4607</v>
      </c>
      <c r="O697" s="175">
        <v>10264</v>
      </c>
      <c r="P697" s="175">
        <v>3707</v>
      </c>
      <c r="Q697" s="175">
        <v>31899</v>
      </c>
      <c r="R697" s="79">
        <f t="shared" si="72"/>
        <v>13629</v>
      </c>
      <c r="S697" s="167">
        <f t="shared" si="69"/>
        <v>14460.25</v>
      </c>
      <c r="T697" s="121">
        <f t="shared" si="64"/>
        <v>41347</v>
      </c>
    </row>
    <row r="698" spans="1:20" ht="15.6" x14ac:dyDescent="0.3">
      <c r="A698" s="181">
        <f t="shared" si="63"/>
        <v>41354</v>
      </c>
      <c r="B698" s="73">
        <v>2034</v>
      </c>
      <c r="C698" s="73">
        <v>7399</v>
      </c>
      <c r="D698" s="73">
        <v>1275</v>
      </c>
      <c r="E698" s="73">
        <v>3675</v>
      </c>
      <c r="F698" s="73">
        <v>1276</v>
      </c>
      <c r="G698" s="73">
        <v>4625</v>
      </c>
      <c r="H698" s="73">
        <v>676</v>
      </c>
      <c r="I698" s="73">
        <v>3845</v>
      </c>
      <c r="J698" s="73">
        <v>113</v>
      </c>
      <c r="K698" s="73">
        <v>375</v>
      </c>
      <c r="L698" s="175">
        <v>5373</v>
      </c>
      <c r="M698" s="175">
        <v>19919</v>
      </c>
      <c r="N698" s="175">
        <v>4518</v>
      </c>
      <c r="O698" s="175">
        <v>10648</v>
      </c>
      <c r="P698" s="175">
        <v>3203</v>
      </c>
      <c r="Q698" s="175">
        <v>32469</v>
      </c>
      <c r="R698" s="79">
        <f t="shared" si="72"/>
        <v>13094</v>
      </c>
      <c r="S698" s="167">
        <f t="shared" si="69"/>
        <v>13827</v>
      </c>
      <c r="T698" s="121">
        <f t="shared" si="64"/>
        <v>41354</v>
      </c>
    </row>
    <row r="699" spans="1:20" ht="15.6" x14ac:dyDescent="0.3">
      <c r="A699" s="181">
        <f t="shared" si="63"/>
        <v>41361</v>
      </c>
      <c r="B699" s="73">
        <v>1987</v>
      </c>
      <c r="C699" s="73">
        <v>7566</v>
      </c>
      <c r="D699" s="73">
        <v>1070</v>
      </c>
      <c r="E699" s="73">
        <v>3933</v>
      </c>
      <c r="F699" s="73">
        <v>1218</v>
      </c>
      <c r="G699" s="73">
        <v>4670</v>
      </c>
      <c r="H699" s="73">
        <v>653</v>
      </c>
      <c r="I699" s="73">
        <v>3869</v>
      </c>
      <c r="J699" s="73">
        <v>78</v>
      </c>
      <c r="K699" s="73">
        <v>390</v>
      </c>
      <c r="L699" s="175">
        <v>5006</v>
      </c>
      <c r="M699" s="175">
        <v>20427</v>
      </c>
      <c r="N699" s="175">
        <v>4306</v>
      </c>
      <c r="O699" s="175">
        <v>11214</v>
      </c>
      <c r="P699" s="175">
        <v>3122</v>
      </c>
      <c r="Q699" s="175">
        <v>32942</v>
      </c>
      <c r="R699" s="79">
        <v>12434</v>
      </c>
      <c r="S699" s="167">
        <f t="shared" si="69"/>
        <v>13346</v>
      </c>
      <c r="T699" s="121">
        <f t="shared" si="64"/>
        <v>41361</v>
      </c>
    </row>
    <row r="700" spans="1:20" ht="15.6" x14ac:dyDescent="0.3">
      <c r="A700" s="181">
        <f t="shared" si="63"/>
        <v>41368</v>
      </c>
      <c r="B700" s="73">
        <v>1810</v>
      </c>
      <c r="C700" s="73">
        <v>7891</v>
      </c>
      <c r="D700" s="73">
        <v>1021</v>
      </c>
      <c r="E700" s="73">
        <v>4112</v>
      </c>
      <c r="F700" s="73">
        <v>1026</v>
      </c>
      <c r="G700" s="73">
        <v>4825</v>
      </c>
      <c r="H700" s="73">
        <v>572</v>
      </c>
      <c r="I700" s="73">
        <v>3971</v>
      </c>
      <c r="J700" s="73">
        <v>68</v>
      </c>
      <c r="K700" s="73">
        <v>401</v>
      </c>
      <c r="L700" s="175">
        <v>4497</v>
      </c>
      <c r="M700" s="175">
        <v>21200</v>
      </c>
      <c r="N700" s="175">
        <v>4211</v>
      </c>
      <c r="O700" s="175">
        <v>11494</v>
      </c>
      <c r="P700" s="175">
        <v>2796</v>
      </c>
      <c r="Q700" s="175">
        <v>33533</v>
      </c>
      <c r="R700" s="79">
        <f>P700+N700+L700</f>
        <v>11504</v>
      </c>
      <c r="S700" s="167">
        <f t="shared" si="69"/>
        <v>12665.25</v>
      </c>
      <c r="T700" s="121">
        <f t="shared" si="64"/>
        <v>41368</v>
      </c>
    </row>
    <row r="701" spans="1:20" ht="15.6" x14ac:dyDescent="0.3">
      <c r="A701" s="181">
        <f t="shared" si="63"/>
        <v>41375</v>
      </c>
      <c r="B701" s="73">
        <v>1856</v>
      </c>
      <c r="C701" s="73">
        <v>8123</v>
      </c>
      <c r="D701" s="73">
        <v>978</v>
      </c>
      <c r="E701" s="73">
        <v>4203</v>
      </c>
      <c r="F701" s="73">
        <v>910</v>
      </c>
      <c r="G701" s="73">
        <v>5020</v>
      </c>
      <c r="H701" s="73">
        <v>475</v>
      </c>
      <c r="I701" s="73">
        <v>4124</v>
      </c>
      <c r="J701" s="73">
        <v>125</v>
      </c>
      <c r="K701" s="73">
        <v>423</v>
      </c>
      <c r="L701" s="175">
        <v>4345</v>
      </c>
      <c r="M701" s="175">
        <v>21893</v>
      </c>
      <c r="N701" s="175">
        <v>4310</v>
      </c>
      <c r="O701" s="175">
        <v>11796</v>
      </c>
      <c r="P701" s="175">
        <v>2954</v>
      </c>
      <c r="Q701" s="175">
        <v>33683</v>
      </c>
      <c r="R701" s="79">
        <f>P701+N701+L701</f>
        <v>11609</v>
      </c>
      <c r="S701" s="167">
        <f t="shared" si="69"/>
        <v>12160.25</v>
      </c>
      <c r="T701" s="121">
        <f t="shared" si="64"/>
        <v>41375</v>
      </c>
    </row>
    <row r="702" spans="1:20" ht="15.6" x14ac:dyDescent="0.3">
      <c r="A702" s="181">
        <f t="shared" si="63"/>
        <v>41382</v>
      </c>
      <c r="B702" s="73">
        <v>1711</v>
      </c>
      <c r="C702" s="73">
        <v>8340</v>
      </c>
      <c r="D702" s="73">
        <v>884</v>
      </c>
      <c r="E702" s="73">
        <v>4331</v>
      </c>
      <c r="F702" s="73">
        <v>771</v>
      </c>
      <c r="G702" s="73">
        <v>5155</v>
      </c>
      <c r="H702" s="73">
        <v>409</v>
      </c>
      <c r="I702" s="73">
        <v>4162</v>
      </c>
      <c r="J702" s="73">
        <v>100</v>
      </c>
      <c r="K702" s="73">
        <v>447</v>
      </c>
      <c r="L702" s="175">
        <v>3874</v>
      </c>
      <c r="M702" s="175">
        <v>22435</v>
      </c>
      <c r="N702" s="175">
        <v>4303</v>
      </c>
      <c r="O702" s="175">
        <v>12118</v>
      </c>
      <c r="P702" s="175">
        <v>2556</v>
      </c>
      <c r="Q702" s="175">
        <v>33874</v>
      </c>
      <c r="R702" s="79">
        <f>P702+N702+L702</f>
        <v>10733</v>
      </c>
      <c r="S702" s="167">
        <f t="shared" si="69"/>
        <v>11570</v>
      </c>
      <c r="T702" s="121">
        <f t="shared" si="64"/>
        <v>41382</v>
      </c>
    </row>
    <row r="703" spans="1:20" ht="15.6" x14ac:dyDescent="0.3">
      <c r="A703" s="181">
        <f t="shared" si="63"/>
        <v>41389</v>
      </c>
      <c r="B703" s="73">
        <v>1471</v>
      </c>
      <c r="C703" s="73">
        <v>8708</v>
      </c>
      <c r="D703" s="73">
        <v>720</v>
      </c>
      <c r="E703" s="73">
        <v>4519</v>
      </c>
      <c r="F703" s="73">
        <v>658</v>
      </c>
      <c r="G703" s="73">
        <v>5321</v>
      </c>
      <c r="H703" s="73">
        <v>300</v>
      </c>
      <c r="I703" s="73">
        <v>4285</v>
      </c>
      <c r="J703" s="73">
        <v>99</v>
      </c>
      <c r="K703" s="73">
        <v>447</v>
      </c>
      <c r="L703" s="175">
        <v>3248</v>
      </c>
      <c r="M703" s="175">
        <v>23280</v>
      </c>
      <c r="N703" s="175">
        <v>4228</v>
      </c>
      <c r="O703" s="175">
        <v>12522</v>
      </c>
      <c r="P703" s="175">
        <v>2090</v>
      </c>
      <c r="Q703" s="175">
        <v>34200</v>
      </c>
      <c r="R703" s="79">
        <f>P703+N703+L703</f>
        <v>9566</v>
      </c>
      <c r="S703" s="167">
        <f t="shared" si="69"/>
        <v>10853</v>
      </c>
      <c r="T703" s="121">
        <f t="shared" si="64"/>
        <v>41389</v>
      </c>
    </row>
    <row r="704" spans="1:20" ht="15.6" x14ac:dyDescent="0.3">
      <c r="A704" s="181">
        <f t="shared" si="63"/>
        <v>41396</v>
      </c>
      <c r="B704" s="73">
        <v>1406</v>
      </c>
      <c r="C704" s="73">
        <v>8864</v>
      </c>
      <c r="D704" s="73">
        <v>701</v>
      </c>
      <c r="E704" s="73">
        <v>3631</v>
      </c>
      <c r="F704" s="73">
        <v>518</v>
      </c>
      <c r="G704" s="73">
        <v>5495</v>
      </c>
      <c r="H704" s="73">
        <v>245</v>
      </c>
      <c r="I704" s="73">
        <v>4361</v>
      </c>
      <c r="J704" s="73">
        <v>58</v>
      </c>
      <c r="K704" s="73">
        <v>489</v>
      </c>
      <c r="L704" s="175">
        <v>2928</v>
      </c>
      <c r="M704" s="175">
        <v>23840</v>
      </c>
      <c r="N704" s="175">
        <v>4152</v>
      </c>
      <c r="O704" s="175">
        <v>12714</v>
      </c>
      <c r="P704" s="175">
        <v>2111</v>
      </c>
      <c r="Q704" s="175">
        <v>34371</v>
      </c>
      <c r="R704" s="79">
        <f>P704+N704+L704</f>
        <v>9191</v>
      </c>
      <c r="S704" s="167">
        <f t="shared" si="69"/>
        <v>10274.75</v>
      </c>
      <c r="T704" s="121">
        <f t="shared" si="64"/>
        <v>41396</v>
      </c>
    </row>
    <row r="705" spans="1:20" x14ac:dyDescent="0.25">
      <c r="A705" s="181">
        <f t="shared" si="63"/>
        <v>41403</v>
      </c>
      <c r="T705" s="121">
        <f t="shared" si="64"/>
        <v>41403</v>
      </c>
    </row>
    <row r="706" spans="1:20" x14ac:dyDescent="0.25">
      <c r="A706" s="181">
        <f t="shared" si="63"/>
        <v>41410</v>
      </c>
      <c r="T706" s="121">
        <f t="shared" si="64"/>
        <v>41410</v>
      </c>
    </row>
    <row r="707" spans="1:20" x14ac:dyDescent="0.25">
      <c r="A707" s="181">
        <f t="shared" si="63"/>
        <v>41417</v>
      </c>
      <c r="T707" s="121">
        <f t="shared" si="64"/>
        <v>41417</v>
      </c>
    </row>
    <row r="708" spans="1:20" x14ac:dyDescent="0.25">
      <c r="A708" s="181">
        <f t="shared" si="63"/>
        <v>41424</v>
      </c>
      <c r="T708" s="121">
        <f t="shared" si="64"/>
        <v>41424</v>
      </c>
    </row>
    <row r="709" spans="1:20" x14ac:dyDescent="0.25">
      <c r="A709" s="181">
        <f t="shared" si="63"/>
        <v>41431</v>
      </c>
      <c r="T709" s="121">
        <f t="shared" si="64"/>
        <v>41431</v>
      </c>
    </row>
    <row r="710" spans="1:20" x14ac:dyDescent="0.25">
      <c r="A710" s="181">
        <f t="shared" si="63"/>
        <v>41438</v>
      </c>
      <c r="T710" s="121">
        <f t="shared" si="64"/>
        <v>41438</v>
      </c>
    </row>
    <row r="711" spans="1:20" x14ac:dyDescent="0.25">
      <c r="A711" s="181">
        <f t="shared" si="63"/>
        <v>41445</v>
      </c>
      <c r="T711" s="121">
        <f t="shared" si="64"/>
        <v>41445</v>
      </c>
    </row>
    <row r="712" spans="1:20" x14ac:dyDescent="0.25">
      <c r="A712" s="181">
        <f t="shared" si="63"/>
        <v>41452</v>
      </c>
      <c r="T712" s="121">
        <f t="shared" si="64"/>
        <v>41452</v>
      </c>
    </row>
    <row r="713" spans="1:20" x14ac:dyDescent="0.25">
      <c r="A713" s="181">
        <f t="shared" si="63"/>
        <v>41459</v>
      </c>
      <c r="T713" s="121">
        <f t="shared" si="64"/>
        <v>41459</v>
      </c>
    </row>
    <row r="714" spans="1:20" x14ac:dyDescent="0.25">
      <c r="A714" s="181">
        <f t="shared" si="63"/>
        <v>41466</v>
      </c>
      <c r="T714" s="121">
        <f t="shared" si="64"/>
        <v>41466</v>
      </c>
    </row>
    <row r="715" spans="1:20" x14ac:dyDescent="0.25">
      <c r="A715" s="181">
        <f t="shared" ref="A715:A778" si="73">A714+7</f>
        <v>41473</v>
      </c>
      <c r="T715" s="121">
        <f t="shared" si="64"/>
        <v>41473</v>
      </c>
    </row>
    <row r="716" spans="1:20" x14ac:dyDescent="0.25">
      <c r="A716" s="181">
        <f t="shared" si="73"/>
        <v>41480</v>
      </c>
      <c r="T716" s="121">
        <f t="shared" ref="T716:T779" si="74">T715+7</f>
        <v>41480</v>
      </c>
    </row>
    <row r="717" spans="1:20" x14ac:dyDescent="0.25">
      <c r="A717" s="181">
        <f t="shared" si="73"/>
        <v>41487</v>
      </c>
      <c r="T717" s="121">
        <f t="shared" si="74"/>
        <v>41487</v>
      </c>
    </row>
    <row r="718" spans="1:20" x14ac:dyDescent="0.25">
      <c r="A718" s="181">
        <f t="shared" si="73"/>
        <v>41494</v>
      </c>
      <c r="T718" s="121">
        <f t="shared" si="74"/>
        <v>41494</v>
      </c>
    </row>
    <row r="719" spans="1:20" x14ac:dyDescent="0.25">
      <c r="A719" s="181">
        <f t="shared" si="73"/>
        <v>41501</v>
      </c>
      <c r="T719" s="121">
        <f t="shared" si="74"/>
        <v>41501</v>
      </c>
    </row>
    <row r="720" spans="1:20" x14ac:dyDescent="0.25">
      <c r="A720" s="181">
        <f t="shared" si="73"/>
        <v>41508</v>
      </c>
      <c r="T720" s="121">
        <f t="shared" si="74"/>
        <v>41508</v>
      </c>
    </row>
    <row r="721" spans="1:20" x14ac:dyDescent="0.25">
      <c r="A721" s="181">
        <f t="shared" si="73"/>
        <v>41515</v>
      </c>
      <c r="T721" s="121">
        <f t="shared" si="74"/>
        <v>41515</v>
      </c>
    </row>
    <row r="722" spans="1:20" x14ac:dyDescent="0.25">
      <c r="A722" s="181">
        <f t="shared" si="73"/>
        <v>41522</v>
      </c>
      <c r="T722" s="121">
        <f t="shared" si="74"/>
        <v>41522</v>
      </c>
    </row>
    <row r="723" spans="1:20" x14ac:dyDescent="0.25">
      <c r="A723" s="181">
        <f t="shared" si="73"/>
        <v>41529</v>
      </c>
      <c r="T723" s="121">
        <f t="shared" si="74"/>
        <v>41529</v>
      </c>
    </row>
    <row r="724" spans="1:20" x14ac:dyDescent="0.25">
      <c r="A724" s="181">
        <f t="shared" si="73"/>
        <v>41536</v>
      </c>
      <c r="T724" s="121">
        <f t="shared" si="74"/>
        <v>41536</v>
      </c>
    </row>
    <row r="725" spans="1:20" x14ac:dyDescent="0.25">
      <c r="A725" s="181">
        <f t="shared" si="73"/>
        <v>41543</v>
      </c>
      <c r="T725" s="121">
        <f t="shared" si="74"/>
        <v>41543</v>
      </c>
    </row>
    <row r="726" spans="1:20" x14ac:dyDescent="0.25">
      <c r="A726" s="181">
        <f t="shared" si="73"/>
        <v>41550</v>
      </c>
      <c r="T726" s="121">
        <f t="shared" si="74"/>
        <v>41550</v>
      </c>
    </row>
    <row r="727" spans="1:20" x14ac:dyDescent="0.25">
      <c r="A727" s="181">
        <f t="shared" si="73"/>
        <v>41557</v>
      </c>
      <c r="T727" s="121">
        <f t="shared" si="74"/>
        <v>41557</v>
      </c>
    </row>
    <row r="728" spans="1:20" x14ac:dyDescent="0.25">
      <c r="A728" s="181">
        <f t="shared" si="73"/>
        <v>41564</v>
      </c>
      <c r="T728" s="121">
        <f t="shared" si="74"/>
        <v>41564</v>
      </c>
    </row>
    <row r="729" spans="1:20" x14ac:dyDescent="0.25">
      <c r="A729" s="181">
        <f t="shared" si="73"/>
        <v>41571</v>
      </c>
      <c r="T729" s="121">
        <f t="shared" si="74"/>
        <v>41571</v>
      </c>
    </row>
    <row r="730" spans="1:20" x14ac:dyDescent="0.25">
      <c r="A730" s="181">
        <f t="shared" si="73"/>
        <v>41578</v>
      </c>
      <c r="T730" s="121">
        <f t="shared" si="74"/>
        <v>41578</v>
      </c>
    </row>
    <row r="731" spans="1:20" x14ac:dyDescent="0.25">
      <c r="A731" s="181">
        <f t="shared" si="73"/>
        <v>41585</v>
      </c>
      <c r="T731" s="121">
        <f t="shared" si="74"/>
        <v>41585</v>
      </c>
    </row>
    <row r="732" spans="1:20" x14ac:dyDescent="0.25">
      <c r="A732" s="181">
        <f t="shared" si="73"/>
        <v>41592</v>
      </c>
      <c r="T732" s="121">
        <f t="shared" si="74"/>
        <v>41592</v>
      </c>
    </row>
    <row r="733" spans="1:20" x14ac:dyDescent="0.25">
      <c r="A733" s="181">
        <f t="shared" si="73"/>
        <v>41599</v>
      </c>
      <c r="T733" s="121">
        <f t="shared" si="74"/>
        <v>41599</v>
      </c>
    </row>
    <row r="734" spans="1:20" x14ac:dyDescent="0.25">
      <c r="A734" s="181">
        <f t="shared" si="73"/>
        <v>41606</v>
      </c>
      <c r="T734" s="121">
        <f t="shared" si="74"/>
        <v>41606</v>
      </c>
    </row>
    <row r="735" spans="1:20" x14ac:dyDescent="0.25">
      <c r="A735" s="181">
        <f t="shared" si="73"/>
        <v>41613</v>
      </c>
      <c r="T735" s="121">
        <f t="shared" si="74"/>
        <v>41613</v>
      </c>
    </row>
    <row r="736" spans="1:20" x14ac:dyDescent="0.25">
      <c r="A736" s="181">
        <f t="shared" si="73"/>
        <v>41620</v>
      </c>
      <c r="T736" s="121">
        <f t="shared" si="74"/>
        <v>41620</v>
      </c>
    </row>
    <row r="737" spans="1:20" x14ac:dyDescent="0.25">
      <c r="A737" s="181">
        <f t="shared" si="73"/>
        <v>41627</v>
      </c>
      <c r="T737" s="121">
        <f t="shared" si="74"/>
        <v>41627</v>
      </c>
    </row>
    <row r="738" spans="1:20" x14ac:dyDescent="0.25">
      <c r="A738" s="181">
        <f t="shared" si="73"/>
        <v>41634</v>
      </c>
      <c r="T738" s="121">
        <f t="shared" si="74"/>
        <v>41634</v>
      </c>
    </row>
    <row r="739" spans="1:20" x14ac:dyDescent="0.25">
      <c r="A739" s="126">
        <f t="shared" si="73"/>
        <v>41641</v>
      </c>
      <c r="T739" s="121">
        <f t="shared" si="74"/>
        <v>41641</v>
      </c>
    </row>
    <row r="740" spans="1:20" x14ac:dyDescent="0.25">
      <c r="A740" s="126">
        <f t="shared" si="73"/>
        <v>41648</v>
      </c>
      <c r="T740" s="121">
        <f t="shared" si="74"/>
        <v>41648</v>
      </c>
    </row>
    <row r="741" spans="1:20" x14ac:dyDescent="0.25">
      <c r="A741" s="126">
        <f t="shared" si="73"/>
        <v>41655</v>
      </c>
      <c r="T741" s="121">
        <f t="shared" si="74"/>
        <v>41655</v>
      </c>
    </row>
    <row r="742" spans="1:20" x14ac:dyDescent="0.25">
      <c r="A742" s="126">
        <f t="shared" si="73"/>
        <v>41662</v>
      </c>
      <c r="T742" s="121">
        <f t="shared" si="74"/>
        <v>41662</v>
      </c>
    </row>
    <row r="743" spans="1:20" x14ac:dyDescent="0.25">
      <c r="A743" s="126">
        <f t="shared" si="73"/>
        <v>41669</v>
      </c>
      <c r="T743" s="121">
        <f t="shared" si="74"/>
        <v>41669</v>
      </c>
    </row>
    <row r="744" spans="1:20" x14ac:dyDescent="0.25">
      <c r="A744" s="126">
        <f t="shared" si="73"/>
        <v>41676</v>
      </c>
      <c r="T744" s="121">
        <f t="shared" si="74"/>
        <v>41676</v>
      </c>
    </row>
    <row r="745" spans="1:20" x14ac:dyDescent="0.25">
      <c r="A745" s="126">
        <f t="shared" si="73"/>
        <v>41683</v>
      </c>
      <c r="T745" s="121">
        <f t="shared" si="74"/>
        <v>41683</v>
      </c>
    </row>
    <row r="746" spans="1:20" x14ac:dyDescent="0.25">
      <c r="A746" s="126">
        <f t="shared" si="73"/>
        <v>41690</v>
      </c>
      <c r="T746" s="121">
        <f t="shared" si="74"/>
        <v>41690</v>
      </c>
    </row>
    <row r="747" spans="1:20" x14ac:dyDescent="0.25">
      <c r="A747" s="126">
        <f t="shared" si="73"/>
        <v>41697</v>
      </c>
      <c r="T747" s="121">
        <f t="shared" si="74"/>
        <v>41697</v>
      </c>
    </row>
    <row r="748" spans="1:20" x14ac:dyDescent="0.25">
      <c r="A748" s="126">
        <f t="shared" si="73"/>
        <v>41704</v>
      </c>
      <c r="T748" s="121">
        <f t="shared" si="74"/>
        <v>41704</v>
      </c>
    </row>
    <row r="749" spans="1:20" x14ac:dyDescent="0.25">
      <c r="A749" s="126">
        <f t="shared" si="73"/>
        <v>41711</v>
      </c>
      <c r="T749" s="121">
        <f t="shared" si="74"/>
        <v>41711</v>
      </c>
    </row>
    <row r="750" spans="1:20" x14ac:dyDescent="0.25">
      <c r="A750" s="126">
        <f t="shared" si="73"/>
        <v>41718</v>
      </c>
      <c r="T750" s="121">
        <f t="shared" si="74"/>
        <v>41718</v>
      </c>
    </row>
    <row r="751" spans="1:20" x14ac:dyDescent="0.25">
      <c r="A751" s="126">
        <f t="shared" si="73"/>
        <v>41725</v>
      </c>
      <c r="T751" s="121">
        <f t="shared" si="74"/>
        <v>41725</v>
      </c>
    </row>
    <row r="752" spans="1:20" x14ac:dyDescent="0.25">
      <c r="A752" s="126">
        <f t="shared" si="73"/>
        <v>41732</v>
      </c>
      <c r="T752" s="121">
        <f t="shared" si="74"/>
        <v>41732</v>
      </c>
    </row>
    <row r="753" spans="1:20" x14ac:dyDescent="0.25">
      <c r="A753" s="126">
        <f t="shared" si="73"/>
        <v>41739</v>
      </c>
      <c r="T753" s="121">
        <f t="shared" si="74"/>
        <v>41739</v>
      </c>
    </row>
    <row r="754" spans="1:20" x14ac:dyDescent="0.25">
      <c r="A754" s="126">
        <f t="shared" si="73"/>
        <v>41746</v>
      </c>
      <c r="T754" s="121">
        <f t="shared" si="74"/>
        <v>41746</v>
      </c>
    </row>
    <row r="755" spans="1:20" x14ac:dyDescent="0.25">
      <c r="A755" s="126">
        <f t="shared" si="73"/>
        <v>41753</v>
      </c>
      <c r="T755" s="121">
        <f t="shared" si="74"/>
        <v>41753</v>
      </c>
    </row>
    <row r="756" spans="1:20" x14ac:dyDescent="0.25">
      <c r="A756" s="126">
        <f t="shared" si="73"/>
        <v>41760</v>
      </c>
      <c r="T756" s="121">
        <f t="shared" si="74"/>
        <v>41760</v>
      </c>
    </row>
    <row r="757" spans="1:20" x14ac:dyDescent="0.25">
      <c r="A757" s="126">
        <f t="shared" si="73"/>
        <v>41767</v>
      </c>
      <c r="T757" s="121">
        <f t="shared" si="74"/>
        <v>41767</v>
      </c>
    </row>
    <row r="758" spans="1:20" x14ac:dyDescent="0.25">
      <c r="A758" s="126">
        <f t="shared" si="73"/>
        <v>41774</v>
      </c>
      <c r="T758" s="121">
        <f t="shared" si="74"/>
        <v>41774</v>
      </c>
    </row>
    <row r="759" spans="1:20" x14ac:dyDescent="0.25">
      <c r="A759" s="126">
        <f t="shared" si="73"/>
        <v>41781</v>
      </c>
      <c r="T759" s="121">
        <f t="shared" si="74"/>
        <v>41781</v>
      </c>
    </row>
    <row r="760" spans="1:20" x14ac:dyDescent="0.25">
      <c r="A760" s="126">
        <f t="shared" si="73"/>
        <v>41788</v>
      </c>
      <c r="T760" s="121">
        <f t="shared" si="74"/>
        <v>41788</v>
      </c>
    </row>
    <row r="761" spans="1:20" x14ac:dyDescent="0.25">
      <c r="A761" s="126">
        <f t="shared" si="73"/>
        <v>41795</v>
      </c>
      <c r="T761" s="121">
        <f t="shared" si="74"/>
        <v>41795</v>
      </c>
    </row>
    <row r="762" spans="1:20" x14ac:dyDescent="0.25">
      <c r="A762" s="126">
        <f t="shared" si="73"/>
        <v>41802</v>
      </c>
      <c r="T762" s="121">
        <f t="shared" si="74"/>
        <v>41802</v>
      </c>
    </row>
    <row r="763" spans="1:20" x14ac:dyDescent="0.25">
      <c r="A763" s="126">
        <f t="shared" si="73"/>
        <v>41809</v>
      </c>
      <c r="T763" s="121">
        <f t="shared" si="74"/>
        <v>41809</v>
      </c>
    </row>
    <row r="764" spans="1:20" x14ac:dyDescent="0.25">
      <c r="A764" s="126">
        <f t="shared" si="73"/>
        <v>41816</v>
      </c>
      <c r="T764" s="121">
        <f t="shared" si="74"/>
        <v>41816</v>
      </c>
    </row>
    <row r="765" spans="1:20" x14ac:dyDescent="0.25">
      <c r="A765" s="126">
        <f t="shared" si="73"/>
        <v>41823</v>
      </c>
      <c r="T765" s="121">
        <f t="shared" si="74"/>
        <v>41823</v>
      </c>
    </row>
    <row r="766" spans="1:20" x14ac:dyDescent="0.25">
      <c r="A766" s="126">
        <f t="shared" si="73"/>
        <v>41830</v>
      </c>
      <c r="T766" s="121">
        <f t="shared" si="74"/>
        <v>41830</v>
      </c>
    </row>
    <row r="767" spans="1:20" x14ac:dyDescent="0.25">
      <c r="A767" s="126">
        <f t="shared" si="73"/>
        <v>41837</v>
      </c>
      <c r="T767" s="121">
        <f t="shared" si="74"/>
        <v>41837</v>
      </c>
    </row>
    <row r="768" spans="1:20" x14ac:dyDescent="0.25">
      <c r="A768" s="126">
        <f t="shared" si="73"/>
        <v>41844</v>
      </c>
      <c r="T768" s="121">
        <f t="shared" si="74"/>
        <v>41844</v>
      </c>
    </row>
    <row r="769" spans="1:20" x14ac:dyDescent="0.25">
      <c r="A769" s="126">
        <f t="shared" si="73"/>
        <v>41851</v>
      </c>
      <c r="T769" s="121">
        <f t="shared" si="74"/>
        <v>41851</v>
      </c>
    </row>
    <row r="770" spans="1:20" x14ac:dyDescent="0.25">
      <c r="A770" s="126">
        <f t="shared" si="73"/>
        <v>41858</v>
      </c>
      <c r="T770" s="121">
        <f t="shared" si="74"/>
        <v>41858</v>
      </c>
    </row>
    <row r="771" spans="1:20" x14ac:dyDescent="0.25">
      <c r="A771" s="126">
        <f t="shared" si="73"/>
        <v>41865</v>
      </c>
      <c r="T771" s="121">
        <f t="shared" si="74"/>
        <v>41865</v>
      </c>
    </row>
    <row r="772" spans="1:20" x14ac:dyDescent="0.25">
      <c r="A772" s="126">
        <f t="shared" si="73"/>
        <v>41872</v>
      </c>
      <c r="T772" s="121">
        <f t="shared" si="74"/>
        <v>41872</v>
      </c>
    </row>
    <row r="773" spans="1:20" x14ac:dyDescent="0.25">
      <c r="A773" s="126">
        <f t="shared" si="73"/>
        <v>41879</v>
      </c>
      <c r="T773" s="121">
        <f t="shared" si="74"/>
        <v>41879</v>
      </c>
    </row>
    <row r="774" spans="1:20" x14ac:dyDescent="0.25">
      <c r="A774" s="126">
        <f t="shared" si="73"/>
        <v>41886</v>
      </c>
      <c r="T774" s="121">
        <f t="shared" si="74"/>
        <v>41886</v>
      </c>
    </row>
    <row r="775" spans="1:20" x14ac:dyDescent="0.25">
      <c r="A775" s="126">
        <f t="shared" si="73"/>
        <v>41893</v>
      </c>
      <c r="T775" s="121">
        <f t="shared" si="74"/>
        <v>41893</v>
      </c>
    </row>
    <row r="776" spans="1:20" x14ac:dyDescent="0.25">
      <c r="A776" s="126">
        <f t="shared" si="73"/>
        <v>41900</v>
      </c>
      <c r="T776" s="121">
        <f t="shared" si="74"/>
        <v>41900</v>
      </c>
    </row>
    <row r="777" spans="1:20" x14ac:dyDescent="0.25">
      <c r="A777" s="126">
        <f t="shared" si="73"/>
        <v>41907</v>
      </c>
      <c r="T777" s="121">
        <f t="shared" si="74"/>
        <v>41907</v>
      </c>
    </row>
    <row r="778" spans="1:20" x14ac:dyDescent="0.25">
      <c r="A778" s="126">
        <f t="shared" si="73"/>
        <v>41914</v>
      </c>
      <c r="T778" s="121">
        <f t="shared" si="74"/>
        <v>41914</v>
      </c>
    </row>
    <row r="779" spans="1:20" x14ac:dyDescent="0.25">
      <c r="A779" s="126">
        <f t="shared" ref="A779:A793" si="75">A778+7</f>
        <v>41921</v>
      </c>
      <c r="T779" s="121">
        <f t="shared" si="74"/>
        <v>41921</v>
      </c>
    </row>
    <row r="780" spans="1:20" x14ac:dyDescent="0.25">
      <c r="A780" s="126">
        <f t="shared" si="75"/>
        <v>41928</v>
      </c>
      <c r="T780" s="121">
        <f t="shared" ref="T780:T793" si="76">T779+7</f>
        <v>41928</v>
      </c>
    </row>
    <row r="781" spans="1:20" x14ac:dyDescent="0.25">
      <c r="A781" s="126">
        <f t="shared" si="75"/>
        <v>41935</v>
      </c>
      <c r="T781" s="121">
        <f t="shared" si="76"/>
        <v>41935</v>
      </c>
    </row>
    <row r="782" spans="1:20" x14ac:dyDescent="0.25">
      <c r="A782" s="126">
        <f t="shared" si="75"/>
        <v>41942</v>
      </c>
      <c r="T782" s="121">
        <f t="shared" si="76"/>
        <v>41942</v>
      </c>
    </row>
    <row r="783" spans="1:20" x14ac:dyDescent="0.25">
      <c r="A783" s="126">
        <f t="shared" si="75"/>
        <v>41949</v>
      </c>
      <c r="T783" s="121">
        <f t="shared" si="76"/>
        <v>41949</v>
      </c>
    </row>
    <row r="784" spans="1:20" x14ac:dyDescent="0.25">
      <c r="A784" s="126">
        <f t="shared" si="75"/>
        <v>41956</v>
      </c>
      <c r="T784" s="121">
        <f t="shared" si="76"/>
        <v>41956</v>
      </c>
    </row>
    <row r="785" spans="1:20" x14ac:dyDescent="0.25">
      <c r="A785" s="126">
        <f t="shared" si="75"/>
        <v>41963</v>
      </c>
      <c r="T785" s="121">
        <f t="shared" si="76"/>
        <v>41963</v>
      </c>
    </row>
    <row r="786" spans="1:20" x14ac:dyDescent="0.25">
      <c r="A786" s="126">
        <f t="shared" si="75"/>
        <v>41970</v>
      </c>
      <c r="T786" s="121">
        <f t="shared" si="76"/>
        <v>41970</v>
      </c>
    </row>
    <row r="787" spans="1:20" x14ac:dyDescent="0.25">
      <c r="A787" s="126">
        <f t="shared" si="75"/>
        <v>41977</v>
      </c>
      <c r="T787" s="121">
        <f t="shared" si="76"/>
        <v>41977</v>
      </c>
    </row>
    <row r="788" spans="1:20" x14ac:dyDescent="0.25">
      <c r="A788" s="126">
        <f t="shared" si="75"/>
        <v>41984</v>
      </c>
      <c r="T788" s="121">
        <f t="shared" si="76"/>
        <v>41984</v>
      </c>
    </row>
    <row r="789" spans="1:20" x14ac:dyDescent="0.25">
      <c r="A789" s="126">
        <f t="shared" si="75"/>
        <v>41991</v>
      </c>
      <c r="T789" s="121">
        <f t="shared" si="76"/>
        <v>41991</v>
      </c>
    </row>
    <row r="790" spans="1:20" x14ac:dyDescent="0.25">
      <c r="A790" s="126">
        <f t="shared" si="75"/>
        <v>41998</v>
      </c>
      <c r="T790" s="121">
        <f t="shared" si="76"/>
        <v>41998</v>
      </c>
    </row>
    <row r="791" spans="1:20" x14ac:dyDescent="0.25">
      <c r="A791" s="126">
        <f t="shared" si="75"/>
        <v>42005</v>
      </c>
      <c r="T791" s="121">
        <f t="shared" si="76"/>
        <v>42005</v>
      </c>
    </row>
    <row r="792" spans="1:20" x14ac:dyDescent="0.25">
      <c r="A792" s="126">
        <f t="shared" si="75"/>
        <v>42012</v>
      </c>
      <c r="T792" s="121">
        <f t="shared" si="76"/>
        <v>42012</v>
      </c>
    </row>
    <row r="793" spans="1:20" x14ac:dyDescent="0.25">
      <c r="A793" s="126">
        <f t="shared" si="75"/>
        <v>42019</v>
      </c>
      <c r="T793" s="121">
        <f t="shared" si="76"/>
        <v>42019</v>
      </c>
    </row>
  </sheetData>
  <pageMargins left="0.7" right="0.7" top="0.75" bottom="0.75" header="0.3" footer="0.3"/>
  <pageSetup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enter data</vt:lpstr>
      <vt:lpstr>Tble 12</vt:lpstr>
      <vt:lpstr>copy data</vt:lpstr>
      <vt:lpstr>copy data2</vt:lpstr>
      <vt:lpstr>copy data3</vt:lpstr>
      <vt:lpstr>Chart2</vt:lpstr>
      <vt:lpstr>Chart1</vt:lpstr>
      <vt:lpstr>'copy data'!Print_Titles</vt:lpstr>
      <vt:lpstr>'copy data2'!Print_Titles</vt:lpstr>
      <vt:lpstr>'copy data3'!Print_Titles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2012-09-20T12:37:40Z</cp:lastPrinted>
  <dcterms:created xsi:type="dcterms:W3CDTF">2003-12-08T21:51:48Z</dcterms:created>
  <dcterms:modified xsi:type="dcterms:W3CDTF">2013-05-13T19:41:50Z</dcterms:modified>
</cp:coreProperties>
</file>