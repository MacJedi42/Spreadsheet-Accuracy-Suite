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720" yWindow="435" windowWidth="27555" windowHeight="11790"/>
  </bookViews>
  <sheets>
    <sheet name="raw_data" sheetId="2" r:id="rId1"/>
  </sheets>
  <externalReferences>
    <externalReference r:id="rId2"/>
  </externalReferences>
  <definedNames>
    <definedName name="_xlnm._FilterDatabase" localSheetId="0" hidden="1">raw_data!$A$1:$T$340</definedName>
    <definedName name="IDX" localSheetId="0">raw_data!#REF!</definedName>
  </definedNames>
  <calcPr calcId="145621"/>
</workbook>
</file>

<file path=xl/calcChain.xml><?xml version="1.0" encoding="utf-8"?>
<calcChain xmlns="http://schemas.openxmlformats.org/spreadsheetml/2006/main">
  <c r="A295" i="2" l="1"/>
  <c r="A198" i="2"/>
  <c r="A188" i="2"/>
  <c r="A44" i="2"/>
  <c r="A333" i="2"/>
  <c r="A150" i="2"/>
  <c r="A192" i="2"/>
  <c r="A67" i="2"/>
  <c r="A59" i="2"/>
  <c r="A86" i="2"/>
  <c r="A87" i="2"/>
  <c r="A340" i="2"/>
  <c r="A266" i="2"/>
  <c r="A2" i="2"/>
  <c r="A268" i="2"/>
  <c r="A251" i="2"/>
  <c r="A204" i="2"/>
  <c r="A130" i="2"/>
  <c r="A219" i="2"/>
  <c r="A220" i="2"/>
  <c r="A136" i="2"/>
  <c r="A66" i="2"/>
  <c r="A4" i="2"/>
  <c r="A232" i="2"/>
  <c r="A304" i="2"/>
  <c r="A53" i="2"/>
  <c r="A99" i="2"/>
  <c r="A7" i="2"/>
  <c r="A8" i="2"/>
  <c r="A14" i="2"/>
  <c r="A16" i="2"/>
  <c r="A20" i="2"/>
  <c r="A21" i="2"/>
  <c r="A24" i="2"/>
  <c r="A25" i="2"/>
  <c r="A26" i="2"/>
  <c r="A33" i="2"/>
  <c r="A34" i="2"/>
  <c r="A39" i="2"/>
  <c r="A46" i="2"/>
  <c r="A51" i="2"/>
  <c r="A54" i="2"/>
  <c r="A55" i="2"/>
  <c r="A60" i="2"/>
  <c r="A61" i="2"/>
  <c r="A62" i="2"/>
  <c r="A63" i="2"/>
  <c r="A64" i="2"/>
  <c r="A65" i="2"/>
  <c r="A76" i="2"/>
  <c r="A75" i="2"/>
  <c r="A84" i="2"/>
  <c r="A85" i="2"/>
  <c r="A88" i="2"/>
  <c r="A93" i="2"/>
  <c r="A94" i="2"/>
  <c r="A95" i="2"/>
  <c r="A96" i="2"/>
  <c r="A97" i="2"/>
  <c r="A98" i="2"/>
  <c r="A107" i="2"/>
  <c r="A116" i="2"/>
  <c r="A124" i="2"/>
  <c r="A131" i="2"/>
  <c r="A132" i="2"/>
  <c r="A133" i="2"/>
  <c r="A134" i="2"/>
  <c r="A146" i="2"/>
  <c r="A164" i="2"/>
  <c r="A165" i="2"/>
  <c r="A170" i="2"/>
  <c r="A172" i="2"/>
  <c r="A173" i="2"/>
  <c r="A176" i="2"/>
  <c r="A177" i="2"/>
  <c r="A182" i="2"/>
  <c r="A183" i="2"/>
  <c r="A189" i="2"/>
  <c r="A190" i="2"/>
  <c r="A191" i="2"/>
  <c r="A193" i="2"/>
  <c r="A196" i="2"/>
  <c r="A206" i="2"/>
  <c r="A207" i="2"/>
  <c r="A208" i="2"/>
  <c r="A218" i="2"/>
  <c r="A225" i="2"/>
  <c r="A226" i="2"/>
  <c r="A237" i="2"/>
  <c r="A239" i="2"/>
  <c r="A240" i="2"/>
  <c r="A241" i="2"/>
  <c r="A246" i="2"/>
  <c r="A249" i="2"/>
  <c r="A250" i="2"/>
  <c r="A260" i="2"/>
  <c r="A261" i="2"/>
  <c r="A262" i="2"/>
  <c r="A276" i="2"/>
  <c r="A277" i="2"/>
  <c r="A279" i="2"/>
  <c r="A280" i="2"/>
  <c r="A281" i="2"/>
  <c r="A285" i="2"/>
  <c r="A291" i="2"/>
  <c r="A292" i="2"/>
  <c r="A294" i="2"/>
  <c r="A298" i="2"/>
  <c r="A300" i="2"/>
  <c r="A306" i="2"/>
  <c r="A314" i="2"/>
  <c r="A315" i="2"/>
  <c r="A316" i="2"/>
  <c r="A320" i="2"/>
  <c r="A327" i="2"/>
  <c r="A330" i="2"/>
  <c r="A331" i="2"/>
  <c r="A334" i="2"/>
  <c r="A335" i="2"/>
  <c r="A339" i="2"/>
  <c r="A9" i="2"/>
  <c r="A10" i="2"/>
  <c r="A22" i="2"/>
  <c r="A56" i="2"/>
  <c r="A57" i="2"/>
  <c r="A83" i="2"/>
  <c r="A122" i="2"/>
  <c r="A143" i="2"/>
  <c r="A144" i="2"/>
  <c r="A194" i="2"/>
  <c r="A195" i="2"/>
  <c r="A199" i="2"/>
  <c r="A200" i="2"/>
  <c r="A201" i="2"/>
  <c r="A202" i="2"/>
  <c r="A203" i="2"/>
  <c r="A211" i="2"/>
  <c r="A215" i="2"/>
  <c r="A270" i="2"/>
  <c r="A322" i="2"/>
  <c r="A332" i="2"/>
  <c r="A6" i="2"/>
  <c r="A23" i="2"/>
  <c r="A106" i="2"/>
  <c r="A41" i="2"/>
  <c r="A140" i="2"/>
  <c r="A141" i="2"/>
  <c r="A142" i="2"/>
  <c r="A264" i="2"/>
  <c r="A265" i="2"/>
  <c r="A5" i="2"/>
  <c r="A325" i="2"/>
  <c r="A269" i="2"/>
  <c r="A45" i="2"/>
  <c r="A102" i="2"/>
  <c r="A275" i="2"/>
  <c r="A299" i="2"/>
  <c r="A302" i="2"/>
  <c r="A303" i="2"/>
  <c r="A230" i="2"/>
  <c r="A235" i="2"/>
  <c r="A68" i="2"/>
  <c r="A37" i="2"/>
  <c r="A139" i="2"/>
  <c r="A80" i="2"/>
  <c r="A81" i="2"/>
  <c r="A82" i="2"/>
  <c r="A312" i="2"/>
  <c r="A336" i="2"/>
  <c r="A113" i="2"/>
  <c r="A114" i="2"/>
  <c r="A245" i="2"/>
  <c r="A282" i="2"/>
  <c r="A19" i="2"/>
  <c r="A252" i="2"/>
  <c r="A117" i="2"/>
  <c r="A118" i="2"/>
  <c r="A119" i="2"/>
  <c r="A256" i="2"/>
  <c r="A257" i="2"/>
  <c r="A108" i="2"/>
  <c r="A109" i="2"/>
  <c r="A110" i="2"/>
  <c r="A111" i="2"/>
  <c r="A112" i="2"/>
  <c r="A47" i="2"/>
  <c r="A149" i="2"/>
  <c r="A151" i="2"/>
  <c r="A100" i="2"/>
  <c r="A101" i="2"/>
  <c r="A123" i="2"/>
  <c r="A254" i="2"/>
  <c r="A138" i="2"/>
  <c r="A35" i="2"/>
  <c r="A36" i="2"/>
  <c r="A163" i="2"/>
  <c r="A323" i="2"/>
  <c r="A27" i="2"/>
  <c r="A28" i="2"/>
  <c r="A29" i="2"/>
  <c r="A30" i="2"/>
  <c r="A31" i="2"/>
  <c r="A52" i="2"/>
  <c r="A274" i="2"/>
  <c r="A147" i="2"/>
  <c r="A148" i="2"/>
  <c r="A125" i="2"/>
  <c r="A126" i="2"/>
  <c r="A234" i="2"/>
  <c r="A238" i="2"/>
  <c r="A305" i="2"/>
  <c r="A271" i="2"/>
  <c r="A89" i="2"/>
  <c r="A42" i="2"/>
  <c r="A103" i="2"/>
  <c r="A154" i="2"/>
  <c r="A166" i="2"/>
  <c r="A253" i="2"/>
  <c r="A273" i="2"/>
  <c r="A171" i="2"/>
  <c r="A175" i="2"/>
  <c r="A284" i="2"/>
  <c r="A180" i="2"/>
  <c r="A155" i="2"/>
  <c r="A272" i="2"/>
  <c r="A18" i="2"/>
  <c r="A74" i="2"/>
  <c r="A127" i="2"/>
  <c r="A210" i="2"/>
  <c r="A115" i="2"/>
  <c r="A248" i="2"/>
  <c r="A162" i="2"/>
  <c r="A186" i="2"/>
  <c r="A187" i="2"/>
  <c r="A48" i="2"/>
  <c r="A49" i="2"/>
  <c r="A50" i="2"/>
  <c r="A259" i="2"/>
  <c r="A283" i="2"/>
  <c r="A326" i="2"/>
  <c r="A38" i="2"/>
  <c r="A43" i="2"/>
  <c r="A77" i="2"/>
  <c r="A78" i="2"/>
  <c r="A79" i="2"/>
  <c r="A205" i="2"/>
  <c r="A213" i="2"/>
  <c r="A214" i="2"/>
  <c r="A216" i="2"/>
  <c r="A217" i="2"/>
  <c r="A231" i="2"/>
  <c r="A233" i="2"/>
  <c r="A135" i="2"/>
  <c r="A324" i="2"/>
  <c r="A221" i="2"/>
  <c r="A32" i="2"/>
  <c r="A181" i="2"/>
  <c r="A301" i="2"/>
  <c r="A328" i="2"/>
  <c r="A90" i="2"/>
  <c r="A91" i="2"/>
  <c r="A293" i="2"/>
  <c r="A311" i="2"/>
  <c r="A263" i="2"/>
  <c r="A160" i="2"/>
  <c r="A161" i="2"/>
  <c r="A71" i="2"/>
  <c r="A72" i="2"/>
  <c r="A73" i="2"/>
  <c r="A338" i="2"/>
  <c r="A69" i="2"/>
  <c r="A70" i="2"/>
  <c r="A145" i="2"/>
  <c r="A321" i="2"/>
  <c r="A278" i="2"/>
  <c r="A120" i="2"/>
  <c r="A289" i="2"/>
  <c r="A290" i="2"/>
  <c r="A121" i="2"/>
  <c r="A157" i="2"/>
  <c r="A169" i="2"/>
  <c r="A258" i="2"/>
  <c r="A296" i="2"/>
  <c r="A297" i="2"/>
  <c r="A222" i="2"/>
  <c r="A223" i="2"/>
  <c r="A224" i="2"/>
  <c r="A267" i="2"/>
  <c r="A40" i="2"/>
  <c r="A58" i="2"/>
  <c r="A174" i="2"/>
  <c r="A185" i="2"/>
  <c r="A229" i="2"/>
  <c r="A178" i="2"/>
  <c r="A179" i="2"/>
  <c r="A236" i="2"/>
  <c r="A247" i="2"/>
  <c r="A212" i="2"/>
  <c r="A11" i="2"/>
  <c r="A12" i="2"/>
  <c r="A92" i="2"/>
  <c r="A184" i="2"/>
  <c r="A242" i="2"/>
  <c r="A255" i="2"/>
  <c r="A317" i="2"/>
  <c r="A318" i="2"/>
  <c r="A319" i="2"/>
  <c r="A286" i="2"/>
  <c r="A287" i="2"/>
  <c r="A310" i="2"/>
  <c r="A3" i="2"/>
  <c r="A288" i="2"/>
  <c r="A15" i="2"/>
  <c r="A197" i="2"/>
  <c r="A158" i="2"/>
  <c r="A159" i="2"/>
  <c r="A308" i="2"/>
  <c r="A227" i="2"/>
  <c r="A243" i="2"/>
  <c r="A209" i="2"/>
  <c r="A137" i="2"/>
  <c r="A228" i="2"/>
  <c r="A337" i="2"/>
  <c r="A156" i="2"/>
  <c r="A104" i="2"/>
  <c r="A105" i="2"/>
  <c r="A152" i="2"/>
  <c r="A153" i="2"/>
  <c r="A307" i="2"/>
  <c r="A17" i="2"/>
  <c r="A129" i="2"/>
  <c r="A128" i="2"/>
  <c r="A244" i="2"/>
  <c r="A309" i="2"/>
  <c r="A167" i="2"/>
  <c r="A168" i="2"/>
  <c r="A313" i="2"/>
  <c r="A13" i="2"/>
  <c r="A329" i="2"/>
</calcChain>
</file>

<file path=xl/sharedStrings.xml><?xml version="1.0" encoding="utf-8"?>
<sst xmlns="http://schemas.openxmlformats.org/spreadsheetml/2006/main" count="5417" uniqueCount="2704">
  <si>
    <t>Organization</t>
  </si>
  <si>
    <t>03. Total Students Impacted</t>
  </si>
  <si>
    <t>05a. Name of Lead Applicant</t>
  </si>
  <si>
    <t>05b. Organizational Name of Lead Applicant</t>
  </si>
  <si>
    <t>05c. Address of Lead Applicant</t>
  </si>
  <si>
    <t>05e. Email Address of Lead Applicant</t>
  </si>
  <si>
    <t>06. Are you submitting your application as a consortium</t>
  </si>
  <si>
    <t>07. Are you partnering with anyone to plan, implement, or evaluate your project</t>
  </si>
  <si>
    <t>09a. Project Goals - Student Achievement</t>
  </si>
  <si>
    <t>09d. Project Goals - Implementing a shared services delivery model</t>
  </si>
  <si>
    <t>Wildwood Environmental Academy</t>
  </si>
  <si>
    <t>Lucas</t>
  </si>
  <si>
    <t>Elizabeth Lewin</t>
  </si>
  <si>
    <t>1628 Henthorne Maumee, OH 43537</t>
  </si>
  <si>
    <t>(419) 868-9885</t>
  </si>
  <si>
    <t>elizabeth.lewin@leonagroup.com</t>
  </si>
  <si>
    <t>No</t>
  </si>
  <si>
    <t>Yes</t>
  </si>
  <si>
    <t>Wildwood Environmental Academy (WEA) has gathered a group of partners with expertise in green science, engineering, and sustainability to further WEA's mission of molding "environmentally responsible citizens". These partners will work to achieve three goals: (1) increase student science achievement by 10% each academic year (2) increase inquiry-based lessons to 20% of the overall curriculum in the first year of implementation, reaching at least 50% by the end of five years (3) decrease annual costs by at least $20,000 through reduced energy usage and paper consumption. These will be accomplished by: (1) developing an inquiry-based education program featuring a land laboratory, (2) converting the school to its own solar- and wind-generated energy sources, and (3) creating technology-integrated classrooms-including tablets, laptops, and interactive whiteboards.</t>
  </si>
  <si>
    <t>Summit Academy Secondary - Akron</t>
  </si>
  <si>
    <t>Summit</t>
  </si>
  <si>
    <t>Individualized Education Plan for All</t>
  </si>
  <si>
    <t>Deb Skul</t>
  </si>
  <si>
    <t>Summit Academy Secondary School - Akron</t>
  </si>
  <si>
    <t>2791 Mogadore Rd. Akron, OH 44312</t>
  </si>
  <si>
    <t>330-670-8470</t>
  </si>
  <si>
    <t>debra.skul@summitacademies.org</t>
  </si>
  <si>
    <t>Every student is unique and learns in different ways. Educational solutions that meet the needs of all students cannot continue to take a one-size fits all approach. In the typical classroom one type of instructional approach is being utilized to instruct students which is targeted to the average students in the classroom. With the diversity of learners that exist in the classroom every student needs to have their individual needs met. To accomplish this goal effectively this project will leverage the power of technology and teacher training to show teachers how to address all student needs in an individualized way. Summit Academy students consist of approximately 85% students with disabilities which mandate individualized instruction, which takes all student needs into account. This project is designed to extend individualized instruction to every student while maximizing the use of resources within the classroom.</t>
  </si>
  <si>
    <t>Menlo Park Academy</t>
  </si>
  <si>
    <t>Cuyahoga</t>
  </si>
  <si>
    <t>Caroline Zito</t>
  </si>
  <si>
    <t>14440 Triskett Road, Cleveland OH 44111</t>
  </si>
  <si>
    <t>440 925 6365</t>
  </si>
  <si>
    <t>caroline.zito@menloparkacademy.com</t>
  </si>
  <si>
    <t>The goal of this project is to embrace 1:1 technology to enhance the curriculum at Menlo Park Academy (MPA) and ensure mastery of transliteracy; defined as multi-media and digital skill sets that have been determined to be the necessary and transferable "life" skills of the 21st century. The project will build upon the ISTE standards with increasing facility and measure mastery at each grade level using technological tools deemed critical for 21st century learning. The primary anticipated outcome of this model is the rigorous education of the K-8 gifted population in a cross-technology culture, ensuring students' success as they advance to high school and college.</t>
  </si>
  <si>
    <t>Mansfield Elective Academy</t>
  </si>
  <si>
    <t>Richland</t>
  </si>
  <si>
    <t>MEA Publishing Services</t>
  </si>
  <si>
    <t>Deborah Franklin</t>
  </si>
  <si>
    <t>Mansfield Elective academy</t>
  </si>
  <si>
    <t>445 Bowman Street</t>
  </si>
  <si>
    <t>567-247-4475</t>
  </si>
  <si>
    <t>franklin.deborah@mansfieldca.org</t>
  </si>
  <si>
    <t>Mansfield Elective Academy (MEA) will establish its own in-house publishing company to provide ongoing services to itself and the community at large, thereby, enriching the english language art experience, enhancing reading and utilizing real life mathematics application skills for K-12 students. This project will be self-sustaining as well as innovative as students grades K-12 publish their own books, community newsprint, magazines, advertisements and other media.</t>
  </si>
  <si>
    <t>Buckeye On-Line School for Success</t>
  </si>
  <si>
    <t>Columbiana</t>
  </si>
  <si>
    <t>Frank Leppar</t>
  </si>
  <si>
    <t>Buckeye Online School for Success (BOSS)</t>
  </si>
  <si>
    <t>119 East Fifth Street, East Liverpool, OH 43920</t>
  </si>
  <si>
    <t>330-385-1987 x1254</t>
  </si>
  <si>
    <t>fleppar@go2boss.com</t>
  </si>
  <si>
    <t>With the support of $998,991.07 in Straight A funds over 12 months, the Buckeye Online School for Success (BOSS) will implement the Virtualized Operations for Independent and Collaborative (VOICE) initiative, which is built upon a sustainable, innovative model proven to increase operational efficiencies and reduce costs. In doing so, we will achieve the following goals: 1) reduce operational costs, reinvesting savings into the provision of educational services; 2) reduce equipment maintenance-related downtime and thereby increasing the amount of time our students spend engaged in educational activities; 3) improve our students' academic outcomes; and 4) demonstrate a cost-effective, replicable and sustainable model for other schools and school districts. , VOICE will achieve its ambitious yet attainable goals by deploying an advanced virtual desktop infrastructure (VDI) learning environment, which will allow BOSS to reduce expenses while improving the delivery of educational and support servi</t>
  </si>
  <si>
    <t>Winterfield Venture Academy</t>
  </si>
  <si>
    <t>Nathan Preston</t>
  </si>
  <si>
    <t>305 Wenz Rd, Toledo, Ohio 43615</t>
  </si>
  <si>
    <t>(419) 531- 3285</t>
  </si>
  <si>
    <t>58.npreston@nhaschools.com</t>
  </si>
  <si>
    <t>By June 30, 2020, a consortium of schools including: Winterfield Venture Academy, Bennett Venture Academy, North Dayton School of Discovery, Emerson Academy of Dayton, and Pathway School of Discovery, will have 90% of their students who have attended for three or more years on a college readiness path. This goal will be accomplished by addressing Dr. Richard DuFour's essential questions for school improvement (2007). Specifically, College Readiness for All (CRA), will: 1) advance a web-based application, 2) provide customized instruction and 3) build systematic intervention services through the use of Professional Learning Communities (PLCs).</t>
  </si>
  <si>
    <t>Heir Force Community School</t>
  </si>
  <si>
    <t>Allen</t>
  </si>
  <si>
    <t>Win Everyone</t>
  </si>
  <si>
    <t>Darwin Lofton</t>
  </si>
  <si>
    <t>150 W. Grand Ave.</t>
  </si>
  <si>
    <t>419-228-9241</t>
  </si>
  <si>
    <t>dlofton@heirforcecs.com</t>
  </si>
  <si>
    <t>The goal for this initiative is to increase student achievement and utilize a greater share of classroom resources by embedding best practices in effective teaching using 21st century technology skills through a 1:1 ratio of technology with students and incorporating co-teaching models to enhance instruction utilizing licensed, highly qualified teachers. The objective is to provide students' with multiple learning opportunities to show mastery on key concepts achieved within a 24 hour period of time and/or during a topic of study. The premise of this wrap around strategy is to provide students with continuing supplemental instruction throughout the school day including 2 block instruction in the areas of math and reading, Response to Intervention (RTI), lunch periods, planning periods, and tutoring either before or after school. Weekly progress monitoring specific to current classroom instruction, quarterly standardized testing as well as student/staff surveys will help evaluate the effectiveness of the pro</t>
  </si>
  <si>
    <t>Maritime Academy of Toledo, The</t>
  </si>
  <si>
    <t>Renee Marazon</t>
  </si>
  <si>
    <t>The Maritime Academy of Toledo</t>
  </si>
  <si>
    <t>803 Water Street, Toledo, OH 43604</t>
  </si>
  <si>
    <t>419-343-1604</t>
  </si>
  <si>
    <t>rmarazon@maritimeacademy.us</t>
  </si>
  <si>
    <t>The Maritime Academy of Toledo (TMAT) will develop a state of the art, Virtual Worlds and Immersion Simulation Technology (VWIST) Campus in order to enable middle and high school students to acquire the necessary core knowledge, job-ready skills (VWIST) and soft skills (employability character traits- problem solving, cooperation, initiative, self-motivation, technology, communication, responsibility, punctuality, flexibility, appropriate dress/grooming, integrity, able to work without supervision) they need to pursue and secure real world jobs and careers upon graduation. TMAT will add engine room, welding, crane operations, heavy equipment operations, electronic chart display, tugboat classroom, and tugboat bridge VWIST to its current Class A full mission navigation bridge and radar classroom simulators, reconfiguring its campus footprints to prepare graduates for the following careers: engineering (engine room, engines, hydraulics, heating, air-conditioning, electricity, electronics, mechanics, pipefitters</t>
  </si>
  <si>
    <t>Cincinnati Speech &amp; Reading Intervention Center</t>
  </si>
  <si>
    <t>Hamilton</t>
  </si>
  <si>
    <t>Douglas Mangen</t>
  </si>
  <si>
    <t>Cincinnati Speech and Reading Intervention Center</t>
  </si>
  <si>
    <t>1812 Central Parkway Cincinnati, Ohio 45214</t>
  </si>
  <si>
    <t>937-264-8588</t>
  </si>
  <si>
    <t>Doug@mangen1.com</t>
  </si>
  <si>
    <t>We are revolutionizing the outdated education model by creating a web-based tool that provides Individual Learning Plans (ILP) to our at-risk inner city students. Individualized learning is not a foreign concept for Ohio; however until Compendium, no one tool truly has it all with respect to the tool's ability to manage competency not only in academics, but also in personal and interpersonal skills required to be successful in future work and life experiences. Best practice tells teachers to create lesson plans that incorporate personal and interpersonal skills; however, with the implementation of state and federal initiatives each year teachers' time is increasingly in high demand. There are currently no "off the shelf" training modules available for teachers in need of professional development to teach and monitor personal and interpersonal skills such as leadership, organization, written and verbal communication, self-discipline, and teamwork. Through the Straight A grant and in partnership with Pearson, w</t>
  </si>
  <si>
    <t>Charles School at Ohio Dominican University</t>
  </si>
  <si>
    <t>Franklin</t>
  </si>
  <si>
    <t>Transition Hot Spots: Improving Student Achievement in Science and Technology</t>
  </si>
  <si>
    <t>Ed Ingman</t>
  </si>
  <si>
    <t>The Charles School at Ohio Dominican University</t>
  </si>
  <si>
    <t>1270 Brentnell Ave.</t>
  </si>
  <si>
    <t>614-258-8588</t>
  </si>
  <si>
    <t>addison.2@thecharlesschool.org</t>
  </si>
  <si>
    <t>The TGFS innovative project targets four critical transition hot spots for student achievement in Science and Technology - 3rd to 4th grade, 5th to 6th , 8th to 9th, 11th to post-secondary. A collaborative team of teachers, across grade levels and schools (The Charles School at Ohio Dominican University, The Graham School, Graham Expeditionary Middle School and Graham Primary School) and including representatives from ODU, will create cross disciplinary learning expeditions grounded in the scientific method with specific learning targets and aligned to the common core standards to aid these students in adopting new habits of scholarship and improving achievement levels. In order to improve student achievement in Science and Technology we will furnish four science labs, deploy 1:1 computer: student relationship and appropriate infrastructure support, and collaboratively integrate expeditionary learning practices into hot spots transition grades curriculum.</t>
  </si>
  <si>
    <t>Columbus Collegiate Academy</t>
  </si>
  <si>
    <t>Efficiency Maximization and Environmental Revitalization for Greater Education (EMERGE)</t>
  </si>
  <si>
    <t>Celeste Ferguson</t>
  </si>
  <si>
    <t>1469 East Main Street Columbus, OH 43205</t>
  </si>
  <si>
    <t>614.299.5284</t>
  </si>
  <si>
    <t>cferguson@unitedschoolsnetwork.org</t>
  </si>
  <si>
    <t>Project EMERGE will renovate and revitalize two formerly vacant city district buildings into institutions of academic AND environmental excellence and will shore up the schools as beacons of hope in two of Columbus' most disadvantaged neighborhoods. The installation of high efficiency HVAC, lighting, roof and window systems will result in significant operational savings and ensure that a greater share of hard-earned taxpayer dollars are directed into classrooms, where they will have the greatest impact on student outcomes. Additionally, these improvements will allow the students and staff of Columbus Collegiate Academy (CCA) and Columbus Collegiate Academy - West (CCA-W) to focus on academic growth during extreme temperatures with minimal distraction and, at the same time, increase the understanding of real-life applications of STEM concepts.</t>
  </si>
  <si>
    <t>United Schools Network T(3): Tablets and Technology for Tomorrow</t>
  </si>
  <si>
    <t>The United Schools Network T(3): Tablets and Technology for Tomorrow project will give 600 urban students in 3 schools the opportunity to access research-based, highly-individualized digital technologies that give teachers real-time, accessible data to inform their practices. The incorporation of tablet learning stations in every classroom would reduce the need to add energy-, finance-, and space-draining desktop computer labs in each school in order for all students to access these targeted interventions easily. Students will increase achievement, grade-level growth, and engagement while teachers and schools will increase the resources of time, high-quality planning, and finances that are focused in the classroom.</t>
  </si>
  <si>
    <t>Zanesville Community School</t>
  </si>
  <si>
    <t>Muskingum</t>
  </si>
  <si>
    <t>Future Innovators</t>
  </si>
  <si>
    <t>Jeffrey D. Moore</t>
  </si>
  <si>
    <t>Zanesville Community High School</t>
  </si>
  <si>
    <t>968 Pine Street Zanesville, OH 43701</t>
  </si>
  <si>
    <t>(740) 588-5686</t>
  </si>
  <si>
    <t>jemoore@zanesville.k12.oh.us</t>
  </si>
  <si>
    <t>The Zanesville Community High School proposes to implement a Pathways to Prosperity Advanced Manufacturing and Health Careers Pathway featuring an MIT FabLab geographically located in a high poverty area as an oasis of hope and possibilities for a change in the economic future for our students and local community members. The goal is to inspire and encourage entrepreneurship and innovation by preparing a skilled workforce in manufacturing for our community. This proposal is formulated to demonstrate how to embed fabrication technologies in education while simultaneously forming an entrepreneurship center for economic development and job training in the community.</t>
  </si>
  <si>
    <t>Renaissance Academy</t>
  </si>
  <si>
    <t>Sharice L. Martin</t>
  </si>
  <si>
    <t>The Renaissance Academy - Formally known as Providence Academy for Student Success</t>
  </si>
  <si>
    <t>4300 Kimberly Parkway Suite 100 Columbus, Ohio 43232</t>
  </si>
  <si>
    <t>614 866-7277</t>
  </si>
  <si>
    <t>mrsmartin.97@gmail.com</t>
  </si>
  <si>
    <t>The Digital Professional Learning Network (DPLN) is a way for the educators and learners to collaborate digitally anytime and anywhere with high quality job-embedded localized professional development. We focus on helping teachers transfer digital/blended learning professional development to 21st Century classroom learning tasks. This blended learning professional development approach amplifies a Common Core culture and climate built for thinking and learning. The Digital Professional Learning Network (DPLN) plan will improve academic achievement by providing students with 24/7 access to high-quality and standards aligned open-source digital content. This project will also support the school's goal of a substantial spending reduction realized over the period of a five-year forecast by reducing the cost of the current textbook purchases, resource allocations and staff training.</t>
  </si>
  <si>
    <t>Achieve Career Preparatory Academy</t>
  </si>
  <si>
    <t>Think Tank at Achieve</t>
  </si>
  <si>
    <t>Kerry-Gordon-Keese</t>
  </si>
  <si>
    <t>Achieve Career Prepatory Academy</t>
  </si>
  <si>
    <t>301 Collingwood Blvs. Toledo, OH 43604</t>
  </si>
  <si>
    <t>(419) 243-8559</t>
  </si>
  <si>
    <t>kerry.keese@leonagroup.com</t>
  </si>
  <si>
    <t>The Think Tank at Achieve Career Preparatory Academy, a droput prevention school in Toledo, OH will focus on student engagement, incorporating the newest technology across the curriculum and providing students with additional resources for classroom activities. These resources will be in the form of 3-dimensional (3D) learning tools that expose students to caree r-related artistic, mechanical, and technological skills.</t>
  </si>
  <si>
    <t>Richland Academy School of Excellence</t>
  </si>
  <si>
    <t>Sandra L. Sutherland</t>
  </si>
  <si>
    <t>75 North Walnut Street, Mansfield, Ohio 44902</t>
  </si>
  <si>
    <t>419-522-8224 ext. 301</t>
  </si>
  <si>
    <t>sandra.sutherland1@gmail.com</t>
  </si>
  <si>
    <t>This two year project will address each of the three application goals: 1. Students will increase their academic achievement through access to engaging online, K-5 integrated arts/academic ELA and Mathematics Common Core curriculum, as well as provide all students with equal access to arts education. 2. Ohio's schools will see a significant reduction in curriculum spending through free access to high quality, K-5 integrated arts/academic online curriculum video modules, lesson materials, activities and Blended Learning professional development. 3. Classroom resources will increase as a result of engaging online, integrated K-5 arts/academic ELA &amp; Math curriculum video modules and blended learning lesson materials and activities, teachers will work more efficiently and effectively giving students more "differentiated and personalized" instruction.</t>
  </si>
  <si>
    <t>Patriot Preparatory Academy</t>
  </si>
  <si>
    <t>Sean Smith, Administrator</t>
  </si>
  <si>
    <t>Patriot Preparatory Academy's</t>
  </si>
  <si>
    <t>4938 Beatrice Dr., Columbus, Ohio, 43227</t>
  </si>
  <si>
    <t>Sean Smith's phone number is 614-864-5332 x121</t>
  </si>
  <si>
    <t>ssmith@patriotprep.com</t>
  </si>
  <si>
    <t>Through the purchase of seven media carts (4 iPad carts and 3 laptop carts complete with iPads, laptops, and necessary accessories), we at Patriot Preparatory Academy intend to improve student achievement and utilize a greater share of the resources available online and in the classroom to improve our student yearly growth. There is proven research (see cited examples) that decreasing the student to technology ratio especially in the primary grades will improve student growth. Our goal is to help our students (struggling and gifted) meet and exceed the year's worth of growth projected for them in the areas of Reading, Writing, Mathematics and Science by utilizing the vast number of differentiated programs, apps, and online resources.</t>
  </si>
  <si>
    <t>Metro Early College High School</t>
  </si>
  <si>
    <t>Meka Pace</t>
  </si>
  <si>
    <t>1929 Kenny Road, Columbus, OH 43210</t>
  </si>
  <si>
    <t>614.259.6639</t>
  </si>
  <si>
    <t>pace@themetroschool.org</t>
  </si>
  <si>
    <t>Metro Early College High School is highly regarded for its innovative approach to learning and student engagement. Most students earn significant college credits before graduation. However, annually 15% of Metro Early College High School students demonstrate such deep achievement gaps they struggle to meet Metro's highly rigorous mastery standards and are never able to experience college coursework. In 2013, Metro added grades 6-8 as a strategy to allow them more time to help students overcome achievement gaps. Metro's middle school students are entering with even greater gaps than anticipated. Metro's goal is for 100% of their students to complete their HS required coursework by end of 10th grade. In order to achieve that goal, Metro will implement a blended learning approach in grades 6-10 so they can accelerate remediation for middle school students performing below grade level and more quickly remediate all students who do not attain course mastery. This approach will incorporate online-guided instru</t>
  </si>
  <si>
    <t>Focus North High School</t>
  </si>
  <si>
    <t>Focus InTel (Integrating Technology to Enhance Literacy)</t>
  </si>
  <si>
    <t>Kate Hussein</t>
  </si>
  <si>
    <t>4807 Evanswood Drive Columbus, Ohio 43229</t>
  </si>
  <si>
    <t>614-310-0430</t>
  </si>
  <si>
    <t>kate.hussein@focuslearn.org</t>
  </si>
  <si>
    <t>Focus InTel will address improving the reading, writing, speaking and listening skills of our students. We will do this by integrating technology in the classroom through the following program.</t>
  </si>
  <si>
    <t>Nexus Academy of Columbus</t>
  </si>
  <si>
    <t>C3 - Connected College Counseling</t>
  </si>
  <si>
    <t>Andrew Pasquinilli</t>
  </si>
  <si>
    <t>Nexus Academy</t>
  </si>
  <si>
    <t>4689 Hilton Corporate Drive, Columbus OH 43232</t>
  </si>
  <si>
    <t>614-866-4761</t>
  </si>
  <si>
    <t>apasquinilli@connectionseducation.com</t>
  </si>
  <si>
    <t>Connected College Counseling (C3) brings together innovative technology tools, student self-advocacy, and new guidance strategies to maximize college access and success for today's high school students. Using a cutting-edge blended learning approach that includes badging and mobile learning, C3 will integrate the best digital resources with smart, timely advising techniques to significantly increase the percentage of students who graduate from high school prepared for college work, who seize the most promising college options, and who successfully fulfill their college potential.</t>
  </si>
  <si>
    <t>Hacker High will empower a new generation of coders to improve their communities while jump-starting rewarding technology careers. Hacker High will leverage the innovative Nexus Academy blended schools and Ohio Connections Academy e-school models, which already provide one-to-one technology, digital curriculum, and personalized learning to offer a complete Information Technology-focused College Tech Prep program that allows students to graduate from high school with key industry certifications and college credit. In addition to working closely with local business and higher education partners to prepare students for technology careers, Hacker High will promote student programming projects, badging sequences, and "hackathons" that create solutions to specific community problems.</t>
  </si>
  <si>
    <t>Franklinton Preparatory Academy</t>
  </si>
  <si>
    <t>Martin Griffith</t>
  </si>
  <si>
    <t>40 Chicago Ave.; Columbus OHIO 43222</t>
  </si>
  <si>
    <t>614- 668-1298</t>
  </si>
  <si>
    <t>griffith@franklintonprep.org</t>
  </si>
  <si>
    <t>To assure academic and career readiness of our urban high school students, whose multi-faceted skill lack substantially interferes with their ability to obtain living-wage employment, we will design and implement 15 new courses equating to 6 graduation credits focused on successful demonstration of skills education venues and employers expect. These mastery focused courses will be delivered on an innovative gaming Quest-Based learning platform, with achievement documented in digital backpacks. Community agencies and employers will partner with us to advise on meaningful learning experiences, provide criteria and feedback on student culminating presentations, and support structured internships where skills and abilities will be successfully demonstrated in a real-world environment.</t>
  </si>
  <si>
    <t>Cincinnati Learning Schools</t>
  </si>
  <si>
    <t>Tim Fogarty</t>
  </si>
  <si>
    <t>100 Corridor Park Drive, Monroe, OH 45050</t>
  </si>
  <si>
    <t>513.360.9133</t>
  </si>
  <si>
    <t>tfogarty@west-chester.net</t>
  </si>
  <si>
    <t>Blending Learning Paths - Developing 21st Century Outcomes, a project of the Cincinnati Learning Schools (CLS), prepares every student to be career ready and college prepared. The Project replicates the proven CLS model, launching a second innovative Cincinnati campus, grades 7 - 12, where online and face-to-face instruction are blended in a learning environment that blurs the lines between traditional school environments, post-secondary learning, and the work environment, streamlining instructional and operational resources. As a Cincinnati Public Schools authorized community school, individualized instructional plans are tailored to student learning styles, identifying and narrowing gaps in learning, and increasing student achievement; while operationally, pooling resources and developing economies of scale reduce per pupil spending, and focus greater resources in the classroom. With the Model's proven track record of changing the trajectory of student's lives, the project focuses on three key goals,</t>
  </si>
  <si>
    <t>Albert Einstein Academy for Letters, Arts and Sciences-Ohio</t>
  </si>
  <si>
    <t>Bruce, Thomas</t>
  </si>
  <si>
    <t>Albert Einstein Academy of Westlake</t>
  </si>
  <si>
    <t>3600 Crocker Rd. Westlake, OH 44145</t>
  </si>
  <si>
    <t>440-471-4982</t>
  </si>
  <si>
    <t>bruce.thomas@ealas.org</t>
  </si>
  <si>
    <t>Einstein's Vision seeks to create borderless classrooms; to transform classrooms into learning laboratories by implementing a 1:1 education and digital integration plan and digital arts programming across the curriculum. To accomplish this, Einstein's Vision sets forth the following goals: increase student achievement through a technology-driven curriculum; provide equitable access to technological resources; empower teachers to use technological tools and techniques to enhance curricular frameworks; and build students' 21st century and career readiness skills.</t>
  </si>
  <si>
    <t>Northmont Secondary Academy</t>
  </si>
  <si>
    <t>Montgomery</t>
  </si>
  <si>
    <t>George Caras</t>
  </si>
  <si>
    <t>4916 National Road Clayton, Ohio 45315</t>
  </si>
  <si>
    <t>937-832-6000</t>
  </si>
  <si>
    <t>gcaras@northmontschools.net</t>
  </si>
  <si>
    <t>The GO! Program is designed to mitigate primary causes hindering student graduation at Northmont High School. Students become credit deficient in their first two years of high school and are unable to recover the credits necessary to graduate. Students feel there are classes and/or tests required to graduate they will never be able to pass. Finally, at Northmont many students transfer in without the requisite skill set and credits to graduate on time. Invariably, environmental issues too numerous to innumerate cause attendance and discipline issues. As a result, many of these students drop out without any realistic hopes of a career, or providing a viable living wage. Our project gives viable, realistic and attainable alternatives for these students.</t>
  </si>
  <si>
    <t>The Next Frontier Academy</t>
  </si>
  <si>
    <t>Tarik West</t>
  </si>
  <si>
    <t>1127 Copley Road</t>
  </si>
  <si>
    <t>330-835-9758</t>
  </si>
  <si>
    <t>twest@nfa.org</t>
  </si>
  <si>
    <t>The Next Frontier Academy, the first Urban Agriculture Education Community School in Ohio, focuses on agricultural science, vocational and college-preparation, while assisting students to develop a strong work ethic. This proposal to The Straight A Fund will raise student achievement through utilization of a greater share of resources in the classroom to enhance and elevate newly implemented research-based effective hands-on experiences. This project will allow the implementation of the following projects: Urban Egg Innovation, Hydroponic Indoor Gardening, and the "Say Yes to Work" Projects.</t>
  </si>
  <si>
    <t>Celerity Tenacia Charter School</t>
  </si>
  <si>
    <t>Craig, Knotts</t>
  </si>
  <si>
    <t>4605 Hilton Corporate Dr. Columbus, OH 43232</t>
  </si>
  <si>
    <t>(323) 493-4315</t>
  </si>
  <si>
    <t>cknotts@celerityschools.org</t>
  </si>
  <si>
    <t>Celerity Tenacia Charter School, a K-2 building, opened its doors in September of 2013 in Columbus, OH where it will grow to a K-8 school over a period of five years. We are proposing funds to purchase laptop computers at a 1:1 ratio of student to computer, in order to prepare our students to be globally competitive. Our instructional model has demonstrated exceptional student achievement in other Celerity Schools and we need increased access to technology in order to replicate that success.</t>
  </si>
  <si>
    <t>Discovery Academy</t>
  </si>
  <si>
    <t>Daniel Scow</t>
  </si>
  <si>
    <t>The Leona Group</t>
  </si>
  <si>
    <t>2740 West Central Avenue</t>
  </si>
  <si>
    <t>(419) 474-3235</t>
  </si>
  <si>
    <t>dan.scow@leonagroup.com</t>
  </si>
  <si>
    <t>This project is designed to improve student achievement in Math, ELA, Science, Social Studies and Technology for all students in the consortium by transforming the schools from an analog to a digital learning environment. The project will provide students and teachers the tools needed to conduct research, produce inquiry based projects, collaborate with one another and with others on a global basis, create presentations, create online and electronic content, take on line assessments and master technology skills vital to success in the 21st century workplace. This will be accomplished by improving basic instruction, implementing research based interventions, while at the same time increasing student and teacher access to technology. It will give consortium schools the resourses needed to revise or create curriculum maps, pacing guides, instructional units and intervention strategies to improve ELA, Math, Science, Social Studies and Technology instruction. The infusion of new curriculum, digital supplies</t>
  </si>
  <si>
    <t>Alliance City</t>
  </si>
  <si>
    <t>Stark</t>
  </si>
  <si>
    <t>Alliance for Student Empowerment</t>
  </si>
  <si>
    <t>Denice Leddy</t>
  </si>
  <si>
    <t>Alliance City Schools</t>
  </si>
  <si>
    <t>200 Glamorgan Street Alliance, OH 44601</t>
  </si>
  <si>
    <t>330-821-2100</t>
  </si>
  <si>
    <t>leddyde@alliancecityschools.org</t>
  </si>
  <si>
    <t>Why: ALL students in Alliance CIty Schools are ready for a world class education! Our district being ranked in the lowest 5% in the state has started a rebellion in defense of our students. We are prepared to leave no stone unturned to empower our students to be successful in this global economy. How: Our district is spending more than we are taking in but rather than facing teacher cuts and reduced services (as in past practice), we discovered a way to restructure our schools to save money &amp; then immediately reinvest that money in strategically created new support positions directed to meet the student needs that we identified through our strategic planning process. Our community &amp; School Board approved our plan. We will build powerful University-School collaborations &amp; adapt to a continuous learning mindset of a professional development school. What: We are aware that restructuring our schools and implementing subsequent schedule changes to provide more time for student inquiry is not enough but it is a n</t>
  </si>
  <si>
    <t>STEAMM Team for Student Empowerment</t>
  </si>
  <si>
    <t>Jeffery Talbert</t>
  </si>
  <si>
    <t>talbertje@alliancecityschools.org</t>
  </si>
  <si>
    <t>WHY: In this unlikely collaboration between a rural and an urban district, we discovered our students are more alike than different; and in fact, they share many of same academic and societal barriers that deserve attention and a restructuring of resources and inquiry based learning opportunities for student empowerment. HOW: By immersing students in authentic, real-world content concentrated in STEAMM fields (Science, Technology, Engineering, Arts, Math and Medical), they will develop an individual plan with a laser focus on college AND career pathways as well as a higher set of self-expectations. WHAT: "STEAMM Team for Student Empowerment" builds the capacity for a metamorphosis in both long-standing community beliefs and in educational opportunities, utilizing shared services for a common goal that all students graduate from high school with college credit.</t>
  </si>
  <si>
    <t>Ashland City</t>
  </si>
  <si>
    <t>Ashland</t>
  </si>
  <si>
    <t>Douglas J. Marrah, Ed. D.</t>
  </si>
  <si>
    <t>Superintendent</t>
  </si>
  <si>
    <t>416 Arthur St., Ashland, Ohio 44805</t>
  </si>
  <si>
    <t>419-289-1117</t>
  </si>
  <si>
    <t>domarrah@ashlandcityschools.org</t>
  </si>
  <si>
    <t>Ashland City School District's Consortium recognizes that applied skills enable knowledge acquired in school to be transferred to performance in the workplace; therefore, Ashland Career Institute will model the national CTE Common Career Technical Core, Career Ready Practices, and the Framework of the Partnership for 21stCentury Skills to support the created Pathways that are designed to integrate academic, applied and workplace skills in real-world contexts that will lead to success in the post-secondary schools and workplace settings so that high school students can attain a "21st Century credential". To improve student learning and career options, Blended Learning, Virtual courses, Flipped Classrooms will be transitioned into the classroom instructional setting for High School and Middle School, and will be accompanied by essential, introductory trainings to prepare students for the workforce in a contextual, local business setting. The Middle School developmental experiences will include participation i</t>
  </si>
  <si>
    <t>Ashtabula Area City</t>
  </si>
  <si>
    <t>Ashtabula</t>
  </si>
  <si>
    <t>Lakeside ELITE (Early Literacy Instruction for Tomorrow's Expectations)</t>
  </si>
  <si>
    <t>Matthew Heath</t>
  </si>
  <si>
    <t>Ashtabula Area City Schools</t>
  </si>
  <si>
    <t>2300 Wade Avenue, Ashtabula, OH 44004</t>
  </si>
  <si>
    <t>440-992-1230 (ext. 31109)</t>
  </si>
  <si>
    <t>matthew.heath@neomin.org</t>
  </si>
  <si>
    <t>The Lakeside ELITE project will directly impact student achievement and academic success by preparing all K-6 students with a more rigorous, individualized approach to intervention, remediation and enriching classroom instruction. A large percentage of AACS students enter the early grades not having the necessary tools and resources to be successful during their first years of school. This problematic situation is then perpetuated each successive year of schooling, and the child is left playing catch-up to his more advantaged peers. The ELITE program intends to break this cycle by making a greater share of resources available to our students through equal access to technology and content. Through the flexible usage of emerging educational technology, personalized curriculum/programming and robust professional development our students will be enabled to move beyond the traditional limitations of socioeconomic status, classroom instruction and grade-level coursework. This personal approach to learning wi</t>
  </si>
  <si>
    <t>Barberton City</t>
  </si>
  <si>
    <t>Shelly Habegger, PhD</t>
  </si>
  <si>
    <t>Barberton City Schools</t>
  </si>
  <si>
    <t>Barberton CIty Schools, 479 Norton Avenue, Barberton, OH 44203</t>
  </si>
  <si>
    <t>330-753-1025 X13129</t>
  </si>
  <si>
    <t>shabegger@barbertonschools.org</t>
  </si>
  <si>
    <t>The Assess Towards Success &amp; Embracing the Parents project will show how assessments can be used as learning for teachers (an intense curriculum audit will guide purposeful professional development), students (will learn how to create targeted learning goals and express achievement through student-led conferences) and parents (become skilled home educators). There will be an increase in student achievement as increased rigor of instruction and expectations occur in the classroom, as students take ownership of their learning, and as parents become empowered to help their child academically at home. The project will bring additional resources in the classroom through increasing teacher efficacy, having the technology to assess students' academic progress, and providing technology and workshops for our home educators (our parents).</t>
  </si>
  <si>
    <t>Patricia Cleary</t>
  </si>
  <si>
    <t>Barberton City School District</t>
  </si>
  <si>
    <t>479 Norton Ave., Barberton OH 44203</t>
  </si>
  <si>
    <t>330-753-1025 ext. 13132</t>
  </si>
  <si>
    <t>pcleary@barbertonschools.org</t>
  </si>
  <si>
    <t>The Transformational Technology project will bring individualized competency-based, inquiry-based learning and student performance tasks into our middle school, high school and University of Akron classrooms through embedded professional development and student access to technology. There will be an increase in student achievement due to student engagement in high-interest and complex performance assignments and financial savings to the district through attainment of student computing devices. The project will bring additional resources into the classroom through increased teacher efficacy in the area of performance assessment, student achievement through competency-based pathways and by sharing the professional development with University of Akron pre-teachers, which benefit the students and the teaching profession as a whole.</t>
  </si>
  <si>
    <t>Beachwood City</t>
  </si>
  <si>
    <t>Ken Veon</t>
  </si>
  <si>
    <t>Beachwood City Schools</t>
  </si>
  <si>
    <t>24601 Fairmount Blvd. Beachwood, OH 44122</t>
  </si>
  <si>
    <t>216-464-2600</t>
  </si>
  <si>
    <t>kev@beachwoodschools.org</t>
  </si>
  <si>
    <t>The goal of the Design &amp; Innovation Program is to improve student achievement; specifically students' college and career readiness in the various fields of engineering, industrial design, and architecture. This four-year curriculum will focus on the principles of design and engineering, critical thinking and project-based learning. Students will engage in guided research on partner college campuses to an increasing degree during their Junior and Senior years of high school.</t>
  </si>
  <si>
    <t>Increasing Student Opportunities to Learn Science Through Digital Media</t>
  </si>
  <si>
    <t>Beachwood CIty Schools</t>
  </si>
  <si>
    <t>Teachers and their students will learn and collaborate to develop digital media assets and master content within Ohio's new science learning standards through applied life science and environmental science learning using a project-based context. A diverse collection of five school districts and WVIZ/PBS ideastream Education will collaborate to develop on-demand media assets in the form of content-based and science content-based 'e-Books', web-based informational videos, blogs and collaborative web-based professional communities. The participating schools will implement a project-based STEM instructional format in which teachers and students use the expertise of ideastream professionals to create digital products that address the New Ohio Learning Standards' (NOLS)</t>
  </si>
  <si>
    <t>24601 Fairmount Blvd Beachwood, OH 44122</t>
  </si>
  <si>
    <t>The purpose of the University Hospitals/Beachwood High School Medical Academy program is to provide the optimal academic and experiential foundation for students who will pursue professional careers in the medical and/or healthcare field by immersing them in a rigorous and varied curriculum, housed in Beachwood High School and multiple sites within the University Hospitals healthcare system, The Medical Academy will be a multi-year program tailored to prepare learners for post-secondary studies in the medical and/or healthcare field by permitting and encouraging them to transition seamlessly from academic mastery to applied learning experiences within the context of a premier health care institution. The Straight A Fund goal addressed will be "Student Achievement."</t>
  </si>
  <si>
    <t>Berea City</t>
  </si>
  <si>
    <t>Karen Frimel</t>
  </si>
  <si>
    <t>Berea City School District - Middleburg Heights Junior High</t>
  </si>
  <si>
    <t>390 Fair Street</t>
  </si>
  <si>
    <t>216-898-8840 ext 6264</t>
  </si>
  <si>
    <t>kfrimel@berea.k12.oh.us</t>
  </si>
  <si>
    <t>Berea's BMHS - Connected Community of Learners (BMHS-CoL) is a project that will empower and engage teachers and students and ensure success for all. The BMHS-COL will increase student achievement and college readiness by mobilizing community resources and collaborating through the use of emerging technologies, blended learning and 21st century teaching and learning practices. The project will serve as the accelerant to a transformative practice of collaboration communication creativity and critical thinking to empower, engage and ensure success for student learners through personal learning environments (PLE). As we prepare our students for college and career readiness, we are preparing students for the future. The essential questions become how do we prepare our students for the work of tomorrow and what will happen if we continue to prepare them for the world of yesterday? Providing opportunities for our students' education through individualized learning opportunities develops creativity and innovat</t>
  </si>
  <si>
    <t>216-214-2939</t>
  </si>
  <si>
    <t>Berea's MHJH - Connected Community of Learners (MHJH-CCoL) is a project that will empower and engage teachers and students and ensure success for all. The MHJH-CCOL will increase student achievement and college readiness by mobilizing community resources and collaborating through the use of emerging technologies, blended learning and 21st century teaching and learning practices. The project will serve to accelerate transformative practices of collaboration communication creativity and critical thinking to empower, engage and ensure success for student learners through personal learning environments (PLE). As we prepare our students for college and career readiness, we are preparing students for the future. The essential questions become how do we prepare our students for the work of tomorrow and what will happen if we continue to prepare them for the world of yesterday? Providing opportunities for our students' education through individualized learning opportunities develops creativity and innovation and w</t>
  </si>
  <si>
    <t>Bowling Green City School District</t>
  </si>
  <si>
    <t>Wood</t>
  </si>
  <si>
    <t>Ann McVey</t>
  </si>
  <si>
    <t>Bowling Green City Schools</t>
  </si>
  <si>
    <t>137 Clough Street, Bowling Green, OH 43402</t>
  </si>
  <si>
    <t>419-352-3576</t>
  </si>
  <si>
    <t>amcvey@bgcs.k12.oh.us</t>
  </si>
  <si>
    <t>This grant will provide funding to create a MakerSpace in Bowling Green, Ohio that will function as a shared service to bring STEAM (Science, Technology, Engineering, Arts, and Mathematics) education to students in Bowling Green City Schools, Eastwood Local Schools, Otsego Local Schools, Montessori School of Bowling Green, Bowling Green Christian Academy and St. Aloysius K-8 where our students will learn from industry and community mentors and role models using industry-standard equipment and technology that support STEAM. Simply stated, a MakerSpace is a community collaborative where equipment, knowledge, skills, and most importantly, ideas bring together citizens from education, industry, and the general public for the purpose of design, creation, and career exploration not currently available or possible in individual districts. The Bowling Green MakerSpace - the BiG Fab Lab - is unique in that it will be developed with an educational perspective as opposed to MakerSpaces across the country (and world) tha</t>
  </si>
  <si>
    <t>Cambridge City</t>
  </si>
  <si>
    <t>Guernsey</t>
  </si>
  <si>
    <t>J.P. Feldner</t>
  </si>
  <si>
    <t>Cambridge City School District</t>
  </si>
  <si>
    <t>6111 Fairdale Drive</t>
  </si>
  <si>
    <t>740.439.5021</t>
  </si>
  <si>
    <t>jp.feldner@omeresa.net</t>
  </si>
  <si>
    <t>The Bridging the Gap - One Computer at a Time initiative will provide each student of the Cambridge City School District a common technology device allowing for the transformation of the current teacher-directed classroom to a student-centered classroom where students create, collaborate, analyze and synthesize. This initiative will allow for the digitization of the curriculum by the teaching staff allowing all students equal opportunity to the curriculum and technology. All of these goals will be achieved while saving the district money by a more effective use of available resources.</t>
  </si>
  <si>
    <t>Canton City</t>
  </si>
  <si>
    <t>Adrian E. Allison</t>
  </si>
  <si>
    <t>Canton City School District, Superintendent</t>
  </si>
  <si>
    <t>Canton City School District Admin. Center 305 McKinley Avenue NW, Canton, Ohio 44702</t>
  </si>
  <si>
    <t>330-438-2500</t>
  </si>
  <si>
    <t>allison_a@ccsdistrict.org</t>
  </si>
  <si>
    <t>The Canton City School District (CCSD) through a three year Brighter Tomorrow District K-12 plan will reach 100% of all third grade students performing at grade level in reading and math before they enter grade three by implementing the following Phase Two goals of the Brighter Tomorrow Plan: restructure all fourteen K-5 buildings to create seven kindergarten through grade 2 Literacy and Math Preparatory Schools; redesign K-2 classrooms from desks in rows to engaging learning centers with literacy and math stations that include technology for learning and assessments; provide a total literacy RETRAINING of 190 K-2 teachers and principals through Keystone Literacy, a scientifically based reading instruction program that will coach and train staff using sustainable literacy interventions that are practical, concrete, and are clearly defined; and additional re-training in math through nationally recognized, Carnegie Learning. Research has shown that restructuring school configurations at K-2 and 3-5 provide</t>
  </si>
  <si>
    <t>Celina City</t>
  </si>
  <si>
    <t>Mercer</t>
  </si>
  <si>
    <t>Diversifying Instruction to Close the Achievement Gap</t>
  </si>
  <si>
    <t>Jesse Steiner</t>
  </si>
  <si>
    <t>Celina City Schools</t>
  </si>
  <si>
    <t>585 East Livingston Street, Celina, Ohio 45822</t>
  </si>
  <si>
    <t>419-586-8300</t>
  </si>
  <si>
    <t>Jesse.Steiner@CelinaSchools.org</t>
  </si>
  <si>
    <t>Celina City Schools proposes to significantly alter our instructional practice by implementing a successfully proven blended learning approach to instruction in order to raise K-12 student success in targeted subgroups. Through the use of innovative technology and an across campus common Learning Management System, students will be engaged in a highly challenging, individualized plan of instruction that will appeal to their inquisitive nature as well as increase their individual performance. With the use of resources aligned to Ohio's New Learning Standards, a mix of online/offline supervised learning, and accurate diagnostic assessments, instruction will be facilitated with innovative technology and applications to monitor student progress.</t>
  </si>
  <si>
    <t>Centerville City</t>
  </si>
  <si>
    <t>Dr. Thomas J. Henderson</t>
  </si>
  <si>
    <t>Centerville City Schools</t>
  </si>
  <si>
    <t>111 Virginia Ave. Centerville, Ohio 45458</t>
  </si>
  <si>
    <t>(937) 433-8841</t>
  </si>
  <si>
    <t>tom.henderson@centerville.k12.oh.us</t>
  </si>
  <si>
    <t>One aspect of our approach to preparing students for collegeand career readiness includes a technology rich learning environment. Our proposal seeks to provide the network infrastructure and devices to engage students in rigorous classroom practices that include individualized instruction, collabora8tive learning and formative assessment to improve student achievement.</t>
  </si>
  <si>
    <t>Chillicothe City</t>
  </si>
  <si>
    <t>Ross</t>
  </si>
  <si>
    <t>Chillicothe Transportation Partnership</t>
  </si>
  <si>
    <t>Diane Neal</t>
  </si>
  <si>
    <t>Chillicothe City School District</t>
  </si>
  <si>
    <t>425 Yoctangee Parkway Chillicothe, Ohio 45601</t>
  </si>
  <si>
    <t>740-775-4250 ext. 16123</t>
  </si>
  <si>
    <t>diane.neal@ccsd.us</t>
  </si>
  <si>
    <t>Chillicothe City Schools Board of Education in partnership with the City of Chillicothe is applying for the Straight A grant to provide for a shared transportation/transit partnership between the two local entities. The goal of this grant and partnership would be to create a shared facility for transportation to reduce spending in the five year forecast for Chillicothe City School District allowing the district to spend funds on innovative educational programs instead. The proposed grant would allow for the necessary funds to move Chillicothe City School' s current transportation department site to the City of Chillicothe's transportation site thus allowing cost savings for both partners and providing land to the city parks and recreation program. Chillicothe City Schools is applying as an individual district applicant instead of a partnership applicant because the City of Chillicothe is considered a government entity and not an educational entity. The grant guidlines for partnerships states that it must</t>
  </si>
  <si>
    <t>Cincinnati City</t>
  </si>
  <si>
    <t>Larry Williams</t>
  </si>
  <si>
    <t>Shroder High School</t>
  </si>
  <si>
    <t>5030 Duck Creek Road</t>
  </si>
  <si>
    <t>513-363-6977</t>
  </si>
  <si>
    <t>willial@cps-k12.org</t>
  </si>
  <si>
    <t>Our project will address the goal of student achievement by creating a student goal-driven culture where the connection between the students' career goals and academic performance is apparent culminating in out of building career related experiences with local corporations. Students, staff, administrators and parents will utilize a college and career readiness software provided by the district to assist students in determining post-secondary goals, connecting those goals to academic success in school and developing and monitoring individual academic and career plans. A Career Connection Facilitator will provide training for students, staff and parents resulting in a Career Connection team trained to sustain this student-goal-driven culture that promotes student achievement.</t>
  </si>
  <si>
    <t>Great Readers, Great Leaders</t>
  </si>
  <si>
    <t>Kara Shibiya, Grant Writer</t>
  </si>
  <si>
    <t>Cincinnati Public Schools</t>
  </si>
  <si>
    <t>2651 Burnet Avenue, Cincinnati, OH 45219-2551</t>
  </si>
  <si>
    <t>513-363-0338</t>
  </si>
  <si>
    <t>shibiyk@cps-k12.org</t>
  </si>
  <si>
    <t>Addressing a significant district-wide population of nearly 3,000 struggling readers in grades K-3, Cincinnati Public Schools (CPS) proposes to implement the Great Readers, Great Leaders Project, a year-long integrated effort to provide professional development and job-embedded supports to approximately 150 third grade classroom teachers during the 2014-15 school year. This concentrated effort will provide our teachers with the knowledge and skills needed to implement the district's newly created literacy framework with fidelity, as well as prepare a significant number of teachers to pass the Praxis Test #5203: Teaching Reading, to support reading instruction at the third grade level. By increasing the human capital of the district's third grade teachers, CPS aims to see an increased number of third grade students reading on grade level by the end of the 2014-15 school year, and anticipates considerable cost-savings as seen through a decrease in the number of students retained at the third grade, a decrease i</t>
  </si>
  <si>
    <t>Learning Today, Leading Tomorrow</t>
  </si>
  <si>
    <t>Kara, Shibiya</t>
  </si>
  <si>
    <t>2651 Burnet Ave</t>
  </si>
  <si>
    <t>The Learning Today, Leading Tomorrow (LTLT) program aims to leverage strong partnerships between Aiken New Tech High School (Aiken), GE Aviation, the Cincinnati Youth Collaborative (CYC), the University of Cincinnati (UC), and Cincinnati State Technical &amp; Community College to improve career pathway opportunities for Aiken's ~690 grade 7-12 students. The project intends to support students at "key" transition points throughout the high school journey by providing intense college and career exploration and expanding introductory career pathway curriculum for grades 7-9, the creation of an industry-driven and -supported Industrial Design Technology (IDT) career pathway focused in engineering and manufacturing for grades 10-12, and increased academic achievement through dual enrollment courses. Implemented over a three-year time frame, the project will further strengthen our region's workforce supply chain by preparing a new generation of engineering and manufacturing postsecondary students and future employees</t>
  </si>
  <si>
    <t>Paul Daniels</t>
  </si>
  <si>
    <t>Withrow University High School</t>
  </si>
  <si>
    <t>2488 Madison Rd Cincinnati, OH 45208</t>
  </si>
  <si>
    <t>513-392-9200</t>
  </si>
  <si>
    <t>daniepa@cps-k12.org</t>
  </si>
  <si>
    <t>In this grant, we seek to increase academic &amp; social success of our students while integrating a blended learning environment in order to meet the various needs of our students so they can successfully compete in a global economy where 21st century skills are necessary and required.</t>
  </si>
  <si>
    <t>Kara Shibya</t>
  </si>
  <si>
    <t>2651 Burnet Avenue Cincinnati, Ohio 45219</t>
  </si>
  <si>
    <t>In the large urban school districts in Ohio, a cohort of schools (which are high poverty and high minority) are chronically underperforming. In Cincinnati and Cleveland, many initiatives have been implemented to improve the performance of these schools including teacher recruitment and leadership training. In order to further accelerate these initiatives, both the Cleveland Metropolitan School District and the Cincinnati Public School District will leverage a innovative strategic partnership with Teach For America to provide an infusion of teacher and future leadership talent into specific lower performing schools.</t>
  </si>
  <si>
    <t>Cleveland Municipal</t>
  </si>
  <si>
    <t>GET FIT CMSD</t>
  </si>
  <si>
    <t>Desiree Powell</t>
  </si>
  <si>
    <t>Cleveland Metropolitan School District</t>
  </si>
  <si>
    <t>1111 Superior Avenue E, Suite 1800 Cleveland, Ohio 44114</t>
  </si>
  <si>
    <t>desiree.powell@clevelandmetroschools.org</t>
  </si>
  <si>
    <t>1. The GET FIT CMSD Program will improve academic achievement by reducing obesity and increasing physical activity. This will be accomplished through combining traditional physical education instruction with an innovative online program in a blended learning environment. The GET FIT Program was created by a teacher for teachers.</t>
  </si>
  <si>
    <t>Cleveland Heights-University Heights City</t>
  </si>
  <si>
    <t>DigiLit</t>
  </si>
  <si>
    <t>Michele Evans, Ph.D.</t>
  </si>
  <si>
    <t>Cleveland Hts.-University Hts. City School District, Gearity Elementary PDS</t>
  </si>
  <si>
    <t>2323 Wrenford Road, University Hts. OH 44118</t>
  </si>
  <si>
    <t>216-320-4850</t>
  </si>
  <si>
    <t>m_evans@chuh.org</t>
  </si>
  <si>
    <t>DigiLit is an innovative project that will completely redefine the look and feel of the elementary school classroom to engage students and significantly improve student achievement. The DigiLit project will develop, implement and test an innovative model of English Language Arts (ELA) teaching in PreK special education and elementary classrooms by infusing digital tools and software in ELA instruction to accelerate literacy learning and increase students' exposure to academic content vocabulary. DigiLit is also designed to include the family and further cement long-standing partnerships with local Universities and the local Library system to widen access to 21st century literacies without increasing long-term costs.</t>
  </si>
  <si>
    <t>Columbus City School District</t>
  </si>
  <si>
    <t>Michael M. Fulwider Director, Innovation and Special Projects</t>
  </si>
  <si>
    <t>Columbus City Schools</t>
  </si>
  <si>
    <t>270 E State Street, Columbus, OH 43215</t>
  </si>
  <si>
    <t>614-365-5888</t>
  </si>
  <si>
    <t>Mfulwider7258@columbus.k12.oh.us</t>
  </si>
  <si>
    <t>In the fall of 2014, Columbus City School will launch a new model school for K-6 instruction. The Columbus International Mastery School will employ technology and mastery assessment practices to personalize the educational experience for students and integrate Mandarin instruction. The school will focus its instruction on what students know and are able to do based on real-time assessments. Student learning guides the instruction - not what teachers teach and when they teach it. The school will focus on shifting pedagogy through Transdisciplinary Problem-Based Learning, integrating technology to personalize learning and incorporate students' interests, and develop critical thinking, problem solving and communications skills sets. This model school is designed to replace textbook and lecture-based instruction with original and authentic content delivered through integrated technology in a blended learning environment to prepare students to be successful on the Next Generation state assessments and to improv</t>
  </si>
  <si>
    <t>Diplomas Now for the 21st Century Workplace at South High School</t>
  </si>
  <si>
    <t>614-365-4710</t>
  </si>
  <si>
    <t>mfulwider7158@columbus.k12.oh.us</t>
  </si>
  <si>
    <t>Diplomas Now for the 21st Century Workforce at South High School is a multi-partner initiative that builds on an existing partnership between Diplomas Now and Columbus City Schools to ensure students stay on track to graduation while acquiring 21st Century skills and workplace readiness. With organizational, curricular and instructional innovations, a second shift of adults, an early warning indicator and intervention system and intensive support for the highest-needs students, Diplomas Now will expand its successful implementation at three high schools to grades 7-12 at South and add school-to-career partners to build students a pipeline out of poverty. The partners in Diplomas Now, Talent Development Secondary, City Year and Communities In Schools, with Learning Circle providing data maintenance, will be joined by Junior Achievement of Central Ohio, I Know I Can and Learn4Life.</t>
  </si>
  <si>
    <t>Conneaut Area City</t>
  </si>
  <si>
    <t>District Wide Wireless</t>
  </si>
  <si>
    <t>Donald Kent Houston, Superintendent</t>
  </si>
  <si>
    <t>Conneaut Area City Schools 043810</t>
  </si>
  <si>
    <t>400 Mill Street - Suite B, Conneaut Ohio 44030</t>
  </si>
  <si>
    <t>440-812-1076</t>
  </si>
  <si>
    <t>khouston@cacsk12.org</t>
  </si>
  <si>
    <t>Provide the entire student body and staff with wireless access to the internet. With the large number of economically disadvantaged students in our district, many students would still be unable to access the internet without the district providing the devices needed to do so. This grant proposal addresses both those issues.</t>
  </si>
  <si>
    <t>Dayton City</t>
  </si>
  <si>
    <t>David Lawrence</t>
  </si>
  <si>
    <t>Dayton Public Schools</t>
  </si>
  <si>
    <t>115 S. Ludlow Street Dayton, Ohio 45402</t>
  </si>
  <si>
    <t>(937) 542-3000</t>
  </si>
  <si>
    <t>delawren@dps.k12.oh.us</t>
  </si>
  <si>
    <t>1. The Dayton Public School system is driven to make high school count for students, families and the community. Taking its cues from the best-selling book, "Disrupting Class," DPS is moving the locus of power, decision making, performance responsibility and resources to its high school campuses and communities, with the charge to dramatically improve college and career readiness, double the college-going rate of its students, AND meet critical employment needs in its own community. Over the next five years, the district is very courageously retiring the last of its traditional high schools and replacing them with agile, career-focused Early College institutions that deliver real-world learning, career credentials and significant college credits for all high school students in partnership with Sinclair Community College and some of the area's largest and most innovative corporations.</t>
  </si>
  <si>
    <t>Deer Park Community City</t>
  </si>
  <si>
    <t>Blended Learning Collaborations and Innovation</t>
  </si>
  <si>
    <t>Jeff Langdon</t>
  </si>
  <si>
    <t>Deer Park Community City Schools</t>
  </si>
  <si>
    <t>4131 Matson Avenue, Cincinnati, Ohio 45236</t>
  </si>
  <si>
    <t>513.891.0222</t>
  </si>
  <si>
    <t>langdon.j@dpccsd.org</t>
  </si>
  <si>
    <t>The purpose of this project is to provide an avenue for schools, specifically Finneytown, Deer Park School Districts and Purcell Marian High School, to explore, study, and implement a blending learning model in a traditional school setting that will increase student achievement, reduce spending, and provide more resources to students. Through a consortium with Xavier University XCEED, Deer Park Community Schools, Finneytown Schools and Purcell Marian High School, the group will utilize Purcell Marian's developing blended learning program to provide professional development in order to achieve all the goals stated above. This project will be measured by evaluating traditional classroom teachers' implementation of new practices, learned through the professional development opportunities, as well as student achievement via standardized test scores, and measurable cost reductions.</t>
  </si>
  <si>
    <t>Deer Park Career Academies</t>
  </si>
  <si>
    <t>Jay Phillips</t>
  </si>
  <si>
    <t>Deer Park Community City School District</t>
  </si>
  <si>
    <t>4131 Matson Ave.</t>
  </si>
  <si>
    <t>phillips.j@dpccsd.org</t>
  </si>
  <si>
    <t>To enhance the 21st century relevance of its curriculum significantly, Deer Park Community City Schools is building and adding to the electives available to its 7th through 12th grade students with a new, innovative portfolio of career pathways-aligned elective courses called "Deer Park Career Academies." Comprised of a 101-, 201-, and 301-level courses, each career academy will align with a specific, high-demand career pathway such as entrepreneurship, digital instructional design, engineering, construction project management, health informatics, web design, cybersecurity, biotechnology, music technology and culinary arts, with each academy led by specially trained teachers and industry subject matter experts. Deer Park Junior/Senior High School will completely renovate and convert the building's lower level to state-of-the-art learning spaces with the newest technology and modular furnishings, which will support this new initiative and turn the district into a leading educational innovation laboratory and</t>
  </si>
  <si>
    <t>Defiance City</t>
  </si>
  <si>
    <t>Defiance</t>
  </si>
  <si>
    <t>Assess, Address, Achieve: Transforming Special Education in Ohio</t>
  </si>
  <si>
    <t>Michael Struble</t>
  </si>
  <si>
    <t>Defiance City Schools</t>
  </si>
  <si>
    <t>629 Arabella Street, Defiance, Ohio 43512</t>
  </si>
  <si>
    <t>419-782-0070</t>
  </si>
  <si>
    <t>mstruble@defcity.org</t>
  </si>
  <si>
    <t>Project Assess, Address, Achieve (A3) is a collaboration of Defiance City Schools, Northwest Ohio, Putnam and Wood County ESCs,the Center for Assessment and Evaluations Services (CAES), Bowling Green State University (BGSU), and Ohio Coalition for the Education of Children with Disabilities (OCECD) to increase the academic achievement for students with disabilities. The project entails: 1) creating technology-based instruments and protocols that will allow districts, ESCs, or university personnel to perform a systematic Special Education Review (IEP review, classroom observations,stakeholder focus groups and interviews, and stakeholder surveys) of their district, 2) report results to stakeholders, recommend targeted Professional Development in areas of need, 3) produce an Action Plan to address the areas of development, 4) create Professional Learning Communities to drive the systematic change, 5) train 3 ESCs in the SER process, and 6) pilot process with 3 ESCs working with partner districts with a C or belo</t>
  </si>
  <si>
    <t>Delaware City</t>
  </si>
  <si>
    <t>Delaware</t>
  </si>
  <si>
    <t>Early Literacy</t>
  </si>
  <si>
    <t>Brad Faust</t>
  </si>
  <si>
    <t>Delaware City School District</t>
  </si>
  <si>
    <t>248 North Washington Street, Delaware, OH 43015</t>
  </si>
  <si>
    <t>740.833.1100</t>
  </si>
  <si>
    <t>faustbr@delawarecityschools.net</t>
  </si>
  <si>
    <t>Six districts are working together to develop and deploy a quality-improvement process and network designed to make the Third Grade Reading Guarantee work for all students in all settings. The overarching goal of this network is to connect proven lean management processes that produce efficiency and effectiveness with scientifically-based reading research (SBRR) practices and innovations to meet all state-mandated Third Grade Reading Guarantee goals with real cost savings. The substantial and lasting value of the network for both the six districts and the state of Ohio depends on a fourfold innovation strategy: -Designing and testing an integrated early literacy audit process centered on the critical elements of the Third Grade Guarantee--student success, reading improvement and monitoring plans [RIMP], teacher qualifications, curriculum, intervention, and retention; -Providing an open online professional network portal that connects and develops educators from preschool to fifth grade around the SBRR-align</t>
  </si>
  <si>
    <t>Delphos City</t>
  </si>
  <si>
    <t>Melissa McClurg</t>
  </si>
  <si>
    <t>Delphos City Schools</t>
  </si>
  <si>
    <t>901 Wildcat Lane, Delphos, OH 45833</t>
  </si>
  <si>
    <t>567-712-0819</t>
  </si>
  <si>
    <t>mmcclurg@delphoscityschools.org</t>
  </si>
  <si>
    <t>Our project will increase student achievement for all learners by creating customizable core, elective and Career Tech Ed courses, driven by skill and concept mastery assessment &amp; remediation tools. This project reduces administrative costs and provides a greater share of resources in the classroom by improving our school's wireless infrastructure and providing a 1:1 junior and high school ratio of touch Chromebooks and Nexus 10" Tablets with optional keyboards for students with Multiple Disabilities in grades 6-12 to personalize instruction based on students' needs and encourage interest-driven, self-directed learning. Collaborating with Ohio State University's CERCS for Enterprise Transformation and Innovation, we will inspire innovation by creating an APP for our School Business Partnership where we can connect with community experts and business leaders in job shadowing, internships, service opportunities, and speaking arrangements that are publicized through social media.</t>
  </si>
  <si>
    <t>Elyria City Schools</t>
  </si>
  <si>
    <t>Lorain</t>
  </si>
  <si>
    <t>Technology Inspired Learning...24/7</t>
  </si>
  <si>
    <t>Ann Schloss</t>
  </si>
  <si>
    <t>Director of Academic Services, Elyria City School District</t>
  </si>
  <si>
    <t>42101 Griswold Road</t>
  </si>
  <si>
    <t>440-284-8280</t>
  </si>
  <si>
    <t>schlossann@elyriaschools.org</t>
  </si>
  <si>
    <t>Providing today's educators the ability to implement real life learning opportunities in the 21st century is essential for all our students. It is key to motivate and engage students and that will require a drastic change in our delivery model to be effective and reach digitally native learners. Teachers need to move from "how it has always been done" (static content, paper/pencil, limited time-frame) to dynamic, project and technology-based approaches that individualizes a student's learning by making content available in multiple formats with 24/7 availability.</t>
  </si>
  <si>
    <t>Fairborn City</t>
  </si>
  <si>
    <t>Greene</t>
  </si>
  <si>
    <t>Brad Silvus</t>
  </si>
  <si>
    <t>Fairborn City Schools</t>
  </si>
  <si>
    <t>306 E Whittier Ave</t>
  </si>
  <si>
    <t>937-878-3961</t>
  </si>
  <si>
    <t>bsilvus@fairborn.k12.oh.us</t>
  </si>
  <si>
    <t>Greene County Consortium will provide intensive Professional Development (PD) to a team of K-12 educators from seven county LEAs so that they may develop and create Open-Source Textbooks that are aligned to College and Career Readiness Standards and will also allow for access to more up-to-date technology tools for Educators to integrate into their everyday instruction as a way of meeting the needs of ALL students. With this project, nearly 100 Greene County Educators will be a part of school year 2014-2015 intensive sessions that will give them the information and strategies they need to create Open-Source (O-S) Textbooks-customizable, standards-aligned digital textbooks available through C-K12.org-that teachers can create from scratch, use as available, add to and update, and customize to meet the needs of their students. The shift to the Open-Source Format will allow for considerably less spending for traditional textbooks which are less flexible than Open-Source textbooks in that teachers can add to the</t>
  </si>
  <si>
    <t>Findlay City</t>
  </si>
  <si>
    <t>Hancock</t>
  </si>
  <si>
    <t>Martin White</t>
  </si>
  <si>
    <t>Findlay City Schools</t>
  </si>
  <si>
    <t>1100 Broad Avenue, Findlay, Ohio 45840</t>
  </si>
  <si>
    <t>419-425-8227</t>
  </si>
  <si>
    <t>mwhite@fcs.org</t>
  </si>
  <si>
    <t>21CCTI, a comprehensive technology project will increase student achievement, create spending reductions in the 5 year fiscal forecast, and result in the utilization of a greater share of resources in the classroom. These goals will be achieved through the implementation of a number of technology, infrastructure, and innovative instructional practices. The components of this project are: -1:1 6th-8th -Increased Technology 3rd-5th -Middle School STEM Equipment -21st Century Professional Development (PD) -Fiber Optic Networking -Virtual Desktop Infrastructure (VDI) -Expanded Bring Your Own Device (BYOD)</t>
  </si>
  <si>
    <t>Fostoria City</t>
  </si>
  <si>
    <t>Seneca</t>
  </si>
  <si>
    <t>Andrew Sprang</t>
  </si>
  <si>
    <t>Fostoria City Schools</t>
  </si>
  <si>
    <t>1001 Park Avenue</t>
  </si>
  <si>
    <t>419-436-4100</t>
  </si>
  <si>
    <t>asprang@fostoriaschools.org</t>
  </si>
  <si>
    <t>A consortium of school districts, educational service centers, and Bowling Green State University will transform college courses, INCORPORATING INNOVATIVE, BEST PRACTICES IN ONLINE TEACHING that make them accessible to students for dual credit in high schools throughout Northwest Ohio and beyond. High school teachers will co-teach these courses in close collaboration with expert college faculty using ACTIVE LEARNING STRATEGIES TO ENHANCE STUDENT MOTIVATION, ENGAGEMENT, AND ACADEMIC ACHIEVEMENT, with teachers providing local student support as A UNIQUELY CRITICAL SYSTEM TO OPTIMIZE STUDENT SUCCESS. Pathways will be provided for HIGH SCHOOL TEACHERS TO EARN QUALIFICATION TO TEACH DUAL-CREDIT COURSES IN ONLINE MASTERS DEGREE PROGRAMS so that impact can be greatly expanded to many other schools throughout the State.</t>
  </si>
  <si>
    <t>Franklin City</t>
  </si>
  <si>
    <t>Warren</t>
  </si>
  <si>
    <t>Michael Sander</t>
  </si>
  <si>
    <t>Franklin City Schools</t>
  </si>
  <si>
    <t>150 east Sixth street</t>
  </si>
  <si>
    <t>937-743-1699</t>
  </si>
  <si>
    <t>msander@franklincityschools.com</t>
  </si>
  <si>
    <t>Franklin City Schools is a district of nearly 3,117 students supporting a Kindergarten Early Childhood Center, 5 elementary schools (1-6), 1 middle school (7-8), 1 high school (9-12). Additionally, we have programs to support Special Education that includes 17% of our population. To support these programs, FCSD employs 210 part- and full-time teachers. In March 2014, we have 54% of our students receiving free lunch and reduced lunches. Carlisle Local Schools is a district of 1618 students Kindergarten through 12th grade. Housed in four buildings on one campus. The makeup of the student population consists of 502 high school students, 368 middle school students, 356 intermediate school students and 392 elementary students. CLSD employees 107 certified employees. Currently we have 39% of our students receiving free and reduced lunches Our project provides differentiated, personalized, student-centered instructional practices to improve all student achievement &amp; closed achievement gaps to very at</t>
  </si>
  <si>
    <t>Dr. Michael Sander</t>
  </si>
  <si>
    <t>150 east sixth street</t>
  </si>
  <si>
    <t>937-746-1699</t>
  </si>
  <si>
    <t>msanders@franklincityschools.com</t>
  </si>
  <si>
    <t>Our project will increase our typically below-average science and math test scores in grades four through eight on the next generation assessments. We will utilize the resources and technology funded through this grant to create real world, problem-based, interdisciplinary learning activities. Students will have access to individual devices for acquiring information and data, exploring virtual experiences, and demonstrating their knowledge base through formulating solutions to problems.</t>
  </si>
  <si>
    <t>In Support of Literacy</t>
  </si>
  <si>
    <t>150 East Sixth Street</t>
  </si>
  <si>
    <t>Our project is to provide our kindergarten, first, second, and third grade teachers with tools for teaching struggling readers and for challenging advanced learners, for success of all students into the 21st century. These tools will include 5 Lenova ThinkPad 11e Yoga devices for each classroom, as well as 3 class sets per elementary school and 2 class sets for our Early Childhood Learning Center. The goal of this project is to provide intervention support through technology, to ensure that students are prepared to meet Ohio's Third Grade Reading Guarantee.</t>
  </si>
  <si>
    <t>Hamilton City</t>
  </si>
  <si>
    <t>Butler</t>
  </si>
  <si>
    <t>Chad Konkle</t>
  </si>
  <si>
    <t>Hamilton City School District</t>
  </si>
  <si>
    <t>533 Dayton St.</t>
  </si>
  <si>
    <t>513.887.5013</t>
  </si>
  <si>
    <t>ckonkle@hcsdoh.org</t>
  </si>
  <si>
    <t>The purpose of the Hamilton Academic and Behavioral Success Initiative is to increase quality classroom instructional time for all students by improving the classroom climate and reducing interruptions due to discipline issues. Behavior specialists s to help teachers develop a positive classroom climate and appropriate interactions with children of poverty, as well as provide guidance and coaching on creating engaging, differentiated lessons. Professional development on the cultural differences between our predominantly underprivileged student population and our middle class educators will be an integral part of this program.</t>
  </si>
  <si>
    <t>Kenton City</t>
  </si>
  <si>
    <t>Hardin</t>
  </si>
  <si>
    <t>Jennifer Penczarski</t>
  </si>
  <si>
    <t>Kenton City Schools</t>
  </si>
  <si>
    <t>200 Harding Ave, Kenton, OH 43326</t>
  </si>
  <si>
    <t>(419) 673-0775</t>
  </si>
  <si>
    <t>penczarskij@kentoncityschools.org</t>
  </si>
  <si>
    <t>The Hardin Co Alliance is a countywide public-privatepartnership to drive economic development and community revitalization throughexcellence in education. Consortiumdistricts Kenton City Schools (lead), Hardin Northern Local, Ohio Hi-PointJVSD, Ridgemont Local and Ada Exempted Village are partnering with HardinCounty Business and Chamber Alliance, Auglaize County ESC, Instructional DesignInnovations, Apollo JVSD, RhodesCollege, Schlechty Center, PartnershipsMake a Difference, Quaglia Institute, OSU Alber Enterprise Center and Connect Ohio to strengthen college and careerreadiness for all 3,956 children (PK special ed- grade 12) attending Hardin Co schools, so they grow tobe leaders and lifelong learners prepared to transform and invigorate communitieswith enduring economic and social benefits. Schlechty Center willfacilitate Hardin Co Design Team transforming environments focused on betteroutcomes for students, families, and the communities in which they live.Districts, businesses and JVSD will develop, s</t>
  </si>
  <si>
    <t>Kettering City</t>
  </si>
  <si>
    <t>Dru Miller</t>
  </si>
  <si>
    <t>Kettering City Schools</t>
  </si>
  <si>
    <t>3750 Far Hills Ave</t>
  </si>
  <si>
    <t>dru.miller@ketteringschools.org</t>
  </si>
  <si>
    <t>Kettering City Schools, together with the Montgomery County Educational Service Center, will transform their current school libraries and classrooms into innovative, flexible, digital environments for global learning. #ConnectEDLearning will provide personalized learning options to: raise student achievement; target a greater share of digital resources to classrooms for the creation of blended learning platforms; and open up virtual learning opportunities for students and teachers by expanding options with local universities and libraries to increase instructional efficiency and effectiveness. Implementing these cost-reducing, innovative learning hubs will build the capacity for all students to learn locally while thinking globally through collaboration, communication and critical thinking.</t>
  </si>
  <si>
    <t>Lakewood City</t>
  </si>
  <si>
    <t>Calculated Impact on Literacy and Beyond</t>
  </si>
  <si>
    <t>Matthew J. Shields</t>
  </si>
  <si>
    <t>Emerson Elementary - Fourth Grade Teacher</t>
  </si>
  <si>
    <t>13439 Clifton Blvd</t>
  </si>
  <si>
    <t>216-529-4254</t>
  </si>
  <si>
    <t>matt.shields@lakewoodcityschools.org</t>
  </si>
  <si>
    <t>This grant will implement a measurable, systematic, research based program of literacy instruction that utilizes technology to increase oral reading fluency and comprehension. Students will improve academic achievement on both monthly reading benchmark assessments, and the annual state achievement assessments. Teachers will increase the amount of instruction they deliver electronically which will reduce costs to the district in several key areas.</t>
  </si>
  <si>
    <t>Lancaster City</t>
  </si>
  <si>
    <t>Fairfield</t>
  </si>
  <si>
    <t>Community Based Early Literacy Program</t>
  </si>
  <si>
    <t>Nathan Hale</t>
  </si>
  <si>
    <t>Lancaster City Schools</t>
  </si>
  <si>
    <t>345 E. Mulberry St., Lancaster, Ohio 43130</t>
  </si>
  <si>
    <t>740-687-7310</t>
  </si>
  <si>
    <t>n_hale@lancaster.k12.oh.us</t>
  </si>
  <si>
    <t>Lancaster City Schools would like to expand our Early Literacy Initiative that began this year as part of the 3rd Grade Reading Guarantee process. We currently have between 25-30% of our students in Grades K-2 who are identified as "Not on Track" based on the STAR Reading screener. We would like to reduce this number by 50% to provide our students the best opportunity to be successful on the 3rd Grade Reading Ohio Achievement Assessments by providing intensive interventions during and after the school day, blended learning opportunities for students and parents and targeted professional development for staff.</t>
  </si>
  <si>
    <t>Kevin Snyder</t>
  </si>
  <si>
    <t>Lancaster City School District</t>
  </si>
  <si>
    <t>345 East Mulberry Street</t>
  </si>
  <si>
    <t>k_snyder@lancaster.k12.oh.us</t>
  </si>
  <si>
    <t>Lancaster High School (LHS) teachers will work collaboratively to create iTextBooks as replacements for traditional textbooks. This project's goal is to reduce future textbook expenditures through the creation of iTextBooks by staff members thus reducing spending in the five-year forecast. LHS is a 1:1 iPad school and has many staff members who are advanced users who, with guidance and training, can produce quality textbooks.</t>
  </si>
  <si>
    <t>Lima City</t>
  </si>
  <si>
    <t>Lima City Schools Workforce Development Program</t>
  </si>
  <si>
    <t>Jill Ackerman</t>
  </si>
  <si>
    <t>Lima City Schools</t>
  </si>
  <si>
    <t>755 St. Johns Avenue Lima, Ohio 45804</t>
  </si>
  <si>
    <t>(419) 996-3400</t>
  </si>
  <si>
    <t>jackerman@limacityschools.org</t>
  </si>
  <si>
    <t>Recognizing our responsibility to produce a skilled workforce for Allen County, the primary goal of the Lima City Schools Workforce Development Project is to provide workforce development opportunities for all students grades K-8 with a strong parent component. The school district and its partners will work with local industry to provide on-site, hands-on, project based experiences that expose all students to various skilled occupational positions throughout Allen County. The opportunities that will provide relevancy to real world work experiences will increase student achievement in all areas, including graduation rate.</t>
  </si>
  <si>
    <t>Tricia Winkler</t>
  </si>
  <si>
    <t>South Science and Technology Magnet</t>
  </si>
  <si>
    <t>755 St. Johns Ave., Lima, Ohio 45804</t>
  </si>
  <si>
    <t>419-996-3192</t>
  </si>
  <si>
    <t>twinkler@limacityschools.org</t>
  </si>
  <si>
    <t>By breaking down traditional educational structures, the Science and Technology Magnet School will prepare students to be conscious and healthy global citizens while, exploring and creating real world problems and green, sustainable solutions through the educational framework of the STEAM model.</t>
  </si>
  <si>
    <t>Logan-Hocking Local</t>
  </si>
  <si>
    <t>Hocking</t>
  </si>
  <si>
    <t>Trina Barrell</t>
  </si>
  <si>
    <t>Logan-Hocking School District IRN# 044248</t>
  </si>
  <si>
    <t>2019 E. Fron St. Logan, Ohio 43138</t>
  </si>
  <si>
    <t>740-385-8517</t>
  </si>
  <si>
    <t>tbarrell@lhsd.k12.oh.us</t>
  </si>
  <si>
    <t>The primary goal of this project is to increase a deeper learning environment by providing a rich learning experience for students that allows them to really dig into a subject and understand it in a way that requires more than just memorizing facts. We will increase online learning and focus on incorporating the blended learning techniques by providing computing devices for all of our student population, most of whom cannot afford their own personal devices in rural Appalachia. Through sustained professional development we will enable our school district to better prepare our students to be college and career ready via a paradigm shift from traditional classroom instruction to collaborative learning in the digital world.</t>
  </si>
  <si>
    <t>Lorain City</t>
  </si>
  <si>
    <t>Lighting the Way for Teaching &amp; Learning</t>
  </si>
  <si>
    <t>Thomas Tucker</t>
  </si>
  <si>
    <t>Lorain City Schools</t>
  </si>
  <si>
    <t>2350 Pole Ave., Lorain, OH 44052</t>
  </si>
  <si>
    <t>440-233-2232</t>
  </si>
  <si>
    <t>ttucker@lorain.k12.oh.us</t>
  </si>
  <si>
    <t>Lorain City Schools (LCS) will increase the academic performance and graduation rates for 660 at risk students. To achieve these primary goals the district will direct a greater share of resources to the classroom through a LED lighting upgrade that will generate a permanent cost savings to the general fund of $3.9 million over fifteen years. This savings will be utilized to reform the district's current alternative education program for students in grades 6-12 by implementing a blended learning model via a partnership with AdvancePath Academics, one of the nation's leading providers of blended learning expertise, designed to address the needs of students experiencing academic and behavioral challenges and in danger of dropping out of school.</t>
  </si>
  <si>
    <t>Maple Heights City</t>
  </si>
  <si>
    <t>Full S.T.E.A.M. Ahead for Career and College Readiness</t>
  </si>
  <si>
    <t>Susan Jaroscak</t>
  </si>
  <si>
    <t>Maple Heights City Schools</t>
  </si>
  <si>
    <t>5740 Lawn Avenue Maple Heights, Ohio 44137</t>
  </si>
  <si>
    <t>216-587-6100 extension 3402</t>
  </si>
  <si>
    <t>susan.jaroscak@mapleschools.com</t>
  </si>
  <si>
    <t>Students in grades 4-12 in the Maple Heights City Schools have indicated a limited interest in pursuing STEAM (Science, Technology, Engineering, Art, and Mathematics), formerly STEM-oriented careers post high school, and see little relevance of math and science to their future goals. Ohio's New Learning Science Standards as well as the Common Core State Standards in Mathematics indicate an increased level of depth and complexity with a focus on inquiry-based learning; therefore, it is vitally important to engage our students' interest in these areas and equip them with the intellectual, technological, and scientific tools to compete globally in STEAM- oriented careers. To meet this need for our students, we are proposing to professionally develop our math and science teachers in grades 4-12 in project-based learning focusing on STEAM while creating two project-based Fabrication Labs (FAB Labs) at our high school as well as to enhance existing labs at our middle school and intermediate building.</t>
  </si>
  <si>
    <t>Marietta City</t>
  </si>
  <si>
    <t>Washington</t>
  </si>
  <si>
    <t>Connected for Success</t>
  </si>
  <si>
    <t>Ruth Kunze</t>
  </si>
  <si>
    <t>Marietta City Schools</t>
  </si>
  <si>
    <t>111 Academy Drive, Marietta, OH 45750</t>
  </si>
  <si>
    <t>740-375-6500X14</t>
  </si>
  <si>
    <t>ma_rkunze@seovec.org</t>
  </si>
  <si>
    <t>The overarching goal of Connected for Success is to change the model for delivery of instruction in our classrooms from one that is teacher-driven to one that is student centric. To accomplish this goal, there will be an increase and equitable share of technology resources and teacher training including: focused professional development aligned to Blended Learning, 21st Century Learning Skills, Ohio's Revised Standards, and Differentiated Instruction; desktops, laptops, tablet devices, projectors, wireless internet, and an established BYOD district policy. The focused staff training will provide the teachers with the skills necessary to completely change the delivery method of instruction with increased technology available to establish a classroom environment that is more individualized, relevant, rigorous, exciting, and engaging,</t>
  </si>
  <si>
    <t>Marion City</t>
  </si>
  <si>
    <t>Marion</t>
  </si>
  <si>
    <t>Next Generation Classrooms</t>
  </si>
  <si>
    <t>Gary Barber</t>
  </si>
  <si>
    <t>Marion City Schools</t>
  </si>
  <si>
    <t>420 Presidential Drive, Suite B Marion, Ohio 43302</t>
  </si>
  <si>
    <t>740.387.3300</t>
  </si>
  <si>
    <t>gary_barber@marioncity.k12.oh.us</t>
  </si>
  <si>
    <t>The Next Generation Classroom Model combines the use of technology with traditional learning, incorporating connectivity and the use of student data to change student learning. It is program in which a student learns at least in part through online delivery of content and instruction with some element of student control over time, place, path and/or pace. In next generation learning environments there is a shift from a total traditional educational setting to an online delivery for a portion of the day to make students, teachers, and schools more productive, both academically and financially. This will be accomplished through the Next Generation Classroom Model that will be implemented with fidelity and effective connectivity, structures, schedules, staffing patterns, and budgets to meet the Straight A program goal of increasing student achievement.</t>
  </si>
  <si>
    <t>Massillon City</t>
  </si>
  <si>
    <t>Nicki Howard</t>
  </si>
  <si>
    <t>Massillon City School District</t>
  </si>
  <si>
    <t>930 17th St. NE</t>
  </si>
  <si>
    <t>nhoward@massillonschools.org</t>
  </si>
  <si>
    <t>This proposal envisions the creation of an innovative, collaborative Professional Development structure that improves student engagement along with enhanced preparation for student college and career readiness. Students will move from passive to active participants as they engage in classrooms that deliver a blended learning model. This innovative approach will have teachers and students working collaboratively in the lesson design process.</t>
  </si>
  <si>
    <t>Medina City SD</t>
  </si>
  <si>
    <t>Medina</t>
  </si>
  <si>
    <t>Learn21 edWise platform</t>
  </si>
  <si>
    <t>David Knight</t>
  </si>
  <si>
    <t>140 West Washington St., Medina OH 44256</t>
  </si>
  <si>
    <t>330-636-3010</t>
  </si>
  <si>
    <t>knightd@mcsoh.org</t>
  </si>
  <si>
    <t>This proposal seeks to develop and deploy in 10 Ohio school districts across the state a cloud-based software platform from the perspective of educators that will remove the gap between isolated data systems by centralizing access to student data. The edWise platform will eliminate the time-consuming work of obtaining, processing, and analyzing student data - ultimately minimizing duplication of work and hours spent on data management, thus saving money and putting more dollars back into the classrooms serving 36,627. The project advances the work of Learn21, the five-year-old shared services technology collaborative of 22 Ohio school districts and will ultimately benefit all Ohio districts.</t>
  </si>
  <si>
    <t>Miamisburg City</t>
  </si>
  <si>
    <t>Putting the Pieces Together for Student Achievement</t>
  </si>
  <si>
    <t>Stacie Moore, Director of Secondary Education</t>
  </si>
  <si>
    <t>Miamisburg City School</t>
  </si>
  <si>
    <t>540 E Park Avenue, Miamisburg, Ohio 45342</t>
  </si>
  <si>
    <t>937-866-3381</t>
  </si>
  <si>
    <t>smoore@miamisburg.k12.oh.us</t>
  </si>
  <si>
    <t>Putting the Pieces Together for Student Achievement focuses on professional development and increased technology resources and use to increase student achievement as well as college and career readiness in Miamisburg City Schools. This program will connect curriculum, classroom instruction, assessment, and technology in a district-wide systematic approach. This approach is to ensure high quality instructional practices reflective of 21st century teaching and learning are happening in all classrooms. The professional development plan and technology resources provided through this program will provide the district an opportunity to build on the progress already occurring from current initiatives.</t>
  </si>
  <si>
    <t>Middletown City</t>
  </si>
  <si>
    <t>Literacy for ALL</t>
  </si>
  <si>
    <t>Elizabeth Lolli, Ph.D.</t>
  </si>
  <si>
    <t>Middletown City School District</t>
  </si>
  <si>
    <t>1 Donham Plaza, Middletown, Ohio 45042</t>
  </si>
  <si>
    <t>513-217-2672</t>
  </si>
  <si>
    <t>elolli@middletowncityschools.com</t>
  </si>
  <si>
    <t>In an effort to improve student achievement and overall learning, professional development will be the focus of the grant dollars. All affected staff K-5 (Primary includes K-3 and Intermediate 4-5) will receive intensive PD in literacy, math, technology, and lesson design, including an instructional framework that includes gradual release instruction (model, guided practice/prompt, independent practice), formative assessment, review of data, actions resulting from the data, and summative assessment. As a sustaining element, one elementary school will be used as a professional development center for new or struggling staff members to receive additional professional development through job embedded PD with teachers teaching Middletown students.</t>
  </si>
  <si>
    <t>One Donham Plaza, Middletown, Ohio 45042</t>
  </si>
  <si>
    <t>Restructure, Renew, Rejuvenate (3 R's) will provide an opportunity for Middletown High School to manage its own destiny. MHS will study, review, and recreate a new vision of learning that supports a rigorous, relevant 21st Century environment. This project will allow MHS to be a "turnaround" school utilizing the research from both Bill Daggett's work and the 90-90-90 research from The Leadership and Learning Center, to create a school that meets the academic, technological, and social needs of each student.</t>
  </si>
  <si>
    <t>Newark City</t>
  </si>
  <si>
    <t>Licking</t>
  </si>
  <si>
    <t>STEAM, Nature's Center for Innovation</t>
  </si>
  <si>
    <t>Melinda Vaughn</t>
  </si>
  <si>
    <t>Newark City Schools</t>
  </si>
  <si>
    <t>621 Mount Vernon Road, Newark, Ohio 43055</t>
  </si>
  <si>
    <t>740-670-7051</t>
  </si>
  <si>
    <t>mvaughn@laca.org</t>
  </si>
  <si>
    <t>STEAM: Nature's Center for Innovation is a faculty driven initiative to transform teaching and the learning experiences for 3,300 K-5 children attending Newark City Schools and Par Excellence Academy (a neighboring community school). Newark and Par Excellence teachers and leaders are collaborating with Licking Co ESC, Dr. Herb Broda (outdoor education expert), Creo Studio (digital, inquiry based art and ELA integration) and EnvisionEdPlus to ensure every child learns to think and innovate and that systems are in place to support and sustain the innovations long term. An additional implementation partner is The Works, Ohio Center for History, Art and Technology. The Works will provide important professional development through the Licking County ESC in relationship to the integration of the Arts into STEM- related initiatives Faculty have been working with partners to transform indoor and outdoor spaces into exploration zones children will integrate all content areas through the lens of arts and science. Env</t>
  </si>
  <si>
    <t>North Canton City</t>
  </si>
  <si>
    <t>Michael Hartenstein</t>
  </si>
  <si>
    <t>North Canton City Schools</t>
  </si>
  <si>
    <t>525 Seventh Street NE, North Canton, OH 44720</t>
  </si>
  <si>
    <t>330-497-5600</t>
  </si>
  <si>
    <t>hartensteinm@northcantonschools.org</t>
  </si>
  <si>
    <t>This project creates a self-sustaining grades 3-12 cross curricular program that uses robotics as a unifying theme to teach advanced systems thinking, mathematics, physical science, engineering, and business concepts by creating and deploying entrepreneurial teams that work collaboratively to build, then program, robots to solve projects. It builds upon our first Straight A Grant project by engaging active learning in a "real-world" business atmosphere in which, at its conclusion, robots, robot kits and training are developed for use by the lower grades as well by other school districts for a fee. The project unifies the cross curricular work of our existing Business Marketing, Technical Writing, and Technical Illustration, and Digital Mass Communications classes to create a new business, Viking Robotics LLC, for this purpose.</t>
  </si>
  <si>
    <t>iSpace</t>
  </si>
  <si>
    <t>The "iSpace" raises K-5 student achievement and academic success in science and social studies by transforming passive learning spaces into inquiry-based environments devoted to curricular application. The shared use of flexible, mobile, cross-curricular "Toolkits" designed to promote active learning based on vertical standards will drive a greater share of resources into K-5 classrooms in an efficient, sustainable way while reducing spending.</t>
  </si>
  <si>
    <t>Norwalk City</t>
  </si>
  <si>
    <t>Huron</t>
  </si>
  <si>
    <t>Sandra Sue Goodsite</t>
  </si>
  <si>
    <t>Norwalk City Schools</t>
  </si>
  <si>
    <t>134 Benedict Avenue Norwalk, OH 44857</t>
  </si>
  <si>
    <t>419-660-1813</t>
  </si>
  <si>
    <t>goodsits@norwalk-city.k12.oh.us</t>
  </si>
  <si>
    <t>The Differentiate to Accelerate: Personalized Learning for Maximum Growth in Students Identified as "Not on Track" in Grades Kindergarten to Three initiative will provide struggling readers with a customized, innovative, and effective learning format for personalized instruction using the research-based Imagine Learning (IL) Language and Literacy adaptive technology. Kindergarten to grade three students identified as "Not on Track" using Ohio Department of Education or vendor approved assessments will be targeted for interventions using the five essential components of reading as a part of their individualized Reading Improvement and Monitoring Plan (RIMP). Imagine Learning software will engage struggling students giving teachers pertinent data to monitor instruction ultimately bolstering student achievement resulting in the student being deemed "On Track", ready to pass high stakes tests, and transfer their successes in reading to other content areas as noted in Ohio's New Learning Standards.</t>
  </si>
  <si>
    <t>Oakwood City</t>
  </si>
  <si>
    <t>Dr. Kyle Ramey</t>
  </si>
  <si>
    <t>Oakwood City School District 044586</t>
  </si>
  <si>
    <t>20 Rubicon Rd. 45409</t>
  </si>
  <si>
    <t>(937) 297-5532</t>
  </si>
  <si>
    <t>ramey.kyle@okawoodschools.org</t>
  </si>
  <si>
    <t>Based on our philosophy of educating the whole child and in preparation for the mantle of leadership our high performing students assume upon their graduation, our district, Oakwood City Schools, seeks to add an equally important qualitative aspect to traditional report cards and written transcripts. Our community and district recognize that students must be assessed, but most of the data collected through quantitative measures such as iReady, OAA, CogAt, ITBS, OGT, PBA, EOY, ACT, or SAT measure only academic achievement, and is not the best reflection of creative ingenuity captured from project and inquiry-based learning suggested by research. A yearly student-created whole-picture multimedia-rich, disruptive evaluation called "Jack Chats" will be comprised of learning evidences and reflections of common-core, state-based and local curriculum, the 40 assets of development, and community values such as ingenuity, honesty, and leadership.</t>
  </si>
  <si>
    <t>Oakwood Differentiated Compensation</t>
  </si>
  <si>
    <t>Dr. Kyle Ramey, Superintendent</t>
  </si>
  <si>
    <t>Oakwood City School District</t>
  </si>
  <si>
    <t>20 Rubicon Road, Dayton, Ohio 45409</t>
  </si>
  <si>
    <t>937-297-5332</t>
  </si>
  <si>
    <t>ramey.kyle@oakwoodschools.org</t>
  </si>
  <si>
    <t>The Oakwood Schools have already implemented a ground-breaking Differentiated Compensation Plan, though in the early stages, for every employee in the district, eliminating all salary schedules. This grant would allow the resources to expand the program in order to accomplish more, improve student achievement, and make it more accessible and innovative that other districts in the State of Ohio will emulate.</t>
  </si>
  <si>
    <t>Oberlin City Schools</t>
  </si>
  <si>
    <t>E3 (E to the Third Power): Empowered - Engaged - Efficient</t>
  </si>
  <si>
    <t>Ann Glass</t>
  </si>
  <si>
    <t>153 N Main Street Oberlin, OH 44074</t>
  </si>
  <si>
    <t>AGLASS@OBERLIN.K12.OH.US</t>
  </si>
  <si>
    <t>-To improve student achievement by empowering students and staff to utilize technologies that promote an inquiry, student-centered learning environment, engages learners in problem-based learning in a STEM environment, including focus on sustainability, that fosters self-regulated learners. -To reduce costs by developing a self-sustaining infrastructure and utilizing technologies that promote increased productivity and efficiency by reducing use of consumables, loss work (products) and excessive time supporting or repairing older equipment. -To increase resources in the classroom through the use of Chromebooks, Google Apps in the 'cloud', Promethean boards, student response assessment systems and active slates, as well as computer labs, so that students can access more current instructional resources, monitor their own personalized learning, and collaborate, co-create and problem solve real world problems with peers and experts while learning content and 21st Century skills, STEM, Sustainability (particularl</t>
  </si>
  <si>
    <t>796018.65</t>
  </si>
  <si>
    <t>Oregon City</t>
  </si>
  <si>
    <t>Increasing Local and Statewide Access to High Quality Student Growth Measures</t>
  </si>
  <si>
    <t>Dawn Henry</t>
  </si>
  <si>
    <t>Oregon City Schools</t>
  </si>
  <si>
    <t>5721 Seaman Road Oregon, Ohio 43616</t>
  </si>
  <si>
    <t>419-693-0661</t>
  </si>
  <si>
    <t>dhenry@oregoncs.org</t>
  </si>
  <si>
    <t>Expanding on a successful Instructional Improvement System pilot experience and fully utilizing its capabilities, Oregon City Schools' K-2 and special area teachers will collaborate with Bowling Green State University faculty to develop high quality pre-post assessments that evaluate student growth with a high degree of reliability and validity. Once teacher training, assessment development, field testing, item analysis, and revisions have been completed, these New Learning Standards-aligned assessments will be made available to districts statewide to assist in the collection and use of student learning objective data. The Straight A Fund goals of student achievement, fiscal measure positive performance, and utilization of a greater share of resources in the classroom are all met in this proposal through high quality professional development, targeted, data-driven planning and instruction, research-backed assessment practices, and the full exploitation of the valuable classroom resource that is the IIS.</t>
  </si>
  <si>
    <t>Parma City</t>
  </si>
  <si>
    <t>Ava Yeager</t>
  </si>
  <si>
    <t>Parma City School District</t>
  </si>
  <si>
    <t>5311 Longwood Avenue Parma, Ohio 44134</t>
  </si>
  <si>
    <t>440-885-7979</t>
  </si>
  <si>
    <t>yeagera@parmacityschools.org</t>
  </si>
  <si>
    <t>Everything is changing in education except the way we interact with families. This proposal transforms the Parent Teacher Conference (PTC) process by orienting parents to the changes taking place in education and introducing a comprehensive PTC model to develop the capacity of families to support their children's academic progress by linking home and school learning. The goals of this initiative include: improving student achievement, reducing in-school intervention costs and preparing students for college and career.</t>
  </si>
  <si>
    <t>Federal Programs Director, PCSD</t>
  </si>
  <si>
    <t>5311 Longwood Ave. Parma, Ohio 44134</t>
  </si>
  <si>
    <t>440-842-7979</t>
  </si>
  <si>
    <t>The SYNERGY Initiative is an innovative collaboration among a large urban district and two charter schools, all serving the same communities and students. Our three schools will establish a working district-charter collaboration that will raise the bar for ALL students and will increase choice and opportunity for learning. At the same time, the collaboration will allow for cost savings produced by adopting new policies and procedures and by sharing services in the areas of Career Technology, ELL best practices, instructional strategies, communication, project-based learning (STEM), teacher evaluations and technology.</t>
  </si>
  <si>
    <t>Port Clinton City</t>
  </si>
  <si>
    <t>Ottawa</t>
  </si>
  <si>
    <t>Patrick Adkins</t>
  </si>
  <si>
    <t>Port Clinton City Schools</t>
  </si>
  <si>
    <t>811 Jefferson Street</t>
  </si>
  <si>
    <t>padkins@pccsd.net</t>
  </si>
  <si>
    <t>The Unthinking School...Rethinking Learning project provides an opportunity for the PCCSD to continue to integrate learning by design with an integrated learning model that fits 21st Century learning. The six goals of the initiative are a) address how students learn (learning modalities), b) enhance when students learn (role of time), c) customize what students learn (curriculum and content-Common Core), d) enhance who helps students learn(human capital), e) expand where students learn (learning environment), f) and using adaptive learning, measure how much students learn (evidence of learning). The blended learning design model of the grant is personalized to fit each learner, learner driven to let the students own their learning, applied to let students learn by doing, cost-effective to be feasible at scale, and tech enabled to leverage technologies that work using their connected Chromebook 24/7 which they then keep upon graduation.</t>
  </si>
  <si>
    <t>Portsmouth City</t>
  </si>
  <si>
    <t>Scioto</t>
  </si>
  <si>
    <t>Scott Dutey</t>
  </si>
  <si>
    <t>Portsmouth City Schools</t>
  </si>
  <si>
    <t>724 Findlay Street; Portsmouth, OH 45662</t>
  </si>
  <si>
    <t>Scott.Dutey@Portsmouthtrojans.net</t>
  </si>
  <si>
    <t>The EPICC STEPS project will strategically position a large regional consortium effort of 46 Appalachian Ohio school districts and 2 non-publics including 51 high schools and their feeder middle schools representing approximately 40,000 students along with various community stakeholders to share new technology/services, build a secure repository of readily-available teaching/training resources, and expand teacher professional development to achieve two fundamental goals: **ONE** Increased student achievement by a major expansion of lower cost/higher quality, rigorous dual enrollment courses, by increasing knowledge and credentials of school district educators and expanding use of the Flipped Classroom model that allows students to take more responsibility for their learning, and connecting student studies to individual student career goals, **TWO** Implementing a shared services delivery model by connecting consortium members through emerging technologies enabling the creation, storage and sh</t>
  </si>
  <si>
    <t>Lindsey Kegley</t>
  </si>
  <si>
    <t>724 Findlay Street. Portsmouth, Ohio. 45662</t>
  </si>
  <si>
    <t>740-354-5705</t>
  </si>
  <si>
    <t>Lindsey.kegley@portsmouthtrojans.net</t>
  </si>
  <si>
    <t>This project will provide a systemic, scientifically based, literacy model ( The Ohio State University Literacy Collaborative Framework) for Kindergarten - Second Grade students. Four of the main elements are: development of a school leadership team; training for school-based literacy coaches; a comprehensive instructional literacy framework; and tiered instruction to meet the needs of all students. This literacy framework aligns well with Common Core Standards and provides embedded, on-going, professional development.</t>
  </si>
  <si>
    <t>Salem City</t>
  </si>
  <si>
    <t>Catherine J. Sanor</t>
  </si>
  <si>
    <t>Salem City Schools</t>
  </si>
  <si>
    <t>1226 E. State Street</t>
  </si>
  <si>
    <t>3303320316 x 58229</t>
  </si>
  <si>
    <t>sanorc@salem.k12.oh.us</t>
  </si>
  <si>
    <t>Our PC^2 project is focused on the research base that shows that time intensive parental involvement activities, such as reading to one's children and communicating with them, have significant impact on student achievement (+.5 to .6 of a standard deviation) for the overall student population and minority students as well. Jeynes, W. H. (2005). Our plan is to improve student achievement by extending the school day and additional learning opportunities by providing mobile technologies with instructional videos for parents and individualized curriculum materials for students in a comprehensive parent involvement project. The communication/collaboration focus will involve intensive training for both teachers and parents, and will involve various community organizations in the development of communication projects which will range from a simple 'read with me' at the lower grade levels, to a focus on 'my town' investigations and student created video solutions at the middle levels, and include a high school 'm</t>
  </si>
  <si>
    <t>Sandusky City</t>
  </si>
  <si>
    <t>Erie</t>
  </si>
  <si>
    <t>Julie McDonald</t>
  </si>
  <si>
    <t>Sandusky City Schools</t>
  </si>
  <si>
    <t>407 Decatur Street, Sandusky, Ohio 44870</t>
  </si>
  <si>
    <t>419.984.1020</t>
  </si>
  <si>
    <t>jmcdonald@scs-k12.net</t>
  </si>
  <si>
    <t>The Sandusky City Schools will eliminate the traditional last semester of the senior year and replace it with a series of global experiences with an emphasis on STEM. Options are: a) local, regional and state-wide internships with a global STEM emphasis; b) students remain on campus and enroll in a dual enrollment online course or independent study with a global STEM emphasis; or c) international internships/studies throughout the world or through online courses with overseas affiliations. The partners will develop and implement the following through this opportunity: *An incubator (think Shark Tank) for students and regional community as well as write an online semester vocationally funded course on best entrepreneur practices and needed knowledge base; *An English IV second semester course for use with internships that will incorporate state standards; *A mandatory vocationally funded semester Global Perspectives course for all 9th and 10th graders; *High quality professional devel</t>
  </si>
  <si>
    <t>Shaker Heights City</t>
  </si>
  <si>
    <t>The Shaker Heights Innovative Center for Personalized Learning and Family Engagement</t>
  </si>
  <si>
    <t>Dr. Gregory C. Hutchings, Jr.</t>
  </si>
  <si>
    <t>Shaker Heights City Schools</t>
  </si>
  <si>
    <t>15600 Parkland Dr., Shaker Heights OH 44120</t>
  </si>
  <si>
    <t>216-295-4323</t>
  </si>
  <si>
    <t>herbruck_e@shaker.org</t>
  </si>
  <si>
    <t>The Shaker Heights School District prides itself on its blend of tradition and innovation to promote excellence within its diverse community. Consistent with its mission, the District has identified the need to increase access to alternative learning opportunities for at-risk students that also engage the family and community. The partners of the Shaker Heights Schools Innovative Center for Personalized Learning and Family Engagement (The Center) will jointly create an innovative, non-traditional, community-based environment for equitable learning opportunities that incorporate innovative technology tools to personalize and customize learning to increase achievement and retention for at-risk students in order to meet the following goals: student achievement and spending reductions in the five-year fiscal forecast.</t>
  </si>
  <si>
    <t>Sheffield-Sheffield Lake City</t>
  </si>
  <si>
    <t>Building Bridges</t>
  </si>
  <si>
    <t>Gretchen Loper</t>
  </si>
  <si>
    <t>Principal, Tennyson Elementary School</t>
  </si>
  <si>
    <t>555 Kenilworth Avenue Sheffield Lake, Ohio 44054</t>
  </si>
  <si>
    <t>440-949-4237</t>
  </si>
  <si>
    <t>gloper@sheffield.k12.oh.us</t>
  </si>
  <si>
    <t>The Building Bridges program seeks to provide comprehensive prevention and intervention services to families and students facing issues such as poverty, unemployment, homelessness, addiction, and other crises which impede school learning and disruption to themselves and other students in the classroom. Implementation of this program would reduce spending in the five year forecast through the reduction of student placement in specialized behavioral and alternative schools at the cost of approximately $40,000 per student per year and $50,000 per year due to decreased placement spots in the behavioral academy. Student achievement would increase because more of the basic needs would be met by the program providing linkage to services in order to assist students as effective learners, connecting families to systems of care, creating a support network for students with educational needs and provide tools and techniques for educators to more effectively address the educational needs of at risk and emotionally wou</t>
  </si>
  <si>
    <t>Sidney City</t>
  </si>
  <si>
    <t>Shelby</t>
  </si>
  <si>
    <t>Dreaming to Achieve: Inquiring Minds Becoming College and Career Ready</t>
  </si>
  <si>
    <t>Brooke Gessler</t>
  </si>
  <si>
    <t>Sidney City Schools</t>
  </si>
  <si>
    <t>750 S. Fourth Avenue, Sidney, OH 45365</t>
  </si>
  <si>
    <t>937-497-2200 ext. 1046</t>
  </si>
  <si>
    <t>brooke.gessler@sidneycityschools.org</t>
  </si>
  <si>
    <t>Through an infusion of technology, Sidney City Schools will make a systems change, moving our K-12 students into a project-based learning environment that will enable our teachers to create a more individualized, blended learning classroom. This changing environment will maximize learning as our district collaborates with our local businesses and community through Workforce Partnership to maximize students' learning by making the "real-world" application of their studies come to life. K-5 students will be engaged in exploring their dreams within an Airstream mobile career trailer; 6-8 students will utilize OhioMeansJobs and Shelby County Workforce Partnership websites to create electronic portfolios they will tote in digital backpacks; 9-12 students will be realizing their college and career potential through a combined effort from teachers, business members of Workforce Partnership, and our new Workforce Academy pathway, which collectively focus on students' acquiring 21st Century Skills.</t>
  </si>
  <si>
    <t>Springfield City</t>
  </si>
  <si>
    <t>Clark</t>
  </si>
  <si>
    <t>Dona Starrett</t>
  </si>
  <si>
    <t>Springfield City School District</t>
  </si>
  <si>
    <t>1500 West Jefferson Street</t>
  </si>
  <si>
    <t>937.505.2841</t>
  </si>
  <si>
    <t>starrettda@spr.k12.oh.us</t>
  </si>
  <si>
    <t>In the Greater Springfield area, many students graduate ill-prepared for opportunities emerging from shifts in the global and local economies; to address this problem a consortium of four contiguous school districts, Springfield City School District (high poverty, urban), Springfield Clark County Career Technical Center (CTC), a recently opened regional STEM school (Global Impact STEM Academy, or GISA), and Clark Shawnee Local (rural) will used a shared services model to create the Greater Springfield CareerConnectED Center (CCC). With operational support from Battelle For Kids, the consortium will collaborate with partners in industry, workforce agencies, higher education, and leading educational consultants to improve student achievement through innovative, hands-on learning and problem-based curriculum directly linked to high-demand careers. The CCC will renovate a centrally located vacated school and co-locate there with the regional STEM school to provide professional development for staff and year-rou</t>
  </si>
  <si>
    <t>Steubenville City</t>
  </si>
  <si>
    <t>Jefferson</t>
  </si>
  <si>
    <t>Melinda Young</t>
  </si>
  <si>
    <t>Steubenville City Schools</t>
  </si>
  <si>
    <t>1400 West Adams St.</t>
  </si>
  <si>
    <t>740-283-3767</t>
  </si>
  <si>
    <t>myoung@scsohio.org</t>
  </si>
  <si>
    <t>Scale up for Success will address two areas: development of highly skilled site coaches in Success for All Schools to further develop teacher expertise in the classroom, and implementation of a shared leadership model designed to create systems within each school that provide organized and consistent structures for addressing school goals, student needs, and building ownership for increase student achievement.</t>
  </si>
  <si>
    <t>Through this initiative nineteen (19) school districts will be able to diagnose reading deficiencies and achievement levels of 14,206 students in grades Kindergarten through three, create individualized reading improvement plans , monitoring of plans and provide intensive reading interventions with one log in. This will be accomplished by: 1. Expanding the number of highly qualified reading teachers. 300 teachers will obtain their Reading Endorsement from Franscian University. 2. Provide a comprehensive easy to use data system for diagnosing reading deficiencies and achievement with all of a students data in one place. 3. Provide Scholastic Reading Inventory(SRI) to students in grade K-3. SRI is a research-based, computer-adaptive reading assessment. 4. Provide a customized intervention curricula for all readers in addition to their daily reading instruction.</t>
  </si>
  <si>
    <t>Struthers City</t>
  </si>
  <si>
    <t>Mahoning</t>
  </si>
  <si>
    <t>Regional Transportation Mahoning County</t>
  </si>
  <si>
    <t>Joseph Nohra</t>
  </si>
  <si>
    <t>Struthers City School District</t>
  </si>
  <si>
    <t>99 Euclid Avenue, Struthers Ohio 44471</t>
  </si>
  <si>
    <t>330-750-1061</t>
  </si>
  <si>
    <t>joseph.nohra@strutherscityschools.org</t>
  </si>
  <si>
    <t>We, in Mahoning County, will create a regional school transportation system including but not limited to: maintenance, administration, routing, safety, purchasing, staffing, training, to save taxpayer dollars and increase efficiency. Struthers City Schools is well suited to administer this grant with experience in grants management. Struthers administers grants such as the federal Grant funds of 1.13 million annually Struthers City Schools on average manages 1.2 million dollars in grant funds annually. l Additionally, the relationship with the Poland Local School District, Lowellville Local School District, and Campbell City schools are well suited to partner and assist in the implementation and management of the grant goals. All participating districts in this consortia manage 3.5 million dollars of grant funds annually Regionalizing all aspects of school transportation that reduces each district's five-year forecast and drives more money to the classroom. In order to achieve this we propose the foll</t>
  </si>
  <si>
    <t>Sylvania City</t>
  </si>
  <si>
    <t>Literacy Comes Alive!</t>
  </si>
  <si>
    <t>Adam Fineske</t>
  </si>
  <si>
    <t>Sylvania City Schools</t>
  </si>
  <si>
    <t>4747 N. Holland Sylvania Rd., Sylvania, OH 43560</t>
  </si>
  <si>
    <t>419-824-8533</t>
  </si>
  <si>
    <t>afineske@sylvaniaschools.org</t>
  </si>
  <si>
    <t>The "Literacy Comes Alive!" Initiative will expand literacy instruction across the Sylvania Schools District to raise every student's reading achievement above regular Lexile growth and intervene with struggling readers. We will adopt digital curricula that unlocks new technology in personalized instruction to adapt reading lessons to student strengths and weaknesses while providing meaningful content for teachers of any discipline. Teachers will receive support and direction such that each one can foster personalized interactions with digital text that will result in 21st century critical readers.</t>
  </si>
  <si>
    <t>Tallmadge City</t>
  </si>
  <si>
    <t>Kurt Gwin</t>
  </si>
  <si>
    <t>Tallmadge City Schools</t>
  </si>
  <si>
    <t>486 East Ave, Tallmadge, Ohio 44278</t>
  </si>
  <si>
    <t>330-633-3291 x8005</t>
  </si>
  <si>
    <t>gwin.kurt@tallmadgeschools.org</t>
  </si>
  <si>
    <t>The objective of this proposal, Pioneering 21st Century Learning, is to create disruptively innovative pathways which enhance academic performance, boosting students' post-secondary ambitions and preparedness. Through the use of cost efficient, more convenient universal device access, this grant will aim to improve the utilization of information technology. By reducing the costs attributed to traditional learning platforms, the integration of technology will allow for diversified, seamless classroom instruction as well as cross-curricular teacher/student collaboration.</t>
  </si>
  <si>
    <t>Toledo City</t>
  </si>
  <si>
    <t>Jim Gault</t>
  </si>
  <si>
    <t>Toledo Public Schools</t>
  </si>
  <si>
    <t>420 E. Manhattan Blvd Toledo OH, 43608</t>
  </si>
  <si>
    <t>(419) 671-8224</t>
  </si>
  <si>
    <t>jgault@tps.org</t>
  </si>
  <si>
    <t>Toledo Public Schools (TPS) is seeking funding for a blended learning solution to help raise student achievement and to reduce spending over five years, henceforth referred to as the Distance Learning Pod Classroom (DLPC) concept. The DLPC concept will provide enhanced learning opportunities for students using video and content delivery technologies by leveraging our existing telepresence. The DLPC concept provides the synchronous/ asynchronous ability for teachers of advanced courses to reach more students outside the traditional classroom walls, both on and off campus, thereby increasing student enrollment in the advanced/college level courses and/or difficult to staff foreign languages.</t>
  </si>
  <si>
    <t>Wadsworth City</t>
  </si>
  <si>
    <t>Coaching Partners in Literacy</t>
  </si>
  <si>
    <t>Paula Canterbury</t>
  </si>
  <si>
    <t>Wadsworth City Schools</t>
  </si>
  <si>
    <t>524 Broad St., Wadsworth, Ohio 44281</t>
  </si>
  <si>
    <t>330-335-1315</t>
  </si>
  <si>
    <t>wadc_canterbury@wadsworthschools.org</t>
  </si>
  <si>
    <t>Creating a learning cooperative that will provide strong and sustaining literacy professional development for over 800 educators across four contiguous districts. The grant will allow us to build the capacity to sustain literacy coaching beyond the scope of the Straight A Grant monies and enrich the instruction of thousands of students.</t>
  </si>
  <si>
    <t>Junior Researchers</t>
  </si>
  <si>
    <t>Pepper Bates</t>
  </si>
  <si>
    <t>524 Broad Street</t>
  </si>
  <si>
    <t>330-335-1321</t>
  </si>
  <si>
    <t>wadc_bates@wadsworthschools.org</t>
  </si>
  <si>
    <t>You know, as an educator, you always DREAM... but there is never enough to support dreams. Students in third and fourth grades will be scheduled into science learning labs to dream and have experiences solving real world problems. Lessons created by teachers and a science coach, involving research through critical reading, manipulatives and a multidimensional perspectives, will require students to collaborate and come to consensus on solutions and building dreams.</t>
  </si>
  <si>
    <t>Kristen Prough</t>
  </si>
  <si>
    <t>524 Broad St. Wadsworth, OH 44281</t>
  </si>
  <si>
    <t>(330) 335-1319</t>
  </si>
  <si>
    <t>wadc_kprough@wadsworthschools.org</t>
  </si>
  <si>
    <t>Math is all around us on a daily basis. Students, especially those who struggle with math, often fail to see the real-world applications and why it's important to learn these skills.The purpose of this project is to develop and implement an innovative, research-based program to improve the performance of adolescent at-risk and students with disabilities in the area of mathematics. Implementation of this program will close the gap in performance of students in these two categories in comparison to their same-grade peers. Funds are being requested to purchase innovative curriculum and provide intensive professional development for Intervention Specialists and General Education teachers.</t>
  </si>
  <si>
    <t>Warrensville Heights City</t>
  </si>
  <si>
    <t>Marva K. Jones, Superintendent</t>
  </si>
  <si>
    <t>Warrensville Heights City Schools</t>
  </si>
  <si>
    <t>4500 Warrensville Center Road, Warrensville Heights, OH 44118</t>
  </si>
  <si>
    <t>216-865-4737</t>
  </si>
  <si>
    <t>marva.jones@whcsd.org</t>
  </si>
  <si>
    <t>Warrensville Heights City Schools, in partnership with Cleveland University College of Education and Human Services, the Center for Innovation in STEM Education (CISE) at the Great Lakes Science Center, McElwain Educational Consulting, LLC, and Scholastic, Inc. will implement a technology immersion project-based learning (PBL) program that prepares teachers and students for 1) significant academic improvement through 21st Century teaching and learning supported by the use of technology; 2) collaboration with other schools and districts for future large scale authentic PBL projects that address local issues with resource management and energy conservation; and, 3) reduced dependence on paper and traditional printed texts. In addition to a newly renovated outdoor learning space, greenhouse, and planetarium, students and teachers will have daily immediate internet access with Chromebooks and iPads in order to assess and track academic progress, to individualize instruction and to allow the students to</t>
  </si>
  <si>
    <t>Westerville City</t>
  </si>
  <si>
    <t>EDCITE: Evaluating Digital Content for Instructional and Teaching Excellence</t>
  </si>
  <si>
    <t>John Kellogg, Ed.D.</t>
  </si>
  <si>
    <t>Westerville City Schools</t>
  </si>
  <si>
    <t>936 Eastwind Drive, Westerville, OH 43081</t>
  </si>
  <si>
    <t>(614)797-5713</t>
  </si>
  <si>
    <t>kelloggj@wcsoh.org</t>
  </si>
  <si>
    <t>Led by Westerville City Schools, EDCITE is a consortium of five school districts in partnership with The Ohio State University that addresses the critical task of transitioning Ohio's school districts from print to digital curriculum in order to provide more customized, personalized learning opportunities to meet students' diverse instructional needs and positively impact student learning. The consortium will accomplish this by 1) deploying a statewide Digital Content Evaluation Portal to guide all Ohio districts in selecting the best, most cost-effective digital curriculum that will be available for at least five years following the Straight A Grant, 2) improving the effectiveness of selecting, purchasing and implementing digital curriculum in targeted subjects and grade levels through a shared services approach and 3) delivering a professional development (PD) program for teachers that focuses on content evaluation, instructional design and effective pedagogical practices using digital curriculum. The con</t>
  </si>
  <si>
    <t>Willoughby-Eastlake City</t>
  </si>
  <si>
    <t>Lake</t>
  </si>
  <si>
    <t>Gina Kevern</t>
  </si>
  <si>
    <t>Willoughby-Eastlake City School District</t>
  </si>
  <si>
    <t>37047 Ridge Road, Willoughby OH 44094</t>
  </si>
  <si>
    <t>440-975-3755</t>
  </si>
  <si>
    <t>gina.kevern@weschools.org</t>
  </si>
  <si>
    <t>The Connected Distance Learning Network 2.0 (CDLN) initiative will increase the number of high school students earning college credit in dual credit post-secondary classes in the consortium's seven high schools through the use of distance learning labs. Through real-time video conferencing technology, classes being taught on the University of Akron campus will be broadcast to all seven schools simultaneously, allowing for two-way interactive engagement between the professor, the college students and the high school students. The goal of the CDLN 2.0 is to increase the number of high school students earning college credit thereby improving student achievement, reduce spending on education, and allocate more resources to the high school classroom.</t>
  </si>
  <si>
    <t>The Willoughby-Eastlake School of Innovation will be the first platform school in Ohio that infuses STEM (science, technology, engineering and math) principles in grades 3-5 with a focus on a rigorous Design Focused Learning approach that leverages Ohio's commitment to robust STEM education, which to date has been limited to grades 6-12. The design of the school is centered around adoption of a new flexible learning space featuring project-based learning through a collaborative approach among staff and students utilizing technology for instruction and assessment. The goals of the project include improved student achievement through innovative instructional practices, spending reductions in the five-year forecast due to the closing of a building, and utilization of a greater share of resources in the classroom by serving as a showcase and training site for STEM and interdisciplinary project-based teaching in Lake County and for other districts statewide and nationally, as well as local higher education institu</t>
  </si>
  <si>
    <t>Wooster City</t>
  </si>
  <si>
    <t>Wayne</t>
  </si>
  <si>
    <t>Dr. Michael Tefs</t>
  </si>
  <si>
    <t>Wooster City Schools, Superintendent/CEO</t>
  </si>
  <si>
    <t>144 N. Market Street, Wooster, Ohio 44691</t>
  </si>
  <si>
    <t>330-988-1111</t>
  </si>
  <si>
    <t>wstr_mtefs@woostercityschools.org</t>
  </si>
  <si>
    <t>The Third Grade Reading Guarantee: GUARANTEED 10-week summer reading initiative will provide the extended programming needed to ensure that reading intervention and enrichment will occur during the summer months. Our priority is to eliminate the current 25% of students who are identified as "not on track" to meet the requirements of the third grade reading guarantee. Our project includes three partner agencies that will provide differentiated reading services to eliminate the 25% of students who are identified as "not on track" to meet the requirements of the third grade reading guarantee.</t>
  </si>
  <si>
    <t>Worthington City</t>
  </si>
  <si>
    <t>Jeff McCuen, Treasurer/CFO</t>
  </si>
  <si>
    <t>Worthington City School District</t>
  </si>
  <si>
    <t>200 E Wilson Bridge Road, Worthington Ohio 43085</t>
  </si>
  <si>
    <t>614.450.6127</t>
  </si>
  <si>
    <t>jmccuen@worthington.k12.oh.us</t>
  </si>
  <si>
    <t>The "Reduce Wasteful Watts" program will reduce energy and maintenance costs and drive increased budget dollars to the classrooms in the Reynoldsburg, Worthington and Waverly City School Districts. Energy audits and detailed engineering have identified permanent technology and efficiency improvements customized for each building. 35 school buildings will be positively impacted, reducing utility costs by $669,727 per year for the three districts combined.</t>
  </si>
  <si>
    <t>Zanesville City</t>
  </si>
  <si>
    <t>Steven Foreman</t>
  </si>
  <si>
    <t>Director of Title I and Special Programs</t>
  </si>
  <si>
    <t>160 North Fourth Street Zanesville, OH 43701</t>
  </si>
  <si>
    <t>740-588-5539</t>
  </si>
  <si>
    <t>foreman@zanesville.k12.oh.us</t>
  </si>
  <si>
    <t>We wish to achieve the goals of increased student achievement, utilization of a greater share of resources in the classroom, and a continued utilization of a greater share of classroom resources. Teachers will more efficiently collect and utilize data in lesson planning and execution by properly introducing 1:1 technology in the classroom. The rigor of the curriculum will be enhanced through higher order thinking skills, problem solving and group work as all students in grades 2-3 are issued an iPad. Collegial collaboration will be increased during common planning time of teacher-based teams (TBTs) as iPads will be used as a tool to collect formative data.</t>
  </si>
  <si>
    <t>Amherst Exempted Village</t>
  </si>
  <si>
    <t>Michael Molar</t>
  </si>
  <si>
    <t>Amherst Exempted Village School District</t>
  </si>
  <si>
    <t>185 Forest Street, Amherst, Ohio 44001</t>
  </si>
  <si>
    <t>440-988-4406</t>
  </si>
  <si>
    <t>mike_molnar@amherstk12.org</t>
  </si>
  <si>
    <t>Project eMITT will transform mathematical and technological learning and achievement by preparing all Kindergarten through sixth grade students in the Amherst Exempted Village School District for college and career readiness through the implementation of a rigorous mathematical curriculum with a technology based approach to personalized learning that allows anywhere, anytime learning for initial instruction, intervention, remediation, and enrichment. Through the use of state of the art technology, proven teaching and learning strategies, and individualized learning plans, our students will be engaged and challenged while achieving mastery of the Ohio Common Core Mathematical Standards and we will emit new light on our pedagogy with transformative professional development. Cutting edge technologies through iPads will immerse our teachers and students in high-level personalized instruction that supports each student's specific needs and interests, while engaging them in learning to accelerate the technological</t>
  </si>
  <si>
    <t>Michael Molnar</t>
  </si>
  <si>
    <t>Project eMIT LITE will transform mathematical and technological learning and achievement by preparing all Kindergarten through sixth grade students in the Amherst and Avon Lake Consortium for college and career readiness through the implementation of a rigorous mathematical curriculum with a technology based approach to personalized learning that allows anywhere, anytime learning for initial instruction, intervention, remediation, and enrichment. Through the use of state of the art technology, proven teaching and learning strategies, and individualized learning plans, our students will be engaged and challenged while achieving mastery of the Ohio Common Core Mathematical Standards and we will emit new light on our pedagogy with transformative professional development. Cutting edge technologies, including iPads and Chrome Books will immerse our teachers and students in high-level personalized instruction that supports each student's specific needs and interests, while engaging them in learning to accelerate th</t>
  </si>
  <si>
    <t>Barnesville Exempted Village</t>
  </si>
  <si>
    <t>Belmont</t>
  </si>
  <si>
    <t>Southeast Ohio Alternative Fuel Education Initiative</t>
  </si>
  <si>
    <t>Randy Lucas</t>
  </si>
  <si>
    <t>Barnesville Exempted Village School District</t>
  </si>
  <si>
    <t>210 West Church Street, Barnesville, OH 43713</t>
  </si>
  <si>
    <t>740-425-3615 ext. 3002</t>
  </si>
  <si>
    <t>barn_rl@omeresa.net</t>
  </si>
  <si>
    <t>The seven school districts in the Southeast Ohio Alternative Fuel Education Initiative are seeking funds to implement propane powered school buses and associated refueling infrastructure in an effort to improve school transportation efficiency by significantly reducing operating costs. Additionally, Belmont County schools are partnering Belmont College and Belmont-Harrison Career Center to use the purchase of these alternative fuel buses as the catalyst to create awareness, educate teachers and students, implement STEM curriculum, and develop a new 1 year certificate program relative to alternative fuels and the booming oil and gas industry in Southeastern Ohio.</t>
  </si>
  <si>
    <t>Chagrin Falls Exempted Village</t>
  </si>
  <si>
    <t>Rebecca Quinn</t>
  </si>
  <si>
    <t>Chagrin Falls Exempted Village Schools</t>
  </si>
  <si>
    <t>400 East Washington Ave.</t>
  </si>
  <si>
    <t>440-247-2432</t>
  </si>
  <si>
    <t>becky.quinn@chagrinschools.org</t>
  </si>
  <si>
    <t>The development of the Chagrin Institute for Innovation, Collaboration, and Entrepreneurship (I.C.E.) will be established on our existing Chagrin Falls 7-12 campus and will provide new curriculum, programming, and technological resources to foster student innovation and creative thinking, promote collaborative problem-solving, grow entrepreneurial skills, and provide real-world I.C.E-related experiences that will facilitate connections to other Northeastern Ohio students, post-secondary I.C.E.-related programs of study, and entrepreneurial support organizations within Ohio. This project will also provide our high-performing students at Chagrin Falls High School with increased access to Post-Secondary Enrollment Options Program (PSEOP) via the provision of on-campus Entrepreneurship coursework taught by a trained district teacher who maintains adjunct status at Hiram College (via Dual Enrollment), growing the number of students who will participate in PSEOP and minimizing our district expense through reimburs</t>
  </si>
  <si>
    <t>Project Ignite</t>
  </si>
  <si>
    <t>Mike Daugherty</t>
  </si>
  <si>
    <t>400 E Washington Ave</t>
  </si>
  <si>
    <t>Mike.Daugherty@chagrinschools.org</t>
  </si>
  <si>
    <t>Our innovative initiative seeks to achieve all three goals described in the grant application. Chagrin Falls Exempted Village Schools intends to use the allocated funds to expand upon our existing 1:1 computing project by upgrading the network infrastructure, increasing the number of students with a device, and adding online courses into our curriculum. Our model is research -based, financially sustainable, and educationally sound.</t>
  </si>
  <si>
    <t>Columbiana Exempted Village</t>
  </si>
  <si>
    <t>Jason Martin</t>
  </si>
  <si>
    <t>Columbiana Exempted Village School District</t>
  </si>
  <si>
    <t>700 Columbiana Waterford Road, Columbiana OH 44408</t>
  </si>
  <si>
    <t>330-482-3818</t>
  </si>
  <si>
    <t>jason.martin@columbianaschools.org</t>
  </si>
  <si>
    <t>This project is a collaborative resource sharing consortium between four school districts and their educational service center. The plan will increase student achievement and expand educational opportunities by utilizing technology in a blended learning environment. This plan will also provide students with a one-to-one computing environment paired with a dynamic personalized learning pathway, ensuring an individualized learning culture and growth.</t>
  </si>
  <si>
    <t>Fairport Harbor Exempted Village</t>
  </si>
  <si>
    <t>Jovette Hiltunen</t>
  </si>
  <si>
    <t>Fairport Harbor Exempted Village Schools</t>
  </si>
  <si>
    <t>329 Vine Street, Fairport Harbor, OH 44077</t>
  </si>
  <si>
    <t>(440) 251-1261</t>
  </si>
  <si>
    <t>jhiltunen@lakeesc.org</t>
  </si>
  <si>
    <t>Fairport Schools has been an Early College High School for the past three years with a very interesting twist - every student is an Early College High School student upon entering our schools. All of our teachers have been trained in project based learning, we teach AVID to our middle schoolers, and we are trying to do 21st Century work in a four story brick and mortar building. Turning a largely unused space on our third floor into a collaborative, creative, makerspace would give us a way to continuously improve our instruction and stretch our students' capacity to innovate and problem-solve.</t>
  </si>
  <si>
    <t>Granville Exempted Village</t>
  </si>
  <si>
    <t>Creating a Brighter Future through the Implementation of LED Lighting and Solar Energy</t>
  </si>
  <si>
    <t>Jeff Brown</t>
  </si>
  <si>
    <t>Granville Exempted Village Schools</t>
  </si>
  <si>
    <t>130 North Granger Street, PO Box 417, Granville, OH 43023 - 0417</t>
  </si>
  <si>
    <t>740.587.8110</t>
  </si>
  <si>
    <t>jrbrown@granvilleschools.org</t>
  </si>
  <si>
    <t>This grant will measurably improve the environmental literacy and learning outcomes of students in the Granville Exempted Village School District (GEVSD) through the implementation of cost-saving innovative technology and beneficial environmental studies curricular changes. The goal of this grant is to offset energy costs through the replacement of incandescent light bulbs with LED light bulbs and the installation solar panels to use the cost savings to enhance the classroom environment through curricular additions and the utilization of a greater share of resources, such as online textbooks and enhanced curricular teacher training. The curriculum will include environmental studies programs in each of the four schools in the district: ? Introductory topics including the role of the sun in energy production in the elementary school ? Building on the introductory knowledge and introducing earth systems and cycles in the intermediate and middle schools ? Utilizing the LED an</t>
  </si>
  <si>
    <t>Digital Efficiencies</t>
  </si>
  <si>
    <t>The Digital Efficiency Project will fundamentally change the way we do business in the classroom. In this project we plan to accomplish all three goals outlined in this grant. Our Digital Efficiency Project will increase overall classroom effectiveness essentially improving student achievement, reduce supply cost improving our 5 year forecast, and allow for a redirection of assets increasing resources in the classroom.</t>
  </si>
  <si>
    <t>Mechanicsburg Exempted Village</t>
  </si>
  <si>
    <t>Champaign</t>
  </si>
  <si>
    <t>Danielle Prohaska</t>
  </si>
  <si>
    <t>60 High Street</t>
  </si>
  <si>
    <t>prohaskad@mcburg.org</t>
  </si>
  <si>
    <t>By forming a collaborative partnership of the Mechanicsburg Exempted Village School District (MEVSD) library, the village of Mechanicsburg public library, and the Madison-Champaign Educational Service Center (MCESC), the goals are to increase the amount of related arts literacy based services provided to students in K-5, utilize the public library support for primary grades, allowing the district to extend additional literacy and technology services to students in grades 6-8, and repurposing two separate entities into a community based library system.</t>
  </si>
  <si>
    <t>9378342453 x1402</t>
  </si>
  <si>
    <t>To engage our students and increase academic achievement, Mechanicsburg Exempted Village School District desires to build a curriculum that is relevant to today's and tomorrow's job market. We intend to implement Zulama's project-based program that was developed with faculty at Carnegie Mellon University's Entertainment Technology Center to teach critical programming, art, and design skills. Our students will learn Collaboration, Adaptability, Initiative, Media Literacy, and Leadership so they are prepared to thrive in the new global digital workplace. The project expands upon STEM concepts to include Art in the STEAM academy for learning.</t>
  </si>
  <si>
    <t>Mentor Exempted Village</t>
  </si>
  <si>
    <t>Matt Miller</t>
  </si>
  <si>
    <t>Mentor Exempted Village School District</t>
  </si>
  <si>
    <t>6451 Center Street</t>
  </si>
  <si>
    <t>440-974-5221</t>
  </si>
  <si>
    <t>mmiller@mentorschools.org</t>
  </si>
  <si>
    <t>Beginning the 2015-16 school year, high school students in neighboring districts will have the opportunity to participate in a variety of blended and online instructional models. This will include blended learning, online learning, distance learning or the traditional model of instruction with one online course. Shared services with neighboring districts will include professional development, online elective courses and distance learning courses not currently offered.</t>
  </si>
  <si>
    <t>Ohio Blended Learning Network Early Literacy - Metro Districts</t>
  </si>
  <si>
    <t>Matthew Miller</t>
  </si>
  <si>
    <t>Mentor Public Schools</t>
  </si>
  <si>
    <t>6451 Center St., Mentor OH 44060</t>
  </si>
  <si>
    <t>440.974.5220</t>
  </si>
  <si>
    <t>The Ohio Blended Learning Network seeks to significantly improve student academic achievement, especially in reading proficiency by the third grade, by making fundamental shifts in teaching and learning to personalize education for each student. Those shifts will result in smarter use of technology through high-quality blended learning in the K-3 classrooms of 15,236 students across 43 buildings and five districts across the state, shepherded into place by Education Elements, one of the nation's leading providers of blended learning expertise, and a team of experienced partners. The consortium proposal also seeks to build capacity in Ohio and the will among others to make those same shifts in other schools and districts, sparking a movement in the state to personalize student learning through high-quality blended learning</t>
  </si>
  <si>
    <t>Ohio Blended Learning Network Early Literacy - Statewide</t>
  </si>
  <si>
    <t>6451 Center St. Mentor OH 440560</t>
  </si>
  <si>
    <t>The Ohio Blended Learning Network seeks to significantly improve student academic achievement, especially in reading proficiency by the third grade, by making fundamental shifts in teaching and learning to personalize education for each student. Those shifts will result in smarter use of technology through high-quality blended learning in the K-3 classrooms of 14,439 students across 37 buildings and 13 schools and districts across the state, shepherded into place by Education Elements, one of the nation's leading providers of blended learning expertise, and a team of experienced partners. The consortium proposal also seeks to build capacity in Ohio and the will among others to make those same shifts in other schools and districts, sparking a movement in the state to personalize student learning through high-quality blended learning.</t>
  </si>
  <si>
    <t>Ohio Blended Learning Network Middle School - Metro Districts</t>
  </si>
  <si>
    <t>Matthew J. Miller</t>
  </si>
  <si>
    <t>MMiller@mentorschools.org</t>
  </si>
  <si>
    <t>The Ohio Blended Learning Network seeks to significantly improve student academic achievement by making fundamental shifts in teaching and learning to personalize education for each student. Those shifts will result in smarter use of technology through high-quality blended learning in the grades 5-9 classrooms of 10,359 students across 28 buildings and seven districts and schools across the state, shepherded into place by Education Elements, one of the nation's leading providers of blended learning expertise, and a team of experienced partners. The consortium proposal also seeks to build capacity in Ohio and the will among others to make those same shifts in other schools and districts, sparking a movement in the state to personalize student learning through high-quality blended learning.</t>
  </si>
  <si>
    <t>Ohio Blended Learning Network Middle School - Statewide</t>
  </si>
  <si>
    <t>The Ohio Blended Learning Network seeks to significantly improve student academic achievement by making fundamental shifts in teaching and learning to personalize education for each student. Those shifts will result in smarter use of technology through high-quality blended learning in the grades 5-9 classrooms of 11,498 students across 35 buildings and 16 districts and schools across the state, shepherded into place by Education Elements, one of the nation's leading providers of blended learning expertise, and a team of experienced partners. The consortium proposal also seeks to build capacity in Ohio and the will among others to make those same shifts in other schools and districts, sparking a movement in the state to personalize student learning through high-quality blended learning.</t>
  </si>
  <si>
    <t>Milton-Union Exempted Village</t>
  </si>
  <si>
    <t>Miami</t>
  </si>
  <si>
    <t>Dr. Virginia Rammel</t>
  </si>
  <si>
    <t>Milton-Union Exempted Village Schools</t>
  </si>
  <si>
    <t>7610 Milton-Potsdam Rd, West Milton, OH 45383</t>
  </si>
  <si>
    <t>937-884-7910</t>
  </si>
  <si>
    <t>rammelv@milton-union.k12.oh.us</t>
  </si>
  <si>
    <t>Reading Expands All Children's Horizons (REACH) is a K-1 literacy initiative that will bolster reading achievement and help students become 21st century learners by engaging parents as their children's at-home learning partners. Through 1:1 devices and educational media, REACH will extend learning beyond the school day into homes and communities for anytime/anywhere learning. Teacher-guided and aligned to the common core, REACH's engaging, multimedia reading modules will motivate parents and excite children to practice reading through the REACH website and the free digital media library, PBS LearningMedia.</t>
  </si>
  <si>
    <t>Mount Gilead Exempted Village</t>
  </si>
  <si>
    <t>Morrow</t>
  </si>
  <si>
    <t>Beyond Boundaries</t>
  </si>
  <si>
    <t>Jeff Thompson</t>
  </si>
  <si>
    <t>Mount Gilead EVSD</t>
  </si>
  <si>
    <t>145 N. Cherry Street</t>
  </si>
  <si>
    <t>(419) 946-1646</t>
  </si>
  <si>
    <t>jeffthompson@mgschools.org</t>
  </si>
  <si>
    <t>Mount Gilead Exempted Village School District will implement a hybrid learning program in order to provide 1,300 students with the learning and technology tools to make them successful in their K-12 curriculum and beyond while reducing costs to the district. The hybrid program will increase student engagement and achievement, provide reliable access to technology, create a sustainable cost-saving solution, enable innovative professional development and become a center of excellence and example for other Ohio school districts.</t>
  </si>
  <si>
    <t>Rittman Exempted Village</t>
  </si>
  <si>
    <t>Brett Lanz OR Mark A. Dickerhoof</t>
  </si>
  <si>
    <t>Rittman Exempted Village School District / Orrville-Rittman-Southeast Compact</t>
  </si>
  <si>
    <t>100 Saurer Street, Rittman, OH</t>
  </si>
  <si>
    <t>330-927-7150</t>
  </si>
  <si>
    <t>ritt_lanz@tccsa.net OR roc_mardick@tccsa.net</t>
  </si>
  <si>
    <t>Four public school districts in Wayne County, Ohio, Rittman Exempted Village, Orrville City, Green Local, and Southeast Local, representing 5,181 students, will create an innovative shared services (ISS) agreement by combining fiscal services functions, under one Chief Financial Officer (Treasurer), to provide efficient, cost effective services through the creation of one "Business Process Management" model. The model will streamline fiscal operations procedures and routine processes in order to create economic efficiencies and ultimately provide funding for additional resources for educational programs in the four districts. The overall goals of the Business Process Management (BPM) model are: 1) align information, system and service quality of fiscal services between all four districts; 2)reduce replication of work; 3) strengthen the expertise and improve functional knowledge of staff to further develop them in their current role, or prepare them for a more advanced position; 4) eliminate paper pro</t>
  </si>
  <si>
    <t>Wellington Exempted Village</t>
  </si>
  <si>
    <t>Project Thrive</t>
  </si>
  <si>
    <t>John Nolan</t>
  </si>
  <si>
    <t>Superintendent, Wellington Exempted Village Schools</t>
  </si>
  <si>
    <t>201 S. Main Street, Wellington, OH 44090-1345</t>
  </si>
  <si>
    <t>440 647 7962</t>
  </si>
  <si>
    <t>jnolan@wellington.k12.oh.us</t>
  </si>
  <si>
    <t>The chief goals of Project Thrive, a professional development effort to change teaching practices and increase student learning, are 1) to give teachers deep knowledge of how to use formative assessments to increase student learning; 2) to train teachers across all subjects and grades to intentionally use formative assessment and with those results to design lessons that effectively increase student achievement and 3) through the use of formative assessments, to enable students to become active and successful learners, eager to not only survive, but thrive in their school experience.</t>
  </si>
  <si>
    <t>Windham Exempted Village</t>
  </si>
  <si>
    <t>Portage</t>
  </si>
  <si>
    <t>Gregg Isler</t>
  </si>
  <si>
    <t>9530 Bauer Ave. Windham, OH 44288</t>
  </si>
  <si>
    <t>(330)326-2711</t>
  </si>
  <si>
    <t>gisler@windham-schools.org</t>
  </si>
  <si>
    <t>Three small Ohio school districts will combine for the purpose of sharing resources, improving instruction, and reducing or limiting the financial burden to their residents while maintaining separate governance, local control, and their unique identity and character - school colors, mascot, traditions, etc.</t>
  </si>
  <si>
    <t>Allen East Local</t>
  </si>
  <si>
    <t>Mel Rentschler</t>
  </si>
  <si>
    <t>Allen East Local School District</t>
  </si>
  <si>
    <t>9105 Harding Highway Harrod, Ohio 45850</t>
  </si>
  <si>
    <t>(419) 648-3333 ext. 1001</t>
  </si>
  <si>
    <t>rentschlerm@ae.noacsc.org</t>
  </si>
  <si>
    <t>Allen East will exponentially expand the educational opportunities for the students of the district by holistically altering the educational delivery model. As it is now, students at Allen East are limited by the resources provided in a traditional, rural, brick and mortar school. Through technology and best practice teaching strategies, students' education will no longer be limited by space, time, environment, schedules and days.</t>
  </si>
  <si>
    <t>Bath Local</t>
  </si>
  <si>
    <t>Dale Lewellen</t>
  </si>
  <si>
    <t>Bath Local School District</t>
  </si>
  <si>
    <t>2650 Bible Rd., Lima, Ohio 45801</t>
  </si>
  <si>
    <t>419-221-0807</t>
  </si>
  <si>
    <t>lewellend@bathwildcats.org</t>
  </si>
  <si>
    <t>The Allen county consortium will create open source, interactive, adaptive, intelligent tutoring systems in a toolkit form for student/faculty use in grades 6-12 and the soon to be adopted legislation for the College Credit Plus initiative. Using such open source tools as Google Docs, Schoology, Web 2.0 apps, Chrome books, laptop computers, mobile devices, mobile apps, these courses and toolkit contents will focus on 21st century fluencies, internships, externships, mentoring opportunities, entrepreneurial skills and creative thinking that can then be re-purposed by other learning organization in Ohio. Ultimately, it is the goal of this initiative will help retain the human capital desperately needed to create those jobs of the 21st century many of which have not even been invented yet.</t>
  </si>
  <si>
    <t>Elida Local</t>
  </si>
  <si>
    <t>Jo Ellen Miller</t>
  </si>
  <si>
    <t>Elida Local Schools</t>
  </si>
  <si>
    <t>4380 Sunnydale Ave., Elida, Ohio 45807</t>
  </si>
  <si>
    <t>419-331-4155</t>
  </si>
  <si>
    <t>joellen@elida.k12.oh.us</t>
  </si>
  <si>
    <t>Transformation is the key to increasing the sustainability of our public schools by meeting the needs of our next generations of learners - providing them with OPPORTUNITY SCHOOLS that meet them where their needs/interests are and fulfill the transformative promises of technology and innovation. Elida Local Schools will transform through partnerships, innovation, and technology to provide: a) individualized interventions for struggling students, b) personalized student learning c) blended learning and online learning opportunities for traditional students, d) AP courses and other higher level courses not offered in the traditional model to allow the highest performing students to accelerate e) alternative options and an alternative school for disenfranchised students f) additional choices for home school students and virtual school students g) internships, externships, mentorships, service-learning, etc. This grant proposal provides the district with the seed money to set up the infrastructure</t>
  </si>
  <si>
    <t>Buckeye Local</t>
  </si>
  <si>
    <t>Joseph Spiccia</t>
  </si>
  <si>
    <t>Buckeye Local School District</t>
  </si>
  <si>
    <t>3436 Edgewood Drive, Ashtabula, Ohio 44004</t>
  </si>
  <si>
    <t>440-998-4411</t>
  </si>
  <si>
    <t>joe.spiccia@neomin.org</t>
  </si>
  <si>
    <t>The project reorganizes and restructures the Ledgemont Local School District and the Buckeye Local School District from a traditional K-12 program into a program based on students meeting and mastering the academic standards and serving the specific needs of its students. The project will restructure the K-8 program into a non-grade leveled configuration in which students matriculate through the curriculum at their own pace and engage in high-interest programs. The 9-12 program will be reconfigured into academies designed to meet the prepare students for advanced education and/or the workforce.</t>
  </si>
  <si>
    <t>Grand Valley Local</t>
  </si>
  <si>
    <t>21st Century Career and College Readiness Initiative</t>
  </si>
  <si>
    <t>Lucas Strohm</t>
  </si>
  <si>
    <t>Grand Valley High School</t>
  </si>
  <si>
    <t>111 Grand VAlley Ave.</t>
  </si>
  <si>
    <t>440-437-6260 Ext. 5112</t>
  </si>
  <si>
    <t>lucas.strohm@neomin.org</t>
  </si>
  <si>
    <t>Equipping each classroom at Grand Valley High School with its own lab of Chromebooks would provide close to 100% of the students at Grand Valley High School with the daily access to 21st century tools that ensure the students can learn, work, and live in a digital environment. Arming each classroom with a set of devices also ensures that the students utilize technological tools that promote and demand consistently advanced levels of higher order thinking processes thereby meeting, and exceeding, college and career readiness goals to make them productive citizens and lifelong learners in a digital world. These tools would allow Grand Valley to be a leader in the realm of showing and supporting student growth spanning the entire career for an individual student, which translates into an enormous amount of formative and self-assessments, in turn leading to career and college readiness, ability to operate in a digital world, and bringing equality to Grand Valley students by bridging the "digital divide."</t>
  </si>
  <si>
    <t>Getting the Conditions Right for Our Students' Futures</t>
  </si>
  <si>
    <t>William Nye</t>
  </si>
  <si>
    <t>Grand Valley Local Schools</t>
  </si>
  <si>
    <t>111 Grand Valley Ave. Orwell, Ohio 44076</t>
  </si>
  <si>
    <t>william.nye@neomin.org</t>
  </si>
  <si>
    <t>The Grand Valley Local School District is committed to ensuring our students are immersed in teaching and learning systems that are new and innovative especially with regard to mobile technology. Although staff have received extensive training in electronic pedagogy, only 1 in 4 of our classrooms are able to regularly integrate 1:1 technology into their instruction, with a small fraction of students having abundant access to 1:1 technology, because the current infrastructure cannot meet the demands of concurrent connected devices. Grant funds requested will be utilized to increase the current LAN capacity to a recommended 10GB backbone without which we would only be able to upgrade over multiple years leaving our district disjointed in its technological ventures.</t>
  </si>
  <si>
    <t>Dr. Ellen Winer</t>
  </si>
  <si>
    <t>Principal, Grand Valley Elementary School</t>
  </si>
  <si>
    <t>111 Grand Valley Ave. West, Suite B, Orwell, OH, 44076</t>
  </si>
  <si>
    <t>440-437-6260 ext. 1</t>
  </si>
  <si>
    <t>ellen.winer@neomin.org</t>
  </si>
  <si>
    <t>Current research into educational practices indicates that effectively incorporating technology into instruction and assessment will provide students with the skills and knowledge necessary to be competitive and productive in the 21st century. Through this grant, Grand Valley Elementary School will be able to provide electronic devices to students in grades kindergarten through third as well as professional development to their teachers in order to enhance student achievement and provide opportunities for students to be better prepared for their future.</t>
  </si>
  <si>
    <t>Pymatuning Valley Local</t>
  </si>
  <si>
    <t>Michael Candela</t>
  </si>
  <si>
    <t>Pymatuning Valley Local School District</t>
  </si>
  <si>
    <t>5571 State Route 6 West</t>
  </si>
  <si>
    <t>mike.candela@neomin.org</t>
  </si>
  <si>
    <t>We propose to replace 7th/8th grade study halls with math labs that will increase both the quantity and quality of the math instruction each student receives affording time for needed intervention, flipped classroom instruction and collaborative project-based activities. The historical trend of the average math achievement score for the 5th and 6th grades at PV Middle School has been well above the state average; last year alone the difference was 23 and 17 points higher than the state average in the 5th and 6th grade respectively despite 67% of the student body being economically disadvantaged. The 7th and 8th grade achievement scores historically trend closer to the state average where in those grades students receive one period or 40 minutes of math instruction per day compared to two periods or 80 minutes of instruction in the 5th and 6th grades.</t>
  </si>
  <si>
    <t>Mike Candela</t>
  </si>
  <si>
    <t>This grant request aims to achieve an increase in overall student achievement in grades K-12 , the utilization of a greater share of resources in the classroom and spending reductions in the five-year forecast by updating the technology infrastructure throughout the district by increasing band-width and wireless capacity. Our hope is to increase our technology infrastructure to allow teachers and students to efficiently access all appropriate web-based educational opportunities and to lay the groundwork for every student and teacher to access those opportunities simultaneously at any single point in time. In addition, we believe that there will be a cost savings to the district because we will not need to hire outside contractors as frequently to make patch work fixes to our computer network whose problems stem from an antiquated infrastructure.</t>
  </si>
  <si>
    <t>Alexander Local</t>
  </si>
  <si>
    <t>Athens</t>
  </si>
  <si>
    <t>Kara Raines</t>
  </si>
  <si>
    <t>Alexander Local School District</t>
  </si>
  <si>
    <t>6125 School Rd. Albany, OH 45710</t>
  </si>
  <si>
    <t>740-698-8831</t>
  </si>
  <si>
    <t>kraines@alexanderschools.org</t>
  </si>
  <si>
    <t>The Alexander Schools STEM Project will create a culture of innovation by helping young minds discover the wonder of Science, Technology, Engineering, and Math by engaging students at an earlier age to improve preparedness for college and career. We plan to engage students while inspiring their interest in STEM subjects through rigorous, hands-on learning and real-world problem solving through innovative and effective learning opportunities. Students will achieve higher scores in reading, mathematics, and science, and some cases, have the opportunity to receive college credit through this project.</t>
  </si>
  <si>
    <t>Western Brown Local</t>
  </si>
  <si>
    <t>Brown</t>
  </si>
  <si>
    <t>Roger, Taylor</t>
  </si>
  <si>
    <t>Director of Operations and Transportation</t>
  </si>
  <si>
    <t>524 West Main, Mt. Orab, Ohio 45154</t>
  </si>
  <si>
    <t>937-444-2044</t>
  </si>
  <si>
    <t>roger.taylor@wb.k12.oh.us</t>
  </si>
  <si>
    <t>The Western Brown Local School District (WB) is dedicated to increasing instructional technology to better meet our digital learners' needs and provide teachers more opportunities to integrate 21st century technology into their teaching. WB has embedded many cost saving initiatives across the district in order to protect the quality of education, for example; a reduction in energy consumption through a behavioral program by 26.61% over the past three years amounting to $536,970. This proposed grant project would allow the district to expand this energy program, reducing its energy consumption even further with modern and more efficient facilities. The installation of an Encelium Lighting Control System, interior light bulb retrofit and exterior LED lighting retrofit will result in substantially lower electric and maintenance bills and positively impact the five-year forecast allowing the district to create and permanently fund a technology budget that will give students and teachers access to the resources t</t>
  </si>
  <si>
    <t>Ripley-Union-Lewis-Huntington Local</t>
  </si>
  <si>
    <t>RULH: EXPANDING LEARNING FROM HERE TO THERE AND EVERYWHERE</t>
  </si>
  <si>
    <t>Linda Naylor</t>
  </si>
  <si>
    <t>Ripley Union Lewis Huntington School District</t>
  </si>
  <si>
    <t>502 S. Second Street Ripley, OH 45167</t>
  </si>
  <si>
    <t>(937) 392-4396</t>
  </si>
  <si>
    <t>linda.naylor@rulh.k12.oh.us</t>
  </si>
  <si>
    <t>Significant advancement in student achievement, a spending reduction in the five-year forecast, and a greater share of resources in the classroom are all goals of the RULH: "Expanding Learning from Here to There and Everywhere" Straight A Grant project. Funds will be used to design and create a state-of-the art 21st Century educational system that expands learning, study and collaboration between students and teachers beyond the classroom through access to cloud-based mobile technology. This grant will utilize technology to maximize the use of instructional, personnel and time resources to improve student achievement by increasing time on task and access to quality educational curriculum and tools.</t>
  </si>
  <si>
    <t>Butler County ESC</t>
  </si>
  <si>
    <t>Sharon Custer</t>
  </si>
  <si>
    <t>Butler County Educational Service Center</t>
  </si>
  <si>
    <t>400 N Erie Blvd, Hamilton OH 45011</t>
  </si>
  <si>
    <t>513-785-5177</t>
  </si>
  <si>
    <t>custers@bcesc.org</t>
  </si>
  <si>
    <t>Enhancing the curriculum options of local schools by building a county-wide Educational Technology Program promotes student engagement and retention which ultimately impacts academic achievement. Providing students access to cutting edge technology prepares them for tomorrow's jobs and highlights the potential for school districts to equip students with the necessary skills for success. Partnering with Miami University provides additional layers of professional development, evaluation, and research to develop best practice models and local expertise.</t>
  </si>
  <si>
    <t>Edgewood City</t>
  </si>
  <si>
    <t>Bob Buchheim</t>
  </si>
  <si>
    <t>Edgewood City School District</t>
  </si>
  <si>
    <t>3440 Busenbard Road Trenton Ohio 45067</t>
  </si>
  <si>
    <t>513-86304692 ext 1081</t>
  </si>
  <si>
    <t>bob.buchheim@edgewoodschools.net</t>
  </si>
  <si>
    <t>The Edgewood City School District seeks (with the aid of grant dollars) to create an exemplary blended learning community by addressing our ongoing challenges and by incorporating innovative practices/programs. While our technology infrastructure is robust and our amount of technology equipment is adequate for a traditional setting, our performance within the area of blended learning suffers from a lack of consistency in terms of implementation and a lack of vision as to how best meet the needs of our students. To that end, we seek the following: to procure Internet enabled devices in the amount that would allow for all core classrooms throughout the district to enact blended learning practices; to secure year-long professional development that is embedded into classroom practices; to implement progress monitoring programs that correlate with the district goals and to appropriate funds for the implementation of a high school course of study focused on the gaming/app creation model developed at Carnegi</t>
  </si>
  <si>
    <t>Ross Local</t>
  </si>
  <si>
    <t>Personalization Through Digital Age Teaching and Learning</t>
  </si>
  <si>
    <t>Greg Young</t>
  </si>
  <si>
    <t>Ross Local School District</t>
  </si>
  <si>
    <t>3371 Hamilton Cleves Rd. Hamilton, OH 45013</t>
  </si>
  <si>
    <t>513 863-1253 ext. 2901</t>
  </si>
  <si>
    <t>greg.young@rossrams.com</t>
  </si>
  <si>
    <t>Teaching and learning will be transformed through student utilization of digital resources and 1:1 digital devices to provide a more personalized learning experience. Formative assessments will be used by teachers to select resources and activities based on students' identified needs, thus allowing all students to meet or exceed grade level standards and become college and career ready.This proposal aims to achieve the Straight A Fund goals of student achievement and spending reductions in the five-year fiscal forecast.</t>
  </si>
  <si>
    <t>Talawanda City</t>
  </si>
  <si>
    <t>Joan Stidham</t>
  </si>
  <si>
    <t>Talawanda Schools</t>
  </si>
  <si>
    <t>131 W Chestnut Street Oxford, Ohio 45056</t>
  </si>
  <si>
    <t>513-273-3111</t>
  </si>
  <si>
    <t>stidhamj@talawanda.org</t>
  </si>
  <si>
    <t>The ITC-21 Plan is to support 21st Century Learning Skills with students in grades 3-11 by introducing devices to students in our district at an early age. We will instruct students to use the devices and systematically develop programming and curricular opportunities for our students that build upon one another from grade level to grade level. We will better support our students who qualify as students with disabilities and economically disadvantaged students by providing the devices at a younger age, leveling the playing field for them so they are gaining exposure to technology near the same time their typical peers are. This early intervention with these two demographic areas will support gains on the state assessments for these groups in the areas of math and science. Earlier access to technology and STEM related courses will support gains on the state assessments for 5-8th graders in Talawanda School District because they will have more experiences over time that will support growth each year. Talawan</t>
  </si>
  <si>
    <t>Tecumseh Local</t>
  </si>
  <si>
    <t>Russ Ostrowski</t>
  </si>
  <si>
    <t>Virtual Education Coordinator</t>
  </si>
  <si>
    <t>116 Middle St. Medway, Ohio 45341</t>
  </si>
  <si>
    <t>937-845-4475</t>
  </si>
  <si>
    <t>russ.ostrowski@tecumsehlsd.org</t>
  </si>
  <si>
    <t>This proposal directly impacts student achievement by preparing all 6 - 12 grade level students with the opportunity for 21st century career and college readiness through the development and implementation of individualized learning plans combined with proven teaching and learning strategies while using state of the art technologies for one-to-one education. Students will use groundbreaking computer software from Advanced Academics Incorporated and iPads to customize their individualized learning plans to meet their career and college goals, while meeting benchmark standards associated with the Ohio Graduation Test (O.G.T.), Ohio's New Learning Standards, and the Partnership for Assessment of Readiness for College and Careers (PARCC). This project allows all students with varying personal circumstances and diverse post high school goals to earn a rigorous, goal driven education while providing them on a daily basis with technological knowledge and experience that is paramount in today's 21st century workpla</t>
  </si>
  <si>
    <t>Brad Martin, Superintendent</t>
  </si>
  <si>
    <t>Tecumseh Local Schools</t>
  </si>
  <si>
    <t>9760 W. National Road, New Carlisle, Ohio 45344</t>
  </si>
  <si>
    <t>937-845-3576</t>
  </si>
  <si>
    <t>brad.martin@tecumsehlsd.org</t>
  </si>
  <si>
    <t>Tecumseh Middle School' s (TMS) professional technology learning community will develop the "eCubed (E3) Academy" -Tecumseh Middle School's Electronic Education Expedition for students, parents, and teachers. The Straight A opportunity will allow us to create an aligned, 21st century curriculum designed to educate and strengthen our community. The E3 Academy mission is to teach families and youth to make positive decisions, value education, commit to excellence, and acquire 21st century skills.</t>
  </si>
  <si>
    <t>Northeastern Local</t>
  </si>
  <si>
    <t>Dr. Lou Kramer</t>
  </si>
  <si>
    <t>Northeastern Local School District</t>
  </si>
  <si>
    <t>1414 Bowman Rd. Springfield OH</t>
  </si>
  <si>
    <t>937-325-7615</t>
  </si>
  <si>
    <t>loukramer@nelsd.org</t>
  </si>
  <si>
    <t>The Northeastern Local School District and the Clark Shawnee Local School District aspire to offer students in both districts advanced and better articulated opportunities to earn college credit during their high school careers. In partnership with Clark State Community College and Wright State University, the districts aim to embed coursework for the Ohio Transfer Module and in the future, all partners will evaluate options for several Associate Degree tracks in course offerings available to high school juniors and seniors. Grant funds will be used to support the establishment of a credentialing system for district teachers in order to meet requirements as adjunct professors, support work to build capacity beginning at the middle school level to better synchronize college and career readiness, and provide technology to students to support flexible and advanced studies.</t>
  </si>
  <si>
    <t>Northwestern Local</t>
  </si>
  <si>
    <t>Embracing New LearningScapes</t>
  </si>
  <si>
    <t>Sharon Saunders</t>
  </si>
  <si>
    <t>Northwestern Local School District</t>
  </si>
  <si>
    <t>5610 Troy Road</t>
  </si>
  <si>
    <t>937-964-1318</t>
  </si>
  <si>
    <t>saunders@northwestern.k12.oh.us</t>
  </si>
  <si>
    <t>This innovative project, "Embracing New Learningscapes" is a continuation of the school district's current math and science technology integration project. It uses a three pronged approach-1) investing in and embracing locally developing math and science instructional units, 2) embracing contemporary technologies, and 3) committing to project based teaching and learning. Grade 3-8 math and science teachers and students in Northwestern Local School district are the project participants.</t>
  </si>
  <si>
    <t>Clark-Shawnee Local</t>
  </si>
  <si>
    <t>Pam, Young</t>
  </si>
  <si>
    <t>Clark-Shawnee Local School District</t>
  </si>
  <si>
    <t>3640 East High Street Springfield, OH 45505</t>
  </si>
  <si>
    <t>937-328-5380</t>
  </si>
  <si>
    <t>Pam.Young@cslocal.org</t>
  </si>
  <si>
    <t>The project will accelerate student achievement by providing professional development in the form of the Japanese model of lesson study which will drive systemic and continuous improvement of lessons that will align with STEM type activities and Common Core curriculum for our middle school math classrooms. It will also provide wireless technology in the classroom designed to make learning more portable and self paced as we raise all students' achievement in mathematics by providing diagnostics, intervention strategies, alternative learning tasks, and authentic online assessments matched to Common Core initiatives. This technology will enable us to better utilize online tutorials that "flip the classroom" so that parents and students will be able to access content and strategies from home, before or after school, and students will have more time in the classroom for problem solving work.</t>
  </si>
  <si>
    <t>Bethel-Tate Local</t>
  </si>
  <si>
    <t>Clermont</t>
  </si>
  <si>
    <t>Melissa Kircher</t>
  </si>
  <si>
    <t>Bethel-Tate Local Schools</t>
  </si>
  <si>
    <t>3420 Ohio SR 125, Bethel, Ohio 45106</t>
  </si>
  <si>
    <t>513-734-2271</t>
  </si>
  <si>
    <t>kircher_m@betheltate.org</t>
  </si>
  <si>
    <t>Eighteen school districts, in seven different counties, have collaborated for this grant to address the need for developing necessary skills in fifth grade students such as problem solving, critical thinking and perseverance to insure readiness and build interests for STEM career pathways. The Building Leaders in STEM ("BLIS") grant sets the foundation for a STEM-centered classroom by increasing the teacher confidence and content knowledge as teams of teachers participate in intensive professional development, year-long mentoring and an on-line discussion community to build a network of teachers who will support one another as students engage in real-life math and science challenges. The promising STEM program at Hill Intermediate School that serves gifted students in three collaborating school districts will be replicated in participating districts as Teacher Teams implement STEM strategies and develop units that challenge both gifted and typical students in each district's newly created, high tech STEM C</t>
  </si>
  <si>
    <t>Goshen Local</t>
  </si>
  <si>
    <t>Tori Herrera</t>
  </si>
  <si>
    <t>Goshen Local Schools</t>
  </si>
  <si>
    <t>6694 Goshen Road Goshen Ohio 45122</t>
  </si>
  <si>
    <t>513-722-2222</t>
  </si>
  <si>
    <t>herrerat@goshenlocalschools.org</t>
  </si>
  <si>
    <t>The demands of Ohio's New Learning Standards require students to read informational text, produce informative writing and become skilled researchers; however, elementary school libraries are not optimized to support instruction in these areas. The current library model is outdated in light of the expectations for students to be on path for college and career readiness. Using technology as a delivery method in a 21st Century Literacy Center, teachers apply knowledge attained through extensive professional development in reading, writing, and research to increase student achievement in these areas.</t>
  </si>
  <si>
    <t>Columbiana County ESC</t>
  </si>
  <si>
    <t>Anna Marie Vaughn</t>
  </si>
  <si>
    <t>Columbiana County Educational Service Center</t>
  </si>
  <si>
    <t>38720 Saltwell Rd Lisbon, Ohio 44432</t>
  </si>
  <si>
    <t>(330) 424-9591</t>
  </si>
  <si>
    <t>avaughn@ccesc.k12.oh.us</t>
  </si>
  <si>
    <t>This E4 project, as guided by the study Benchmarking Ohio's School Districts by Ohio Smart Schools, will increase the efficiency and effectiveness of student transportation in this consortium of rural school districts utilizing an alternative fuel source, a shared transportation service model and the introduction of a new automotive technology certification at the Columbiana County Career and Technical Center. The solution will generate significant operational savings in a non-instructional area and provide fast fuel and time fill stations, compressed natural gas buses(CNG) and a shared transportation services department for partner districts. The proposal utilizes best practices in transportation to enhance services to all member districts, allows a variety of levels of service sharing in the area of student transportation operations and will allow for the return of more dollars to the classroom based on this solution .</t>
  </si>
  <si>
    <t>38720 Saltwell Rd., Lisbon, OH 44432</t>
  </si>
  <si>
    <t>330-424-9591</t>
  </si>
  <si>
    <t>Project Inspire is an innovative, effective model that will provide an increase in shared STEM resources and services, as well as raise student achievement in the classrooms of the Columbiana County Consortium K-12 schools through an emphasis on teaching and learning crucial 21st century skills: creativity and innovation; critical thinking and analysis; research; identifying and solving authentic problems; working together as a team to attain a common goal; communicating effectively orally and in writing (21st Century Skills).The network based innovative program, INVENTORcloud, (IC), in partnership with Youngstown State University STEM College (YSU), Kent State Salem Campus (KSU), Eastern Gateway Community College (EGCC), and businesses including AST2 , The Mahoning Valley Manufacturer's Coalition, and the Salem Regional Medical Center will expand STEM opportunities to 7,018 students in eight county districts, including the Columbiana County Career and Technical Center, providing students a learn anywhe</t>
  </si>
  <si>
    <t>Students Transitioning to Achieve Real Success (STARS)</t>
  </si>
  <si>
    <t>Cinthia Madej</t>
  </si>
  <si>
    <t>38720 Saltwell Rd</t>
  </si>
  <si>
    <t>cmadej@ccesc.k12.oh.us</t>
  </si>
  <si>
    <t>The STARS consortium will transform the postsecondary transition process for 1,018 Columbiana County students with disabilities (SWD) in grades 7 and higher by collaboratively preparing them for postsecondary education, employment and independent living. Multiple education and business partnerships, innovative transition tools and instruction/assistive technology, vocational evaluation centers, and restructured transportation will create opportunities for youths with disabilities to discover their talents and passions, access educational and employment options, and lead productive adult lives. STARS will connect every SWD grade 7 and up in member districts with college/career exploration and vocational assessment; develop interdependent relationships among districts, including functional vocational training for SWD; and expand partnerships with higher education and businesses to provide authentic work experience and instructional resources.</t>
  </si>
  <si>
    <t>United Local</t>
  </si>
  <si>
    <t>Steve Viscounte, Superintendent</t>
  </si>
  <si>
    <t>United Local School District</t>
  </si>
  <si>
    <t>8143 State Route 9, Hanoverton, OH 44423</t>
  </si>
  <si>
    <t>330-223-1521</t>
  </si>
  <si>
    <t>steve.viscounte@united.k12.oh.us</t>
  </si>
  <si>
    <t>The goal of this proposal is to remove the educational inequity that exists presently between students who have the internet at home and those who do not. United Local Schools has internet providers and partners who have agreed to work with us to ensure internet service would be available to 100% of our student population. Teachers must now make paper copies of homework for some students creating an unequal playing field academically, but still these students don't have access to the videos, interactive resources, and internet links to additional information.</t>
  </si>
  <si>
    <t>Wynford Local</t>
  </si>
  <si>
    <t>Crawford</t>
  </si>
  <si>
    <t>Steve Mohr</t>
  </si>
  <si>
    <t>Wynford Local Schools</t>
  </si>
  <si>
    <t>3288 Holmes Center Road, Bucyrus, Ohio 44820</t>
  </si>
  <si>
    <t>419-562-7828, Extension 206</t>
  </si>
  <si>
    <t>mohr.steve@wynford.k12.oh.us</t>
  </si>
  <si>
    <t>Through the use of innovative scheduling in grades 7-12, a commitment to substantive business partnerships with major employers within Crawford County, and by implementing a 1:1 laptop (or similar device) program, the Wynford Local Schools will create independent learners and improve employment opportunities for Wynford graduates. Implementation of this program will result in improved student achievement, spending reductions, the utilization of a greater share of resources in the classroom, and increased career opportunities for Wynford High School graduates.</t>
  </si>
  <si>
    <t>ESC of Cuyahoga County</t>
  </si>
  <si>
    <t>Jennifer Dodd</t>
  </si>
  <si>
    <t>6393 Oak Tree Blvd., Independence, OH 44131</t>
  </si>
  <si>
    <t>216-901-4240</t>
  </si>
  <si>
    <t>jennifer.dodd@esc-cc.org</t>
  </si>
  <si>
    <t>The Educational Service Center of Cuyahoga County (ESC-CC) leads a consortium of 13 public school districts, literacy experts, university faculty and researchers, myriad resource and service providers, families and caregivers, and community representatives in a holistic systemic response to the clear need to improve literacy in the K-3 student population, and particularly for a high percentage of at-risk students in our Northeast Ohio districts. This consortium proposes a shared services solution that responds to identified common needs and gaps in services, that uses traditional, virtual, blended and innovative methods, and that will result in greater efficiencies of time, human and material resources, instructional, technical, and financial resources and services, but most importantly, that will engage a broad motivated constituency to support crucial literacy achievement for the future success of all students.</t>
  </si>
  <si>
    <t>Data Driven Districts (D3)</t>
  </si>
  <si>
    <t>Jennifer Dodd, Ph.D.</t>
  </si>
  <si>
    <t>Jennifer.Dodd@esc-cc.org</t>
  </si>
  <si>
    <t>The "Data-Driven Districts" (D3) initiative will create opportunities for increased efficiency and organizational effectiveness through data-driven decision-making in district and Educational Service Centers (ESC) business operations. The technology, training and change management education will be delivered to grantees through a shared services model provided through The D3 Initiative. Using proven performance management techniques rooted in valid, actionable data, districts and ESCs can pursue projects - or shared services opportunities - that redistribute resources locked in unproductive business practices and shift those assets to the classroom.</t>
  </si>
  <si>
    <t>Orange City</t>
  </si>
  <si>
    <t>Dr. Edwin Holland</t>
  </si>
  <si>
    <t>Orange City Schools</t>
  </si>
  <si>
    <t>32000 Chagrin Boulevard, Pepper Pike, OH 44124</t>
  </si>
  <si>
    <t>216-831-8600</t>
  </si>
  <si>
    <t>eholland@orangecsd.org</t>
  </si>
  <si>
    <t>The Connected Collaboration Platform provides schools with a repository of resources (human, instructional, and technical) to enable student-centered learning that extends beyond the classroom to achieve all four of the Straight A Fund's goals. The Connected Collaboration Platform (CCP) combines online course offerings, next-generation telepresence technologies, and a high-touch teacher professional development strategy led by a team of professional educators that will coordinate differentiated strategies for each of the consortium school partners.</t>
  </si>
  <si>
    <t>Solon City</t>
  </si>
  <si>
    <t>Learning By Doing: Technology-Rich Performance-Based Science Instruction</t>
  </si>
  <si>
    <t>Debbie Siegel</t>
  </si>
  <si>
    <t>Solon City Schools</t>
  </si>
  <si>
    <t>33800 Inwood Rd., Solon OH 44139</t>
  </si>
  <si>
    <t>440-349-6205</t>
  </si>
  <si>
    <t>debbiesiegel@solonboe.org</t>
  </si>
  <si>
    <t>To enable all Ohio students to master the new science content standards and performance-based assessments, the Solon City Schools will develop technology-rich inquiry-based instructional modules and performance-based assessments in science. The modules will contain engaging learning activities that promote learner cooperation and collaborative problem solving with technology. The district will build and share publicly a web-based application that will enable teachers and students to assess and monitor progress on pre and post assessments to make real-time instructional decisions.</t>
  </si>
  <si>
    <t>Ayersville Local</t>
  </si>
  <si>
    <t>Developing STEM Opportunities through Clean Energy Initiatives</t>
  </si>
  <si>
    <t>Tod Hug</t>
  </si>
  <si>
    <t>Ayersville Local Schools</t>
  </si>
  <si>
    <t>28046 Watson Road Defiance, OH 43512</t>
  </si>
  <si>
    <t>419.395.1111</t>
  </si>
  <si>
    <t>thug@ayersvilleschools.org</t>
  </si>
  <si>
    <t>The solar field installation initiative will provide true savings to participating districts enabling them to redirect the funds that were saved through the the reduced energy costs into the classroom. The consortium consists of rural school districts who otherwise do not have the resources to accomplish such programming. Using the ongoing savings from the decrease in expenditures on electricity, the districts will provide their students with an operational solar energy lab with which to provide hands on, real-world STEM learning opportunities in solar energy science, exploration of the various applications of green energy and access to experience in related career opportunities in the solar energy field.</t>
  </si>
  <si>
    <t>Perkins Local</t>
  </si>
  <si>
    <t>James Gunner</t>
  </si>
  <si>
    <t>Perkins Local School District</t>
  </si>
  <si>
    <t>3714 Campbell Street, Suite B</t>
  </si>
  <si>
    <t>419-625-0484</t>
  </si>
  <si>
    <t>jgunner@perkinsschools.org</t>
  </si>
  <si>
    <t>The Erie County Consortium plus One (ECC+1) of schools (Perkins, Margaretta, Huron, Edison, and Napoleon) proposes to integrate a new internship program for undergraduate students in partnership with Bowling Green State University (BGSU). The ECC+1 consortium of schools proposes to share blended learning courses developed by Perkins as a first step to consortium wide development and sharing of blended learning secondary courses. These consortium developed blended learning courses will enrich the course content available to area high school students in a cost effective model. ECC+1 schools will share resources to prepare all schools to fully function in a one-to-one mobile environment focus on the use of electronic resources for instruction. The collaborative has the following goals: 1.) Provide opportunities for personalized instruction to ECC+1 secondary students utilizing cost effective internships. 2.) Increase the availability of a diverse set of blended learning courses to ECC+1 secondary students. 3.)</t>
  </si>
  <si>
    <t>Fairfield County ESC</t>
  </si>
  <si>
    <t>Dan Montgomery/Marie Ward</t>
  </si>
  <si>
    <t>955 Liberty Dr., Lancaster, OH 43130</t>
  </si>
  <si>
    <t>740.653-3193</t>
  </si>
  <si>
    <t>mward@fairfieldesc.org</t>
  </si>
  <si>
    <t>GROWING SOIL scales the innovative blend of STEM curriculum development, teacher professional development, and student field experiences, alongside the strategic development of STEM Outdoor Innovation Labs by growing the shared use of the resources and curriculum organically impacting OH student achievement across all content areas and workforce development. Building from the existing 9 SOILabs to 15 SOILabs and from 15 participating schools to 30 schools, GROWING SOIL will 1) expand and elevate the reach of SOIL to K-16, 2) engage community and industry partners, 3) increase the number of Transdisciplinary Problem-Based curricula modules (TPBL) and provide teachers with open access to these resources, 4) utilize existing resources developed in Straight A Fund I by partnering with other programs like Mobile Fab Labs. GROWING SOIL is a quick paced program that draws on the learned success of SOIL and the established processes for TPBL to create mechanisms and framework for growing and sustaining outdoor i</t>
  </si>
  <si>
    <t>Math Matters: Transforming Math Education for 21st Century Success.</t>
  </si>
  <si>
    <t>Marie Ward, Ph.D., Superintendent</t>
  </si>
  <si>
    <t>Fairfield County Educational Service Center</t>
  </si>
  <si>
    <t>955 Liberty Drive, Lancaster, Ohio 43130</t>
  </si>
  <si>
    <t>740-653-4053</t>
  </si>
  <si>
    <t>The Math Matters: Transforming Math Education for 21st Century Success consortium is comprised of 9 school districts in Fairfield (Lancaster City Schools, Liberty-Union Thurston Local Schools, Pickerington Local Schools, Walnut Township Local Schools) and Franklin (Columbus City Schools, Gahanna-Jefferson Local Schools, Hamilton Local Schools, Hilliard City Schools, and Worthington City Schools) Counties and will increase the capacity for more than 1250 teachers serving 27,556 students in 71 buildings as we transform the way math is currently being taught and learned in our classrooms through the implementation of ST Math, a critical blended learning tool designed to personalize math instruction for every child. Specifically, we will implement an innovative, evidence-based, blended learning math education program that is scalable, sustainable, and proven to be successful in increasing student math proficiency among all students regardless of language, cultural or socioeconomic background. With high quality pr</t>
  </si>
  <si>
    <t>Marie C. Ward, Ph.D., Superintendent (Effective August 1, 2014)</t>
  </si>
  <si>
    <t>Fairfield County Educational Service Center (046839)</t>
  </si>
  <si>
    <t>955 Liberty Drive, Lancaster Ohio, 43130</t>
  </si>
  <si>
    <t>(740)653-3193</t>
  </si>
  <si>
    <t>Project FAST Forward (Fairfield Advancing Students and Teaching) is a consortium led by Fairfield County ESC, in collaboration with all 8 county school districts (Amanda- Clearcreek Local, Berne-Union Local, Bloom-Carroll Local, Fairfield Union, Lancaster City, Liberty-Union Thurston Local, Pickerington Local, and Walnut Township Local Schools), Fairfield Co Board of Developmental Disabilities, Fairfield Career Center and Fairfield Co Juvenile Court and Best Buy as well as numerous community partners. Project FAST Forward is a network centric approach to transform the educational systems in Fairfield County through a shared services model that will provide multiple college and career pathways to student success while significantly reducing district costs, especially those related to serving county's most challenging students. Project FAST Forward will 1) Repurpose a closing school building as the Fairfield Co Student Success Center. The Success Center will provide a rigorous and relevant STEM education to 30</t>
  </si>
  <si>
    <t>Pickerington Local</t>
  </si>
  <si>
    <t>Blythe Wood</t>
  </si>
  <si>
    <t>Pickerington Local School District</t>
  </si>
  <si>
    <t>90 East Street Pickerington, Ohio 43147</t>
  </si>
  <si>
    <t>(614) 562-8047</t>
  </si>
  <si>
    <t>Blythe_wood@plsd.us</t>
  </si>
  <si>
    <t>The goal of this project is to increase student achievement in reading and spelling by providing multi-sensory language instruction training, using the evidenced-based Orton Gillingham methodology, to 20 teachers within grades K-12 in the Pickerington Local School District (PLSD) that will increase the ability of district staff to prevent, identify and provide services to struggling readers. The Orton Gillingham Approach is a systematic, structured, explicit, instructional approach which engages multisensory (visual-auditory-tactile kinesthetic) neural pathways for learning. The district will partner with The Children's Dyslexia Center, a not-for-profit Masonic Charity organization in Dublin, Ohio, to provide IMSLEC (International Multisensory Structured Language Education Council) accredited training to PLSD regular classroom, Response to Intervention, and special education teachers to improve overall classroom reading instruction and intervention services.</t>
  </si>
  <si>
    <t>Empowering Informed Innovation</t>
  </si>
  <si>
    <t>Brian Seymour</t>
  </si>
  <si>
    <t>90 N East Street, Pickerington, Ohio 43147</t>
  </si>
  <si>
    <t>614-920-6168</t>
  </si>
  <si>
    <t>brian_seymour@plsd.us</t>
  </si>
  <si>
    <t>In order to achieve sustained success for all of the students in the Pickerington Local School District, and prepare them for college and careers in the 21st century, a focused, integrated, innovative solution to improve instructional practice and student performance, facilitate data driven, personalized assessment and instruction, and improve instructional capacity is proposed by Empowering Informed Innovation. Through this initiative, the Pickerington Local School District will design and deploy district wide curriculum resources, formative and summative assessments, and professional development resources that will have a substantive and lasting impact on student performance and adult practices. Empowering Informed Innovation will facilitate cooperation and collegiality as all district schools work as one entity, with aligned and coherent actions that effectively use data to make intentional decisions about teaching and learning while leveraging resources to ensure each and every student is prepared to embr</t>
  </si>
  <si>
    <t>ESC of Central Ohio</t>
  </si>
  <si>
    <t>College Ready Ohio</t>
  </si>
  <si>
    <t>Tom Reed</t>
  </si>
  <si>
    <t>2080 Citygate Drive, Ohio 43219</t>
  </si>
  <si>
    <t>614.542.4210</t>
  </si>
  <si>
    <t>tom.reed@escco.org</t>
  </si>
  <si>
    <t>As the world shifts towards self-paced digital learning, Ohio leaders recognize today's students need at least a 2 or 4 year degree, certificate or badge to remain competitive in the marketplace. This economic reality demands a high expectation from our K-12 system; just graduating isn't enough. The Ohio Board of Regents defines College Credit Plus programs as those in which a student enrolls in college level coursework while in high school, allowing him or her to earn both high school and college credit, also known as dual enrollment programs. College Ready Ohio will expand high school student college readiness via mobile learning, open digital resources, and College Credit Plus opportunities through the creation of a statewide shared services model led by ESC of Central Ohio (ESSCO) in collaboration with Geauga Co ESC (GCESC) and 10 districts in 5 counties, The Ohio State University, and the Ohio STEM Learning Network (OSLN). College Ready Ohio will provide professional development, mobile learning technolo</t>
  </si>
  <si>
    <t>Rhonda Dickson</t>
  </si>
  <si>
    <t>Educational Service Center of Central Ohio</t>
  </si>
  <si>
    <t>2080 Citygate Dr. Columbus, OH 43219</t>
  </si>
  <si>
    <t>614.445.3750</t>
  </si>
  <si>
    <t>rhonda.dickson@escco.org</t>
  </si>
  <si>
    <t>To create a school based health care services center to maximize efficiencies in related service delivery and Medicaid reimbursement for districts and community schools in Central Ohio.</t>
  </si>
  <si>
    <t>Chris Downey, Grants Manager</t>
  </si>
  <si>
    <t>2080 Citygate Drive, Columbus Ohio 43219</t>
  </si>
  <si>
    <t>614-445-3750</t>
  </si>
  <si>
    <t>chris.downey@escco.org</t>
  </si>
  <si>
    <t>The Every Child Reads and Succeeds Model (ECRSM), using the Imagine Learning software system as a tool, will be implemented in 70 elementary schools across 12 urban, suburban, and rural school districts (i.e. Dublin City Schools, Hilliard City Schools, South-Western City Schools, Jonathan Alder Local, Gahanna-Jefferson Local, Miami Valley Academies, Reynoldsburg City Schools, Athens City Schools, Pickerington, Lancaster, Licking Heights Local Schools, and the Fairfield County ESC) engaging a total of 5,391 struggling readers (including ELL students), and 688 teachers. The goal of this early-learning literacy and language initiative is to transform classroom instruction by addressing the challenges facing K-3 struggling readers, including English language learners, and their teachers with an innovative solution that will transform student, teacher and family/community engagement and behavior. The enduring value and impact of this initiative will: a) accelerate learning through strategically targeted, persona</t>
  </si>
  <si>
    <t>Jan Rogers</t>
  </si>
  <si>
    <t>ESC of Central Ohio - Ohio Center for Autism and Low Incidence</t>
  </si>
  <si>
    <t>470 Glenmont Ave. Columbus, OH 43214</t>
  </si>
  <si>
    <t>jan_rogers@ocali.org</t>
  </si>
  <si>
    <t>The Ohio Center for Autism and Low Incidence (OCALI) has developed Assistive Technology Internet Modules (ATIM; www.atinternetmodules.org) in order to deliver a cost effective and efficient method for educators and others to learn about assistive technology (AT) supports and services. These supports are a requirement of the federal Individuals with Disabilities Education Improvement Act (IDEA, 2004). Over the course of the grant year, OCALI, in partnership with the editor and select authors of the Wisconsin Assistive Technology Initiative's (WATI) Assessing Student Needs for Assistive Technology manual (ASNAT; www.wati.org/?pageLoad=content/supports/free/index.php), will expand upon OCALI's existing eight modules, and create an additional 38 more. The writing team will work with OCALI staff to update and convert the content provided in the WATI manual to a format consistent with the current modules.</t>
  </si>
  <si>
    <t>Thomas Reed</t>
  </si>
  <si>
    <t>2080 Citygate Drive, Columbus, OH 43219</t>
  </si>
  <si>
    <t>614.542.4120</t>
  </si>
  <si>
    <t>The Central Ohio Compact - education's response to our region's skills gap - has spawned unprecedented collaborative efforts among school districts, higher education and industry to meet an ambitious goal to double the number of adults who have postsecondary degrees or certificates by advancing high school students' acquisition of marketable credentials and progress toward college degrees in four critical industry sectors. The momentum has unveiled 3 challenges: 1) Employers need a broker to coordinate myriad requests for involvement from schools, higher education, industry leaders and community organizations; 2) K12 schools need better tools for matching students with educational opportunities that will help them master gateway courses and qualify for postsecondary opportunities now available to them in high school; and 3) The Compact consortium needs to mesh available data from disparate sources in K12, higher education and industry in order to strategically deploy available public and private resource</t>
  </si>
  <si>
    <t>Canal Winchester Local</t>
  </si>
  <si>
    <t>James Sotlar</t>
  </si>
  <si>
    <t>100 Washington Street, Canal Winchester, Ohio 43110</t>
  </si>
  <si>
    <t>614-837-4533</t>
  </si>
  <si>
    <t>jsotlar@cwls.us</t>
  </si>
  <si>
    <t>Canal Winchester Local School District is partnering with EnvisionEdPlus, Instructional Design Innovations and the ESC of Central Ohio (ESCCO) to increase student achievement by teaching all students to think and innovate and to more effectively utilize space, systems and technology to improve engagement and learning. As elementary teachers learn to shift instructional pedagogy from teacher directed to technology enriched, project based learning (PBL) and utilize the newly created Innovative Learning Zones in both elementary schools they will a) engage all students in learning and b) reduce operational costs. Canal Winchester's Innovative Learning Zones project is the first step in the district's overall plan to re-envision teaching and learning by providing engaging and innovative learning environments for all children in all grades K-12. Guided by EnvisionEdPlus' Four Tenets for Re-envisioning Education, a Core Innovation Team will learn to design/implement and assess technology rich, trans</t>
  </si>
  <si>
    <t>Hamilton Local</t>
  </si>
  <si>
    <t>Susan Witten</t>
  </si>
  <si>
    <t>Hamilton Local School District</t>
  </si>
  <si>
    <t>775 Rathmell Road, Columbus OH 43207</t>
  </si>
  <si>
    <t>614-491-8044 x 1209</t>
  </si>
  <si>
    <t>switten@hamilton-local.k12.oh.us</t>
  </si>
  <si>
    <t>Responding to the urgent need for arts assessments and the lack of high-quality vendor assessments available, an arts assessment consortium consisting of three school districts (rural - West Muskingum, suburban - Hamilton Local, urban - Cincinnati Public), three non-profit organizations (Battelle for Kids, Dublin Arts Council, and Ohio Alliance for Arts Education) and one university (The Ohio State University), will create a suite of assessments to measure student growth and achievement for K-12 dance, drama/theatre, music, and visual arts courses. Training sessions, including all materials, will be developed and delivered to prepare teachers in arts assessment literacy and to provide guided work-time to create standards-aligned assessments that will be field-tested for validity, reliability, and ease of implementation. The resulting assessments and training will be shared via the web to other Ohio districts and will fill a void in the availability of high quality arts assessments that are essential to monito</t>
  </si>
  <si>
    <t>Hilliard City</t>
  </si>
  <si>
    <t>Nathan Bobek</t>
  </si>
  <si>
    <t>Hilliard Davidson High School</t>
  </si>
  <si>
    <t>5100 Davidson Rd, Hilliard, OH 43026</t>
  </si>
  <si>
    <t>614-921-7208</t>
  </si>
  <si>
    <t>nathan_bobek@hboe.org</t>
  </si>
  <si>
    <t>Our Freshman Focus Program is a transition program that helps our incoming eighth graders make a smooth transition into high school. Our program starts the week prior to school actually starting. We bring our freshman in for 3days from 8am-1pm and do a multitude of activities. Day 1 includes a Motivational Speaker; A Meet the Principals Q&amp;A Session, Team Building Activities and Handbook Highlight/Online Safety Session . On Day 2, our students receive their Student ID's, Books and lockers. Also included in day 2 is a pizza lunch where the students get a chance to walk through the food lines and checkout lines so they are knowledgeable about how to navigate the cafeteria on the first day of school. Day 3 our students get to walk their schedules and the day concludes with a massive pep rally that ends with the students receiving a blue class shirt that signifies their entry into the freshman class and part of the Hilliard Davidson Family. Along with transitioning our eighth graders into high school, a piece that</t>
  </si>
  <si>
    <t>Dublin City</t>
  </si>
  <si>
    <t>Kimberly Clavin</t>
  </si>
  <si>
    <t>Dublin City Schools</t>
  </si>
  <si>
    <t>7030 Coffman Rd., Dublin, Ohio 43016</t>
  </si>
  <si>
    <t>614-760-7385</t>
  </si>
  <si>
    <t>clavin_kimberly@dublinschools.net</t>
  </si>
  <si>
    <t>K to Industry is an innovative comprehensive approach to workforce development that encompasses exploration of career fields, engagement with experts and industry immersion. The overarching goal of K to Industry is to populate the workforce with employees rich in contextual, technical and career skills. This goal will be achieved through the following objectives: 1) Design collaborative workforce-focused problem based learning opportunities for student, teacher and working professionals in a safe user environment; 2) Establish opportunities for students to be immersed in work-based learning, youth internship and industry mentorship; 3) Create and implement teacher and student resources including online professional development, industry mentors, design challenges and a disciplinary literacy content library (i.e. Community Connect Portal); 4) Build in efficiencies to the program and organizational structure that promote maximum output with minimum staff time; and 5) Develop an Information Technology Path</t>
  </si>
  <si>
    <t>Todd F. Hoadley</t>
  </si>
  <si>
    <t>Dublin City Schools, IRN 047027</t>
  </si>
  <si>
    <t>(614) 760-4353</t>
  </si>
  <si>
    <t>hoadley_todd@dublinschools.net</t>
  </si>
  <si>
    <t>Every Public School has a responsibility to allocate the majority of its limited financial resources to its core function; academics, in order to maximize the return on investment taxpayers have made in our schools and our students. However, operational needs, such as food service, transportation, custodial maintenance, utility costs, technology also demand a share of the operating budget and pull limited financial resources away from funding academic programming. With this grant, Dublin City Schools, in partnership with The Ohio State University, will implement a proven and sustainable cost reduction methodology, known as Lean Six Sigma, to train employees to reduce costs in non-core operational functions, and thus prevent financial resources from being drained from the District's academic programming.</t>
  </si>
  <si>
    <t>Fayette Local</t>
  </si>
  <si>
    <t>Fulton</t>
  </si>
  <si>
    <t>Energizing Student Opportunities in Rural Schools</t>
  </si>
  <si>
    <t>Erik Belcher</t>
  </si>
  <si>
    <t>Fayette Local Schools</t>
  </si>
  <si>
    <t>400 E. Gamble Road Fayette, OH 43521</t>
  </si>
  <si>
    <t>419.237.2573</t>
  </si>
  <si>
    <t>ebelcher@fayettesch.org</t>
  </si>
  <si>
    <t>This proposal will accelerate student achievement by overcoming the rural opportunity gap by a) increasing access to dual enrollment; b) by increasing student postsecondary aspiration and preparedness; c) increasing student safety to allow post-secondary and career explorations; d) preparing students for careers through work study programs connected to manufacturing; e) creating a STEM instructional model and f) partnering with a local college. Operational spending reduction will provide more resources in the classroom.</t>
  </si>
  <si>
    <t>Pettisville Local</t>
  </si>
  <si>
    <t>Jason Waldvogel</t>
  </si>
  <si>
    <t>Pettisville Schools</t>
  </si>
  <si>
    <t>232 Summit St.</t>
  </si>
  <si>
    <t>jwaldvogel@pettisvilleschools.org</t>
  </si>
  <si>
    <t>Our project seeks to advance student engagement, learning opportunities, industry responsiveness and supportive infrastructure through STEM initiatives. Our project is using a four prong system of professional development, Inquiry Based Learning, educational camps and connections to industry and community.</t>
  </si>
  <si>
    <t>Geauga County Educational Service Center</t>
  </si>
  <si>
    <t>Geauga</t>
  </si>
  <si>
    <t>Suzanne Allen</t>
  </si>
  <si>
    <t>Geauga Co ESC</t>
  </si>
  <si>
    <t>470 Center St., Bld2 Chardon OH 44024</t>
  </si>
  <si>
    <t>suzanne.allen@geaugaesc.org</t>
  </si>
  <si>
    <t>Geauga Co Educational Service Center and Ohio STEM Learning Network are leading the Geauga Co Innovation and Career Readiness Consortium to reduce district operating costs while building regional capacity to expand the use of STEM pedagogy and integrated career development (grades 7-12) at Ledgemont LSD, Berkshire LSD, Cardinal LSD, Kenston LSD and Auburn Career Center. The Consortium will: a). create a shared service, STEM focused, high school (Geauga Innovation Academy) on Auburn Career Center campus that will offer students extensive early college and career training/ mentoring through Auburn, Lakeland Community College, Kent State University - Geauga and Geauga Growth Partnership; b) establish satellite classrooms in each middle and high school where teachers use technology solutions to partner with Academy teachers increasing student access to deeper learning, college/career pathways, career tech programs and college coursework; c) test and bring to scale innovative practices in PK-12 education incr</t>
  </si>
  <si>
    <t>Berkshire Local</t>
  </si>
  <si>
    <t>Beth A. McCaffrey</t>
  </si>
  <si>
    <t>Berkshire Local Schools</t>
  </si>
  <si>
    <t>P.O. Box 364, Burton, Ohio 44021</t>
  </si>
  <si>
    <t>(440) 834-3380 x 2107</t>
  </si>
  <si>
    <t>beth.mccaffrey@berkshireschools.org</t>
  </si>
  <si>
    <t>This grant will assist Berkshire Local Schools and Newbury Local Schools in consolidation efforts to become one school district for the 2015/2016 School Year. This grant will provide for certain costs that will prove cost prohibitive in the effort to combine the two districts. Districts in Ohio have not consolidated since 1988 and in order to save funding, provide additional resources for students both academically and athletically and move towards an optimal school size our districts are working in a pro-active manner to improve educational opportunities for the students in our area. Students in smaller rural schools with dwindling student population are not afforded educational choices due to limited funding for teachers, lack of sports teams and the ability to offer a continuum of services for students with special needs on their home campus. Small rural districts have a very limited source of financial resources and thus the strain is shown not only in what the school can offer but what they have to cont</t>
  </si>
  <si>
    <t>Berkshire STEM School</t>
  </si>
  <si>
    <t>Dawn Neilsen</t>
  </si>
  <si>
    <t>(440) 834-3380 Ext 2108</t>
  </si>
  <si>
    <t>dawn.neilson@berkshireschools.org</t>
  </si>
  <si>
    <t>To implement the goals of increased student achievement, spending reductions in the five-year fiscal forecast, and utilization of a greater share of resources in the classroom, a partnership has been formed with Berkshire Local School District stakeholders, the Great Lakes Science Center, Geauga Growth Partnership, OHIO Stem, INFO Ohio and TIES will work collaboratively with students and parents from Kindergarten through 12th grade, developing and applying aptitude and knowledge to real-world conditions, making children college and career ready. The entire district will implement project based learning in all content areas and a school within a school model will be developed starting with 7th grade and eventually having a 7-12th grade model.</t>
  </si>
  <si>
    <t>Kenston Local</t>
  </si>
  <si>
    <t>Robert A. Lee, Ph.D.</t>
  </si>
  <si>
    <t>Kenston Local Schools</t>
  </si>
  <si>
    <t>17419 Snyder Road; Chagrin Falls, OH 44023</t>
  </si>
  <si>
    <t>440-543-9677</t>
  </si>
  <si>
    <t>bob.lee@kenstonapps.org</t>
  </si>
  <si>
    <t>This proposal describes a unique approach to fiscal reductions to afford the Kenston Local School District the opportunity to upgrade campus technology infrastructure. The installation of a wind turbine will create a sustainable cost savings and allow this innovative funding resource to be redirected to students and further enhance the way learning happens at Kenston.</t>
  </si>
  <si>
    <t>West Geauga Local</t>
  </si>
  <si>
    <t>Geoff Palmer</t>
  </si>
  <si>
    <t>8165 Cedar Road, Chesterland, OH 44026</t>
  </si>
  <si>
    <t>440-729-6810</t>
  </si>
  <si>
    <t>geoff.palmer@westg.org</t>
  </si>
  <si>
    <t>The "West G Cooperative ThinkTank Project" will foster curricular differentiation and project-based learning to support the needs of every student. ThinkTank responds to our statewide report card data weaknesses while pushing our District forward in our current District wide 1:1 technology implementation plan. This Project stands to create a "disruptive innovation" within our Public School District by ascribing funding to instrumental instructional change to impart immediate innovation in our classrooms.</t>
  </si>
  <si>
    <t>Beavercreek City</t>
  </si>
  <si>
    <t>Susan Hayward, Ph.D.</t>
  </si>
  <si>
    <t>Beavercreek City Schools</t>
  </si>
  <si>
    <t>3040 Kemp Road; Beavercreek, Ohio 45431</t>
  </si>
  <si>
    <t>937-458-2417</t>
  </si>
  <si>
    <t>Susan.Hayward@Beavercreek.k12.oh.us</t>
  </si>
  <si>
    <t>Our goal is to be at the forefront of a 21st century movement to shift our educational paradigms to the rapidly changing global educational environment and simultaneously offer the experience of a sound educational tradition that stands the test of time. This plan focuses on 21st century readiness for every high school student and aims to establish and maintain student-centered 21st century learning environments that nurture critical thinking, problem solving, communication, collaboration, creativity, research, mentorships, and innovation because Ohioans are competing in a global economy that demands innovation. Our experiential approach to learning will develop these capabilities by preparing students for their choice of post-secondary pursuits through the establishment of four Schools of Learning (Schools of Arts &amp; Humanities; School of Business &amp; Information Systems; School of Engineering, Industrial &amp; Manufacturing Technologies; and School of Health, Human &amp; Public Services) within the context of applied</t>
  </si>
  <si>
    <t>Students now live in a technology and media-rich environment marked by access to an abundance of information, rapid changes in technology tools, and the ability to collaborate and make individual contributions on an unprecedented scale. This grant will fundamentally re-envision the traditional high school library / Instructional Media Center and uniquely address the needs of 21st century students. The creation of a state-of-the-art research library will enable our students and community to connect to a global body of knowledge through print and digital resources within flexible workspaces.</t>
  </si>
  <si>
    <t>3040 Kemp Road; BEavercreek, Ohio 45431</t>
  </si>
  <si>
    <t>(937) 458-2417</t>
  </si>
  <si>
    <t>According to The Partnership for 21st Century Skills, the central economic competiveness issue is to create an aligned, 21st century educational system that prepares students to triumph in the global skills race. A focus on innovation, creativity, critical thinking, problem solving, communication, and collaboration is essential to prepare students for the future. Design Thinking can help us imagine new possibilities for learning that will change the lives of both teachers and students in powerful ways as we confront the challenges and possibilities of teaching and learning in the 21st century; focusing on need-finding, challenging assumptions, generating a range of possibilities, and learning through targeted stages of iterative prototyping.</t>
  </si>
  <si>
    <t>3040 Kemp Road</t>
  </si>
  <si>
    <t>Our vision is to be a bright star in the high-tech corridor by ensuring that our teaching and learning methodologies will harness the power of modern and emerging technologies, offering our students individualized learning opportunities through research-based applications, and partnership-based experiences in businesses throughout the community. In order to prepare our high school students for their choice of post-secondary pursuits, it is critical that we provide a strong curriculum that incorporates advanced technology tools, advancing student growth. Through the use of advanced computing and telecommunications technology, the process of learning will become significantly richer as students have access to new and different types of information, manipulate it digitally in ways never before possible, such as through digital portfolios, multi-media projects, video journals, interactive media, and animated graphics, and can communicate with their teachers, students across campus, or students around the world.</t>
  </si>
  <si>
    <t>3040 Kemp Road; Beavercreek, Ohio 45432</t>
  </si>
  <si>
    <t>Designed with input from educational leaders at some of the country's most notable universities and public and private schools across the world, this grant will fundamentally re-envision the traditional high school science experience and uniquely address the needs of 21st century students. The creation of five state-of-the-art scientific research laboratories will offer rigorous, in-depth scientific studies coupled with experiential inquiry explorations, where students will combine theory and practice in differentiated scientific research opportunities, applying 21st century learning skills, including content area expertise, critical and creative thinking, collaboration, problem solving, research, scientific writing, and mathematical applications. Through use of the scientific research laboratories, students will hone science skills, increase conceptual science knowledge, improve cognitive abilities, deepen their understanding of the nature of science, and develop scientific behaviors.</t>
  </si>
  <si>
    <t>Cedar Cliff Local</t>
  </si>
  <si>
    <t>Chad Mason</t>
  </si>
  <si>
    <t>Cedar Cliff Local School District</t>
  </si>
  <si>
    <t>248 North Main Street Cedarville, OH 45314</t>
  </si>
  <si>
    <t>937-766-6000</t>
  </si>
  <si>
    <t>cmason@ccliff.org</t>
  </si>
  <si>
    <t>The Cedar Cliff Local School District seeks 'Straight A' funding for the on-going implementation and adaptation of its TRAD21 initiative. By receiving merely $338.00 per student ($113,455 total), this program seeks to prepare students for 21st century learning through its utilization of technology and innovative teaching practices. Further, by choosing to address all 3 Straight-A goal areas by allocating a greater share of technological resources in the classroom, district costs should be reduced while simultaneously increasing student engagement, thereby increasing student achievement.</t>
  </si>
  <si>
    <t>Rolling Hills Local</t>
  </si>
  <si>
    <t>E6-Enhancing Early Education by Engaging, Empowering, and Equipping Students, Parents, and Teachers</t>
  </si>
  <si>
    <t>Deborah Ames</t>
  </si>
  <si>
    <t>Rolling Hills Local Schools</t>
  </si>
  <si>
    <t>60851 Southgate Road</t>
  </si>
  <si>
    <t>debbie.ames@rollinghills.k12.oh.us</t>
  </si>
  <si>
    <t>With E6- ENHANCING EARLY EDUCATION BY ENGAGING, EMPOWERING, AND EQUIPPING STUDENTS, PARENTS, AND TEACHERS, the Rolling Hills Local School District, Noble Local School District, East Guernsey Local School District, and Foxfire Schools have two solutions to increase literacy as we meet the literacy needs of students who are not on track in grades K-2 : 1. restructuring our literacy classrooms by training our primary teachers in researched-based centers, which provide a more personalized and blended learning environment and 2. developing an innovative kindergarten program that will educate both parents and students to improve literacy . Targeted instruction, which will include enrichment activities as well as interventions, will occur in our K-2 classrooms and provide our students with a solid literacy foundation actively engaging all of our students with the 21st century literacy skills they need to become better readers to meet the 3rd grade reading guarantee which will lead to colle</t>
  </si>
  <si>
    <t>Hamilton County ESC</t>
  </si>
  <si>
    <t>Learning RE-Engineered</t>
  </si>
  <si>
    <t>Vikki Clemons</t>
  </si>
  <si>
    <t>Hamilton County Educational Service Center</t>
  </si>
  <si>
    <t>11083 Hamilton Avenue, Cincinnati, Ohio 45231</t>
  </si>
  <si>
    <t>513-674-4212</t>
  </si>
  <si>
    <t>vikki.clemons@hcesc.org</t>
  </si>
  <si>
    <t>Learning RE-Engineered is designed to re-engage struggling learners by re-designing classroom instructional practice to meet the reality of today's fast paced, technologically advanced world. Students will take ownership of their own learning using three highly engaging instructional programs aimed at keeping struggling learners in school and preparing them for careers and/or college by giving them the opportunity to attain work credentials. To acquire the contemporary learning instructional practices needed to transform teacher delivery methods and classroom instruction, teachers will engage in blended learning institutes that focus on empowering disengaged and struggling students with the ultimate goal of reducing the dropout rate, retaining students within the district, and preparing students for college and career.</t>
  </si>
  <si>
    <t>Vikki.clemons@hcesc.org</t>
  </si>
  <si>
    <t>ACCESS to Literacy targets Ohio's Third Grade Reading Guarantee by utilizing new and emerging technologies that stimulate literacy development at home and at school. It provides young children and their families access, via browser-based and mobile devices, to anytime/anywhere language rich experiences, literacy instructional resources and intervention supports to help children become life-long learners. A technology solution platform will be established to support this project's identified scope of work including methods of measuring the impact of technology on learning and transforming the home and school environment into a dynamic, interactive learning environment where parents and teachers collaboratively guide children through their quest for literacy.</t>
  </si>
  <si>
    <t>Finneytown Local</t>
  </si>
  <si>
    <t>Tyrone Olverson, Superintendent</t>
  </si>
  <si>
    <t>Finneytown Local School District</t>
  </si>
  <si>
    <t>8916 Fontainebleu Terrace, Cincinnati, Ohio 45231</t>
  </si>
  <si>
    <t>513-728-3700</t>
  </si>
  <si>
    <t>tolverson@finneytown.org</t>
  </si>
  <si>
    <t>The Standards and Content Creation Toolkit (Toolkit) is an instructional resource for Ohio's New Learning Standards that outlines exactly what a student should know, understand, and be able to demonstrate for every standard, as well as the real world applications with and emphasis on career tech concepts being learned within each standard. The Toolkit will improve academic achievement by enhancing teachers' pedagogical foundations so they can design content and deliver instruction that clearly models real world application to students. The Toolkit also serves as a shared services delivery model as content created will be uploaded to a free statewide e-learning platform, and shared among each consortium partner, which will lead to increased standards-aligned content resources in the classroom.</t>
  </si>
  <si>
    <t>Finneytown Fast Track College and Career Success</t>
  </si>
  <si>
    <t>A Cincinnati-area school district, in partnership with a higher education institution, Cincinnati Partners for a Competitive Workforce and a national school designer, propose an aggressive initiative to improve the achievement of their most challenged students and begin to fill gaps in Cincinnati's local workforce needs. The school district has a persistent percentage (from 40%-60%) of students who are not motivated to pursue higher education, nor do they have the requisite skills or specific plans to transition into well-paying 21st century careers. Called the "Finneytown Fast Track College and Career Success," this partnership brings the Early College concept to Cincinnati (the only major Ohio city without this innovation),; expands upon the achievements of Ohio's existing Early College High Schools; infuses STEM career pathways, stackable certificates and blended learning tools into a rigorous, well-aligned 8 -14 Fast Track Early College curriculum; and establishes a new model for expanding formal Early C</t>
  </si>
  <si>
    <t>Northwest Local</t>
  </si>
  <si>
    <t>Jennifer Blust</t>
  </si>
  <si>
    <t>Northwest Local School District</t>
  </si>
  <si>
    <t>3240 Banning Rd. Cincinnati Ohio 45239</t>
  </si>
  <si>
    <t>513 923-1000 x653</t>
  </si>
  <si>
    <t>jblust@nwlsd.org</t>
  </si>
  <si>
    <t>Through a one to one initiative, our students will have a greater share of technology rich resources that will provide them with improved student achievement in mathematics by utilizing authentic performance based tasks, active learning, and alignment to college and career readiness. Professional development, provided by our grant partners and curriculum staff, for the teachers will enable a reimagining of classroom structures and practices to support our districts' plan to implement personalized instruction to close the achievement gap in math for our middle school students. A partnership and community outreach plan will bridge the digital divide so economically disadvantaged middle school families have online access through an innovative plan to utilize staff and district resources to provide after school lab hours for equity to online material for improved academic achievement.</t>
  </si>
  <si>
    <t>Oak Hills Local</t>
  </si>
  <si>
    <t>Robert Sehlhorst</t>
  </si>
  <si>
    <t>Oak Hills Local School District</t>
  </si>
  <si>
    <t>6325 Rapid Run Road, Cincinnati, OH 45233</t>
  </si>
  <si>
    <t>513.598.3418</t>
  </si>
  <si>
    <t>Sehlhorst_R@ohlsd.org</t>
  </si>
  <si>
    <t>The Bridges of Innovation for Study, Work and Life proposal advances a new model for the American high school experience by providing students opportunities to learn and grow in a blended learning environment, earn college credit and gain skills that build a successful bridge between school and college, work, and life. This proposal provides the infrastructure and training for teachers to transform their brick and mortar classrooms to a blended digital learning environment that increases student achievement and growth, reduces the number of students requiring college remediation classes, and dramatically increases the number of students successfully prepared to enter meaningful careers and earn college diplomas. Oak Hills Local School District (OHLSD) and Three Rivers Local School District (TRLSD) will partner with Education Elements (EE), Cincinnati State Technical &amp; Community College (CSTCC), University of Cincinnati (UC) Co-Op Department and Economics Center, Partners for a Competitive Workforce (PCW), and</t>
  </si>
  <si>
    <t>Three Rivers Local</t>
  </si>
  <si>
    <t>Customized Learning</t>
  </si>
  <si>
    <t>Rhonda Bohannon</t>
  </si>
  <si>
    <t>Three Rivers Local School District</t>
  </si>
  <si>
    <t>401 N. Miami Avenue, Cleves, OH 45002</t>
  </si>
  <si>
    <t>513.941.6400</t>
  </si>
  <si>
    <t>rbohannon@trlsd.org</t>
  </si>
  <si>
    <t>Customized Learning will increase student achievement, attendance, graduation rate, and student and staff satisfaction by providing digital content and individual devices in a hybrid classroom environment that will allow teaching and learning to happen anytime, anyplace and at each student's individual learning level. Staff will be provided with the quality and quantity of professional development necessary to launch a successful program that will facilitate increased connections to college and careers by providing courses/training on-line which is typical of most universities today as well as training modules typical in most workplace environments along with financial literacy. The number of college credit plus courses offered will increase on the respective school districts' campuses while facilitating shared services for these classes among consortium members.</t>
  </si>
  <si>
    <t>Riverdale Local</t>
  </si>
  <si>
    <t>Eric H. Hoffman, Superintendent</t>
  </si>
  <si>
    <t>Riverdale Local Schools</t>
  </si>
  <si>
    <t>20613 SR 37 Mt. Blanchard OH 45867</t>
  </si>
  <si>
    <t>419 694 4994 ext 1801</t>
  </si>
  <si>
    <t>ehoffman@riverdale.k12.oh.us</t>
  </si>
  <si>
    <t>The Falcon Fitness goal is to improve the overall health of our student, staff, and community therefore establishing a healthy lifestyle. A culture of wellness within schools and across the district involves essential components including leadership, modeling, communication, collaboration, and shared responsibility. A new study finds students who are physically fit absorb and retain new information more effect than students who are out of shape.</t>
  </si>
  <si>
    <t>Conotton Valley Union Local</t>
  </si>
  <si>
    <t>Harrison</t>
  </si>
  <si>
    <t>Adam Pittis</t>
  </si>
  <si>
    <t>Conotton Valley Union Local School District</t>
  </si>
  <si>
    <t>21 Mound street, PO Box 187</t>
  </si>
  <si>
    <t>740.269.2000</t>
  </si>
  <si>
    <t>adam.pittis@cvul.org</t>
  </si>
  <si>
    <t>This project will increase student achievement in ConottonValley Union Local School District (CV) and Lakeland Academy Community School (Lakeland) by sharing services to improve course offerings both in terms of selection and rigor and through improved classroom materials. It will create a five year spending reduction through staffing reductions, a blended learning environment that utilizes district created materials, improved building efficiency, and the closure of an outdated building. Finally, this project will provide a greater share of resources in the classrooms through the adoption of etextbooks, 1:1 computing, and increased courses.</t>
  </si>
  <si>
    <t>Angela Hicks</t>
  </si>
  <si>
    <t>Director of Federal Programs</t>
  </si>
  <si>
    <t>6899 State Route 150, Dillonvale, OH 43917</t>
  </si>
  <si>
    <t>740 769 7395</t>
  </si>
  <si>
    <t>angela.hicks@omeresa.net</t>
  </si>
  <si>
    <t>Individualize for Success, IFS, will increase student achievement by providing a toolbox of resources which, when used together, will offer the most powerful and successful opportunities to meet the unique needs of each and every student in grades prek-12. Focusing early on reading development ages 4-8 years and building reading and comprehension skills in grades 2-6, will support students in attaining the Third Grade Reading Guarantee, and also provide students with the reading skills necessary to be successful in other subject areas. Significant savings will be realized through non purchase of textbooks, keeping students who would otherwise be placed in a virtual learning system, and decreasing use of paper and toner supplies for printing as a result of using an online, web based solution. In addition, utilizing a diagnostic and prescriptive approach, designed to support all learners prek-12, will individualize learning and provide students with the necessary skills to function and be successful in an onlin</t>
  </si>
  <si>
    <t>Edison Local</t>
  </si>
  <si>
    <t>Kim Wadas</t>
  </si>
  <si>
    <t>Edison Local School District</t>
  </si>
  <si>
    <t>14890 State Route 213 Hammondsville, OH 43930</t>
  </si>
  <si>
    <t>740-282-0068 ext. 1103</t>
  </si>
  <si>
    <t>kimberly.wadas@omeresa.net</t>
  </si>
  <si>
    <t>We want to empower our students with the resources and knowledge they need to be College and Career Ready. The use of technology is all around our students, and while our students are Digital Natives, we want to teach them how to use this technology to further their future endeavors. Through our Blended Learning approach teachers and students will be using technology to educate one another.</t>
  </si>
  <si>
    <t>Indian Creek Local</t>
  </si>
  <si>
    <t>21st Century Technology Infusion</t>
  </si>
  <si>
    <t>T.C. Chappelear</t>
  </si>
  <si>
    <t>Indian Creek Local School District</t>
  </si>
  <si>
    <t>587 Bantam Ridge Rd</t>
  </si>
  <si>
    <t>tc.chappelear@omeresa.net</t>
  </si>
  <si>
    <t>This project aims to equip Indian Creek Local School District classrooms with 21st century technology. The major aim of this project is to create a pedagogical shift at Indian Creek from a teacher-centered to a student-centered approach to learning. We aim to do this with an infusion of technology aimed at the classroom level.</t>
  </si>
  <si>
    <t>Lake County ESC</t>
  </si>
  <si>
    <t>Jovette L. Hiltunen</t>
  </si>
  <si>
    <t>Lake County Educational Service Center</t>
  </si>
  <si>
    <t>382 Blackbrook Road, Painesville, OH 44077</t>
  </si>
  <si>
    <t>440-350-2563</t>
  </si>
  <si>
    <t>Lake County's economic growth depends on its ability to grow highly skilled workers particularly in digital fabrications, computer writing, and medical sciences. Our consortia of K-12, higher education, and business partners has identified these three areas as significant workforce needs. This grant would be the first step to develop a county program of Economic Growth for Generations (E.G.G.) that would include advanced business incubators and software development.</t>
  </si>
  <si>
    <t>Perry Local</t>
  </si>
  <si>
    <t>Self-Directed Personalized World Class Experiences Designed to Inspire</t>
  </si>
  <si>
    <t>Amy Harker</t>
  </si>
  <si>
    <t>Perry Local Schools - Lake County</t>
  </si>
  <si>
    <t>4325 Manchester, Perry Ohio 44081</t>
  </si>
  <si>
    <t>440-259-9200 ext. 9201</t>
  </si>
  <si>
    <t>harkera@perry-lake.org</t>
  </si>
  <si>
    <t>With the support of $999,713 in Straight A funds over 12 months, Perry Local Schools (PLS) will implement a Self-Directed, Personalized, World Class Experience Designed to Inspire (SPWCEDI) students to 1) increase student achievement 2) realize a cost savings 3) utilize a greater share of resources in the classroom and 4) implement a shared services delivery model so that every student leaves immersed in a career/college pathway. By partnering with Lakeland Community College and area businesses, a Commmunity Learning Hub on the PLS campus designed to increase students' college and career readiness by offering a new learning model that is customizable, student-driven, student-centered, and connected to genuine post secondary endeavors. To accomplish this end, the Learning Hub will: increase use of project-based learning methods, institute use of blended learning strategies, landing rigorous internships/mentorships, and dual enrollment opportunities . In addition the industrial arts area will be transformed</t>
  </si>
  <si>
    <t>Rock Hill Local</t>
  </si>
  <si>
    <t>Lawrence</t>
  </si>
  <si>
    <t>Eric Floyd</t>
  </si>
  <si>
    <t>Rock Hill Local School District</t>
  </si>
  <si>
    <t>2325A County Road 26, Ironton, OH 45638</t>
  </si>
  <si>
    <t>740-532-7030</t>
  </si>
  <si>
    <t>efloyd@rockhill.org</t>
  </si>
  <si>
    <t>Scaling Up and Moving Forward is designed to increase student achievement, promote differentiated instruction/learning, and provide access to Ohio's New Learning Standards and Next Generation Assessments. This project will be the launching pad for the District as it moves into the 21st Century; improving technology infrastructure to allow community and student access in this rural high poverty area. Through a partnership with ITSCO, high quality professional development and ongoing support will be provided to instructional staff targeting use of technology and problem based learning.</t>
  </si>
  <si>
    <t>Lakewood Local</t>
  </si>
  <si>
    <t>Jay Gault</t>
  </si>
  <si>
    <t>Lakewood Local School District</t>
  </si>
  <si>
    <t>525 E. Main St - PO Box 70, Hebron, OH 43025</t>
  </si>
  <si>
    <t>740-928-5878</t>
  </si>
  <si>
    <t>jgault@laca.org</t>
  </si>
  <si>
    <t>The Lakewood Local School District is looking to improve course offerings and implementing 1:1 technology. The district is looking to provide for their students IVDL district-wide in grades K-12. Through this process the district will be looking at providing additional class offerings for our MS and HS students as well as enhancing classes currently being offered throughout the district. With the implementation of IVDL, the district looks to reduce district expenditures and enhance instruction. This grant would also provide additional wireless access points as well as computers for the district to move to 1:1 technology and enhance the district's ability for on-line assessments.</t>
  </si>
  <si>
    <t>Licking Heights Local</t>
  </si>
  <si>
    <t>Angel King</t>
  </si>
  <si>
    <t>Curriculum Director Licking Heights Local School District</t>
  </si>
  <si>
    <t>6539 Summit Rd., Pataskala, OH 43062</t>
  </si>
  <si>
    <t>740-927-9043</t>
  </si>
  <si>
    <t>aking@laca.org</t>
  </si>
  <si>
    <t>-Licking Heights Locals Schools unfortunately has numerous students not graduating from high school, and they are not prepared for college or to start their careers. Our project named "Bridging the GAP" is an innovative alternative school that will differentiate for all students through a technology embedded, research-based, blended learning environment. The district will ensure that all students achieve and grow at a pace that maximizes their abilities and talents. The program will be able to serve the community as well by providing English as a Second Language for our vast number of immigrant families during extended evening hours. Thus supporting the whole family and engaging them in the importance of education. A minimum of 50 families will be impacted the first year as they are currently being served in electronic or digital classrooms outside of Licking Heights.</t>
  </si>
  <si>
    <t>362500.00</t>
  </si>
  <si>
    <t>Southwest Licking Local</t>
  </si>
  <si>
    <t>Kasey Rathburn</t>
  </si>
  <si>
    <t>Southwest Licking Local Schools</t>
  </si>
  <si>
    <t>927 A South Street Pataskala, Ohio 43062</t>
  </si>
  <si>
    <t>740-964-3444</t>
  </si>
  <si>
    <t>krathburn@laca.org</t>
  </si>
  <si>
    <t>Our project is to increase our computer initiative for our students through designing interdisciplinary Project-Based Learning and STEM curriculum units in order to maintain America's global competitiveness and leadership in the fields of science, technology, engineering and math. By implementing a blended, innovative, and technology rich learning environment and leveraging business and industrial partnerships and resources, we will foster collaboration, creativity, critical thinking, and communication to help prepare our students for future educational endeavors and the 21st century workforce for our local and global economy.</t>
  </si>
  <si>
    <t>Logan County ESC</t>
  </si>
  <si>
    <t>Logan</t>
  </si>
  <si>
    <t>Heather Neer</t>
  </si>
  <si>
    <t>Logan County Educational Service Center</t>
  </si>
  <si>
    <t>121 South Opera Street</t>
  </si>
  <si>
    <t>937-599-5195</t>
  </si>
  <si>
    <t>heather_neer@scesc.k12.oh.us</t>
  </si>
  <si>
    <t>The School of Success(SOS) established by the Logan County ESC and housed by Indian Lake School High School (ILHS) is an innovative model that provides opportunity for student success when the traditional bricks and mortar classrooms do not work. Targeted students will be identified at risk high school students in jeopardy of not earning their graduation requirements in four years and high achieving students who need accelerated, college preparatory coursework beyond the traditional school day and finally all parents of students K-12 will be involved annually on reviewing a career/college readiness plan by individual teachers. The SOS program will increase graduation rate from 85% to 98% and increase attendance rates, improve student behavior, provide workforce readiness programs, dual enrollment coursework through the the Jefferson County Vitural Learning program and an on-line program designed by Sharon Maurice of Workforce Partnership of Shelby County.</t>
  </si>
  <si>
    <t>Indian Lake Local</t>
  </si>
  <si>
    <t>Kyle Wagner</t>
  </si>
  <si>
    <t>Indian Lake Local Schools</t>
  </si>
  <si>
    <t>6210 State Route 235 N, Lewistown, OH 43333</t>
  </si>
  <si>
    <t>937-686-8601</t>
  </si>
  <si>
    <t>wagnerk@ils-k12.org</t>
  </si>
  <si>
    <t>Disruptive innovations fundamentally transform a sector by replacing expensive, complicated, and inaccessible products or services with much less expensive, simpler, and more convenient alternatives. Blended learning is a disruptive innovation in education that can take many forms. This professional development focused proposal seeks to #1. Establish a progressive yet flexible framework for teachers to engage student growth, #2. Facilitate in the selection and/or creation of curriculum for content areas, #3. Train teachers, administrators and technology team in best practices for blended and online learning, and #4. Transform teaching from traditional classrooms to flexible and sustainable classrooms to meet district initiatives of raising graduation rate and overall student engagement.</t>
  </si>
  <si>
    <t>Riverside Local</t>
  </si>
  <si>
    <t>Textbooks to Tablets</t>
  </si>
  <si>
    <t>Scott Mann</t>
  </si>
  <si>
    <t>Riverside Local School District</t>
  </si>
  <si>
    <t>2096 County Road 24 South DeGraff, Ohio 43318</t>
  </si>
  <si>
    <t>937-585-5981</t>
  </si>
  <si>
    <t>smann@riverside.k12.oh.us</t>
  </si>
  <si>
    <t>Against a plethora of goals, we want to improve student achievement and move to blended learning by using technology as the major educational tool. Our desire is to achieve spending reductions in the five year forecast by establishing technology in the classroom, rather than purchasing a whole textbook series for the common core. Finally, we plan to utilize a greater share of available scientifically based resources on the World Wide Web.</t>
  </si>
  <si>
    <t>Avon Local</t>
  </si>
  <si>
    <t>Innovate21</t>
  </si>
  <si>
    <t>Mike Laub</t>
  </si>
  <si>
    <t>Avon local School District</t>
  </si>
  <si>
    <t>35573 Detroit Road, Avon, OH 44011</t>
  </si>
  <si>
    <t>440-937-4680</t>
  </si>
  <si>
    <t>laubm@avonlocalschools.org</t>
  </si>
  <si>
    <t>The Innovate21 project is a multi-district endeavor with the goal of raising student achievement by utilizing blended learning communities involving students, teachers, parents and instructional coaches. By implementing best instructional practices while integrating mobile learning devices into piloted classrooms, Innovate21 will provide additional funding for professional development, in which the newly-trained instructional coaches along with outside consultants will conduct an Innovate21 Symposium for over five hundred local teachers, administrators, and support staff from across four different school districts with online and face-to-face blended learning opportunities. This sustainable project focuses on shared content and collaboration while investing in teachers and students rather than devices.</t>
  </si>
  <si>
    <t>Clearview Local</t>
  </si>
  <si>
    <t>Michael Tomlin-Brenner</t>
  </si>
  <si>
    <t>Clearview Local Schools</t>
  </si>
  <si>
    <t>4700 Broadway - Lorain, OH 44052</t>
  </si>
  <si>
    <t>440-233-5412</t>
  </si>
  <si>
    <t>Mike.Tomlin-Brenner@Clearviewschools.org</t>
  </si>
  <si>
    <t>" The Three C Highway - Connecting to College and Careers" will provide the students of our district with the technological bridge necessary to move from a high-poverty environment to a College/Career track that accesses a broad range of information, resources, and educational strategies. With the help of the "Straight A Fund" Grant, our district knows that it can leverage existing money, grant funds, and educator talent to provide a netwowrk of district-wide wireless access, Google ChromeBook machines, technological infrastructure, and professional development designed to move 100% of our instruction and learning into the present - giving our students the skills and increased motivation needed to compete with more affluent districts and their students. Providing contemporary technology to all of our students and teachers will increase their skills and motivation, putting them on the road to compete and succeed in the 21st century.</t>
  </si>
  <si>
    <t>Firelands Local</t>
  </si>
  <si>
    <t>Brad McCracken</t>
  </si>
  <si>
    <t>Firelands Local School District</t>
  </si>
  <si>
    <t>112 N. Lake Street South Amherst, Ohio 44001</t>
  </si>
  <si>
    <t>440.965.5821</t>
  </si>
  <si>
    <t>bmccracken@firelandsschools.org</t>
  </si>
  <si>
    <t>In Ohio Schools, where over 90% of all schools are using fiscal software over 40 years old, data is even harder to retrieve so the issue of data driven decision-making is even harder to achieve. This project aims to create an efficiency decision making program that will provide the ability to better interpret and use data. A project that will greatly increase the ability to save costs as they relate to operational, staff and instructional management, the Quality Business Management for School Districts Model has anticipated savings of over $820,000 across the three districts, or a 347% return on the grant investment.</t>
  </si>
  <si>
    <t>Midview Local</t>
  </si>
  <si>
    <t>Lighting the Way for STEM</t>
  </si>
  <si>
    <t>Dan White</t>
  </si>
  <si>
    <t>Midview Local School District</t>
  </si>
  <si>
    <t>13050 Durkee Road Grafton, OH 44044</t>
  </si>
  <si>
    <t>440-748-5306</t>
  </si>
  <si>
    <t>dwhite@midviewk12.org</t>
  </si>
  <si>
    <t>Midview Schools will direct a greater share of resources to the classroom through a LED lighting upgrade that will generate a permanent cost savings to the general fund of $1.5 million over fifteen years. This savings will be utilized to expand the district's current Project Lead the Way (STEMM) program for grades K-12 by increasing high school course offerings in the Biomedical sciences and enhancing the elementary and middle school science, math and technology curriculum through hands-on lessons. These curricular changes will help Midview to reach its overarching goals of improving student achievement in math and science and increasing the number of students who pursue careers and college pathways in the STEM subjects.</t>
  </si>
  <si>
    <t>ESC of Lake Erie West</t>
  </si>
  <si>
    <t>Sandra, Frisch</t>
  </si>
  <si>
    <t>Educational Service Center of Lake Erie West</t>
  </si>
  <si>
    <t>2275 Collingwood Blvd, Toledo, Ohio 43620</t>
  </si>
  <si>
    <t>419-246-3078</t>
  </si>
  <si>
    <t>sfrisch@esclakeeriewest.org</t>
  </si>
  <si>
    <t>A consortium of five northwest Ohio districts and an ESC, in collaboration with a university and technology integration partner, will produce digital content collections for 6th - 8th grade core content courses replacing traditional textbooks in order to provide a catalyst for creating classroom environments that model the best practices in 21st century teaching and learning while increasing student achievement and reducing textbook expenditures. Aligned with Ohio's New Learning Standards and supported by robust professional development grounded in scientifically based research, blended learning instructional units will be developed collaboratively by teachers in consultation with content and instructional design experts in order to provide rigorous and engaging resources for core content instruction. Internal and external formative evaluation will guide the project to ensure project elements and procedures align with intended goals and provide ongoing feedback to all partner districts allowing the consortiu</t>
  </si>
  <si>
    <t>Ottawa Hills Local</t>
  </si>
  <si>
    <t>One World Schoolhouse</t>
  </si>
  <si>
    <t>Kevin S. Miller Ed.D, Superintendent</t>
  </si>
  <si>
    <t>Ottawa Hills Local Schools</t>
  </si>
  <si>
    <t>3600 Indian Road, Ottawa Hills, OH 43606</t>
  </si>
  <si>
    <t>419-536-6371</t>
  </si>
  <si>
    <t>kmiller@ottawahillsschools.org</t>
  </si>
  <si>
    <t>The Ottawa Hills school district, in a unique long term collaboration with the University of Toledo, is requesting a $985,450 grant for the One World Schoolhouse (OWS) partnership. This partnership will achieve cost savings through spending reductions on traditional K-12 classroom content and positively impact student achievement via: Flipped classroom content which replaces traditional content, thus allowing self-paced learning and saving on paper based classroom materials. Advanced simulation game course content that provides project based learning (PBL) technology, which allow students to apply knowledge from flipped class content in actual applications. Technology infrastructure installed at Ottawa Hills and the University of Toledo that will allow students to interact in state of the art methods, such as DL sync courses, international virtual synchronous teams and advanced 3D immersive experiences. In addition to the above technology based content, this partnership will offer well</t>
  </si>
  <si>
    <t>Jonathan Alder Local</t>
  </si>
  <si>
    <t>Madison</t>
  </si>
  <si>
    <t>Gary Chapman</t>
  </si>
  <si>
    <t>Jonathan Alder Local Schools</t>
  </si>
  <si>
    <t>9200 US Route 42</t>
  </si>
  <si>
    <t>gary.chapman@japioneers.org</t>
  </si>
  <si>
    <t>The Jonathan Alder Digital Equity through Innovative Learning Spaces project will provide the infrastructure and capacity necessary to fully implement Ohio's New Learning Standards and increase student achievement through an equitable distribution of innovative teaching and learning opportunities. By creating innovative learning spaces we will increase student engagement and achievement utilizing game based designed curriculum with blended classrooms; these opportunities will improve the process of teaching and learning by using disruptive research based innovations. Delivering reliable technology devices and wireless access will allow students and teachers expanded resources that embed creativity and disruptive practices.</t>
  </si>
  <si>
    <t>Madison-Plains Local</t>
  </si>
  <si>
    <t>Karen Crites Grigsby, Director of Curriculum</t>
  </si>
  <si>
    <t>Madison-Plains Local Schools</t>
  </si>
  <si>
    <t>55 Linson Rd., London, Ohio 43140</t>
  </si>
  <si>
    <t>740-490-0639</t>
  </si>
  <si>
    <t>kgrisgby@mplsd.org</t>
  </si>
  <si>
    <t>Madison-Plains Local School District (MPLSD) proposes to provide high-quality reading intervention in grades K-12 as we expand the focus of the Third Grade Reading Guarantee to ensure that all students read on grade-level and graduate college and are career ready. Research indicates that students reading below grade level are more likely to be unsuccessful in math and science and therefore decreasing their opportunity to find success in STEM related careers. This grant will ensure that students have access to high-quality, research-based reading intervention, thereby increasing reading levels and improving student achievement through a greater share of resources in the classroom.</t>
  </si>
  <si>
    <t>Mahoning County ESC</t>
  </si>
  <si>
    <t>Dr. Ronald Iarussi</t>
  </si>
  <si>
    <t>100 DeBartolo Place, Suite 220, Youngstown, OH 44512</t>
  </si>
  <si>
    <t>330-965-7858</t>
  </si>
  <si>
    <t>R.Iarussi@Mahoningesc.org</t>
  </si>
  <si>
    <t>The Mahoning Valley Academic Cloud (MAC) will pool all available teacher resources for use by the school districts in a blended environment on demand and in real-time to increase educational options and student achievement. School Districts in the Mahoning Valley will be able to access the talent cloud to create opportunities for blended, online, flipped and dual credit courses. The project will remove the obstacles to successful blended learning in the classroom by providing access for all students, quality curriculum, and professional development for educators.</t>
  </si>
  <si>
    <t>Canfield Local</t>
  </si>
  <si>
    <t>John Tullio</t>
  </si>
  <si>
    <t>Canfield High School</t>
  </si>
  <si>
    <t>100 Cardinal Drive, Canfield, OH 44406</t>
  </si>
  <si>
    <t>330-702-7032</t>
  </si>
  <si>
    <t>jtullio@canfieldschools.net</t>
  </si>
  <si>
    <t>The primary goal of this project is to increase student achievement at Canfield High School by adding blended learning vocational programs with an internship component, altering our current schedule, and refreshing and updating our current technology infrastructure. In addition the district will eliminate /reallocate funds from an existing program to sustain a blended year around vocational program.</t>
  </si>
  <si>
    <t>Alex Geordan</t>
  </si>
  <si>
    <t>Canfield Local Schools</t>
  </si>
  <si>
    <t>100 Wadsworth St., Canfield, OH 44406</t>
  </si>
  <si>
    <t>330-533-3303</t>
  </si>
  <si>
    <t>ageordan@canfieldschools.net</t>
  </si>
  <si>
    <t>To increase student achievement by providing virtual learning and a shared resource of a hands-on STEM manufacturing lab to middle schools in the tri-county area for the next five years for individual districts and families on advanced industry equipment and materials. AST2 develops and implements technology at the nexus of education and workforce development, advanced manufacturing and cloud computing, leveraging the synergistic opportunities of these areas. This project aims at replicating what AST2 (Applied Systems and Technology Transfer) has done with their high school program and adding additional instructional supports for the middle school.</t>
  </si>
  <si>
    <t>To increase student achievement by providing a shared resource of hands-on STEM manufacturing labs to elementary schools in the tri-county area for the next five years for individual districts and families on advanced industry equipment and materials. This project aims at replicating what Applied Systems and Technology Transfer (AST2) has done with their high school program, and adding additional instructional supports for the elementary level. AST2 develops and implements technology at the nexus of education and workforce development, advanced manufacturing and cloud computing, leveraging the synergistic opportunities of these areas.</t>
  </si>
  <si>
    <t>Poland Local</t>
  </si>
  <si>
    <t>Poland Schools 2.0</t>
  </si>
  <si>
    <t>Patrick Williams</t>
  </si>
  <si>
    <t>Poland Local School District</t>
  </si>
  <si>
    <t>3199 Dobbins Road, Poland, Ohio 44514</t>
  </si>
  <si>
    <t>330-757-7003 ext. 37420</t>
  </si>
  <si>
    <t>pwilliams@polandschools.org</t>
  </si>
  <si>
    <t>The Poland Local School District cannot afford to purchase the necessary amount of computers to adequately teach our student important 21st Century skills. We would like to increase our Wifi connectivity in each of our five buildings so we can accommodate a Bring Your Own Device policy and implement a 1:1 learning environment with the laptops we are looking to purchase.</t>
  </si>
  <si>
    <t>South Range Local</t>
  </si>
  <si>
    <t>Dunham, Dennis</t>
  </si>
  <si>
    <t>South Range Local School District</t>
  </si>
  <si>
    <t>11300 Columbiana-Canfield Road, Canfield, Ohio 44406</t>
  </si>
  <si>
    <t>330.549.5226</t>
  </si>
  <si>
    <t>ddunham@southrange.org</t>
  </si>
  <si>
    <t>Reducing transportation costs via a one school bus route for the K-12 population provides the funding to increase blended learning opportunities for all students. Extending the school hours (before and after school) provides a means for all students to access a blended learning environment. Utilizing a data management system and a common core aligned curriculum allows teachers to meet diverse needs of learners beyond the bell.</t>
  </si>
  <si>
    <t>Western Reserve Local</t>
  </si>
  <si>
    <t>Jeffrey Zatchok</t>
  </si>
  <si>
    <t>Western Reserve Local School District (IRN: 048397)</t>
  </si>
  <si>
    <t>13850 Akron-Canfield Road, Berlin Center, OH 44401</t>
  </si>
  <si>
    <t>330-547-4100 ext. 23301</t>
  </si>
  <si>
    <t>jzatchok@wrls.k12.oh.us</t>
  </si>
  <si>
    <t>Through a partnership with a local solar energy business, The University of Akron, and Western Reserve Local School District (WRLSD), Straight A funds will be used for the installation of a solar panel array system on the Western Reserve Local School District site and for professional development to prepare teachers to implement and expand STEM concepts into the curriculum. Solar energy will be used to power 50% of the building resulting in an approximate energy savings of 26% based on projections from the average utility rates from March 2012-March 2014. The savings resulting from the use of solar energy will be redirected into a 6th-12th grade STEM program for students with and without disabilities.</t>
  </si>
  <si>
    <t>Black River Local</t>
  </si>
  <si>
    <t>Redesigning Education</t>
  </si>
  <si>
    <t>Cheryl Hlavsa</t>
  </si>
  <si>
    <t>Black River Local School District</t>
  </si>
  <si>
    <t>257 County Road 40</t>
  </si>
  <si>
    <t>813-473-2578</t>
  </si>
  <si>
    <t>Chlavsa@blackriver.k12.oh.us</t>
  </si>
  <si>
    <t>This project tilted 'Redesigning Education' will increase student achievement of 900 students in grades 4 -12 by implementing a rotation model of blended learning, increasing curricular offerings to include STEM courses, and utilizing digital curricular materials. These approaches to teaching and learning require rethinking the role of the school, the role of the teacher, the role of parents and the community, the structure of the classroom, and the ways that knowledge and skills are imparted and measured. This project will revolutionize the way that we view education.</t>
  </si>
  <si>
    <t>Brian Williams, Superintendent</t>
  </si>
  <si>
    <t>Buckeye Local Schools</t>
  </si>
  <si>
    <t>3044 Columbia Rd Medina Ohio 44256</t>
  </si>
  <si>
    <t>330 722 8257 ext 1003</t>
  </si>
  <si>
    <t>bwilliams@buckeyeschools.org</t>
  </si>
  <si>
    <t>Buckeye Local School District and Cloverleaf Local School District see an opportunity to use Lean enterprise concepts and tools, which have been proven effective in industry and health care, to reduce the costs of support services while improving their quality. A successful pilot effort using Lean enterprise concepts and methods within the Medina City Schools has created interest in the approach on the part of the Districts. The Districts are applying for a Straight A Fund grant of $245,000 to form a consortium to implement this innovative approach.</t>
  </si>
  <si>
    <t>Cloverleaf Local</t>
  </si>
  <si>
    <t>Fueling for the Future</t>
  </si>
  <si>
    <t>Russell Kuse</t>
  </si>
  <si>
    <t>Cloverleaf Local School District</t>
  </si>
  <si>
    <t>8525 Friendsville Road</t>
  </si>
  <si>
    <t>russell.kuss@cloverleaflocal.org</t>
  </si>
  <si>
    <t>The Cloverleaf Local School District will adopt a new business process that will ensure our transportation department is aligned with best industry practices for fleet fueling and preventative maintenance. "Fueling for the Future" will allow the district to provide a single point fueling station for our entire bus fleet on our campus. This program will provide specific vehicle data that can better determine preventative maintenance schedules while providing a significant cost savings to the transportation department and positively impact the five year forecast.</t>
  </si>
  <si>
    <t>russell.kuse@cloverleaflocal.org</t>
  </si>
  <si>
    <t>The Cloverleaf Local School District will adopt an environmental friendly and sustainable teaching and operation philosophy that will partner the building operations and food service departments in a unique way that will positively impact our student body and the local community. This innovative endeavor will be self sustainable and reduce district spending in the five year forecast on a 1:1 basis. In addition, the district will be able to utilize capital gains from the new revenue streams and realized departmental savings towards future educational endeavors.</t>
  </si>
  <si>
    <t>Carrie Beegle</t>
  </si>
  <si>
    <t>Food Service Director, Cloverleaf Local School District</t>
  </si>
  <si>
    <t>8525 Friendsville Road, Lodi, Ohio 44254</t>
  </si>
  <si>
    <t>330-721-3614</t>
  </si>
  <si>
    <t>carrie.beegle@cloverleaflocal.org</t>
  </si>
  <si>
    <t>The Cloverleaf Local School District wants to break out of the mold of traditional school food offerings and provide year round nutritional meals to our students and community. According to the USDA study of 2013, one in five children go hungry in their own homes and 21.5 million students rely on the free and reduced breakfast and lunch program offered in their schools for two out of three meals; as child nutrition advocates we take on the daunting task of battling childhood hunger every day and concern ourselves with our student's nutrition during the summer months when we are unable to offer them the nourishment that they so desperately need. This innovative endeavor will be self sustainable and will reduce district spending in the five year forecast by providing the district the means in which to take our food service program literally on the road through the use of a mobile kitchen.</t>
  </si>
  <si>
    <t>Miami East Local</t>
  </si>
  <si>
    <t>The Power of Vision- Lean, Clean, and Green</t>
  </si>
  <si>
    <t>Dr. Todd Rappold</t>
  </si>
  <si>
    <t>Miami East Local School District</t>
  </si>
  <si>
    <t>3825 N. State Route 589, Casstown, Ohio 45312-9707</t>
  </si>
  <si>
    <t>(937) 335-7505 x1124</t>
  </si>
  <si>
    <t>me_supt@mdeca.org</t>
  </si>
  <si>
    <t>Our project is the replacement of six of our older inefficient diesel-fueled school buses with new and efficient Bluebird Propane- Powered Vision buses and a propane fueling station. This will enable our district to attain substantial, sustainable spending reductions in the five-year forecast. Implementing propane as the fuel of choice for Miami East Schools' buses will offer immediate fuel and maintenance cost savings from the first day of implementation and throughout the life of each vehicle as well as allow the district significant savings to reinvest into replacement of their remaining bus fleet with additional lean, cost-effective propane- powered vehicles. Finally, in addition to offering significant operational cost savings, propane is a domestic fuel sourced as a bi-product from natural gas production and its use as a transportation fuel results in significantly lower bus emissions proving for a cleaner, greener, healthier environment in the passenger cabin for students as well as for the wider comm</t>
  </si>
  <si>
    <t>Montgomery County ESC</t>
  </si>
  <si>
    <t>DIGITIZING THE STEM EDUCATIONAL EXPERIENCE</t>
  </si>
  <si>
    <t>Shannon Cox</t>
  </si>
  <si>
    <t>Montgomery County Educational Service Center</t>
  </si>
  <si>
    <t>200 South Keowee Street, Dayton OH 45402</t>
  </si>
  <si>
    <t>937-225-4598</t>
  </si>
  <si>
    <t>Shannon.Cox@mcesc.org</t>
  </si>
  <si>
    <t>In an effort to bolster student achievement, communication, creativity, critical thinking, and collaboration in science, technology, engineering, and math (STEM) grant funds will be used to modernize consortium classrooms and the nationally recognized existing STEM Curriculum into high-quality tablet-based STEM learning experiences. The Digital STEM Curriculum will be the first of its kind, helping to drive increased student engagement and achievement through mobile and tablet-based interoperable STEM instructional materials mapped to Ohio Academic Content Standards that include problem-based units of instruction, student resources, summative and formative assessments, and videos, all with the specific intent of advancing science and math competencies. Deliverables will increase access to high-quality, easy-to-adopt-and-implement STEM learning resources in varied academic settings through the shared services model; thus yielding increased teacher STEM proficiency, academic achievement, STEM career awarene</t>
  </si>
  <si>
    <t>The STEM Mobile Learning Labs Project</t>
  </si>
  <si>
    <t>200 South Keowee Stree, Dayton, OH 45402</t>
  </si>
  <si>
    <t>shannon.cox@mcesc.org</t>
  </si>
  <si>
    <t>The STEM Mobile Learning Labs Project will increase student achievement in seventeen (17) elementary and middle schools in southwest Ohio through the innovative use of technology-rich, mobile STEM learning laboratories designed to engage students in the hands-on STEM Learning Challenges curriculum customized for the project. Through a shared services agreement, participating teachers will be provided with the high-quality, job-embedded professional development necessary to insure effective implementation of the digital curriculum and STEM technology resources loaded on each of the mobile labs. The mobile STEM labs and all equipment purchased through a shared purchasing agreement are designed to be easily moved from classroom to classroom during the school day, or used to drive formal or informal STEM programs outside the traditional school day.</t>
  </si>
  <si>
    <t>New Lebanon Local</t>
  </si>
  <si>
    <t>Greg</t>
  </si>
  <si>
    <t>Williams</t>
  </si>
  <si>
    <t>300 S. Fuls Rd</t>
  </si>
  <si>
    <t>gwilliams@newlebanon.k12.oh.us</t>
  </si>
  <si>
    <t>New Lebanon Local Schools will provide all students with increased access to technology to create a digital writing and reading learning environment for students that will support Ohio's New Learning Standards, increase student engagement and prepare students for college and careers. The technological supports from this funding request will not only make increased access to digital writing and reading possible; it will create district savings by eliminating the need for materials that must be purchased each year to support traditional instruction. Receiving this grant will allow New Lebanon Local Schools to devote more resources to the direct instruction of students by cultivating an environment that is conducive to more engaged learning time for students at different levels, supporting growth for students at varying levels and allowing teachers to devote more time to students who need the most support.</t>
  </si>
  <si>
    <t>Dr. Greg Williams</t>
  </si>
  <si>
    <t>New Lebanon Local Schools</t>
  </si>
  <si>
    <t>New Lebanon Local Schools will provide students with the individualized reading instruction necessary to meet the requirements of the Ohio 3rd Grade Guarantee and build the foundation for college and career readiness to be achieved by graduation. The technological supports from this funding request will not only make increased individualized reading instruction possible; it will create district savings by eliminating the need for materials that must be purchased each year to support reading instruction. Receiving this grant will allow New Lebanon Local Schools to devote more resources to the direct instruction of students by fostering more engaged learning time for students at varying literacy levels, supporting growth for students regardless of literacy levels and allowing teachers to devote more time to students who need the most support.</t>
  </si>
  <si>
    <t>Northmont City</t>
  </si>
  <si>
    <t>Tony Thomas</t>
  </si>
  <si>
    <t>Northmont City Schools</t>
  </si>
  <si>
    <t>4001 Old Salem Road, Englewood, OH 45322</t>
  </si>
  <si>
    <t>937-832-5035</t>
  </si>
  <si>
    <t>tthomas@northmontschools.net</t>
  </si>
  <si>
    <t>When today's Northmont City School District's youngest learners enter school, most of them are already adept at using iPads, iPhones and other digital devices. The iCan Initiative will leverage those capabilities and build on them in an effort to ensure that pre-K through first-grade students master early-literacy skills appropriate to their age and abilities. By implementing 1-1 iPad technology for all pre-K through first graders, along with the STAR Literacy Enterprise for iPads to generate reliable data, diagnose issues, assess progress, and improve parent communication, the district will break new ground toward the goal of achieving grade-level reading proficiency for all students.</t>
  </si>
  <si>
    <t>Northmor Local</t>
  </si>
  <si>
    <t>Diane Ervin</t>
  </si>
  <si>
    <t>Northmor Local School District</t>
  </si>
  <si>
    <t>7819 State Route 19, Galion, Ohio 44833</t>
  </si>
  <si>
    <t>419-946-3946</t>
  </si>
  <si>
    <t>ervin.diane@northmor.k12.oh.us</t>
  </si>
  <si>
    <t>The Northmor Local School District seeks to replace traditional math instruction and formative assessment practices approaches with a K-8 vertically aligned, innovative program promoting Ohio's New Learning Standards in Mathematics and Mathematical Practices. Northmor Elementary will partner with OSU-Mansfield (using the Mathematics Literacy Framework), Educational Testing Service (Revised Mathematical Challenges, including teacher flow-chart for redirection based on assessment outcomes), and The Algebra Project (increase teacher mathematical content and pedagogical knowledge using 5-step processes incorporating mathematical communications) . This innovative project integrates visual, experiential, verbal and conceptual aspects of mathematics to provide opportunities for students to justify their understanding of mathematical ideas with an additional component of formative assessments based on the rigorously researched Mathematical Challenges designed by ETS to provide guidance for teachers to better understa</t>
  </si>
  <si>
    <t>Franklin Local</t>
  </si>
  <si>
    <t>Nicholas Hansel</t>
  </si>
  <si>
    <t>Franklin Local School District</t>
  </si>
  <si>
    <t>360 Cedar Street, Duncan Falls, OH 43734</t>
  </si>
  <si>
    <t>740-674-5203</t>
  </si>
  <si>
    <t>nick.hansel@franklinlocalschools.org</t>
  </si>
  <si>
    <t>ITTS 21 is a 9 district, 8 county, K-12 innovation that impacts a total of 9,446 students capitalizing on a shared services model. Our Straight A INNOVATION PROJECT goal is to develop new learning resources, (customized, electronic textbooks), new learning delivery systems, and more effective teachers as defined by the Ohio Teacher Evaluation System who will create personalized learning paths for students to ensure graduates meet today's college and career ready targets and close the gaps between demographic groups within our consortium. Our ITTS 21 BOLD AND INNOVATIVE SOLUTION (creating a substantial and lasting value) is to: a) cut the achievement gap and college and career readiness gap between the "All" subgroup within the consortium and the state average in 5 years; b) increase the ratio of resources allocated to classrooms in comparison to school funding directed to non-classroom expenditures; and, c) Ensure spending reductions in the 5-year fiscal forecast as a result of shared services and resou</t>
  </si>
  <si>
    <t>West Muskingum Local</t>
  </si>
  <si>
    <t>The Next Generation Libraries</t>
  </si>
  <si>
    <t>William Harbron</t>
  </si>
  <si>
    <t>West Muskingum Local School District</t>
  </si>
  <si>
    <t>4880 West Pike Zanesville,Ohio 43701</t>
  </si>
  <si>
    <t>740.455.4052</t>
  </si>
  <si>
    <t>wharbron@laca.org</t>
  </si>
  <si>
    <t>The project creates a shared service between the West Muskingum Local School District (WMLSD) and the Muskingum County Library System (MCLS) to develop The Next Generation Libraries. The outcomes from The Next Generation Libraries will include improved student reading achievement; reduced spending; effective, efficient delivery of existing library services and resources directly to students and educators in school libraries, online, and in the classroom; development and implementation of new, innovative resources and programs to excite and engage students in reading; hands on instruction in fact finding, research skills, critical thinking and validation of information sources; reading for pleasure and media production. Library services will be available to students 24/7 by increasing internet connectivity in rural areas without internet service. By charting this new direction and developing an efficient and effective partnership between the county library system and school libraries, students will receive dir</t>
  </si>
  <si>
    <t>Noble Local</t>
  </si>
  <si>
    <t>Noble</t>
  </si>
  <si>
    <t>Dan Leffingwell</t>
  </si>
  <si>
    <t>Noble Local School District</t>
  </si>
  <si>
    <t>20977 Zep Road East</t>
  </si>
  <si>
    <t>740 732 2084</t>
  </si>
  <si>
    <t>dan.leffingwell@omeresa.net</t>
  </si>
  <si>
    <t>This project will result in spending reductions in each members' five year fiscal forecast by creating a 20 district shared services transportation consortium to: streamline and eliminate bus routes; track student ridership; reduce time to transport students; and share parking and bus garage centers. An online multi-district transportation database to facilitate student scheduling and coordinate communication for various users will also be developed.</t>
  </si>
  <si>
    <t>Benton Carroll Salem Local</t>
  </si>
  <si>
    <t>Guy Parmigian</t>
  </si>
  <si>
    <t>Benton-Carroll-Salem Local School District</t>
  </si>
  <si>
    <t>11685 West State Route 163</t>
  </si>
  <si>
    <t>(419) 898-6210</t>
  </si>
  <si>
    <t>gparmigian@bcssd.com</t>
  </si>
  <si>
    <t>Educating with Curds and Whey: Financial Literacy Education in Action stands for Credit Union outReach Disability Services and We Help Empower Youth. It is an inclusive and experiential financial literacy program. By building an in-house student run credit union and a mobile education unit for outreach, students' will gain financial and personal confidence and competency in their ability to build a hoped-for future.</t>
  </si>
  <si>
    <t>Logan Elm Local</t>
  </si>
  <si>
    <t>Pickaway</t>
  </si>
  <si>
    <t>Tim Williams</t>
  </si>
  <si>
    <t>Logan Elm Local Schools</t>
  </si>
  <si>
    <t>9579 Tarlton Road Circleville OH 43113</t>
  </si>
  <si>
    <t>740-474-7501, extension 302</t>
  </si>
  <si>
    <t>tim.williams@loganelm.org</t>
  </si>
  <si>
    <t>Logan Elm VALUE: Vision and Learning United for Excellence, built on the belief that hope is directly related to academic achievement, establishes a 5th-12th grade learning system that connects and aligns hope, vision, aspirations, and personalized learning opportunities. VALUE improves student achievement and graduation rate, and develops sound career readiness. Program components are: 1. 5th-8th grade career exploration system that includes on-site quarterly career events, virtual job shadowing, and development of online career portfolios; 2. 9th-12th grade personalized learning system that provides online and blended learning, credit flex options; internships, and mentorships that relate to career pathways; and 3. a professional development system for teachers related to supporting the students' career pathways, use of data to inform and transform instruction, and development of a rigorous curriculum that increases career readiness.</t>
  </si>
  <si>
    <t>Teays Valley Local</t>
  </si>
  <si>
    <t>Jeff Sheets</t>
  </si>
  <si>
    <t>Teays Valley Local Schools</t>
  </si>
  <si>
    <t>385 Viking Way Ashville, Oh 43103</t>
  </si>
  <si>
    <t>740-983-5010</t>
  </si>
  <si>
    <t>jsheets@tvsd.us</t>
  </si>
  <si>
    <t>The Frontiers Project is a ground-breaking "coming together" of key players in the economic development of three localities in central Ohio. Members of this consortium include three central Ohio school districts; the Educational Service Center of Central Ohio; the DuPont; PPG; and Honda corporations; Columbus State Community College; The Ohio State University; the economic development councils of Pickaway County, Delaware County and the City of Worthington; and local libraries. Together, these entities will enjoin people, efforts and ideas to effect a fundamental shift in the existing relationships and programs that support economic development in these respective communities. This shift will be realized through investment in 21st century learning spaces that will be equipped to support project-based learning focused on relevant local, global and academic problems; in teacher professional development that will establish and then magnify an extensive "retooling" of existing practice; and through p</t>
  </si>
  <si>
    <t>Westfall Local</t>
  </si>
  <si>
    <t>Westfall Entrepreneurial Academy</t>
  </si>
  <si>
    <t>Cara S. Riddel</t>
  </si>
  <si>
    <t>Westfall Local Schools</t>
  </si>
  <si>
    <t>19463 Pherson Pike, Williamsport, Ohio 43164</t>
  </si>
  <si>
    <t>740-986-8800</t>
  </si>
  <si>
    <t>criddel@westfallschools.com</t>
  </si>
  <si>
    <t>This project leverages local economic development resources to target under served and challenging populations (i.e. gifted, special needs, and/or economically disadvantaged) for academic growth and college/career readiness through the development of entrepreneurship skills. By building on partnerships with Ohio Christian University, Pickaway-Ross Career Technical Center, Pickaway County Educational Service Center, and the Pickaway Progress Partnership (P3), we are able to bring more business technology resources to the classroom. The school based businesses such as the Westfall Business Academy, Ink as well as the FFA Supervised Agricultural Experience would become part of the Pickaway Progress Partnership network and the business innovation incubator at Ohio Christian University.</t>
  </si>
  <si>
    <t>Crestwood Local</t>
  </si>
  <si>
    <t>Mr. David Toth, Superintendent</t>
  </si>
  <si>
    <t>Crestwood Local School District</t>
  </si>
  <si>
    <t>4565 West Prospect Street Mantua Ohio 44255</t>
  </si>
  <si>
    <t>330-357-8206 x5006</t>
  </si>
  <si>
    <t>dtoth@crestwoodschools.org</t>
  </si>
  <si>
    <t>The Crestwood project encompasses all goals of the Straight A Fund. Academic Achievement will increase through a blended learning environment and online courses from Ohio's iLearns site and Virtual Community School for remediation, acceleration and advanced placement. Specific reductions and shared services include moving the Crestwood Board of Education offices to the Crestwood Middle School; selling the buildings that currently house the Board offices; creating an online academy at the High School for remediation, acceleration and advanced placement.</t>
  </si>
  <si>
    <t>Crestwood and Rootstown Move Outside the Box</t>
  </si>
  <si>
    <t>Mr. Dave Toth, Superintendent</t>
  </si>
  <si>
    <t>Crestwood Local School District - 049189</t>
  </si>
  <si>
    <t>4656 West Prospect Street Mantua, Ohio 44255</t>
  </si>
  <si>
    <t>The Crestwood and Rootstown Move Outside the Box project encompasses all goals of the Straight A Fund. Academic Achievement will increase through a blended learning, project-based learning environment to science programs including Zulama (online gaming and computer science courses); Astronomy (online projects in collaboration with New Horizons West, Astronomy Magazine, and Night Sky); and online courses fron Ohio's iLearns site for remediation, acceleration. Specific reductions and shared services include moving the Crestwood Board of Education offices to the Crestwood high school; selling the buildings that currently house the Board offices, creating a science wing with state of the art equipment (shared services and academics); adding a Community Resource Room/Media Center with computers for students and families to use; and shared services creating an online, gamified professional development program as part of shared services.</t>
  </si>
  <si>
    <t>Streetsboro City</t>
  </si>
  <si>
    <t>Streetsboro STEM</t>
  </si>
  <si>
    <t>Aireane Curtis</t>
  </si>
  <si>
    <t>Streetsboro City Schools</t>
  </si>
  <si>
    <t>9000 Kirby Lane Streetsboro, Ohio 44241</t>
  </si>
  <si>
    <t>330-626-4900 x1040</t>
  </si>
  <si>
    <t>acurtis@rockets.sparcc.org</t>
  </si>
  <si>
    <t>Our district plans to increase student achievement in all areas through an increased focus on STEM in grades K-12 and STEAM in grades 4-6.</t>
  </si>
  <si>
    <t>Twin Valley Community Local</t>
  </si>
  <si>
    <t>Preble</t>
  </si>
  <si>
    <t>Twin Valley South Instructional Technology II</t>
  </si>
  <si>
    <t>Clinton A. Moore</t>
  </si>
  <si>
    <t>Twin Valley Community Local SD</t>
  </si>
  <si>
    <t>100 Education Drive</t>
  </si>
  <si>
    <t>cmoore@tvs.k12.oh.us</t>
  </si>
  <si>
    <t>We will be able to improve our student to computing ratio from its current level of 3:1 to a 1:1 computing level. We will be able to reinforce our current implementation of high yield, instructional technology, pedagogical strategies through on-going professional development.</t>
  </si>
  <si>
    <t>Putnam County ESC</t>
  </si>
  <si>
    <t>Putnam</t>
  </si>
  <si>
    <t>Dr. Jan Osborn</t>
  </si>
  <si>
    <t>124 Putnam Parkway</t>
  </si>
  <si>
    <t>419-523-5951</t>
  </si>
  <si>
    <t>josborn@pm.noacsc.org</t>
  </si>
  <si>
    <t>ExCEED will increase student achievement and utilize a greater share of resources within the classroom by creating a county-wide blended learning initiative focused on redesigning instructional frameworks with the goal of expanding opportunities to ALL students including an innovative approach to vocational readiness through blending coursework with business partnerships.</t>
  </si>
  <si>
    <t>Jennings Local</t>
  </si>
  <si>
    <t>Nicholas Langhals</t>
  </si>
  <si>
    <t>Superintendent/HS Principal</t>
  </si>
  <si>
    <t>1 Musketeer Drive, PO Box 98, Fort Jennings, OH 45844</t>
  </si>
  <si>
    <t>419-286-2238</t>
  </si>
  <si>
    <t>n_langhals@jn.noacsc.org</t>
  </si>
  <si>
    <t>The equipment requested in this proposal will allow the district to maintain our campus-wide lab internally and will allow us to grow, maintain, and enhance the lab without outside labor/equipment costs. With the proper equipment, our own labor hours will be reduced within the maintenance department and provide savings to be put towards enhancing the STEM Lab, maintaining the new equipment, and prevent further additions to staff.</t>
  </si>
  <si>
    <t>Outdoor STEM/Wellness Lab</t>
  </si>
  <si>
    <t>The outdoor STEM lab will be expanded campus-wide to include wellness, historical, mathematics and language arts components. Jennings Local is looking to add a 3,000 foot long path that will surround the campus that will be open to grades kindergarten through twelfth along with the community. The layout will allow for future growth of the current Green Energy STEM program, open up new physical education opportunities for all ages, allow for integration of local historical facts, mathematical problem solving and language arts pieces, and student career exploration.</t>
  </si>
  <si>
    <t>Clear Fork Valley Local</t>
  </si>
  <si>
    <t>Cindy Kochheiser</t>
  </si>
  <si>
    <t>Clear Fork Valley Local Schools</t>
  </si>
  <si>
    <t>987 St. Rt. 97 E., Bellville, Ohio 44813</t>
  </si>
  <si>
    <t>419-886-2956</t>
  </si>
  <si>
    <t>kochheiserc@clearfork.k12.oh.us</t>
  </si>
  <si>
    <t>iBASE (implement Begin Academic Success Early) will implement a program designed to improve student literacy by giving Bellville Elementary students the opportunity to participate in remediation and literacy activities designed specifically to their individual learning needs. This project will increase access to a greater share of resources in the classroom for students and teachers by providing technology and programming that will improve literacy. Shared resources through the services of our public library will increase the effectiveness and efficiency of our program by enabling students to improve their reading skills during the summer.</t>
  </si>
  <si>
    <t>iBASE (implement Begin Academic Success Early) will implement a program designed to improve student literacy by giving Butler Elementary students the opportunity to participate in remediation and literacy activities designed specifically to their individual learning needs. This project will increase access to a greater share of resources in the classroom for students and teachers by providing technology and programming that will improve literacy. Shared resources through the services of our public library will increase the effectiveness and efficiency of our program by enabling students to improve their reading skills during the summer.</t>
  </si>
  <si>
    <t>987 St. Rt. 97 E, Bellville, Ohio 44813</t>
  </si>
  <si>
    <t>iBUILD will implement a program designed to improve student achievement by giving high school students the opportunity to learn at their own pace using Moodle or Schoology in a rotation model of blended learning. iBUILD will reduce budgeted expenses for equipment replacement cycles by providing a 1:1 ratio of Chrome books that will allow us to redistribute existing equipment. iBUILD will provide high school students and teachers access to a greater share of resources in the classroom and promote shared service opportunities that will allow increased productivity and efficiency.</t>
  </si>
  <si>
    <t>Zane Trace Local</t>
  </si>
  <si>
    <t>Zane Trace Elementary</t>
  </si>
  <si>
    <t>Susan Congrove</t>
  </si>
  <si>
    <t>946 State Route 180, Chillicothe, OH 45601</t>
  </si>
  <si>
    <t>740-775-1304</t>
  </si>
  <si>
    <t>scongrove@ztlsd.org</t>
  </si>
  <si>
    <t>A demanding Common Core Curriculum has required the Zane Trace Local District to rethink how to assure that the Little Pioneers of the future become high achieving fluent readers. It is critical that our district bring in our young students and begin to serve them as preschoolers. An inviting preschool environment filled with engaging opportunities will allow our children to positively succeed with their reading to meet the Third Grade Guarantee requirements.</t>
  </si>
  <si>
    <t>Clay Local</t>
  </si>
  <si>
    <t>Anthony Mantell, Superintendent</t>
  </si>
  <si>
    <t>Clay Local School District</t>
  </si>
  <si>
    <t>44 Clay High St, Portsmouth, OH 45662</t>
  </si>
  <si>
    <t>7403546644 ext 309</t>
  </si>
  <si>
    <t>mantellt@claylocalschools.org</t>
  </si>
  <si>
    <t>The PSTS project at Clay will build a large scale solar power plant on the roof of the CLSD campus. The project will be managed through the school's STEM and Engineering groups so that students get real-world and hands-on experience in the alternative energy industry. The utility cost savings will go to support STEM expansions and sustainability as well as reduce school operating costs so that more funds can be directed directly into the P-12 classrooms rather than operating overhead.</t>
  </si>
  <si>
    <t>The P-SCETI is focused on eliminating barriers in student achievement through increased classroom availability by giving students access to technology that they can take with them each day and weekend through the school year. P-SCETI will accomplish this by implementing a 1 to 1 student to technology ratio and migrating to a blended learning environment. P-SCETI will also enable students to access classes that may not otherwise be available from their home school through shared blended learning class development within the consortium.</t>
  </si>
  <si>
    <t>Green Local</t>
  </si>
  <si>
    <t>Close That Gap!</t>
  </si>
  <si>
    <t>Sandy Mers</t>
  </si>
  <si>
    <t>Green Local School District</t>
  </si>
  <si>
    <t>4070 Gallia Pike, Franklin Furnace, OH 45629</t>
  </si>
  <si>
    <t>740-354-9221</t>
  </si>
  <si>
    <t>sandy.mers@green.k12.oh.us</t>
  </si>
  <si>
    <t>The "Close That Gap!" project has a primary goal to close the gaps currently associated with our SWD population and our lowest 20% in achievement (both were F's on the new report card). In order to achieve this goal we will be incorporating new and existing elements into our district. This project will increase overall student achievement but will especially increase the achievement in our SWD group and at -risk group by utilizing resources and personnel in the classroom to help students identify strengths and weaknesses and learn to overcome and adapt to those identified weaknesses.</t>
  </si>
  <si>
    <t>Washington-Nile Local</t>
  </si>
  <si>
    <t>Washington-Nile Local Technology Innovation Program (TIP)</t>
  </si>
  <si>
    <t>Lisa Cayton</t>
  </si>
  <si>
    <t>Washington-Nile Local SD</t>
  </si>
  <si>
    <t>15332 US Highway 52, West Portsmouth, OH 45663</t>
  </si>
  <si>
    <t>740-858-3882</t>
  </si>
  <si>
    <t>llcayton@west.k12.oh.us</t>
  </si>
  <si>
    <t>Washington-Nile School District will infuse our district with technology resources in order to improve how adults and children alike work and learn. Partnering with Shawnee State University, our staff will welcome young, technologically savvy teacher education students as trainers who model, coach and provide planning support for district faculty in order to heighten meaningful technology integration and empower students as digital natives. Staff and children will connect with our parents and to the world in innovative ways that remedy traditional barriers.</t>
  </si>
  <si>
    <t>Seneca East Local</t>
  </si>
  <si>
    <t>Rigorous Resources for Rurals (R3)</t>
  </si>
  <si>
    <t>Laura Kagy</t>
  </si>
  <si>
    <t>Seneca East Local Schools</t>
  </si>
  <si>
    <t>13343 E. US Rte. 224</t>
  </si>
  <si>
    <t>slkagy@yahoo.com</t>
  </si>
  <si>
    <t>Five rural northwest Ohio districts, in collaboration with Bowling Green State University will improve achievement and college and career readiness for 4-12 students by developing a rigorous, individualized approach to intervention, remediation, and enrichment using emerging technologies and proven teaching and learning strategies. Model lessons and assessments will be developed by teams of educators, consulting with content and instructional design experts, to provide rigorous, engaging resources for content instruction and shared by member districts. Combining the power of one to one technology with individualized instruction will result in engaged classrooms where increased student achievement is commonplace.</t>
  </si>
  <si>
    <t>Fairlawn Local</t>
  </si>
  <si>
    <t>Keith Doseck</t>
  </si>
  <si>
    <t>Fairlawn Local School District</t>
  </si>
  <si>
    <t>18800 Johnston Road, Sidney OHIO 45365</t>
  </si>
  <si>
    <t>937-492-1974</t>
  </si>
  <si>
    <t>doseck@fairlawn.k12.oh.us</t>
  </si>
  <si>
    <t>The Fairlawn Local School District is proposing to updgrade existing mechanical controls and gymnasiums light fixtures in its K-12 school building to allow greater energy efficeincy to save $58,766. This savings will be used for the second part of the project, starting a blended learning (online) program for students in grades 6-12.</t>
  </si>
  <si>
    <t>Stark County ESC</t>
  </si>
  <si>
    <t>Expanding Online Learning in 3D</t>
  </si>
  <si>
    <t>Eric Curts</t>
  </si>
  <si>
    <t>Stark County Education Service Center</t>
  </si>
  <si>
    <t>2100 38th St NW, Canton, OH 44709</t>
  </si>
  <si>
    <t>330-492-8136</t>
  </si>
  <si>
    <t>eric.curts@email.sparcc.org</t>
  </si>
  <si>
    <t>The purpose of this project is to expand and improve our already existing online learning consortium in three ways: in "height" by removing the limit of students we can serve, in "width" by extending the online learning curriculum to more grade levels and subject areas, and in "depth" by providing professional development to improve our schools' use of online learning. By 2020 our goal is for 100% of 6-12 staff to integrate some form of online learning in their curriculum, and for 100% of 6-12 students to experience online learning as part of their formal educational experience.</t>
  </si>
  <si>
    <t>Sustainable Energy for Education (SEE)</t>
  </si>
  <si>
    <t>Larry Morgan, Superintendent</t>
  </si>
  <si>
    <t>Stark County Educational Service Center</t>
  </si>
  <si>
    <t>2100 38th St. NW, Canton, OH 44709</t>
  </si>
  <si>
    <t>larry.morgan@email.sparcc.org</t>
  </si>
  <si>
    <t>Stark County Educational Service Center (SCESC) submits this proposal on behalf of a consortium of 22 school districts in Stark, Wayne, and Carroll counties that will result in millions of dollars in energy costs savings for these school districts. The consortium proposes to partner with county transportation agencies and local governments to implement a first-in-Ohio shared services model installing and operating four Compressed Natural Gas (CNG) fueling stations throughout Stark County and purchasing two CNG buses for each district (44 total). Our conservative projections indicate that $4,210,800 in displaced diesel costs will be returned to school districts in the next five years and that the project will generate $625,000 in additional revenue over the same time period from the sale of CNG fuel to public agencies - namely, sanitation and maintenance agencies.</t>
  </si>
  <si>
    <t>Fairless Local</t>
  </si>
  <si>
    <t>One-to-One Technology for 21st Century Learning</t>
  </si>
  <si>
    <t>Richard L. Hull</t>
  </si>
  <si>
    <t>Fairless Local School District</t>
  </si>
  <si>
    <t>11885 Navarre Road SW, Navarre, Ohio 44662</t>
  </si>
  <si>
    <t>330-767-3577</t>
  </si>
  <si>
    <t>hull_r@falcon.stark.k12.oh.us</t>
  </si>
  <si>
    <t>Technology has the potential to be a positive disruptive force in teaching and learning. The heart of 21st century education reform lies in 1-to-1 technology and learning applications. Web-based blended learning strategies can drive anytime/anywhere learning opportunities that are individualized for all students. Diagnostic assessments, formative assessments, frequent short-cycle assessments of progress and summative assessments of student growth become more efficient with technology. Technology-based assessments will quickly and accurately provide data to drive instructional design that is targeted and differentiated for all students in real-time. Learning will no longer be tied to the classroom. Instead, learning will become an anytime/anywhere opportunity to increase time on task. 1-to-1 iPad technology and web-based learning application programs will drive more resources into the classroom and provide teachers with more time and tools to deliver rigorous 21st century lessons that are relevant and highly e</t>
  </si>
  <si>
    <t>Jackson Local</t>
  </si>
  <si>
    <t>Linda Salom</t>
  </si>
  <si>
    <t>Jackson Local Schools</t>
  </si>
  <si>
    <t>7602 Fulton Dr. NW</t>
  </si>
  <si>
    <t>330-830-8100</t>
  </si>
  <si>
    <t>lms2jc@bearworks.jackson.sparcc.org</t>
  </si>
  <si>
    <t>The Learning Commons (TLC) program at Jackson Local School District will provide all JHS students college and career readiness planning while focusing teacher time towards effective instruction and student assistance. For non-traditional or at-risk students, the TLC will provide innovative instructional pathways to achieve graduation requirements and provide seamless transition to the workforce and higher education. The program includes long term goal planning for 8th and 9th graders, Alternative Graduation Pathways for at-risk, targeted students, teacher mentoring for all students, a Learning Commons and Guided Study Hall for academic support and targeted intervention, and job embedded professional development on Literacy strategies delivered by teacher-leaders and instructional coaches.</t>
  </si>
  <si>
    <t>Lake Local</t>
  </si>
  <si>
    <t>John D. McAllister</t>
  </si>
  <si>
    <t>Lake Local Schools</t>
  </si>
  <si>
    <t>436 King Church Avenue SW Uniontown Ohio 44685</t>
  </si>
  <si>
    <t>330-877-9383</t>
  </si>
  <si>
    <t>mcallisterjohn@lakelocal.org</t>
  </si>
  <si>
    <t>The collaboration between the Lake Local School District and the University of Akron Global Polymer Academy intends to disrupt instruction approaches which tend to passively engage students and present situations to students promoting productive struggle. With productive struggle, students grapple with real world issues and are expected to generate solutions, developing persistence and resilience in pursuing and attaining the learning goal or understanding. In such scenarios, student engagement is maximized and students work collaboratively to solve real world problems. The present effort represents a partnership between the University of Akron Global Polymer Academy {APGA} and the Lake Local School District {LLSD} to systematically promote a Constructivist/Inquiry-Based Learning paradigm across all grade levels and content areas. The introduction of digital tools, promoting one-to-one computing, will be an integral part of this initiative allowing students the ability to access information and generate multi</t>
  </si>
  <si>
    <t>Plain Local</t>
  </si>
  <si>
    <t>Eagle Experience: Eliminating Barriers, Bridging Success</t>
  </si>
  <si>
    <t>Brent May</t>
  </si>
  <si>
    <t>Plain Local Schools</t>
  </si>
  <si>
    <t>901 44th St NW, Canton OH 44709</t>
  </si>
  <si>
    <t>330-492-3500</t>
  </si>
  <si>
    <t>mayb@plainlocal.org</t>
  </si>
  <si>
    <t>Our project calls for the design of an innovative infrastructure of bridges that will provide at risk, underperforming, on level, and high performing students passage across the three most prevalent obstacles impeding their ability to achieve at the highest levels: 1) How they learn; 2) When they learn; and 3) Where they learn.</t>
  </si>
  <si>
    <t>Summit County ESC</t>
  </si>
  <si>
    <t>Joseph Petrarca</t>
  </si>
  <si>
    <t>Summit County Educational Service Center</t>
  </si>
  <si>
    <t>420 Washington Avenue Cuyahoga Falls OH 44221</t>
  </si>
  <si>
    <t>330-945-5600</t>
  </si>
  <si>
    <t>joep@cybersummit.org</t>
  </si>
  <si>
    <t>The purpose of this grant is to train a cohort of 25 individuals in the region served by the Summit and Medina County Educational Service Centers in multisensory reading intervention and remediation techniques leading to Level 1 Certification in the Wilson Reading System (WRS).</t>
  </si>
  <si>
    <t>420 Washington Avenue</t>
  </si>
  <si>
    <t>REACT envisions an innovative shared regional audiology resource center and lab for the Summit and Medina County Educational Service Centers' client districts that will disrupt current service delivery models for students with hearing loss . REACT will provide the following components through a collaboration with the University of Akron: 1) centrally accessible audiology services; and 2) the development of professional connected learning modules for general and special education teachers and related services staff.</t>
  </si>
  <si>
    <t>Nordonia Hills City</t>
  </si>
  <si>
    <t>Dr. Joseph Clark, Superintendent</t>
  </si>
  <si>
    <t>Nordonia Hills City Schools</t>
  </si>
  <si>
    <t>9374 Olde Eight Road, Northfield, OH 44067</t>
  </si>
  <si>
    <t>330-908-6201</t>
  </si>
  <si>
    <t>joe.clark@nordoniaschools.org</t>
  </si>
  <si>
    <t>BASICSS is focused on removing the technological barriers like obsolete, inadequate or costly Data Center Infrastructure that exists today that prevents supporting a viable and sustainable 1:1 student device environment. BASICSS has started and will continue to reduce the rapid obsolescence and escalating costs of IT infrastructure and associated technical support by creating a region shared services model for the Districts Data Centers. This will in-turn enable and support the implementation of a District Augmented BYOD (Bring Your Own Device) program as the cornerstone of a 1:1 student device initiative that will move educational entities to becoming true 21st Century Learning Organizations.</t>
  </si>
  <si>
    <t>Expanding the Digital Frontier-A</t>
  </si>
  <si>
    <t>Todd Stuart</t>
  </si>
  <si>
    <t>Nordonia Hills City Schools 050047</t>
  </si>
  <si>
    <t>9370 Olde Eight Road, Northfield Ohio 44067</t>
  </si>
  <si>
    <t>330.467.0580</t>
  </si>
  <si>
    <t>todd.stuart@nordoniaschools.org</t>
  </si>
  <si>
    <t>The project's primary objective is to provide a One to One initiative using Chromebooks in grades 3-8, while utilizing the devices to create a "zero period" that will allow all students to experience a 24/7 learning environment through online classes and collaboration. Next, the project will provide a location and a program that will be sought after by school districts from around the country. We feel through outreach and advocacy that it is important to reach as many students as possible, even outside of our own school district.</t>
  </si>
  <si>
    <t>Expanding the Digital Frontier-B</t>
  </si>
  <si>
    <t>The project's primary objective is to provide a One to One initiative using Chromebooks in grades 9-12, while utilizing the devices to create a "zero period" that will allow all students to experience a 24/7 learning environment through online classes and collaboration. Next, the project will provide a location and a program that will be sought after by school districts from around the country. We feel through outreach and advocacy that it is important to reach as many students as possible, even outside of our own school district.</t>
  </si>
  <si>
    <t>Revere Local</t>
  </si>
  <si>
    <t>Revere Local Schools</t>
  </si>
  <si>
    <t>Margaret Niedzwiecki</t>
  </si>
  <si>
    <t>3496 Everett Rd, Richfield Ohio 44286</t>
  </si>
  <si>
    <t>330-523-3121</t>
  </si>
  <si>
    <t>mniedzwiecki@revereschools.org</t>
  </si>
  <si>
    <t>The R.Net Professional Development acadmey will be focused on maintaining a cohesive process to develop. implement and monitor dynamic, long-range and systematic technology plans to achieve student academic progress, reduce district spending and utilize greater resouces in the classroom. We will accomplish these goals by systematically providing training for our K-12 reachers to move away form traditional classroom practices to using technology as the central foundation of the student leanring environment.</t>
  </si>
  <si>
    <t>Bristol Local</t>
  </si>
  <si>
    <t>Trumbull</t>
  </si>
  <si>
    <t>Ted Ragan</t>
  </si>
  <si>
    <t>Bristol Local School District</t>
  </si>
  <si>
    <t>1845 Greenville Road PO Box 260, Brisolville, OH 44402</t>
  </si>
  <si>
    <t>(330) 889-3882 ext. 237</t>
  </si>
  <si>
    <t>ted.ragan@neomin.org</t>
  </si>
  <si>
    <t>We propose to purchase Google Chromebooks and Apps on a 1 to 1 initiative for grades 7-12 in an effort to help make students 21st century job ready. All files will be stored and sent electronically, elminating the need for servers and flash drives. Students will also be educated in Cloud Computing, which is the direction information technology is going and the Chromebooks will even be useful for taking the online PARCC assessments.</t>
  </si>
  <si>
    <t>Champion Local</t>
  </si>
  <si>
    <t>Mrs. Rebecca Baxter</t>
  </si>
  <si>
    <t>Champion Local School District</t>
  </si>
  <si>
    <t>5975 Mahoning Ave. NW Warren, OH 44483</t>
  </si>
  <si>
    <t>330 984-2497</t>
  </si>
  <si>
    <t>rebecca.baxter@neomin.org</t>
  </si>
  <si>
    <t>To insure that Champion District teachers are prepared to meet the challenge of fostering 21st century skills in the students they serve, this project will utilize three self-paced, competency-based professional development opportunities online for all grade-level teachers to develop skills in order to create and sustain learner-centered environments utilizing technology. The project will also empower teachers and students by providing an infrastructure of technology that empowers each teacher and student to utilize project-based, inquiry learning, while acquiring the versatility and skills in using various technologies. It will also support and sustain continued professional growth for teachers through an online teacher/university learning community.</t>
  </si>
  <si>
    <t>Liberty Local</t>
  </si>
  <si>
    <t>Pamela McCurdy</t>
  </si>
  <si>
    <t>Liberty Local Schools</t>
  </si>
  <si>
    <t>4115 Shady Road Youngstown, Ohio 44505</t>
  </si>
  <si>
    <t>330-259-3929</t>
  </si>
  <si>
    <t>pamela.mccurdy@neomin.org</t>
  </si>
  <si>
    <t>This grant will focus on improvement of PreK-2 students' reading achievement by sharing common resources county-wide through a Pre-K to K transition system and enhancing our existing K-2 literacy consortium program. The essence of these innovative initiatives are building relationships, sharing information, and fostering continuity to enhance school readiness and K-2 literacy across nineteen districts county-wide.</t>
  </si>
  <si>
    <t>Lordstown Local</t>
  </si>
  <si>
    <t>Samantha Kelecava</t>
  </si>
  <si>
    <t>Math and Language Arts Instructor</t>
  </si>
  <si>
    <t>1824 Salt Springs Rd / Warren, Ohio 44481</t>
  </si>
  <si>
    <t>330-824-2581</t>
  </si>
  <si>
    <t>samantha.kelecava@neomin.org</t>
  </si>
  <si>
    <t>Considering the need for financial literacy is an essential life skill, our program of business simulations with iPad technology gives students the necessary tools to grasp key business and economics concepts. The use of simulations empowers the students by putting them in control of key concepts, principles, and ideas relative to financial literacy, business, and economic development. This in turn facilitates the students to be college, career, and life ready.</t>
  </si>
  <si>
    <t>North Union Local</t>
  </si>
  <si>
    <t>Union</t>
  </si>
  <si>
    <t>Into the Future...With a Plan</t>
  </si>
  <si>
    <t>Dr. Rick Smith</t>
  </si>
  <si>
    <t>North Union Local Schools</t>
  </si>
  <si>
    <t>12920 State Route 739</t>
  </si>
  <si>
    <t>rsmith@nu-district.org</t>
  </si>
  <si>
    <t>North Union Local, Fairbanks Local and Mechanicsburg Exempted Village, in partnership with Metropolitan Educational Council (MEC) and EnvisionEdPlus will address achievement, cost reduction and shared service goals as they re-envision the high school experience within and between districts so every graduate leaves high school with the hard and soft skills they need to succeed in their chosen post-secondary education and/or career pathway. Consortium districts will a) implement a common 9th grade course where students will build and develop a sense of self through the creation of a personalized, career-inclusive 10 year education plan that will drive their individual academic &amp; college/career preparation; and b) use EnvisionEdPlus' Innovation Design Team process to re-design HS operational, structural and academic systems optimizing student learning opportunities. As part of this approach MEC will facilitate a shared service pilot integrating common software/ hardware platforms and using a differentiated appr</t>
  </si>
  <si>
    <t>Lincolnview Local</t>
  </si>
  <si>
    <t>Van Wert</t>
  </si>
  <si>
    <t>Becky Diglia</t>
  </si>
  <si>
    <t>Lincolnview Local Schools</t>
  </si>
  <si>
    <t>15945 Middle Point Road, Van Wert, OH 45891</t>
  </si>
  <si>
    <t>419-968-2226</t>
  </si>
  <si>
    <t>bdiglia@lincolnview.k12.oh.us</t>
  </si>
  <si>
    <t>STEM from the Start (SftS) is designed to: (1) modify systems of elementary education to include STEM (Science, Technology, Engineering, and Math) education by implementing the Engineering is Elementary (EiE) Curriculum; (2) increase teacher's abilities to teach essential understandings and skills in STEM in K-5 classrooms; and (3) Increase technology literacy and STEM skills for students in grades K-5, by increasing availability of technology for students, by creating community collaborations with local organizations, and by providing training, time, and resources for teachers. This project will improve student achievement, provide a greater share of resources in the classroom, and implement a shared services model through implementation of the EiE curriculum, acquisition of additional technology in K-5 classrooms, professional development on technology integration and EiE, and collaboration with local community organizations and businesses. Spending reductions in the five-year fiscal forecast</t>
  </si>
  <si>
    <t>Little Miami Local</t>
  </si>
  <si>
    <t>Regina Morgan</t>
  </si>
  <si>
    <t>Little Miami Local School District</t>
  </si>
  <si>
    <t>7247 Zoar Road; Maineville, OH 45039</t>
  </si>
  <si>
    <t>513-899-5127</t>
  </si>
  <si>
    <t>rmorgan@littlemiamischools.com</t>
  </si>
  <si>
    <t>Little Miami iPLEX, an innovative personal learning lab, will increase student learning and achievement while reducing district costs. Student learning opportunites will be enriched through virtual fieldtrips, virtual conferencing, online applications, online/blended instruction, dual-credit, after school tutoring and alternative after-school learning.</t>
  </si>
  <si>
    <t>Jeffrey Layton</t>
  </si>
  <si>
    <t>Northwestern Schools</t>
  </si>
  <si>
    <t>7571 North Elyria Rd.</t>
  </si>
  <si>
    <t>419-846-3151</t>
  </si>
  <si>
    <t>nrws_layton@tccsa.net</t>
  </si>
  <si>
    <t>This initiative will require teacher creation of blended learning and project-based units involving student research surrounding renewable energy initiatives as well as their environmental impact - solar, wind turbine, geothermal, biofuel, emerging lighting, insulation, and various heating sources would be the focus. The various economic and environmental impacts as well as business practice of fracking might also be an appropriate topic and may include a business proposal in the vein of entrepreneurship focus by student projects. The projects will require purchase and use of technology, grades 5-12 department teacher collaboration and professional development, project-based learning, research, LDC (Literacy Design Collaborative), MDC (Math Design Collaborative), student team-work, presentations, and reporting out of these to the media, area businesses, and on our website.</t>
  </si>
  <si>
    <t>Otsego Local</t>
  </si>
  <si>
    <t>Otsego Propane and All Day Kindergarten Program</t>
  </si>
  <si>
    <t>Adam Koch</t>
  </si>
  <si>
    <t>Otsego Local Schools</t>
  </si>
  <si>
    <t>18505 Tontogany Creek Rd</t>
  </si>
  <si>
    <t>419-823-4381</t>
  </si>
  <si>
    <t>akoch@otsegoknights.org</t>
  </si>
  <si>
    <t>Otsego Local District is seeking funding to implement propane powered school buses &amp; associated refueling infrastructure to significantly reduce operating costs over a five year fiscal timeframe (currently propane is priced at more than 50% less than diesel per gallon) &amp; support all-day, everyday kindergarten with the annual fuel &amp; maintenance savings. Implementing propane as the fuel of choice for Otsego's buses will offer immediate fuel cost savings from the first day of implementation &amp; continue through the lifetime of each vehicle as well as allow the district the ability to continue to purchase more cost effective propane powered vehicles over the longterm. Finally, in addition to offering significant operational cost savings, propane is a domestic fuel sourced as a byproduct from natural gas production &amp; its use as a transportation fuel results in significantly lower bus emissions providing for a healthier environment in the passenger cabin for students as well as for the communities in which the vehicl</t>
  </si>
  <si>
    <t>Mohawk Local</t>
  </si>
  <si>
    <t>Wyandot</t>
  </si>
  <si>
    <t>Kenneth Ratliff</t>
  </si>
  <si>
    <t>Mohawk Local School District</t>
  </si>
  <si>
    <t>295 State Highway 231, Sycamore, OH 44883</t>
  </si>
  <si>
    <t>419-927-6294</t>
  </si>
  <si>
    <t>ken.ratliff@mohawklocal.org</t>
  </si>
  <si>
    <t>Improved energy efficiency is our mechanism for finding fiscal resources to redirect into a digital academy for our students. The digital academy will provide an alternative pathway for students struggling in the traditional classroom setting. As a result of the implementation of the digital academy, we anticipate a reduction in the loss of students to alternative public charter schools, which will reduce revenue losses and shore up the sustainability of both the energy savings and the digital academy.</t>
  </si>
  <si>
    <t>Apollo</t>
  </si>
  <si>
    <t>Doug Bodey</t>
  </si>
  <si>
    <t>Apollo Career Center</t>
  </si>
  <si>
    <t>Apollo Career Center 3325 Shawnee Rd. Lima, OH 45806</t>
  </si>
  <si>
    <t>doug.bodey@apollocc.org</t>
  </si>
  <si>
    <t>Apollo Career Center, along with seven other school districts in our four county regions will form a partnership with four local industry leaders in manufacturing to provide hands-on exploration of manufacturing careers to 7th and 8th graders during the school year, as well as 9th and 10th graders who are pursuing Career Exploration courses. A traveling mobile lab equipped with the latest technology equipment will be used as a platform for learning and innovation to help students develop a personal plan to be career ready within the spectrum of manufacturing pathways; making them more prepared to meet the specific high demand/high wage local employer job opportunities in one of NW Ohio's strongest employment sectors.</t>
  </si>
  <si>
    <t>3325 Shawnee Road</t>
  </si>
  <si>
    <t>This project will move our existing summer school course offerings online while expanding our current online options to students who are at risk of failing or dropping out due to job or family conflicts with our current structured school setting. Students identified as candidates for this program will be given options for online academics and Career-Based Intervention, working on their own schedule and pace. Saving students from dropping out and into gainful employment is the major goal of this grant.</t>
  </si>
  <si>
    <t>Cuyahoga Valley Career Center</t>
  </si>
  <si>
    <t>Empowering Future Change Agents</t>
  </si>
  <si>
    <t>Celena Roebuck</t>
  </si>
  <si>
    <t>8001 Brecksville Road, Brecksville, OH 44141</t>
  </si>
  <si>
    <t>440.838.8920</t>
  </si>
  <si>
    <t>croebuck@cvccworks.edu</t>
  </si>
  <si>
    <t>There are major financial and educational benefits to energy conservation and development of a sustainability mindset. This program will develop a curriculum to addresses these issues from an instructional standpoint while, at the same time, offset the cost of HVAC upgrades to more efficient units. Students enrolled in a career technical HVAC program will learn to evaluate and analyze the decreased energy consumption and transfer their knowledge to their associate school environment.</t>
  </si>
  <si>
    <t>Lorain County JVS</t>
  </si>
  <si>
    <t>Glenn Faircloth</t>
  </si>
  <si>
    <t>15181 State Route 58 Oberlin, OH 44074</t>
  </si>
  <si>
    <t>440-774-1051</t>
  </si>
  <si>
    <t>gfaircloth@lcjvs.net</t>
  </si>
  <si>
    <t>With the use of technology and teacher professional development, the Lorain County JVS will transform teaching and learning to meet the demands of a global economy. LEARN: Anytime, Anywhere will flip our classrooms, provide students and staff with learning resources beyond the school walls and encourage the development of soft and technical skills that will ensure workplace and life success. All active participants in our learning community will benefit from the implementation of LEARN.</t>
  </si>
  <si>
    <t>Ohio Hi-Point Career Center</t>
  </si>
  <si>
    <t>Joel Staudter</t>
  </si>
  <si>
    <t>2280 State Route 540, Bellefontaine Ohio 43311</t>
  </si>
  <si>
    <t>937-599-3010 ext. 1340</t>
  </si>
  <si>
    <t>staudter@Ohiohipoint.com</t>
  </si>
  <si>
    <t>The Distributive Learning through Distance Learning (DL2) consortium is re-imagining career exploration, workforce skills training and school district collaboration. Through DL2 (8 rural school districts, one joint vocational school district, Ohio STEM Learning Network and a variety of industry partners), 10,439 children, in grades 5-12 attending 32 schools that span 4 counties and 740 square miles, will use blended instructional strategies, hands on learning and Mobile Labs to a) enable every 5-6 grade student to explore careers opportunities in four high demand STEM related career pathways; b) provide every interested 7-8th grade student with deeper career exploration and/or actual Career Technical Education (CTE) coursework and work based learning experiences; c) significantly expand CTE access for high school students by offering Ohio Hi-Point courses to students without having to leave their home schools. In order to sustain and scale these initiatives, Ohio STEM Learning Network will coach and support</t>
  </si>
  <si>
    <t>Pickaway-Ross County JVSD</t>
  </si>
  <si>
    <t>Linda Trimmer</t>
  </si>
  <si>
    <t>Pickaway-Ross Joint Vocational School District</t>
  </si>
  <si>
    <t>895 Crouse Chapel Road, Chillicothe, Ohio 45601</t>
  </si>
  <si>
    <t>740-642-1225</t>
  </si>
  <si>
    <t>linda.trimmer@pickawayross.com</t>
  </si>
  <si>
    <t>Pickaway-Ross Joint Vocational School District plans to outfit a 38-foot bus - the Pickaway-Ross Interactive Discovery Edu-bus (PRIDE) - with education stations featuring simulations, digital-learning activities and games that can be changed based on the audience's need. The bus will travel to schools, day-care centers, senior citizen centers, county fairs and other community events, providing fun learning activities to thousands of residents of all ages in the PRJVSD: Pickaway, Ross, Hocking and Madison counties. As a traveling educational road show, the bus will be recognized in the community and promote and encourage STEM education and career-technical training that will be needed to create a skilled workforce.</t>
  </si>
  <si>
    <t>Warren County Vocational School</t>
  </si>
  <si>
    <t>Margaret A. Hess</t>
  </si>
  <si>
    <t>Warren County CTPD</t>
  </si>
  <si>
    <t>3525 North State Route 48 Lebanon, Ohio 45036-1038</t>
  </si>
  <si>
    <t>513.932.5677 ext. 5200</t>
  </si>
  <si>
    <t>Maggie.Hess@mywccc.org</t>
  </si>
  <si>
    <t>In ten (10) high school sites in the HSTW SW Ohio network, we will increase student achievement by implementing a four-course sequence in the SREB Advanced Career pathways (Health Informatics, Aerospace Engineering, Clean Energy Technology, Energy and Power, Innovations in Science and Technology, or Advanced Manufactuing), using ready-to-implement coursework that includes rigorous core academic content as well as technical content, related comprehensive training for teachers, tools and technology for project-based learning, and valid and reliable end-of-course exams and surveys as built-in evaluation and feedback instruments that also can be used to justify dual credit. Once implemented, these engaging courses remain in place in those schools with no added costs, requiring only the normal cost of doing business in any classroom, and can be replicated in other schools within a district, CTPD, or across district lines.</t>
  </si>
  <si>
    <t>Joel Anderson</t>
  </si>
  <si>
    <t>Warren County Vocational School District</t>
  </si>
  <si>
    <t>3529 St. Rt. 48 Lebanon, Ohio 45036</t>
  </si>
  <si>
    <t>513-932-5677 ext. 5210</t>
  </si>
  <si>
    <t>joel.anderson@mywccc.org</t>
  </si>
  <si>
    <t>This innovative project will create a repository of Digital Texts and Electronic Content to prepare students for College and Careers that will be available 24/7 through a One -to-World online experience. This innovative project will be supported by professional development rooted in scientifically based research and create classrooms that model the "Best" and "Next" practices in 21st Century teaching and learning. This innovative project will allow us to increase student achievement and result in utilization of a greater share of resources in the classroom.</t>
  </si>
  <si>
    <t>Over Coming Barriers to Dual Enrollment</t>
  </si>
  <si>
    <t>This innovative project will create a group of high school academic teachers that meet the guidelines of the Higher Learning Commission to deliver Dual Enrollment at the High School level while students receive both high school and college credit. This innovative project will allow high school teachers to gain a Master's degree in their content area. This innovative project will allow us to increase student achievement and result in utilization of a greater share of resources in the classroom.</t>
  </si>
  <si>
    <t>Springfield-Clark County</t>
  </si>
  <si>
    <t>Rick Smith</t>
  </si>
  <si>
    <t>Springfield-Clark CTC</t>
  </si>
  <si>
    <t>1901 Selma Rd., Springfield, OH 45505</t>
  </si>
  <si>
    <t>937-325-7368</t>
  </si>
  <si>
    <t>ricksmith@scctc.org</t>
  </si>
  <si>
    <t>The project will engage a highly innovative energy educational program with a resourceful use of school facilities while building upon comprehensive energy education and experiencing early career exposure. Students at all levels will benefit by using their school building as a hands-on learning lab, working collaboratively with energy audit professionals to investigate, incorporate scientific reasoning, analysis and develop a report with energy savings recommendations. Through this audit process, school districts will save significant dollars on energy usage by implementing recommendations which can then be redirected back into the classroom for other needs.</t>
  </si>
  <si>
    <t>R2R: Rigor, Relevance, and Recovery on the Course to College and Career Success</t>
  </si>
  <si>
    <t>Springfield-Clark Career Technology Center</t>
  </si>
  <si>
    <t>1901 Selma Road</t>
  </si>
  <si>
    <t>Each year, alarming numbers of students quietly disengage from school with less than two years to complete their high school education. This project proposes innovative, efficient and effective strategies for using data, digital content, and online tools to personalize learning, amplify student voice, and re-engage students in the reclamation of their pathways to career credentials and college readiness. The project also proposes to re-engage, re-capture students who may have recently dropped out of the consortium school districts.</t>
  </si>
  <si>
    <t>Trumbull Career &amp; Tech Ctr</t>
  </si>
  <si>
    <t>Mary Flint</t>
  </si>
  <si>
    <t>Trumbull Career &amp; Technical Center</t>
  </si>
  <si>
    <t>528 Educational Highway, Warren, Ohio 44483</t>
  </si>
  <si>
    <t>330-847-0503 Ext 1036</t>
  </si>
  <si>
    <t>mary.flint@neomin.org</t>
  </si>
  <si>
    <t>The goal of Trumbull Career and Technical Center's 1:World initiative is to improve student achievement through intensive professional development and a teacher mentor model aimed at changing pedagogy with effective incorporation of tablet technology. The project will focus on helping teachers promote critical thinking, inquiry-based learning, and personalized learning to raise achievement utilizing tablet technology as a learning-teaching tool. The building-wide implementation of tablet technology will also result in a spending reduction in the five-year fiscal forecast.</t>
  </si>
  <si>
    <t>Adams County/Ohio Valley Local</t>
  </si>
  <si>
    <t>Adams</t>
  </si>
  <si>
    <t>Technology Integration At Every Level</t>
  </si>
  <si>
    <t>Rodney Wallace</t>
  </si>
  <si>
    <t>Adams County Ohio Valley School District</t>
  </si>
  <si>
    <t>141 Lloyd Rd. West Union, Ohio 45693</t>
  </si>
  <si>
    <t>(937) 544-5586 ext. 17620</t>
  </si>
  <si>
    <t>rodney.wallace@ovsd.us</t>
  </si>
  <si>
    <t>The Adams County Ohio Valley Schools: Technology Integration At Every Level provides for the upgrade of wireless infrastructure to seven district buildings allowing for the implementation of a "Bring Your Own Device" policy and technology-driven campus. By impacting student test scores on Ohio assessment tests, increasing efforts to reduce paper usage district wide, and allowing for more access to technology-driven curriculum, our proposal meets three goals: student achievement, cost savings and allowing for greater share of resources.</t>
  </si>
  <si>
    <t>Stark County Area</t>
  </si>
  <si>
    <t>Young Entrepreneur's Consortium</t>
  </si>
  <si>
    <t>Stark County Area Joint Vocational School District</t>
  </si>
  <si>
    <t>2800 Richville Drive SE, Massillon, OH 44646-9480</t>
  </si>
  <si>
    <t>(330) 832-9856</t>
  </si>
  <si>
    <t>The Young Entrepreneur's Consortium is comprised of 12 school districts, three Career and Technical Centers, three higher education partners and 11 business/community partners serving 26,549 students (equal to the 4th largest school district in Ohio) in an 11-county service area that includes Carroll, Guernsey, Holmes, Muskingum, Noble, Perry, Stark, Summit, Tuscarawas, Washington and Wayne counties. The overarching goal of the Young Entrepreneur's Consortium is to increase student achievement by building a robust education-to-employment model, impacting grades 6 through 14, exposing students to an array of business and technical pathways, work-based learning experiences, and leverage project-based learning that can prepare them to compete in the 21st century global economy. The substantial and lasting value of this consortium will be: a) to increase the flow of young entrepreneurs to grow local economies from Northeast to Southeast Ohio; b) to create a replicable template for a variety of business and techn</t>
  </si>
  <si>
    <t>Ashland County-West Holmes</t>
  </si>
  <si>
    <t>Mike McDaniel</t>
  </si>
  <si>
    <t>ASHLAND COUNTY WEST HOLMES JVSD</t>
  </si>
  <si>
    <t>1783 State Route 60, Ashland, OH 44805</t>
  </si>
  <si>
    <t>419-289-3313</t>
  </si>
  <si>
    <t>awhj_mcdanie@tccsa.net</t>
  </si>
  <si>
    <t>Growing our Future seeks not only to draw public attention to the importance of agriculture within Ohio's economy but also provide an educational solution to filling the workforce development pipeline in support of this industry through increasing student interest in and preparation for careers in the Agrisciences. We will utilize an integrated academic experience to introduce elementary students to science and engineering. Middle school students will experience career exploration, gain basic and broad career awareness, and high school students will be challenged with 21st century career skills and career readiness through educational opportunities in Agriscience.</t>
  </si>
  <si>
    <t>Medina County Joint Vocational School District</t>
  </si>
  <si>
    <t>Steve Chrisman, M.Ed., Principal</t>
  </si>
  <si>
    <t>Medina County Career Center, J.V.S.D. #IRN: 062109</t>
  </si>
  <si>
    <t>1101 West Liberty Street, Medina, OH 44256</t>
  </si>
  <si>
    <t>330-725-8461</t>
  </si>
  <si>
    <t>SChrisman@mcjvs.edu</t>
  </si>
  <si>
    <t>Grant funding will facilitate the consolidation of an Engineering Technologies/Design Program and a Precision Machining Technology Program into a Science, Technology, Engineering, and Math (STEM) ENGINEERING AND MANUFACTURING ACADEMY. The STEM ACADEMY in partnership with Automation Tool and Die, Inc., a local manufacturing facility, and the Adult Division of Medina County Joint Vocational School will use a shared delivery model focused on attaining higher student achievement. Placing state-of-the-art equipment in the Academy will lead to opportunities for students to participate in internships and apprenticeships in preparation for challenging and demanding engineering and manufacturing careers.</t>
  </si>
  <si>
    <t>James A. Rhodes State College</t>
  </si>
  <si>
    <t>Dr. Debra L. McCurdy</t>
  </si>
  <si>
    <t>4240 Campus Drive, Lima, OH 45804</t>
  </si>
  <si>
    <t>419-995-8200</t>
  </si>
  <si>
    <t>mccurdy.d@rhodesstate.edu</t>
  </si>
  <si>
    <t>RSC will partner with Elida and Lima Senior high schools to launch an I-STEM Academy in grades 9-12. The goal is to increase high school retention, graduation, and matriculation to college, with special emphasis on minority (African-American, American Indian, Hispanic) and low-income students. The collaborative plan is designed to facilitate awarding a high school diploma and up to 62 hours of transferable college credit toward an Associate of Science or Applied Science degree. The Academy will include aligned, integrated-progressive high school/college curriculum taught by credentialed District or RSC faculty with a videoconferencing (VCON) option sharing credentialed faculty among school partners. Learning simulation will be combined with creative and project-driven opportunities to exhibit students' ability to create, evaluate, and analyze. A STEM-equipped classroom with VCON, computers, Chrome books, and online tutorial packaging will be established. Labs will be upgraded with STEM equipment, models,</t>
  </si>
  <si>
    <t>Northwest Hospitality Bridge Academy of Ohio</t>
  </si>
  <si>
    <t>4240 Campus Drive</t>
  </si>
  <si>
    <t>The Northwest Hospitality Bridge Academy of Ohio (NHBAO) will allow the educational and community partners to accomplish significant goals related to improving student achievement in culinary arts and hospitality management. This collaboration with Lima City Schools, Apollo Career Center, and Rhodes State College (RSC) will improve student persistence, retention and graduation rates by substantially: (1) increasing dual enrollment options to promote student success, (2) providing advanced credentialing opportunities for high school teachers, (3) enhancing high school curriculum offerings, (4) expanding culinary program capacity in the region, (5) using innovative instructional methods for course content delivery, and (6) utilizing an Advisory Board of culinary and hospitality industry experts to ensure the quality of program offerings. The sharing of resources between partners will result in state spending reductions, decreased student debt for higher education, and sustaining a model for the secondary and p</t>
  </si>
  <si>
    <t>Tri-Rivers</t>
  </si>
  <si>
    <t>Charles Speelman</t>
  </si>
  <si>
    <t>Tri-Rivers Career Center</t>
  </si>
  <si>
    <t>2222 Marion-Mt. Gilead Road, Marion, Ohio 43302</t>
  </si>
  <si>
    <t>740-361-2910</t>
  </si>
  <si>
    <t>cspeelman@tririvers.com</t>
  </si>
  <si>
    <t>The United States and Ohio, in particular, face a skills gap. A 2011 Manpower survey found the number of employers struggling to fill positions is at an all-time survey high. The survey documented that 52 percent of U.S. employers are experiencing difficulty filling mission-critical positions, up from 14 percent in 2010. Skilled trade jobs, which require more than a high school diploma but not a four-year degree, featured prominently among the top ten "hardest to fill" jobs of 2011, with skilled trades topping the list. Taking immediate steps to address the skills gap is an educational and economic necessity for Ohio. Many emerging jobs in critical sectors such as health care, clean energy, and advanced manufacturing will require higher math and analytical skills than the trade jobs of the past. States that adopt policies that expand access to education and training for workers at all levels will be positioned to meet the growing demand for higher skills and credentials. If Ohio wants to be at the foref</t>
  </si>
  <si>
    <t>North Central Ohio ESC</t>
  </si>
  <si>
    <t>Dr. Jim Lahoski</t>
  </si>
  <si>
    <t>North Central Ohio Educational Service Center</t>
  </si>
  <si>
    <t>928 West Market St - Suite A</t>
  </si>
  <si>
    <t>419-447-2927 x105</t>
  </si>
  <si>
    <t>jlahoski@ncoesc.org</t>
  </si>
  <si>
    <t>This CNG Solution will deliver longterm, sustainable spending reductions for schools by utilizing significant fuel savings, thereby allowing increased economic efficiency and resources. This cost avoidance will be diverted to other areas of the respective educational program(s) that will directly increase efficiency and effectiveness with long-term sustainability that is replicable for other educational institutions. The CNG Solution is unique, replicable, and will generate significant fuel savings, build scalable infrastructure, and attract additional public and private revenue streams that will make the program sustainable and fund expansion. Grant resources will fund CNG buses, fueling stations, and vocational curriculum development that will support the maintenance and repairs for new CNG vehicles.</t>
  </si>
  <si>
    <t>Ohio Valley ESC</t>
  </si>
  <si>
    <t>Chris Keylor</t>
  </si>
  <si>
    <t>Ohio Valley Educational Service Center</t>
  </si>
  <si>
    <t>128 E. 8th Street, Cambridge, Ohio 43725</t>
  </si>
  <si>
    <t>740-439-3558</t>
  </si>
  <si>
    <t>chris.keylor@omeresa.net</t>
  </si>
  <si>
    <t>The Ohio Valley ESC ELA/Math Curriculum Alignment Project will align the 11th and 12th grade ELA/Math Curriculum, in the 12 school districts in our service area, with the ELA/Math content in Post-Secondary Institutions in our service area. The content, and pre-requisite course requirements and expectations in years 13 and 14 will be aligned with the content at the high school level. This will be a joint effort of our high schools and service area college/universities, facilitated by the Ohio Valley ESC.</t>
  </si>
  <si>
    <t>Mid-Ohio ESC</t>
  </si>
  <si>
    <t>Mid-Ohio Engines of Change</t>
  </si>
  <si>
    <t>Cheryl Cronbaugh</t>
  </si>
  <si>
    <t>Mid-Ohio Educational Service Center</t>
  </si>
  <si>
    <t>890 West Fourth Streeet, Mansfield, Ohio 44906</t>
  </si>
  <si>
    <t>419-774-2500</t>
  </si>
  <si>
    <t>cronbaugh.cheryl@moesc.net</t>
  </si>
  <si>
    <t>The Mid-Ohio Engines of Change project will assist middle school, high school, career-technical, and postsecondary educators in developing technical and career-focused learning experiences and supports that address both the state's new learning standards and the expectations of advanced manufacturing employers in the region. The project will foster, support, and connect the strengths and innovations of 10 local education associations while facilitating collaborative approaches to common challenges. To maximize its impact, the project will enact strategies for strengthening family support for students' career plans and deepening industry participation.</t>
  </si>
  <si>
    <t>Gallia-Vinton ESC</t>
  </si>
  <si>
    <t>Gallia</t>
  </si>
  <si>
    <t>20/20 Vision</t>
  </si>
  <si>
    <t>Dr. Denise Shockley</t>
  </si>
  <si>
    <t>Gallia-Vinton Educational Service Center</t>
  </si>
  <si>
    <t>P.O. 178</t>
  </si>
  <si>
    <t>740-245-0593</t>
  </si>
  <si>
    <t>90_dshockley@seovec.org</t>
  </si>
  <si>
    <t>The Gallia-Vinton ESC and member districts are transforming the "old school" practice of teachers as dispensers of knowledge and students as passive receivers in order to improve student achievement. The consortium's 20/20 Vision is a plan to apply evidence-based strategies within an active learning framework to build students' higher order thinking skills. The consortium will integrate technology into the active learning process to provide multiple methods for students to engage with the curriculum while building 21st century college and career readiness competencies.</t>
  </si>
  <si>
    <t>North Point Educational Service Center</t>
  </si>
  <si>
    <t>Andrea Smith</t>
  </si>
  <si>
    <t>1210 E. Bogart Road; Sandusky, Ohio 44870</t>
  </si>
  <si>
    <t>419-627-3947</t>
  </si>
  <si>
    <t>asmith@npesc.org</t>
  </si>
  <si>
    <t>Project PREPARE includes: Professional development using Research-based instruction and Electronic tools to Prepare educators to Actively enhance Reading achievement for our Early Learners. The goal of this massive regional collaborative is to positively increase the number of students who not only meet, but exceed the reading requirements of the Third Grade Reading Guarantee each year. Project PREPARE incorporates systematic enhancements for teachers, building administrators, and parents to ensure ALL students are on the proper track for long term literacy achievement and life long learning.</t>
  </si>
  <si>
    <t>Youthbuild Columbus Community</t>
  </si>
  <si>
    <t>Leigh Ann King</t>
  </si>
  <si>
    <t>YouthBuild Columbus Community School</t>
  </si>
  <si>
    <t>1183 Essex Avenue Columbus, Ohio 43201</t>
  </si>
  <si>
    <t>614-291-0805</t>
  </si>
  <si>
    <t>lmorrison@youthbuildcolumbus.info</t>
  </si>
  <si>
    <t>Project YouthBridge is a 7 school consortium across central Ohio lead by award winning YouthBuild Community Schools, a member of Youthbuild USA, a national education institution existing in 45 states representing 265 schools. As a diversity leader Project YouthBridge provides online diversity training and decodes individual student learning styles, values and personalities while structuring a learning rich environment and aligning students into resource groups which provide gap-closing opportunities. Project YouthBridge changes the "one size fits all" education system into a student centered environment which encourages strength based programs, independent thinking and alternative teaching methods in the classroom. Additionally, the YouthBridge project provides a model for all school systems to support the Ohio Department of Education's Diversity Strategies for Successful Schools Policy entitled Empowering School Districts to Promote Diversity and Reduce Racial Isolation in Ohio's Schools. As suc</t>
  </si>
  <si>
    <t>Intergenerational School, The</t>
  </si>
  <si>
    <t>Breakthrough Comprehensive Leadership Improvement Program (CLIP)</t>
  </si>
  <si>
    <t>Jessica Cohen</t>
  </si>
  <si>
    <t>The Intergenerational School</t>
  </si>
  <si>
    <t>11327 Shaker Boulevard, Suite 200E, Cleveland, Ohio 44104</t>
  </si>
  <si>
    <t>(216) 539-9349 x2602</t>
  </si>
  <si>
    <t>jcohen@breakthroughschools.org</t>
  </si>
  <si>
    <t>Nine community schools in Cleveland are joining together as a consortium to create a professional development program to develop and grow school leaders in a cost-efficient and effective way. While much of the overall program is funded through a federal grant, this project speaks specifically to the unfunded, one-time start-up cost of creating an online education program for the consortium's leadership institute. The overall objective of the comprehensive Leadership Institute will be to grow and support exceptional school leaders that can maintain the high level of student academic achievement in these schools.</t>
  </si>
  <si>
    <t>Electronic Classroom Of Tomorrow</t>
  </si>
  <si>
    <t>Rick Teeters</t>
  </si>
  <si>
    <t>Electronic Classroom of Tomorrow</t>
  </si>
  <si>
    <t>3700 S. High Street, Suite 95, Columbus, OH 43207</t>
  </si>
  <si>
    <t>614-492-8884</t>
  </si>
  <si>
    <t>Rick.Teeters@ecotoh.org</t>
  </si>
  <si>
    <t>While K-12 education seeks to prepare students for the world of work, traditional pedagogies rarely include practices of the business world and new changes in the college world creating a "disconnect" in expectations between secondary and post-secondary life as evidenced by 24,000 dropouts last year from Ohio schools. Since the two major reasons students leave school are boredom and the inability to "catch up", the consortium seeks to take a different approach to improving academic achievement with the development of a Mastery-Based Learning (MBL) infrastructure using a set of quantitative and qualitative analytics to define and measure the understanding of skills and concepts within Ohio standards (including CCSS). Additionally, the infrastructure will include a reward aligned to the mastery of competencies in the forms of points and digital badges, standardized across the system aligned to the sets of competencies to be mastered; with the entire revolutionary infrastructure disseminated for all to acce</t>
  </si>
  <si>
    <t>The Electronic Classroom of Tomorrow (ECOT)</t>
  </si>
  <si>
    <t>3700 South High St., Columbus, OH 43207-4083</t>
  </si>
  <si>
    <t>614.492.8884 x2271</t>
  </si>
  <si>
    <t>In our district, Third Grade Reading Guarantee interventions are currently in place, but we recognize the need to be proactive in the development of an additional intervention for students who do not meet the Third Grade Reading Guarantee, while also being cognizant of the importance of having similar interventions in mathematics to ensure a solid foundation that prepares students to be successful with the complexities of middle school math. Academic achievement will be improved by providing teachers a comprehensive digital assessment and instructional platform that provides the functionality necessary to deliver personalized intervention solutions for students in grades 3-5 math, as well as students who did not meet the Third Grade Reading Guarantee to get them back to grade level. To address the needs of students in both content areas, the assessment functionality of the platform will include formative and summative testing with detailed standards-based analytics identifying specific instructional needs, wh</t>
  </si>
  <si>
    <t>Horizon Science Acad Cleveland</t>
  </si>
  <si>
    <t>Murat Efe</t>
  </si>
  <si>
    <t>Concept Schools-North Ohio Regional Office</t>
  </si>
  <si>
    <t>2265 Columbus Road, Cleveland, OH 44113</t>
  </si>
  <si>
    <t>Phone: (216) 298-9002 Ext: 202</t>
  </si>
  <si>
    <t>efe@conceptschools.org</t>
  </si>
  <si>
    <t>Our grant targets a Blue-Ribbon high school-Horizon Science Academy Cleveland. We will create 4 new high-needs, STEM career academies at HSA Cleveland in order to prepare our non-AP students, who make up 60 to 70% of the student body, for both college and career pathways. Our Horizon College Completion Initiative will focus on finding, developing, and expanding solutions to help our low-income students get to college and persist through college to postsecondary attainment. Our Horizon Parent University will help mentor and coach parents along the way toward college completion. Reduction of costs will occur through the implementation of a one-time purchase, technology infrastructure that will decrease our dependence on paper and other supplies. Professional development for the career academy teacher training will occur within our charter school network and therefore reduce costs from using an external partner.</t>
  </si>
  <si>
    <t>Horizon Science Academy Columbus</t>
  </si>
  <si>
    <t>2265 Columbus Road Columbus, OH 44113</t>
  </si>
  <si>
    <t>Our grant targets a Blue-Ribbon high school-Horizon Science Academy Columbus. We will create 4 new high-needs, STEM career academies at HSA Columbus in order to prepare our non-AP students, who make up 60 to 70% of the student body, for both college and career pathways. Our Horizon College Completion Initiative will focus on finding, developing, and expanding solutions to help our low-income students get to college and persist through college to postsecondary attainment. Our Horizon Parent University will help mentor and coach parents along the way toward college completion. Reduction of costs will occur through the implementation of a one-time purchase, technology infrastructure that will decrease our dependence on paper and other supplies. Professional development for the career academy teacher training will occur within our charter school network and therefore reduce costs from using an external partner.</t>
  </si>
  <si>
    <t>Toledo School For The Arts</t>
  </si>
  <si>
    <t>Jennifer Fong</t>
  </si>
  <si>
    <t>Toledo School for the Arts</t>
  </si>
  <si>
    <t>333 Fourteenth St Toledo, OH 43604</t>
  </si>
  <si>
    <t>(419) 246-8732 ext. 228</t>
  </si>
  <si>
    <t>jfong@ts4arts.org</t>
  </si>
  <si>
    <t>Toledo School for the Arts (TSA) is implementing an innovative Technology, Arts, and Industry initiative with three primary facets all focused on the goal of preparing students to live and work as productive citizens in a 21st century global community. The three primary facets include a single source media program that revolutionizes our curriculum content delivery system, and an enhanced college readiness program that not only prepares our students for college, but also supports them throughout their college experience and increases the likelihood that they will matriculate. Finally, we expanded our already recognized career technical education by opening our Center for Arts and Industry which houses additional programs such as (but not limited to) fashion and costume design, film and animation production as well as sound recording technology; all are applied courses that continue our mission of integrating arts and academics in a high-quality educational environment centered on student success.</t>
  </si>
  <si>
    <t>Autism Model School</t>
  </si>
  <si>
    <t>Mary Walters</t>
  </si>
  <si>
    <t>The Autism Model School</t>
  </si>
  <si>
    <t>3020 Tremainsville Road, Toledo, Ohio 43613</t>
  </si>
  <si>
    <t>419-897-4400</t>
  </si>
  <si>
    <t>mlw.model@gmail.com</t>
  </si>
  <si>
    <t>In bridging the research-to-practice gap in educational service delivery for students with autism this project utilizes and measures the results of an online, socially-validated, structured assessment/curriculum together with an online competency-based staff training coordinated with Service Guidelines for Individuals with Autism as published by The Ohio Center for Autism and Low Incidence (OCALI). The project will demonstrate: 1) Positive impact on student achievement, 2) Spending reductions in the five-year fiscal forecast, and 3) Utilization of a greater share of resources in the classroom. The project will also demonstrate an evidence-based method to capture students with severe disabilities' progress in learning readiness skills for consideration as a supplement or possible addition to the State Mandated Alternate Assessment by The Ohio Department of Education through review by The Ohio Center for Autism and Low Incidence (OCALI), and the Office of Exceptional Children via the State Support Te</t>
  </si>
  <si>
    <t>Focus Learning Academy of Southwest Columbus</t>
  </si>
  <si>
    <t>Focus Learning Academy of Southeastern Columbus</t>
  </si>
  <si>
    <t>4807 Evanswood Drive, Columbus, Ohio 43229</t>
  </si>
  <si>
    <t>Ohio Virtual Academy</t>
  </si>
  <si>
    <t>Laura Houser</t>
  </si>
  <si>
    <t>Grants Coordinator</t>
  </si>
  <si>
    <t>PO Box 2827, Toledo, OH 43606</t>
  </si>
  <si>
    <t>877-648-2512</t>
  </si>
  <si>
    <t>lhouser@ohva.org</t>
  </si>
  <si>
    <t>The Ohio Virtual Academy is a public virtual school which serves students in all 88 Ohio counties. Face to face/in person support and technical assistance by OHVA staff is crucial for at-risk students and families. This technology will permit additional support for our most endangered families.</t>
  </si>
  <si>
    <t>Trotwood Fitness &amp; Prep Acad</t>
  </si>
  <si>
    <t>Clint Satow</t>
  </si>
  <si>
    <t>Trotwood Preparatory and Fitness Academy</t>
  </si>
  <si>
    <t>3100 Shiloh Springs Road, Trotwood, OH 45426</t>
  </si>
  <si>
    <t>937-854-4100</t>
  </si>
  <si>
    <t>csatow@performanceacademies.com</t>
  </si>
  <si>
    <t>There is ample evidence, from international testing studies to urban graduation rates and persistent achievement gaps (to name but a few), to demonstrate the significant work that remains to be done to insure that all students achieve academic and life-long success. The movement towards a more blended model of instruction and learning--utilizing technology to engage students, deliver personalized instruction, and promote data-driven decision making--stands as the most promising model to meet these challenges. This comprehensive project will improve student performance in six of Ohio's neediest communities by establishing an innovative, sustainable and technology rich learning environment in ten community (charter) schools using shared service delivery model.</t>
  </si>
  <si>
    <t>Lake Erie Academy</t>
  </si>
  <si>
    <t>Karyn Benner</t>
  </si>
  <si>
    <t>2470 West Central Avenue Toledo OH</t>
  </si>
  <si>
    <t>(419) 475-3786</t>
  </si>
  <si>
    <t>karyn.benner@leonagroup.com</t>
  </si>
  <si>
    <t>The project is intended to implement and continue the use of project-based experiential learning as a tool for all students grades K-11 at Lake Erie Academy. Teachers will focus on developing an engaging and stimulating learning environment the is project-based and with a focus on experiential learning as the root of their instruction. Students will become focused, energized and independent learners. The focus of this project will be changing the learning culture, team-building, problem solving, decision making, goal setting, public speaking, use of technology and leadership while solving real world problems. It is a disruptive innovation that will transform the learning environment at Lake Erie.</t>
  </si>
  <si>
    <t>2740 West Central Avenue, Toledo, OH 43606</t>
  </si>
  <si>
    <t>This project seeks to improve the reading ability of K-8 students at Lake Erie Academy using the computer-based program, Read Naturally Live (RN). The project will be a collaborative implementation and research effort between Lake Erie Academy and Bowling Green State University to implement the program, train staff and to determine the effects of the program. Over the course of the grant period the BGSU professor, Dr. Starr Keyes will train LEA teachers on how to implement the Read Naturally program with the students. As the program is implemented Dr. Keyes, her graduate assistant, the staff and leadership will study the impact of the program on reading achievement at Lake Erie, continue with professional development in reading achievement and make the necessary instructional adjustments to assure student success. The goal of the project is to improve reading at all grade levels at Lake Erie Academy,</t>
  </si>
  <si>
    <t>Virtual Community School Of Ohio</t>
  </si>
  <si>
    <t>Ohio Crowdsourced Item Bank Repository (OCIBR)</t>
  </si>
  <si>
    <t>Jeff, Nelson</t>
  </si>
  <si>
    <t>Virtual Community School of Ohio</t>
  </si>
  <si>
    <t>340 Waggoner Road Reynoldsburg, OH 43068</t>
  </si>
  <si>
    <t>(614) 501-2042</t>
  </si>
  <si>
    <t>Jeff.nelson@vcslearn.org</t>
  </si>
  <si>
    <t>Our consortium seeks to pool/crowdsource our collective assessment resources to create a centralized item bank repository linked to the learning management system (LMS) supporting the ilearnOhio platform, a free comprehensive e-learning platform funded by the Ohio General Assembly to support educators and students statewide. Pooling consortium assessment resources and delivering them through a shared services distribution model will eliminate redundant efforts across LEAs and lead to a greater share of resources in the classroom while also promoting significant spending reductions in the future as we minimize our dependency on costly commercial assessment solutions. Building our solution into the LMS of ilearnOhio not only makes it easily scalable and free for all Ohio educators and students, it will allow the item bank to grow exponentially in quality and quantity, thus benefitting all users.</t>
  </si>
  <si>
    <t>Arts &amp; College Preparatory Academy</t>
  </si>
  <si>
    <t>Anthony Gatto</t>
  </si>
  <si>
    <t>Arts and College Preparatory Academy</t>
  </si>
  <si>
    <t>4401 Hilton Corporate Drive</t>
  </si>
  <si>
    <t>614-986-9974</t>
  </si>
  <si>
    <t>gatto@artcollegeprep.org</t>
  </si>
  <si>
    <t>A consortium of 17 community schools will work collaboratively to implement a proven data and assessment system to improve student achievement. The implementation will be supported by an ongoing partnership between the participating community schools and the Ohio Alliance for Public Charter Schools (OAPCS). OAPCS will provide high-quality, job-embedded professional development that will lead to a permanent change in school culture - one in which data is effectively collected, analyzed and used to make decisions about instruction and program effectiveness.</t>
  </si>
  <si>
    <t>02. Executive Summary</t>
  </si>
  <si>
    <t>Application Number</t>
  </si>
  <si>
    <t>County</t>
  </si>
  <si>
    <t>01. Project Title</t>
  </si>
  <si>
    <t>Demonstrating Sustainable Green Practices to Develop "Environmentally Responsible Citizens"</t>
  </si>
  <si>
    <t>MPA 2020:  A Plan for Mastery of Transliteracy, Media and Digital Skills at Menlo Park Academy</t>
  </si>
  <si>
    <t>VOICE - Virtualized Operations for Independent and Collaborative Education</t>
  </si>
  <si>
    <t>College Readiness for All (CRA)</t>
  </si>
  <si>
    <t>Virtual World/Immersive Simulation Technology: Innovative School to Career Pathways</t>
  </si>
  <si>
    <t>Next Generation of Personalized Learning</t>
  </si>
  <si>
    <t>Digital Professional Learning Network: Connecting Teacher educators to the Learning Network</t>
  </si>
  <si>
    <t>Online Integrated Arts/Academic Common Core K-5 Lesson Plans, Activities &amp; Video Modules</t>
  </si>
  <si>
    <t xml:space="preserve">	Mobile Media Module Proposal</t>
  </si>
  <si>
    <t>Metro Early College High School's 12th Grade Guarantee</t>
  </si>
  <si>
    <t xml:space="preserve">Hacker High </t>
  </si>
  <si>
    <t>Academic and Career Readiness Using Quest-Based Learning</t>
  </si>
  <si>
    <t>Blending Learning Paths - Developing 21st Century Outcomes</t>
  </si>
  <si>
    <t>Einstein's Vision: A Digital Integration Education Model</t>
  </si>
  <si>
    <t>GREAT OPTIONS (GO!) Program - New Pathways to Graduation</t>
  </si>
  <si>
    <t>Agriculture and Entrepreneurship Opportunities - Incubator Business Program: Urban Egg Innovation, Hydroponic Indoor Gardening, and the "Say</t>
  </si>
  <si>
    <t>Digital Access for All</t>
  </si>
  <si>
    <t>Transforming a Consortium of Ohio Schools to a Digital Environment</t>
  </si>
  <si>
    <t>Ashland Career Institute - "Building Today's Tomorrow</t>
  </si>
  <si>
    <t>Assess Towards Success &amp; Embracing the Parents</t>
  </si>
  <si>
    <t>Transforming the Traditional Classroom: Performance Tasks, Personalization and Technology</t>
  </si>
  <si>
    <t>Design &amp; Innovation Program</t>
  </si>
  <si>
    <t>University Hospitals/Beachwood High School Medical Academy</t>
  </si>
  <si>
    <t>Berea BMHS - Connected Community of Learners</t>
  </si>
  <si>
    <t>MHJH-Connected Community of Learners</t>
  </si>
  <si>
    <t xml:space="preserve"> BiG Fab Lab Makerspace: An Education, Industry, and Community Partnership</t>
  </si>
  <si>
    <t>Bridging the Gap - One Computer at a Time</t>
  </si>
  <si>
    <t>K-2 Transformation to Literacy and Math Preparatory Schools, Brighter Tomorrow Plan</t>
  </si>
  <si>
    <t>Leveraging Technology to Enrich Student Learning</t>
  </si>
  <si>
    <t>Career Connection: What's Your Goal? What's Your Plan?</t>
  </si>
  <si>
    <t>Reaching for the Stars: Increasing Academic and Social Success in an Urban High School</t>
  </si>
  <si>
    <t>Expanding student achievement in Cleveland and Cincinnati turnaround schools through infusion of Teach For America teachers</t>
  </si>
  <si>
    <t>The Columbus International Mastery School</t>
  </si>
  <si>
    <t xml:space="preserve">Courage, Choice,  Career Credentials and College Credit Drive Dayton Public Schools' Innovation </t>
  </si>
  <si>
    <t>Third Grade Reading Guarantee Quality Network</t>
  </si>
  <si>
    <t>Let's BRAG (Bring Robust Achievement Gains) about our Schools!</t>
  </si>
  <si>
    <t>Out with the Old, in with the New:  A New Vision for Delivering Content to Students</t>
  </si>
  <si>
    <t>21st Century Classroom Technology Initiative (21CCTI)</t>
  </si>
  <si>
    <t>Ensuring High Quality, Effectiveness, Access, and Affordability for Dual-Credit Courses</t>
  </si>
  <si>
    <t>Rivals As Partners, Franklin and Carlisle:  Seperated by a river but building a bridge to close the achievement gap.</t>
  </si>
  <si>
    <t>Children Accessing Technology Successfully To Close Gaps in Math &amp; Science</t>
  </si>
  <si>
    <t>Hamilton Academic and Behavioral Success Initiative</t>
  </si>
  <si>
    <t>Hardin Co: Community Collaboration Driving Educational Excellence, Economic Development and Community Revitalization</t>
  </si>
  <si>
    <t xml:space="preserve"> #ConnectEDLearning (Creating Flexible Digital Environments for Global Learning)</t>
  </si>
  <si>
    <t>Lancaster High School Teachers Create Their Own iTextBooks</t>
  </si>
  <si>
    <t>South Science and Technology Magnet - Sustainable Agriculture and Energies Redesign</t>
  </si>
  <si>
    <t>Digging in for Deeper Learning. A Paradigm Shift in Education: Transitioning from Teaching Content To Teaching Learning for the 21st Century</t>
  </si>
  <si>
    <t>Transforming Today's Classrooms for Tomorrow's Leaders</t>
  </si>
  <si>
    <t>Restructure, Renew, Rejuvenate (3 R's)</t>
  </si>
  <si>
    <t xml:space="preserve">Viking 21 Robotics: Suffusion, Recursion, and Entrepreneurship </t>
  </si>
  <si>
    <t>Differentiate to Accelerate: Personalized Learning for Maximum Growth in Students Identified as "Not on Track" in Grades Kindergarten to Thr</t>
  </si>
  <si>
    <t>Electronic assessment for the whole child.</t>
  </si>
  <si>
    <t>Empowering Parents: To Unleash The Full Potential in Their Child</t>
  </si>
  <si>
    <t>SYNERGY:  Improving student achievement and optimizing resources through greater district charter collaboration</t>
  </si>
  <si>
    <t>Unthinking School... Rethinking Learning</t>
  </si>
  <si>
    <t xml:space="preserve">EPPIC STEPS </t>
  </si>
  <si>
    <t>Success = Parents Communication Collaboration (S=PC^2)</t>
  </si>
  <si>
    <t>Preparing Students for the 21st Century through Emphasis Global Internship Experiences</t>
  </si>
  <si>
    <t>Greater Springfield CareerConnectED Center</t>
  </si>
  <si>
    <t>Scale up for Success</t>
  </si>
  <si>
    <t>Technology and Reading Success (TARS)</t>
  </si>
  <si>
    <t>Pioneering 21st century learning: cultivating exploration and collboration  to foster post- secondary aspirations in a paperless environment</t>
  </si>
  <si>
    <t>Distance Learning Pod Classroom (DLPC) Concept</t>
  </si>
  <si>
    <t>Math 360</t>
  </si>
  <si>
    <t>ACEM: Access to Creative Engagement for Mastery Through Technology</t>
  </si>
  <si>
    <t>Connected Distance Learning Network 2.0 (CDLN 2.0)</t>
  </si>
  <si>
    <t>Willoughby-Eastlake School of Innovation</t>
  </si>
  <si>
    <t>Third Grade Reading Guarantee: GUARANTEED</t>
  </si>
  <si>
    <t>Reduce Wasteful Watts - Reynoldsburg, Worthington &amp; Waverly City School Districts</t>
  </si>
  <si>
    <t>Technology 121:  Integrating 1:1 Technology in Elementary Classrooms</t>
  </si>
  <si>
    <t>enVisioning Mathematics Innovation through Technology (eMITT)</t>
  </si>
  <si>
    <t>enVisioning Mathematics Innovation and Transforming Learning in the Technology Era (eMIT LITE)</t>
  </si>
  <si>
    <t>Chagrin Institute for Innovation, Collaboration, &amp; Entrepreneurship</t>
  </si>
  <si>
    <t>(COLA) Collaborative Online Learning Academy</t>
  </si>
  <si>
    <t>Catapulting Tradition:  A New Direction</t>
  </si>
  <si>
    <t>Sharing Library Services to Support Stakeholder Literacy</t>
  </si>
  <si>
    <t>Implementing a STEAM Entertainment Technology Academy in Mechanicsburg Exempted Village School District: 21st Century Curriculum for 21st Ce</t>
  </si>
  <si>
    <t>High School Blended and Online Pathways to Success</t>
  </si>
  <si>
    <t>Reading Expands All Children's Horizons (REACH)</t>
  </si>
  <si>
    <t>4 Districts Innovative Shared Services for Business Process Management</t>
  </si>
  <si>
    <t>Preserving the small school by creating a quality and sustainable education for the boys and girls of tomorrow.</t>
  </si>
  <si>
    <t xml:space="preserve">Rural 1950s Education to a Global Education </t>
  </si>
  <si>
    <t>Entrepreneurial Incubator: Creating Ohio's Jobs Through 21st Century Entrepreneurial Partnerships</t>
  </si>
  <si>
    <t>Transforming Elida Local Schools into Opportunity Schools</t>
  </si>
  <si>
    <t>The Restructure of the Buckeye Local School District and the Ledgemont Local School District</t>
  </si>
  <si>
    <t>Grand Valley Elementary: Accessing Information Electronically to Enhance Student Learning</t>
  </si>
  <si>
    <t>Math Equity for 7th &amp; 8th Grade Middle School Students</t>
  </si>
  <si>
    <t>On line learning</t>
  </si>
  <si>
    <t>Alexander Schools STEM Project</t>
  </si>
  <si>
    <t>Making Student Technology a Priority through Facility Modernization and Energy Conservation</t>
  </si>
  <si>
    <t xml:space="preserve">Advancing Educational Technology in Butler County Classrooms  </t>
  </si>
  <si>
    <t>Edgewood City School District Blended Learning Implementation</t>
  </si>
  <si>
    <t>Talawanda: Innovation, Technology, &amp; Collaboration to Enhance 21st Century Skills for Students (ITC-21)</t>
  </si>
  <si>
    <t xml:space="preserve">Arrow's School of Advancement </t>
  </si>
  <si>
    <t>eCubed (E3) Academy-Tecumseh Middle School's Electronic Education Expedition</t>
  </si>
  <si>
    <t>Partnership for Enhancing College Options</t>
  </si>
  <si>
    <t>Tearing Down the Walls to Learning</t>
  </si>
  <si>
    <t xml:space="preserve">Building Leaders in STEM </t>
  </si>
  <si>
    <t>Re-imagining Elementary Libraries of the 21st Century</t>
  </si>
  <si>
    <t>Efficiency+Effectiveness+Energy=Excellence(E4)</t>
  </si>
  <si>
    <t>Columbiana County Schools Inspire, Innovate, and Invent (Project Inspire)</t>
  </si>
  <si>
    <t>Corn Silos and Windmills - CONNECTED: All Aboard!</t>
  </si>
  <si>
    <t>Building Independent Learners Through Innovation and Technology</t>
  </si>
  <si>
    <t>A Regional Blended-Learning Approach for a Comprehensive K-3 Literacy and Reading Support System</t>
  </si>
  <si>
    <t>The Connected Collaboration Platform</t>
  </si>
  <si>
    <t>Increased diversity of academic content at the secondary level through a blended learning initiative supported with "Apprentice Teachers".</t>
  </si>
  <si>
    <t>GROWING SOIL</t>
  </si>
  <si>
    <t>Project FAST Forward (Fairfield Advancing Students and Teaching)</t>
  </si>
  <si>
    <t>Improving Reading Achievement Through Orton Gillingham/Multisensory Structured Language Education</t>
  </si>
  <si>
    <t>School Based Health Care Services Center</t>
  </si>
  <si>
    <t>Every Child Reads and Succeeds Model: A Transformational Process for Ensuring Literacy in K-3 Struggling Readers (ECRSM)</t>
  </si>
  <si>
    <t>Assistive Technology Internet Modules: Building capacity for assistive technology (AT) implementation</t>
  </si>
  <si>
    <t>DataStrong</t>
  </si>
  <si>
    <t>Innovative Learning Zones</t>
  </si>
  <si>
    <t>Completing the Core: Measuring Student Progress and Achievement in the Arts</t>
  </si>
  <si>
    <t>Freshman Focus  - (Freshman Transition Program)</t>
  </si>
  <si>
    <t>K to Industry:  Workforce Exploration, Engagement and Immersion</t>
  </si>
  <si>
    <t xml:space="preserve">The Dublin Partnership for Operational Excellence: Collaborating with Ohio State and Cardinal Health to Transform School District Processes </t>
  </si>
  <si>
    <t xml:space="preserve"> Initiating and sustaining student choice and voice during the impressionable years. (Pettisville Grades PK-8)</t>
  </si>
  <si>
    <t xml:space="preserve">Geauga Co Innovation and Career Readiness Consortium </t>
  </si>
  <si>
    <t>Berkshire Local and Newbury Local Consolidation</t>
  </si>
  <si>
    <t>Creating a Collaborative Campus at Kenston</t>
  </si>
  <si>
    <t>RThe West Geauga Cooperative ThinkTank Project (WGCT)</t>
  </si>
  <si>
    <t>Innovating a Tradition of Excellence: Partnering with the Community to Provide a Flexible, Rich, and Challenging Learning Environment</t>
  </si>
  <si>
    <t>Capturing the Innovative Dimensions of Digital and Media Literacy Through the Creation of a State-of-the-Art High School Research Library</t>
  </si>
  <si>
    <t>Developing Student Innovators and Entrepreneurs Through a Creative Approach to Generating and Evolving Ideas</t>
  </si>
  <si>
    <t xml:space="preserve">Creating a Student-Centric, State-of-the-Art Innovation, Research, and Technology Complex </t>
  </si>
  <si>
    <t>Raising Student Achievement, Engagement, and Intrinsic Motivation Through State-of-the-Art High School Scientific Research Laboratories</t>
  </si>
  <si>
    <t>The Cedar Cliff Chromebook Initiative--to Infinity and Beyond</t>
  </si>
  <si>
    <t>ACCESS to Literacy: Interactive Literacy Access for Young Learners</t>
  </si>
  <si>
    <t>A Standards and Content Creation Toolkit with Real World Applications and Career Tech</t>
  </si>
  <si>
    <t>Building a Digital Bridge to the Middle School Classroom of the Future:  A New Vision for Teaching and Learning</t>
  </si>
  <si>
    <t>Bridges of Innovation for Study, Work and Life</t>
  </si>
  <si>
    <t>Faclon Fitness Facility</t>
  </si>
  <si>
    <t>It's Technology Innovations Motivating Education (T.I.M.E.)</t>
  </si>
  <si>
    <t>Individualize for Success</t>
  </si>
  <si>
    <t>Empowering Students with a Blended Learning Approach</t>
  </si>
  <si>
    <t>Lake County Economic Growth for Generations - Digital Fabrications, Computer Writing, and Medical Sciences Network</t>
  </si>
  <si>
    <t>Scaling Up and Moving Forward</t>
  </si>
  <si>
    <t>Technology</t>
  </si>
  <si>
    <t>Bridging the GAP:  Ensuring that all students graduate from high school with the skills necessary to be successful in college and their c</t>
  </si>
  <si>
    <t>Capable Problem-Solvers for the Future, Pataskala and the World (CaPPOW)</t>
  </si>
  <si>
    <t>School of Success</t>
  </si>
  <si>
    <t>ELIO - Empowering Learners and Individualizing Options</t>
  </si>
  <si>
    <t>The Three C Highway - Connecting to College and Careers</t>
  </si>
  <si>
    <t>Quality Business Management for School Districts</t>
  </si>
  <si>
    <t>Innovate, Instruct, Inspire in the MIddle:  Connected Classrooms and Digital Resources</t>
  </si>
  <si>
    <t>Jonathan Alder Digital Equity through Innovative Learning Spaces</t>
  </si>
  <si>
    <t>District-Wide Leveled Literacy Intervention (LLI)</t>
  </si>
  <si>
    <t>Mahoning Academic Cloud (MAC)</t>
  </si>
  <si>
    <t>Changing the face of Education at Canfield High School.</t>
  </si>
  <si>
    <t>Middle School STEM Hub-AST2 (Applied Systems and Technology Transfer)</t>
  </si>
  <si>
    <t xml:space="preserve">ElementarySchoolSTEM-AST2 </t>
  </si>
  <si>
    <t>"Beyond the Bell"</t>
  </si>
  <si>
    <t xml:space="preserve">Reinvesting Energy Savings Into 6th-12th Grade STEM Programs </t>
  </si>
  <si>
    <t xml:space="preserve">A Self-Sustaining Prog to Reduce Costs &amp; Improve Quality of Supp. Serv. by with Lean Enterprise Concepts in two Medina County Schools </t>
  </si>
  <si>
    <t xml:space="preserve">The Cloverleaf Green Project </t>
  </si>
  <si>
    <t>The Cloverleaf "C3 Cafe" Project</t>
  </si>
  <si>
    <t>Student Success through Digital Writing and Reading</t>
  </si>
  <si>
    <t>Reading Success: Individualized Instruction to Meet Requirements of 3rd Grade Guarantee</t>
  </si>
  <si>
    <t>Northmont's iCan Initiative: Introducing Children to  Apps and Technology  to Increase Early Literacy and Progress Monitoring</t>
  </si>
  <si>
    <t xml:space="preserve">Reconceptualizing Mathematics </t>
  </si>
  <si>
    <t>ITTS 21: Interactive Technology for 21st Century Teachers and Students</t>
  </si>
  <si>
    <t>Optimizing Transportation Efficiencies in a Cross District Consortium</t>
  </si>
  <si>
    <t>Educating with CURDS and WHEY:  Financial Literacy Education in Action</t>
  </si>
  <si>
    <t>Logan Elm VALUE: Vision And Learning United for Excellence</t>
  </si>
  <si>
    <t>The Frontiers Project: Retraining and Retooling for Progress</t>
  </si>
  <si>
    <t>Putnam County: Expanding Choices for Enriched Educational Delivery (ExCEED)</t>
  </si>
  <si>
    <t>Equipment to self-maintain campus-side lab</t>
  </si>
  <si>
    <t>iBASE Bellville Elementary - implement Begin Academic Success Early</t>
  </si>
  <si>
    <t>iBASE Butler Elementary - implement Begin Academic Success Early</t>
  </si>
  <si>
    <t>iBUILD</t>
  </si>
  <si>
    <t>Early Intervention</t>
  </si>
  <si>
    <t>PSTS - Powering STEM Through Solar</t>
  </si>
  <si>
    <t>P-SCETI - Pickaway-Scioto County Education Technology Initiative</t>
  </si>
  <si>
    <t>Energy Conservation/Blended Learning Project</t>
  </si>
  <si>
    <t>The Learning Commons (TLC) Program</t>
  </si>
  <si>
    <t xml:space="preserve">Instructional Innovation through Inquiry: Transforming Teaching and Learning, a Collaboration between the Lake Local School District {LLSD} </t>
  </si>
  <si>
    <t>Multisensory Reading Intervention/Remediation Cohort Training</t>
  </si>
  <si>
    <t>Regional Educational Audiology Center for Technology (REACT)</t>
  </si>
  <si>
    <t>Breaking Apart Silos by Increasing Collaboration and Shared Services (BASICSS)</t>
  </si>
  <si>
    <t>R.Net Professional Development Academy</t>
  </si>
  <si>
    <t>Bristol High School Chrome Books</t>
  </si>
  <si>
    <t>Building 21st Century Skills in a Learner-Centered Environment to Empower Digital Citizenship Now and In the Future</t>
  </si>
  <si>
    <t>Trumbull County Partnership for Early Literacy Success (TCP4ELS)</t>
  </si>
  <si>
    <t>Preparing Analyzing and Reinvigorating Students for Economics (PARSE)</t>
  </si>
  <si>
    <t>STEM from the Start (SftS)</t>
  </si>
  <si>
    <t>Little Miami iPLEX  (Innovative Personal Learning Experience)</t>
  </si>
  <si>
    <t>21st Century Systemic, Sustainable Energy/Environmental Blended Learning Project</t>
  </si>
  <si>
    <t>Project FREE PASS - Finding Resources through Energy Efficiency to Provide Alternatives for Student Success.</t>
  </si>
  <si>
    <t>Career Exploration through Fab Lab Educational Outreach</t>
  </si>
  <si>
    <t>Viable Student Options for Impacting Graduation Rates</t>
  </si>
  <si>
    <t>LEARN: Anytime, Anywhere</t>
  </si>
  <si>
    <t xml:space="preserve">Distributive Learning through Distance Learning (DL2) </t>
  </si>
  <si>
    <t>PRIDE (Pickaway-Ross Interactive Discovery Edu-bus)</t>
  </si>
  <si>
    <t>Advanced Career Pathways</t>
  </si>
  <si>
    <t>College and Career Ready through Digital Texts and Electronic Content: One-to-World</t>
  </si>
  <si>
    <t>Linking Careers for 21st Century Students By Developing Sustainable Districts</t>
  </si>
  <si>
    <t>TCTC 1: World</t>
  </si>
  <si>
    <t>Growing our Future</t>
  </si>
  <si>
    <t>STEM ENGINEERING AND MANUFACTURING ACADEMY at Medina County Joint Vocational School, serving 7 high school districts in Medina County.</t>
  </si>
  <si>
    <t>Rhodes State College (RSC) I-STEM Academy</t>
  </si>
  <si>
    <t>RAMTEC Statewide Advanced Manufacturing STEM/CTE Consortium</t>
  </si>
  <si>
    <t>Smart Fuel for Schools 2</t>
  </si>
  <si>
    <t>Ohio Valley Educational Service Center English Language Arts and Math Curriculum Alignment Project.</t>
  </si>
  <si>
    <t>It Takes a Community to Raise a Reader</t>
  </si>
  <si>
    <t>YouthBridge</t>
  </si>
  <si>
    <t>Total Disruption-Learn and Earn: A Mastery-Based Learning System for College and Career Readiness</t>
  </si>
  <si>
    <t>Beyond the Third Grade Reading Guarantee: A Personalized Reading and Mathematics Competency Program for Struggling Students.</t>
  </si>
  <si>
    <t>Horizon Science Academy Cleveland-College Ready, College Bound and College Completion</t>
  </si>
  <si>
    <t>Horizon Science Academy-College Ready, College Bound and College Completion</t>
  </si>
  <si>
    <t>Toledo School for the Arts (TSA) Technology Arts and Industry Initiative</t>
  </si>
  <si>
    <t>Research to Practice; Bridging the Educational Service Gap for Students with Autism and Severe Disabilities</t>
  </si>
  <si>
    <t>Ohio Virtual Academy - In Home Academic Support</t>
  </si>
  <si>
    <t>Promoting Achievement through Blended Learning</t>
  </si>
  <si>
    <t>Disruptive Innovation to Transform the Learning Environment at Lake Erie Academy</t>
  </si>
  <si>
    <t>Improving and Studying Reading Skills in an Urban Environment Using Read Naturally Live</t>
  </si>
  <si>
    <t>Data Matters: Building Self-Sustaining Data Cultures in a Consortium of Ohio's Public Community Schools</t>
  </si>
  <si>
    <t>05d. Phone number of Lead Applicant</t>
  </si>
  <si>
    <t>Amount Requested</t>
  </si>
  <si>
    <t>000222</t>
  </si>
  <si>
    <t>000298</t>
  </si>
  <si>
    <t>000318</t>
  </si>
  <si>
    <t>000396</t>
  </si>
  <si>
    <t>000417</t>
  </si>
  <si>
    <t>000546</t>
  </si>
  <si>
    <t>000613</t>
  </si>
  <si>
    <t>000770</t>
  </si>
  <si>
    <t>000781</t>
  </si>
  <si>
    <t>007999</t>
  </si>
  <si>
    <t>009122</t>
  </si>
  <si>
    <t>009148</t>
  </si>
  <si>
    <t>011439</t>
  </si>
  <si>
    <t>011507</t>
  </si>
  <si>
    <t>011967</t>
  </si>
  <si>
    <t>012045</t>
  </si>
  <si>
    <t>012391</t>
  </si>
  <si>
    <t>012529</t>
  </si>
  <si>
    <t>013201</t>
  </si>
  <si>
    <t>013892</t>
  </si>
  <si>
    <t>013967</t>
  </si>
  <si>
    <t>013994</t>
  </si>
  <si>
    <t>014051</t>
  </si>
  <si>
    <t>014130</t>
  </si>
  <si>
    <t>014158</t>
  </si>
  <si>
    <t>014188</t>
  </si>
  <si>
    <t>043497</t>
  </si>
  <si>
    <t>043505</t>
  </si>
  <si>
    <t>043513</t>
  </si>
  <si>
    <t>043539</t>
  </si>
  <si>
    <t>043554</t>
  </si>
  <si>
    <t>043612</t>
  </si>
  <si>
    <t>043638</t>
  </si>
  <si>
    <t>043695</t>
  </si>
  <si>
    <t>043711</t>
  </si>
  <si>
    <t>043729</t>
  </si>
  <si>
    <t>043737</t>
  </si>
  <si>
    <t>043745</t>
  </si>
  <si>
    <t>043752</t>
  </si>
  <si>
    <t>043786</t>
  </si>
  <si>
    <t>043794</t>
  </si>
  <si>
    <t>043802</t>
  </si>
  <si>
    <t>043810</t>
  </si>
  <si>
    <t>043844</t>
  </si>
  <si>
    <t>043851</t>
  </si>
  <si>
    <t>043869</t>
  </si>
  <si>
    <t>043877</t>
  </si>
  <si>
    <t>043885</t>
  </si>
  <si>
    <t>043943</t>
  </si>
  <si>
    <t>043968</t>
  </si>
  <si>
    <t>043984</t>
  </si>
  <si>
    <t>043992</t>
  </si>
  <si>
    <t>044008</t>
  </si>
  <si>
    <t>044107</t>
  </si>
  <si>
    <t>044172</t>
  </si>
  <si>
    <t>044180</t>
  </si>
  <si>
    <t>044198</t>
  </si>
  <si>
    <t>044206</t>
  </si>
  <si>
    <t>044222</t>
  </si>
  <si>
    <t>044248</t>
  </si>
  <si>
    <t>044263</t>
  </si>
  <si>
    <t>044305</t>
  </si>
  <si>
    <t>044321</t>
  </si>
  <si>
    <t>044339</t>
  </si>
  <si>
    <t>044354</t>
  </si>
  <si>
    <t>044388</t>
  </si>
  <si>
    <t>044396</t>
  </si>
  <si>
    <t>044404</t>
  </si>
  <si>
    <t>044453</t>
  </si>
  <si>
    <t>044503</t>
  </si>
  <si>
    <t>044560</t>
  </si>
  <si>
    <t>044586</t>
  </si>
  <si>
    <t>044594</t>
  </si>
  <si>
    <t>044602</t>
  </si>
  <si>
    <t>044636</t>
  </si>
  <si>
    <t>044651</t>
  </si>
  <si>
    <t>044669</t>
  </si>
  <si>
    <t>044735</t>
  </si>
  <si>
    <t>044743</t>
  </si>
  <si>
    <t>044750</t>
  </si>
  <si>
    <t>044768</t>
  </si>
  <si>
    <t>044784</t>
  </si>
  <si>
    <t>044818</t>
  </si>
  <si>
    <t>044826</t>
  </si>
  <si>
    <t>044859</t>
  </si>
  <si>
    <t>044875</t>
  </si>
  <si>
    <t>044883</t>
  </si>
  <si>
    <t>044909</t>
  </si>
  <si>
    <t>044974</t>
  </si>
  <si>
    <t>045005</t>
  </si>
  <si>
    <t>045047</t>
  </si>
  <si>
    <t>045104</t>
  </si>
  <si>
    <t>045120</t>
  </si>
  <si>
    <t>045138</t>
  </si>
  <si>
    <t>045179</t>
  </si>
  <si>
    <t>045195</t>
  </si>
  <si>
    <t>045203</t>
  </si>
  <si>
    <t>045286</t>
  </si>
  <si>
    <t>045328</t>
  </si>
  <si>
    <t>045369</t>
  </si>
  <si>
    <t>045393</t>
  </si>
  <si>
    <t>045484</t>
  </si>
  <si>
    <t>045492</t>
  </si>
  <si>
    <t>045518</t>
  </si>
  <si>
    <t>045534</t>
  </si>
  <si>
    <t>045591</t>
  </si>
  <si>
    <t>045658</t>
  </si>
  <si>
    <t>045666</t>
  </si>
  <si>
    <t>045757</t>
  </si>
  <si>
    <t>045765</t>
  </si>
  <si>
    <t>045773</t>
  </si>
  <si>
    <t>045856</t>
  </si>
  <si>
    <t>045864</t>
  </si>
  <si>
    <t>045880</t>
  </si>
  <si>
    <t>045906</t>
  </si>
  <si>
    <t>046060</t>
  </si>
  <si>
    <t>046078</t>
  </si>
  <si>
    <t>046086</t>
  </si>
  <si>
    <t>046094</t>
  </si>
  <si>
    <t>046144</t>
  </si>
  <si>
    <t>046151</t>
  </si>
  <si>
    <t>046243</t>
  </si>
  <si>
    <t>046250</t>
  </si>
  <si>
    <t>046268</t>
  </si>
  <si>
    <t>046284</t>
  </si>
  <si>
    <t>046318</t>
  </si>
  <si>
    <t>046342</t>
  </si>
  <si>
    <t>046417</t>
  </si>
  <si>
    <t>046458</t>
  </si>
  <si>
    <t>046524</t>
  </si>
  <si>
    <t>046532</t>
  </si>
  <si>
    <t>046581</t>
  </si>
  <si>
    <t>046607</t>
  </si>
  <si>
    <t>046706</t>
  </si>
  <si>
    <t>046813</t>
  </si>
  <si>
    <t>046839</t>
  </si>
  <si>
    <t>046896</t>
  </si>
  <si>
    <t>046938</t>
  </si>
  <si>
    <t>046946</t>
  </si>
  <si>
    <t>046953</t>
  </si>
  <si>
    <t>047019</t>
  </si>
  <si>
    <t>047027</t>
  </si>
  <si>
    <t>047068</t>
  </si>
  <si>
    <t>047076</t>
  </si>
  <si>
    <t>047159</t>
  </si>
  <si>
    <t>047167</t>
  </si>
  <si>
    <t>047191</t>
  </si>
  <si>
    <t>047225</t>
  </si>
  <si>
    <t>047241</t>
  </si>
  <si>
    <t>047258</t>
  </si>
  <si>
    <t>047308</t>
  </si>
  <si>
    <t>047324</t>
  </si>
  <si>
    <t>047332</t>
  </si>
  <si>
    <t>047365</t>
  </si>
  <si>
    <t>047373</t>
  </si>
  <si>
    <t>047399</t>
  </si>
  <si>
    <t>047514</t>
  </si>
  <si>
    <t>047548</t>
  </si>
  <si>
    <t>047787</t>
  </si>
  <si>
    <t>047795</t>
  </si>
  <si>
    <t>047803</t>
  </si>
  <si>
    <t>047860</t>
  </si>
  <si>
    <t>047902</t>
  </si>
  <si>
    <t>047944</t>
  </si>
  <si>
    <t>047993</t>
  </si>
  <si>
    <t>048009</t>
  </si>
  <si>
    <t>048041</t>
  </si>
  <si>
    <t>048058</t>
  </si>
  <si>
    <t>048082</t>
  </si>
  <si>
    <t>048090</t>
  </si>
  <si>
    <t>048116</t>
  </si>
  <si>
    <t>048132</t>
  </si>
  <si>
    <t>048157</t>
  </si>
  <si>
    <t>048173</t>
  </si>
  <si>
    <t>048199</t>
  </si>
  <si>
    <t>048215</t>
  </si>
  <si>
    <t>048264</t>
  </si>
  <si>
    <t>048272</t>
  </si>
  <si>
    <t>048280</t>
  </si>
  <si>
    <t>048314</t>
  </si>
  <si>
    <t>048348</t>
  </si>
  <si>
    <t>048363</t>
  </si>
  <si>
    <t>048397</t>
  </si>
  <si>
    <t>048462</t>
  </si>
  <si>
    <t>048470</t>
  </si>
  <si>
    <t>048488</t>
  </si>
  <si>
    <t>048629</t>
  </si>
  <si>
    <t>048660</t>
  </si>
  <si>
    <t>048710</t>
  </si>
  <si>
    <t>048728</t>
  </si>
  <si>
    <t>048819</t>
  </si>
  <si>
    <t>048843</t>
  </si>
  <si>
    <t>048884</t>
  </si>
  <si>
    <t>048900</t>
  </si>
  <si>
    <t>048926</t>
  </si>
  <si>
    <t>049080</t>
  </si>
  <si>
    <t>049098</t>
  </si>
  <si>
    <t>049106</t>
  </si>
  <si>
    <t>049189</t>
  </si>
  <si>
    <t>049239</t>
  </si>
  <si>
    <t>049296</t>
  </si>
  <si>
    <t>049304</t>
  </si>
  <si>
    <t>049338</t>
  </si>
  <si>
    <t>049411</t>
  </si>
  <si>
    <t>049544</t>
  </si>
  <si>
    <t>049601</t>
  </si>
  <si>
    <t>049619</t>
  </si>
  <si>
    <t>049650</t>
  </si>
  <si>
    <t>049684</t>
  </si>
  <si>
    <t>049775</t>
  </si>
  <si>
    <t>049825</t>
  </si>
  <si>
    <t>049841</t>
  </si>
  <si>
    <t>049858</t>
  </si>
  <si>
    <t>049866</t>
  </si>
  <si>
    <t>049932</t>
  </si>
  <si>
    <t>049965</t>
  </si>
  <si>
    <t>050047</t>
  </si>
  <si>
    <t>050054</t>
  </si>
  <si>
    <t>050112</t>
  </si>
  <si>
    <t>050138</t>
  </si>
  <si>
    <t>050195</t>
  </si>
  <si>
    <t>050203</t>
  </si>
  <si>
    <t>050336</t>
  </si>
  <si>
    <t>050369</t>
  </si>
  <si>
    <t>050443</t>
  </si>
  <si>
    <t>050575</t>
  </si>
  <si>
    <t>050724</t>
  </si>
  <si>
    <t>050740</t>
  </si>
  <si>
    <t>050773</t>
  </si>
  <si>
    <t>050922</t>
  </si>
  <si>
    <t>051227</t>
  </si>
  <si>
    <t>051334</t>
  </si>
  <si>
    <t>051433</t>
  </si>
  <si>
    <t>051474</t>
  </si>
  <si>
    <t>051532</t>
  </si>
  <si>
    <t>051631</t>
  </si>
  <si>
    <t>061903</t>
  </si>
  <si>
    <t>062026</t>
  </si>
  <si>
    <t>062042</t>
  </si>
  <si>
    <t>062109</t>
  </si>
  <si>
    <t>064501</t>
  </si>
  <si>
    <t>065268</t>
  </si>
  <si>
    <t>123257</t>
  </si>
  <si>
    <t>123281</t>
  </si>
  <si>
    <t>123521</t>
  </si>
  <si>
    <t>125682</t>
  </si>
  <si>
    <t>125690</t>
  </si>
  <si>
    <t>132985</t>
  </si>
  <si>
    <t>133215</t>
  </si>
  <si>
    <t>133413</t>
  </si>
  <si>
    <t>133629</t>
  </si>
  <si>
    <t>133660</t>
  </si>
  <si>
    <t>133942</t>
  </si>
  <si>
    <t>134122</t>
  </si>
  <si>
    <t>142927</t>
  </si>
  <si>
    <t>142935</t>
  </si>
  <si>
    <t>142950</t>
  </si>
  <si>
    <t>143206</t>
  </si>
  <si>
    <t>143503</t>
  </si>
  <si>
    <t>143537</t>
  </si>
  <si>
    <t>143610</t>
  </si>
  <si>
    <t>Organization
Type</t>
  </si>
  <si>
    <t>Organization
Name</t>
  </si>
  <si>
    <t>09b. Project Goals - Spending reductions in the 5-year fiscal forecast</t>
  </si>
  <si>
    <t>09c. Project Goals -
Utilization of a greater share of resources in the classroom</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</si>
</sst>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4" formatCode="_(&quot;$&quot;* #,##0.00_);_(&quot;$&quot;* \(#,##0.00\);_(&quot;$&quot;* &quot;-&quot;??_);_(@_)"/>
    <numFmt numFmtId="164" formatCode="000000"/>
  </numFmts>
  <fonts count="23"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rgb="FF0066AA"/>
      <name val="Calibri"/>
      <family val="2"/>
      <scheme val="minor"/>
    </font>
    <font>
      <u/>
      <sz val="11"/>
      <color rgb="FF004488"/>
      <name val="Calibri"/>
      <family val="2"/>
      <scheme val="minor"/>
    </font>
    <font>
      <sz val="12"/>
      <color rgb="FF002288"/>
      <name val="Arial"/>
      <family val="2"/>
    </font>
    <font>
      <b/>
      <sz val="10"/>
      <name val="Calibri"/>
      <family val="2"/>
      <scheme val="minor"/>
    </font>
    <font>
      <sz val="8"/>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249977111117893"/>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s>
  <cellStyleXfs count="45">
    <xf numFmtId="0" fontId="0" fillId="0" borderId="0"/>
    <xf numFmtId="4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cellStyleXfs>
  <cellXfs count="5">
    <xf numFmtId="0" fontId="0" fillId="0" borderId="0" xfId="0"/>
    <xf numFmtId="164" fontId="21" fillId="33" borderId="10" xfId="0" applyNumberFormat="1" applyFont="1" applyFill="1" applyBorder="1" applyAlignment="1">
      <alignment horizontal="center" vertical="top" wrapText="1"/>
    </xf>
    <xf numFmtId="0" fontId="22" fillId="0" borderId="10" xfId="0" applyFont="1" applyFill="1" applyBorder="1" applyAlignment="1">
      <alignment vertical="top" wrapText="1"/>
    </xf>
    <xf numFmtId="44" fontId="22" fillId="0" borderId="10" xfId="1" applyFont="1" applyFill="1" applyBorder="1" applyAlignment="1">
      <alignment vertical="top" wrapText="1"/>
    </xf>
    <xf numFmtId="0" fontId="20" fillId="0" borderId="0" xfId="0" applyFont="1" applyFill="1"/>
  </cellXfs>
  <cellStyles count="45">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urrency" xfId="1" builtinId="4"/>
    <cellStyle name="Explanatory Text" xfId="17" builtinId="53" customBuiltin="1"/>
    <cellStyle name="Followed Hyperlink" xfId="44" builtinId="9"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Hyperlink" xfId="43" builtinId="8"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traight_a_2015_detail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w_data_all_applications"/>
      <sheetName val="aggregate"/>
      <sheetName val="raw_data"/>
    </sheetNames>
    <sheetDataSet>
      <sheetData sheetId="0"/>
      <sheetData sheetId="1"/>
      <sheetData sheetId="2">
        <row r="4">
          <cell r="B4" t="str">
            <v>000222</v>
          </cell>
          <cell r="C4" t="str">
            <v>Community School</v>
          </cell>
        </row>
        <row r="5">
          <cell r="B5" t="str">
            <v>000298</v>
          </cell>
          <cell r="C5" t="str">
            <v>Community School</v>
          </cell>
        </row>
        <row r="6">
          <cell r="B6" t="str">
            <v>000318</v>
          </cell>
          <cell r="C6" t="str">
            <v>Community School</v>
          </cell>
        </row>
        <row r="7">
          <cell r="B7" t="str">
            <v>000396</v>
          </cell>
          <cell r="C7" t="str">
            <v>Community School</v>
          </cell>
        </row>
        <row r="8">
          <cell r="B8" t="str">
            <v>000417</v>
          </cell>
          <cell r="C8" t="str">
            <v>Community School</v>
          </cell>
        </row>
        <row r="9">
          <cell r="B9" t="str">
            <v>000546</v>
          </cell>
          <cell r="C9" t="str">
            <v>Community School</v>
          </cell>
        </row>
        <row r="10">
          <cell r="B10" t="str">
            <v>000613</v>
          </cell>
          <cell r="C10" t="str">
            <v>Community School</v>
          </cell>
        </row>
        <row r="11">
          <cell r="B11" t="str">
            <v>000770</v>
          </cell>
          <cell r="C11" t="str">
            <v>Community School</v>
          </cell>
        </row>
        <row r="12">
          <cell r="B12" t="str">
            <v>000781</v>
          </cell>
          <cell r="C12" t="str">
            <v>Community School</v>
          </cell>
        </row>
        <row r="13">
          <cell r="B13" t="str">
            <v>007999</v>
          </cell>
          <cell r="C13" t="str">
            <v>Community School</v>
          </cell>
        </row>
        <row r="14">
          <cell r="B14" t="str">
            <v>009122</v>
          </cell>
          <cell r="C14" t="str">
            <v>Community School</v>
          </cell>
        </row>
        <row r="15">
          <cell r="B15" t="str">
            <v>009122</v>
          </cell>
          <cell r="C15" t="str">
            <v>Community School</v>
          </cell>
        </row>
        <row r="16">
          <cell r="B16" t="str">
            <v>009148</v>
          </cell>
          <cell r="C16" t="str">
            <v>Community School</v>
          </cell>
        </row>
        <row r="17">
          <cell r="B17" t="str">
            <v>011439</v>
          </cell>
          <cell r="C17" t="str">
            <v>Community School</v>
          </cell>
        </row>
        <row r="18">
          <cell r="B18" t="str">
            <v>011507</v>
          </cell>
          <cell r="C18" t="str">
            <v>Community School</v>
          </cell>
        </row>
        <row r="19">
          <cell r="B19" t="str">
            <v>011967</v>
          </cell>
          <cell r="C19" t="str">
            <v>Community School</v>
          </cell>
        </row>
        <row r="20">
          <cell r="B20" t="str">
            <v>012045</v>
          </cell>
          <cell r="C20" t="str">
            <v>Community School</v>
          </cell>
        </row>
        <row r="21">
          <cell r="B21" t="str">
            <v>012391</v>
          </cell>
          <cell r="C21" t="str">
            <v>STEM</v>
          </cell>
        </row>
        <row r="22">
          <cell r="B22" t="str">
            <v>012529</v>
          </cell>
          <cell r="C22" t="str">
            <v>Community School</v>
          </cell>
        </row>
        <row r="23">
          <cell r="B23" t="str">
            <v>013201</v>
          </cell>
          <cell r="C23" t="str">
            <v>Community School</v>
          </cell>
        </row>
        <row r="24">
          <cell r="B24" t="str">
            <v>013201</v>
          </cell>
          <cell r="C24" t="str">
            <v>Community School</v>
          </cell>
        </row>
        <row r="25">
          <cell r="B25" t="str">
            <v>013892</v>
          </cell>
          <cell r="C25" t="str">
            <v>Community School</v>
          </cell>
        </row>
        <row r="26">
          <cell r="B26" t="str">
            <v>013967</v>
          </cell>
          <cell r="C26" t="str">
            <v>Community School</v>
          </cell>
        </row>
        <row r="27">
          <cell r="B27" t="str">
            <v>013994</v>
          </cell>
          <cell r="C27" t="str">
            <v>Community School</v>
          </cell>
        </row>
        <row r="28">
          <cell r="B28" t="str">
            <v>014051</v>
          </cell>
          <cell r="C28" t="str">
            <v>Community School</v>
          </cell>
        </row>
        <row r="29">
          <cell r="B29" t="str">
            <v>014130</v>
          </cell>
          <cell r="C29" t="str">
            <v>Community School</v>
          </cell>
        </row>
        <row r="30">
          <cell r="B30" t="str">
            <v>014158</v>
          </cell>
          <cell r="C30" t="str">
            <v>Community School</v>
          </cell>
        </row>
        <row r="31">
          <cell r="B31" t="str">
            <v>014188</v>
          </cell>
          <cell r="C31" t="str">
            <v>Community School</v>
          </cell>
        </row>
        <row r="32">
          <cell r="B32" t="str">
            <v>043497</v>
          </cell>
          <cell r="C32" t="str">
            <v>Public District</v>
          </cell>
        </row>
        <row r="33">
          <cell r="B33" t="str">
            <v>043497</v>
          </cell>
          <cell r="C33" t="str">
            <v>Public District</v>
          </cell>
        </row>
        <row r="34">
          <cell r="B34" t="str">
            <v>043505</v>
          </cell>
          <cell r="C34" t="str">
            <v>Public District</v>
          </cell>
        </row>
        <row r="35">
          <cell r="B35" t="str">
            <v>043513</v>
          </cell>
          <cell r="C35" t="str">
            <v>Public District</v>
          </cell>
        </row>
        <row r="36">
          <cell r="B36" t="str">
            <v>043539</v>
          </cell>
          <cell r="C36" t="str">
            <v>Public District</v>
          </cell>
        </row>
        <row r="37">
          <cell r="B37" t="str">
            <v>043539</v>
          </cell>
          <cell r="C37" t="str">
            <v>Public District</v>
          </cell>
        </row>
        <row r="38">
          <cell r="B38" t="str">
            <v>043554</v>
          </cell>
          <cell r="C38" t="str">
            <v>Public District</v>
          </cell>
        </row>
        <row r="39">
          <cell r="B39" t="str">
            <v>043554</v>
          </cell>
          <cell r="C39" t="str">
            <v>Public District</v>
          </cell>
        </row>
        <row r="40">
          <cell r="B40" t="str">
            <v>043554</v>
          </cell>
          <cell r="C40" t="str">
            <v>Public District</v>
          </cell>
        </row>
        <row r="41">
          <cell r="B41" t="str">
            <v>043612</v>
          </cell>
          <cell r="C41" t="str">
            <v>Public District</v>
          </cell>
        </row>
        <row r="42">
          <cell r="B42" t="str">
            <v>043612</v>
          </cell>
          <cell r="C42" t="str">
            <v>Public District</v>
          </cell>
        </row>
        <row r="43">
          <cell r="B43" t="str">
            <v>043638</v>
          </cell>
          <cell r="C43" t="str">
            <v>Public District</v>
          </cell>
        </row>
        <row r="44">
          <cell r="B44" t="str">
            <v>043695</v>
          </cell>
          <cell r="C44" t="str">
            <v>Public District</v>
          </cell>
        </row>
        <row r="45">
          <cell r="B45" t="str">
            <v>043711</v>
          </cell>
          <cell r="C45" t="str">
            <v>Public District</v>
          </cell>
        </row>
        <row r="46">
          <cell r="B46" t="str">
            <v>043729</v>
          </cell>
          <cell r="C46" t="str">
            <v>Public District</v>
          </cell>
        </row>
        <row r="47">
          <cell r="B47" t="str">
            <v>043737</v>
          </cell>
          <cell r="C47" t="str">
            <v>Public District</v>
          </cell>
        </row>
        <row r="48">
          <cell r="B48" t="str">
            <v>043745</v>
          </cell>
          <cell r="C48" t="str">
            <v>Public District</v>
          </cell>
        </row>
        <row r="49">
          <cell r="B49" t="str">
            <v>043752</v>
          </cell>
          <cell r="C49" t="str">
            <v>Public District</v>
          </cell>
        </row>
        <row r="50">
          <cell r="B50" t="str">
            <v>043752</v>
          </cell>
          <cell r="C50" t="str">
            <v>Public District</v>
          </cell>
        </row>
        <row r="51">
          <cell r="B51" t="str">
            <v>043752</v>
          </cell>
          <cell r="C51" t="str">
            <v>Public District</v>
          </cell>
        </row>
        <row r="52">
          <cell r="B52" t="str">
            <v>043752</v>
          </cell>
          <cell r="C52" t="str">
            <v>Public District</v>
          </cell>
        </row>
        <row r="53">
          <cell r="B53" t="str">
            <v>043752</v>
          </cell>
          <cell r="C53" t="str">
            <v>Public District</v>
          </cell>
        </row>
        <row r="54">
          <cell r="B54" t="str">
            <v>043786</v>
          </cell>
          <cell r="C54" t="str">
            <v>Public District</v>
          </cell>
        </row>
        <row r="55">
          <cell r="B55" t="str">
            <v>043794</v>
          </cell>
          <cell r="C55" t="str">
            <v>Public District</v>
          </cell>
        </row>
        <row r="56">
          <cell r="B56" t="str">
            <v>043802</v>
          </cell>
          <cell r="C56" t="str">
            <v>Public District</v>
          </cell>
        </row>
        <row r="57">
          <cell r="B57" t="str">
            <v>043802</v>
          </cell>
          <cell r="C57" t="str">
            <v>Public District</v>
          </cell>
        </row>
        <row r="58">
          <cell r="B58" t="str">
            <v>043810</v>
          </cell>
          <cell r="C58" t="str">
            <v>Public District</v>
          </cell>
        </row>
        <row r="59">
          <cell r="B59" t="str">
            <v>043844</v>
          </cell>
          <cell r="C59" t="str">
            <v>Public District</v>
          </cell>
        </row>
        <row r="60">
          <cell r="B60" t="str">
            <v>043851</v>
          </cell>
          <cell r="C60" t="str">
            <v>Public District</v>
          </cell>
        </row>
        <row r="61">
          <cell r="B61" t="str">
            <v>043851</v>
          </cell>
          <cell r="C61" t="str">
            <v>Public District</v>
          </cell>
        </row>
        <row r="62">
          <cell r="B62" t="str">
            <v>043869</v>
          </cell>
          <cell r="C62" t="str">
            <v>Public District</v>
          </cell>
        </row>
        <row r="63">
          <cell r="B63" t="str">
            <v>043877</v>
          </cell>
          <cell r="C63" t="str">
            <v>Public District</v>
          </cell>
        </row>
        <row r="64">
          <cell r="B64" t="str">
            <v>043885</v>
          </cell>
          <cell r="C64" t="str">
            <v>Public District</v>
          </cell>
        </row>
        <row r="65">
          <cell r="B65" t="str">
            <v>043943</v>
          </cell>
          <cell r="C65" t="str">
            <v>Public District</v>
          </cell>
        </row>
        <row r="66">
          <cell r="B66" t="str">
            <v>043968</v>
          </cell>
          <cell r="C66" t="str">
            <v>Public District</v>
          </cell>
        </row>
        <row r="67">
          <cell r="B67" t="str">
            <v>043984</v>
          </cell>
          <cell r="C67" t="str">
            <v>Public District</v>
          </cell>
        </row>
        <row r="68">
          <cell r="B68" t="str">
            <v>043992</v>
          </cell>
          <cell r="C68" t="str">
            <v>Public District</v>
          </cell>
        </row>
        <row r="69">
          <cell r="B69" t="str">
            <v>044008</v>
          </cell>
          <cell r="C69" t="str">
            <v>Public District</v>
          </cell>
        </row>
        <row r="70">
          <cell r="B70" t="str">
            <v>044008</v>
          </cell>
          <cell r="C70" t="str">
            <v>Public District</v>
          </cell>
        </row>
        <row r="71">
          <cell r="B71" t="str">
            <v>044008</v>
          </cell>
          <cell r="C71" t="str">
            <v>Public District</v>
          </cell>
        </row>
        <row r="72">
          <cell r="B72" t="str">
            <v>044107</v>
          </cell>
          <cell r="C72" t="str">
            <v>Public District</v>
          </cell>
        </row>
        <row r="73">
          <cell r="B73" t="str">
            <v>044172</v>
          </cell>
          <cell r="C73" t="str">
            <v>Public District</v>
          </cell>
        </row>
        <row r="74">
          <cell r="B74" t="str">
            <v>044180</v>
          </cell>
          <cell r="C74" t="str">
            <v>Public District</v>
          </cell>
        </row>
        <row r="75">
          <cell r="B75" t="str">
            <v>044198</v>
          </cell>
          <cell r="C75" t="str">
            <v>Public District</v>
          </cell>
        </row>
        <row r="76">
          <cell r="B76" t="str">
            <v>044206</v>
          </cell>
          <cell r="C76" t="str">
            <v>Public District</v>
          </cell>
        </row>
        <row r="77">
          <cell r="B77" t="str">
            <v>044206</v>
          </cell>
          <cell r="C77" t="str">
            <v>Public District</v>
          </cell>
        </row>
        <row r="78">
          <cell r="B78" t="str">
            <v>044222</v>
          </cell>
          <cell r="C78" t="str">
            <v>Public District</v>
          </cell>
        </row>
        <row r="79">
          <cell r="B79" t="str">
            <v>044222</v>
          </cell>
          <cell r="C79" t="str">
            <v>Public District</v>
          </cell>
        </row>
        <row r="80">
          <cell r="B80" t="str">
            <v>044248</v>
          </cell>
          <cell r="C80" t="str">
            <v>Public District</v>
          </cell>
        </row>
        <row r="81">
          <cell r="B81" t="str">
            <v>044263</v>
          </cell>
          <cell r="C81" t="str">
            <v>Public District</v>
          </cell>
        </row>
        <row r="82">
          <cell r="B82" t="str">
            <v>044305</v>
          </cell>
          <cell r="C82" t="str">
            <v>Public District</v>
          </cell>
        </row>
        <row r="83">
          <cell r="B83" t="str">
            <v>044321</v>
          </cell>
          <cell r="C83" t="str">
            <v>Public District</v>
          </cell>
        </row>
        <row r="84">
          <cell r="B84" t="str">
            <v>044339</v>
          </cell>
          <cell r="C84" t="str">
            <v>Public District</v>
          </cell>
        </row>
        <row r="85">
          <cell r="B85" t="str">
            <v>044354</v>
          </cell>
          <cell r="C85" t="str">
            <v>Public District</v>
          </cell>
        </row>
        <row r="86">
          <cell r="B86" t="str">
            <v>044388</v>
          </cell>
          <cell r="C86" t="str">
            <v>Public District</v>
          </cell>
        </row>
        <row r="87">
          <cell r="B87" t="str">
            <v>044396</v>
          </cell>
          <cell r="C87" t="str">
            <v>Public District</v>
          </cell>
        </row>
        <row r="88">
          <cell r="B88" t="str">
            <v>044404</v>
          </cell>
          <cell r="C88" t="str">
            <v>Public District</v>
          </cell>
        </row>
        <row r="89">
          <cell r="B89" t="str">
            <v>044404</v>
          </cell>
          <cell r="C89" t="str">
            <v>Public District</v>
          </cell>
        </row>
        <row r="90">
          <cell r="B90" t="str">
            <v>044453</v>
          </cell>
          <cell r="C90" t="str">
            <v>Public District</v>
          </cell>
        </row>
        <row r="91">
          <cell r="B91" t="str">
            <v>044503</v>
          </cell>
          <cell r="C91" t="str">
            <v>Public District</v>
          </cell>
        </row>
        <row r="92">
          <cell r="B92" t="str">
            <v>044503</v>
          </cell>
          <cell r="C92" t="str">
            <v>Public District</v>
          </cell>
        </row>
        <row r="93">
          <cell r="B93" t="str">
            <v>044560</v>
          </cell>
          <cell r="C93" t="str">
            <v>Public District</v>
          </cell>
        </row>
        <row r="94">
          <cell r="B94" t="str">
            <v>044586</v>
          </cell>
          <cell r="C94" t="str">
            <v>Public District</v>
          </cell>
        </row>
        <row r="95">
          <cell r="B95" t="str">
            <v>044586</v>
          </cell>
          <cell r="C95" t="str">
            <v>Public District</v>
          </cell>
        </row>
        <row r="96">
          <cell r="B96" t="str">
            <v>044594</v>
          </cell>
          <cell r="C96" t="str">
            <v>Public District</v>
          </cell>
        </row>
        <row r="97">
          <cell r="B97" t="str">
            <v>044602</v>
          </cell>
          <cell r="C97" t="str">
            <v>Public District</v>
          </cell>
        </row>
        <row r="98">
          <cell r="B98" t="str">
            <v>044636</v>
          </cell>
          <cell r="C98" t="str">
            <v>Public District</v>
          </cell>
        </row>
        <row r="99">
          <cell r="B99" t="str">
            <v>044636</v>
          </cell>
          <cell r="C99" t="str">
            <v>Public District</v>
          </cell>
        </row>
        <row r="100">
          <cell r="B100" t="str">
            <v>044651</v>
          </cell>
          <cell r="C100" t="str">
            <v>Public District</v>
          </cell>
        </row>
        <row r="101">
          <cell r="B101" t="str">
            <v>044669</v>
          </cell>
          <cell r="C101" t="str">
            <v>Public District</v>
          </cell>
        </row>
        <row r="102">
          <cell r="B102" t="str">
            <v>044669</v>
          </cell>
          <cell r="C102" t="str">
            <v>Public District</v>
          </cell>
        </row>
        <row r="103">
          <cell r="B103" t="str">
            <v>044735</v>
          </cell>
          <cell r="C103" t="str">
            <v>Public District</v>
          </cell>
        </row>
        <row r="104">
          <cell r="B104" t="str">
            <v>044743</v>
          </cell>
          <cell r="C104" t="str">
            <v>Public District</v>
          </cell>
        </row>
        <row r="105">
          <cell r="B105" t="str">
            <v>044750</v>
          </cell>
          <cell r="C105" t="str">
            <v>Public District</v>
          </cell>
        </row>
        <row r="106">
          <cell r="B106" t="str">
            <v>044768</v>
          </cell>
          <cell r="C106" t="str">
            <v>Public District</v>
          </cell>
        </row>
        <row r="107">
          <cell r="B107" t="str">
            <v>044784</v>
          </cell>
          <cell r="C107" t="str">
            <v>Public District</v>
          </cell>
        </row>
        <row r="108">
          <cell r="B108" t="str">
            <v>044818</v>
          </cell>
          <cell r="C108" t="str">
            <v>Public District</v>
          </cell>
        </row>
        <row r="109">
          <cell r="B109" t="str">
            <v>044826</v>
          </cell>
          <cell r="C109" t="str">
            <v>Public District</v>
          </cell>
        </row>
        <row r="110">
          <cell r="B110" t="str">
            <v>044826</v>
          </cell>
          <cell r="C110" t="str">
            <v>Public District</v>
          </cell>
        </row>
        <row r="111">
          <cell r="B111" t="str">
            <v>044859</v>
          </cell>
          <cell r="C111" t="str">
            <v>Public District</v>
          </cell>
        </row>
        <row r="112">
          <cell r="B112" t="str">
            <v>044875</v>
          </cell>
          <cell r="C112" t="str">
            <v>Public District</v>
          </cell>
        </row>
        <row r="113">
          <cell r="B113" t="str">
            <v>044883</v>
          </cell>
          <cell r="C113" t="str">
            <v>Public District</v>
          </cell>
        </row>
        <row r="114">
          <cell r="B114" t="str">
            <v>044909</v>
          </cell>
          <cell r="C114" t="str">
            <v>Public District</v>
          </cell>
        </row>
        <row r="115">
          <cell r="B115" t="str">
            <v>044974</v>
          </cell>
          <cell r="C115" t="str">
            <v>Public District</v>
          </cell>
        </row>
        <row r="116">
          <cell r="B116" t="str">
            <v>044974</v>
          </cell>
          <cell r="C116" t="str">
            <v>Public District</v>
          </cell>
        </row>
        <row r="117">
          <cell r="B117" t="str">
            <v>044974</v>
          </cell>
          <cell r="C117" t="str">
            <v>Public District</v>
          </cell>
        </row>
        <row r="118">
          <cell r="B118" t="str">
            <v>045005</v>
          </cell>
          <cell r="C118" t="str">
            <v>Public District</v>
          </cell>
        </row>
        <row r="119">
          <cell r="B119" t="str">
            <v>045047</v>
          </cell>
          <cell r="C119" t="str">
            <v>Public District</v>
          </cell>
        </row>
        <row r="120">
          <cell r="B120" t="str">
            <v>045104</v>
          </cell>
          <cell r="C120" t="str">
            <v>Public District</v>
          </cell>
        </row>
        <row r="121">
          <cell r="B121" t="str">
            <v>045104</v>
          </cell>
          <cell r="C121" t="str">
            <v>Public District</v>
          </cell>
        </row>
        <row r="122">
          <cell r="B122" t="str">
            <v>045120</v>
          </cell>
          <cell r="C122" t="str">
            <v>Public District</v>
          </cell>
        </row>
        <row r="123">
          <cell r="B123" t="str">
            <v>045138</v>
          </cell>
          <cell r="C123" t="str">
            <v>Public District</v>
          </cell>
        </row>
        <row r="124">
          <cell r="B124" t="str">
            <v>045179</v>
          </cell>
          <cell r="C124" t="str">
            <v>Public District</v>
          </cell>
        </row>
        <row r="125">
          <cell r="B125" t="str">
            <v>045195</v>
          </cell>
          <cell r="C125" t="str">
            <v>Public District</v>
          </cell>
        </row>
        <row r="126">
          <cell r="B126" t="str">
            <v>045195</v>
          </cell>
          <cell r="C126" t="str">
            <v>Public District</v>
          </cell>
        </row>
        <row r="127">
          <cell r="B127" t="str">
            <v>045203</v>
          </cell>
          <cell r="C127" t="str">
            <v>Public District</v>
          </cell>
        </row>
        <row r="128">
          <cell r="B128" t="str">
            <v>045286</v>
          </cell>
          <cell r="C128" t="str">
            <v>Public District</v>
          </cell>
        </row>
        <row r="129">
          <cell r="B129" t="str">
            <v>045286</v>
          </cell>
          <cell r="C129" t="str">
            <v>Public District</v>
          </cell>
        </row>
        <row r="130">
          <cell r="B130" t="str">
            <v>045328</v>
          </cell>
          <cell r="C130" t="str">
            <v>Public District</v>
          </cell>
        </row>
        <row r="131">
          <cell r="B131" t="str">
            <v>045369</v>
          </cell>
          <cell r="C131" t="str">
            <v>Public District</v>
          </cell>
        </row>
        <row r="132">
          <cell r="B132" t="str">
            <v>045393</v>
          </cell>
          <cell r="C132" t="str">
            <v>Public District</v>
          </cell>
        </row>
        <row r="133">
          <cell r="B133" t="str">
            <v>045393</v>
          </cell>
          <cell r="C133" t="str">
            <v>Public District</v>
          </cell>
        </row>
        <row r="134">
          <cell r="B134" t="str">
            <v>045484</v>
          </cell>
          <cell r="C134" t="str">
            <v>Public District</v>
          </cell>
        </row>
        <row r="135">
          <cell r="B135" t="str">
            <v>045484</v>
          </cell>
          <cell r="C135" t="str">
            <v>Public District</v>
          </cell>
        </row>
        <row r="136">
          <cell r="B136" t="str">
            <v>045492</v>
          </cell>
          <cell r="C136" t="str">
            <v>Public District</v>
          </cell>
        </row>
        <row r="137">
          <cell r="B137" t="str">
            <v>045492</v>
          </cell>
          <cell r="C137" t="str">
            <v>Public District</v>
          </cell>
        </row>
        <row r="138">
          <cell r="B138" t="str">
            <v>045492</v>
          </cell>
          <cell r="C138" t="str">
            <v>Public District</v>
          </cell>
        </row>
        <row r="139">
          <cell r="B139" t="str">
            <v>045492</v>
          </cell>
          <cell r="C139" t="str">
            <v>Public District</v>
          </cell>
        </row>
        <row r="140">
          <cell r="B140" t="str">
            <v>045492</v>
          </cell>
          <cell r="C140" t="str">
            <v>Public District</v>
          </cell>
        </row>
        <row r="141">
          <cell r="B141" t="str">
            <v>045518</v>
          </cell>
          <cell r="C141" t="str">
            <v>Public District</v>
          </cell>
        </row>
        <row r="142">
          <cell r="B142" t="str">
            <v>045534</v>
          </cell>
          <cell r="C142" t="str">
            <v>Public District</v>
          </cell>
        </row>
        <row r="143">
          <cell r="B143" t="str">
            <v>045591</v>
          </cell>
          <cell r="C143" t="str">
            <v>Public District</v>
          </cell>
        </row>
        <row r="144">
          <cell r="B144" t="str">
            <v>045658</v>
          </cell>
          <cell r="C144" t="str">
            <v>Public District</v>
          </cell>
        </row>
        <row r="145">
          <cell r="B145" t="str">
            <v>045666</v>
          </cell>
          <cell r="C145" t="str">
            <v>Public District</v>
          </cell>
        </row>
        <row r="146">
          <cell r="B146" t="str">
            <v>045757</v>
          </cell>
          <cell r="C146" t="str">
            <v>Public District</v>
          </cell>
        </row>
        <row r="147">
          <cell r="B147" t="str">
            <v>045765</v>
          </cell>
          <cell r="C147" t="str">
            <v>Public District</v>
          </cell>
        </row>
        <row r="148">
          <cell r="B148" t="str">
            <v>045773</v>
          </cell>
          <cell r="C148" t="str">
            <v>Public District</v>
          </cell>
        </row>
        <row r="149">
          <cell r="B149" t="str">
            <v>045856</v>
          </cell>
          <cell r="C149" t="str">
            <v>Public District</v>
          </cell>
        </row>
        <row r="150">
          <cell r="B150" t="str">
            <v>045864</v>
          </cell>
          <cell r="C150" t="str">
            <v>Public District</v>
          </cell>
        </row>
        <row r="151">
          <cell r="B151" t="str">
            <v>045864</v>
          </cell>
          <cell r="C151" t="str">
            <v>Public District</v>
          </cell>
        </row>
        <row r="152">
          <cell r="B152" t="str">
            <v>045864</v>
          </cell>
          <cell r="C152" t="str">
            <v>Public District</v>
          </cell>
        </row>
        <row r="153">
          <cell r="B153" t="str">
            <v>045880</v>
          </cell>
          <cell r="C153" t="str">
            <v>Public District</v>
          </cell>
        </row>
        <row r="154">
          <cell r="B154" t="str">
            <v>045880</v>
          </cell>
          <cell r="C154" t="str">
            <v>Public District</v>
          </cell>
        </row>
        <row r="155">
          <cell r="B155" t="str">
            <v>045906</v>
          </cell>
          <cell r="C155" t="str">
            <v>Public District</v>
          </cell>
        </row>
        <row r="156">
          <cell r="B156" t="str">
            <v>046060</v>
          </cell>
          <cell r="C156" t="str">
            <v>Public District</v>
          </cell>
        </row>
        <row r="157">
          <cell r="B157" t="str">
            <v>046078</v>
          </cell>
          <cell r="C157" t="str">
            <v>Public District</v>
          </cell>
        </row>
        <row r="158">
          <cell r="B158" t="str">
            <v>046086</v>
          </cell>
          <cell r="C158" t="str">
            <v>Educational Service Center</v>
          </cell>
        </row>
        <row r="159">
          <cell r="B159" t="str">
            <v>046094</v>
          </cell>
          <cell r="C159" t="str">
            <v>Public District</v>
          </cell>
        </row>
        <row r="160">
          <cell r="B160" t="str">
            <v>046144</v>
          </cell>
          <cell r="C160" t="str">
            <v>Public District</v>
          </cell>
        </row>
        <row r="161">
          <cell r="B161" t="str">
            <v>046151</v>
          </cell>
          <cell r="C161" t="str">
            <v>Public District</v>
          </cell>
        </row>
        <row r="162">
          <cell r="B162" t="str">
            <v>046243</v>
          </cell>
          <cell r="C162" t="str">
            <v>Public District</v>
          </cell>
        </row>
        <row r="163">
          <cell r="B163" t="str">
            <v>046243</v>
          </cell>
          <cell r="C163" t="str">
            <v>Public District</v>
          </cell>
        </row>
        <row r="164">
          <cell r="B164" t="str">
            <v>046250</v>
          </cell>
          <cell r="C164" t="str">
            <v>Public District</v>
          </cell>
        </row>
        <row r="165">
          <cell r="B165" t="str">
            <v>046268</v>
          </cell>
          <cell r="C165" t="str">
            <v>Public District</v>
          </cell>
        </row>
        <row r="166">
          <cell r="B166" t="str">
            <v>046284</v>
          </cell>
          <cell r="C166" t="str">
            <v>Public District</v>
          </cell>
        </row>
        <row r="167">
          <cell r="B167" t="str">
            <v>046318</v>
          </cell>
          <cell r="C167" t="str">
            <v>Public District</v>
          </cell>
        </row>
        <row r="168">
          <cell r="B168" t="str">
            <v>046342</v>
          </cell>
          <cell r="C168" t="str">
            <v>Public District</v>
          </cell>
        </row>
        <row r="169">
          <cell r="B169" t="str">
            <v>046417</v>
          </cell>
          <cell r="C169" t="str">
            <v>Educational Service Center</v>
          </cell>
        </row>
        <row r="170">
          <cell r="B170" t="str">
            <v>046417</v>
          </cell>
          <cell r="C170" t="str">
            <v>Educational Service Center</v>
          </cell>
        </row>
        <row r="171">
          <cell r="B171" t="str">
            <v>046417</v>
          </cell>
          <cell r="C171" t="str">
            <v>Educational Service Center</v>
          </cell>
        </row>
        <row r="172">
          <cell r="B172" t="str">
            <v>046458</v>
          </cell>
          <cell r="C172" t="str">
            <v>Public District</v>
          </cell>
        </row>
        <row r="173">
          <cell r="B173" t="str">
            <v>046524</v>
          </cell>
          <cell r="C173" t="str">
            <v>Public District</v>
          </cell>
        </row>
        <row r="174">
          <cell r="B174" t="str">
            <v>046532</v>
          </cell>
          <cell r="C174" t="str">
            <v>Educational Service Center</v>
          </cell>
        </row>
        <row r="175">
          <cell r="B175" t="str">
            <v>046532</v>
          </cell>
          <cell r="C175" t="str">
            <v>Educational Service Center</v>
          </cell>
        </row>
        <row r="176">
          <cell r="B176" t="str">
            <v>046581</v>
          </cell>
          <cell r="C176" t="str">
            <v>Public District</v>
          </cell>
        </row>
        <row r="177">
          <cell r="B177" t="str">
            <v>046607</v>
          </cell>
          <cell r="C177" t="str">
            <v>Public District</v>
          </cell>
        </row>
        <row r="178">
          <cell r="B178" t="str">
            <v>046706</v>
          </cell>
          <cell r="C178" t="str">
            <v>Public District</v>
          </cell>
        </row>
        <row r="179">
          <cell r="B179" t="str">
            <v>046813</v>
          </cell>
          <cell r="C179" t="str">
            <v>Public District</v>
          </cell>
        </row>
        <row r="180">
          <cell r="B180" t="str">
            <v>046839</v>
          </cell>
          <cell r="C180" t="str">
            <v>Educational Service Center</v>
          </cell>
        </row>
        <row r="181">
          <cell r="B181" t="str">
            <v>046839</v>
          </cell>
          <cell r="C181" t="str">
            <v>Educational Service Center</v>
          </cell>
        </row>
        <row r="182">
          <cell r="B182" t="str">
            <v>046839</v>
          </cell>
          <cell r="C182" t="str">
            <v>Educational Service Center</v>
          </cell>
        </row>
        <row r="183">
          <cell r="B183" t="str">
            <v>046896</v>
          </cell>
          <cell r="C183" t="str">
            <v>Public District</v>
          </cell>
        </row>
        <row r="184">
          <cell r="B184" t="str">
            <v>046896</v>
          </cell>
          <cell r="C184" t="str">
            <v>Public District</v>
          </cell>
        </row>
        <row r="185">
          <cell r="B185" t="str">
            <v>046938</v>
          </cell>
          <cell r="C185" t="str">
            <v>Educational Service Center</v>
          </cell>
        </row>
        <row r="186">
          <cell r="B186" t="str">
            <v>046938</v>
          </cell>
          <cell r="C186" t="str">
            <v>Educational Service Center</v>
          </cell>
        </row>
        <row r="187">
          <cell r="B187" t="str">
            <v>046938</v>
          </cell>
          <cell r="C187" t="str">
            <v>Educational Service Center</v>
          </cell>
        </row>
        <row r="188">
          <cell r="B188" t="str">
            <v>046938</v>
          </cell>
          <cell r="C188" t="str">
            <v>Educational Service Center</v>
          </cell>
        </row>
        <row r="189">
          <cell r="B189" t="str">
            <v>046938</v>
          </cell>
          <cell r="C189" t="str">
            <v>Educational Service Center</v>
          </cell>
        </row>
        <row r="190">
          <cell r="B190" t="str">
            <v>046946</v>
          </cell>
          <cell r="C190" t="str">
            <v>Public District</v>
          </cell>
        </row>
        <row r="191">
          <cell r="B191" t="str">
            <v>046953</v>
          </cell>
          <cell r="C191" t="str">
            <v>Public District</v>
          </cell>
        </row>
        <row r="192">
          <cell r="B192" t="str">
            <v>047019</v>
          </cell>
          <cell r="C192" t="str">
            <v>Public District</v>
          </cell>
        </row>
        <row r="193">
          <cell r="B193" t="str">
            <v>047027</v>
          </cell>
          <cell r="C193" t="str">
            <v>Public District</v>
          </cell>
        </row>
        <row r="194">
          <cell r="B194" t="str">
            <v>047027</v>
          </cell>
          <cell r="C194" t="str">
            <v>Public District</v>
          </cell>
        </row>
        <row r="195">
          <cell r="B195" t="str">
            <v>047068</v>
          </cell>
          <cell r="C195" t="str">
            <v>Public District</v>
          </cell>
        </row>
        <row r="196">
          <cell r="B196" t="str">
            <v>047076</v>
          </cell>
          <cell r="C196" t="str">
            <v>Public District</v>
          </cell>
        </row>
        <row r="197">
          <cell r="B197" t="str">
            <v>047159</v>
          </cell>
          <cell r="C197" t="str">
            <v>Educational Service Center</v>
          </cell>
        </row>
        <row r="198">
          <cell r="B198" t="str">
            <v>047167</v>
          </cell>
          <cell r="C198" t="str">
            <v>Public District</v>
          </cell>
        </row>
        <row r="199">
          <cell r="B199" t="str">
            <v>047167</v>
          </cell>
          <cell r="C199" t="str">
            <v>Public District</v>
          </cell>
        </row>
        <row r="200">
          <cell r="B200" t="str">
            <v>047191</v>
          </cell>
          <cell r="C200" t="str">
            <v>Public District</v>
          </cell>
        </row>
        <row r="201">
          <cell r="B201" t="str">
            <v>047225</v>
          </cell>
          <cell r="C201" t="str">
            <v>Public District</v>
          </cell>
        </row>
        <row r="202">
          <cell r="B202" t="str">
            <v>047241</v>
          </cell>
          <cell r="C202" t="str">
            <v>Public District</v>
          </cell>
        </row>
        <row r="203">
          <cell r="B203" t="str">
            <v>047241</v>
          </cell>
          <cell r="C203" t="str">
            <v>Public District</v>
          </cell>
        </row>
        <row r="204">
          <cell r="B204" t="str">
            <v>047241</v>
          </cell>
          <cell r="C204" t="str">
            <v>Public District</v>
          </cell>
        </row>
        <row r="205">
          <cell r="B205" t="str">
            <v>047241</v>
          </cell>
          <cell r="C205" t="str">
            <v>Public District</v>
          </cell>
        </row>
        <row r="206">
          <cell r="B206" t="str">
            <v>047241</v>
          </cell>
          <cell r="C206" t="str">
            <v>Public District</v>
          </cell>
        </row>
        <row r="207">
          <cell r="B207" t="str">
            <v>047258</v>
          </cell>
          <cell r="C207" t="str">
            <v>Public District</v>
          </cell>
        </row>
        <row r="208">
          <cell r="B208" t="str">
            <v>047308</v>
          </cell>
          <cell r="C208" t="str">
            <v>Public District</v>
          </cell>
        </row>
        <row r="209">
          <cell r="B209" t="str">
            <v>047324</v>
          </cell>
          <cell r="C209" t="str">
            <v>Educational Service Center</v>
          </cell>
        </row>
        <row r="210">
          <cell r="B210" t="str">
            <v>047324</v>
          </cell>
          <cell r="C210" t="str">
            <v>Educational Service Center</v>
          </cell>
        </row>
        <row r="211">
          <cell r="B211" t="str">
            <v>047332</v>
          </cell>
          <cell r="C211" t="str">
            <v>Public District</v>
          </cell>
        </row>
        <row r="212">
          <cell r="B212" t="str">
            <v>047332</v>
          </cell>
          <cell r="C212" t="str">
            <v>Public District</v>
          </cell>
        </row>
        <row r="213">
          <cell r="B213" t="str">
            <v>047365</v>
          </cell>
          <cell r="C213" t="str">
            <v>Public District</v>
          </cell>
        </row>
        <row r="214">
          <cell r="B214" t="str">
            <v>047373</v>
          </cell>
          <cell r="C214" t="str">
            <v>Public District</v>
          </cell>
        </row>
        <row r="215">
          <cell r="B215" t="str">
            <v>047399</v>
          </cell>
          <cell r="C215" t="str">
            <v>Public District</v>
          </cell>
        </row>
        <row r="216">
          <cell r="B216" t="str">
            <v>047514</v>
          </cell>
          <cell r="C216" t="str">
            <v>Public District</v>
          </cell>
        </row>
        <row r="217">
          <cell r="B217" t="str">
            <v>047548</v>
          </cell>
          <cell r="C217" t="str">
            <v>Public District</v>
          </cell>
        </row>
        <row r="218">
          <cell r="B218" t="str">
            <v>047787</v>
          </cell>
          <cell r="C218" t="str">
            <v>Public District</v>
          </cell>
        </row>
        <row r="219">
          <cell r="B219" t="str">
            <v>047795</v>
          </cell>
          <cell r="C219" t="str">
            <v>Public District</v>
          </cell>
        </row>
        <row r="220">
          <cell r="B220" t="str">
            <v>047803</v>
          </cell>
          <cell r="C220" t="str">
            <v>Public District</v>
          </cell>
        </row>
        <row r="221">
          <cell r="B221" t="str">
            <v>047860</v>
          </cell>
          <cell r="C221" t="str">
            <v>Educational Service Center</v>
          </cell>
        </row>
        <row r="222">
          <cell r="B222" t="str">
            <v>047902</v>
          </cell>
          <cell r="C222" t="str">
            <v>Public District</v>
          </cell>
        </row>
        <row r="223">
          <cell r="B223" t="str">
            <v>047944</v>
          </cell>
          <cell r="C223" t="str">
            <v>Public District</v>
          </cell>
        </row>
        <row r="224">
          <cell r="B224" t="str">
            <v>047993</v>
          </cell>
          <cell r="C224" t="str">
            <v>Public District</v>
          </cell>
        </row>
        <row r="225">
          <cell r="B225" t="str">
            <v>048009</v>
          </cell>
          <cell r="C225" t="str">
            <v>Public District</v>
          </cell>
        </row>
        <row r="226">
          <cell r="B226" t="str">
            <v>048041</v>
          </cell>
          <cell r="C226" t="str">
            <v>Public District</v>
          </cell>
        </row>
        <row r="227">
          <cell r="B227" t="str">
            <v>048058</v>
          </cell>
          <cell r="C227" t="str">
            <v>Educational Service Center</v>
          </cell>
        </row>
        <row r="228">
          <cell r="B228" t="str">
            <v>048082</v>
          </cell>
          <cell r="C228" t="str">
            <v>Public District</v>
          </cell>
        </row>
        <row r="229">
          <cell r="B229" t="str">
            <v>048090</v>
          </cell>
          <cell r="C229" t="str">
            <v>Public District</v>
          </cell>
        </row>
        <row r="230">
          <cell r="B230" t="str">
            <v>048116</v>
          </cell>
          <cell r="C230" t="str">
            <v>Public District</v>
          </cell>
        </row>
        <row r="231">
          <cell r="B231" t="str">
            <v>048132</v>
          </cell>
          <cell r="C231" t="str">
            <v>Public District</v>
          </cell>
        </row>
        <row r="232">
          <cell r="B232" t="str">
            <v>048157</v>
          </cell>
          <cell r="C232" t="str">
            <v>Public District</v>
          </cell>
        </row>
        <row r="233">
          <cell r="B233" t="str">
            <v>048173</v>
          </cell>
          <cell r="C233" t="str">
            <v>Public District</v>
          </cell>
        </row>
        <row r="234">
          <cell r="B234" t="str">
            <v>048199</v>
          </cell>
          <cell r="C234" t="str">
            <v>Educational Service Center</v>
          </cell>
        </row>
        <row r="235">
          <cell r="B235" t="str">
            <v>048215</v>
          </cell>
          <cell r="C235" t="str">
            <v>Public District</v>
          </cell>
        </row>
        <row r="236">
          <cell r="B236" t="str">
            <v>048264</v>
          </cell>
          <cell r="C236" t="str">
            <v>Public District</v>
          </cell>
        </row>
        <row r="237">
          <cell r="B237" t="str">
            <v>048272</v>
          </cell>
          <cell r="C237" t="str">
            <v>Public District</v>
          </cell>
        </row>
        <row r="238">
          <cell r="B238" t="str">
            <v>048280</v>
          </cell>
          <cell r="C238" t="str">
            <v>Educational Service Center</v>
          </cell>
        </row>
        <row r="239">
          <cell r="B239" t="str">
            <v>048314</v>
          </cell>
          <cell r="C239" t="str">
            <v>Public District</v>
          </cell>
        </row>
        <row r="240">
          <cell r="B240" t="str">
            <v>048314</v>
          </cell>
          <cell r="C240" t="str">
            <v>Public District</v>
          </cell>
        </row>
        <row r="241">
          <cell r="B241" t="str">
            <v>048314</v>
          </cell>
          <cell r="C241" t="str">
            <v>Public District</v>
          </cell>
        </row>
        <row r="242">
          <cell r="B242" t="str">
            <v>048348</v>
          </cell>
          <cell r="C242" t="str">
            <v>Public District</v>
          </cell>
        </row>
        <row r="243">
          <cell r="B243" t="str">
            <v>048363</v>
          </cell>
          <cell r="C243" t="str">
            <v>Public District</v>
          </cell>
        </row>
        <row r="244">
          <cell r="B244" t="str">
            <v>048397</v>
          </cell>
          <cell r="C244" t="str">
            <v>Public District</v>
          </cell>
        </row>
        <row r="245">
          <cell r="B245" t="str">
            <v>048462</v>
          </cell>
          <cell r="C245" t="str">
            <v>Public District</v>
          </cell>
        </row>
        <row r="246">
          <cell r="B246" t="str">
            <v>048470</v>
          </cell>
          <cell r="C246" t="str">
            <v>Public District</v>
          </cell>
        </row>
        <row r="247">
          <cell r="B247" t="str">
            <v>048488</v>
          </cell>
          <cell r="C247" t="str">
            <v>Public District</v>
          </cell>
        </row>
        <row r="248">
          <cell r="B248" t="str">
            <v>048488</v>
          </cell>
          <cell r="C248" t="str">
            <v>Public District</v>
          </cell>
        </row>
        <row r="249">
          <cell r="B249" t="str">
            <v>048488</v>
          </cell>
          <cell r="C249" t="str">
            <v>Public District</v>
          </cell>
        </row>
        <row r="250">
          <cell r="B250" t="str">
            <v>048629</v>
          </cell>
          <cell r="C250" t="str">
            <v>Public District</v>
          </cell>
        </row>
        <row r="251">
          <cell r="B251" t="str">
            <v>048660</v>
          </cell>
          <cell r="C251" t="str">
            <v>Educational Service Center</v>
          </cell>
        </row>
        <row r="252">
          <cell r="B252" t="str">
            <v>048660</v>
          </cell>
          <cell r="C252" t="str">
            <v>Educational Service Center</v>
          </cell>
        </row>
        <row r="253">
          <cell r="B253" t="str">
            <v>048710</v>
          </cell>
          <cell r="C253" t="str">
            <v>Public District</v>
          </cell>
        </row>
        <row r="254">
          <cell r="B254" t="str">
            <v>048710</v>
          </cell>
          <cell r="C254" t="str">
            <v>Public District</v>
          </cell>
        </row>
        <row r="255">
          <cell r="B255" t="str">
            <v>048728</v>
          </cell>
          <cell r="C255" t="str">
            <v>Public District</v>
          </cell>
        </row>
        <row r="256">
          <cell r="B256" t="str">
            <v>048819</v>
          </cell>
          <cell r="C256" t="str">
            <v>Public District</v>
          </cell>
        </row>
        <row r="257">
          <cell r="B257" t="str">
            <v>048843</v>
          </cell>
          <cell r="C257" t="str">
            <v>Public District</v>
          </cell>
        </row>
        <row r="258">
          <cell r="B258" t="str">
            <v>048884</v>
          </cell>
          <cell r="C258" t="str">
            <v>Public District</v>
          </cell>
        </row>
        <row r="259">
          <cell r="B259" t="str">
            <v>048900</v>
          </cell>
          <cell r="C259" t="str">
            <v>Public District</v>
          </cell>
        </row>
        <row r="260">
          <cell r="B260" t="str">
            <v>048926</v>
          </cell>
          <cell r="C260" t="str">
            <v>Public District</v>
          </cell>
        </row>
        <row r="261">
          <cell r="B261" t="str">
            <v>049080</v>
          </cell>
          <cell r="C261" t="str">
            <v>Public District</v>
          </cell>
        </row>
        <row r="262">
          <cell r="B262" t="str">
            <v>049098</v>
          </cell>
          <cell r="C262" t="str">
            <v>Public District</v>
          </cell>
        </row>
        <row r="263">
          <cell r="B263" t="str">
            <v>049106</v>
          </cell>
          <cell r="C263" t="str">
            <v>Public District</v>
          </cell>
        </row>
        <row r="264">
          <cell r="B264" t="str">
            <v>049189</v>
          </cell>
          <cell r="C264" t="str">
            <v>Public District</v>
          </cell>
        </row>
        <row r="265">
          <cell r="B265" t="str">
            <v>049189</v>
          </cell>
          <cell r="C265" t="str">
            <v>Public District</v>
          </cell>
        </row>
        <row r="266">
          <cell r="B266" t="str">
            <v>049239</v>
          </cell>
          <cell r="C266" t="str">
            <v>Public District</v>
          </cell>
        </row>
        <row r="267">
          <cell r="B267" t="str">
            <v>049296</v>
          </cell>
          <cell r="C267" t="str">
            <v>Public District</v>
          </cell>
        </row>
        <row r="268">
          <cell r="B268" t="str">
            <v>049304</v>
          </cell>
          <cell r="C268" t="str">
            <v>Educational Service Center</v>
          </cell>
        </row>
        <row r="269">
          <cell r="B269" t="str">
            <v>049338</v>
          </cell>
          <cell r="C269" t="str">
            <v>Public District</v>
          </cell>
        </row>
        <row r="270">
          <cell r="B270" t="str">
            <v>049338</v>
          </cell>
          <cell r="C270" t="str">
            <v>Public District</v>
          </cell>
        </row>
        <row r="271">
          <cell r="B271" t="str">
            <v>049411</v>
          </cell>
          <cell r="C271" t="str">
            <v>Public District</v>
          </cell>
        </row>
        <row r="272">
          <cell r="B272" t="str">
            <v>049411</v>
          </cell>
          <cell r="C272" t="str">
            <v>Public District</v>
          </cell>
        </row>
        <row r="273">
          <cell r="B273" t="str">
            <v>049411</v>
          </cell>
          <cell r="C273" t="str">
            <v>Public District</v>
          </cell>
        </row>
        <row r="274">
          <cell r="B274" t="str">
            <v>049544</v>
          </cell>
          <cell r="C274" t="str">
            <v>Public District</v>
          </cell>
        </row>
        <row r="275">
          <cell r="B275" t="str">
            <v>049601</v>
          </cell>
          <cell r="C275" t="str">
            <v>Public District</v>
          </cell>
        </row>
        <row r="276">
          <cell r="B276" t="str">
            <v>049601</v>
          </cell>
          <cell r="C276" t="str">
            <v>Public District</v>
          </cell>
        </row>
        <row r="277">
          <cell r="B277" t="str">
            <v>049619</v>
          </cell>
          <cell r="C277" t="str">
            <v>Public District</v>
          </cell>
        </row>
        <row r="278">
          <cell r="B278" t="str">
            <v>049650</v>
          </cell>
          <cell r="C278" t="str">
            <v>Public District</v>
          </cell>
        </row>
        <row r="279">
          <cell r="B279" t="str">
            <v>049684</v>
          </cell>
          <cell r="C279" t="str">
            <v>Public District</v>
          </cell>
        </row>
        <row r="280">
          <cell r="B280" t="str">
            <v>049775</v>
          </cell>
          <cell r="C280" t="str">
            <v>Public District</v>
          </cell>
        </row>
        <row r="281">
          <cell r="B281" t="str">
            <v>049825</v>
          </cell>
          <cell r="C281" t="str">
            <v>Educational Service Center</v>
          </cell>
        </row>
        <row r="282">
          <cell r="B282" t="str">
            <v>049825</v>
          </cell>
          <cell r="C282" t="str">
            <v>Educational Service Center</v>
          </cell>
        </row>
        <row r="283">
          <cell r="B283" t="str">
            <v>049841</v>
          </cell>
          <cell r="C283" t="str">
            <v>Public District</v>
          </cell>
        </row>
        <row r="284">
          <cell r="B284" t="str">
            <v>049858</v>
          </cell>
          <cell r="C284" t="str">
            <v>Public District</v>
          </cell>
        </row>
        <row r="285">
          <cell r="B285" t="str">
            <v>049866</v>
          </cell>
          <cell r="C285" t="str">
            <v>Public District</v>
          </cell>
        </row>
        <row r="286">
          <cell r="B286" t="str">
            <v>049932</v>
          </cell>
          <cell r="C286" t="str">
            <v>Public District</v>
          </cell>
        </row>
        <row r="287">
          <cell r="B287" t="str">
            <v>049965</v>
          </cell>
          <cell r="C287" t="str">
            <v>Educational Service Center</v>
          </cell>
        </row>
        <row r="288">
          <cell r="B288" t="str">
            <v>049965</v>
          </cell>
          <cell r="C288" t="str">
            <v>Educational Service Center</v>
          </cell>
        </row>
        <row r="289">
          <cell r="B289" t="str">
            <v>050047</v>
          </cell>
          <cell r="C289" t="str">
            <v>Public District</v>
          </cell>
        </row>
        <row r="290">
          <cell r="B290" t="str">
            <v>050047</v>
          </cell>
          <cell r="C290" t="str">
            <v>Public District</v>
          </cell>
        </row>
        <row r="291">
          <cell r="B291" t="str">
            <v>050047</v>
          </cell>
          <cell r="C291" t="str">
            <v>Public District</v>
          </cell>
        </row>
        <row r="292">
          <cell r="B292" t="str">
            <v>050054</v>
          </cell>
          <cell r="C292" t="str">
            <v>Public District</v>
          </cell>
        </row>
        <row r="293">
          <cell r="B293" t="str">
            <v>050112</v>
          </cell>
          <cell r="C293" t="str">
            <v>Public District</v>
          </cell>
        </row>
        <row r="294">
          <cell r="B294" t="str">
            <v>050138</v>
          </cell>
          <cell r="C294" t="str">
            <v>Public District</v>
          </cell>
        </row>
        <row r="295">
          <cell r="B295" t="str">
            <v>050195</v>
          </cell>
          <cell r="C295" t="str">
            <v>Public District</v>
          </cell>
        </row>
        <row r="296">
          <cell r="B296" t="str">
            <v>050203</v>
          </cell>
          <cell r="C296" t="str">
            <v>Public District</v>
          </cell>
        </row>
        <row r="297">
          <cell r="B297" t="str">
            <v>050336</v>
          </cell>
          <cell r="C297" t="str">
            <v>Public District</v>
          </cell>
        </row>
        <row r="298">
          <cell r="B298" t="str">
            <v>050369</v>
          </cell>
          <cell r="C298" t="str">
            <v>Public District</v>
          </cell>
        </row>
        <row r="299">
          <cell r="B299" t="str">
            <v>050443</v>
          </cell>
          <cell r="C299" t="str">
            <v>Public District</v>
          </cell>
        </row>
        <row r="300">
          <cell r="B300" t="str">
            <v>050575</v>
          </cell>
          <cell r="C300" t="str">
            <v>Public District</v>
          </cell>
        </row>
        <row r="301">
          <cell r="B301" t="str">
            <v>050724</v>
          </cell>
          <cell r="C301" t="str">
            <v>Public District</v>
          </cell>
        </row>
        <row r="302">
          <cell r="B302" t="str">
            <v>050740</v>
          </cell>
          <cell r="C302" t="str">
            <v>Public District</v>
          </cell>
        </row>
        <row r="303">
          <cell r="B303" t="str">
            <v>050765</v>
          </cell>
          <cell r="C303" t="str">
            <v>State Board/Agency</v>
          </cell>
        </row>
        <row r="304">
          <cell r="B304" t="str">
            <v>050773</v>
          </cell>
          <cell r="C304" t="str">
            <v>Joint Vocational School District</v>
          </cell>
        </row>
        <row r="305">
          <cell r="B305" t="str">
            <v>050773</v>
          </cell>
          <cell r="C305" t="str">
            <v>Joint Vocational School District</v>
          </cell>
        </row>
        <row r="306">
          <cell r="B306" t="str">
            <v>050922</v>
          </cell>
          <cell r="C306" t="str">
            <v>Joint Vocational School District</v>
          </cell>
        </row>
        <row r="307">
          <cell r="B307" t="str">
            <v>051227</v>
          </cell>
          <cell r="C307" t="str">
            <v>Joint Vocational School District</v>
          </cell>
        </row>
        <row r="308">
          <cell r="B308" t="str">
            <v>051334</v>
          </cell>
          <cell r="C308" t="str">
            <v>Joint Vocational School District</v>
          </cell>
        </row>
        <row r="309">
          <cell r="B309" t="str">
            <v>051433</v>
          </cell>
          <cell r="C309" t="str">
            <v>Joint Vocational School District</v>
          </cell>
        </row>
        <row r="310">
          <cell r="B310" t="str">
            <v>051474</v>
          </cell>
          <cell r="C310" t="str">
            <v>Joint Vocational School District</v>
          </cell>
        </row>
        <row r="311">
          <cell r="B311" t="str">
            <v>051474</v>
          </cell>
          <cell r="C311" t="str">
            <v>Joint Vocational School District</v>
          </cell>
        </row>
        <row r="312">
          <cell r="B312" t="str">
            <v>051474</v>
          </cell>
          <cell r="C312" t="str">
            <v>Joint Vocational School District</v>
          </cell>
        </row>
        <row r="313">
          <cell r="B313" t="str">
            <v>051532</v>
          </cell>
          <cell r="C313" t="str">
            <v>Joint Vocational School District</v>
          </cell>
        </row>
        <row r="314">
          <cell r="B314" t="str">
            <v>051532</v>
          </cell>
          <cell r="C314" t="str">
            <v>Joint Vocational School District</v>
          </cell>
        </row>
        <row r="315">
          <cell r="B315" t="str">
            <v>051631</v>
          </cell>
          <cell r="C315" t="str">
            <v>Joint Vocational School District</v>
          </cell>
        </row>
        <row r="316">
          <cell r="B316" t="str">
            <v>061903</v>
          </cell>
          <cell r="C316" t="str">
            <v>Public District</v>
          </cell>
        </row>
        <row r="317">
          <cell r="B317" t="str">
            <v>062026</v>
          </cell>
          <cell r="C317" t="str">
            <v>Joint Vocational School District</v>
          </cell>
        </row>
        <row r="318">
          <cell r="B318" t="str">
            <v>062042</v>
          </cell>
          <cell r="C318" t="str">
            <v>Joint Vocational School District</v>
          </cell>
        </row>
        <row r="319">
          <cell r="B319" t="str">
            <v>062109</v>
          </cell>
          <cell r="C319" t="str">
            <v>Joint Vocational School District</v>
          </cell>
        </row>
        <row r="320">
          <cell r="B320" t="str">
            <v>064501</v>
          </cell>
          <cell r="C320" t="str">
            <v>Technical Institue /College</v>
          </cell>
        </row>
        <row r="321">
          <cell r="B321" t="str">
            <v>064501</v>
          </cell>
          <cell r="C321" t="str">
            <v>Technical Institue /College</v>
          </cell>
        </row>
        <row r="322">
          <cell r="B322" t="str">
            <v>065268</v>
          </cell>
          <cell r="C322" t="str">
            <v>Joint Vocational School District</v>
          </cell>
        </row>
        <row r="323">
          <cell r="B323" t="str">
            <v>123257</v>
          </cell>
          <cell r="C323" t="str">
            <v>Educational Service Center</v>
          </cell>
        </row>
        <row r="324">
          <cell r="B324" t="str">
            <v>123281</v>
          </cell>
          <cell r="C324" t="str">
            <v>Educational Service Center</v>
          </cell>
        </row>
        <row r="325">
          <cell r="B325" t="str">
            <v>123521</v>
          </cell>
          <cell r="C325" t="str">
            <v>Educational Service Center</v>
          </cell>
        </row>
        <row r="326">
          <cell r="B326" t="str">
            <v>125682</v>
          </cell>
          <cell r="C326" t="str">
            <v>Educational Service Center</v>
          </cell>
        </row>
        <row r="327">
          <cell r="B327" t="str">
            <v>125690</v>
          </cell>
          <cell r="C327" t="str">
            <v>Educational Service Center</v>
          </cell>
        </row>
        <row r="328">
          <cell r="B328" t="str">
            <v>132985</v>
          </cell>
          <cell r="C328" t="str">
            <v>Community School</v>
          </cell>
        </row>
        <row r="329">
          <cell r="B329" t="str">
            <v>133215</v>
          </cell>
          <cell r="C329" t="str">
            <v>Community School</v>
          </cell>
        </row>
        <row r="330">
          <cell r="B330" t="str">
            <v>133413</v>
          </cell>
          <cell r="C330" t="str">
            <v>Community School</v>
          </cell>
        </row>
        <row r="331">
          <cell r="B331" t="str">
            <v>133413</v>
          </cell>
          <cell r="C331" t="str">
            <v>Community School</v>
          </cell>
        </row>
        <row r="332">
          <cell r="B332" t="str">
            <v>133629</v>
          </cell>
          <cell r="C332" t="str">
            <v>Community School</v>
          </cell>
        </row>
        <row r="333">
          <cell r="B333" t="str">
            <v>133660</v>
          </cell>
          <cell r="C333" t="str">
            <v>Community School</v>
          </cell>
        </row>
        <row r="334">
          <cell r="B334" t="str">
            <v>133942</v>
          </cell>
          <cell r="C334" t="str">
            <v>Community School</v>
          </cell>
        </row>
        <row r="335">
          <cell r="B335" t="str">
            <v>134122</v>
          </cell>
          <cell r="C335" t="str">
            <v>Community School</v>
          </cell>
        </row>
        <row r="336">
          <cell r="B336" t="str">
            <v>142927</v>
          </cell>
          <cell r="C336" t="str">
            <v>Community School</v>
          </cell>
        </row>
        <row r="337">
          <cell r="B337" t="str">
            <v>142935</v>
          </cell>
          <cell r="C337" t="str">
            <v>Community School</v>
          </cell>
        </row>
        <row r="338">
          <cell r="B338" t="str">
            <v>142950</v>
          </cell>
          <cell r="C338" t="str">
            <v>Community School</v>
          </cell>
        </row>
        <row r="339">
          <cell r="B339" t="str">
            <v>143206</v>
          </cell>
          <cell r="C339" t="str">
            <v>Community School</v>
          </cell>
        </row>
        <row r="340">
          <cell r="B340" t="str">
            <v>143503</v>
          </cell>
          <cell r="C340" t="str">
            <v>Community School</v>
          </cell>
        </row>
        <row r="341">
          <cell r="B341" t="str">
            <v>143503</v>
          </cell>
          <cell r="C341" t="str">
            <v>Community School</v>
          </cell>
        </row>
        <row r="342">
          <cell r="B342" t="str">
            <v>143537</v>
          </cell>
          <cell r="C342" t="str">
            <v>Community School</v>
          </cell>
        </row>
        <row r="343">
          <cell r="B343" t="str">
            <v>143610</v>
          </cell>
          <cell r="C343" t="str">
            <v>Community School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T340"/>
  <sheetViews>
    <sheetView showGridLines="0" tabSelected="1" workbookViewId="0">
      <selection activeCell="C2" sqref="C2"/>
    </sheetView>
  </sheetViews>
  <sheetFormatPr defaultRowHeight="15" x14ac:dyDescent="0.2"/>
  <cols>
    <col min="1" max="2" width="15.42578125" style="4" bestFit="1" customWidth="1"/>
    <col min="3" max="3" width="19.85546875" style="4" customWidth="1"/>
    <col min="4" max="4" width="11.140625" style="4" bestFit="1" customWidth="1"/>
    <col min="5" max="5" width="9.5703125" style="4" customWidth="1"/>
    <col min="6" max="6" width="13.7109375" style="4" customWidth="1"/>
    <col min="7" max="7" width="49.85546875" style="4" customWidth="1"/>
    <col min="8" max="8" width="12.85546875" style="4" customWidth="1"/>
    <col min="9" max="9" width="15.42578125" style="4" customWidth="1"/>
    <col min="10" max="10" width="17.5703125" style="4" customWidth="1"/>
    <col min="11" max="11" width="17.28515625" style="4" customWidth="1"/>
    <col min="12" max="12" width="18" style="4" customWidth="1"/>
    <col min="13" max="13" width="17.42578125" style="4" customWidth="1"/>
    <col min="14" max="15" width="36.5703125" style="4" bestFit="1" customWidth="1"/>
    <col min="16" max="16" width="19" style="4" customWidth="1"/>
    <col min="17" max="17" width="20.7109375" style="4" customWidth="1"/>
    <col min="18" max="19" width="23.7109375" style="4" customWidth="1"/>
    <col min="20" max="20" width="21" style="4" bestFit="1" customWidth="1"/>
    <col min="21" max="16384" width="9.140625" style="4"/>
  </cols>
  <sheetData>
    <row r="1" spans="1:20" ht="51" x14ac:dyDescent="0.2">
      <c r="A1" s="1" t="s">
        <v>2700</v>
      </c>
      <c r="B1" s="1" t="s">
        <v>0</v>
      </c>
      <c r="C1" s="1" t="s">
        <v>2701</v>
      </c>
      <c r="D1" s="1" t="s">
        <v>2217</v>
      </c>
      <c r="E1" s="1" t="s">
        <v>2216</v>
      </c>
      <c r="F1" s="1" t="s">
        <v>2218</v>
      </c>
      <c r="G1" s="1" t="s">
        <v>2215</v>
      </c>
      <c r="H1" s="1" t="s">
        <v>1</v>
      </c>
      <c r="I1" s="1" t="s">
        <v>2</v>
      </c>
      <c r="J1" s="1" t="s">
        <v>3</v>
      </c>
      <c r="K1" s="1" t="s">
        <v>4</v>
      </c>
      <c r="L1" s="1" t="s">
        <v>2437</v>
      </c>
      <c r="M1" s="1" t="s">
        <v>5</v>
      </c>
      <c r="N1" s="1" t="s">
        <v>6</v>
      </c>
      <c r="O1" s="1" t="s">
        <v>7</v>
      </c>
      <c r="P1" s="1" t="s">
        <v>8</v>
      </c>
      <c r="Q1" s="1" t="s">
        <v>2702</v>
      </c>
      <c r="R1" s="1" t="s">
        <v>2703</v>
      </c>
      <c r="S1" s="1" t="s">
        <v>9</v>
      </c>
      <c r="T1" s="1" t="s">
        <v>2438</v>
      </c>
    </row>
    <row r="2" spans="1:20" ht="157.5" x14ac:dyDescent="0.2">
      <c r="A2" s="2" t="str">
        <f>VLOOKUP(B2,[1]raw_data!$B$4:$C$343,2,FALSE)</f>
        <v>Community School</v>
      </c>
      <c r="B2" s="2" t="s">
        <v>2452</v>
      </c>
      <c r="C2" s="2" t="s">
        <v>115</v>
      </c>
      <c r="D2" s="2" t="s">
        <v>11</v>
      </c>
      <c r="E2" s="2">
        <v>156</v>
      </c>
      <c r="F2" s="2" t="s">
        <v>116</v>
      </c>
      <c r="G2" s="2" t="s">
        <v>122</v>
      </c>
      <c r="H2" s="2">
        <v>200</v>
      </c>
      <c r="I2" s="2" t="s">
        <v>117</v>
      </c>
      <c r="J2" s="2" t="s">
        <v>118</v>
      </c>
      <c r="K2" s="2" t="s">
        <v>119</v>
      </c>
      <c r="L2" s="2" t="s">
        <v>120</v>
      </c>
      <c r="M2" s="2" t="s">
        <v>121</v>
      </c>
      <c r="N2" s="2" t="s">
        <v>16</v>
      </c>
      <c r="O2" s="2" t="s">
        <v>17</v>
      </c>
      <c r="P2" s="2" t="s">
        <v>17</v>
      </c>
      <c r="Q2" s="2" t="s">
        <v>17</v>
      </c>
      <c r="R2" s="2" t="s">
        <v>16</v>
      </c>
      <c r="S2" s="2" t="s">
        <v>16</v>
      </c>
      <c r="T2" s="3">
        <v>198225</v>
      </c>
    </row>
    <row r="3" spans="1:20" ht="157.5" x14ac:dyDescent="0.2">
      <c r="A3" s="2" t="str">
        <f>VLOOKUP(B3,[1]raw_data!$B$4:$C$343,2,FALSE)</f>
        <v>Public District</v>
      </c>
      <c r="B3" s="2" t="s">
        <v>2675</v>
      </c>
      <c r="C3" s="2" t="s">
        <v>2043</v>
      </c>
      <c r="D3" s="2" t="s">
        <v>2044</v>
      </c>
      <c r="E3" s="2">
        <v>226</v>
      </c>
      <c r="F3" s="2" t="s">
        <v>2045</v>
      </c>
      <c r="G3" s="2" t="s">
        <v>2051</v>
      </c>
      <c r="H3" s="2">
        <v>3960</v>
      </c>
      <c r="I3" s="2" t="s">
        <v>2046</v>
      </c>
      <c r="J3" s="2" t="s">
        <v>2047</v>
      </c>
      <c r="K3" s="2" t="s">
        <v>2048</v>
      </c>
      <c r="L3" s="2" t="s">
        <v>2049</v>
      </c>
      <c r="M3" s="2" t="s">
        <v>2050</v>
      </c>
      <c r="N3" s="2" t="s">
        <v>16</v>
      </c>
      <c r="O3" s="2" t="s">
        <v>16</v>
      </c>
      <c r="P3" s="2" t="s">
        <v>17</v>
      </c>
      <c r="Q3" s="2" t="s">
        <v>17</v>
      </c>
      <c r="R3" s="2" t="s">
        <v>17</v>
      </c>
      <c r="S3" s="2" t="s">
        <v>16</v>
      </c>
      <c r="T3" s="3">
        <v>1000000</v>
      </c>
    </row>
    <row r="4" spans="1:20" ht="112.5" x14ac:dyDescent="0.2">
      <c r="A4" s="2" t="str">
        <f>VLOOKUP(B4,[1]raw_data!$B$4:$C$343,2,FALSE)</f>
        <v>Community School</v>
      </c>
      <c r="B4" s="2" t="s">
        <v>2460</v>
      </c>
      <c r="C4" s="2" t="s">
        <v>170</v>
      </c>
      <c r="D4" s="2" t="s">
        <v>29</v>
      </c>
      <c r="E4" s="2">
        <v>71</v>
      </c>
      <c r="F4" s="2" t="s">
        <v>2232</v>
      </c>
      <c r="G4" s="2" t="s">
        <v>176</v>
      </c>
      <c r="H4" s="2">
        <v>140</v>
      </c>
      <c r="I4" s="2" t="s">
        <v>171</v>
      </c>
      <c r="J4" s="2" t="s">
        <v>172</v>
      </c>
      <c r="K4" s="2" t="s">
        <v>173</v>
      </c>
      <c r="L4" s="2" t="s">
        <v>174</v>
      </c>
      <c r="M4" s="2" t="s">
        <v>175</v>
      </c>
      <c r="N4" s="2" t="s">
        <v>16</v>
      </c>
      <c r="O4" s="2" t="s">
        <v>17</v>
      </c>
      <c r="P4" s="2" t="s">
        <v>17</v>
      </c>
      <c r="Q4" s="2" t="s">
        <v>17</v>
      </c>
      <c r="R4" s="2" t="s">
        <v>16</v>
      </c>
      <c r="S4" s="2" t="s">
        <v>16</v>
      </c>
      <c r="T4" s="3">
        <v>558400</v>
      </c>
    </row>
    <row r="5" spans="1:20" ht="78.75" x14ac:dyDescent="0.2">
      <c r="A5" s="2" t="str">
        <f>VLOOKUP(B5,[1]raw_data!$B$4:$C$343,2,FALSE)</f>
        <v>Public District</v>
      </c>
      <c r="B5" s="2" t="s">
        <v>2553</v>
      </c>
      <c r="C5" s="2" t="s">
        <v>1020</v>
      </c>
      <c r="D5" s="2" t="s">
        <v>1021</v>
      </c>
      <c r="E5" s="2">
        <v>234</v>
      </c>
      <c r="F5" s="2" t="s">
        <v>2307</v>
      </c>
      <c r="G5" s="2" t="s">
        <v>1027</v>
      </c>
      <c r="H5" s="2">
        <v>1568</v>
      </c>
      <c r="I5" s="2" t="s">
        <v>1022</v>
      </c>
      <c r="J5" s="2" t="s">
        <v>1023</v>
      </c>
      <c r="K5" s="2" t="s">
        <v>1024</v>
      </c>
      <c r="L5" s="2" t="s">
        <v>1025</v>
      </c>
      <c r="M5" s="2" t="s">
        <v>1026</v>
      </c>
      <c r="N5" s="2" t="s">
        <v>16</v>
      </c>
      <c r="O5" s="2" t="s">
        <v>17</v>
      </c>
      <c r="P5" s="2" t="s">
        <v>17</v>
      </c>
      <c r="Q5" s="2" t="s">
        <v>16</v>
      </c>
      <c r="R5" s="2" t="s">
        <v>17</v>
      </c>
      <c r="S5" s="2" t="s">
        <v>16</v>
      </c>
      <c r="T5" s="3">
        <v>978800</v>
      </c>
    </row>
    <row r="6" spans="1:20" ht="180" x14ac:dyDescent="0.2">
      <c r="A6" s="2" t="str">
        <f>VLOOKUP(B6,[1]raw_data!$B$4:$C$343,2,FALSE)</f>
        <v>Public District</v>
      </c>
      <c r="B6" s="2" t="s">
        <v>2547</v>
      </c>
      <c r="C6" s="2" t="s">
        <v>964</v>
      </c>
      <c r="D6" s="2" t="s">
        <v>59</v>
      </c>
      <c r="E6" s="2">
        <v>83</v>
      </c>
      <c r="F6" s="2" t="s">
        <v>2300</v>
      </c>
      <c r="G6" s="2" t="s">
        <v>970</v>
      </c>
      <c r="H6" s="2">
        <v>1100</v>
      </c>
      <c r="I6" s="2" t="s">
        <v>965</v>
      </c>
      <c r="J6" s="2" t="s">
        <v>966</v>
      </c>
      <c r="K6" s="2" t="s">
        <v>967</v>
      </c>
      <c r="L6" s="2" t="s">
        <v>968</v>
      </c>
      <c r="M6" s="2" t="s">
        <v>969</v>
      </c>
      <c r="N6" s="2" t="s">
        <v>16</v>
      </c>
      <c r="O6" s="2" t="s">
        <v>16</v>
      </c>
      <c r="P6" s="2" t="s">
        <v>17</v>
      </c>
      <c r="Q6" s="2" t="s">
        <v>17</v>
      </c>
      <c r="R6" s="2" t="s">
        <v>17</v>
      </c>
      <c r="S6" s="2" t="s">
        <v>16</v>
      </c>
      <c r="T6" s="3">
        <v>319225</v>
      </c>
    </row>
    <row r="7" spans="1:20" ht="112.5" x14ac:dyDescent="0.2">
      <c r="A7" s="2" t="str">
        <f>VLOOKUP(B7,[1]raw_data!$B$4:$C$343,2,FALSE)</f>
        <v>Public District</v>
      </c>
      <c r="B7" s="2" t="s">
        <v>2465</v>
      </c>
      <c r="C7" s="2" t="s">
        <v>203</v>
      </c>
      <c r="D7" s="2" t="s">
        <v>204</v>
      </c>
      <c r="E7" s="2">
        <v>303</v>
      </c>
      <c r="F7" s="2" t="s">
        <v>205</v>
      </c>
      <c r="G7" s="2" t="s">
        <v>211</v>
      </c>
      <c r="H7" s="2">
        <v>2140</v>
      </c>
      <c r="I7" s="2" t="s">
        <v>206</v>
      </c>
      <c r="J7" s="2" t="s">
        <v>207</v>
      </c>
      <c r="K7" s="2" t="s">
        <v>208</v>
      </c>
      <c r="L7" s="2" t="s">
        <v>209</v>
      </c>
      <c r="M7" s="2" t="s">
        <v>210</v>
      </c>
      <c r="N7" s="2" t="s">
        <v>16</v>
      </c>
      <c r="O7" s="2" t="s">
        <v>17</v>
      </c>
      <c r="P7" s="2" t="s">
        <v>17</v>
      </c>
      <c r="Q7" s="2" t="s">
        <v>16</v>
      </c>
      <c r="R7" s="2" t="s">
        <v>17</v>
      </c>
      <c r="S7" s="2" t="s">
        <v>16</v>
      </c>
      <c r="T7" s="3">
        <v>1000000</v>
      </c>
    </row>
    <row r="8" spans="1:20" ht="180" x14ac:dyDescent="0.2">
      <c r="A8" s="2" t="str">
        <f>VLOOKUP(B8,[1]raw_data!$B$4:$C$343,2,FALSE)</f>
        <v>Public District</v>
      </c>
      <c r="B8" s="2" t="s">
        <v>2465</v>
      </c>
      <c r="C8" s="2" t="s">
        <v>203</v>
      </c>
      <c r="D8" s="2" t="s">
        <v>204</v>
      </c>
      <c r="E8" s="2">
        <v>302</v>
      </c>
      <c r="F8" s="2" t="s">
        <v>212</v>
      </c>
      <c r="G8" s="2" t="s">
        <v>215</v>
      </c>
      <c r="H8" s="2">
        <v>4931</v>
      </c>
      <c r="I8" s="2" t="s">
        <v>213</v>
      </c>
      <c r="J8" s="2" t="s">
        <v>207</v>
      </c>
      <c r="K8" s="2" t="s">
        <v>208</v>
      </c>
      <c r="L8" s="2" t="s">
        <v>209</v>
      </c>
      <c r="M8" s="2" t="s">
        <v>214</v>
      </c>
      <c r="N8" s="2" t="s">
        <v>17</v>
      </c>
      <c r="O8" s="2" t="s">
        <v>17</v>
      </c>
      <c r="P8" s="2" t="s">
        <v>17</v>
      </c>
      <c r="Q8" s="2" t="s">
        <v>16</v>
      </c>
      <c r="R8" s="2" t="s">
        <v>17</v>
      </c>
      <c r="S8" s="2" t="s">
        <v>17</v>
      </c>
      <c r="T8" s="3">
        <v>9069760.9000000004</v>
      </c>
    </row>
    <row r="9" spans="1:20" ht="180" x14ac:dyDescent="0.2">
      <c r="A9" s="2" t="str">
        <f>VLOOKUP(B9,[1]raw_data!$B$4:$C$343,2,FALSE)</f>
        <v>Public District</v>
      </c>
      <c r="B9" s="2" t="s">
        <v>2534</v>
      </c>
      <c r="C9" s="2" t="s">
        <v>841</v>
      </c>
      <c r="D9" s="2" t="s">
        <v>423</v>
      </c>
      <c r="E9" s="2">
        <v>304</v>
      </c>
      <c r="F9" s="2" t="s">
        <v>2289</v>
      </c>
      <c r="G9" s="2" t="s">
        <v>847</v>
      </c>
      <c r="H9" s="2">
        <v>2000</v>
      </c>
      <c r="I9" s="2" t="s">
        <v>842</v>
      </c>
      <c r="J9" s="2" t="s">
        <v>843</v>
      </c>
      <c r="K9" s="2" t="s">
        <v>844</v>
      </c>
      <c r="L9" s="2" t="s">
        <v>845</v>
      </c>
      <c r="M9" s="2" t="s">
        <v>846</v>
      </c>
      <c r="N9" s="2" t="s">
        <v>16</v>
      </c>
      <c r="O9" s="2" t="s">
        <v>16</v>
      </c>
      <c r="P9" s="2" t="s">
        <v>17</v>
      </c>
      <c r="Q9" s="2" t="s">
        <v>16</v>
      </c>
      <c r="R9" s="2" t="s">
        <v>16</v>
      </c>
      <c r="S9" s="2" t="s">
        <v>16</v>
      </c>
      <c r="T9" s="3">
        <v>993999.5</v>
      </c>
    </row>
    <row r="10" spans="1:20" ht="180" x14ac:dyDescent="0.2">
      <c r="A10" s="2" t="str">
        <f>VLOOKUP(B10,[1]raw_data!$B$4:$C$343,2,FALSE)</f>
        <v>Public District</v>
      </c>
      <c r="B10" s="2" t="s">
        <v>2534</v>
      </c>
      <c r="C10" s="2" t="s">
        <v>841</v>
      </c>
      <c r="D10" s="2" t="s">
        <v>423</v>
      </c>
      <c r="E10" s="2">
        <v>305</v>
      </c>
      <c r="F10" s="2" t="s">
        <v>2290</v>
      </c>
      <c r="G10" s="2" t="s">
        <v>849</v>
      </c>
      <c r="H10" s="2">
        <v>4000</v>
      </c>
      <c r="I10" s="2" t="s">
        <v>848</v>
      </c>
      <c r="J10" s="2" t="s">
        <v>843</v>
      </c>
      <c r="K10" s="2" t="s">
        <v>844</v>
      </c>
      <c r="L10" s="2" t="s">
        <v>845</v>
      </c>
      <c r="M10" s="2" t="s">
        <v>846</v>
      </c>
      <c r="N10" s="2" t="s">
        <v>17</v>
      </c>
      <c r="O10" s="2" t="s">
        <v>17</v>
      </c>
      <c r="P10" s="2" t="s">
        <v>17</v>
      </c>
      <c r="Q10" s="2" t="s">
        <v>16</v>
      </c>
      <c r="R10" s="2" t="s">
        <v>16</v>
      </c>
      <c r="S10" s="2" t="s">
        <v>16</v>
      </c>
      <c r="T10" s="3">
        <v>3492800.49</v>
      </c>
    </row>
    <row r="11" spans="1:20" ht="168.75" x14ac:dyDescent="0.2">
      <c r="A11" s="2" t="str">
        <f>VLOOKUP(B11,[1]raw_data!$B$4:$C$343,2,FALSE)</f>
        <v>Joint Vocational School District</v>
      </c>
      <c r="B11" s="2" t="s">
        <v>2667</v>
      </c>
      <c r="C11" s="2" t="s">
        <v>1976</v>
      </c>
      <c r="D11" s="2" t="s">
        <v>59</v>
      </c>
      <c r="E11" s="2">
        <v>54</v>
      </c>
      <c r="F11" s="2" t="s">
        <v>2409</v>
      </c>
      <c r="G11" s="2" t="s">
        <v>1981</v>
      </c>
      <c r="H11" s="2">
        <v>1350</v>
      </c>
      <c r="I11" s="2" t="s">
        <v>1977</v>
      </c>
      <c r="J11" s="2" t="s">
        <v>1978</v>
      </c>
      <c r="K11" s="2" t="s">
        <v>1979</v>
      </c>
      <c r="L11" s="2">
        <v>4199982909</v>
      </c>
      <c r="M11" s="2" t="s">
        <v>1980</v>
      </c>
      <c r="N11" s="2" t="s">
        <v>16</v>
      </c>
      <c r="O11" s="2" t="s">
        <v>17</v>
      </c>
      <c r="P11" s="2" t="s">
        <v>17</v>
      </c>
      <c r="Q11" s="2" t="s">
        <v>17</v>
      </c>
      <c r="R11" s="2" t="s">
        <v>17</v>
      </c>
      <c r="S11" s="2" t="s">
        <v>16</v>
      </c>
      <c r="T11" s="3">
        <v>326253.33</v>
      </c>
    </row>
    <row r="12" spans="1:20" ht="146.25" x14ac:dyDescent="0.2">
      <c r="A12" s="2" t="str">
        <f>VLOOKUP(B12,[1]raw_data!$B$4:$C$343,2,FALSE)</f>
        <v>Joint Vocational School District</v>
      </c>
      <c r="B12" s="2" t="s">
        <v>2667</v>
      </c>
      <c r="C12" s="2" t="s">
        <v>1976</v>
      </c>
      <c r="D12" s="2" t="s">
        <v>59</v>
      </c>
      <c r="E12" s="2">
        <v>55</v>
      </c>
      <c r="F12" s="2" t="s">
        <v>2410</v>
      </c>
      <c r="G12" s="2" t="s">
        <v>1983</v>
      </c>
      <c r="H12" s="2">
        <v>415</v>
      </c>
      <c r="I12" s="2" t="s">
        <v>1977</v>
      </c>
      <c r="J12" s="2" t="s">
        <v>1978</v>
      </c>
      <c r="K12" s="2" t="s">
        <v>1982</v>
      </c>
      <c r="L12" s="2">
        <v>4199982939</v>
      </c>
      <c r="M12" s="2" t="s">
        <v>1980</v>
      </c>
      <c r="N12" s="2" t="s">
        <v>16</v>
      </c>
      <c r="O12" s="2" t="s">
        <v>16</v>
      </c>
      <c r="P12" s="2" t="s">
        <v>17</v>
      </c>
      <c r="Q12" s="2" t="s">
        <v>17</v>
      </c>
      <c r="R12" s="2" t="s">
        <v>17</v>
      </c>
      <c r="S12" s="2" t="s">
        <v>16</v>
      </c>
      <c r="T12" s="3">
        <v>128025</v>
      </c>
    </row>
    <row r="13" spans="1:20" ht="123.75" x14ac:dyDescent="0.2">
      <c r="A13" s="2" t="str">
        <f>VLOOKUP(B13,[1]raw_data!$B$4:$C$343,2,FALSE)</f>
        <v>Community School</v>
      </c>
      <c r="B13" s="2" t="s">
        <v>2699</v>
      </c>
      <c r="C13" s="2" t="s">
        <v>2208</v>
      </c>
      <c r="D13" s="2" t="s">
        <v>82</v>
      </c>
      <c r="E13" s="2">
        <v>278</v>
      </c>
      <c r="F13" s="2" t="s">
        <v>2436</v>
      </c>
      <c r="G13" s="2" t="s">
        <v>2214</v>
      </c>
      <c r="H13" s="2">
        <v>4351</v>
      </c>
      <c r="I13" s="2" t="s">
        <v>2209</v>
      </c>
      <c r="J13" s="2" t="s">
        <v>2210</v>
      </c>
      <c r="K13" s="2" t="s">
        <v>2211</v>
      </c>
      <c r="L13" s="2" t="s">
        <v>2212</v>
      </c>
      <c r="M13" s="2" t="s">
        <v>2213</v>
      </c>
      <c r="N13" s="2" t="s">
        <v>17</v>
      </c>
      <c r="O13" s="2" t="s">
        <v>17</v>
      </c>
      <c r="P13" s="2" t="s">
        <v>17</v>
      </c>
      <c r="Q13" s="2" t="s">
        <v>16</v>
      </c>
      <c r="R13" s="2" t="s">
        <v>16</v>
      </c>
      <c r="S13" s="2" t="s">
        <v>16</v>
      </c>
      <c r="T13" s="3">
        <v>2075428.2</v>
      </c>
    </row>
    <row r="14" spans="1:20" ht="123.75" x14ac:dyDescent="0.2">
      <c r="A14" s="2" t="str">
        <f>VLOOKUP(B14,[1]raw_data!$B$4:$C$343,2,FALSE)</f>
        <v>Public District</v>
      </c>
      <c r="B14" s="2" t="s">
        <v>2466</v>
      </c>
      <c r="C14" s="2" t="s">
        <v>216</v>
      </c>
      <c r="D14" s="2" t="s">
        <v>217</v>
      </c>
      <c r="E14" s="2">
        <v>19</v>
      </c>
      <c r="F14" s="2" t="s">
        <v>2237</v>
      </c>
      <c r="G14" s="2" t="s">
        <v>223</v>
      </c>
      <c r="H14" s="2">
        <v>1201</v>
      </c>
      <c r="I14" s="2" t="s">
        <v>218</v>
      </c>
      <c r="J14" s="2" t="s">
        <v>219</v>
      </c>
      <c r="K14" s="2" t="s">
        <v>220</v>
      </c>
      <c r="L14" s="2" t="s">
        <v>221</v>
      </c>
      <c r="M14" s="2" t="s">
        <v>222</v>
      </c>
      <c r="N14" s="2" t="s">
        <v>17</v>
      </c>
      <c r="O14" s="2" t="s">
        <v>17</v>
      </c>
      <c r="P14" s="2" t="s">
        <v>17</v>
      </c>
      <c r="Q14" s="2" t="s">
        <v>16</v>
      </c>
      <c r="R14" s="2" t="s">
        <v>17</v>
      </c>
      <c r="S14" s="2" t="s">
        <v>16</v>
      </c>
      <c r="T14" s="3">
        <v>2113930</v>
      </c>
    </row>
    <row r="15" spans="1:20" ht="157.5" x14ac:dyDescent="0.2">
      <c r="A15" s="2" t="str">
        <f>VLOOKUP(B15,[1]raw_data!$B$4:$C$343,2,FALSE)</f>
        <v>Joint Vocational School District</v>
      </c>
      <c r="B15" s="2" t="s">
        <v>2677</v>
      </c>
      <c r="C15" s="2" t="s">
        <v>2058</v>
      </c>
      <c r="D15" s="2" t="s">
        <v>217</v>
      </c>
      <c r="E15" s="2">
        <v>269</v>
      </c>
      <c r="F15" s="2" t="s">
        <v>2418</v>
      </c>
      <c r="G15" s="2" t="s">
        <v>2064</v>
      </c>
      <c r="H15" s="2">
        <v>9462</v>
      </c>
      <c r="I15" s="2" t="s">
        <v>2059</v>
      </c>
      <c r="J15" s="2" t="s">
        <v>2060</v>
      </c>
      <c r="K15" s="2" t="s">
        <v>2061</v>
      </c>
      <c r="L15" s="2" t="s">
        <v>2062</v>
      </c>
      <c r="M15" s="2" t="s">
        <v>2063</v>
      </c>
      <c r="N15" s="2" t="s">
        <v>17</v>
      </c>
      <c r="O15" s="2" t="s">
        <v>17</v>
      </c>
      <c r="P15" s="2" t="s">
        <v>17</v>
      </c>
      <c r="Q15" s="2" t="s">
        <v>17</v>
      </c>
      <c r="R15" s="2" t="s">
        <v>16</v>
      </c>
      <c r="S15" s="2" t="s">
        <v>17</v>
      </c>
      <c r="T15" s="3">
        <v>10394780</v>
      </c>
    </row>
    <row r="16" spans="1:20" ht="78.75" x14ac:dyDescent="0.2">
      <c r="A16" s="2" t="str">
        <f>VLOOKUP(B16,[1]raw_data!$B$4:$C$343,2,FALSE)</f>
        <v>Public District</v>
      </c>
      <c r="B16" s="2" t="s">
        <v>2467</v>
      </c>
      <c r="C16" s="2" t="s">
        <v>224</v>
      </c>
      <c r="D16" s="2" t="s">
        <v>225</v>
      </c>
      <c r="E16" s="2">
        <v>240</v>
      </c>
      <c r="F16" s="2" t="s">
        <v>226</v>
      </c>
      <c r="G16" s="2" t="s">
        <v>232</v>
      </c>
      <c r="H16" s="2">
        <v>2000</v>
      </c>
      <c r="I16" s="2" t="s">
        <v>227</v>
      </c>
      <c r="J16" s="2" t="s">
        <v>228</v>
      </c>
      <c r="K16" s="2" t="s">
        <v>229</v>
      </c>
      <c r="L16" s="2" t="s">
        <v>230</v>
      </c>
      <c r="M16" s="2" t="s">
        <v>231</v>
      </c>
      <c r="N16" s="2" t="s">
        <v>16</v>
      </c>
      <c r="O16" s="2" t="s">
        <v>16</v>
      </c>
      <c r="P16" s="2" t="s">
        <v>17</v>
      </c>
      <c r="Q16" s="2" t="s">
        <v>17</v>
      </c>
      <c r="R16" s="2" t="s">
        <v>17</v>
      </c>
      <c r="S16" s="2" t="s">
        <v>16</v>
      </c>
      <c r="T16" s="3">
        <v>1000000</v>
      </c>
    </row>
    <row r="17" spans="1:20" ht="146.25" x14ac:dyDescent="0.2">
      <c r="A17" s="2" t="str">
        <f>VLOOKUP(B17,[1]raw_data!$B$4:$C$343,2,FALSE)</f>
        <v>Community School</v>
      </c>
      <c r="B17" s="2" t="s">
        <v>2692</v>
      </c>
      <c r="C17" s="2" t="s">
        <v>2168</v>
      </c>
      <c r="D17" s="2" t="s">
        <v>11</v>
      </c>
      <c r="E17" s="2">
        <v>124</v>
      </c>
      <c r="F17" s="2" t="s">
        <v>2431</v>
      </c>
      <c r="G17" s="2" t="s">
        <v>2174</v>
      </c>
      <c r="H17" s="2">
        <v>115</v>
      </c>
      <c r="I17" s="2" t="s">
        <v>2169</v>
      </c>
      <c r="J17" s="2" t="s">
        <v>2170</v>
      </c>
      <c r="K17" s="2" t="s">
        <v>2171</v>
      </c>
      <c r="L17" s="2" t="s">
        <v>2172</v>
      </c>
      <c r="M17" s="2" t="s">
        <v>2173</v>
      </c>
      <c r="N17" s="2" t="s">
        <v>16</v>
      </c>
      <c r="O17" s="2" t="s">
        <v>17</v>
      </c>
      <c r="P17" s="2" t="s">
        <v>17</v>
      </c>
      <c r="Q17" s="2" t="s">
        <v>17</v>
      </c>
      <c r="R17" s="2" t="s">
        <v>17</v>
      </c>
      <c r="S17" s="2" t="s">
        <v>16</v>
      </c>
      <c r="T17" s="3">
        <v>554867</v>
      </c>
    </row>
    <row r="18" spans="1:20" ht="123.75" x14ac:dyDescent="0.2">
      <c r="A18" s="2" t="str">
        <f>VLOOKUP(B18,[1]raw_data!$B$4:$C$343,2,FALSE)</f>
        <v>Public District</v>
      </c>
      <c r="B18" s="2" t="s">
        <v>2609</v>
      </c>
      <c r="C18" s="2" t="s">
        <v>1501</v>
      </c>
      <c r="D18" s="2" t="s">
        <v>423</v>
      </c>
      <c r="E18" s="2">
        <v>127</v>
      </c>
      <c r="F18" s="2" t="s">
        <v>1502</v>
      </c>
      <c r="G18" s="2" t="s">
        <v>1508</v>
      </c>
      <c r="H18" s="2">
        <v>8473</v>
      </c>
      <c r="I18" s="2" t="s">
        <v>1503</v>
      </c>
      <c r="J18" s="2" t="s">
        <v>1504</v>
      </c>
      <c r="K18" s="2" t="s">
        <v>1505</v>
      </c>
      <c r="L18" s="2" t="s">
        <v>1506</v>
      </c>
      <c r="M18" s="2" t="s">
        <v>1507</v>
      </c>
      <c r="N18" s="2" t="s">
        <v>17</v>
      </c>
      <c r="O18" s="2" t="s">
        <v>17</v>
      </c>
      <c r="P18" s="2" t="s">
        <v>17</v>
      </c>
      <c r="Q18" s="2" t="s">
        <v>17</v>
      </c>
      <c r="R18" s="2" t="s">
        <v>17</v>
      </c>
      <c r="S18" s="2" t="s">
        <v>17</v>
      </c>
      <c r="T18" s="3">
        <v>956076</v>
      </c>
    </row>
    <row r="19" spans="1:20" ht="180" x14ac:dyDescent="0.2">
      <c r="A19" s="2" t="str">
        <f>VLOOKUP(B19,[1]raw_data!$B$4:$C$343,2,FALSE)</f>
        <v>Public District</v>
      </c>
      <c r="B19" s="2" t="s">
        <v>2572</v>
      </c>
      <c r="C19" s="2" t="s">
        <v>1178</v>
      </c>
      <c r="D19" s="2" t="s">
        <v>398</v>
      </c>
      <c r="E19" s="2">
        <v>201</v>
      </c>
      <c r="F19" s="2" t="s">
        <v>1179</v>
      </c>
      <c r="G19" s="2" t="s">
        <v>1185</v>
      </c>
      <c r="H19" s="2">
        <v>10260</v>
      </c>
      <c r="I19" s="2" t="s">
        <v>1180</v>
      </c>
      <c r="J19" s="2" t="s">
        <v>1181</v>
      </c>
      <c r="K19" s="2" t="s">
        <v>1182</v>
      </c>
      <c r="L19" s="2" t="s">
        <v>1183</v>
      </c>
      <c r="M19" s="2" t="s">
        <v>1184</v>
      </c>
      <c r="N19" s="2" t="s">
        <v>17</v>
      </c>
      <c r="O19" s="2" t="s">
        <v>16</v>
      </c>
      <c r="P19" s="2" t="s">
        <v>17</v>
      </c>
      <c r="Q19" s="2" t="s">
        <v>17</v>
      </c>
      <c r="R19" s="2" t="s">
        <v>17</v>
      </c>
      <c r="S19" s="2" t="s">
        <v>16</v>
      </c>
      <c r="T19" s="3">
        <v>11427000</v>
      </c>
    </row>
    <row r="20" spans="1:20" ht="45" x14ac:dyDescent="0.2">
      <c r="A20" s="2" t="str">
        <f>VLOOKUP(B20,[1]raw_data!$B$4:$C$343,2,FALSE)</f>
        <v>Public District</v>
      </c>
      <c r="B20" s="2" t="s">
        <v>2468</v>
      </c>
      <c r="C20" s="2" t="s">
        <v>233</v>
      </c>
      <c r="D20" s="2" t="s">
        <v>20</v>
      </c>
      <c r="E20" s="2">
        <v>15</v>
      </c>
      <c r="F20" s="2" t="s">
        <v>2238</v>
      </c>
      <c r="G20" s="2" t="s">
        <v>239</v>
      </c>
      <c r="H20" s="2">
        <v>1440</v>
      </c>
      <c r="I20" s="2" t="s">
        <v>234</v>
      </c>
      <c r="J20" s="2" t="s">
        <v>235</v>
      </c>
      <c r="K20" s="2" t="s">
        <v>236</v>
      </c>
      <c r="L20" s="2" t="s">
        <v>237</v>
      </c>
      <c r="M20" s="2" t="s">
        <v>238</v>
      </c>
      <c r="N20" s="2" t="s">
        <v>16</v>
      </c>
      <c r="O20" s="2" t="s">
        <v>17</v>
      </c>
      <c r="P20" s="2" t="s">
        <v>17</v>
      </c>
      <c r="Q20" s="2" t="s">
        <v>17</v>
      </c>
      <c r="R20" s="2" t="s">
        <v>17</v>
      </c>
      <c r="S20" s="2" t="s">
        <v>17</v>
      </c>
      <c r="T20" s="3">
        <v>969800</v>
      </c>
    </row>
    <row r="21" spans="1:20" ht="101.25" x14ac:dyDescent="0.2">
      <c r="A21" s="2" t="str">
        <f>VLOOKUP(B21,[1]raw_data!$B$4:$C$343,2,FALSE)</f>
        <v>Public District</v>
      </c>
      <c r="B21" s="2" t="s">
        <v>2468</v>
      </c>
      <c r="C21" s="2" t="s">
        <v>233</v>
      </c>
      <c r="D21" s="2" t="s">
        <v>20</v>
      </c>
      <c r="E21" s="2">
        <v>14</v>
      </c>
      <c r="F21" s="2" t="s">
        <v>2239</v>
      </c>
      <c r="G21" s="2" t="s">
        <v>245</v>
      </c>
      <c r="H21" s="2">
        <v>2400</v>
      </c>
      <c r="I21" s="2" t="s">
        <v>240</v>
      </c>
      <c r="J21" s="2" t="s">
        <v>241</v>
      </c>
      <c r="K21" s="2" t="s">
        <v>242</v>
      </c>
      <c r="L21" s="2" t="s">
        <v>243</v>
      </c>
      <c r="M21" s="2" t="s">
        <v>244</v>
      </c>
      <c r="N21" s="2" t="s">
        <v>16</v>
      </c>
      <c r="O21" s="2" t="s">
        <v>17</v>
      </c>
      <c r="P21" s="2" t="s">
        <v>17</v>
      </c>
      <c r="Q21" s="2" t="s">
        <v>17</v>
      </c>
      <c r="R21" s="2" t="s">
        <v>17</v>
      </c>
      <c r="S21" s="2" t="s">
        <v>17</v>
      </c>
      <c r="T21" s="3">
        <v>928150</v>
      </c>
    </row>
    <row r="22" spans="1:20" ht="135" x14ac:dyDescent="0.2">
      <c r="A22" s="2" t="str">
        <f>VLOOKUP(B22,[1]raw_data!$B$4:$C$343,2,FALSE)</f>
        <v>Public District</v>
      </c>
      <c r="B22" s="2" t="s">
        <v>2535</v>
      </c>
      <c r="C22" s="2" t="s">
        <v>850</v>
      </c>
      <c r="D22" s="2" t="s">
        <v>851</v>
      </c>
      <c r="E22" s="2">
        <v>318</v>
      </c>
      <c r="F22" s="2" t="s">
        <v>852</v>
      </c>
      <c r="G22" s="2" t="s">
        <v>858</v>
      </c>
      <c r="H22" s="2">
        <v>8850</v>
      </c>
      <c r="I22" s="2" t="s">
        <v>853</v>
      </c>
      <c r="J22" s="2" t="s">
        <v>854</v>
      </c>
      <c r="K22" s="2" t="s">
        <v>855</v>
      </c>
      <c r="L22" s="2" t="s">
        <v>856</v>
      </c>
      <c r="M22" s="2" t="s">
        <v>857</v>
      </c>
      <c r="N22" s="2" t="s">
        <v>17</v>
      </c>
      <c r="O22" s="2" t="s">
        <v>17</v>
      </c>
      <c r="P22" s="2" t="s">
        <v>17</v>
      </c>
      <c r="Q22" s="2" t="s">
        <v>17</v>
      </c>
      <c r="R22" s="2" t="s">
        <v>17</v>
      </c>
      <c r="S22" s="2" t="s">
        <v>17</v>
      </c>
      <c r="T22" s="3">
        <v>3538689</v>
      </c>
    </row>
    <row r="23" spans="1:20" ht="135" x14ac:dyDescent="0.2">
      <c r="A23" s="2" t="str">
        <f>VLOOKUP(B23,[1]raw_data!$B$4:$C$343,2,FALSE)</f>
        <v>Public District</v>
      </c>
      <c r="B23" s="2" t="s">
        <v>2548</v>
      </c>
      <c r="C23" s="2" t="s">
        <v>971</v>
      </c>
      <c r="D23" s="2" t="s">
        <v>59</v>
      </c>
      <c r="E23" s="2">
        <v>178</v>
      </c>
      <c r="F23" s="2" t="s">
        <v>2301</v>
      </c>
      <c r="G23" s="2" t="s">
        <v>977</v>
      </c>
      <c r="H23" s="2">
        <v>4391</v>
      </c>
      <c r="I23" s="2" t="s">
        <v>972</v>
      </c>
      <c r="J23" s="2" t="s">
        <v>973</v>
      </c>
      <c r="K23" s="2" t="s">
        <v>974</v>
      </c>
      <c r="L23" s="2" t="s">
        <v>975</v>
      </c>
      <c r="M23" s="2" t="s">
        <v>976</v>
      </c>
      <c r="N23" s="2" t="s">
        <v>17</v>
      </c>
      <c r="O23" s="2" t="s">
        <v>17</v>
      </c>
      <c r="P23" s="2" t="s">
        <v>17</v>
      </c>
      <c r="Q23" s="2" t="s">
        <v>17</v>
      </c>
      <c r="R23" s="2" t="s">
        <v>17</v>
      </c>
      <c r="S23" s="2" t="s">
        <v>16</v>
      </c>
      <c r="T23" s="3">
        <v>2726248</v>
      </c>
    </row>
    <row r="24" spans="1:20" ht="168.75" x14ac:dyDescent="0.2">
      <c r="A24" s="2" t="str">
        <f>VLOOKUP(B24,[1]raw_data!$B$4:$C$343,2,FALSE)</f>
        <v>Public District</v>
      </c>
      <c r="B24" s="2" t="s">
        <v>2469</v>
      </c>
      <c r="C24" s="2" t="s">
        <v>246</v>
      </c>
      <c r="D24" s="2" t="s">
        <v>29</v>
      </c>
      <c r="E24" s="2">
        <v>74</v>
      </c>
      <c r="F24" s="2" t="s">
        <v>2240</v>
      </c>
      <c r="G24" s="2" t="s">
        <v>252</v>
      </c>
      <c r="H24" s="2">
        <v>65</v>
      </c>
      <c r="I24" s="2" t="s">
        <v>247</v>
      </c>
      <c r="J24" s="2" t="s">
        <v>248</v>
      </c>
      <c r="K24" s="2" t="s">
        <v>249</v>
      </c>
      <c r="L24" s="2" t="s">
        <v>250</v>
      </c>
      <c r="M24" s="2" t="s">
        <v>251</v>
      </c>
      <c r="N24" s="2" t="s">
        <v>16</v>
      </c>
      <c r="O24" s="2" t="s">
        <v>17</v>
      </c>
      <c r="P24" s="2" t="s">
        <v>17</v>
      </c>
      <c r="Q24" s="2" t="s">
        <v>16</v>
      </c>
      <c r="R24" s="2" t="s">
        <v>16</v>
      </c>
      <c r="S24" s="2" t="s">
        <v>16</v>
      </c>
      <c r="T24" s="3">
        <v>961733</v>
      </c>
    </row>
    <row r="25" spans="1:20" ht="101.25" x14ac:dyDescent="0.2">
      <c r="A25" s="2" t="str">
        <f>VLOOKUP(B25,[1]raw_data!$B$4:$C$343,2,FALSE)</f>
        <v>Public District</v>
      </c>
      <c r="B25" s="2" t="s">
        <v>2469</v>
      </c>
      <c r="C25" s="2" t="s">
        <v>246</v>
      </c>
      <c r="D25" s="2" t="s">
        <v>29</v>
      </c>
      <c r="E25" s="2">
        <v>76</v>
      </c>
      <c r="F25" s="2" t="s">
        <v>253</v>
      </c>
      <c r="G25" s="2" t="s">
        <v>255</v>
      </c>
      <c r="H25" s="2">
        <v>450</v>
      </c>
      <c r="I25" s="2" t="s">
        <v>247</v>
      </c>
      <c r="J25" s="2" t="s">
        <v>254</v>
      </c>
      <c r="K25" s="2" t="s">
        <v>249</v>
      </c>
      <c r="L25" s="2" t="s">
        <v>250</v>
      </c>
      <c r="M25" s="2" t="s">
        <v>251</v>
      </c>
      <c r="N25" s="2" t="s">
        <v>17</v>
      </c>
      <c r="O25" s="2" t="s">
        <v>17</v>
      </c>
      <c r="P25" s="2" t="s">
        <v>17</v>
      </c>
      <c r="Q25" s="2" t="s">
        <v>16</v>
      </c>
      <c r="R25" s="2" t="s">
        <v>17</v>
      </c>
      <c r="S25" s="2" t="s">
        <v>17</v>
      </c>
      <c r="T25" s="3">
        <v>535283</v>
      </c>
    </row>
    <row r="26" spans="1:20" ht="135" x14ac:dyDescent="0.2">
      <c r="A26" s="2" t="str">
        <f>VLOOKUP(B26,[1]raw_data!$B$4:$C$343,2,FALSE)</f>
        <v>Public District</v>
      </c>
      <c r="B26" s="2" t="s">
        <v>2469</v>
      </c>
      <c r="C26" s="2" t="s">
        <v>246</v>
      </c>
      <c r="D26" s="2" t="s">
        <v>29</v>
      </c>
      <c r="E26" s="2">
        <v>75</v>
      </c>
      <c r="F26" s="2" t="s">
        <v>2241</v>
      </c>
      <c r="G26" s="2" t="s">
        <v>257</v>
      </c>
      <c r="H26" s="2">
        <v>30</v>
      </c>
      <c r="I26" s="2" t="s">
        <v>247</v>
      </c>
      <c r="J26" s="2" t="s">
        <v>248</v>
      </c>
      <c r="K26" s="2" t="s">
        <v>256</v>
      </c>
      <c r="L26" s="2" t="s">
        <v>250</v>
      </c>
      <c r="M26" s="2" t="s">
        <v>251</v>
      </c>
      <c r="N26" s="2" t="s">
        <v>16</v>
      </c>
      <c r="O26" s="2" t="s">
        <v>17</v>
      </c>
      <c r="P26" s="2" t="s">
        <v>17</v>
      </c>
      <c r="Q26" s="2" t="s">
        <v>16</v>
      </c>
      <c r="R26" s="2" t="s">
        <v>16</v>
      </c>
      <c r="S26" s="2" t="s">
        <v>16</v>
      </c>
      <c r="T26" s="3">
        <v>75000</v>
      </c>
    </row>
    <row r="27" spans="1:20" ht="112.5" x14ac:dyDescent="0.2">
      <c r="A27" s="2" t="str">
        <f>VLOOKUP(B27,[1]raw_data!$B$4:$C$343,2,FALSE)</f>
        <v>Public District</v>
      </c>
      <c r="B27" s="2" t="s">
        <v>2587</v>
      </c>
      <c r="C27" s="2" t="s">
        <v>1329</v>
      </c>
      <c r="D27" s="2" t="s">
        <v>432</v>
      </c>
      <c r="E27" s="2">
        <v>29</v>
      </c>
      <c r="F27" s="2" t="s">
        <v>2342</v>
      </c>
      <c r="G27" s="2" t="s">
        <v>1335</v>
      </c>
      <c r="H27" s="2">
        <v>2385</v>
      </c>
      <c r="I27" s="2" t="s">
        <v>1330</v>
      </c>
      <c r="J27" s="2" t="s">
        <v>1331</v>
      </c>
      <c r="K27" s="2" t="s">
        <v>1332</v>
      </c>
      <c r="L27" s="2" t="s">
        <v>1333</v>
      </c>
      <c r="M27" s="2" t="s">
        <v>1334</v>
      </c>
      <c r="N27" s="2" t="s">
        <v>16</v>
      </c>
      <c r="O27" s="2" t="s">
        <v>17</v>
      </c>
      <c r="P27" s="2" t="s">
        <v>17</v>
      </c>
      <c r="Q27" s="2" t="s">
        <v>17</v>
      </c>
      <c r="R27" s="2" t="s">
        <v>17</v>
      </c>
      <c r="S27" s="2" t="s">
        <v>16</v>
      </c>
      <c r="T27" s="3">
        <v>999000</v>
      </c>
    </row>
    <row r="28" spans="1:20" ht="90" x14ac:dyDescent="0.2">
      <c r="A28" s="2" t="str">
        <f>VLOOKUP(B28,[1]raw_data!$B$4:$C$343,2,FALSE)</f>
        <v>Public District</v>
      </c>
      <c r="B28" s="2" t="s">
        <v>2587</v>
      </c>
      <c r="C28" s="2" t="s">
        <v>1329</v>
      </c>
      <c r="D28" s="2" t="s">
        <v>432</v>
      </c>
      <c r="E28" s="2">
        <v>28</v>
      </c>
      <c r="F28" s="2" t="s">
        <v>2343</v>
      </c>
      <c r="G28" s="2" t="s">
        <v>1336</v>
      </c>
      <c r="H28" s="2">
        <v>2385</v>
      </c>
      <c r="I28" s="2" t="s">
        <v>1330</v>
      </c>
      <c r="J28" s="2" t="s">
        <v>1331</v>
      </c>
      <c r="K28" s="2" t="s">
        <v>1332</v>
      </c>
      <c r="L28" s="2" t="s">
        <v>1333</v>
      </c>
      <c r="M28" s="2" t="s">
        <v>1334</v>
      </c>
      <c r="N28" s="2" t="s">
        <v>16</v>
      </c>
      <c r="O28" s="2" t="s">
        <v>17</v>
      </c>
      <c r="P28" s="2" t="s">
        <v>17</v>
      </c>
      <c r="Q28" s="2" t="s">
        <v>17</v>
      </c>
      <c r="R28" s="2" t="s">
        <v>17</v>
      </c>
      <c r="S28" s="2" t="s">
        <v>16</v>
      </c>
      <c r="T28" s="3">
        <v>995000</v>
      </c>
    </row>
    <row r="29" spans="1:20" ht="168.75" x14ac:dyDescent="0.2">
      <c r="A29" s="2" t="str">
        <f>VLOOKUP(B29,[1]raw_data!$B$4:$C$343,2,FALSE)</f>
        <v>Public District</v>
      </c>
      <c r="B29" s="2" t="s">
        <v>2587</v>
      </c>
      <c r="C29" s="2" t="s">
        <v>1329</v>
      </c>
      <c r="D29" s="2" t="s">
        <v>432</v>
      </c>
      <c r="E29" s="2">
        <v>30</v>
      </c>
      <c r="F29" s="2" t="s">
        <v>2344</v>
      </c>
      <c r="G29" s="2" t="s">
        <v>1339</v>
      </c>
      <c r="H29" s="2">
        <v>2985</v>
      </c>
      <c r="I29" s="2" t="s">
        <v>1330</v>
      </c>
      <c r="J29" s="2" t="s">
        <v>1331</v>
      </c>
      <c r="K29" s="2" t="s">
        <v>1337</v>
      </c>
      <c r="L29" s="2" t="s">
        <v>1338</v>
      </c>
      <c r="M29" s="2" t="s">
        <v>1334</v>
      </c>
      <c r="N29" s="2" t="s">
        <v>16</v>
      </c>
      <c r="O29" s="2" t="s">
        <v>17</v>
      </c>
      <c r="P29" s="2" t="s">
        <v>17</v>
      </c>
      <c r="Q29" s="2" t="s">
        <v>17</v>
      </c>
      <c r="R29" s="2" t="s">
        <v>17</v>
      </c>
      <c r="S29" s="2" t="s">
        <v>16</v>
      </c>
      <c r="T29" s="3">
        <v>995000</v>
      </c>
    </row>
    <row r="30" spans="1:20" ht="180" x14ac:dyDescent="0.2">
      <c r="A30" s="2" t="str">
        <f>VLOOKUP(B30,[1]raw_data!$B$4:$C$343,2,FALSE)</f>
        <v>Public District</v>
      </c>
      <c r="B30" s="2" t="s">
        <v>2587</v>
      </c>
      <c r="C30" s="2" t="s">
        <v>1329</v>
      </c>
      <c r="D30" s="2" t="s">
        <v>432</v>
      </c>
      <c r="E30" s="2">
        <v>32</v>
      </c>
      <c r="F30" s="2" t="s">
        <v>2345</v>
      </c>
      <c r="G30" s="2" t="s">
        <v>1341</v>
      </c>
      <c r="H30" s="2">
        <v>2385</v>
      </c>
      <c r="I30" s="2" t="s">
        <v>1330</v>
      </c>
      <c r="J30" s="2" t="s">
        <v>1331</v>
      </c>
      <c r="K30" s="2" t="s">
        <v>1340</v>
      </c>
      <c r="L30" s="2" t="s">
        <v>1333</v>
      </c>
      <c r="M30" s="2" t="s">
        <v>1334</v>
      </c>
      <c r="N30" s="2" t="s">
        <v>16</v>
      </c>
      <c r="O30" s="2" t="s">
        <v>17</v>
      </c>
      <c r="P30" s="2" t="s">
        <v>17</v>
      </c>
      <c r="Q30" s="2" t="s">
        <v>17</v>
      </c>
      <c r="R30" s="2" t="s">
        <v>17</v>
      </c>
      <c r="S30" s="2" t="s">
        <v>16</v>
      </c>
      <c r="T30" s="3">
        <v>1000000</v>
      </c>
    </row>
    <row r="31" spans="1:20" ht="146.25" x14ac:dyDescent="0.2">
      <c r="A31" s="2" t="str">
        <f>VLOOKUP(B31,[1]raw_data!$B$4:$C$343,2,FALSE)</f>
        <v>Public District</v>
      </c>
      <c r="B31" s="2" t="s">
        <v>2587</v>
      </c>
      <c r="C31" s="2" t="s">
        <v>1329</v>
      </c>
      <c r="D31" s="2" t="s">
        <v>432</v>
      </c>
      <c r="E31" s="2">
        <v>31</v>
      </c>
      <c r="F31" s="2" t="s">
        <v>2346</v>
      </c>
      <c r="G31" s="2" t="s">
        <v>1343</v>
      </c>
      <c r="H31" s="2">
        <v>2385</v>
      </c>
      <c r="I31" s="2" t="s">
        <v>1330</v>
      </c>
      <c r="J31" s="2" t="s">
        <v>1331</v>
      </c>
      <c r="K31" s="2" t="s">
        <v>1342</v>
      </c>
      <c r="L31" s="2" t="s">
        <v>1333</v>
      </c>
      <c r="M31" s="2" t="s">
        <v>1334</v>
      </c>
      <c r="N31" s="2" t="s">
        <v>16</v>
      </c>
      <c r="O31" s="2" t="s">
        <v>17</v>
      </c>
      <c r="P31" s="2" t="s">
        <v>17</v>
      </c>
      <c r="Q31" s="2" t="s">
        <v>17</v>
      </c>
      <c r="R31" s="2" t="s">
        <v>17</v>
      </c>
      <c r="S31" s="2" t="s">
        <v>16</v>
      </c>
      <c r="T31" s="3">
        <v>998000</v>
      </c>
    </row>
    <row r="32" spans="1:20" ht="168.75" x14ac:dyDescent="0.2">
      <c r="A32" s="2" t="str">
        <f>VLOOKUP(B32,[1]raw_data!$B$4:$C$343,2,FALSE)</f>
        <v>Public District</v>
      </c>
      <c r="B32" s="2" t="s">
        <v>2633</v>
      </c>
      <c r="C32" s="2" t="s">
        <v>1697</v>
      </c>
      <c r="D32" s="2" t="s">
        <v>670</v>
      </c>
      <c r="E32" s="2">
        <v>346</v>
      </c>
      <c r="F32" s="2" t="s">
        <v>2383</v>
      </c>
      <c r="G32" s="2" t="s">
        <v>1703</v>
      </c>
      <c r="H32" s="2">
        <v>1000</v>
      </c>
      <c r="I32" s="2" t="s">
        <v>1698</v>
      </c>
      <c r="J32" s="2" t="s">
        <v>1699</v>
      </c>
      <c r="K32" s="2" t="s">
        <v>1700</v>
      </c>
      <c r="L32" s="2" t="s">
        <v>1701</v>
      </c>
      <c r="M32" s="2" t="s">
        <v>1702</v>
      </c>
      <c r="N32" s="2" t="s">
        <v>16</v>
      </c>
      <c r="O32" s="2" t="s">
        <v>17</v>
      </c>
      <c r="P32" s="2" t="s">
        <v>17</v>
      </c>
      <c r="Q32" s="2" t="s">
        <v>16</v>
      </c>
      <c r="R32" s="2" t="s">
        <v>16</v>
      </c>
      <c r="S32" s="2" t="s">
        <v>16</v>
      </c>
      <c r="T32" s="3">
        <v>250000</v>
      </c>
    </row>
    <row r="33" spans="1:20" ht="180" x14ac:dyDescent="0.2">
      <c r="A33" s="2" t="str">
        <f>VLOOKUP(B33,[1]raw_data!$B$4:$C$343,2,FALSE)</f>
        <v>Public District</v>
      </c>
      <c r="B33" s="2" t="s">
        <v>2470</v>
      </c>
      <c r="C33" s="2" t="s">
        <v>258</v>
      </c>
      <c r="D33" s="2" t="s">
        <v>29</v>
      </c>
      <c r="E33" s="2">
        <v>335</v>
      </c>
      <c r="F33" s="2" t="s">
        <v>2242</v>
      </c>
      <c r="G33" s="2" t="s">
        <v>264</v>
      </c>
      <c r="H33" s="2">
        <v>1642</v>
      </c>
      <c r="I33" s="2" t="s">
        <v>259</v>
      </c>
      <c r="J33" s="2" t="s">
        <v>260</v>
      </c>
      <c r="K33" s="2" t="s">
        <v>261</v>
      </c>
      <c r="L33" s="2" t="s">
        <v>262</v>
      </c>
      <c r="M33" s="2" t="s">
        <v>263</v>
      </c>
      <c r="N33" s="2" t="s">
        <v>16</v>
      </c>
      <c r="O33" s="2" t="s">
        <v>16</v>
      </c>
      <c r="P33" s="2" t="s">
        <v>17</v>
      </c>
      <c r="Q33" s="2" t="s">
        <v>17</v>
      </c>
      <c r="R33" s="2" t="s">
        <v>17</v>
      </c>
      <c r="S33" s="2" t="s">
        <v>16</v>
      </c>
      <c r="T33" s="3">
        <v>967619.9</v>
      </c>
    </row>
    <row r="34" spans="1:20" ht="146.25" x14ac:dyDescent="0.2">
      <c r="A34" s="2" t="str">
        <f>VLOOKUP(B34,[1]raw_data!$B$4:$C$343,2,FALSE)</f>
        <v>Public District</v>
      </c>
      <c r="B34" s="2" t="s">
        <v>2470</v>
      </c>
      <c r="C34" s="2" t="s">
        <v>258</v>
      </c>
      <c r="D34" s="2" t="s">
        <v>29</v>
      </c>
      <c r="E34" s="2">
        <v>334</v>
      </c>
      <c r="F34" s="2" t="s">
        <v>2243</v>
      </c>
      <c r="G34" s="2" t="s">
        <v>266</v>
      </c>
      <c r="H34" s="2">
        <v>1452</v>
      </c>
      <c r="I34" s="2" t="s">
        <v>259</v>
      </c>
      <c r="J34" s="2" t="s">
        <v>260</v>
      </c>
      <c r="K34" s="2" t="s">
        <v>261</v>
      </c>
      <c r="L34" s="2" t="s">
        <v>265</v>
      </c>
      <c r="M34" s="2" t="s">
        <v>263</v>
      </c>
      <c r="N34" s="2" t="s">
        <v>16</v>
      </c>
      <c r="O34" s="2" t="s">
        <v>16</v>
      </c>
      <c r="P34" s="2" t="s">
        <v>17</v>
      </c>
      <c r="Q34" s="2" t="s">
        <v>17</v>
      </c>
      <c r="R34" s="2" t="s">
        <v>17</v>
      </c>
      <c r="S34" s="2" t="s">
        <v>16</v>
      </c>
      <c r="T34" s="3">
        <v>977859.9</v>
      </c>
    </row>
    <row r="35" spans="1:20" ht="146.25" x14ac:dyDescent="0.2">
      <c r="A35" s="2" t="str">
        <f>VLOOKUP(B35,[1]raw_data!$B$4:$C$343,2,FALSE)</f>
        <v>Public District</v>
      </c>
      <c r="B35" s="2" t="s">
        <v>2584</v>
      </c>
      <c r="C35" s="2" t="s">
        <v>1304</v>
      </c>
      <c r="D35" s="2" t="s">
        <v>1298</v>
      </c>
      <c r="E35" s="2">
        <v>205</v>
      </c>
      <c r="F35" s="2" t="s">
        <v>2339</v>
      </c>
      <c r="G35" s="2" t="s">
        <v>1310</v>
      </c>
      <c r="H35" s="2">
        <v>1290</v>
      </c>
      <c r="I35" s="2" t="s">
        <v>1305</v>
      </c>
      <c r="J35" s="2" t="s">
        <v>1306</v>
      </c>
      <c r="K35" s="2" t="s">
        <v>1307</v>
      </c>
      <c r="L35" s="2" t="s">
        <v>1308</v>
      </c>
      <c r="M35" s="2" t="s">
        <v>1309</v>
      </c>
      <c r="N35" s="2" t="s">
        <v>17</v>
      </c>
      <c r="O35" s="2" t="s">
        <v>16</v>
      </c>
      <c r="P35" s="2" t="s">
        <v>17</v>
      </c>
      <c r="Q35" s="2" t="s">
        <v>17</v>
      </c>
      <c r="R35" s="2" t="s">
        <v>17</v>
      </c>
      <c r="S35" s="2" t="s">
        <v>16</v>
      </c>
      <c r="T35" s="3">
        <v>1935000</v>
      </c>
    </row>
    <row r="36" spans="1:20" ht="78.75" x14ac:dyDescent="0.2">
      <c r="A36" s="2" t="str">
        <f>VLOOKUP(B36,[1]raw_data!$B$4:$C$343,2,FALSE)</f>
        <v>Public District</v>
      </c>
      <c r="B36" s="2" t="s">
        <v>2584</v>
      </c>
      <c r="C36" s="2" t="s">
        <v>1304</v>
      </c>
      <c r="D36" s="2" t="s">
        <v>1298</v>
      </c>
      <c r="E36" s="2">
        <v>206</v>
      </c>
      <c r="F36" s="2" t="s">
        <v>1311</v>
      </c>
      <c r="G36" s="2" t="s">
        <v>1315</v>
      </c>
      <c r="H36" s="2">
        <v>923</v>
      </c>
      <c r="I36" s="2" t="s">
        <v>1312</v>
      </c>
      <c r="J36" s="2" t="s">
        <v>1306</v>
      </c>
      <c r="K36" s="2" t="s">
        <v>1307</v>
      </c>
      <c r="L36" s="2" t="s">
        <v>1313</v>
      </c>
      <c r="M36" s="2" t="s">
        <v>1314</v>
      </c>
      <c r="N36" s="2" t="s">
        <v>16</v>
      </c>
      <c r="O36" s="2" t="s">
        <v>17</v>
      </c>
      <c r="P36" s="2" t="s">
        <v>17</v>
      </c>
      <c r="Q36" s="2" t="s">
        <v>17</v>
      </c>
      <c r="R36" s="2" t="s">
        <v>17</v>
      </c>
      <c r="S36" s="2" t="s">
        <v>16</v>
      </c>
      <c r="T36" s="3">
        <v>506634</v>
      </c>
    </row>
    <row r="37" spans="1:20" ht="135" x14ac:dyDescent="0.2">
      <c r="A37" s="2" t="str">
        <f>VLOOKUP(B37,[1]raw_data!$B$4:$C$343,2,FALSE)</f>
        <v>Public District</v>
      </c>
      <c r="B37" s="2" t="s">
        <v>2564</v>
      </c>
      <c r="C37" s="2" t="s">
        <v>1108</v>
      </c>
      <c r="D37" s="2" t="s">
        <v>1109</v>
      </c>
      <c r="E37" s="2">
        <v>73</v>
      </c>
      <c r="F37" s="2" t="s">
        <v>2316</v>
      </c>
      <c r="G37" s="2" t="s">
        <v>1115</v>
      </c>
      <c r="H37" s="2">
        <v>1320</v>
      </c>
      <c r="I37" s="2" t="s">
        <v>1110</v>
      </c>
      <c r="J37" s="2" t="s">
        <v>1111</v>
      </c>
      <c r="K37" s="2" t="s">
        <v>1112</v>
      </c>
      <c r="L37" s="2" t="s">
        <v>1113</v>
      </c>
      <c r="M37" s="2" t="s">
        <v>1114</v>
      </c>
      <c r="N37" s="2" t="s">
        <v>17</v>
      </c>
      <c r="O37" s="2" t="s">
        <v>17</v>
      </c>
      <c r="P37" s="2" t="s">
        <v>17</v>
      </c>
      <c r="Q37" s="2" t="s">
        <v>16</v>
      </c>
      <c r="R37" s="2" t="s">
        <v>17</v>
      </c>
      <c r="S37" s="2" t="s">
        <v>17</v>
      </c>
      <c r="T37" s="3">
        <v>3028910</v>
      </c>
    </row>
    <row r="38" spans="1:20" ht="135" x14ac:dyDescent="0.2">
      <c r="A38" s="2" t="str">
        <f>VLOOKUP(B38,[1]raw_data!$B$4:$C$343,2,FALSE)</f>
        <v>Public District</v>
      </c>
      <c r="B38" s="2" t="s">
        <v>2622</v>
      </c>
      <c r="C38" s="2" t="s">
        <v>1602</v>
      </c>
      <c r="D38" s="2" t="s">
        <v>578</v>
      </c>
      <c r="E38" s="2">
        <v>6</v>
      </c>
      <c r="F38" s="2" t="s">
        <v>1603</v>
      </c>
      <c r="G38" s="2" t="s">
        <v>1609</v>
      </c>
      <c r="H38" s="2">
        <v>900</v>
      </c>
      <c r="I38" s="2" t="s">
        <v>1604</v>
      </c>
      <c r="J38" s="2" t="s">
        <v>1605</v>
      </c>
      <c r="K38" s="2" t="s">
        <v>1606</v>
      </c>
      <c r="L38" s="2" t="s">
        <v>1607</v>
      </c>
      <c r="M38" s="2" t="s">
        <v>1608</v>
      </c>
      <c r="N38" s="2" t="s">
        <v>16</v>
      </c>
      <c r="O38" s="2" t="s">
        <v>17</v>
      </c>
      <c r="P38" s="2" t="s">
        <v>17</v>
      </c>
      <c r="Q38" s="2" t="s">
        <v>17</v>
      </c>
      <c r="R38" s="2" t="s">
        <v>17</v>
      </c>
      <c r="S38" s="2" t="s">
        <v>16</v>
      </c>
      <c r="T38" s="3">
        <v>466110</v>
      </c>
    </row>
    <row r="39" spans="1:20" ht="180" x14ac:dyDescent="0.2">
      <c r="A39" s="2" t="str">
        <f>VLOOKUP(B39,[1]raw_data!$B$4:$C$343,2,FALSE)</f>
        <v>Public District</v>
      </c>
      <c r="B39" s="2" t="s">
        <v>2471</v>
      </c>
      <c r="C39" s="2" t="s">
        <v>267</v>
      </c>
      <c r="D39" s="2" t="s">
        <v>268</v>
      </c>
      <c r="E39" s="2">
        <v>324</v>
      </c>
      <c r="F39" s="2" t="s">
        <v>2244</v>
      </c>
      <c r="G39" s="2" t="s">
        <v>274</v>
      </c>
      <c r="H39" s="2">
        <v>6800</v>
      </c>
      <c r="I39" s="2" t="s">
        <v>269</v>
      </c>
      <c r="J39" s="2" t="s">
        <v>270</v>
      </c>
      <c r="K39" s="2" t="s">
        <v>271</v>
      </c>
      <c r="L39" s="2" t="s">
        <v>272</v>
      </c>
      <c r="M39" s="2" t="s">
        <v>273</v>
      </c>
      <c r="N39" s="2" t="s">
        <v>17</v>
      </c>
      <c r="O39" s="2" t="s">
        <v>17</v>
      </c>
      <c r="P39" s="2" t="s">
        <v>17</v>
      </c>
      <c r="Q39" s="2" t="s">
        <v>17</v>
      </c>
      <c r="R39" s="2" t="s">
        <v>16</v>
      </c>
      <c r="S39" s="2" t="s">
        <v>17</v>
      </c>
      <c r="T39" s="3">
        <v>7116943</v>
      </c>
    </row>
    <row r="40" spans="1:20" ht="180" x14ac:dyDescent="0.2">
      <c r="A40" s="2" t="str">
        <f>VLOOKUP(B40,[1]raw_data!$B$4:$C$343,2,FALSE)</f>
        <v>Public District</v>
      </c>
      <c r="B40" s="2" t="s">
        <v>2657</v>
      </c>
      <c r="C40" s="2" t="s">
        <v>1902</v>
      </c>
      <c r="D40" s="2" t="s">
        <v>1903</v>
      </c>
      <c r="E40" s="2">
        <v>70</v>
      </c>
      <c r="F40" s="2" t="s">
        <v>2401</v>
      </c>
      <c r="G40" s="2" t="s">
        <v>1909</v>
      </c>
      <c r="H40" s="2">
        <v>332</v>
      </c>
      <c r="I40" s="2" t="s">
        <v>1904</v>
      </c>
      <c r="J40" s="2" t="s">
        <v>1905</v>
      </c>
      <c r="K40" s="2" t="s">
        <v>1906</v>
      </c>
      <c r="L40" s="2" t="s">
        <v>1907</v>
      </c>
      <c r="M40" s="2" t="s">
        <v>1908</v>
      </c>
      <c r="N40" s="2" t="s">
        <v>16</v>
      </c>
      <c r="O40" s="2" t="s">
        <v>17</v>
      </c>
      <c r="P40" s="2" t="s">
        <v>17</v>
      </c>
      <c r="Q40" s="2" t="s">
        <v>17</v>
      </c>
      <c r="R40" s="2" t="s">
        <v>16</v>
      </c>
      <c r="S40" s="2" t="s">
        <v>16</v>
      </c>
      <c r="T40" s="3">
        <v>160650</v>
      </c>
    </row>
    <row r="41" spans="1:20" ht="180" x14ac:dyDescent="0.2">
      <c r="A41" s="2" t="str">
        <f>VLOOKUP(B41,[1]raw_data!$B$4:$C$343,2,FALSE)</f>
        <v>Public District</v>
      </c>
      <c r="B41" s="2" t="s">
        <v>2550</v>
      </c>
      <c r="C41" s="2" t="s">
        <v>985</v>
      </c>
      <c r="D41" s="2" t="s">
        <v>225</v>
      </c>
      <c r="E41" s="2">
        <v>283</v>
      </c>
      <c r="F41" s="2" t="s">
        <v>2303</v>
      </c>
      <c r="G41" s="2" t="s">
        <v>991</v>
      </c>
      <c r="H41" s="2">
        <v>2400</v>
      </c>
      <c r="I41" s="2" t="s">
        <v>986</v>
      </c>
      <c r="J41" s="2" t="s">
        <v>987</v>
      </c>
      <c r="K41" s="2" t="s">
        <v>988</v>
      </c>
      <c r="L41" s="2" t="s">
        <v>989</v>
      </c>
      <c r="M41" s="2" t="s">
        <v>990</v>
      </c>
      <c r="N41" s="2" t="s">
        <v>17</v>
      </c>
      <c r="O41" s="2" t="s">
        <v>16</v>
      </c>
      <c r="P41" s="2" t="s">
        <v>17</v>
      </c>
      <c r="Q41" s="2" t="s">
        <v>17</v>
      </c>
      <c r="R41" s="2" t="s">
        <v>16</v>
      </c>
      <c r="S41" s="2" t="s">
        <v>16</v>
      </c>
      <c r="T41" s="3">
        <v>2370000</v>
      </c>
    </row>
    <row r="42" spans="1:20" ht="101.25" x14ac:dyDescent="0.2">
      <c r="A42" s="2" t="str">
        <f>VLOOKUP(B42,[1]raw_data!$B$4:$C$343,2,FALSE)</f>
        <v>Public District</v>
      </c>
      <c r="B42" s="2" t="s">
        <v>2597</v>
      </c>
      <c r="C42" s="2" t="s">
        <v>985</v>
      </c>
      <c r="D42" s="2" t="s">
        <v>737</v>
      </c>
      <c r="E42" s="2">
        <v>241</v>
      </c>
      <c r="F42" s="2" t="s">
        <v>2354</v>
      </c>
      <c r="G42" s="2" t="s">
        <v>1419</v>
      </c>
      <c r="H42" s="2">
        <v>2000</v>
      </c>
      <c r="I42" s="2" t="s">
        <v>1414</v>
      </c>
      <c r="J42" s="2" t="s">
        <v>1415</v>
      </c>
      <c r="K42" s="2" t="s">
        <v>1416</v>
      </c>
      <c r="L42" s="2" t="s">
        <v>1417</v>
      </c>
      <c r="M42" s="2" t="s">
        <v>1418</v>
      </c>
      <c r="N42" s="2" t="s">
        <v>16</v>
      </c>
      <c r="O42" s="2" t="s">
        <v>16</v>
      </c>
      <c r="P42" s="2" t="s">
        <v>17</v>
      </c>
      <c r="Q42" s="2" t="s">
        <v>17</v>
      </c>
      <c r="R42" s="2" t="s">
        <v>17</v>
      </c>
      <c r="S42" s="2" t="s">
        <v>17</v>
      </c>
      <c r="T42" s="3">
        <v>1000000</v>
      </c>
    </row>
    <row r="43" spans="1:20" ht="168.75" x14ac:dyDescent="0.2">
      <c r="A43" s="2" t="str">
        <f>VLOOKUP(B43,[1]raw_data!$B$4:$C$343,2,FALSE)</f>
        <v>Public District</v>
      </c>
      <c r="B43" s="2" t="s">
        <v>2623</v>
      </c>
      <c r="C43" s="2" t="s">
        <v>985</v>
      </c>
      <c r="D43" s="2" t="s">
        <v>578</v>
      </c>
      <c r="E43" s="2">
        <v>259</v>
      </c>
      <c r="F43" s="2" t="s">
        <v>2374</v>
      </c>
      <c r="G43" s="2" t="s">
        <v>1615</v>
      </c>
      <c r="H43" s="2">
        <v>5000</v>
      </c>
      <c r="I43" s="2" t="s">
        <v>1610</v>
      </c>
      <c r="J43" s="2" t="s">
        <v>1611</v>
      </c>
      <c r="K43" s="2" t="s">
        <v>1612</v>
      </c>
      <c r="L43" s="2" t="s">
        <v>1613</v>
      </c>
      <c r="M43" s="2" t="s">
        <v>1614</v>
      </c>
      <c r="N43" s="2" t="s">
        <v>17</v>
      </c>
      <c r="O43" s="2" t="s">
        <v>17</v>
      </c>
      <c r="P43" s="2" t="s">
        <v>16</v>
      </c>
      <c r="Q43" s="2" t="s">
        <v>17</v>
      </c>
      <c r="R43" s="2" t="s">
        <v>16</v>
      </c>
      <c r="S43" s="2" t="s">
        <v>17</v>
      </c>
      <c r="T43" s="3">
        <v>249300</v>
      </c>
    </row>
    <row r="44" spans="1:20" ht="135" x14ac:dyDescent="0.2">
      <c r="A44" s="2" t="str">
        <f>VLOOKUP(B44,[1]raw_data!$B$4:$C$343,2,FALSE)</f>
        <v>Community School</v>
      </c>
      <c r="B44" s="2" t="s">
        <v>2443</v>
      </c>
      <c r="C44" s="2" t="s">
        <v>44</v>
      </c>
      <c r="D44" s="2" t="s">
        <v>45</v>
      </c>
      <c r="E44" s="2">
        <v>41</v>
      </c>
      <c r="F44" s="2" t="s">
        <v>2221</v>
      </c>
      <c r="G44" s="2" t="s">
        <v>51</v>
      </c>
      <c r="H44" s="2">
        <v>1200</v>
      </c>
      <c r="I44" s="2" t="s">
        <v>46</v>
      </c>
      <c r="J44" s="2" t="s">
        <v>47</v>
      </c>
      <c r="K44" s="2" t="s">
        <v>48</v>
      </c>
      <c r="L44" s="2" t="s">
        <v>49</v>
      </c>
      <c r="M44" s="2" t="s">
        <v>50</v>
      </c>
      <c r="N44" s="2" t="s">
        <v>16</v>
      </c>
      <c r="O44" s="2" t="s">
        <v>17</v>
      </c>
      <c r="P44" s="2" t="s">
        <v>17</v>
      </c>
      <c r="Q44" s="2" t="s">
        <v>17</v>
      </c>
      <c r="R44" s="2" t="s">
        <v>17</v>
      </c>
      <c r="S44" s="2" t="s">
        <v>17</v>
      </c>
      <c r="T44" s="3">
        <v>998991.07</v>
      </c>
    </row>
    <row r="45" spans="1:20" ht="67.5" x14ac:dyDescent="0.2">
      <c r="A45" s="2" t="str">
        <f>VLOOKUP(B45,[1]raw_data!$B$4:$C$343,2,FALSE)</f>
        <v>Educational Service Center</v>
      </c>
      <c r="B45" s="2" t="s">
        <v>2556</v>
      </c>
      <c r="C45" s="2" t="s">
        <v>1044</v>
      </c>
      <c r="D45" s="2" t="s">
        <v>472</v>
      </c>
      <c r="E45" s="2">
        <v>92</v>
      </c>
      <c r="F45" s="2" t="s">
        <v>2309</v>
      </c>
      <c r="G45" s="2" t="s">
        <v>1050</v>
      </c>
      <c r="H45" s="2">
        <v>192</v>
      </c>
      <c r="I45" s="2" t="s">
        <v>1045</v>
      </c>
      <c r="J45" s="2" t="s">
        <v>1046</v>
      </c>
      <c r="K45" s="2" t="s">
        <v>1047</v>
      </c>
      <c r="L45" s="2" t="s">
        <v>1048</v>
      </c>
      <c r="M45" s="2" t="s">
        <v>1049</v>
      </c>
      <c r="N45" s="2" t="s">
        <v>17</v>
      </c>
      <c r="O45" s="2" t="s">
        <v>17</v>
      </c>
      <c r="P45" s="2" t="s">
        <v>17</v>
      </c>
      <c r="Q45" s="2" t="s">
        <v>17</v>
      </c>
      <c r="R45" s="2" t="s">
        <v>17</v>
      </c>
      <c r="S45" s="2" t="s">
        <v>17</v>
      </c>
      <c r="T45" s="3">
        <v>718147</v>
      </c>
    </row>
    <row r="46" spans="1:20" ht="168.75" x14ac:dyDescent="0.2">
      <c r="A46" s="2" t="str">
        <f>VLOOKUP(B46,[1]raw_data!$B$4:$C$343,2,FALSE)</f>
        <v>Public District</v>
      </c>
      <c r="B46" s="2" t="s">
        <v>2472</v>
      </c>
      <c r="C46" s="2" t="s">
        <v>275</v>
      </c>
      <c r="D46" s="2" t="s">
        <v>276</v>
      </c>
      <c r="E46" s="2">
        <v>25</v>
      </c>
      <c r="F46" s="2" t="s">
        <v>2245</v>
      </c>
      <c r="G46" s="2" t="s">
        <v>282</v>
      </c>
      <c r="H46" s="2">
        <v>2240</v>
      </c>
      <c r="I46" s="2" t="s">
        <v>277</v>
      </c>
      <c r="J46" s="2" t="s">
        <v>278</v>
      </c>
      <c r="K46" s="2" t="s">
        <v>279</v>
      </c>
      <c r="L46" s="2" t="s">
        <v>280</v>
      </c>
      <c r="M46" s="2" t="s">
        <v>281</v>
      </c>
      <c r="N46" s="2" t="s">
        <v>16</v>
      </c>
      <c r="O46" s="2" t="s">
        <v>16</v>
      </c>
      <c r="P46" s="2" t="s">
        <v>17</v>
      </c>
      <c r="Q46" s="2" t="s">
        <v>17</v>
      </c>
      <c r="R46" s="2" t="s">
        <v>17</v>
      </c>
      <c r="S46" s="2" t="s">
        <v>17</v>
      </c>
      <c r="T46" s="3">
        <v>1000000</v>
      </c>
    </row>
    <row r="47" spans="1:20" ht="135" x14ac:dyDescent="0.2">
      <c r="A47" s="2" t="str">
        <f>VLOOKUP(B47,[1]raw_data!$B$4:$C$343,2,FALSE)</f>
        <v>Public District</v>
      </c>
      <c r="B47" s="2" t="s">
        <v>2577</v>
      </c>
      <c r="C47" s="2" t="s">
        <v>1250</v>
      </c>
      <c r="D47" s="2" t="s">
        <v>82</v>
      </c>
      <c r="E47" s="2">
        <v>65</v>
      </c>
      <c r="F47" s="2" t="s">
        <v>2332</v>
      </c>
      <c r="G47" s="2" t="s">
        <v>1255</v>
      </c>
      <c r="H47" s="2">
        <v>1600</v>
      </c>
      <c r="I47" s="2" t="s">
        <v>1251</v>
      </c>
      <c r="J47" s="2" t="s">
        <v>1250</v>
      </c>
      <c r="K47" s="2" t="s">
        <v>1252</v>
      </c>
      <c r="L47" s="2" t="s">
        <v>1253</v>
      </c>
      <c r="M47" s="2" t="s">
        <v>1254</v>
      </c>
      <c r="N47" s="2" t="s">
        <v>16</v>
      </c>
      <c r="O47" s="2" t="s">
        <v>17</v>
      </c>
      <c r="P47" s="2" t="s">
        <v>17</v>
      </c>
      <c r="Q47" s="2" t="s">
        <v>17</v>
      </c>
      <c r="R47" s="2" t="s">
        <v>16</v>
      </c>
      <c r="S47" s="2" t="s">
        <v>16</v>
      </c>
      <c r="T47" s="3">
        <v>878583</v>
      </c>
    </row>
    <row r="48" spans="1:20" ht="180" x14ac:dyDescent="0.2">
      <c r="A48" s="2" t="str">
        <f>VLOOKUP(B48,[1]raw_data!$B$4:$C$343,2,FALSE)</f>
        <v>Public District</v>
      </c>
      <c r="B48" s="2" t="s">
        <v>2618</v>
      </c>
      <c r="C48" s="2" t="s">
        <v>1566</v>
      </c>
      <c r="D48" s="2" t="s">
        <v>746</v>
      </c>
      <c r="E48" s="2">
        <v>229</v>
      </c>
      <c r="F48" s="2" t="s">
        <v>2369</v>
      </c>
      <c r="G48" s="2" t="s">
        <v>1572</v>
      </c>
      <c r="H48" s="2">
        <v>950</v>
      </c>
      <c r="I48" s="2" t="s">
        <v>1567</v>
      </c>
      <c r="J48" s="2" t="s">
        <v>1568</v>
      </c>
      <c r="K48" s="2" t="s">
        <v>1569</v>
      </c>
      <c r="L48" s="2" t="s">
        <v>1570</v>
      </c>
      <c r="M48" s="2" t="s">
        <v>1571</v>
      </c>
      <c r="N48" s="2" t="s">
        <v>16</v>
      </c>
      <c r="O48" s="2" t="s">
        <v>16</v>
      </c>
      <c r="P48" s="2" t="s">
        <v>17</v>
      </c>
      <c r="Q48" s="2" t="s">
        <v>16</v>
      </c>
      <c r="R48" s="2" t="s">
        <v>17</v>
      </c>
      <c r="S48" s="2" t="s">
        <v>16</v>
      </c>
      <c r="T48" s="3">
        <v>634377</v>
      </c>
    </row>
    <row r="49" spans="1:20" ht="180" x14ac:dyDescent="0.2">
      <c r="A49" s="2" t="str">
        <f>VLOOKUP(B49,[1]raw_data!$B$4:$C$343,2,FALSE)</f>
        <v>Public District</v>
      </c>
      <c r="B49" s="2" t="s">
        <v>2618</v>
      </c>
      <c r="C49" s="2" t="s">
        <v>1566</v>
      </c>
      <c r="D49" s="2" t="s">
        <v>746</v>
      </c>
      <c r="E49" s="2">
        <v>231</v>
      </c>
      <c r="F49" s="2" t="s">
        <v>2370</v>
      </c>
      <c r="G49" s="2" t="s">
        <v>1578</v>
      </c>
      <c r="H49" s="2">
        <v>980</v>
      </c>
      <c r="I49" s="2" t="s">
        <v>1573</v>
      </c>
      <c r="J49" s="2" t="s">
        <v>1574</v>
      </c>
      <c r="K49" s="2" t="s">
        <v>1575</v>
      </c>
      <c r="L49" s="2" t="s">
        <v>1576</v>
      </c>
      <c r="M49" s="2" t="s">
        <v>1577</v>
      </c>
      <c r="N49" s="2" t="s">
        <v>16</v>
      </c>
      <c r="O49" s="2" t="s">
        <v>17</v>
      </c>
      <c r="P49" s="2" t="s">
        <v>17</v>
      </c>
      <c r="Q49" s="2" t="s">
        <v>17</v>
      </c>
      <c r="R49" s="2" t="s">
        <v>17</v>
      </c>
      <c r="S49" s="2" t="s">
        <v>16</v>
      </c>
      <c r="T49" s="3">
        <v>159050</v>
      </c>
    </row>
    <row r="50" spans="1:20" ht="67.5" x14ac:dyDescent="0.2">
      <c r="A50" s="2" t="str">
        <f>VLOOKUP(B50,[1]raw_data!$B$4:$C$343,2,FALSE)</f>
        <v>Public District</v>
      </c>
      <c r="B50" s="2" t="s">
        <v>2618</v>
      </c>
      <c r="C50" s="2" t="s">
        <v>1566</v>
      </c>
      <c r="D50" s="2" t="s">
        <v>746</v>
      </c>
      <c r="E50" s="2">
        <v>230</v>
      </c>
      <c r="F50" s="2" t="s">
        <v>2371</v>
      </c>
      <c r="G50" s="2" t="s">
        <v>1579</v>
      </c>
      <c r="H50" s="2">
        <v>941</v>
      </c>
      <c r="I50" s="2" t="s">
        <v>1573</v>
      </c>
      <c r="J50" s="2" t="s">
        <v>1574</v>
      </c>
      <c r="K50" s="2" t="s">
        <v>1575</v>
      </c>
      <c r="L50" s="2" t="s">
        <v>1576</v>
      </c>
      <c r="M50" s="2" t="s">
        <v>1577</v>
      </c>
      <c r="N50" s="2" t="s">
        <v>16</v>
      </c>
      <c r="O50" s="2" t="s">
        <v>17</v>
      </c>
      <c r="P50" s="2" t="s">
        <v>17</v>
      </c>
      <c r="Q50" s="2" t="s">
        <v>17</v>
      </c>
      <c r="R50" s="2" t="s">
        <v>17</v>
      </c>
      <c r="S50" s="2" t="s">
        <v>16</v>
      </c>
      <c r="T50" s="3">
        <v>124975</v>
      </c>
    </row>
    <row r="51" spans="1:20" ht="101.25" x14ac:dyDescent="0.2">
      <c r="A51" s="2" t="str">
        <f>VLOOKUP(B51,[1]raw_data!$B$4:$C$343,2,FALSE)</f>
        <v>Public District</v>
      </c>
      <c r="B51" s="2" t="s">
        <v>2473</v>
      </c>
      <c r="C51" s="2" t="s">
        <v>283</v>
      </c>
      <c r="D51" s="2" t="s">
        <v>204</v>
      </c>
      <c r="E51" s="2">
        <v>95</v>
      </c>
      <c r="F51" s="2" t="s">
        <v>2246</v>
      </c>
      <c r="G51" s="2" t="s">
        <v>289</v>
      </c>
      <c r="H51" s="2">
        <v>3000</v>
      </c>
      <c r="I51" s="2" t="s">
        <v>284</v>
      </c>
      <c r="J51" s="2" t="s">
        <v>285</v>
      </c>
      <c r="K51" s="2" t="s">
        <v>286</v>
      </c>
      <c r="L51" s="2" t="s">
        <v>287</v>
      </c>
      <c r="M51" s="2" t="s">
        <v>288</v>
      </c>
      <c r="N51" s="2" t="s">
        <v>16</v>
      </c>
      <c r="O51" s="2" t="s">
        <v>17</v>
      </c>
      <c r="P51" s="2" t="s">
        <v>17</v>
      </c>
      <c r="Q51" s="2" t="s">
        <v>17</v>
      </c>
      <c r="R51" s="2" t="s">
        <v>16</v>
      </c>
      <c r="S51" s="2" t="s">
        <v>16</v>
      </c>
      <c r="T51" s="3">
        <v>988972</v>
      </c>
    </row>
    <row r="52" spans="1:20" ht="67.5" x14ac:dyDescent="0.2">
      <c r="A52" s="2" t="str">
        <f>VLOOKUP(B52,[1]raw_data!$B$4:$C$343,2,FALSE)</f>
        <v>Public District</v>
      </c>
      <c r="B52" s="2" t="s">
        <v>2588</v>
      </c>
      <c r="C52" s="2" t="s">
        <v>1344</v>
      </c>
      <c r="D52" s="2" t="s">
        <v>432</v>
      </c>
      <c r="E52" s="2">
        <v>143</v>
      </c>
      <c r="F52" s="2" t="s">
        <v>2347</v>
      </c>
      <c r="G52" s="2" t="s">
        <v>1350</v>
      </c>
      <c r="H52" s="2">
        <v>336</v>
      </c>
      <c r="I52" s="2" t="s">
        <v>1345</v>
      </c>
      <c r="J52" s="2" t="s">
        <v>1346</v>
      </c>
      <c r="K52" s="2" t="s">
        <v>1347</v>
      </c>
      <c r="L52" s="2" t="s">
        <v>1348</v>
      </c>
      <c r="M52" s="2" t="s">
        <v>1349</v>
      </c>
      <c r="N52" s="2" t="s">
        <v>16</v>
      </c>
      <c r="O52" s="2" t="s">
        <v>16</v>
      </c>
      <c r="P52" s="2" t="s">
        <v>17</v>
      </c>
      <c r="Q52" s="2" t="s">
        <v>17</v>
      </c>
      <c r="R52" s="2" t="s">
        <v>17</v>
      </c>
      <c r="S52" s="2" t="s">
        <v>16</v>
      </c>
      <c r="T52" s="3">
        <v>113455</v>
      </c>
    </row>
    <row r="53" spans="1:20" ht="123.75" x14ac:dyDescent="0.2">
      <c r="A53" s="2" t="str">
        <f>VLOOKUP(B53,[1]raw_data!$B$4:$C$343,2,FALSE)</f>
        <v>Community School</v>
      </c>
      <c r="B53" s="2" t="s">
        <v>2463</v>
      </c>
      <c r="C53" s="2" t="s">
        <v>190</v>
      </c>
      <c r="D53" s="2" t="s">
        <v>82</v>
      </c>
      <c r="E53" s="2">
        <v>262</v>
      </c>
      <c r="F53" s="2" t="s">
        <v>2235</v>
      </c>
      <c r="G53" s="2" t="s">
        <v>195</v>
      </c>
      <c r="H53" s="2">
        <v>400</v>
      </c>
      <c r="I53" s="2" t="s">
        <v>191</v>
      </c>
      <c r="J53" s="2" t="s">
        <v>190</v>
      </c>
      <c r="K53" s="2" t="s">
        <v>192</v>
      </c>
      <c r="L53" s="2" t="s">
        <v>193</v>
      </c>
      <c r="M53" s="2" t="s">
        <v>194</v>
      </c>
      <c r="N53" s="2" t="s">
        <v>16</v>
      </c>
      <c r="O53" s="2" t="s">
        <v>16</v>
      </c>
      <c r="P53" s="2" t="s">
        <v>17</v>
      </c>
      <c r="Q53" s="2" t="s">
        <v>17</v>
      </c>
      <c r="R53" s="2" t="s">
        <v>17</v>
      </c>
      <c r="S53" s="2" t="s">
        <v>17</v>
      </c>
      <c r="T53" s="3">
        <v>82960</v>
      </c>
    </row>
    <row r="54" spans="1:20" ht="180" x14ac:dyDescent="0.2">
      <c r="A54" s="2" t="str">
        <f>VLOOKUP(B54,[1]raw_data!$B$4:$C$343,2,FALSE)</f>
        <v>Public District</v>
      </c>
      <c r="B54" s="2" t="s">
        <v>2474</v>
      </c>
      <c r="C54" s="2" t="s">
        <v>290</v>
      </c>
      <c r="D54" s="2" t="s">
        <v>291</v>
      </c>
      <c r="E54" s="2">
        <v>268</v>
      </c>
      <c r="F54" s="2" t="s">
        <v>292</v>
      </c>
      <c r="G54" s="2" t="s">
        <v>298</v>
      </c>
      <c r="H54" s="2">
        <v>2500</v>
      </c>
      <c r="I54" s="2" t="s">
        <v>293</v>
      </c>
      <c r="J54" s="2" t="s">
        <v>294</v>
      </c>
      <c r="K54" s="2" t="s">
        <v>295</v>
      </c>
      <c r="L54" s="2" t="s">
        <v>296</v>
      </c>
      <c r="M54" s="2" t="s">
        <v>297</v>
      </c>
      <c r="N54" s="2" t="s">
        <v>16</v>
      </c>
      <c r="O54" s="2" t="s">
        <v>16</v>
      </c>
      <c r="P54" s="2" t="s">
        <v>17</v>
      </c>
      <c r="Q54" s="2" t="s">
        <v>16</v>
      </c>
      <c r="R54" s="2" t="s">
        <v>16</v>
      </c>
      <c r="S54" s="2" t="s">
        <v>16</v>
      </c>
      <c r="T54" s="3">
        <v>1000000</v>
      </c>
    </row>
    <row r="55" spans="1:20" ht="157.5" x14ac:dyDescent="0.2">
      <c r="A55" s="2" t="str">
        <f>VLOOKUP(B55,[1]raw_data!$B$4:$C$343,2,FALSE)</f>
        <v>Public District</v>
      </c>
      <c r="B55" s="2" t="s">
        <v>2475</v>
      </c>
      <c r="C55" s="2" t="s">
        <v>299</v>
      </c>
      <c r="D55" s="2" t="s">
        <v>178</v>
      </c>
      <c r="E55" s="2">
        <v>214</v>
      </c>
      <c r="F55" s="2" t="s">
        <v>2247</v>
      </c>
      <c r="G55" s="2" t="s">
        <v>305</v>
      </c>
      <c r="H55" s="2">
        <v>8400</v>
      </c>
      <c r="I55" s="2" t="s">
        <v>300</v>
      </c>
      <c r="J55" s="2" t="s">
        <v>301</v>
      </c>
      <c r="K55" s="2" t="s">
        <v>302</v>
      </c>
      <c r="L55" s="2" t="s">
        <v>303</v>
      </c>
      <c r="M55" s="2" t="s">
        <v>304</v>
      </c>
      <c r="N55" s="2" t="s">
        <v>16</v>
      </c>
      <c r="O55" s="2" t="s">
        <v>16</v>
      </c>
      <c r="P55" s="2" t="s">
        <v>17</v>
      </c>
      <c r="Q55" s="2" t="s">
        <v>17</v>
      </c>
      <c r="R55" s="2" t="s">
        <v>17</v>
      </c>
      <c r="S55" s="2" t="s">
        <v>16</v>
      </c>
      <c r="T55" s="3">
        <v>978073</v>
      </c>
    </row>
    <row r="56" spans="1:20" ht="56.25" x14ac:dyDescent="0.2">
      <c r="A56" s="2" t="str">
        <f>VLOOKUP(B56,[1]raw_data!$B$4:$C$343,2,FALSE)</f>
        <v>Public District</v>
      </c>
      <c r="B56" s="2" t="s">
        <v>2536</v>
      </c>
      <c r="C56" s="2" t="s">
        <v>859</v>
      </c>
      <c r="D56" s="2" t="s">
        <v>29</v>
      </c>
      <c r="E56" s="2">
        <v>101</v>
      </c>
      <c r="F56" s="2" t="s">
        <v>2291</v>
      </c>
      <c r="G56" s="2" t="s">
        <v>865</v>
      </c>
      <c r="H56" s="2">
        <v>2000</v>
      </c>
      <c r="I56" s="2" t="s">
        <v>860</v>
      </c>
      <c r="J56" s="2" t="s">
        <v>861</v>
      </c>
      <c r="K56" s="2" t="s">
        <v>862</v>
      </c>
      <c r="L56" s="2" t="s">
        <v>863</v>
      </c>
      <c r="M56" s="2" t="s">
        <v>864</v>
      </c>
      <c r="N56" s="2" t="s">
        <v>16</v>
      </c>
      <c r="O56" s="2" t="s">
        <v>17</v>
      </c>
      <c r="P56" s="2" t="s">
        <v>17</v>
      </c>
      <c r="Q56" s="2" t="s">
        <v>17</v>
      </c>
      <c r="R56" s="2" t="s">
        <v>17</v>
      </c>
      <c r="S56" s="2" t="s">
        <v>17</v>
      </c>
      <c r="T56" s="3">
        <v>444734</v>
      </c>
    </row>
    <row r="57" spans="1:20" ht="146.25" x14ac:dyDescent="0.2">
      <c r="A57" s="2" t="str">
        <f>VLOOKUP(B57,[1]raw_data!$B$4:$C$343,2,FALSE)</f>
        <v>Public District</v>
      </c>
      <c r="B57" s="2" t="s">
        <v>2536</v>
      </c>
      <c r="C57" s="2" t="s">
        <v>859</v>
      </c>
      <c r="D57" s="2" t="s">
        <v>29</v>
      </c>
      <c r="E57" s="2">
        <v>102</v>
      </c>
      <c r="F57" s="2" t="s">
        <v>866</v>
      </c>
      <c r="G57" s="2" t="s">
        <v>870</v>
      </c>
      <c r="H57" s="2">
        <v>1120</v>
      </c>
      <c r="I57" s="2" t="s">
        <v>867</v>
      </c>
      <c r="J57" s="2" t="s">
        <v>861</v>
      </c>
      <c r="K57" s="2" t="s">
        <v>868</v>
      </c>
      <c r="L57" s="2">
        <v>4402475500</v>
      </c>
      <c r="M57" s="2" t="s">
        <v>869</v>
      </c>
      <c r="N57" s="2" t="s">
        <v>16</v>
      </c>
      <c r="O57" s="2" t="s">
        <v>16</v>
      </c>
      <c r="P57" s="2" t="s">
        <v>17</v>
      </c>
      <c r="Q57" s="2" t="s">
        <v>17</v>
      </c>
      <c r="R57" s="2" t="s">
        <v>17</v>
      </c>
      <c r="S57" s="2" t="s">
        <v>16</v>
      </c>
      <c r="T57" s="3">
        <v>639535</v>
      </c>
    </row>
    <row r="58" spans="1:20" ht="157.5" x14ac:dyDescent="0.2">
      <c r="A58" s="2" t="str">
        <f>VLOOKUP(B58,[1]raw_data!$B$4:$C$343,2,FALSE)</f>
        <v>Public District</v>
      </c>
      <c r="B58" s="2" t="s">
        <v>2658</v>
      </c>
      <c r="C58" s="2" t="s">
        <v>1910</v>
      </c>
      <c r="D58" s="2" t="s">
        <v>1903</v>
      </c>
      <c r="E58" s="2">
        <v>23</v>
      </c>
      <c r="F58" s="2" t="s">
        <v>2402</v>
      </c>
      <c r="G58" s="2" t="s">
        <v>1916</v>
      </c>
      <c r="H58" s="2">
        <v>1518</v>
      </c>
      <c r="I58" s="2" t="s">
        <v>1911</v>
      </c>
      <c r="J58" s="2" t="s">
        <v>1912</v>
      </c>
      <c r="K58" s="2" t="s">
        <v>1913</v>
      </c>
      <c r="L58" s="2" t="s">
        <v>1914</v>
      </c>
      <c r="M58" s="2" t="s">
        <v>1915</v>
      </c>
      <c r="N58" s="2" t="s">
        <v>16</v>
      </c>
      <c r="O58" s="2" t="s">
        <v>17</v>
      </c>
      <c r="P58" s="2" t="s">
        <v>16</v>
      </c>
      <c r="Q58" s="2" t="s">
        <v>17</v>
      </c>
      <c r="R58" s="2" t="s">
        <v>17</v>
      </c>
      <c r="S58" s="2" t="s">
        <v>17</v>
      </c>
      <c r="T58" s="3">
        <v>463925</v>
      </c>
    </row>
    <row r="59" spans="1:20" ht="180" x14ac:dyDescent="0.2">
      <c r="A59" s="2" t="str">
        <f>VLOOKUP(B59,[1]raw_data!$B$4:$C$343,2,FALSE)</f>
        <v>Community School</v>
      </c>
      <c r="B59" s="2" t="s">
        <v>2448</v>
      </c>
      <c r="C59" s="2" t="s">
        <v>81</v>
      </c>
      <c r="D59" s="2" t="s">
        <v>82</v>
      </c>
      <c r="E59" s="2">
        <v>274</v>
      </c>
      <c r="F59" s="2" t="s">
        <v>83</v>
      </c>
      <c r="G59" s="2" t="s">
        <v>89</v>
      </c>
      <c r="H59" s="2">
        <v>740</v>
      </c>
      <c r="I59" s="2" t="s">
        <v>84</v>
      </c>
      <c r="J59" s="2" t="s">
        <v>85</v>
      </c>
      <c r="K59" s="2" t="s">
        <v>86</v>
      </c>
      <c r="L59" s="2" t="s">
        <v>87</v>
      </c>
      <c r="M59" s="2" t="s">
        <v>88</v>
      </c>
      <c r="N59" s="2" t="s">
        <v>17</v>
      </c>
      <c r="O59" s="2" t="s">
        <v>17</v>
      </c>
      <c r="P59" s="2" t="s">
        <v>17</v>
      </c>
      <c r="Q59" s="2" t="s">
        <v>16</v>
      </c>
      <c r="R59" s="2" t="s">
        <v>16</v>
      </c>
      <c r="S59" s="2" t="s">
        <v>16</v>
      </c>
      <c r="T59" s="3">
        <v>1939073</v>
      </c>
    </row>
    <row r="60" spans="1:20" ht="168.75" x14ac:dyDescent="0.2">
      <c r="A60" s="2" t="str">
        <f>VLOOKUP(B60,[1]raw_data!$B$4:$C$343,2,FALSE)</f>
        <v>Public District</v>
      </c>
      <c r="B60" s="2" t="s">
        <v>2476</v>
      </c>
      <c r="C60" s="2" t="s">
        <v>306</v>
      </c>
      <c r="D60" s="2" t="s">
        <v>307</v>
      </c>
      <c r="E60" s="2">
        <v>207</v>
      </c>
      <c r="F60" s="2" t="s">
        <v>308</v>
      </c>
      <c r="G60" s="2" t="s">
        <v>314</v>
      </c>
      <c r="H60" s="2">
        <v>2890</v>
      </c>
      <c r="I60" s="2" t="s">
        <v>309</v>
      </c>
      <c r="J60" s="2" t="s">
        <v>310</v>
      </c>
      <c r="K60" s="2" t="s">
        <v>311</v>
      </c>
      <c r="L60" s="2" t="s">
        <v>312</v>
      </c>
      <c r="M60" s="2" t="s">
        <v>313</v>
      </c>
      <c r="N60" s="2" t="s">
        <v>16</v>
      </c>
      <c r="O60" s="2" t="s">
        <v>16</v>
      </c>
      <c r="P60" s="2" t="s">
        <v>16</v>
      </c>
      <c r="Q60" s="2" t="s">
        <v>17</v>
      </c>
      <c r="R60" s="2" t="s">
        <v>16</v>
      </c>
      <c r="S60" s="2" t="s">
        <v>17</v>
      </c>
      <c r="T60" s="3">
        <v>950000</v>
      </c>
    </row>
    <row r="61" spans="1:20" ht="180" x14ac:dyDescent="0.2">
      <c r="A61" s="2" t="str">
        <f>VLOOKUP(B61,[1]raw_data!$B$4:$C$343,2,FALSE)</f>
        <v>Public District</v>
      </c>
      <c r="B61" s="2" t="s">
        <v>2477</v>
      </c>
      <c r="C61" s="2" t="s">
        <v>315</v>
      </c>
      <c r="D61" s="2" t="s">
        <v>74</v>
      </c>
      <c r="E61" s="2">
        <v>294</v>
      </c>
      <c r="F61" s="2" t="s">
        <v>2248</v>
      </c>
      <c r="G61" s="2" t="s">
        <v>321</v>
      </c>
      <c r="H61" s="2">
        <v>680</v>
      </c>
      <c r="I61" s="2" t="s">
        <v>316</v>
      </c>
      <c r="J61" s="2" t="s">
        <v>317</v>
      </c>
      <c r="K61" s="2" t="s">
        <v>318</v>
      </c>
      <c r="L61" s="2" t="s">
        <v>319</v>
      </c>
      <c r="M61" s="2" t="s">
        <v>320</v>
      </c>
      <c r="N61" s="2" t="s">
        <v>16</v>
      </c>
      <c r="O61" s="2" t="s">
        <v>17</v>
      </c>
      <c r="P61" s="2" t="s">
        <v>17</v>
      </c>
      <c r="Q61" s="2" t="s">
        <v>16</v>
      </c>
      <c r="R61" s="2" t="s">
        <v>16</v>
      </c>
      <c r="S61" s="2" t="s">
        <v>16</v>
      </c>
      <c r="T61" s="3">
        <v>458673.6</v>
      </c>
    </row>
    <row r="62" spans="1:20" ht="168.75" x14ac:dyDescent="0.2">
      <c r="A62" s="2" t="str">
        <f>VLOOKUP(B62,[1]raw_data!$B$4:$C$343,2,FALSE)</f>
        <v>Public District</v>
      </c>
      <c r="B62" s="2" t="s">
        <v>2477</v>
      </c>
      <c r="C62" s="2" t="s">
        <v>315</v>
      </c>
      <c r="D62" s="2" t="s">
        <v>74</v>
      </c>
      <c r="E62" s="2">
        <v>290</v>
      </c>
      <c r="F62" s="2" t="s">
        <v>322</v>
      </c>
      <c r="G62" s="2" t="s">
        <v>328</v>
      </c>
      <c r="H62" s="2">
        <v>2520</v>
      </c>
      <c r="I62" s="2" t="s">
        <v>323</v>
      </c>
      <c r="J62" s="2" t="s">
        <v>324</v>
      </c>
      <c r="K62" s="2" t="s">
        <v>325</v>
      </c>
      <c r="L62" s="2" t="s">
        <v>326</v>
      </c>
      <c r="M62" s="2" t="s">
        <v>327</v>
      </c>
      <c r="N62" s="2" t="s">
        <v>16</v>
      </c>
      <c r="O62" s="2" t="s">
        <v>17</v>
      </c>
      <c r="P62" s="2" t="s">
        <v>17</v>
      </c>
      <c r="Q62" s="2" t="s">
        <v>17</v>
      </c>
      <c r="R62" s="2" t="s">
        <v>16</v>
      </c>
      <c r="S62" s="2" t="s">
        <v>16</v>
      </c>
      <c r="T62" s="3">
        <v>985620</v>
      </c>
    </row>
    <row r="63" spans="1:20" ht="101.25" x14ac:dyDescent="0.2">
      <c r="A63" s="2" t="str">
        <f>VLOOKUP(B63,[1]raw_data!$B$4:$C$343,2,FALSE)</f>
        <v>Public District</v>
      </c>
      <c r="B63" s="2" t="s">
        <v>2477</v>
      </c>
      <c r="C63" s="2" t="s">
        <v>315</v>
      </c>
      <c r="D63" s="2" t="s">
        <v>74</v>
      </c>
      <c r="E63" s="2">
        <v>292</v>
      </c>
      <c r="F63" s="2" t="s">
        <v>329</v>
      </c>
      <c r="G63" s="2" t="s">
        <v>332</v>
      </c>
      <c r="H63" s="2">
        <v>690</v>
      </c>
      <c r="I63" s="2" t="s">
        <v>330</v>
      </c>
      <c r="J63" s="2" t="s">
        <v>324</v>
      </c>
      <c r="K63" s="2" t="s">
        <v>331</v>
      </c>
      <c r="L63" s="2" t="s">
        <v>326</v>
      </c>
      <c r="M63" s="2" t="s">
        <v>327</v>
      </c>
      <c r="N63" s="2" t="s">
        <v>16</v>
      </c>
      <c r="O63" s="2" t="s">
        <v>17</v>
      </c>
      <c r="P63" s="2" t="s">
        <v>17</v>
      </c>
      <c r="Q63" s="2" t="s">
        <v>17</v>
      </c>
      <c r="R63" s="2" t="s">
        <v>17</v>
      </c>
      <c r="S63" s="2" t="s">
        <v>16</v>
      </c>
      <c r="T63" s="3">
        <v>858152</v>
      </c>
    </row>
    <row r="64" spans="1:20" ht="168.75" x14ac:dyDescent="0.2">
      <c r="A64" s="2" t="str">
        <f>VLOOKUP(B64,[1]raw_data!$B$4:$C$343,2,FALSE)</f>
        <v>Public District</v>
      </c>
      <c r="B64" s="2" t="s">
        <v>2477</v>
      </c>
      <c r="C64" s="2" t="s">
        <v>315</v>
      </c>
      <c r="D64" s="2" t="s">
        <v>74</v>
      </c>
      <c r="E64" s="2">
        <v>293</v>
      </c>
      <c r="F64" s="2" t="s">
        <v>2249</v>
      </c>
      <c r="G64" s="2" t="s">
        <v>338</v>
      </c>
      <c r="H64" s="2">
        <v>1450</v>
      </c>
      <c r="I64" s="2" t="s">
        <v>333</v>
      </c>
      <c r="J64" s="2" t="s">
        <v>334</v>
      </c>
      <c r="K64" s="2" t="s">
        <v>335</v>
      </c>
      <c r="L64" s="2" t="s">
        <v>336</v>
      </c>
      <c r="M64" s="2" t="s">
        <v>337</v>
      </c>
      <c r="N64" s="2" t="s">
        <v>16</v>
      </c>
      <c r="O64" s="2" t="s">
        <v>17</v>
      </c>
      <c r="P64" s="2" t="s">
        <v>17</v>
      </c>
      <c r="Q64" s="2" t="s">
        <v>17</v>
      </c>
      <c r="R64" s="2" t="s">
        <v>17</v>
      </c>
      <c r="S64" s="2" t="s">
        <v>16</v>
      </c>
      <c r="T64" s="3">
        <v>1000000</v>
      </c>
    </row>
    <row r="65" spans="1:20" ht="101.25" x14ac:dyDescent="0.2">
      <c r="A65" s="2" t="str">
        <f>VLOOKUP(B65,[1]raw_data!$B$4:$C$343,2,FALSE)</f>
        <v>Public District</v>
      </c>
      <c r="B65" s="2" t="s">
        <v>2477</v>
      </c>
      <c r="C65" s="2" t="s">
        <v>315</v>
      </c>
      <c r="D65" s="2" t="s">
        <v>74</v>
      </c>
      <c r="E65" s="2">
        <v>291</v>
      </c>
      <c r="F65" s="2" t="s">
        <v>2250</v>
      </c>
      <c r="G65" s="2" t="s">
        <v>341</v>
      </c>
      <c r="H65" s="2">
        <v>10000</v>
      </c>
      <c r="I65" s="2" t="s">
        <v>339</v>
      </c>
      <c r="J65" s="2" t="s">
        <v>324</v>
      </c>
      <c r="K65" s="2" t="s">
        <v>340</v>
      </c>
      <c r="L65" s="2" t="s">
        <v>326</v>
      </c>
      <c r="M65" s="2" t="s">
        <v>327</v>
      </c>
      <c r="N65" s="2" t="s">
        <v>17</v>
      </c>
      <c r="O65" s="2" t="s">
        <v>17</v>
      </c>
      <c r="P65" s="2" t="s">
        <v>17</v>
      </c>
      <c r="Q65" s="2" t="s">
        <v>17</v>
      </c>
      <c r="R65" s="2" t="s">
        <v>16</v>
      </c>
      <c r="S65" s="2" t="s">
        <v>16</v>
      </c>
      <c r="T65" s="3">
        <v>3750000</v>
      </c>
    </row>
    <row r="66" spans="1:20" ht="146.25" x14ac:dyDescent="0.2">
      <c r="A66" s="2" t="str">
        <f>VLOOKUP(B66,[1]raw_data!$B$4:$C$343,2,FALSE)</f>
        <v>Community School</v>
      </c>
      <c r="B66" s="2" t="s">
        <v>2459</v>
      </c>
      <c r="C66" s="2" t="s">
        <v>164</v>
      </c>
      <c r="D66" s="2" t="s">
        <v>74</v>
      </c>
      <c r="E66" s="2">
        <v>316</v>
      </c>
      <c r="F66" s="2" t="s">
        <v>2231</v>
      </c>
      <c r="G66" s="2" t="s">
        <v>169</v>
      </c>
      <c r="H66" s="2">
        <v>300</v>
      </c>
      <c r="I66" s="2" t="s">
        <v>165</v>
      </c>
      <c r="J66" s="2" t="s">
        <v>164</v>
      </c>
      <c r="K66" s="2" t="s">
        <v>166</v>
      </c>
      <c r="L66" s="2" t="s">
        <v>167</v>
      </c>
      <c r="M66" s="2" t="s">
        <v>168</v>
      </c>
      <c r="N66" s="2" t="s">
        <v>16</v>
      </c>
      <c r="O66" s="2" t="s">
        <v>17</v>
      </c>
      <c r="P66" s="2" t="s">
        <v>17</v>
      </c>
      <c r="Q66" s="2" t="s">
        <v>16</v>
      </c>
      <c r="R66" s="2" t="s">
        <v>17</v>
      </c>
      <c r="S66" s="2" t="s">
        <v>17</v>
      </c>
      <c r="T66" s="3">
        <v>922500</v>
      </c>
    </row>
    <row r="67" spans="1:20" ht="180" x14ac:dyDescent="0.2">
      <c r="A67" s="2" t="str">
        <f>VLOOKUP(B67,[1]raw_data!$B$4:$C$343,2,FALSE)</f>
        <v>Community School</v>
      </c>
      <c r="B67" s="2" t="s">
        <v>2447</v>
      </c>
      <c r="C67" s="2" t="s">
        <v>73</v>
      </c>
      <c r="D67" s="2" t="s">
        <v>74</v>
      </c>
      <c r="E67" s="2">
        <v>202</v>
      </c>
      <c r="F67" s="2" t="s">
        <v>2224</v>
      </c>
      <c r="G67" s="2" t="s">
        <v>80</v>
      </c>
      <c r="H67" s="2">
        <v>1500</v>
      </c>
      <c r="I67" s="2" t="s">
        <v>75</v>
      </c>
      <c r="J67" s="2" t="s">
        <v>76</v>
      </c>
      <c r="K67" s="2" t="s">
        <v>77</v>
      </c>
      <c r="L67" s="2" t="s">
        <v>78</v>
      </c>
      <c r="M67" s="2" t="s">
        <v>79</v>
      </c>
      <c r="N67" s="2" t="s">
        <v>17</v>
      </c>
      <c r="O67" s="2" t="s">
        <v>17</v>
      </c>
      <c r="P67" s="2" t="s">
        <v>17</v>
      </c>
      <c r="Q67" s="2" t="s">
        <v>17</v>
      </c>
      <c r="R67" s="2" t="s">
        <v>17</v>
      </c>
      <c r="S67" s="2" t="s">
        <v>16</v>
      </c>
      <c r="T67" s="3">
        <v>2056176.31</v>
      </c>
    </row>
    <row r="68" spans="1:20" ht="90" x14ac:dyDescent="0.2">
      <c r="A68" s="2" t="str">
        <f>VLOOKUP(B68,[1]raw_data!$B$4:$C$343,2,FALSE)</f>
        <v>Public District</v>
      </c>
      <c r="B68" s="2" t="s">
        <v>2563</v>
      </c>
      <c r="C68" s="2" t="s">
        <v>1101</v>
      </c>
      <c r="D68" s="2" t="s">
        <v>729</v>
      </c>
      <c r="E68" s="2">
        <v>204</v>
      </c>
      <c r="F68" s="2" t="s">
        <v>2315</v>
      </c>
      <c r="G68" s="2" t="s">
        <v>1107</v>
      </c>
      <c r="H68" s="2">
        <v>896</v>
      </c>
      <c r="I68" s="2" t="s">
        <v>1102</v>
      </c>
      <c r="J68" s="2" t="s">
        <v>1103</v>
      </c>
      <c r="K68" s="2" t="s">
        <v>1104</v>
      </c>
      <c r="L68" s="2" t="s">
        <v>1105</v>
      </c>
      <c r="M68" s="2" t="s">
        <v>1106</v>
      </c>
      <c r="N68" s="2" t="s">
        <v>16</v>
      </c>
      <c r="O68" s="2" t="s">
        <v>17</v>
      </c>
      <c r="P68" s="2" t="s">
        <v>17</v>
      </c>
      <c r="Q68" s="2" t="s">
        <v>16</v>
      </c>
      <c r="R68" s="2" t="s">
        <v>17</v>
      </c>
      <c r="S68" s="2" t="s">
        <v>16</v>
      </c>
      <c r="T68" s="3">
        <v>987019</v>
      </c>
    </row>
    <row r="69" spans="1:20" ht="101.25" x14ac:dyDescent="0.2">
      <c r="A69" s="2" t="str">
        <f>VLOOKUP(B69,[1]raw_data!$B$4:$C$343,2,FALSE)</f>
        <v>Public District</v>
      </c>
      <c r="B69" s="2" t="s">
        <v>2644</v>
      </c>
      <c r="C69" s="2" t="s">
        <v>1788</v>
      </c>
      <c r="D69" s="2" t="s">
        <v>677</v>
      </c>
      <c r="E69" s="2">
        <v>313</v>
      </c>
      <c r="F69" s="2" t="s">
        <v>2392</v>
      </c>
      <c r="G69" s="2" t="s">
        <v>1794</v>
      </c>
      <c r="H69" s="2">
        <v>671</v>
      </c>
      <c r="I69" s="2" t="s">
        <v>1789</v>
      </c>
      <c r="J69" s="2" t="s">
        <v>1790</v>
      </c>
      <c r="K69" s="2" t="s">
        <v>1791</v>
      </c>
      <c r="L69" s="2" t="s">
        <v>1792</v>
      </c>
      <c r="M69" s="2" t="s">
        <v>1793</v>
      </c>
      <c r="N69" s="2" t="s">
        <v>16</v>
      </c>
      <c r="O69" s="2" t="s">
        <v>17</v>
      </c>
      <c r="P69" s="2" t="s">
        <v>17</v>
      </c>
      <c r="Q69" s="2" t="s">
        <v>17</v>
      </c>
      <c r="R69" s="2" t="s">
        <v>17</v>
      </c>
      <c r="S69" s="2" t="s">
        <v>16</v>
      </c>
      <c r="T69" s="3">
        <v>991582.11</v>
      </c>
    </row>
    <row r="70" spans="1:20" ht="112.5" x14ac:dyDescent="0.2">
      <c r="A70" s="2" t="str">
        <f>VLOOKUP(B70,[1]raw_data!$B$4:$C$343,2,FALSE)</f>
        <v>Public District</v>
      </c>
      <c r="B70" s="2" t="s">
        <v>2644</v>
      </c>
      <c r="C70" s="2" t="s">
        <v>1788</v>
      </c>
      <c r="D70" s="2" t="s">
        <v>677</v>
      </c>
      <c r="E70" s="2">
        <v>314</v>
      </c>
      <c r="F70" s="2" t="s">
        <v>2393</v>
      </c>
      <c r="G70" s="2" t="s">
        <v>1795</v>
      </c>
      <c r="H70" s="2">
        <v>3406</v>
      </c>
      <c r="I70" s="2" t="s">
        <v>1789</v>
      </c>
      <c r="J70" s="2" t="s">
        <v>1790</v>
      </c>
      <c r="K70" s="2" t="s">
        <v>1791</v>
      </c>
      <c r="L70" s="2" t="s">
        <v>1792</v>
      </c>
      <c r="M70" s="2" t="s">
        <v>1793</v>
      </c>
      <c r="N70" s="2" t="s">
        <v>17</v>
      </c>
      <c r="O70" s="2" t="s">
        <v>17</v>
      </c>
      <c r="P70" s="2" t="s">
        <v>17</v>
      </c>
      <c r="Q70" s="2" t="s">
        <v>17</v>
      </c>
      <c r="R70" s="2" t="s">
        <v>17</v>
      </c>
      <c r="S70" s="2" t="s">
        <v>16</v>
      </c>
      <c r="T70" s="3">
        <v>1430629.51</v>
      </c>
    </row>
    <row r="71" spans="1:20" ht="180" x14ac:dyDescent="0.2">
      <c r="A71" s="2" t="str">
        <f>VLOOKUP(B71,[1]raw_data!$B$4:$C$343,2,FALSE)</f>
        <v>Public District</v>
      </c>
      <c r="B71" s="2" t="s">
        <v>2642</v>
      </c>
      <c r="C71" s="2" t="s">
        <v>1771</v>
      </c>
      <c r="D71" s="2" t="s">
        <v>36</v>
      </c>
      <c r="E71" s="2">
        <v>108</v>
      </c>
      <c r="F71" s="2" t="s">
        <v>2388</v>
      </c>
      <c r="G71" s="2" t="s">
        <v>1777</v>
      </c>
      <c r="H71" s="2">
        <v>443</v>
      </c>
      <c r="I71" s="2" t="s">
        <v>1772</v>
      </c>
      <c r="J71" s="2" t="s">
        <v>1773</v>
      </c>
      <c r="K71" s="2" t="s">
        <v>1774</v>
      </c>
      <c r="L71" s="2" t="s">
        <v>1775</v>
      </c>
      <c r="M71" s="2" t="s">
        <v>1776</v>
      </c>
      <c r="N71" s="2" t="s">
        <v>16</v>
      </c>
      <c r="O71" s="2" t="s">
        <v>17</v>
      </c>
      <c r="P71" s="2" t="s">
        <v>17</v>
      </c>
      <c r="Q71" s="2" t="s">
        <v>17</v>
      </c>
      <c r="R71" s="2" t="s">
        <v>17</v>
      </c>
      <c r="S71" s="2" t="s">
        <v>17</v>
      </c>
      <c r="T71" s="3">
        <v>99940</v>
      </c>
    </row>
    <row r="72" spans="1:20" ht="135" x14ac:dyDescent="0.2">
      <c r="A72" s="2" t="str">
        <f>VLOOKUP(B72,[1]raw_data!$B$4:$C$343,2,FALSE)</f>
        <v>Public District</v>
      </c>
      <c r="B72" s="2" t="s">
        <v>2642</v>
      </c>
      <c r="C72" s="2" t="s">
        <v>1771</v>
      </c>
      <c r="D72" s="2" t="s">
        <v>36</v>
      </c>
      <c r="E72" s="2">
        <v>109</v>
      </c>
      <c r="F72" s="2" t="s">
        <v>2389</v>
      </c>
      <c r="G72" s="2" t="s">
        <v>1778</v>
      </c>
      <c r="H72" s="2">
        <v>372</v>
      </c>
      <c r="I72" s="2" t="s">
        <v>1772</v>
      </c>
      <c r="J72" s="2" t="s">
        <v>1773</v>
      </c>
      <c r="K72" s="2" t="s">
        <v>1774</v>
      </c>
      <c r="L72" s="2" t="s">
        <v>1775</v>
      </c>
      <c r="M72" s="2" t="s">
        <v>1776</v>
      </c>
      <c r="N72" s="2" t="s">
        <v>16</v>
      </c>
      <c r="O72" s="2" t="s">
        <v>17</v>
      </c>
      <c r="P72" s="2" t="s">
        <v>17</v>
      </c>
      <c r="Q72" s="2" t="s">
        <v>17</v>
      </c>
      <c r="R72" s="2" t="s">
        <v>17</v>
      </c>
      <c r="S72" s="2" t="s">
        <v>17</v>
      </c>
      <c r="T72" s="3">
        <v>99940</v>
      </c>
    </row>
    <row r="73" spans="1:20" ht="78.75" x14ac:dyDescent="0.2">
      <c r="A73" s="2" t="str">
        <f>VLOOKUP(B73,[1]raw_data!$B$4:$C$343,2,FALSE)</f>
        <v>Public District</v>
      </c>
      <c r="B73" s="2" t="s">
        <v>2642</v>
      </c>
      <c r="C73" s="2" t="s">
        <v>1771</v>
      </c>
      <c r="D73" s="2" t="s">
        <v>36</v>
      </c>
      <c r="E73" s="2">
        <v>107</v>
      </c>
      <c r="F73" s="2" t="s">
        <v>2390</v>
      </c>
      <c r="G73" s="2" t="s">
        <v>1780</v>
      </c>
      <c r="H73" s="2">
        <v>625</v>
      </c>
      <c r="I73" s="2" t="s">
        <v>1772</v>
      </c>
      <c r="J73" s="2" t="s">
        <v>1773</v>
      </c>
      <c r="K73" s="2" t="s">
        <v>1779</v>
      </c>
      <c r="L73" s="2" t="s">
        <v>1775</v>
      </c>
      <c r="M73" s="2" t="s">
        <v>1776</v>
      </c>
      <c r="N73" s="2" t="s">
        <v>16</v>
      </c>
      <c r="O73" s="2" t="s">
        <v>17</v>
      </c>
      <c r="P73" s="2" t="s">
        <v>17</v>
      </c>
      <c r="Q73" s="2" t="s">
        <v>17</v>
      </c>
      <c r="R73" s="2" t="s">
        <v>17</v>
      </c>
      <c r="S73" s="2" t="s">
        <v>17</v>
      </c>
      <c r="T73" s="3">
        <v>221200</v>
      </c>
    </row>
    <row r="74" spans="1:20" ht="112.5" x14ac:dyDescent="0.2">
      <c r="A74" s="2" t="str">
        <f>VLOOKUP(B74,[1]raw_data!$B$4:$C$343,2,FALSE)</f>
        <v>Public District</v>
      </c>
      <c r="B74" s="2" t="s">
        <v>2610</v>
      </c>
      <c r="C74" s="2" t="s">
        <v>1509</v>
      </c>
      <c r="D74" s="2" t="s">
        <v>423</v>
      </c>
      <c r="E74" s="2">
        <v>332</v>
      </c>
      <c r="F74" s="2" t="s">
        <v>2363</v>
      </c>
      <c r="G74" s="2" t="s">
        <v>1515</v>
      </c>
      <c r="H74" s="2">
        <v>1600</v>
      </c>
      <c r="I74" s="2" t="s">
        <v>1510</v>
      </c>
      <c r="J74" s="2" t="s">
        <v>1511</v>
      </c>
      <c r="K74" s="2" t="s">
        <v>1512</v>
      </c>
      <c r="L74" s="2" t="s">
        <v>1513</v>
      </c>
      <c r="M74" s="2" t="s">
        <v>1514</v>
      </c>
      <c r="N74" s="2" t="s">
        <v>16</v>
      </c>
      <c r="O74" s="2" t="s">
        <v>17</v>
      </c>
      <c r="P74" s="2" t="s">
        <v>17</v>
      </c>
      <c r="Q74" s="2" t="s">
        <v>17</v>
      </c>
      <c r="R74" s="2" t="s">
        <v>17</v>
      </c>
      <c r="S74" s="2" t="s">
        <v>16</v>
      </c>
      <c r="T74" s="3">
        <v>246800</v>
      </c>
    </row>
    <row r="75" spans="1:20" ht="78.75" x14ac:dyDescent="0.2">
      <c r="A75" s="2" t="str">
        <f>VLOOKUP(B75,[1]raw_data!$B$4:$C$343,2,FALSE)</f>
        <v>Public District</v>
      </c>
      <c r="B75" s="2" t="s">
        <v>2479</v>
      </c>
      <c r="C75" s="2" t="s">
        <v>349</v>
      </c>
      <c r="D75" s="2" t="s">
        <v>29</v>
      </c>
      <c r="E75" s="2">
        <v>152</v>
      </c>
      <c r="F75" s="2" t="s">
        <v>350</v>
      </c>
      <c r="G75" s="2" t="s">
        <v>356</v>
      </c>
      <c r="H75" s="2">
        <v>2100</v>
      </c>
      <c r="I75" s="2" t="s">
        <v>351</v>
      </c>
      <c r="J75" s="2" t="s">
        <v>352</v>
      </c>
      <c r="K75" s="2" t="s">
        <v>353</v>
      </c>
      <c r="L75" s="2" t="s">
        <v>354</v>
      </c>
      <c r="M75" s="2" t="s">
        <v>355</v>
      </c>
      <c r="N75" s="2" t="s">
        <v>16</v>
      </c>
      <c r="O75" s="2" t="s">
        <v>17</v>
      </c>
      <c r="P75" s="2" t="s">
        <v>17</v>
      </c>
      <c r="Q75" s="2" t="s">
        <v>16</v>
      </c>
      <c r="R75" s="2" t="s">
        <v>16</v>
      </c>
      <c r="S75" s="2" t="s">
        <v>16</v>
      </c>
      <c r="T75" s="3">
        <v>484608</v>
      </c>
    </row>
    <row r="76" spans="1:20" ht="112.5" x14ac:dyDescent="0.2">
      <c r="A76" s="2" t="str">
        <f>VLOOKUP(B76,[1]raw_data!$B$4:$C$343,2,FALSE)</f>
        <v>Public District</v>
      </c>
      <c r="B76" s="2" t="s">
        <v>2478</v>
      </c>
      <c r="C76" s="2" t="s">
        <v>342</v>
      </c>
      <c r="D76" s="2" t="s">
        <v>29</v>
      </c>
      <c r="E76" s="2">
        <v>18</v>
      </c>
      <c r="F76" s="2" t="s">
        <v>343</v>
      </c>
      <c r="G76" s="2" t="s">
        <v>348</v>
      </c>
      <c r="H76" s="2">
        <v>33000</v>
      </c>
      <c r="I76" s="2" t="s">
        <v>344</v>
      </c>
      <c r="J76" s="2" t="s">
        <v>345</v>
      </c>
      <c r="K76" s="2" t="s">
        <v>346</v>
      </c>
      <c r="L76" s="2">
        <v>2168380154</v>
      </c>
      <c r="M76" s="2" t="s">
        <v>347</v>
      </c>
      <c r="N76" s="2" t="s">
        <v>16</v>
      </c>
      <c r="O76" s="2" t="s">
        <v>17</v>
      </c>
      <c r="P76" s="2" t="s">
        <v>17</v>
      </c>
      <c r="Q76" s="2" t="s">
        <v>16</v>
      </c>
      <c r="R76" s="2" t="s">
        <v>16</v>
      </c>
      <c r="S76" s="2" t="s">
        <v>16</v>
      </c>
      <c r="T76" s="3">
        <v>955909.06</v>
      </c>
    </row>
    <row r="77" spans="1:20" ht="67.5" x14ac:dyDescent="0.2">
      <c r="A77" s="2" t="str">
        <f>VLOOKUP(B77,[1]raw_data!$B$4:$C$343,2,FALSE)</f>
        <v>Public District</v>
      </c>
      <c r="B77" s="2" t="s">
        <v>2624</v>
      </c>
      <c r="C77" s="2" t="s">
        <v>1616</v>
      </c>
      <c r="D77" s="2" t="s">
        <v>578</v>
      </c>
      <c r="E77" s="2">
        <v>191</v>
      </c>
      <c r="F77" s="2" t="s">
        <v>1617</v>
      </c>
      <c r="G77" s="2" t="s">
        <v>1622</v>
      </c>
      <c r="H77" s="2">
        <v>2489</v>
      </c>
      <c r="I77" s="2" t="s">
        <v>1618</v>
      </c>
      <c r="J77" s="2" t="s">
        <v>1619</v>
      </c>
      <c r="K77" s="2" t="s">
        <v>1620</v>
      </c>
      <c r="L77" s="2">
        <v>3307213503</v>
      </c>
      <c r="M77" s="2" t="s">
        <v>1621</v>
      </c>
      <c r="N77" s="2" t="s">
        <v>16</v>
      </c>
      <c r="O77" s="2" t="s">
        <v>16</v>
      </c>
      <c r="P77" s="2" t="s">
        <v>16</v>
      </c>
      <c r="Q77" s="2" t="s">
        <v>17</v>
      </c>
      <c r="R77" s="2" t="s">
        <v>17</v>
      </c>
      <c r="S77" s="2" t="s">
        <v>16</v>
      </c>
      <c r="T77" s="3">
        <v>274000</v>
      </c>
    </row>
    <row r="78" spans="1:20" ht="123.75" x14ac:dyDescent="0.2">
      <c r="A78" s="2" t="str">
        <f>VLOOKUP(B78,[1]raw_data!$B$4:$C$343,2,FALSE)</f>
        <v>Public District</v>
      </c>
      <c r="B78" s="2" t="s">
        <v>2624</v>
      </c>
      <c r="C78" s="2" t="s">
        <v>1616</v>
      </c>
      <c r="D78" s="2" t="s">
        <v>578</v>
      </c>
      <c r="E78" s="2">
        <v>189</v>
      </c>
      <c r="F78" s="2" t="s">
        <v>2375</v>
      </c>
      <c r="G78" s="2" t="s">
        <v>1624</v>
      </c>
      <c r="H78" s="2">
        <v>2489</v>
      </c>
      <c r="I78" s="2" t="s">
        <v>1618</v>
      </c>
      <c r="J78" s="2" t="s">
        <v>1619</v>
      </c>
      <c r="K78" s="2" t="s">
        <v>1620</v>
      </c>
      <c r="L78" s="2">
        <v>3307213503</v>
      </c>
      <c r="M78" s="2" t="s">
        <v>1623</v>
      </c>
      <c r="N78" s="2" t="s">
        <v>16</v>
      </c>
      <c r="O78" s="2" t="s">
        <v>17</v>
      </c>
      <c r="P78" s="2" t="s">
        <v>17</v>
      </c>
      <c r="Q78" s="2" t="s">
        <v>17</v>
      </c>
      <c r="R78" s="2" t="s">
        <v>17</v>
      </c>
      <c r="S78" s="2" t="s">
        <v>17</v>
      </c>
      <c r="T78" s="3">
        <v>508057</v>
      </c>
    </row>
    <row r="79" spans="1:20" ht="135" x14ac:dyDescent="0.2">
      <c r="A79" s="2" t="str">
        <f>VLOOKUP(B79,[1]raw_data!$B$4:$C$343,2,FALSE)</f>
        <v>Public District</v>
      </c>
      <c r="B79" s="2" t="s">
        <v>2624</v>
      </c>
      <c r="C79" s="2" t="s">
        <v>1616</v>
      </c>
      <c r="D79" s="2" t="s">
        <v>578</v>
      </c>
      <c r="E79" s="2">
        <v>190</v>
      </c>
      <c r="F79" s="2" t="s">
        <v>2376</v>
      </c>
      <c r="G79" s="2" t="s">
        <v>1630</v>
      </c>
      <c r="H79" s="2">
        <v>2489</v>
      </c>
      <c r="I79" s="2" t="s">
        <v>1625</v>
      </c>
      <c r="J79" s="2" t="s">
        <v>1626</v>
      </c>
      <c r="K79" s="2" t="s">
        <v>1627</v>
      </c>
      <c r="L79" s="2" t="s">
        <v>1628</v>
      </c>
      <c r="M79" s="2" t="s">
        <v>1629</v>
      </c>
      <c r="N79" s="2" t="s">
        <v>16</v>
      </c>
      <c r="O79" s="2" t="s">
        <v>17</v>
      </c>
      <c r="P79" s="2" t="s">
        <v>17</v>
      </c>
      <c r="Q79" s="2" t="s">
        <v>17</v>
      </c>
      <c r="R79" s="2" t="s">
        <v>17</v>
      </c>
      <c r="S79" s="2" t="s">
        <v>16</v>
      </c>
      <c r="T79" s="3">
        <v>300000</v>
      </c>
    </row>
    <row r="80" spans="1:20" ht="168.75" x14ac:dyDescent="0.2">
      <c r="A80" s="2" t="str">
        <f>VLOOKUP(B80,[1]raw_data!$B$4:$C$343,2,FALSE)</f>
        <v>Educational Service Center</v>
      </c>
      <c r="B80" s="2" t="s">
        <v>2566</v>
      </c>
      <c r="C80" s="2" t="s">
        <v>1123</v>
      </c>
      <c r="D80" s="2" t="s">
        <v>45</v>
      </c>
      <c r="E80" s="2">
        <v>307</v>
      </c>
      <c r="F80" s="2" t="s">
        <v>2318</v>
      </c>
      <c r="G80" s="2" t="s">
        <v>1129</v>
      </c>
      <c r="H80" s="2">
        <v>9848</v>
      </c>
      <c r="I80" s="2" t="s">
        <v>1124</v>
      </c>
      <c r="J80" s="2" t="s">
        <v>1125</v>
      </c>
      <c r="K80" s="2" t="s">
        <v>1126</v>
      </c>
      <c r="L80" s="2" t="s">
        <v>1127</v>
      </c>
      <c r="M80" s="2" t="s">
        <v>1128</v>
      </c>
      <c r="N80" s="2" t="s">
        <v>17</v>
      </c>
      <c r="O80" s="2" t="s">
        <v>17</v>
      </c>
      <c r="P80" s="2" t="s">
        <v>17</v>
      </c>
      <c r="Q80" s="2" t="s">
        <v>17</v>
      </c>
      <c r="R80" s="2" t="s">
        <v>16</v>
      </c>
      <c r="S80" s="2" t="s">
        <v>17</v>
      </c>
      <c r="T80" s="3">
        <v>7479500</v>
      </c>
    </row>
    <row r="81" spans="1:20" ht="146.25" x14ac:dyDescent="0.2">
      <c r="A81" s="2" t="str">
        <f>VLOOKUP(B81,[1]raw_data!$B$4:$C$343,2,FALSE)</f>
        <v>Educational Service Center</v>
      </c>
      <c r="B81" s="2" t="s">
        <v>2566</v>
      </c>
      <c r="C81" s="2" t="s">
        <v>1123</v>
      </c>
      <c r="D81" s="2" t="s">
        <v>45</v>
      </c>
      <c r="E81" s="2">
        <v>306</v>
      </c>
      <c r="F81" s="2" t="s">
        <v>2319</v>
      </c>
      <c r="G81" s="2" t="s">
        <v>1132</v>
      </c>
      <c r="H81" s="2">
        <v>7018</v>
      </c>
      <c r="I81" s="2" t="s">
        <v>1124</v>
      </c>
      <c r="J81" s="2" t="s">
        <v>1125</v>
      </c>
      <c r="K81" s="2" t="s">
        <v>1130</v>
      </c>
      <c r="L81" s="2" t="s">
        <v>1131</v>
      </c>
      <c r="M81" s="2" t="s">
        <v>1128</v>
      </c>
      <c r="N81" s="2" t="s">
        <v>17</v>
      </c>
      <c r="O81" s="2" t="s">
        <v>17</v>
      </c>
      <c r="P81" s="2" t="s">
        <v>17</v>
      </c>
      <c r="Q81" s="2" t="s">
        <v>17</v>
      </c>
      <c r="R81" s="2" t="s">
        <v>17</v>
      </c>
      <c r="S81" s="2" t="s">
        <v>17</v>
      </c>
      <c r="T81" s="3">
        <v>975250</v>
      </c>
    </row>
    <row r="82" spans="1:20" ht="146.25" x14ac:dyDescent="0.2">
      <c r="A82" s="2" t="str">
        <f>VLOOKUP(B82,[1]raw_data!$B$4:$C$343,2,FALSE)</f>
        <v>Educational Service Center</v>
      </c>
      <c r="B82" s="2" t="s">
        <v>2566</v>
      </c>
      <c r="C82" s="2" t="s">
        <v>1123</v>
      </c>
      <c r="D82" s="2" t="s">
        <v>45</v>
      </c>
      <c r="E82" s="2">
        <v>308</v>
      </c>
      <c r="F82" s="2" t="s">
        <v>1133</v>
      </c>
      <c r="G82" s="2" t="s">
        <v>1137</v>
      </c>
      <c r="H82" s="2">
        <v>1018</v>
      </c>
      <c r="I82" s="2" t="s">
        <v>1134</v>
      </c>
      <c r="J82" s="2" t="s">
        <v>1125</v>
      </c>
      <c r="K82" s="2" t="s">
        <v>1135</v>
      </c>
      <c r="L82" s="2">
        <v>3304249591</v>
      </c>
      <c r="M82" s="2" t="s">
        <v>1136</v>
      </c>
      <c r="N82" s="2" t="s">
        <v>17</v>
      </c>
      <c r="O82" s="2" t="s">
        <v>17</v>
      </c>
      <c r="P82" s="2" t="s">
        <v>17</v>
      </c>
      <c r="Q82" s="2" t="s">
        <v>17</v>
      </c>
      <c r="R82" s="2" t="s">
        <v>16</v>
      </c>
      <c r="S82" s="2" t="s">
        <v>17</v>
      </c>
      <c r="T82" s="3">
        <v>981180</v>
      </c>
    </row>
    <row r="83" spans="1:20" ht="78.75" x14ac:dyDescent="0.2">
      <c r="A83" s="2" t="str">
        <f>VLOOKUP(B83,[1]raw_data!$B$4:$C$343,2,FALSE)</f>
        <v>Public District</v>
      </c>
      <c r="B83" s="2" t="s">
        <v>2537</v>
      </c>
      <c r="C83" s="2" t="s">
        <v>871</v>
      </c>
      <c r="D83" s="2" t="s">
        <v>45</v>
      </c>
      <c r="E83" s="2">
        <v>86</v>
      </c>
      <c r="F83" s="2" t="s">
        <v>2292</v>
      </c>
      <c r="G83" s="2" t="s">
        <v>877</v>
      </c>
      <c r="H83" s="2">
        <v>3766</v>
      </c>
      <c r="I83" s="2" t="s">
        <v>872</v>
      </c>
      <c r="J83" s="2" t="s">
        <v>873</v>
      </c>
      <c r="K83" s="2" t="s">
        <v>874</v>
      </c>
      <c r="L83" s="2" t="s">
        <v>875</v>
      </c>
      <c r="M83" s="2" t="s">
        <v>876</v>
      </c>
      <c r="N83" s="2" t="s">
        <v>17</v>
      </c>
      <c r="O83" s="2" t="s">
        <v>17</v>
      </c>
      <c r="P83" s="2" t="s">
        <v>17</v>
      </c>
      <c r="Q83" s="2" t="s">
        <v>17</v>
      </c>
      <c r="R83" s="2" t="s">
        <v>17</v>
      </c>
      <c r="S83" s="2" t="s">
        <v>17</v>
      </c>
      <c r="T83" s="3">
        <v>1626590</v>
      </c>
    </row>
    <row r="84" spans="1:20" ht="123.75" x14ac:dyDescent="0.2">
      <c r="A84" s="2" t="str">
        <f>VLOOKUP(B84,[1]raw_data!$B$4:$C$343,2,FALSE)</f>
        <v>Public District</v>
      </c>
      <c r="B84" s="2" t="s">
        <v>2480</v>
      </c>
      <c r="C84" s="2" t="s">
        <v>357</v>
      </c>
      <c r="D84" s="2" t="s">
        <v>82</v>
      </c>
      <c r="E84" s="2">
        <v>36</v>
      </c>
      <c r="F84" s="2" t="s">
        <v>2251</v>
      </c>
      <c r="G84" s="2" t="s">
        <v>363</v>
      </c>
      <c r="H84" s="2">
        <v>380</v>
      </c>
      <c r="I84" s="2" t="s">
        <v>358</v>
      </c>
      <c r="J84" s="2" t="s">
        <v>359</v>
      </c>
      <c r="K84" s="2" t="s">
        <v>360</v>
      </c>
      <c r="L84" s="2" t="s">
        <v>361</v>
      </c>
      <c r="M84" s="2" t="s">
        <v>362</v>
      </c>
      <c r="N84" s="2" t="s">
        <v>16</v>
      </c>
      <c r="O84" s="2" t="s">
        <v>17</v>
      </c>
      <c r="P84" s="2" t="s">
        <v>17</v>
      </c>
      <c r="Q84" s="2" t="s">
        <v>17</v>
      </c>
      <c r="R84" s="2" t="s">
        <v>17</v>
      </c>
      <c r="S84" s="2" t="s">
        <v>16</v>
      </c>
      <c r="T84" s="3">
        <v>390000</v>
      </c>
    </row>
    <row r="85" spans="1:20" ht="123.75" x14ac:dyDescent="0.2">
      <c r="A85" s="2" t="str">
        <f>VLOOKUP(B85,[1]raw_data!$B$4:$C$343,2,FALSE)</f>
        <v>Public District</v>
      </c>
      <c r="B85" s="2" t="s">
        <v>2480</v>
      </c>
      <c r="C85" s="2" t="s">
        <v>357</v>
      </c>
      <c r="D85" s="2" t="s">
        <v>82</v>
      </c>
      <c r="E85" s="2">
        <v>37</v>
      </c>
      <c r="F85" s="2" t="s">
        <v>364</v>
      </c>
      <c r="G85" s="2" t="s">
        <v>367</v>
      </c>
      <c r="H85" s="2">
        <v>850</v>
      </c>
      <c r="I85" s="2" t="s">
        <v>358</v>
      </c>
      <c r="J85" s="2" t="s">
        <v>359</v>
      </c>
      <c r="K85" s="2" t="s">
        <v>360</v>
      </c>
      <c r="L85" s="2" t="s">
        <v>365</v>
      </c>
      <c r="M85" s="2" t="s">
        <v>366</v>
      </c>
      <c r="N85" s="2" t="s">
        <v>16</v>
      </c>
      <c r="O85" s="2" t="s">
        <v>17</v>
      </c>
      <c r="P85" s="2" t="s">
        <v>17</v>
      </c>
      <c r="Q85" s="2" t="s">
        <v>17</v>
      </c>
      <c r="R85" s="2" t="s">
        <v>16</v>
      </c>
      <c r="S85" s="2" t="s">
        <v>16</v>
      </c>
      <c r="T85" s="3">
        <v>677648</v>
      </c>
    </row>
    <row r="86" spans="1:20" ht="135" x14ac:dyDescent="0.2">
      <c r="A86" s="2" t="str">
        <f>VLOOKUP(B86,[1]raw_data!$B$4:$C$343,2,FALSE)</f>
        <v>Community School</v>
      </c>
      <c r="B86" s="2" t="s">
        <v>2449</v>
      </c>
      <c r="C86" s="2" t="s">
        <v>90</v>
      </c>
      <c r="D86" s="2" t="s">
        <v>82</v>
      </c>
      <c r="E86" s="2">
        <v>320</v>
      </c>
      <c r="F86" s="2" t="s">
        <v>91</v>
      </c>
      <c r="G86" s="2" t="s">
        <v>96</v>
      </c>
      <c r="H86" s="2">
        <v>610</v>
      </c>
      <c r="I86" s="2" t="s">
        <v>92</v>
      </c>
      <c r="J86" s="2" t="s">
        <v>90</v>
      </c>
      <c r="K86" s="2" t="s">
        <v>93</v>
      </c>
      <c r="L86" s="2" t="s">
        <v>94</v>
      </c>
      <c r="M86" s="2" t="s">
        <v>95</v>
      </c>
      <c r="N86" s="2" t="s">
        <v>17</v>
      </c>
      <c r="O86" s="2" t="s">
        <v>17</v>
      </c>
      <c r="P86" s="2" t="s">
        <v>17</v>
      </c>
      <c r="Q86" s="2" t="s">
        <v>17</v>
      </c>
      <c r="R86" s="2" t="s">
        <v>17</v>
      </c>
      <c r="S86" s="2" t="s">
        <v>17</v>
      </c>
      <c r="T86" s="3">
        <v>5621000</v>
      </c>
    </row>
    <row r="87" spans="1:20" ht="90" x14ac:dyDescent="0.2">
      <c r="A87" s="2" t="str">
        <f>VLOOKUP(B87,[1]raw_data!$B$4:$C$343,2,FALSE)</f>
        <v>Community School</v>
      </c>
      <c r="B87" s="2" t="s">
        <v>2449</v>
      </c>
      <c r="C87" s="2" t="s">
        <v>90</v>
      </c>
      <c r="D87" s="2" t="s">
        <v>82</v>
      </c>
      <c r="E87" s="2">
        <v>319</v>
      </c>
      <c r="F87" s="2" t="s">
        <v>97</v>
      </c>
      <c r="G87" s="2" t="s">
        <v>98</v>
      </c>
      <c r="H87" s="2">
        <v>600</v>
      </c>
      <c r="I87" s="2" t="s">
        <v>92</v>
      </c>
      <c r="J87" s="2" t="s">
        <v>90</v>
      </c>
      <c r="K87" s="2" t="s">
        <v>93</v>
      </c>
      <c r="L87" s="2" t="s">
        <v>94</v>
      </c>
      <c r="M87" s="2" t="s">
        <v>95</v>
      </c>
      <c r="N87" s="2" t="s">
        <v>17</v>
      </c>
      <c r="O87" s="2" t="s">
        <v>17</v>
      </c>
      <c r="P87" s="2" t="s">
        <v>17</v>
      </c>
      <c r="Q87" s="2" t="s">
        <v>17</v>
      </c>
      <c r="R87" s="2" t="s">
        <v>17</v>
      </c>
      <c r="S87" s="2" t="s">
        <v>17</v>
      </c>
      <c r="T87" s="3">
        <v>313474.25</v>
      </c>
    </row>
    <row r="88" spans="1:20" ht="180" x14ac:dyDescent="0.2">
      <c r="A88" s="2" t="str">
        <f>VLOOKUP(B88,[1]raw_data!$B$4:$C$343,2,FALSE)</f>
        <v>Public District</v>
      </c>
      <c r="B88" s="2" t="s">
        <v>2481</v>
      </c>
      <c r="C88" s="2" t="s">
        <v>368</v>
      </c>
      <c r="D88" s="2" t="s">
        <v>225</v>
      </c>
      <c r="E88" s="2">
        <v>10</v>
      </c>
      <c r="F88" s="2" t="s">
        <v>369</v>
      </c>
      <c r="G88" s="2" t="s">
        <v>375</v>
      </c>
      <c r="H88" s="2">
        <v>1804</v>
      </c>
      <c r="I88" s="2" t="s">
        <v>370</v>
      </c>
      <c r="J88" s="2" t="s">
        <v>371</v>
      </c>
      <c r="K88" s="2" t="s">
        <v>372</v>
      </c>
      <c r="L88" s="2" t="s">
        <v>373</v>
      </c>
      <c r="M88" s="2" t="s">
        <v>374</v>
      </c>
      <c r="N88" s="2" t="s">
        <v>16</v>
      </c>
      <c r="O88" s="2" t="s">
        <v>16</v>
      </c>
      <c r="P88" s="2" t="s">
        <v>17</v>
      </c>
      <c r="Q88" s="2" t="s">
        <v>17</v>
      </c>
      <c r="R88" s="2" t="s">
        <v>17</v>
      </c>
      <c r="S88" s="2" t="s">
        <v>16</v>
      </c>
      <c r="T88" s="3">
        <v>256093.89</v>
      </c>
    </row>
    <row r="89" spans="1:20" ht="146.25" x14ac:dyDescent="0.2">
      <c r="A89" s="2" t="str">
        <f>VLOOKUP(B89,[1]raw_data!$B$4:$C$343,2,FALSE)</f>
        <v>Public District</v>
      </c>
      <c r="B89" s="2" t="s">
        <v>2596</v>
      </c>
      <c r="C89" s="2" t="s">
        <v>1406</v>
      </c>
      <c r="D89" s="2" t="s">
        <v>1407</v>
      </c>
      <c r="E89" s="2">
        <v>263</v>
      </c>
      <c r="F89" s="2" t="s">
        <v>2353</v>
      </c>
      <c r="G89" s="2" t="s">
        <v>1413</v>
      </c>
      <c r="H89" s="2">
        <v>540</v>
      </c>
      <c r="I89" s="2" t="s">
        <v>1408</v>
      </c>
      <c r="J89" s="2" t="s">
        <v>1409</v>
      </c>
      <c r="K89" s="2" t="s">
        <v>1410</v>
      </c>
      <c r="L89" s="2" t="s">
        <v>1411</v>
      </c>
      <c r="M89" s="2" t="s">
        <v>1412</v>
      </c>
      <c r="N89" s="2" t="s">
        <v>17</v>
      </c>
      <c r="O89" s="2" t="s">
        <v>17</v>
      </c>
      <c r="P89" s="2" t="s">
        <v>17</v>
      </c>
      <c r="Q89" s="2" t="s">
        <v>17</v>
      </c>
      <c r="R89" s="2" t="s">
        <v>17</v>
      </c>
      <c r="S89" s="2" t="s">
        <v>17</v>
      </c>
      <c r="T89" s="3">
        <v>4732170.99</v>
      </c>
    </row>
    <row r="90" spans="1:20" ht="78.75" x14ac:dyDescent="0.2">
      <c r="A90" s="2" t="str">
        <f>VLOOKUP(B90,[1]raw_data!$B$4:$C$343,2,FALSE)</f>
        <v>Public District</v>
      </c>
      <c r="B90" s="2" t="s">
        <v>2637</v>
      </c>
      <c r="C90" s="2" t="s">
        <v>1727</v>
      </c>
      <c r="D90" s="2" t="s">
        <v>958</v>
      </c>
      <c r="E90" s="2">
        <v>200</v>
      </c>
      <c r="F90" s="2" t="s">
        <v>1729</v>
      </c>
      <c r="G90" s="2" t="s">
        <v>1733</v>
      </c>
      <c r="H90" s="2">
        <v>1997</v>
      </c>
      <c r="I90" s="2" t="s">
        <v>1728</v>
      </c>
      <c r="J90" s="2" t="s">
        <v>1729</v>
      </c>
      <c r="K90" s="2" t="s">
        <v>1730</v>
      </c>
      <c r="L90" s="2" t="s">
        <v>1731</v>
      </c>
      <c r="M90" s="2" t="s">
        <v>1732</v>
      </c>
      <c r="N90" s="2" t="s">
        <v>16</v>
      </c>
      <c r="O90" s="2" t="s">
        <v>17</v>
      </c>
      <c r="P90" s="2" t="s">
        <v>17</v>
      </c>
      <c r="Q90" s="2" t="s">
        <v>17</v>
      </c>
      <c r="R90" s="2" t="s">
        <v>17</v>
      </c>
      <c r="S90" s="2" t="s">
        <v>17</v>
      </c>
      <c r="T90" s="3">
        <v>899995.75</v>
      </c>
    </row>
    <row r="91" spans="1:20" ht="168.75" x14ac:dyDescent="0.2">
      <c r="A91" s="2" t="str">
        <f>VLOOKUP(B91,[1]raw_data!$B$4:$C$343,2,FALSE)</f>
        <v>Public District</v>
      </c>
      <c r="B91" s="2" t="s">
        <v>2637</v>
      </c>
      <c r="C91" s="2" t="s">
        <v>1727</v>
      </c>
      <c r="D91" s="2" t="s">
        <v>958</v>
      </c>
      <c r="E91" s="2">
        <v>199</v>
      </c>
      <c r="F91" s="2" t="s">
        <v>1734</v>
      </c>
      <c r="G91" s="2" t="s">
        <v>1738</v>
      </c>
      <c r="H91" s="2">
        <v>3249</v>
      </c>
      <c r="I91" s="2" t="s">
        <v>1735</v>
      </c>
      <c r="J91" s="2" t="s">
        <v>1736</v>
      </c>
      <c r="K91" s="2" t="s">
        <v>1737</v>
      </c>
      <c r="L91" s="2" t="s">
        <v>1731</v>
      </c>
      <c r="M91" s="2" t="s">
        <v>1732</v>
      </c>
      <c r="N91" s="2" t="s">
        <v>17</v>
      </c>
      <c r="O91" s="2" t="s">
        <v>17</v>
      </c>
      <c r="P91" s="2" t="s">
        <v>17</v>
      </c>
      <c r="Q91" s="2" t="s">
        <v>17</v>
      </c>
      <c r="R91" s="2" t="s">
        <v>17</v>
      </c>
      <c r="S91" s="2" t="s">
        <v>17</v>
      </c>
      <c r="T91" s="3">
        <v>14009841</v>
      </c>
    </row>
    <row r="92" spans="1:20" ht="168.75" x14ac:dyDescent="0.2">
      <c r="A92" s="2" t="str">
        <f>VLOOKUP(B92,[1]raw_data!$B$4:$C$343,2,FALSE)</f>
        <v>Joint Vocational School District</v>
      </c>
      <c r="B92" s="2" t="s">
        <v>2668</v>
      </c>
      <c r="C92" s="2" t="s">
        <v>1984</v>
      </c>
      <c r="D92" s="2" t="s">
        <v>29</v>
      </c>
      <c r="E92" s="2">
        <v>186</v>
      </c>
      <c r="F92" s="2" t="s">
        <v>1985</v>
      </c>
      <c r="G92" s="2" t="s">
        <v>1990</v>
      </c>
      <c r="H92" s="2">
        <v>5500</v>
      </c>
      <c r="I92" s="2" t="s">
        <v>1986</v>
      </c>
      <c r="J92" s="2" t="s">
        <v>1984</v>
      </c>
      <c r="K92" s="2" t="s">
        <v>1987</v>
      </c>
      <c r="L92" s="2" t="s">
        <v>1988</v>
      </c>
      <c r="M92" s="2" t="s">
        <v>1989</v>
      </c>
      <c r="N92" s="2" t="s">
        <v>16</v>
      </c>
      <c r="O92" s="2" t="s">
        <v>17</v>
      </c>
      <c r="P92" s="2" t="s">
        <v>17</v>
      </c>
      <c r="Q92" s="2" t="s">
        <v>17</v>
      </c>
      <c r="R92" s="2" t="s">
        <v>16</v>
      </c>
      <c r="S92" s="2" t="s">
        <v>16</v>
      </c>
      <c r="T92" s="3">
        <v>932500</v>
      </c>
    </row>
    <row r="93" spans="1:20" ht="78.75" x14ac:dyDescent="0.2">
      <c r="A93" s="2" t="str">
        <f>VLOOKUP(B93,[1]raw_data!$B$4:$C$343,2,FALSE)</f>
        <v>Public District</v>
      </c>
      <c r="B93" s="2" t="s">
        <v>2482</v>
      </c>
      <c r="C93" s="2" t="s">
        <v>376</v>
      </c>
      <c r="D93" s="2" t="s">
        <v>178</v>
      </c>
      <c r="E93" s="2">
        <v>221</v>
      </c>
      <c r="F93" s="2" t="s">
        <v>2252</v>
      </c>
      <c r="G93" s="2" t="s">
        <v>382</v>
      </c>
      <c r="H93" s="2">
        <v>2420</v>
      </c>
      <c r="I93" s="2" t="s">
        <v>377</v>
      </c>
      <c r="J93" s="2" t="s">
        <v>378</v>
      </c>
      <c r="K93" s="2" t="s">
        <v>379</v>
      </c>
      <c r="L93" s="2" t="s">
        <v>380</v>
      </c>
      <c r="M93" s="2" t="s">
        <v>381</v>
      </c>
      <c r="N93" s="2" t="s">
        <v>17</v>
      </c>
      <c r="O93" s="2" t="s">
        <v>17</v>
      </c>
      <c r="P93" s="2" t="s">
        <v>17</v>
      </c>
      <c r="Q93" s="2" t="s">
        <v>17</v>
      </c>
      <c r="R93" s="2" t="s">
        <v>17</v>
      </c>
      <c r="S93" s="2" t="s">
        <v>16</v>
      </c>
      <c r="T93" s="3">
        <v>4767257.24</v>
      </c>
    </row>
    <row r="94" spans="1:20" ht="180" x14ac:dyDescent="0.2">
      <c r="A94" s="2" t="str">
        <f>VLOOKUP(B94,[1]raw_data!$B$4:$C$343,2,FALSE)</f>
        <v>Public District</v>
      </c>
      <c r="B94" s="2" t="s">
        <v>2483</v>
      </c>
      <c r="C94" s="2" t="s">
        <v>383</v>
      </c>
      <c r="D94" s="2" t="s">
        <v>74</v>
      </c>
      <c r="E94" s="2">
        <v>179</v>
      </c>
      <c r="F94" s="2" t="s">
        <v>384</v>
      </c>
      <c r="G94" s="2" t="s">
        <v>390</v>
      </c>
      <c r="H94" s="2">
        <v>1500</v>
      </c>
      <c r="I94" s="2" t="s">
        <v>385</v>
      </c>
      <c r="J94" s="2" t="s">
        <v>386</v>
      </c>
      <c r="K94" s="2" t="s">
        <v>387</v>
      </c>
      <c r="L94" s="2" t="s">
        <v>388</v>
      </c>
      <c r="M94" s="2" t="s">
        <v>389</v>
      </c>
      <c r="N94" s="2" t="s">
        <v>17</v>
      </c>
      <c r="O94" s="2" t="s">
        <v>16</v>
      </c>
      <c r="P94" s="2" t="s">
        <v>17</v>
      </c>
      <c r="Q94" s="2" t="s">
        <v>17</v>
      </c>
      <c r="R94" s="2" t="s">
        <v>17</v>
      </c>
      <c r="S94" s="2" t="s">
        <v>17</v>
      </c>
      <c r="T94" s="3">
        <v>2176344</v>
      </c>
    </row>
    <row r="95" spans="1:20" ht="168.75" x14ac:dyDescent="0.2">
      <c r="A95" s="2" t="str">
        <f>VLOOKUP(B95,[1]raw_data!$B$4:$C$343,2,FALSE)</f>
        <v>Public District</v>
      </c>
      <c r="B95" s="2" t="s">
        <v>2483</v>
      </c>
      <c r="C95" s="2" t="s">
        <v>383</v>
      </c>
      <c r="D95" s="2" t="s">
        <v>74</v>
      </c>
      <c r="E95" s="2">
        <v>180</v>
      </c>
      <c r="F95" s="2" t="s">
        <v>391</v>
      </c>
      <c r="G95" s="2" t="s">
        <v>396</v>
      </c>
      <c r="H95" s="2">
        <v>360</v>
      </c>
      <c r="I95" s="2" t="s">
        <v>392</v>
      </c>
      <c r="J95" s="2" t="s">
        <v>393</v>
      </c>
      <c r="K95" s="2" t="s">
        <v>394</v>
      </c>
      <c r="L95" s="2">
        <v>5138910222</v>
      </c>
      <c r="M95" s="2" t="s">
        <v>395</v>
      </c>
      <c r="N95" s="2" t="s">
        <v>16</v>
      </c>
      <c r="O95" s="2" t="s">
        <v>17</v>
      </c>
      <c r="P95" s="2" t="s">
        <v>17</v>
      </c>
      <c r="Q95" s="2" t="s">
        <v>17</v>
      </c>
      <c r="R95" s="2" t="s">
        <v>16</v>
      </c>
      <c r="S95" s="2" t="s">
        <v>16</v>
      </c>
      <c r="T95" s="3">
        <v>614000</v>
      </c>
    </row>
    <row r="96" spans="1:20" ht="90" x14ac:dyDescent="0.2">
      <c r="A96" s="2" t="str">
        <f>VLOOKUP(B96,[1]raw_data!$B$4:$C$343,2,FALSE)</f>
        <v>Public District</v>
      </c>
      <c r="B96" s="2" t="s">
        <v>2484</v>
      </c>
      <c r="C96" s="2" t="s">
        <v>397</v>
      </c>
      <c r="D96" s="2" t="s">
        <v>398</v>
      </c>
      <c r="E96" s="2">
        <v>265</v>
      </c>
      <c r="F96" s="2" t="s">
        <v>399</v>
      </c>
      <c r="G96" s="2" t="s">
        <v>405</v>
      </c>
      <c r="H96" s="2">
        <v>2565</v>
      </c>
      <c r="I96" s="2" t="s">
        <v>400</v>
      </c>
      <c r="J96" s="2" t="s">
        <v>401</v>
      </c>
      <c r="K96" s="2" t="s">
        <v>402</v>
      </c>
      <c r="L96" s="2" t="s">
        <v>403</v>
      </c>
      <c r="M96" s="2" t="s">
        <v>404</v>
      </c>
      <c r="N96" s="2" t="s">
        <v>16</v>
      </c>
      <c r="O96" s="2" t="s">
        <v>17</v>
      </c>
      <c r="P96" s="2" t="s">
        <v>17</v>
      </c>
      <c r="Q96" s="2" t="s">
        <v>16</v>
      </c>
      <c r="R96" s="2" t="s">
        <v>16</v>
      </c>
      <c r="S96" s="2" t="s">
        <v>16</v>
      </c>
      <c r="T96" s="3">
        <v>319678</v>
      </c>
    </row>
    <row r="97" spans="1:20" ht="112.5" x14ac:dyDescent="0.2">
      <c r="A97" s="2" t="str">
        <f>VLOOKUP(B97,[1]raw_data!$B$4:$C$343,2,FALSE)</f>
        <v>Public District</v>
      </c>
      <c r="B97" s="2" t="s">
        <v>2485</v>
      </c>
      <c r="C97" s="2" t="s">
        <v>406</v>
      </c>
      <c r="D97" s="2" t="s">
        <v>407</v>
      </c>
      <c r="E97" s="2">
        <v>208</v>
      </c>
      <c r="F97" s="2" t="s">
        <v>2253</v>
      </c>
      <c r="G97" s="2" t="s">
        <v>414</v>
      </c>
      <c r="H97" s="2">
        <v>6293</v>
      </c>
      <c r="I97" s="2" t="s">
        <v>409</v>
      </c>
      <c r="J97" s="2" t="s">
        <v>410</v>
      </c>
      <c r="K97" s="2" t="s">
        <v>411</v>
      </c>
      <c r="L97" s="2" t="s">
        <v>412</v>
      </c>
      <c r="M97" s="2" t="s">
        <v>413</v>
      </c>
      <c r="N97" s="2" t="s">
        <v>17</v>
      </c>
      <c r="O97" s="2" t="s">
        <v>17</v>
      </c>
      <c r="P97" s="2" t="s">
        <v>17</v>
      </c>
      <c r="Q97" s="2" t="s">
        <v>17</v>
      </c>
      <c r="R97" s="2" t="s">
        <v>16</v>
      </c>
      <c r="S97" s="2" t="s">
        <v>16</v>
      </c>
      <c r="T97" s="3">
        <v>9553796.4499999993</v>
      </c>
    </row>
    <row r="98" spans="1:20" ht="157.5" x14ac:dyDescent="0.2">
      <c r="A98" s="2" t="str">
        <f>VLOOKUP(B98,[1]raw_data!$B$4:$C$343,2,FALSE)</f>
        <v>Public District</v>
      </c>
      <c r="B98" s="2" t="s">
        <v>2486</v>
      </c>
      <c r="C98" s="2" t="s">
        <v>415</v>
      </c>
      <c r="D98" s="2" t="s">
        <v>59</v>
      </c>
      <c r="E98" s="2">
        <v>197</v>
      </c>
      <c r="F98" s="2" t="s">
        <v>2254</v>
      </c>
      <c r="G98" s="2" t="s">
        <v>421</v>
      </c>
      <c r="H98" s="2">
        <v>620</v>
      </c>
      <c r="I98" s="2" t="s">
        <v>416</v>
      </c>
      <c r="J98" s="2" t="s">
        <v>417</v>
      </c>
      <c r="K98" s="2" t="s">
        <v>418</v>
      </c>
      <c r="L98" s="2" t="s">
        <v>419</v>
      </c>
      <c r="M98" s="2" t="s">
        <v>420</v>
      </c>
      <c r="N98" s="2" t="s">
        <v>16</v>
      </c>
      <c r="O98" s="2" t="s">
        <v>17</v>
      </c>
      <c r="P98" s="2" t="s">
        <v>17</v>
      </c>
      <c r="Q98" s="2" t="s">
        <v>17</v>
      </c>
      <c r="R98" s="2" t="s">
        <v>17</v>
      </c>
      <c r="S98" s="2" t="s">
        <v>16</v>
      </c>
      <c r="T98" s="3">
        <v>511534.77</v>
      </c>
    </row>
    <row r="99" spans="1:20" ht="180" x14ac:dyDescent="0.2">
      <c r="A99" s="2" t="str">
        <f>VLOOKUP(B99,[1]raw_data!$B$4:$C$343,2,FALSE)</f>
        <v>Community School</v>
      </c>
      <c r="B99" s="2" t="s">
        <v>2464</v>
      </c>
      <c r="C99" s="2" t="s">
        <v>196</v>
      </c>
      <c r="D99" s="2" t="s">
        <v>11</v>
      </c>
      <c r="E99" s="2">
        <v>141</v>
      </c>
      <c r="F99" s="2" t="s">
        <v>2236</v>
      </c>
      <c r="G99" s="2" t="s">
        <v>202</v>
      </c>
      <c r="H99" s="2">
        <v>2300</v>
      </c>
      <c r="I99" s="2" t="s">
        <v>197</v>
      </c>
      <c r="J99" s="2" t="s">
        <v>198</v>
      </c>
      <c r="K99" s="2" t="s">
        <v>199</v>
      </c>
      <c r="L99" s="2" t="s">
        <v>200</v>
      </c>
      <c r="M99" s="2" t="s">
        <v>201</v>
      </c>
      <c r="N99" s="2" t="s">
        <v>17</v>
      </c>
      <c r="O99" s="2" t="s">
        <v>17</v>
      </c>
      <c r="P99" s="2" t="s">
        <v>17</v>
      </c>
      <c r="Q99" s="2" t="s">
        <v>17</v>
      </c>
      <c r="R99" s="2" t="s">
        <v>16</v>
      </c>
      <c r="S99" s="2" t="s">
        <v>16</v>
      </c>
      <c r="T99" s="3">
        <v>1797762</v>
      </c>
    </row>
    <row r="100" spans="1:20" ht="90" x14ac:dyDescent="0.2">
      <c r="A100" s="2" t="str">
        <f>VLOOKUP(B100,[1]raw_data!$B$4:$C$343,2,FALSE)</f>
        <v>Public District</v>
      </c>
      <c r="B100" s="2" t="s">
        <v>2580</v>
      </c>
      <c r="C100" s="2" t="s">
        <v>1270</v>
      </c>
      <c r="D100" s="2" t="s">
        <v>82</v>
      </c>
      <c r="E100" s="2">
        <v>122</v>
      </c>
      <c r="F100" s="2" t="s">
        <v>2335</v>
      </c>
      <c r="G100" s="2" t="s">
        <v>1276</v>
      </c>
      <c r="H100" s="2">
        <v>14800</v>
      </c>
      <c r="I100" s="2" t="s">
        <v>1271</v>
      </c>
      <c r="J100" s="2" t="s">
        <v>1272</v>
      </c>
      <c r="K100" s="2" t="s">
        <v>1273</v>
      </c>
      <c r="L100" s="2" t="s">
        <v>1274</v>
      </c>
      <c r="M100" s="2" t="s">
        <v>1275</v>
      </c>
      <c r="N100" s="2" t="s">
        <v>16</v>
      </c>
      <c r="O100" s="2" t="s">
        <v>17</v>
      </c>
      <c r="P100" s="2" t="s">
        <v>17</v>
      </c>
      <c r="Q100" s="2" t="s">
        <v>17</v>
      </c>
      <c r="R100" s="2" t="s">
        <v>17</v>
      </c>
      <c r="S100" s="2" t="s">
        <v>17</v>
      </c>
      <c r="T100" s="3">
        <v>996000</v>
      </c>
    </row>
    <row r="101" spans="1:20" ht="180" x14ac:dyDescent="0.2">
      <c r="A101" s="2" t="str">
        <f>VLOOKUP(B101,[1]raw_data!$B$4:$C$343,2,FALSE)</f>
        <v>Public District</v>
      </c>
      <c r="B101" s="2" t="s">
        <v>2580</v>
      </c>
      <c r="C101" s="2" t="s">
        <v>1270</v>
      </c>
      <c r="D101" s="2" t="s">
        <v>82</v>
      </c>
      <c r="E101" s="2">
        <v>123</v>
      </c>
      <c r="F101" s="2" t="s">
        <v>2336</v>
      </c>
      <c r="G101" s="2" t="s">
        <v>1281</v>
      </c>
      <c r="H101" s="2">
        <v>14800</v>
      </c>
      <c r="I101" s="2" t="s">
        <v>1277</v>
      </c>
      <c r="J101" s="2" t="s">
        <v>1278</v>
      </c>
      <c r="K101" s="2" t="s">
        <v>1273</v>
      </c>
      <c r="L101" s="2" t="s">
        <v>1279</v>
      </c>
      <c r="M101" s="2" t="s">
        <v>1280</v>
      </c>
      <c r="N101" s="2" t="s">
        <v>16</v>
      </c>
      <c r="O101" s="2" t="s">
        <v>17</v>
      </c>
      <c r="P101" s="2" t="s">
        <v>16</v>
      </c>
      <c r="Q101" s="2" t="s">
        <v>17</v>
      </c>
      <c r="R101" s="2" t="s">
        <v>16</v>
      </c>
      <c r="S101" s="2" t="s">
        <v>16</v>
      </c>
      <c r="T101" s="3">
        <v>555000</v>
      </c>
    </row>
    <row r="102" spans="1:20" ht="168.75" x14ac:dyDescent="0.2">
      <c r="A102" s="2" t="str">
        <f>VLOOKUP(B102,[1]raw_data!$B$4:$C$343,2,FALSE)</f>
        <v>Public District</v>
      </c>
      <c r="B102" s="2" t="s">
        <v>2557</v>
      </c>
      <c r="C102" s="2" t="s">
        <v>1051</v>
      </c>
      <c r="D102" s="2" t="s">
        <v>472</v>
      </c>
      <c r="E102" s="2">
        <v>242</v>
      </c>
      <c r="F102" s="2" t="s">
        <v>2310</v>
      </c>
      <c r="G102" s="2" t="s">
        <v>1057</v>
      </c>
      <c r="H102" s="2">
        <v>3582</v>
      </c>
      <c r="I102" s="2" t="s">
        <v>1052</v>
      </c>
      <c r="J102" s="2" t="s">
        <v>1053</v>
      </c>
      <c r="K102" s="2" t="s">
        <v>1054</v>
      </c>
      <c r="L102" s="2" t="s">
        <v>1055</v>
      </c>
      <c r="M102" s="2" t="s">
        <v>1056</v>
      </c>
      <c r="N102" s="2" t="s">
        <v>16</v>
      </c>
      <c r="O102" s="2" t="s">
        <v>16</v>
      </c>
      <c r="P102" s="2" t="s">
        <v>17</v>
      </c>
      <c r="Q102" s="2" t="s">
        <v>17</v>
      </c>
      <c r="R102" s="2" t="s">
        <v>17</v>
      </c>
      <c r="S102" s="2" t="s">
        <v>16</v>
      </c>
      <c r="T102" s="3">
        <v>822036.06</v>
      </c>
    </row>
    <row r="103" spans="1:20" ht="146.25" x14ac:dyDescent="0.2">
      <c r="A103" s="2" t="str">
        <f>VLOOKUP(B103,[1]raw_data!$B$4:$C$343,2,FALSE)</f>
        <v>Public District</v>
      </c>
      <c r="B103" s="2" t="s">
        <v>2598</v>
      </c>
      <c r="C103" s="2" t="s">
        <v>1420</v>
      </c>
      <c r="D103" s="2" t="s">
        <v>737</v>
      </c>
      <c r="E103" s="2">
        <v>154</v>
      </c>
      <c r="F103" s="2" t="s">
        <v>2355</v>
      </c>
      <c r="G103" s="2" t="s">
        <v>1426</v>
      </c>
      <c r="H103" s="2">
        <v>649</v>
      </c>
      <c r="I103" s="2" t="s">
        <v>1421</v>
      </c>
      <c r="J103" s="2" t="s">
        <v>1422</v>
      </c>
      <c r="K103" s="2" t="s">
        <v>1423</v>
      </c>
      <c r="L103" s="2" t="s">
        <v>1424</v>
      </c>
      <c r="M103" s="2" t="s">
        <v>1425</v>
      </c>
      <c r="N103" s="2" t="s">
        <v>16</v>
      </c>
      <c r="O103" s="2" t="s">
        <v>16</v>
      </c>
      <c r="P103" s="2" t="s">
        <v>17</v>
      </c>
      <c r="Q103" s="2" t="s">
        <v>16</v>
      </c>
      <c r="R103" s="2" t="s">
        <v>17</v>
      </c>
      <c r="S103" s="2" t="s">
        <v>16</v>
      </c>
      <c r="T103" s="3">
        <v>254859.46</v>
      </c>
    </row>
    <row r="104" spans="1:20" ht="180" x14ac:dyDescent="0.2">
      <c r="A104" s="2" t="str">
        <f>VLOOKUP(B104,[1]raw_data!$B$4:$C$343,2,FALSE)</f>
        <v>Community School</v>
      </c>
      <c r="B104" s="2" t="s">
        <v>2688</v>
      </c>
      <c r="C104" s="2" t="s">
        <v>2140</v>
      </c>
      <c r="D104" s="2" t="s">
        <v>82</v>
      </c>
      <c r="E104" s="2">
        <v>134</v>
      </c>
      <c r="F104" s="2" t="s">
        <v>2426</v>
      </c>
      <c r="G104" s="2" t="s">
        <v>2146</v>
      </c>
      <c r="H104" s="2">
        <v>13075</v>
      </c>
      <c r="I104" s="2" t="s">
        <v>2141</v>
      </c>
      <c r="J104" s="2" t="s">
        <v>2142</v>
      </c>
      <c r="K104" s="2" t="s">
        <v>2143</v>
      </c>
      <c r="L104" s="2" t="s">
        <v>2144</v>
      </c>
      <c r="M104" s="2" t="s">
        <v>2145</v>
      </c>
      <c r="N104" s="2" t="s">
        <v>17</v>
      </c>
      <c r="O104" s="2" t="s">
        <v>17</v>
      </c>
      <c r="P104" s="2" t="s">
        <v>17</v>
      </c>
      <c r="Q104" s="2" t="s">
        <v>16</v>
      </c>
      <c r="R104" s="2" t="s">
        <v>16</v>
      </c>
      <c r="S104" s="2" t="s">
        <v>17</v>
      </c>
      <c r="T104" s="3">
        <v>482523</v>
      </c>
    </row>
    <row r="105" spans="1:20" ht="168.75" x14ac:dyDescent="0.2">
      <c r="A105" s="2" t="str">
        <f>VLOOKUP(B105,[1]raw_data!$B$4:$C$343,2,FALSE)</f>
        <v>Community School</v>
      </c>
      <c r="B105" s="2" t="s">
        <v>2688</v>
      </c>
      <c r="C105" s="2" t="s">
        <v>2140</v>
      </c>
      <c r="D105" s="2" t="s">
        <v>82</v>
      </c>
      <c r="E105" s="2">
        <v>133</v>
      </c>
      <c r="F105" s="2" t="s">
        <v>2427</v>
      </c>
      <c r="G105" s="2" t="s">
        <v>2150</v>
      </c>
      <c r="H105" s="2">
        <v>700</v>
      </c>
      <c r="I105" s="2" t="s">
        <v>2141</v>
      </c>
      <c r="J105" s="2" t="s">
        <v>2147</v>
      </c>
      <c r="K105" s="2" t="s">
        <v>2148</v>
      </c>
      <c r="L105" s="2" t="s">
        <v>2149</v>
      </c>
      <c r="M105" s="2" t="s">
        <v>2145</v>
      </c>
      <c r="N105" s="2" t="s">
        <v>16</v>
      </c>
      <c r="O105" s="2" t="s">
        <v>17</v>
      </c>
      <c r="P105" s="2" t="s">
        <v>17</v>
      </c>
      <c r="Q105" s="2" t="s">
        <v>16</v>
      </c>
      <c r="R105" s="2" t="s">
        <v>16</v>
      </c>
      <c r="S105" s="2" t="s">
        <v>16</v>
      </c>
      <c r="T105" s="3">
        <v>905885</v>
      </c>
    </row>
    <row r="106" spans="1:20" ht="180" x14ac:dyDescent="0.2">
      <c r="A106" s="2" t="str">
        <f>VLOOKUP(B106,[1]raw_data!$B$4:$C$343,2,FALSE)</f>
        <v>Public District</v>
      </c>
      <c r="B106" s="2" t="s">
        <v>2549</v>
      </c>
      <c r="C106" s="2" t="s">
        <v>978</v>
      </c>
      <c r="D106" s="2" t="s">
        <v>59</v>
      </c>
      <c r="E106" s="2">
        <v>219</v>
      </c>
      <c r="F106" s="2" t="s">
        <v>2302</v>
      </c>
      <c r="G106" s="2" t="s">
        <v>984</v>
      </c>
      <c r="H106" s="2">
        <v>2600</v>
      </c>
      <c r="I106" s="2" t="s">
        <v>979</v>
      </c>
      <c r="J106" s="2" t="s">
        <v>980</v>
      </c>
      <c r="K106" s="2" t="s">
        <v>981</v>
      </c>
      <c r="L106" s="2" t="s">
        <v>982</v>
      </c>
      <c r="M106" s="2" t="s">
        <v>983</v>
      </c>
      <c r="N106" s="2" t="s">
        <v>16</v>
      </c>
      <c r="O106" s="2" t="s">
        <v>17</v>
      </c>
      <c r="P106" s="2" t="s">
        <v>16</v>
      </c>
      <c r="Q106" s="2" t="s">
        <v>17</v>
      </c>
      <c r="R106" s="2" t="s">
        <v>16</v>
      </c>
      <c r="S106" s="2" t="s">
        <v>17</v>
      </c>
      <c r="T106" s="3">
        <v>789202.2</v>
      </c>
    </row>
    <row r="107" spans="1:20" ht="78.75" x14ac:dyDescent="0.2">
      <c r="A107" s="2" t="str">
        <f>VLOOKUP(B107,[1]raw_data!$B$4:$C$343,2,FALSE)</f>
        <v>Public District</v>
      </c>
      <c r="B107" s="2" t="s">
        <v>2487</v>
      </c>
      <c r="C107" s="2" t="s">
        <v>422</v>
      </c>
      <c r="D107" s="2" t="s">
        <v>423</v>
      </c>
      <c r="E107" s="2">
        <v>5</v>
      </c>
      <c r="F107" s="2" t="s">
        <v>424</v>
      </c>
      <c r="G107" s="2" t="s">
        <v>430</v>
      </c>
      <c r="H107" s="2">
        <v>6800</v>
      </c>
      <c r="I107" s="2" t="s">
        <v>425</v>
      </c>
      <c r="J107" s="2" t="s">
        <v>426</v>
      </c>
      <c r="K107" s="2" t="s">
        <v>427</v>
      </c>
      <c r="L107" s="2" t="s">
        <v>428</v>
      </c>
      <c r="M107" s="2" t="s">
        <v>429</v>
      </c>
      <c r="N107" s="2" t="s">
        <v>16</v>
      </c>
      <c r="O107" s="2" t="s">
        <v>17</v>
      </c>
      <c r="P107" s="2" t="s">
        <v>17</v>
      </c>
      <c r="Q107" s="2" t="s">
        <v>17</v>
      </c>
      <c r="R107" s="2" t="s">
        <v>17</v>
      </c>
      <c r="S107" s="2" t="s">
        <v>16</v>
      </c>
      <c r="T107" s="3">
        <v>904760</v>
      </c>
    </row>
    <row r="108" spans="1:20" ht="146.25" x14ac:dyDescent="0.2">
      <c r="A108" s="2" t="str">
        <f>VLOOKUP(B108,[1]raw_data!$B$4:$C$343,2,FALSE)</f>
        <v>Educational Service Center</v>
      </c>
      <c r="B108" s="2" t="s">
        <v>2576</v>
      </c>
      <c r="C108" s="2" t="s">
        <v>1223</v>
      </c>
      <c r="D108" s="2" t="s">
        <v>82</v>
      </c>
      <c r="E108" s="2">
        <v>327</v>
      </c>
      <c r="F108" s="2" t="s">
        <v>1224</v>
      </c>
      <c r="G108" s="2" t="s">
        <v>1229</v>
      </c>
      <c r="H108" s="2">
        <v>3300</v>
      </c>
      <c r="I108" s="2" t="s">
        <v>1225</v>
      </c>
      <c r="J108" s="2" t="s">
        <v>1223</v>
      </c>
      <c r="K108" s="2" t="s">
        <v>1226</v>
      </c>
      <c r="L108" s="2" t="s">
        <v>1227</v>
      </c>
      <c r="M108" s="2" t="s">
        <v>1228</v>
      </c>
      <c r="N108" s="2" t="s">
        <v>17</v>
      </c>
      <c r="O108" s="2" t="s">
        <v>17</v>
      </c>
      <c r="P108" s="2" t="s">
        <v>17</v>
      </c>
      <c r="Q108" s="2" t="s">
        <v>17</v>
      </c>
      <c r="R108" s="2" t="s">
        <v>17</v>
      </c>
      <c r="S108" s="2" t="s">
        <v>17</v>
      </c>
      <c r="T108" s="3">
        <v>13523301</v>
      </c>
    </row>
    <row r="109" spans="1:20" ht="168.75" x14ac:dyDescent="0.2">
      <c r="A109" s="2" t="str">
        <f>VLOOKUP(B109,[1]raw_data!$B$4:$C$343,2,FALSE)</f>
        <v>Educational Service Center</v>
      </c>
      <c r="B109" s="2" t="s">
        <v>2576</v>
      </c>
      <c r="C109" s="2" t="s">
        <v>1223</v>
      </c>
      <c r="D109" s="2" t="s">
        <v>82</v>
      </c>
      <c r="E109" s="2">
        <v>331</v>
      </c>
      <c r="F109" s="2" t="s">
        <v>2328</v>
      </c>
      <c r="G109" s="2" t="s">
        <v>1235</v>
      </c>
      <c r="H109" s="2">
        <v>21649</v>
      </c>
      <c r="I109" s="2" t="s">
        <v>1230</v>
      </c>
      <c r="J109" s="2" t="s">
        <v>1231</v>
      </c>
      <c r="K109" s="2" t="s">
        <v>1232</v>
      </c>
      <c r="L109" s="2" t="s">
        <v>1233</v>
      </c>
      <c r="M109" s="2" t="s">
        <v>1234</v>
      </c>
      <c r="N109" s="2" t="s">
        <v>17</v>
      </c>
      <c r="O109" s="2" t="s">
        <v>16</v>
      </c>
      <c r="P109" s="2" t="s">
        <v>16</v>
      </c>
      <c r="Q109" s="2" t="s">
        <v>16</v>
      </c>
      <c r="R109" s="2" t="s">
        <v>16</v>
      </c>
      <c r="S109" s="2" t="s">
        <v>17</v>
      </c>
      <c r="T109" s="3">
        <v>780489.02</v>
      </c>
    </row>
    <row r="110" spans="1:20" ht="101.25" x14ac:dyDescent="0.2">
      <c r="A110" s="2" t="str">
        <f>VLOOKUP(B110,[1]raw_data!$B$4:$C$343,2,FALSE)</f>
        <v>Educational Service Center</v>
      </c>
      <c r="B110" s="2" t="s">
        <v>2576</v>
      </c>
      <c r="C110" s="2" t="s">
        <v>1223</v>
      </c>
      <c r="D110" s="2" t="s">
        <v>82</v>
      </c>
      <c r="E110" s="2">
        <v>329</v>
      </c>
      <c r="F110" s="2" t="s">
        <v>2329</v>
      </c>
      <c r="G110" s="2" t="s">
        <v>1240</v>
      </c>
      <c r="H110" s="2">
        <v>5391</v>
      </c>
      <c r="I110" s="2" t="s">
        <v>1236</v>
      </c>
      <c r="J110" s="2" t="s">
        <v>1231</v>
      </c>
      <c r="K110" s="2" t="s">
        <v>1237</v>
      </c>
      <c r="L110" s="2" t="s">
        <v>1238</v>
      </c>
      <c r="M110" s="2" t="s">
        <v>1239</v>
      </c>
      <c r="N110" s="2" t="s">
        <v>17</v>
      </c>
      <c r="O110" s="2" t="s">
        <v>17</v>
      </c>
      <c r="P110" s="2" t="s">
        <v>17</v>
      </c>
      <c r="Q110" s="2" t="s">
        <v>17</v>
      </c>
      <c r="R110" s="2" t="s">
        <v>17</v>
      </c>
      <c r="S110" s="2" t="s">
        <v>17</v>
      </c>
      <c r="T110" s="3">
        <v>8950062</v>
      </c>
    </row>
    <row r="111" spans="1:20" ht="112.5" x14ac:dyDescent="0.2">
      <c r="A111" s="2" t="str">
        <f>VLOOKUP(B111,[1]raw_data!$B$4:$C$343,2,FALSE)</f>
        <v>Educational Service Center</v>
      </c>
      <c r="B111" s="2" t="s">
        <v>2576</v>
      </c>
      <c r="C111" s="2" t="s">
        <v>1223</v>
      </c>
      <c r="D111" s="2" t="s">
        <v>82</v>
      </c>
      <c r="E111" s="2">
        <v>330</v>
      </c>
      <c r="F111" s="2" t="s">
        <v>2330</v>
      </c>
      <c r="G111" s="2" t="s">
        <v>1245</v>
      </c>
      <c r="H111" s="2">
        <v>250669</v>
      </c>
      <c r="I111" s="2" t="s">
        <v>1241</v>
      </c>
      <c r="J111" s="2" t="s">
        <v>1242</v>
      </c>
      <c r="K111" s="2" t="s">
        <v>1243</v>
      </c>
      <c r="L111" s="2">
        <v>6144100736</v>
      </c>
      <c r="M111" s="2" t="s">
        <v>1244</v>
      </c>
      <c r="N111" s="2" t="s">
        <v>16</v>
      </c>
      <c r="O111" s="2" t="s">
        <v>16</v>
      </c>
      <c r="P111" s="2" t="s">
        <v>16</v>
      </c>
      <c r="Q111" s="2" t="s">
        <v>17</v>
      </c>
      <c r="R111" s="2" t="s">
        <v>16</v>
      </c>
      <c r="S111" s="2" t="s">
        <v>16</v>
      </c>
      <c r="T111" s="3">
        <v>379109.2</v>
      </c>
    </row>
    <row r="112" spans="1:20" ht="123.75" x14ac:dyDescent="0.2">
      <c r="A112" s="2" t="str">
        <f>VLOOKUP(B112,[1]raw_data!$B$4:$C$343,2,FALSE)</f>
        <v>Educational Service Center</v>
      </c>
      <c r="B112" s="2" t="s">
        <v>2576</v>
      </c>
      <c r="C112" s="2" t="s">
        <v>1223</v>
      </c>
      <c r="D112" s="2" t="s">
        <v>82</v>
      </c>
      <c r="E112" s="2">
        <v>328</v>
      </c>
      <c r="F112" s="2" t="s">
        <v>2331</v>
      </c>
      <c r="G112" s="2" t="s">
        <v>1249</v>
      </c>
      <c r="H112" s="2">
        <v>99497</v>
      </c>
      <c r="I112" s="2" t="s">
        <v>1246</v>
      </c>
      <c r="J112" s="2" t="s">
        <v>1231</v>
      </c>
      <c r="K112" s="2" t="s">
        <v>1247</v>
      </c>
      <c r="L112" s="2" t="s">
        <v>1248</v>
      </c>
      <c r="M112" s="2" t="s">
        <v>1228</v>
      </c>
      <c r="N112" s="2" t="s">
        <v>17</v>
      </c>
      <c r="O112" s="2" t="s">
        <v>17</v>
      </c>
      <c r="P112" s="2" t="s">
        <v>17</v>
      </c>
      <c r="Q112" s="2" t="s">
        <v>17</v>
      </c>
      <c r="R112" s="2" t="s">
        <v>17</v>
      </c>
      <c r="S112" s="2" t="s">
        <v>17</v>
      </c>
      <c r="T112" s="3">
        <v>8878249.3800000008</v>
      </c>
    </row>
    <row r="113" spans="1:20" ht="56.25" x14ac:dyDescent="0.2">
      <c r="A113" s="2" t="str">
        <f>VLOOKUP(B113,[1]raw_data!$B$4:$C$343,2,FALSE)</f>
        <v>Educational Service Center</v>
      </c>
      <c r="B113" s="2" t="s">
        <v>2569</v>
      </c>
      <c r="C113" s="2" t="s">
        <v>1153</v>
      </c>
      <c r="D113" s="2" t="s">
        <v>29</v>
      </c>
      <c r="E113" s="2">
        <v>46</v>
      </c>
      <c r="F113" s="2" t="s">
        <v>2322</v>
      </c>
      <c r="G113" s="2" t="s">
        <v>1158</v>
      </c>
      <c r="H113" s="2">
        <v>17197</v>
      </c>
      <c r="I113" s="2" t="s">
        <v>1154</v>
      </c>
      <c r="J113" s="2" t="s">
        <v>1153</v>
      </c>
      <c r="K113" s="2" t="s">
        <v>1155</v>
      </c>
      <c r="L113" s="2" t="s">
        <v>1156</v>
      </c>
      <c r="M113" s="2" t="s">
        <v>1157</v>
      </c>
      <c r="N113" s="2" t="s">
        <v>17</v>
      </c>
      <c r="O113" s="2" t="s">
        <v>17</v>
      </c>
      <c r="P113" s="2" t="s">
        <v>17</v>
      </c>
      <c r="Q113" s="2" t="s">
        <v>16</v>
      </c>
      <c r="R113" s="2" t="s">
        <v>17</v>
      </c>
      <c r="S113" s="2" t="s">
        <v>17</v>
      </c>
      <c r="T113" s="3">
        <v>14389806.460000001</v>
      </c>
    </row>
    <row r="114" spans="1:20" ht="90" x14ac:dyDescent="0.2">
      <c r="A114" s="2" t="str">
        <f>VLOOKUP(B114,[1]raw_data!$B$4:$C$343,2,FALSE)</f>
        <v>Educational Service Center</v>
      </c>
      <c r="B114" s="2" t="s">
        <v>2569</v>
      </c>
      <c r="C114" s="2" t="s">
        <v>1153</v>
      </c>
      <c r="D114" s="2" t="s">
        <v>29</v>
      </c>
      <c r="E114" s="2">
        <v>45</v>
      </c>
      <c r="F114" s="2" t="s">
        <v>1159</v>
      </c>
      <c r="G114" s="2" t="s">
        <v>1162</v>
      </c>
      <c r="H114" s="2">
        <v>90358</v>
      </c>
      <c r="I114" s="2" t="s">
        <v>1160</v>
      </c>
      <c r="J114" s="2" t="s">
        <v>1153</v>
      </c>
      <c r="K114" s="2" t="s">
        <v>1155</v>
      </c>
      <c r="L114" s="2" t="s">
        <v>1156</v>
      </c>
      <c r="M114" s="2" t="s">
        <v>1161</v>
      </c>
      <c r="N114" s="2" t="s">
        <v>17</v>
      </c>
      <c r="O114" s="2" t="s">
        <v>17</v>
      </c>
      <c r="P114" s="2" t="s">
        <v>16</v>
      </c>
      <c r="Q114" s="2" t="s">
        <v>16</v>
      </c>
      <c r="R114" s="2" t="s">
        <v>16</v>
      </c>
      <c r="S114" s="2" t="s">
        <v>17</v>
      </c>
      <c r="T114" s="3">
        <v>8639689.8300000001</v>
      </c>
    </row>
    <row r="115" spans="1:20" ht="123.75" x14ac:dyDescent="0.2">
      <c r="A115" s="2" t="str">
        <f>VLOOKUP(B115,[1]raw_data!$B$4:$C$343,2,FALSE)</f>
        <v>Educational Service Center</v>
      </c>
      <c r="B115" s="2" t="s">
        <v>2613</v>
      </c>
      <c r="C115" s="2" t="s">
        <v>1531</v>
      </c>
      <c r="D115" s="2" t="s">
        <v>11</v>
      </c>
      <c r="E115" s="2">
        <v>140</v>
      </c>
      <c r="F115" s="2" t="s">
        <v>2365</v>
      </c>
      <c r="G115" s="2" t="s">
        <v>1537</v>
      </c>
      <c r="H115" s="2">
        <v>3721</v>
      </c>
      <c r="I115" s="2" t="s">
        <v>1532</v>
      </c>
      <c r="J115" s="2" t="s">
        <v>1533</v>
      </c>
      <c r="K115" s="2" t="s">
        <v>1534</v>
      </c>
      <c r="L115" s="2" t="s">
        <v>1535</v>
      </c>
      <c r="M115" s="2" t="s">
        <v>1536</v>
      </c>
      <c r="N115" s="2" t="s">
        <v>17</v>
      </c>
      <c r="O115" s="2" t="s">
        <v>17</v>
      </c>
      <c r="P115" s="2" t="s">
        <v>17</v>
      </c>
      <c r="Q115" s="2" t="s">
        <v>17</v>
      </c>
      <c r="R115" s="2" t="s">
        <v>16</v>
      </c>
      <c r="S115" s="2" t="s">
        <v>16</v>
      </c>
      <c r="T115" s="3">
        <v>536855.69999999995</v>
      </c>
    </row>
    <row r="116" spans="1:20" ht="180" x14ac:dyDescent="0.2">
      <c r="A116" s="2" t="str">
        <f>VLOOKUP(B116,[1]raw_data!$B$4:$C$343,2,FALSE)</f>
        <v>Public District</v>
      </c>
      <c r="B116" s="2" t="s">
        <v>2488</v>
      </c>
      <c r="C116" s="2" t="s">
        <v>431</v>
      </c>
      <c r="D116" s="2" t="s">
        <v>432</v>
      </c>
      <c r="E116" s="2">
        <v>43</v>
      </c>
      <c r="F116" s="2" t="s">
        <v>2255</v>
      </c>
      <c r="G116" s="2" t="s">
        <v>438</v>
      </c>
      <c r="H116" s="2">
        <v>6564</v>
      </c>
      <c r="I116" s="2" t="s">
        <v>433</v>
      </c>
      <c r="J116" s="2" t="s">
        <v>434</v>
      </c>
      <c r="K116" s="2" t="s">
        <v>435</v>
      </c>
      <c r="L116" s="2" t="s">
        <v>436</v>
      </c>
      <c r="M116" s="2" t="s">
        <v>437</v>
      </c>
      <c r="N116" s="2" t="s">
        <v>17</v>
      </c>
      <c r="O116" s="2" t="s">
        <v>17</v>
      </c>
      <c r="P116" s="2" t="s">
        <v>17</v>
      </c>
      <c r="Q116" s="2" t="s">
        <v>17</v>
      </c>
      <c r="R116" s="2" t="s">
        <v>17</v>
      </c>
      <c r="S116" s="2" t="s">
        <v>17</v>
      </c>
      <c r="T116" s="3">
        <v>2829388.37</v>
      </c>
    </row>
    <row r="117" spans="1:20" ht="168.75" x14ac:dyDescent="0.2">
      <c r="A117" s="2" t="str">
        <f>VLOOKUP(B117,[1]raw_data!$B$4:$C$343,2,FALSE)</f>
        <v>Educational Service Center</v>
      </c>
      <c r="B117" s="2" t="s">
        <v>2574</v>
      </c>
      <c r="C117" s="2" t="s">
        <v>1193</v>
      </c>
      <c r="D117" s="2" t="s">
        <v>502</v>
      </c>
      <c r="E117" s="2">
        <v>63</v>
      </c>
      <c r="F117" s="2" t="s">
        <v>2325</v>
      </c>
      <c r="G117" s="2" t="s">
        <v>1198</v>
      </c>
      <c r="H117" s="2">
        <v>4500</v>
      </c>
      <c r="I117" s="2" t="s">
        <v>1194</v>
      </c>
      <c r="J117" s="2" t="s">
        <v>1193</v>
      </c>
      <c r="K117" s="2" t="s">
        <v>1195</v>
      </c>
      <c r="L117" s="2" t="s">
        <v>1196</v>
      </c>
      <c r="M117" s="2" t="s">
        <v>1197</v>
      </c>
      <c r="N117" s="2" t="s">
        <v>17</v>
      </c>
      <c r="O117" s="2" t="s">
        <v>17</v>
      </c>
      <c r="P117" s="2" t="s">
        <v>17</v>
      </c>
      <c r="Q117" s="2" t="s">
        <v>17</v>
      </c>
      <c r="R117" s="2" t="s">
        <v>17</v>
      </c>
      <c r="S117" s="2" t="s">
        <v>17</v>
      </c>
      <c r="T117" s="3">
        <v>1756014</v>
      </c>
    </row>
    <row r="118" spans="1:20" ht="123.75" x14ac:dyDescent="0.2">
      <c r="A118" s="2" t="str">
        <f>VLOOKUP(B118,[1]raw_data!$B$4:$C$343,2,FALSE)</f>
        <v>Educational Service Center</v>
      </c>
      <c r="B118" s="2" t="s">
        <v>2574</v>
      </c>
      <c r="C118" s="2" t="s">
        <v>1193</v>
      </c>
      <c r="D118" s="2" t="s">
        <v>502</v>
      </c>
      <c r="E118" s="2">
        <v>64</v>
      </c>
      <c r="F118" s="2" t="s">
        <v>1199</v>
      </c>
      <c r="G118" s="2" t="s">
        <v>1204</v>
      </c>
      <c r="H118" s="2">
        <v>27556</v>
      </c>
      <c r="I118" s="2" t="s">
        <v>1200</v>
      </c>
      <c r="J118" s="2" t="s">
        <v>1201</v>
      </c>
      <c r="K118" s="2" t="s">
        <v>1202</v>
      </c>
      <c r="L118" s="2" t="s">
        <v>1203</v>
      </c>
      <c r="M118" s="2" t="s">
        <v>1197</v>
      </c>
      <c r="N118" s="2" t="s">
        <v>17</v>
      </c>
      <c r="O118" s="2" t="s">
        <v>17</v>
      </c>
      <c r="P118" s="2" t="s">
        <v>17</v>
      </c>
      <c r="Q118" s="2" t="s">
        <v>17</v>
      </c>
      <c r="R118" s="2" t="s">
        <v>17</v>
      </c>
      <c r="S118" s="2" t="s">
        <v>17</v>
      </c>
      <c r="T118" s="3">
        <v>7771873</v>
      </c>
    </row>
    <row r="119" spans="1:20" ht="180" x14ac:dyDescent="0.2">
      <c r="A119" s="2" t="str">
        <f>VLOOKUP(B119,[1]raw_data!$B$4:$C$343,2,FALSE)</f>
        <v>Educational Service Center</v>
      </c>
      <c r="B119" s="2" t="s">
        <v>2574</v>
      </c>
      <c r="C119" s="2" t="s">
        <v>1193</v>
      </c>
      <c r="D119" s="2" t="s">
        <v>502</v>
      </c>
      <c r="E119" s="2">
        <v>62</v>
      </c>
      <c r="F119" s="2" t="s">
        <v>2326</v>
      </c>
      <c r="G119" s="2" t="s">
        <v>1209</v>
      </c>
      <c r="H119" s="2">
        <v>25018</v>
      </c>
      <c r="I119" s="2" t="s">
        <v>1205</v>
      </c>
      <c r="J119" s="2" t="s">
        <v>1206</v>
      </c>
      <c r="K119" s="2" t="s">
        <v>1207</v>
      </c>
      <c r="L119" s="2" t="s">
        <v>1208</v>
      </c>
      <c r="M119" s="2" t="s">
        <v>1197</v>
      </c>
      <c r="N119" s="2" t="s">
        <v>17</v>
      </c>
      <c r="O119" s="2" t="s">
        <v>17</v>
      </c>
      <c r="P119" s="2" t="s">
        <v>17</v>
      </c>
      <c r="Q119" s="2" t="s">
        <v>17</v>
      </c>
      <c r="R119" s="2" t="s">
        <v>17</v>
      </c>
      <c r="S119" s="2" t="s">
        <v>17</v>
      </c>
      <c r="T119" s="3">
        <v>8312431</v>
      </c>
    </row>
    <row r="120" spans="1:20" ht="101.25" x14ac:dyDescent="0.2">
      <c r="A120" s="2" t="str">
        <f>VLOOKUP(B120,[1]raw_data!$B$4:$C$343,2,FALSE)</f>
        <v>Public District</v>
      </c>
      <c r="B120" s="2" t="s">
        <v>2648</v>
      </c>
      <c r="C120" s="2" t="s">
        <v>1819</v>
      </c>
      <c r="D120" s="2" t="s">
        <v>720</v>
      </c>
      <c r="E120" s="2">
        <v>44</v>
      </c>
      <c r="F120" s="2" t="s">
        <v>2394</v>
      </c>
      <c r="G120" s="2" t="s">
        <v>1825</v>
      </c>
      <c r="H120" s="2">
        <v>350</v>
      </c>
      <c r="I120" s="2" t="s">
        <v>1820</v>
      </c>
      <c r="J120" s="2" t="s">
        <v>1821</v>
      </c>
      <c r="K120" s="2" t="s">
        <v>1822</v>
      </c>
      <c r="L120" s="2" t="s">
        <v>1823</v>
      </c>
      <c r="M120" s="2" t="s">
        <v>1824</v>
      </c>
      <c r="N120" s="2" t="s">
        <v>16</v>
      </c>
      <c r="O120" s="2" t="s">
        <v>16</v>
      </c>
      <c r="P120" s="2" t="s">
        <v>17</v>
      </c>
      <c r="Q120" s="2" t="s">
        <v>17</v>
      </c>
      <c r="R120" s="2" t="s">
        <v>16</v>
      </c>
      <c r="S120" s="2" t="s">
        <v>16</v>
      </c>
      <c r="T120" s="3">
        <v>319000</v>
      </c>
    </row>
    <row r="121" spans="1:20" ht="78.75" x14ac:dyDescent="0.2">
      <c r="A121" s="2" t="str">
        <f>VLOOKUP(B121,[1]raw_data!$B$4:$C$343,2,FALSE)</f>
        <v>Public District</v>
      </c>
      <c r="B121" s="2" t="s">
        <v>2650</v>
      </c>
      <c r="C121" s="2" t="s">
        <v>1840</v>
      </c>
      <c r="D121" s="2" t="s">
        <v>204</v>
      </c>
      <c r="E121" s="2">
        <v>91</v>
      </c>
      <c r="F121" s="2" t="s">
        <v>1841</v>
      </c>
      <c r="G121" s="2" t="s">
        <v>1847</v>
      </c>
      <c r="H121" s="2">
        <v>1635</v>
      </c>
      <c r="I121" s="2" t="s">
        <v>1842</v>
      </c>
      <c r="J121" s="2" t="s">
        <v>1843</v>
      </c>
      <c r="K121" s="2" t="s">
        <v>1844</v>
      </c>
      <c r="L121" s="2" t="s">
        <v>1845</v>
      </c>
      <c r="M121" s="2" t="s">
        <v>1846</v>
      </c>
      <c r="N121" s="2" t="s">
        <v>16</v>
      </c>
      <c r="O121" s="2" t="s">
        <v>16</v>
      </c>
      <c r="P121" s="2" t="s">
        <v>17</v>
      </c>
      <c r="Q121" s="2" t="s">
        <v>17</v>
      </c>
      <c r="R121" s="2" t="s">
        <v>17</v>
      </c>
      <c r="S121" s="2" t="s">
        <v>16</v>
      </c>
      <c r="T121" s="3">
        <v>1000000</v>
      </c>
    </row>
    <row r="122" spans="1:20" ht="112.5" x14ac:dyDescent="0.2">
      <c r="A122" s="2" t="str">
        <f>VLOOKUP(B122,[1]raw_data!$B$4:$C$343,2,FALSE)</f>
        <v>Public District</v>
      </c>
      <c r="B122" s="2" t="s">
        <v>2538</v>
      </c>
      <c r="C122" s="2" t="s">
        <v>878</v>
      </c>
      <c r="D122" s="2" t="s">
        <v>811</v>
      </c>
      <c r="E122" s="2">
        <v>128</v>
      </c>
      <c r="F122" s="2" t="s">
        <v>2293</v>
      </c>
      <c r="G122" s="2" t="s">
        <v>884</v>
      </c>
      <c r="H122" s="2">
        <v>600</v>
      </c>
      <c r="I122" s="2" t="s">
        <v>879</v>
      </c>
      <c r="J122" s="2" t="s">
        <v>880</v>
      </c>
      <c r="K122" s="2" t="s">
        <v>881</v>
      </c>
      <c r="L122" s="2" t="s">
        <v>882</v>
      </c>
      <c r="M122" s="2" t="s">
        <v>883</v>
      </c>
      <c r="N122" s="2" t="s">
        <v>16</v>
      </c>
      <c r="O122" s="2" t="s">
        <v>17</v>
      </c>
      <c r="P122" s="2" t="s">
        <v>17</v>
      </c>
      <c r="Q122" s="2" t="s">
        <v>17</v>
      </c>
      <c r="R122" s="2" t="s">
        <v>17</v>
      </c>
      <c r="S122" s="2" t="s">
        <v>16</v>
      </c>
      <c r="T122" s="3">
        <v>602850</v>
      </c>
    </row>
    <row r="123" spans="1:20" ht="180" x14ac:dyDescent="0.2">
      <c r="A123" s="2" t="str">
        <f>VLOOKUP(B123,[1]raw_data!$B$4:$C$343,2,FALSE)</f>
        <v>Public District</v>
      </c>
      <c r="B123" s="2" t="s">
        <v>2581</v>
      </c>
      <c r="C123" s="2" t="s">
        <v>1282</v>
      </c>
      <c r="D123" s="2" t="s">
        <v>1283</v>
      </c>
      <c r="E123" s="2">
        <v>100</v>
      </c>
      <c r="F123" s="2" t="s">
        <v>1284</v>
      </c>
      <c r="G123" s="2" t="s">
        <v>1290</v>
      </c>
      <c r="H123" s="2">
        <v>439</v>
      </c>
      <c r="I123" s="2" t="s">
        <v>1285</v>
      </c>
      <c r="J123" s="2" t="s">
        <v>1286</v>
      </c>
      <c r="K123" s="2" t="s">
        <v>1287</v>
      </c>
      <c r="L123" s="2" t="s">
        <v>1288</v>
      </c>
      <c r="M123" s="2" t="s">
        <v>1289</v>
      </c>
      <c r="N123" s="2" t="s">
        <v>16</v>
      </c>
      <c r="O123" s="2" t="s">
        <v>17</v>
      </c>
      <c r="P123" s="2" t="s">
        <v>17</v>
      </c>
      <c r="Q123" s="2" t="s">
        <v>17</v>
      </c>
      <c r="R123" s="2" t="s">
        <v>17</v>
      </c>
      <c r="S123" s="2" t="s">
        <v>16</v>
      </c>
      <c r="T123" s="3">
        <v>170443</v>
      </c>
    </row>
    <row r="124" spans="1:20" ht="180" x14ac:dyDescent="0.2">
      <c r="A124" s="2" t="str">
        <f>VLOOKUP(B124,[1]raw_data!$B$4:$C$343,2,FALSE)</f>
        <v>Public District</v>
      </c>
      <c r="B124" s="2" t="s">
        <v>2489</v>
      </c>
      <c r="C124" s="2" t="s">
        <v>439</v>
      </c>
      <c r="D124" s="2" t="s">
        <v>440</v>
      </c>
      <c r="E124" s="2">
        <v>158</v>
      </c>
      <c r="F124" s="2" t="s">
        <v>2256</v>
      </c>
      <c r="G124" s="2" t="s">
        <v>446</v>
      </c>
      <c r="H124" s="2">
        <v>4407</v>
      </c>
      <c r="I124" s="2" t="s">
        <v>441</v>
      </c>
      <c r="J124" s="2" t="s">
        <v>442</v>
      </c>
      <c r="K124" s="2" t="s">
        <v>443</v>
      </c>
      <c r="L124" s="2" t="s">
        <v>444</v>
      </c>
      <c r="M124" s="2" t="s">
        <v>445</v>
      </c>
      <c r="N124" s="2" t="s">
        <v>17</v>
      </c>
      <c r="O124" s="2" t="s">
        <v>17</v>
      </c>
      <c r="P124" s="2" t="s">
        <v>17</v>
      </c>
      <c r="Q124" s="2" t="s">
        <v>17</v>
      </c>
      <c r="R124" s="2" t="s">
        <v>17</v>
      </c>
      <c r="S124" s="2" t="s">
        <v>17</v>
      </c>
      <c r="T124" s="3">
        <v>5902958</v>
      </c>
    </row>
    <row r="125" spans="1:20" ht="123.75" x14ac:dyDescent="0.2">
      <c r="A125" s="2" t="str">
        <f>VLOOKUP(B125,[1]raw_data!$B$4:$C$343,2,FALSE)</f>
        <v>Public District</v>
      </c>
      <c r="B125" s="2" t="s">
        <v>2591</v>
      </c>
      <c r="C125" s="2" t="s">
        <v>1368</v>
      </c>
      <c r="D125" s="2" t="s">
        <v>74</v>
      </c>
      <c r="E125" s="2">
        <v>78</v>
      </c>
      <c r="F125" s="2" t="s">
        <v>2349</v>
      </c>
      <c r="G125" s="2" t="s">
        <v>1374</v>
      </c>
      <c r="H125" s="2">
        <v>16486</v>
      </c>
      <c r="I125" s="2" t="s">
        <v>1369</v>
      </c>
      <c r="J125" s="2" t="s">
        <v>1370</v>
      </c>
      <c r="K125" s="2" t="s">
        <v>1371</v>
      </c>
      <c r="L125" s="2" t="s">
        <v>1372</v>
      </c>
      <c r="M125" s="2" t="s">
        <v>1373</v>
      </c>
      <c r="N125" s="2" t="s">
        <v>17</v>
      </c>
      <c r="O125" s="2" t="s">
        <v>17</v>
      </c>
      <c r="P125" s="2" t="s">
        <v>17</v>
      </c>
      <c r="Q125" s="2" t="s">
        <v>16</v>
      </c>
      <c r="R125" s="2" t="s">
        <v>16</v>
      </c>
      <c r="S125" s="2" t="s">
        <v>17</v>
      </c>
      <c r="T125" s="3">
        <v>625163</v>
      </c>
    </row>
    <row r="126" spans="1:20" ht="180" x14ac:dyDescent="0.2">
      <c r="A126" s="2" t="str">
        <f>VLOOKUP(B126,[1]raw_data!$B$4:$C$343,2,FALSE)</f>
        <v>Public District</v>
      </c>
      <c r="B126" s="2" t="s">
        <v>2591</v>
      </c>
      <c r="C126" s="2" t="s">
        <v>1368</v>
      </c>
      <c r="D126" s="2" t="s">
        <v>74</v>
      </c>
      <c r="E126" s="2">
        <v>79</v>
      </c>
      <c r="F126" s="2" t="s">
        <v>1375</v>
      </c>
      <c r="G126" s="2" t="s">
        <v>1376</v>
      </c>
      <c r="H126" s="2">
        <v>525</v>
      </c>
      <c r="I126" s="2" t="s">
        <v>1369</v>
      </c>
      <c r="J126" s="2" t="s">
        <v>1370</v>
      </c>
      <c r="K126" s="2" t="s">
        <v>1371</v>
      </c>
      <c r="L126" s="2" t="s">
        <v>1372</v>
      </c>
      <c r="M126" s="2" t="s">
        <v>1373</v>
      </c>
      <c r="N126" s="2" t="s">
        <v>16</v>
      </c>
      <c r="O126" s="2" t="s">
        <v>17</v>
      </c>
      <c r="P126" s="2" t="s">
        <v>17</v>
      </c>
      <c r="Q126" s="2" t="s">
        <v>16</v>
      </c>
      <c r="R126" s="2" t="s">
        <v>16</v>
      </c>
      <c r="S126" s="2" t="s">
        <v>16</v>
      </c>
      <c r="T126" s="3">
        <v>411465</v>
      </c>
    </row>
    <row r="127" spans="1:20" ht="78.75" x14ac:dyDescent="0.2">
      <c r="A127" s="2" t="str">
        <f>VLOOKUP(B127,[1]raw_data!$B$4:$C$343,2,FALSE)</f>
        <v>Public District</v>
      </c>
      <c r="B127" s="2" t="s">
        <v>2611</v>
      </c>
      <c r="C127" s="2" t="s">
        <v>1516</v>
      </c>
      <c r="D127" s="2" t="s">
        <v>423</v>
      </c>
      <c r="E127" s="2">
        <v>209</v>
      </c>
      <c r="F127" s="2" t="s">
        <v>2364</v>
      </c>
      <c r="G127" s="2" t="s">
        <v>1522</v>
      </c>
      <c r="H127" s="2">
        <v>17000</v>
      </c>
      <c r="I127" s="2" t="s">
        <v>1517</v>
      </c>
      <c r="J127" s="2" t="s">
        <v>1518</v>
      </c>
      <c r="K127" s="2" t="s">
        <v>1519</v>
      </c>
      <c r="L127" s="2" t="s">
        <v>1520</v>
      </c>
      <c r="M127" s="2" t="s">
        <v>1521</v>
      </c>
      <c r="N127" s="2" t="s">
        <v>17</v>
      </c>
      <c r="O127" s="2" t="s">
        <v>17</v>
      </c>
      <c r="P127" s="2" t="s">
        <v>16</v>
      </c>
      <c r="Q127" s="2" t="s">
        <v>17</v>
      </c>
      <c r="R127" s="2" t="s">
        <v>16</v>
      </c>
      <c r="S127" s="2" t="s">
        <v>16</v>
      </c>
      <c r="T127" s="3">
        <v>220000</v>
      </c>
    </row>
    <row r="128" spans="1:20" ht="78.75" x14ac:dyDescent="0.2">
      <c r="A128" s="2" t="str">
        <f>VLOOKUP(B128,[1]raw_data!$B$4:$C$343,2,FALSE)</f>
        <v>Community School</v>
      </c>
      <c r="B128" s="2" t="s">
        <v>2694</v>
      </c>
      <c r="C128" s="2" t="s">
        <v>2176</v>
      </c>
      <c r="D128" s="2" t="s">
        <v>82</v>
      </c>
      <c r="E128" s="2">
        <v>279</v>
      </c>
      <c r="F128" s="2" t="s">
        <v>143</v>
      </c>
      <c r="G128" s="2" t="s">
        <v>148</v>
      </c>
      <c r="H128" s="2">
        <v>750</v>
      </c>
      <c r="I128" s="2" t="s">
        <v>144</v>
      </c>
      <c r="J128" s="2" t="s">
        <v>142</v>
      </c>
      <c r="K128" s="2" t="s">
        <v>2177</v>
      </c>
      <c r="L128" s="2" t="s">
        <v>146</v>
      </c>
      <c r="M128" s="2" t="s">
        <v>147</v>
      </c>
      <c r="N128" s="2" t="s">
        <v>17</v>
      </c>
      <c r="O128" s="2" t="s">
        <v>17</v>
      </c>
      <c r="P128" s="2" t="s">
        <v>17</v>
      </c>
      <c r="Q128" s="2" t="s">
        <v>16</v>
      </c>
      <c r="R128" s="2" t="s">
        <v>17</v>
      </c>
      <c r="S128" s="2" t="s">
        <v>16</v>
      </c>
      <c r="T128" s="3">
        <v>2270586.37</v>
      </c>
    </row>
    <row r="129" spans="1:20" ht="101.25" x14ac:dyDescent="0.2">
      <c r="A129" s="2" t="str">
        <f>VLOOKUP(B129,[1]raw_data!$B$4:$C$343,2,FALSE)</f>
        <v>Community School</v>
      </c>
      <c r="B129" s="2" t="s">
        <v>2693</v>
      </c>
      <c r="C129" s="2" t="s">
        <v>2175</v>
      </c>
      <c r="D129" s="2" t="s">
        <v>82</v>
      </c>
      <c r="E129" s="2">
        <v>266</v>
      </c>
      <c r="F129" s="2" t="s">
        <v>143</v>
      </c>
      <c r="G129" s="2" t="s">
        <v>148</v>
      </c>
      <c r="H129" s="2">
        <v>750</v>
      </c>
      <c r="I129" s="2" t="s">
        <v>144</v>
      </c>
      <c r="J129" s="2" t="s">
        <v>142</v>
      </c>
      <c r="K129" s="2" t="s">
        <v>145</v>
      </c>
      <c r="L129" s="2" t="s">
        <v>146</v>
      </c>
      <c r="M129" s="2" t="s">
        <v>147</v>
      </c>
      <c r="N129" s="2" t="s">
        <v>17</v>
      </c>
      <c r="O129" s="2" t="s">
        <v>17</v>
      </c>
      <c r="P129" s="2" t="s">
        <v>17</v>
      </c>
      <c r="Q129" s="2" t="s">
        <v>16</v>
      </c>
      <c r="R129" s="2" t="s">
        <v>17</v>
      </c>
      <c r="S129" s="2" t="s">
        <v>16</v>
      </c>
      <c r="T129" s="3">
        <v>2270586.37</v>
      </c>
    </row>
    <row r="130" spans="1:20" ht="168.75" x14ac:dyDescent="0.2">
      <c r="A130" s="2" t="str">
        <f>VLOOKUP(B130,[1]raw_data!$B$4:$C$343,2,FALSE)</f>
        <v>Community School</v>
      </c>
      <c r="B130" s="2" t="s">
        <v>2456</v>
      </c>
      <c r="C130" s="2" t="s">
        <v>142</v>
      </c>
      <c r="D130" s="2" t="s">
        <v>82</v>
      </c>
      <c r="E130" s="2">
        <v>281</v>
      </c>
      <c r="F130" s="2" t="s">
        <v>143</v>
      </c>
      <c r="G130" s="2" t="s">
        <v>148</v>
      </c>
      <c r="H130" s="2">
        <v>750</v>
      </c>
      <c r="I130" s="2" t="s">
        <v>144</v>
      </c>
      <c r="J130" s="2" t="s">
        <v>142</v>
      </c>
      <c r="K130" s="2" t="s">
        <v>145</v>
      </c>
      <c r="L130" s="2" t="s">
        <v>146</v>
      </c>
      <c r="M130" s="2" t="s">
        <v>147</v>
      </c>
      <c r="N130" s="2" t="s">
        <v>17</v>
      </c>
      <c r="O130" s="2" t="s">
        <v>17</v>
      </c>
      <c r="P130" s="2" t="s">
        <v>17</v>
      </c>
      <c r="Q130" s="2" t="s">
        <v>16</v>
      </c>
      <c r="R130" s="2" t="s">
        <v>17</v>
      </c>
      <c r="S130" s="2" t="s">
        <v>16</v>
      </c>
      <c r="T130" s="3">
        <v>2270586.37</v>
      </c>
    </row>
    <row r="131" spans="1:20" ht="78.75" x14ac:dyDescent="0.2">
      <c r="A131" s="2" t="str">
        <f>VLOOKUP(B131,[1]raw_data!$B$4:$C$343,2,FALSE)</f>
        <v>Public District</v>
      </c>
      <c r="B131" s="2" t="s">
        <v>2490</v>
      </c>
      <c r="C131" s="2" t="s">
        <v>447</v>
      </c>
      <c r="D131" s="2" t="s">
        <v>448</v>
      </c>
      <c r="E131" s="2">
        <v>255</v>
      </c>
      <c r="F131" s="2" t="s">
        <v>2257</v>
      </c>
      <c r="G131" s="2" t="s">
        <v>454</v>
      </c>
      <c r="H131" s="2">
        <v>10000</v>
      </c>
      <c r="I131" s="2" t="s">
        <v>449</v>
      </c>
      <c r="J131" s="2" t="s">
        <v>450</v>
      </c>
      <c r="K131" s="2" t="s">
        <v>451</v>
      </c>
      <c r="L131" s="2" t="s">
        <v>452</v>
      </c>
      <c r="M131" s="2" t="s">
        <v>453</v>
      </c>
      <c r="N131" s="2" t="s">
        <v>17</v>
      </c>
      <c r="O131" s="2" t="s">
        <v>17</v>
      </c>
      <c r="P131" s="2" t="s">
        <v>17</v>
      </c>
      <c r="Q131" s="2" t="s">
        <v>17</v>
      </c>
      <c r="R131" s="2" t="s">
        <v>16</v>
      </c>
      <c r="S131" s="2" t="s">
        <v>17</v>
      </c>
      <c r="T131" s="3">
        <v>4060644.2</v>
      </c>
    </row>
    <row r="132" spans="1:20" ht="101.25" x14ac:dyDescent="0.2">
      <c r="A132" s="2" t="str">
        <f>VLOOKUP(B132,[1]raw_data!$B$4:$C$343,2,FALSE)</f>
        <v>Public District</v>
      </c>
      <c r="B132" s="2" t="s">
        <v>2491</v>
      </c>
      <c r="C132" s="2" t="s">
        <v>455</v>
      </c>
      <c r="D132" s="2" t="s">
        <v>456</v>
      </c>
      <c r="E132" s="2">
        <v>129</v>
      </c>
      <c r="F132" s="2" t="s">
        <v>2258</v>
      </c>
      <c r="G132" s="2" t="s">
        <v>462</v>
      </c>
      <c r="H132" s="2">
        <v>1424</v>
      </c>
      <c r="I132" s="2" t="s">
        <v>457</v>
      </c>
      <c r="J132" s="2" t="s">
        <v>458</v>
      </c>
      <c r="K132" s="2" t="s">
        <v>459</v>
      </c>
      <c r="L132" s="2" t="s">
        <v>460</v>
      </c>
      <c r="M132" s="2" t="s">
        <v>461</v>
      </c>
      <c r="N132" s="2" t="s">
        <v>17</v>
      </c>
      <c r="O132" s="2" t="s">
        <v>16</v>
      </c>
      <c r="P132" s="2" t="s">
        <v>17</v>
      </c>
      <c r="Q132" s="2" t="s">
        <v>16</v>
      </c>
      <c r="R132" s="2" t="s">
        <v>17</v>
      </c>
      <c r="S132" s="2" t="s">
        <v>17</v>
      </c>
      <c r="T132" s="3">
        <v>2067324.76</v>
      </c>
    </row>
    <row r="133" spans="1:20" ht="123.75" x14ac:dyDescent="0.2">
      <c r="A133" s="2" t="str">
        <f>VLOOKUP(B133,[1]raw_data!$B$4:$C$343,2,FALSE)</f>
        <v>Public District</v>
      </c>
      <c r="B133" s="2" t="s">
        <v>2491</v>
      </c>
      <c r="C133" s="2" t="s">
        <v>455</v>
      </c>
      <c r="D133" s="2" t="s">
        <v>456</v>
      </c>
      <c r="E133" s="2">
        <v>131</v>
      </c>
      <c r="F133" s="2" t="s">
        <v>2259</v>
      </c>
      <c r="G133" s="2" t="s">
        <v>467</v>
      </c>
      <c r="H133" s="2">
        <v>1208</v>
      </c>
      <c r="I133" s="2" t="s">
        <v>463</v>
      </c>
      <c r="J133" s="2" t="s">
        <v>458</v>
      </c>
      <c r="K133" s="2" t="s">
        <v>464</v>
      </c>
      <c r="L133" s="2" t="s">
        <v>465</v>
      </c>
      <c r="M133" s="2" t="s">
        <v>466</v>
      </c>
      <c r="N133" s="2" t="s">
        <v>16</v>
      </c>
      <c r="O133" s="2" t="s">
        <v>16</v>
      </c>
      <c r="P133" s="2" t="s">
        <v>17</v>
      </c>
      <c r="Q133" s="2" t="s">
        <v>17</v>
      </c>
      <c r="R133" s="2" t="s">
        <v>17</v>
      </c>
      <c r="S133" s="2" t="s">
        <v>16</v>
      </c>
      <c r="T133" s="3">
        <v>998631</v>
      </c>
    </row>
    <row r="134" spans="1:20" ht="78.75" x14ac:dyDescent="0.2">
      <c r="A134" s="2" t="str">
        <f>VLOOKUP(B134,[1]raw_data!$B$4:$C$343,2,FALSE)</f>
        <v>Public District</v>
      </c>
      <c r="B134" s="2" t="s">
        <v>2491</v>
      </c>
      <c r="C134" s="2" t="s">
        <v>455</v>
      </c>
      <c r="D134" s="2" t="s">
        <v>456</v>
      </c>
      <c r="E134" s="2">
        <v>130</v>
      </c>
      <c r="F134" s="2" t="s">
        <v>468</v>
      </c>
      <c r="G134" s="2" t="s">
        <v>470</v>
      </c>
      <c r="H134" s="2">
        <v>926</v>
      </c>
      <c r="I134" s="2" t="s">
        <v>463</v>
      </c>
      <c r="J134" s="2" t="s">
        <v>458</v>
      </c>
      <c r="K134" s="2" t="s">
        <v>469</v>
      </c>
      <c r="L134" s="2" t="s">
        <v>465</v>
      </c>
      <c r="M134" s="2" t="s">
        <v>461</v>
      </c>
      <c r="N134" s="2" t="s">
        <v>16</v>
      </c>
      <c r="O134" s="2" t="s">
        <v>16</v>
      </c>
      <c r="P134" s="2" t="s">
        <v>17</v>
      </c>
      <c r="Q134" s="2" t="s">
        <v>17</v>
      </c>
      <c r="R134" s="2" t="s">
        <v>17</v>
      </c>
      <c r="S134" s="2" t="s">
        <v>16</v>
      </c>
      <c r="T134" s="3">
        <v>993356.5</v>
      </c>
    </row>
    <row r="135" spans="1:20" ht="135" x14ac:dyDescent="0.2">
      <c r="A135" s="2" t="str">
        <f>VLOOKUP(B135,[1]raw_data!$B$4:$C$343,2,FALSE)</f>
        <v>Public District</v>
      </c>
      <c r="B135" s="2" t="s">
        <v>2630</v>
      </c>
      <c r="C135" s="2" t="s">
        <v>1674</v>
      </c>
      <c r="D135" s="2" t="s">
        <v>100</v>
      </c>
      <c r="E135" s="2">
        <v>284</v>
      </c>
      <c r="F135" s="2" t="s">
        <v>2381</v>
      </c>
      <c r="G135" s="2" t="s">
        <v>1680</v>
      </c>
      <c r="H135" s="2">
        <v>9446</v>
      </c>
      <c r="I135" s="2" t="s">
        <v>1675</v>
      </c>
      <c r="J135" s="2" t="s">
        <v>1676</v>
      </c>
      <c r="K135" s="2" t="s">
        <v>1677</v>
      </c>
      <c r="L135" s="2" t="s">
        <v>1678</v>
      </c>
      <c r="M135" s="2" t="s">
        <v>1679</v>
      </c>
      <c r="N135" s="2" t="s">
        <v>17</v>
      </c>
      <c r="O135" s="2" t="s">
        <v>17</v>
      </c>
      <c r="P135" s="2" t="s">
        <v>17</v>
      </c>
      <c r="Q135" s="2" t="s">
        <v>17</v>
      </c>
      <c r="R135" s="2" t="s">
        <v>17</v>
      </c>
      <c r="S135" s="2" t="s">
        <v>17</v>
      </c>
      <c r="T135" s="3">
        <v>6156479.6100000003</v>
      </c>
    </row>
    <row r="136" spans="1:20" ht="146.25" x14ac:dyDescent="0.2">
      <c r="A136" s="2" t="str">
        <f>VLOOKUP(B136,[1]raw_data!$B$4:$C$343,2,FALSE)</f>
        <v>Community School</v>
      </c>
      <c r="B136" s="2" t="s">
        <v>2458</v>
      </c>
      <c r="C136" s="2" t="s">
        <v>158</v>
      </c>
      <c r="D136" s="2" t="s">
        <v>82</v>
      </c>
      <c r="E136" s="2">
        <v>220</v>
      </c>
      <c r="F136" s="2" t="s">
        <v>2230</v>
      </c>
      <c r="G136" s="2" t="s">
        <v>163</v>
      </c>
      <c r="H136" s="2">
        <v>102</v>
      </c>
      <c r="I136" s="2" t="s">
        <v>159</v>
      </c>
      <c r="J136" s="2" t="s">
        <v>158</v>
      </c>
      <c r="K136" s="2" t="s">
        <v>160</v>
      </c>
      <c r="L136" s="2" t="s">
        <v>161</v>
      </c>
      <c r="M136" s="2" t="s">
        <v>162</v>
      </c>
      <c r="N136" s="2" t="s">
        <v>16</v>
      </c>
      <c r="O136" s="2" t="s">
        <v>16</v>
      </c>
      <c r="P136" s="2" t="s">
        <v>17</v>
      </c>
      <c r="Q136" s="2" t="s">
        <v>16</v>
      </c>
      <c r="R136" s="2" t="s">
        <v>17</v>
      </c>
      <c r="S136" s="2" t="s">
        <v>16</v>
      </c>
      <c r="T136" s="3">
        <v>305664</v>
      </c>
    </row>
    <row r="137" spans="1:20" ht="135" x14ac:dyDescent="0.2">
      <c r="A137" s="2" t="str">
        <f>VLOOKUP(B137,[1]raw_data!$B$4:$C$343,2,FALSE)</f>
        <v>Educational Service Center</v>
      </c>
      <c r="B137" s="2" t="s">
        <v>2684</v>
      </c>
      <c r="C137" s="2" t="s">
        <v>2110</v>
      </c>
      <c r="D137" s="2" t="s">
        <v>2111</v>
      </c>
      <c r="E137" s="2">
        <v>24</v>
      </c>
      <c r="F137" s="2" t="s">
        <v>2112</v>
      </c>
      <c r="G137" s="2" t="s">
        <v>2118</v>
      </c>
      <c r="H137" s="2">
        <v>10600</v>
      </c>
      <c r="I137" s="2" t="s">
        <v>2113</v>
      </c>
      <c r="J137" s="2" t="s">
        <v>2114</v>
      </c>
      <c r="K137" s="2" t="s">
        <v>2115</v>
      </c>
      <c r="L137" s="2" t="s">
        <v>2116</v>
      </c>
      <c r="M137" s="2" t="s">
        <v>2117</v>
      </c>
      <c r="N137" s="2" t="s">
        <v>17</v>
      </c>
      <c r="O137" s="2" t="s">
        <v>16</v>
      </c>
      <c r="P137" s="2" t="s">
        <v>17</v>
      </c>
      <c r="Q137" s="2" t="s">
        <v>16</v>
      </c>
      <c r="R137" s="2" t="s">
        <v>17</v>
      </c>
      <c r="S137" s="2" t="s">
        <v>16</v>
      </c>
      <c r="T137" s="3">
        <v>12843087</v>
      </c>
    </row>
    <row r="138" spans="1:20" ht="135" x14ac:dyDescent="0.2">
      <c r="A138" s="2" t="str">
        <f>VLOOKUP(B138,[1]raw_data!$B$4:$C$343,2,FALSE)</f>
        <v>Educational Service Center</v>
      </c>
      <c r="B138" s="2" t="s">
        <v>2583</v>
      </c>
      <c r="C138" s="2" t="s">
        <v>1297</v>
      </c>
      <c r="D138" s="2" t="s">
        <v>1298</v>
      </c>
      <c r="E138" s="2">
        <v>48</v>
      </c>
      <c r="F138" s="2" t="s">
        <v>2338</v>
      </c>
      <c r="G138" s="2" t="s">
        <v>1303</v>
      </c>
      <c r="H138" s="2">
        <v>5958</v>
      </c>
      <c r="I138" s="2" t="s">
        <v>1299</v>
      </c>
      <c r="J138" s="2" t="s">
        <v>1300</v>
      </c>
      <c r="K138" s="2" t="s">
        <v>1301</v>
      </c>
      <c r="L138" s="2">
        <v>4407592848</v>
      </c>
      <c r="M138" s="2" t="s">
        <v>1302</v>
      </c>
      <c r="N138" s="2" t="s">
        <v>17</v>
      </c>
      <c r="O138" s="2" t="s">
        <v>17</v>
      </c>
      <c r="P138" s="2" t="s">
        <v>17</v>
      </c>
      <c r="Q138" s="2" t="s">
        <v>17</v>
      </c>
      <c r="R138" s="2" t="s">
        <v>16</v>
      </c>
      <c r="S138" s="2" t="s">
        <v>17</v>
      </c>
      <c r="T138" s="3">
        <v>5957360</v>
      </c>
    </row>
    <row r="139" spans="1:20" ht="112.5" x14ac:dyDescent="0.2">
      <c r="A139" s="2" t="str">
        <f>VLOOKUP(B139,[1]raw_data!$B$4:$C$343,2,FALSE)</f>
        <v>Public District</v>
      </c>
      <c r="B139" s="2" t="s">
        <v>2565</v>
      </c>
      <c r="C139" s="2" t="s">
        <v>1116</v>
      </c>
      <c r="D139" s="2" t="s">
        <v>1109</v>
      </c>
      <c r="E139" s="2">
        <v>9</v>
      </c>
      <c r="F139" s="2" t="s">
        <v>2317</v>
      </c>
      <c r="G139" s="2" t="s">
        <v>1122</v>
      </c>
      <c r="H139" s="2">
        <v>5550</v>
      </c>
      <c r="I139" s="2" t="s">
        <v>1117</v>
      </c>
      <c r="J139" s="2" t="s">
        <v>1118</v>
      </c>
      <c r="K139" s="2" t="s">
        <v>1119</v>
      </c>
      <c r="L139" s="2" t="s">
        <v>1120</v>
      </c>
      <c r="M139" s="2" t="s">
        <v>1121</v>
      </c>
      <c r="N139" s="2" t="s">
        <v>17</v>
      </c>
      <c r="O139" s="2" t="s">
        <v>17</v>
      </c>
      <c r="P139" s="2" t="s">
        <v>17</v>
      </c>
      <c r="Q139" s="2" t="s">
        <v>16</v>
      </c>
      <c r="R139" s="2" t="s">
        <v>17</v>
      </c>
      <c r="S139" s="2" t="s">
        <v>17</v>
      </c>
      <c r="T139" s="3">
        <v>896743.38</v>
      </c>
    </row>
    <row r="140" spans="1:20" ht="90" x14ac:dyDescent="0.2">
      <c r="A140" s="2" t="str">
        <f>VLOOKUP(B140,[1]raw_data!$B$4:$C$343,2,FALSE)</f>
        <v>Public District</v>
      </c>
      <c r="B140" s="2" t="s">
        <v>2551</v>
      </c>
      <c r="C140" s="2" t="s">
        <v>992</v>
      </c>
      <c r="D140" s="2" t="s">
        <v>225</v>
      </c>
      <c r="E140" s="2">
        <v>194</v>
      </c>
      <c r="F140" s="2" t="s">
        <v>993</v>
      </c>
      <c r="G140" s="2" t="s">
        <v>999</v>
      </c>
      <c r="H140" s="2">
        <v>360</v>
      </c>
      <c r="I140" s="2" t="s">
        <v>994</v>
      </c>
      <c r="J140" s="2" t="s">
        <v>995</v>
      </c>
      <c r="K140" s="2" t="s">
        <v>996</v>
      </c>
      <c r="L140" s="2" t="s">
        <v>997</v>
      </c>
      <c r="M140" s="2" t="s">
        <v>998</v>
      </c>
      <c r="N140" s="2" t="s">
        <v>16</v>
      </c>
      <c r="O140" s="2" t="s">
        <v>16</v>
      </c>
      <c r="P140" s="2" t="s">
        <v>17</v>
      </c>
      <c r="Q140" s="2" t="s">
        <v>17</v>
      </c>
      <c r="R140" s="2" t="s">
        <v>17</v>
      </c>
      <c r="S140" s="2" t="s">
        <v>16</v>
      </c>
      <c r="T140" s="3">
        <v>210000</v>
      </c>
    </row>
    <row r="141" spans="1:20" ht="168.75" x14ac:dyDescent="0.2">
      <c r="A141" s="2" t="str">
        <f>VLOOKUP(B141,[1]raw_data!$B$4:$C$343,2,FALSE)</f>
        <v>Public District</v>
      </c>
      <c r="B141" s="2" t="s">
        <v>2551</v>
      </c>
      <c r="C141" s="2" t="s">
        <v>992</v>
      </c>
      <c r="D141" s="2" t="s">
        <v>225</v>
      </c>
      <c r="E141" s="2">
        <v>193</v>
      </c>
      <c r="F141" s="2" t="s">
        <v>1000</v>
      </c>
      <c r="G141" s="2" t="s">
        <v>1005</v>
      </c>
      <c r="H141" s="2">
        <v>1400</v>
      </c>
      <c r="I141" s="2" t="s">
        <v>1001</v>
      </c>
      <c r="J141" s="2" t="s">
        <v>1002</v>
      </c>
      <c r="K141" s="2" t="s">
        <v>1003</v>
      </c>
      <c r="L141" s="2">
        <v>4404376260</v>
      </c>
      <c r="M141" s="2" t="s">
        <v>1004</v>
      </c>
      <c r="N141" s="2" t="s">
        <v>16</v>
      </c>
      <c r="O141" s="2" t="s">
        <v>16</v>
      </c>
      <c r="P141" s="2" t="s">
        <v>17</v>
      </c>
      <c r="Q141" s="2" t="s">
        <v>17</v>
      </c>
      <c r="R141" s="2" t="s">
        <v>17</v>
      </c>
      <c r="S141" s="2" t="s">
        <v>16</v>
      </c>
      <c r="T141" s="3">
        <v>190000</v>
      </c>
    </row>
    <row r="142" spans="1:20" ht="101.25" x14ac:dyDescent="0.2">
      <c r="A142" s="2" t="str">
        <f>VLOOKUP(B142,[1]raw_data!$B$4:$C$343,2,FALSE)</f>
        <v>Public District</v>
      </c>
      <c r="B142" s="2" t="s">
        <v>2551</v>
      </c>
      <c r="C142" s="2" t="s">
        <v>992</v>
      </c>
      <c r="D142" s="2" t="s">
        <v>225</v>
      </c>
      <c r="E142" s="2">
        <v>192</v>
      </c>
      <c r="F142" s="2" t="s">
        <v>2304</v>
      </c>
      <c r="G142" s="2" t="s">
        <v>1011</v>
      </c>
      <c r="H142" s="2">
        <v>390</v>
      </c>
      <c r="I142" s="2" t="s">
        <v>1006</v>
      </c>
      <c r="J142" s="2" t="s">
        <v>1007</v>
      </c>
      <c r="K142" s="2" t="s">
        <v>1008</v>
      </c>
      <c r="L142" s="2" t="s">
        <v>1009</v>
      </c>
      <c r="M142" s="2" t="s">
        <v>1010</v>
      </c>
      <c r="N142" s="2" t="s">
        <v>16</v>
      </c>
      <c r="O142" s="2" t="s">
        <v>16</v>
      </c>
      <c r="P142" s="2" t="s">
        <v>17</v>
      </c>
      <c r="Q142" s="2" t="s">
        <v>16</v>
      </c>
      <c r="R142" s="2" t="s">
        <v>16</v>
      </c>
      <c r="S142" s="2" t="s">
        <v>16</v>
      </c>
      <c r="T142" s="3">
        <v>123000</v>
      </c>
    </row>
    <row r="143" spans="1:20" ht="78.75" x14ac:dyDescent="0.2">
      <c r="A143" s="2" t="str">
        <f>VLOOKUP(B143,[1]raw_data!$B$4:$C$343,2,FALSE)</f>
        <v>Public District</v>
      </c>
      <c r="B143" s="2" t="s">
        <v>2539</v>
      </c>
      <c r="C143" s="2" t="s">
        <v>885</v>
      </c>
      <c r="D143" s="2" t="s">
        <v>604</v>
      </c>
      <c r="E143" s="2">
        <v>342</v>
      </c>
      <c r="F143" s="2" t="s">
        <v>886</v>
      </c>
      <c r="G143" s="2" t="s">
        <v>892</v>
      </c>
      <c r="H143" s="2">
        <v>2442</v>
      </c>
      <c r="I143" s="2" t="s">
        <v>887</v>
      </c>
      <c r="J143" s="2" t="s">
        <v>888</v>
      </c>
      <c r="K143" s="2" t="s">
        <v>889</v>
      </c>
      <c r="L143" s="2" t="s">
        <v>890</v>
      </c>
      <c r="M143" s="2" t="s">
        <v>891</v>
      </c>
      <c r="N143" s="2" t="s">
        <v>16</v>
      </c>
      <c r="O143" s="2" t="s">
        <v>17</v>
      </c>
      <c r="P143" s="2" t="s">
        <v>17</v>
      </c>
      <c r="Q143" s="2" t="s">
        <v>17</v>
      </c>
      <c r="R143" s="2" t="s">
        <v>17</v>
      </c>
      <c r="S143" s="2" t="s">
        <v>16</v>
      </c>
      <c r="T143" s="3">
        <v>1000000</v>
      </c>
    </row>
    <row r="144" spans="1:20" ht="78.75" x14ac:dyDescent="0.2">
      <c r="A144" s="2" t="str">
        <f>VLOOKUP(B144,[1]raw_data!$B$4:$C$343,2,FALSE)</f>
        <v>Public District</v>
      </c>
      <c r="B144" s="2" t="s">
        <v>2539</v>
      </c>
      <c r="C144" s="2" t="s">
        <v>885</v>
      </c>
      <c r="D144" s="2" t="s">
        <v>604</v>
      </c>
      <c r="E144" s="2">
        <v>343</v>
      </c>
      <c r="F144" s="2" t="s">
        <v>893</v>
      </c>
      <c r="G144" s="2" t="s">
        <v>894</v>
      </c>
      <c r="H144" s="2">
        <v>1273</v>
      </c>
      <c r="I144" s="2" t="s">
        <v>887</v>
      </c>
      <c r="J144" s="2" t="s">
        <v>885</v>
      </c>
      <c r="K144" s="2" t="s">
        <v>889</v>
      </c>
      <c r="L144" s="2" t="s">
        <v>890</v>
      </c>
      <c r="M144" s="2" t="s">
        <v>891</v>
      </c>
      <c r="N144" s="2" t="s">
        <v>16</v>
      </c>
      <c r="O144" s="2" t="s">
        <v>17</v>
      </c>
      <c r="P144" s="2" t="s">
        <v>17</v>
      </c>
      <c r="Q144" s="2" t="s">
        <v>17</v>
      </c>
      <c r="R144" s="2" t="s">
        <v>17</v>
      </c>
      <c r="S144" s="2" t="s">
        <v>16</v>
      </c>
      <c r="T144" s="3">
        <v>988667</v>
      </c>
    </row>
    <row r="145" spans="1:20" ht="135" x14ac:dyDescent="0.2">
      <c r="A145" s="2" t="str">
        <f>VLOOKUP(B145,[1]raw_data!$B$4:$C$343,2,FALSE)</f>
        <v>Public District</v>
      </c>
      <c r="B145" s="2" t="s">
        <v>2645</v>
      </c>
      <c r="C145" s="2" t="s">
        <v>1796</v>
      </c>
      <c r="D145" s="2" t="s">
        <v>677</v>
      </c>
      <c r="E145" s="2">
        <v>94</v>
      </c>
      <c r="F145" s="2" t="s">
        <v>1797</v>
      </c>
      <c r="G145" s="2" t="s">
        <v>1803</v>
      </c>
      <c r="H145" s="2">
        <v>598</v>
      </c>
      <c r="I145" s="2" t="s">
        <v>1798</v>
      </c>
      <c r="J145" s="2" t="s">
        <v>1799</v>
      </c>
      <c r="K145" s="2" t="s">
        <v>1800</v>
      </c>
      <c r="L145" s="2" t="s">
        <v>1801</v>
      </c>
      <c r="M145" s="2" t="s">
        <v>1802</v>
      </c>
      <c r="N145" s="2" t="s">
        <v>16</v>
      </c>
      <c r="O145" s="2" t="s">
        <v>16</v>
      </c>
      <c r="P145" s="2" t="s">
        <v>17</v>
      </c>
      <c r="Q145" s="2" t="s">
        <v>16</v>
      </c>
      <c r="R145" s="2" t="s">
        <v>17</v>
      </c>
      <c r="S145" s="2" t="s">
        <v>16</v>
      </c>
      <c r="T145" s="3">
        <v>348593.27</v>
      </c>
    </row>
    <row r="146" spans="1:20" ht="168.75" x14ac:dyDescent="0.2">
      <c r="A146" s="2" t="str">
        <f>VLOOKUP(B146,[1]raw_data!$B$4:$C$343,2,FALSE)</f>
        <v>Public District</v>
      </c>
      <c r="B146" s="2" t="s">
        <v>2492</v>
      </c>
      <c r="C146" s="2" t="s">
        <v>471</v>
      </c>
      <c r="D146" s="2" t="s">
        <v>472</v>
      </c>
      <c r="E146" s="2">
        <v>103</v>
      </c>
      <c r="F146" s="2" t="s">
        <v>2260</v>
      </c>
      <c r="G146" s="2" t="s">
        <v>478</v>
      </c>
      <c r="H146" s="2">
        <v>5721</v>
      </c>
      <c r="I146" s="2" t="s">
        <v>473</v>
      </c>
      <c r="J146" s="2" t="s">
        <v>474</v>
      </c>
      <c r="K146" s="2" t="s">
        <v>475</v>
      </c>
      <c r="L146" s="2" t="s">
        <v>476</v>
      </c>
      <c r="M146" s="2" t="s">
        <v>477</v>
      </c>
      <c r="N146" s="2" t="s">
        <v>16</v>
      </c>
      <c r="O146" s="2" t="s">
        <v>17</v>
      </c>
      <c r="P146" s="2" t="s">
        <v>17</v>
      </c>
      <c r="Q146" s="2" t="s">
        <v>17</v>
      </c>
      <c r="R146" s="2" t="s">
        <v>16</v>
      </c>
      <c r="S146" s="2" t="s">
        <v>16</v>
      </c>
      <c r="T146" s="3">
        <v>177000</v>
      </c>
    </row>
    <row r="147" spans="1:20" ht="101.25" x14ac:dyDescent="0.2">
      <c r="A147" s="2" t="str">
        <f>VLOOKUP(B147,[1]raw_data!$B$4:$C$343,2,FALSE)</f>
        <v>Educational Service Center</v>
      </c>
      <c r="B147" s="2" t="s">
        <v>2590</v>
      </c>
      <c r="C147" s="2" t="s">
        <v>1358</v>
      </c>
      <c r="D147" s="2" t="s">
        <v>74</v>
      </c>
      <c r="E147" s="2">
        <v>88</v>
      </c>
      <c r="F147" s="2" t="s">
        <v>1359</v>
      </c>
      <c r="G147" s="2" t="s">
        <v>1365</v>
      </c>
      <c r="H147" s="2">
        <v>5625</v>
      </c>
      <c r="I147" s="2" t="s">
        <v>1360</v>
      </c>
      <c r="J147" s="2" t="s">
        <v>1361</v>
      </c>
      <c r="K147" s="2" t="s">
        <v>1362</v>
      </c>
      <c r="L147" s="2" t="s">
        <v>1363</v>
      </c>
      <c r="M147" s="2" t="s">
        <v>1364</v>
      </c>
      <c r="N147" s="2" t="s">
        <v>17</v>
      </c>
      <c r="O147" s="2" t="s">
        <v>17</v>
      </c>
      <c r="P147" s="2" t="s">
        <v>17</v>
      </c>
      <c r="Q147" s="2" t="s">
        <v>16</v>
      </c>
      <c r="R147" s="2" t="s">
        <v>17</v>
      </c>
      <c r="S147" s="2" t="s">
        <v>16</v>
      </c>
      <c r="T147" s="3">
        <v>7728192</v>
      </c>
    </row>
    <row r="148" spans="1:20" ht="168.75" x14ac:dyDescent="0.2">
      <c r="A148" s="2" t="str">
        <f>VLOOKUP(B148,[1]raw_data!$B$4:$C$343,2,FALSE)</f>
        <v>Educational Service Center</v>
      </c>
      <c r="B148" s="2" t="s">
        <v>2590</v>
      </c>
      <c r="C148" s="2" t="s">
        <v>1358</v>
      </c>
      <c r="D148" s="2" t="s">
        <v>74</v>
      </c>
      <c r="E148" s="2">
        <v>87</v>
      </c>
      <c r="F148" s="2" t="s">
        <v>2348</v>
      </c>
      <c r="G148" s="2" t="s">
        <v>1367</v>
      </c>
      <c r="H148" s="2">
        <v>15250</v>
      </c>
      <c r="I148" s="2" t="s">
        <v>1360</v>
      </c>
      <c r="J148" s="2" t="s">
        <v>1361</v>
      </c>
      <c r="K148" s="2" t="s">
        <v>1362</v>
      </c>
      <c r="L148" s="2" t="s">
        <v>1363</v>
      </c>
      <c r="M148" s="2" t="s">
        <v>1366</v>
      </c>
      <c r="N148" s="2" t="s">
        <v>17</v>
      </c>
      <c r="O148" s="2" t="s">
        <v>17</v>
      </c>
      <c r="P148" s="2" t="s">
        <v>17</v>
      </c>
      <c r="Q148" s="2" t="s">
        <v>16</v>
      </c>
      <c r="R148" s="2" t="s">
        <v>16</v>
      </c>
      <c r="S148" s="2" t="s">
        <v>17</v>
      </c>
      <c r="T148" s="3">
        <v>9075650</v>
      </c>
    </row>
    <row r="149" spans="1:20" ht="135" x14ac:dyDescent="0.2">
      <c r="A149" s="2" t="str">
        <f>VLOOKUP(B149,[1]raw_data!$B$4:$C$343,2,FALSE)</f>
        <v>Public District</v>
      </c>
      <c r="B149" s="2" t="s">
        <v>2578</v>
      </c>
      <c r="C149" s="2" t="s">
        <v>1256</v>
      </c>
      <c r="D149" s="2" t="s">
        <v>82</v>
      </c>
      <c r="E149" s="2">
        <v>93</v>
      </c>
      <c r="F149" s="2" t="s">
        <v>2333</v>
      </c>
      <c r="G149" s="2" t="s">
        <v>1262</v>
      </c>
      <c r="H149" s="2">
        <v>36950</v>
      </c>
      <c r="I149" s="2" t="s">
        <v>1257</v>
      </c>
      <c r="J149" s="2" t="s">
        <v>1258</v>
      </c>
      <c r="K149" s="2" t="s">
        <v>1259</v>
      </c>
      <c r="L149" s="2" t="s">
        <v>1260</v>
      </c>
      <c r="M149" s="2" t="s">
        <v>1261</v>
      </c>
      <c r="N149" s="2" t="s">
        <v>17</v>
      </c>
      <c r="O149" s="2" t="s">
        <v>17</v>
      </c>
      <c r="P149" s="2" t="s">
        <v>17</v>
      </c>
      <c r="Q149" s="2" t="s">
        <v>17</v>
      </c>
      <c r="R149" s="2" t="s">
        <v>17</v>
      </c>
      <c r="S149" s="2" t="s">
        <v>17</v>
      </c>
      <c r="T149" s="3">
        <v>1427278.06</v>
      </c>
    </row>
    <row r="150" spans="1:20" ht="101.25" x14ac:dyDescent="0.2">
      <c r="A150" s="2" t="str">
        <f>VLOOKUP(B150,[1]raw_data!$B$4:$C$343,2,FALSE)</f>
        <v>Community School</v>
      </c>
      <c r="B150" s="2" t="s">
        <v>2445</v>
      </c>
      <c r="C150" s="2" t="s">
        <v>58</v>
      </c>
      <c r="D150" s="2" t="s">
        <v>59</v>
      </c>
      <c r="E150" s="2">
        <v>300</v>
      </c>
      <c r="F150" s="2" t="s">
        <v>60</v>
      </c>
      <c r="G150" s="2" t="s">
        <v>65</v>
      </c>
      <c r="H150" s="2">
        <v>322</v>
      </c>
      <c r="I150" s="2" t="s">
        <v>61</v>
      </c>
      <c r="J150" s="2" t="s">
        <v>58</v>
      </c>
      <c r="K150" s="2" t="s">
        <v>62</v>
      </c>
      <c r="L150" s="2" t="s">
        <v>63</v>
      </c>
      <c r="M150" s="2" t="s">
        <v>64</v>
      </c>
      <c r="N150" s="2" t="s">
        <v>16</v>
      </c>
      <c r="O150" s="2" t="s">
        <v>17</v>
      </c>
      <c r="P150" s="2" t="s">
        <v>17</v>
      </c>
      <c r="Q150" s="2" t="s">
        <v>16</v>
      </c>
      <c r="R150" s="2" t="s">
        <v>17</v>
      </c>
      <c r="S150" s="2" t="s">
        <v>16</v>
      </c>
      <c r="T150" s="3">
        <v>441309</v>
      </c>
    </row>
    <row r="151" spans="1:20" ht="146.25" x14ac:dyDescent="0.2">
      <c r="A151" s="2" t="str">
        <f>VLOOKUP(B151,[1]raw_data!$B$4:$C$343,2,FALSE)</f>
        <v>Public District</v>
      </c>
      <c r="B151" s="2" t="s">
        <v>2579</v>
      </c>
      <c r="C151" s="2" t="s">
        <v>1263</v>
      </c>
      <c r="D151" s="2" t="s">
        <v>82</v>
      </c>
      <c r="E151" s="2">
        <v>39</v>
      </c>
      <c r="F151" s="2" t="s">
        <v>2334</v>
      </c>
      <c r="G151" s="2" t="s">
        <v>1269</v>
      </c>
      <c r="H151" s="2">
        <v>450</v>
      </c>
      <c r="I151" s="2" t="s">
        <v>1264</v>
      </c>
      <c r="J151" s="2" t="s">
        <v>1265</v>
      </c>
      <c r="K151" s="2" t="s">
        <v>1266</v>
      </c>
      <c r="L151" s="2" t="s">
        <v>1267</v>
      </c>
      <c r="M151" s="2" t="s">
        <v>1268</v>
      </c>
      <c r="N151" s="2" t="s">
        <v>16</v>
      </c>
      <c r="O151" s="2" t="s">
        <v>16</v>
      </c>
      <c r="P151" s="2" t="s">
        <v>17</v>
      </c>
      <c r="Q151" s="2" t="s">
        <v>17</v>
      </c>
      <c r="R151" s="2" t="s">
        <v>16</v>
      </c>
      <c r="S151" s="2" t="s">
        <v>16</v>
      </c>
      <c r="T151" s="3">
        <v>50000</v>
      </c>
    </row>
    <row r="152" spans="1:20" ht="146.25" x14ac:dyDescent="0.2">
      <c r="A152" s="2" t="str">
        <f>VLOOKUP(B152,[1]raw_data!$B$4:$C$343,2,FALSE)</f>
        <v>Community School</v>
      </c>
      <c r="B152" s="2" t="s">
        <v>2689</v>
      </c>
      <c r="C152" s="2" t="s">
        <v>2151</v>
      </c>
      <c r="D152" s="2" t="s">
        <v>29</v>
      </c>
      <c r="E152" s="2">
        <v>285</v>
      </c>
      <c r="F152" s="2" t="s">
        <v>2428</v>
      </c>
      <c r="G152" s="2" t="s">
        <v>2157</v>
      </c>
      <c r="H152" s="2">
        <v>500</v>
      </c>
      <c r="I152" s="2" t="s">
        <v>2152</v>
      </c>
      <c r="J152" s="2" t="s">
        <v>2153</v>
      </c>
      <c r="K152" s="2" t="s">
        <v>2154</v>
      </c>
      <c r="L152" s="2" t="s">
        <v>2155</v>
      </c>
      <c r="M152" s="2" t="s">
        <v>2156</v>
      </c>
      <c r="N152" s="2" t="s">
        <v>16</v>
      </c>
      <c r="O152" s="2" t="s">
        <v>16</v>
      </c>
      <c r="P152" s="2" t="s">
        <v>17</v>
      </c>
      <c r="Q152" s="2" t="s">
        <v>17</v>
      </c>
      <c r="R152" s="2" t="s">
        <v>17</v>
      </c>
      <c r="S152" s="2" t="s">
        <v>17</v>
      </c>
      <c r="T152" s="3">
        <v>306040</v>
      </c>
    </row>
    <row r="153" spans="1:20" ht="101.25" x14ac:dyDescent="0.2">
      <c r="A153" s="2" t="str">
        <f>VLOOKUP(B153,[1]raw_data!$B$4:$C$343,2,FALSE)</f>
        <v>Community School</v>
      </c>
      <c r="B153" s="2" t="s">
        <v>2690</v>
      </c>
      <c r="C153" s="2" t="s">
        <v>2158</v>
      </c>
      <c r="D153" s="2" t="s">
        <v>82</v>
      </c>
      <c r="E153" s="2">
        <v>311</v>
      </c>
      <c r="F153" s="2" t="s">
        <v>2429</v>
      </c>
      <c r="G153" s="2" t="s">
        <v>2160</v>
      </c>
      <c r="H153" s="2">
        <v>480</v>
      </c>
      <c r="I153" s="2" t="s">
        <v>2152</v>
      </c>
      <c r="J153" s="2" t="s">
        <v>2153</v>
      </c>
      <c r="K153" s="2" t="s">
        <v>2159</v>
      </c>
      <c r="L153" s="2" t="s">
        <v>2155</v>
      </c>
      <c r="M153" s="2" t="s">
        <v>2156</v>
      </c>
      <c r="N153" s="2" t="s">
        <v>16</v>
      </c>
      <c r="O153" s="2" t="s">
        <v>16</v>
      </c>
      <c r="P153" s="2" t="s">
        <v>17</v>
      </c>
      <c r="Q153" s="2" t="s">
        <v>17</v>
      </c>
      <c r="R153" s="2" t="s">
        <v>17</v>
      </c>
      <c r="S153" s="2" t="s">
        <v>17</v>
      </c>
      <c r="T153" s="3">
        <v>306040</v>
      </c>
    </row>
    <row r="154" spans="1:20" ht="168.75" x14ac:dyDescent="0.2">
      <c r="A154" s="2" t="str">
        <f>VLOOKUP(B154,[1]raw_data!$B$4:$C$343,2,FALSE)</f>
        <v>Public District</v>
      </c>
      <c r="B154" s="2" t="s">
        <v>2599</v>
      </c>
      <c r="C154" s="2" t="s">
        <v>1427</v>
      </c>
      <c r="D154" s="2" t="s">
        <v>737</v>
      </c>
      <c r="E154" s="2">
        <v>225</v>
      </c>
      <c r="F154" s="2" t="s">
        <v>1428</v>
      </c>
      <c r="G154" s="2" t="s">
        <v>1433</v>
      </c>
      <c r="H154" s="2">
        <v>2332</v>
      </c>
      <c r="I154" s="2" t="s">
        <v>1429</v>
      </c>
      <c r="J154" s="2" t="s">
        <v>1430</v>
      </c>
      <c r="K154" s="2" t="s">
        <v>1431</v>
      </c>
      <c r="L154" s="2">
        <v>7402662911</v>
      </c>
      <c r="M154" s="2" t="s">
        <v>1432</v>
      </c>
      <c r="N154" s="2" t="s">
        <v>16</v>
      </c>
      <c r="O154" s="2" t="s">
        <v>16</v>
      </c>
      <c r="P154" s="2" t="s">
        <v>17</v>
      </c>
      <c r="Q154" s="2" t="s">
        <v>17</v>
      </c>
      <c r="R154" s="2" t="s">
        <v>17</v>
      </c>
      <c r="S154" s="2" t="s">
        <v>16</v>
      </c>
      <c r="T154" s="3">
        <v>1000000</v>
      </c>
    </row>
    <row r="155" spans="1:20" ht="123.75" x14ac:dyDescent="0.2">
      <c r="A155" s="2" t="str">
        <f>VLOOKUP(B155,[1]raw_data!$B$4:$C$343,2,FALSE)</f>
        <v>Public District</v>
      </c>
      <c r="B155" s="2" t="s">
        <v>2607</v>
      </c>
      <c r="C155" s="2" t="s">
        <v>1486</v>
      </c>
      <c r="D155" s="2" t="s">
        <v>1479</v>
      </c>
      <c r="E155" s="2">
        <v>90</v>
      </c>
      <c r="F155" s="2" t="s">
        <v>2362</v>
      </c>
      <c r="G155" s="2" t="s">
        <v>1492</v>
      </c>
      <c r="H155" s="2">
        <v>1732</v>
      </c>
      <c r="I155" s="2" t="s">
        <v>1487</v>
      </c>
      <c r="J155" s="2" t="s">
        <v>1488</v>
      </c>
      <c r="K155" s="2" t="s">
        <v>1489</v>
      </c>
      <c r="L155" s="2" t="s">
        <v>1490</v>
      </c>
      <c r="M155" s="2" t="s">
        <v>1491</v>
      </c>
      <c r="N155" s="2" t="s">
        <v>16</v>
      </c>
      <c r="O155" s="2" t="s">
        <v>17</v>
      </c>
      <c r="P155" s="2" t="s">
        <v>17</v>
      </c>
      <c r="Q155" s="2" t="s">
        <v>17</v>
      </c>
      <c r="R155" s="2" t="s">
        <v>17</v>
      </c>
      <c r="S155" s="2" t="s">
        <v>16</v>
      </c>
      <c r="T155" s="3">
        <v>404741</v>
      </c>
    </row>
    <row r="156" spans="1:20" ht="101.25" x14ac:dyDescent="0.2">
      <c r="A156" s="2" t="str">
        <f>VLOOKUP(B156,[1]raw_data!$B$4:$C$343,2,FALSE)</f>
        <v>Community School</v>
      </c>
      <c r="B156" s="2" t="s">
        <v>2687</v>
      </c>
      <c r="C156" s="2" t="s">
        <v>2132</v>
      </c>
      <c r="D156" s="2" t="s">
        <v>29</v>
      </c>
      <c r="E156" s="2">
        <v>238</v>
      </c>
      <c r="F156" s="2" t="s">
        <v>2133</v>
      </c>
      <c r="G156" s="2" t="s">
        <v>2139</v>
      </c>
      <c r="H156" s="2">
        <v>7000</v>
      </c>
      <c r="I156" s="2" t="s">
        <v>2134</v>
      </c>
      <c r="J156" s="2" t="s">
        <v>2135</v>
      </c>
      <c r="K156" s="2" t="s">
        <v>2136</v>
      </c>
      <c r="L156" s="2" t="s">
        <v>2137</v>
      </c>
      <c r="M156" s="2" t="s">
        <v>2138</v>
      </c>
      <c r="N156" s="2" t="s">
        <v>17</v>
      </c>
      <c r="O156" s="2" t="s">
        <v>17</v>
      </c>
      <c r="P156" s="2" t="s">
        <v>17</v>
      </c>
      <c r="Q156" s="2" t="s">
        <v>16</v>
      </c>
      <c r="R156" s="2" t="s">
        <v>16</v>
      </c>
      <c r="S156" s="2" t="s">
        <v>17</v>
      </c>
      <c r="T156" s="3">
        <v>507583</v>
      </c>
    </row>
    <row r="157" spans="1:20" ht="180" x14ac:dyDescent="0.2">
      <c r="A157" s="2" t="str">
        <f>VLOOKUP(B157,[1]raw_data!$B$4:$C$343,2,FALSE)</f>
        <v>Public District</v>
      </c>
      <c r="B157" s="2" t="s">
        <v>2651</v>
      </c>
      <c r="C157" s="2" t="s">
        <v>1848</v>
      </c>
      <c r="D157" s="2" t="s">
        <v>204</v>
      </c>
      <c r="E157" s="2">
        <v>26</v>
      </c>
      <c r="F157" s="2" t="s">
        <v>2395</v>
      </c>
      <c r="G157" s="2" t="s">
        <v>1854</v>
      </c>
      <c r="H157" s="2">
        <v>2500</v>
      </c>
      <c r="I157" s="2" t="s">
        <v>1849</v>
      </c>
      <c r="J157" s="2" t="s">
        <v>1850</v>
      </c>
      <c r="K157" s="2" t="s">
        <v>1851</v>
      </c>
      <c r="L157" s="2" t="s">
        <v>1852</v>
      </c>
      <c r="M157" s="2" t="s">
        <v>1853</v>
      </c>
      <c r="N157" s="2" t="s">
        <v>16</v>
      </c>
      <c r="O157" s="2" t="s">
        <v>16</v>
      </c>
      <c r="P157" s="2" t="s">
        <v>17</v>
      </c>
      <c r="Q157" s="2" t="s">
        <v>17</v>
      </c>
      <c r="R157" s="2" t="s">
        <v>17</v>
      </c>
      <c r="S157" s="2" t="s">
        <v>16</v>
      </c>
      <c r="T157" s="3">
        <v>578789.48</v>
      </c>
    </row>
    <row r="158" spans="1:20" ht="90" x14ac:dyDescent="0.2">
      <c r="A158" s="2" t="str">
        <f>VLOOKUP(B158,[1]raw_data!$B$4:$C$343,2,FALSE)</f>
        <v>Technical Institue /College</v>
      </c>
      <c r="B158" s="2" t="s">
        <v>2679</v>
      </c>
      <c r="C158" s="2" t="s">
        <v>2072</v>
      </c>
      <c r="D158" s="2" t="s">
        <v>59</v>
      </c>
      <c r="E158" s="2">
        <v>271</v>
      </c>
      <c r="F158" s="2" t="s">
        <v>2420</v>
      </c>
      <c r="G158" s="2" t="s">
        <v>2077</v>
      </c>
      <c r="H158" s="2">
        <v>500</v>
      </c>
      <c r="I158" s="2" t="s">
        <v>2073</v>
      </c>
      <c r="J158" s="2" t="s">
        <v>2072</v>
      </c>
      <c r="K158" s="2" t="s">
        <v>2074</v>
      </c>
      <c r="L158" s="2" t="s">
        <v>2075</v>
      </c>
      <c r="M158" s="2" t="s">
        <v>2076</v>
      </c>
      <c r="N158" s="2" t="s">
        <v>16</v>
      </c>
      <c r="O158" s="2" t="s">
        <v>17</v>
      </c>
      <c r="P158" s="2" t="s">
        <v>17</v>
      </c>
      <c r="Q158" s="2" t="s">
        <v>16</v>
      </c>
      <c r="R158" s="2" t="s">
        <v>17</v>
      </c>
      <c r="S158" s="2" t="s">
        <v>16</v>
      </c>
      <c r="T158" s="3">
        <v>704740</v>
      </c>
    </row>
    <row r="159" spans="1:20" ht="168.75" x14ac:dyDescent="0.2">
      <c r="A159" s="2" t="str">
        <f>VLOOKUP(B159,[1]raw_data!$B$4:$C$343,2,FALSE)</f>
        <v>Technical Institue /College</v>
      </c>
      <c r="B159" s="2" t="s">
        <v>2679</v>
      </c>
      <c r="C159" s="2" t="s">
        <v>2072</v>
      </c>
      <c r="D159" s="2" t="s">
        <v>59</v>
      </c>
      <c r="E159" s="2">
        <v>272</v>
      </c>
      <c r="F159" s="2" t="s">
        <v>2078</v>
      </c>
      <c r="G159" s="2" t="s">
        <v>2080</v>
      </c>
      <c r="H159" s="2">
        <v>216</v>
      </c>
      <c r="I159" s="2" t="s">
        <v>2073</v>
      </c>
      <c r="J159" s="2" t="s">
        <v>2072</v>
      </c>
      <c r="K159" s="2" t="s">
        <v>2079</v>
      </c>
      <c r="L159" s="2" t="s">
        <v>2075</v>
      </c>
      <c r="M159" s="2" t="s">
        <v>2076</v>
      </c>
      <c r="N159" s="2" t="s">
        <v>16</v>
      </c>
      <c r="O159" s="2" t="s">
        <v>17</v>
      </c>
      <c r="P159" s="2" t="s">
        <v>17</v>
      </c>
      <c r="Q159" s="2" t="s">
        <v>17</v>
      </c>
      <c r="R159" s="2" t="s">
        <v>17</v>
      </c>
      <c r="S159" s="2" t="s">
        <v>16</v>
      </c>
      <c r="T159" s="3">
        <v>999537</v>
      </c>
    </row>
    <row r="160" spans="1:20" ht="180" x14ac:dyDescent="0.2">
      <c r="A160" s="2" t="str">
        <f>VLOOKUP(B160,[1]raw_data!$B$4:$C$343,2,FALSE)</f>
        <v>Public District</v>
      </c>
      <c r="B160" s="2" t="s">
        <v>2641</v>
      </c>
      <c r="C160" s="2" t="s">
        <v>1762</v>
      </c>
      <c r="D160" s="2" t="s">
        <v>1756</v>
      </c>
      <c r="E160" s="2">
        <v>97</v>
      </c>
      <c r="F160" s="2" t="s">
        <v>2387</v>
      </c>
      <c r="G160" s="2" t="s">
        <v>1768</v>
      </c>
      <c r="H160" s="2">
        <v>400</v>
      </c>
      <c r="I160" s="2" t="s">
        <v>1763</v>
      </c>
      <c r="J160" s="2" t="s">
        <v>1764</v>
      </c>
      <c r="K160" s="2" t="s">
        <v>1765</v>
      </c>
      <c r="L160" s="2" t="s">
        <v>1766</v>
      </c>
      <c r="M160" s="2" t="s">
        <v>1767</v>
      </c>
      <c r="N160" s="2" t="s">
        <v>16</v>
      </c>
      <c r="O160" s="2" t="s">
        <v>16</v>
      </c>
      <c r="P160" s="2" t="s">
        <v>16</v>
      </c>
      <c r="Q160" s="2" t="s">
        <v>17</v>
      </c>
      <c r="R160" s="2" t="s">
        <v>16</v>
      </c>
      <c r="S160" s="2" t="s">
        <v>16</v>
      </c>
      <c r="T160" s="3">
        <v>58900.1</v>
      </c>
    </row>
    <row r="161" spans="1:20" ht="90" x14ac:dyDescent="0.2">
      <c r="A161" s="2" t="str">
        <f>VLOOKUP(B161,[1]raw_data!$B$4:$C$343,2,FALSE)</f>
        <v>Public District</v>
      </c>
      <c r="B161" s="2" t="s">
        <v>2641</v>
      </c>
      <c r="C161" s="2" t="s">
        <v>1762</v>
      </c>
      <c r="D161" s="2" t="s">
        <v>1756</v>
      </c>
      <c r="E161" s="2">
        <v>96</v>
      </c>
      <c r="F161" s="2" t="s">
        <v>1769</v>
      </c>
      <c r="G161" s="2" t="s">
        <v>1770</v>
      </c>
      <c r="H161" s="2">
        <v>400</v>
      </c>
      <c r="I161" s="2" t="s">
        <v>1763</v>
      </c>
      <c r="J161" s="2" t="s">
        <v>219</v>
      </c>
      <c r="K161" s="2" t="s">
        <v>1765</v>
      </c>
      <c r="L161" s="2" t="s">
        <v>1766</v>
      </c>
      <c r="M161" s="2" t="s">
        <v>1767</v>
      </c>
      <c r="N161" s="2" t="s">
        <v>16</v>
      </c>
      <c r="O161" s="2" t="s">
        <v>16</v>
      </c>
      <c r="P161" s="2" t="s">
        <v>17</v>
      </c>
      <c r="Q161" s="2" t="s">
        <v>17</v>
      </c>
      <c r="R161" s="2" t="s">
        <v>17</v>
      </c>
      <c r="S161" s="2" t="s">
        <v>16</v>
      </c>
      <c r="T161" s="3">
        <v>82800</v>
      </c>
    </row>
    <row r="162" spans="1:20" ht="146.25" x14ac:dyDescent="0.2">
      <c r="A162" s="2" t="str">
        <f>VLOOKUP(B162,[1]raw_data!$B$4:$C$343,2,FALSE)</f>
        <v>Public District</v>
      </c>
      <c r="B162" s="2" t="s">
        <v>2615</v>
      </c>
      <c r="C162" s="2" t="s">
        <v>1546</v>
      </c>
      <c r="D162" s="2" t="s">
        <v>1547</v>
      </c>
      <c r="E162" s="2">
        <v>211</v>
      </c>
      <c r="F162" s="2" t="s">
        <v>2366</v>
      </c>
      <c r="G162" s="2" t="s">
        <v>1552</v>
      </c>
      <c r="H162" s="2">
        <v>1744</v>
      </c>
      <c r="I162" s="2" t="s">
        <v>1548</v>
      </c>
      <c r="J162" s="2" t="s">
        <v>1549</v>
      </c>
      <c r="K162" s="2" t="s">
        <v>1550</v>
      </c>
      <c r="L162" s="2">
        <v>6148735621</v>
      </c>
      <c r="M162" s="2" t="s">
        <v>1551</v>
      </c>
      <c r="N162" s="2" t="s">
        <v>16</v>
      </c>
      <c r="O162" s="2" t="s">
        <v>16</v>
      </c>
      <c r="P162" s="2" t="s">
        <v>17</v>
      </c>
      <c r="Q162" s="2" t="s">
        <v>17</v>
      </c>
      <c r="R162" s="2" t="s">
        <v>17</v>
      </c>
      <c r="S162" s="2" t="s">
        <v>16</v>
      </c>
      <c r="T162" s="3">
        <v>590229</v>
      </c>
    </row>
    <row r="163" spans="1:20" ht="90" x14ac:dyDescent="0.2">
      <c r="A163" s="2" t="str">
        <f>VLOOKUP(B163,[1]raw_data!$B$4:$C$343,2,FALSE)</f>
        <v>Public District</v>
      </c>
      <c r="B163" s="2" t="s">
        <v>2585</v>
      </c>
      <c r="C163" s="2" t="s">
        <v>1316</v>
      </c>
      <c r="D163" s="2" t="s">
        <v>1298</v>
      </c>
      <c r="E163" s="2">
        <v>13</v>
      </c>
      <c r="F163" s="2" t="s">
        <v>2340</v>
      </c>
      <c r="G163" s="2" t="s">
        <v>1322</v>
      </c>
      <c r="H163" s="2">
        <v>3096</v>
      </c>
      <c r="I163" s="2" t="s">
        <v>1317</v>
      </c>
      <c r="J163" s="2" t="s">
        <v>1318</v>
      </c>
      <c r="K163" s="2" t="s">
        <v>1319</v>
      </c>
      <c r="L163" s="2" t="s">
        <v>1320</v>
      </c>
      <c r="M163" s="2" t="s">
        <v>1321</v>
      </c>
      <c r="N163" s="2" t="s">
        <v>16</v>
      </c>
      <c r="O163" s="2" t="s">
        <v>17</v>
      </c>
      <c r="P163" s="2" t="s">
        <v>17</v>
      </c>
      <c r="Q163" s="2" t="s">
        <v>17</v>
      </c>
      <c r="R163" s="2" t="s">
        <v>17</v>
      </c>
      <c r="S163" s="2" t="s">
        <v>16</v>
      </c>
      <c r="T163" s="3">
        <v>1000000</v>
      </c>
    </row>
    <row r="164" spans="1:20" ht="157.5" x14ac:dyDescent="0.2">
      <c r="A164" s="2" t="str">
        <f>VLOOKUP(B164,[1]raw_data!$B$4:$C$343,2,FALSE)</f>
        <v>Public District</v>
      </c>
      <c r="B164" s="2" t="s">
        <v>2493</v>
      </c>
      <c r="C164" s="2" t="s">
        <v>479</v>
      </c>
      <c r="D164" s="2" t="s">
        <v>480</v>
      </c>
      <c r="E164" s="2">
        <v>195</v>
      </c>
      <c r="F164" s="2" t="s">
        <v>2261</v>
      </c>
      <c r="G164" s="2" t="s">
        <v>486</v>
      </c>
      <c r="H164" s="2">
        <v>3956</v>
      </c>
      <c r="I164" s="2" t="s">
        <v>481</v>
      </c>
      <c r="J164" s="2" t="s">
        <v>482</v>
      </c>
      <c r="K164" s="2" t="s">
        <v>483</v>
      </c>
      <c r="L164" s="2" t="s">
        <v>484</v>
      </c>
      <c r="M164" s="2" t="s">
        <v>485</v>
      </c>
      <c r="N164" s="2" t="s">
        <v>17</v>
      </c>
      <c r="O164" s="2" t="s">
        <v>17</v>
      </c>
      <c r="P164" s="2" t="s">
        <v>17</v>
      </c>
      <c r="Q164" s="2" t="s">
        <v>17</v>
      </c>
      <c r="R164" s="2" t="s">
        <v>16</v>
      </c>
      <c r="S164" s="2" t="s">
        <v>17</v>
      </c>
      <c r="T164" s="3">
        <v>9788443</v>
      </c>
    </row>
    <row r="165" spans="1:20" ht="180" x14ac:dyDescent="0.2">
      <c r="A165" s="2" t="str">
        <f>VLOOKUP(B165,[1]raw_data!$B$4:$C$343,2,FALSE)</f>
        <v>Public District</v>
      </c>
      <c r="B165" s="2" t="s">
        <v>2494</v>
      </c>
      <c r="C165" s="2" t="s">
        <v>487</v>
      </c>
      <c r="D165" s="2" t="s">
        <v>178</v>
      </c>
      <c r="E165" s="2">
        <v>317</v>
      </c>
      <c r="F165" s="2" t="s">
        <v>2262</v>
      </c>
      <c r="G165" s="2" t="s">
        <v>492</v>
      </c>
      <c r="H165" s="2">
        <v>7700</v>
      </c>
      <c r="I165" s="2" t="s">
        <v>488</v>
      </c>
      <c r="J165" s="2" t="s">
        <v>489</v>
      </c>
      <c r="K165" s="2" t="s">
        <v>490</v>
      </c>
      <c r="L165" s="2">
        <v>9374991424</v>
      </c>
      <c r="M165" s="2" t="s">
        <v>491</v>
      </c>
      <c r="N165" s="2" t="s">
        <v>17</v>
      </c>
      <c r="O165" s="2" t="s">
        <v>17</v>
      </c>
      <c r="P165" s="2" t="s">
        <v>17</v>
      </c>
      <c r="Q165" s="2" t="s">
        <v>17</v>
      </c>
      <c r="R165" s="2" t="s">
        <v>17</v>
      </c>
      <c r="S165" s="2" t="s">
        <v>17</v>
      </c>
      <c r="T165" s="3">
        <v>8288566</v>
      </c>
    </row>
    <row r="166" spans="1:20" ht="101.25" x14ac:dyDescent="0.2">
      <c r="A166" s="2" t="str">
        <f>VLOOKUP(B166,[1]raw_data!$B$4:$C$343,2,FALSE)</f>
        <v>Educational Service Center</v>
      </c>
      <c r="B166" s="2" t="s">
        <v>2600</v>
      </c>
      <c r="C166" s="2" t="s">
        <v>1434</v>
      </c>
      <c r="D166" s="2" t="s">
        <v>811</v>
      </c>
      <c r="E166" s="2">
        <v>159</v>
      </c>
      <c r="F166" s="2" t="s">
        <v>2356</v>
      </c>
      <c r="G166" s="2" t="s">
        <v>1439</v>
      </c>
      <c r="H166" s="2">
        <v>15000</v>
      </c>
      <c r="I166" s="2" t="s">
        <v>1435</v>
      </c>
      <c r="J166" s="2" t="s">
        <v>1436</v>
      </c>
      <c r="K166" s="2" t="s">
        <v>1437</v>
      </c>
      <c r="L166" s="2" t="s">
        <v>1438</v>
      </c>
      <c r="M166" s="2" t="s">
        <v>883</v>
      </c>
      <c r="N166" s="2" t="s">
        <v>17</v>
      </c>
      <c r="O166" s="2" t="s">
        <v>17</v>
      </c>
      <c r="P166" s="2" t="s">
        <v>17</v>
      </c>
      <c r="Q166" s="2" t="s">
        <v>17</v>
      </c>
      <c r="R166" s="2" t="s">
        <v>17</v>
      </c>
      <c r="S166" s="2" t="s">
        <v>16</v>
      </c>
      <c r="T166" s="3">
        <v>3258862</v>
      </c>
    </row>
    <row r="167" spans="1:20" ht="157.5" x14ac:dyDescent="0.2">
      <c r="A167" s="2" t="str">
        <f>VLOOKUP(B167,[1]raw_data!$B$4:$C$343,2,FALSE)</f>
        <v>Community School</v>
      </c>
      <c r="B167" s="2" t="s">
        <v>2697</v>
      </c>
      <c r="C167" s="2" t="s">
        <v>2192</v>
      </c>
      <c r="D167" s="2" t="s">
        <v>11</v>
      </c>
      <c r="E167" s="2">
        <v>276</v>
      </c>
      <c r="F167" s="2" t="s">
        <v>2434</v>
      </c>
      <c r="G167" s="2" t="s">
        <v>2197</v>
      </c>
      <c r="H167" s="2">
        <v>320</v>
      </c>
      <c r="I167" s="2" t="s">
        <v>2193</v>
      </c>
      <c r="J167" s="2" t="s">
        <v>2192</v>
      </c>
      <c r="K167" s="2" t="s">
        <v>2194</v>
      </c>
      <c r="L167" s="2" t="s">
        <v>2195</v>
      </c>
      <c r="M167" s="2" t="s">
        <v>2196</v>
      </c>
      <c r="N167" s="2" t="s">
        <v>16</v>
      </c>
      <c r="O167" s="2" t="s">
        <v>16</v>
      </c>
      <c r="P167" s="2" t="s">
        <v>17</v>
      </c>
      <c r="Q167" s="2" t="s">
        <v>16</v>
      </c>
      <c r="R167" s="2" t="s">
        <v>16</v>
      </c>
      <c r="S167" s="2" t="s">
        <v>16</v>
      </c>
      <c r="T167" s="3">
        <v>112503</v>
      </c>
    </row>
    <row r="168" spans="1:20" ht="180" x14ac:dyDescent="0.2">
      <c r="A168" s="2" t="str">
        <f>VLOOKUP(B168,[1]raw_data!$B$4:$C$343,2,FALSE)</f>
        <v>Community School</v>
      </c>
      <c r="B168" s="2" t="s">
        <v>2697</v>
      </c>
      <c r="C168" s="2" t="s">
        <v>2192</v>
      </c>
      <c r="D168" s="2" t="s">
        <v>11</v>
      </c>
      <c r="E168" s="2">
        <v>275</v>
      </c>
      <c r="F168" s="2" t="s">
        <v>2435</v>
      </c>
      <c r="G168" s="2" t="s">
        <v>2199</v>
      </c>
      <c r="H168" s="2">
        <v>270</v>
      </c>
      <c r="I168" s="2" t="s">
        <v>2193</v>
      </c>
      <c r="J168" s="2" t="s">
        <v>2192</v>
      </c>
      <c r="K168" s="2" t="s">
        <v>2198</v>
      </c>
      <c r="L168" s="2" t="s">
        <v>2195</v>
      </c>
      <c r="M168" s="2" t="s">
        <v>2196</v>
      </c>
      <c r="N168" s="2" t="s">
        <v>16</v>
      </c>
      <c r="O168" s="2" t="s">
        <v>17</v>
      </c>
      <c r="P168" s="2" t="s">
        <v>17</v>
      </c>
      <c r="Q168" s="2" t="s">
        <v>17</v>
      </c>
      <c r="R168" s="2" t="s">
        <v>17</v>
      </c>
      <c r="S168" s="2" t="s">
        <v>16</v>
      </c>
      <c r="T168" s="3">
        <v>116635</v>
      </c>
    </row>
    <row r="169" spans="1:20" ht="168.75" x14ac:dyDescent="0.2">
      <c r="A169" s="2" t="str">
        <f>VLOOKUP(B169,[1]raw_data!$B$4:$C$343,2,FALSE)</f>
        <v>Public District</v>
      </c>
      <c r="B169" s="2" t="s">
        <v>2652</v>
      </c>
      <c r="C169" s="2" t="s">
        <v>1855</v>
      </c>
      <c r="D169" s="2" t="s">
        <v>204</v>
      </c>
      <c r="E169" s="2">
        <v>150</v>
      </c>
      <c r="F169" s="2" t="s">
        <v>2396</v>
      </c>
      <c r="G169" s="2" t="s">
        <v>1861</v>
      </c>
      <c r="H169" s="2">
        <v>1800</v>
      </c>
      <c r="I169" s="2" t="s">
        <v>1856</v>
      </c>
      <c r="J169" s="2" t="s">
        <v>1857</v>
      </c>
      <c r="K169" s="2" t="s">
        <v>1858</v>
      </c>
      <c r="L169" s="2" t="s">
        <v>1859</v>
      </c>
      <c r="M169" s="2" t="s">
        <v>1860</v>
      </c>
      <c r="N169" s="2" t="s">
        <v>16</v>
      </c>
      <c r="O169" s="2" t="s">
        <v>17</v>
      </c>
      <c r="P169" s="2" t="s">
        <v>17</v>
      </c>
      <c r="Q169" s="2" t="s">
        <v>17</v>
      </c>
      <c r="R169" s="2" t="s">
        <v>17</v>
      </c>
      <c r="S169" s="2" t="s">
        <v>17</v>
      </c>
      <c r="T169" s="3">
        <v>792097</v>
      </c>
    </row>
    <row r="170" spans="1:20" ht="101.25" x14ac:dyDescent="0.2">
      <c r="A170" s="2" t="str">
        <f>VLOOKUP(B170,[1]raw_data!$B$4:$C$343,2,FALSE)</f>
        <v>Public District</v>
      </c>
      <c r="B170" s="2" t="s">
        <v>2495</v>
      </c>
      <c r="C170" s="2" t="s">
        <v>493</v>
      </c>
      <c r="D170" s="2" t="s">
        <v>29</v>
      </c>
      <c r="E170" s="2">
        <v>144</v>
      </c>
      <c r="F170" s="2" t="s">
        <v>494</v>
      </c>
      <c r="G170" s="2" t="s">
        <v>500</v>
      </c>
      <c r="H170" s="2">
        <v>528</v>
      </c>
      <c r="I170" s="2" t="s">
        <v>495</v>
      </c>
      <c r="J170" s="2" t="s">
        <v>496</v>
      </c>
      <c r="K170" s="2" t="s">
        <v>497</v>
      </c>
      <c r="L170" s="2" t="s">
        <v>498</v>
      </c>
      <c r="M170" s="2" t="s">
        <v>499</v>
      </c>
      <c r="N170" s="2" t="s">
        <v>16</v>
      </c>
      <c r="O170" s="2" t="s">
        <v>16</v>
      </c>
      <c r="P170" s="2" t="s">
        <v>17</v>
      </c>
      <c r="Q170" s="2" t="s">
        <v>17</v>
      </c>
      <c r="R170" s="2" t="s">
        <v>17</v>
      </c>
      <c r="S170" s="2" t="s">
        <v>17</v>
      </c>
      <c r="T170" s="3">
        <v>1000000</v>
      </c>
    </row>
    <row r="171" spans="1:20" ht="101.25" x14ac:dyDescent="0.2">
      <c r="A171" s="2" t="str">
        <f>VLOOKUP(B171,[1]raw_data!$B$4:$C$343,2,FALSE)</f>
        <v>Public District</v>
      </c>
      <c r="B171" s="2" t="s">
        <v>2603</v>
      </c>
      <c r="C171" s="2" t="s">
        <v>1456</v>
      </c>
      <c r="D171" s="2" t="s">
        <v>604</v>
      </c>
      <c r="E171" s="2">
        <v>1</v>
      </c>
      <c r="F171" s="2" t="s">
        <v>2358</v>
      </c>
      <c r="G171" s="2" t="s">
        <v>1462</v>
      </c>
      <c r="H171" s="2">
        <v>2013</v>
      </c>
      <c r="I171" s="2" t="s">
        <v>1457</v>
      </c>
      <c r="J171" s="2" t="s">
        <v>1458</v>
      </c>
      <c r="K171" s="2" t="s">
        <v>1459</v>
      </c>
      <c r="L171" s="2" t="s">
        <v>1460</v>
      </c>
      <c r="M171" s="2" t="s">
        <v>1461</v>
      </c>
      <c r="N171" s="2" t="s">
        <v>16</v>
      </c>
      <c r="O171" s="2" t="s">
        <v>16</v>
      </c>
      <c r="P171" s="2" t="s">
        <v>17</v>
      </c>
      <c r="Q171" s="2" t="s">
        <v>17</v>
      </c>
      <c r="R171" s="2" t="s">
        <v>17</v>
      </c>
      <c r="S171" s="2" t="s">
        <v>16</v>
      </c>
      <c r="T171" s="3">
        <v>502705</v>
      </c>
    </row>
    <row r="172" spans="1:20" ht="157.5" x14ac:dyDescent="0.2">
      <c r="A172" s="2" t="str">
        <f>VLOOKUP(B172,[1]raw_data!$B$4:$C$343,2,FALSE)</f>
        <v>Public District</v>
      </c>
      <c r="B172" s="2" t="s">
        <v>2496</v>
      </c>
      <c r="C172" s="2" t="s">
        <v>501</v>
      </c>
      <c r="D172" s="2" t="s">
        <v>502</v>
      </c>
      <c r="E172" s="2">
        <v>51</v>
      </c>
      <c r="F172" s="2" t="s">
        <v>503</v>
      </c>
      <c r="G172" s="2" t="s">
        <v>509</v>
      </c>
      <c r="H172" s="2">
        <v>340</v>
      </c>
      <c r="I172" s="2" t="s">
        <v>504</v>
      </c>
      <c r="J172" s="2" t="s">
        <v>505</v>
      </c>
      <c r="K172" s="2" t="s">
        <v>506</v>
      </c>
      <c r="L172" s="2" t="s">
        <v>507</v>
      </c>
      <c r="M172" s="2" t="s">
        <v>508</v>
      </c>
      <c r="N172" s="2" t="s">
        <v>16</v>
      </c>
      <c r="O172" s="2" t="s">
        <v>17</v>
      </c>
      <c r="P172" s="2" t="s">
        <v>17</v>
      </c>
      <c r="Q172" s="2" t="s">
        <v>17</v>
      </c>
      <c r="R172" s="2" t="s">
        <v>17</v>
      </c>
      <c r="S172" s="2" t="s">
        <v>16</v>
      </c>
      <c r="T172" s="3">
        <v>556291.6</v>
      </c>
    </row>
    <row r="173" spans="1:20" ht="112.5" x14ac:dyDescent="0.2">
      <c r="A173" s="2" t="str">
        <f>VLOOKUP(B173,[1]raw_data!$B$4:$C$343,2,FALSE)</f>
        <v>Public District</v>
      </c>
      <c r="B173" s="2" t="s">
        <v>2496</v>
      </c>
      <c r="C173" s="2" t="s">
        <v>501</v>
      </c>
      <c r="D173" s="2" t="s">
        <v>502</v>
      </c>
      <c r="E173" s="2">
        <v>52</v>
      </c>
      <c r="F173" s="2" t="s">
        <v>2263</v>
      </c>
      <c r="G173" s="2" t="s">
        <v>514</v>
      </c>
      <c r="H173" s="2">
        <v>1700</v>
      </c>
      <c r="I173" s="2" t="s">
        <v>510</v>
      </c>
      <c r="J173" s="2" t="s">
        <v>511</v>
      </c>
      <c r="K173" s="2" t="s">
        <v>512</v>
      </c>
      <c r="L173" s="2">
        <v>7406877300</v>
      </c>
      <c r="M173" s="2" t="s">
        <v>513</v>
      </c>
      <c r="N173" s="2" t="s">
        <v>16</v>
      </c>
      <c r="O173" s="2" t="s">
        <v>17</v>
      </c>
      <c r="P173" s="2" t="s">
        <v>16</v>
      </c>
      <c r="Q173" s="2" t="s">
        <v>17</v>
      </c>
      <c r="R173" s="2" t="s">
        <v>16</v>
      </c>
      <c r="S173" s="2" t="s">
        <v>16</v>
      </c>
      <c r="T173" s="3">
        <v>329458.8</v>
      </c>
    </row>
    <row r="174" spans="1:20" ht="101.25" x14ac:dyDescent="0.2">
      <c r="A174" s="2" t="str">
        <f>VLOOKUP(B174,[1]raw_data!$B$4:$C$343,2,FALSE)</f>
        <v>Public District</v>
      </c>
      <c r="B174" s="2" t="s">
        <v>2659</v>
      </c>
      <c r="C174" s="2" t="s">
        <v>1917</v>
      </c>
      <c r="D174" s="2" t="s">
        <v>1903</v>
      </c>
      <c r="E174" s="2">
        <v>169</v>
      </c>
      <c r="F174" s="2" t="s">
        <v>2403</v>
      </c>
      <c r="G174" s="2" t="s">
        <v>1923</v>
      </c>
      <c r="H174" s="2">
        <v>8100</v>
      </c>
      <c r="I174" s="2" t="s">
        <v>1918</v>
      </c>
      <c r="J174" s="2" t="s">
        <v>1919</v>
      </c>
      <c r="K174" s="2" t="s">
        <v>1920</v>
      </c>
      <c r="L174" s="2" t="s">
        <v>1921</v>
      </c>
      <c r="M174" s="2" t="s">
        <v>1922</v>
      </c>
      <c r="N174" s="2" t="s">
        <v>17</v>
      </c>
      <c r="O174" s="2" t="s">
        <v>17</v>
      </c>
      <c r="P174" s="2" t="s">
        <v>17</v>
      </c>
      <c r="Q174" s="2" t="s">
        <v>17</v>
      </c>
      <c r="R174" s="2" t="s">
        <v>17</v>
      </c>
      <c r="S174" s="2" t="s">
        <v>17</v>
      </c>
      <c r="T174" s="3">
        <v>722841.99</v>
      </c>
    </row>
    <row r="175" spans="1:20" ht="101.25" x14ac:dyDescent="0.2">
      <c r="A175" s="2" t="str">
        <f>VLOOKUP(B175,[1]raw_data!$B$4:$C$343,2,FALSE)</f>
        <v>Public District</v>
      </c>
      <c r="B175" s="2" t="s">
        <v>2604</v>
      </c>
      <c r="C175" s="2" t="s">
        <v>1463</v>
      </c>
      <c r="D175" s="2" t="s">
        <v>604</v>
      </c>
      <c r="E175" s="2">
        <v>321</v>
      </c>
      <c r="F175" s="2" t="s">
        <v>2359</v>
      </c>
      <c r="G175" s="2" t="s">
        <v>1469</v>
      </c>
      <c r="H175" s="2">
        <v>250</v>
      </c>
      <c r="I175" s="2" t="s">
        <v>1464</v>
      </c>
      <c r="J175" s="2" t="s">
        <v>1465</v>
      </c>
      <c r="K175" s="2" t="s">
        <v>1466</v>
      </c>
      <c r="L175" s="2" t="s">
        <v>1467</v>
      </c>
      <c r="M175" s="2" t="s">
        <v>1468</v>
      </c>
      <c r="N175" s="2" t="s">
        <v>16</v>
      </c>
      <c r="O175" s="2" t="s">
        <v>16</v>
      </c>
      <c r="P175" s="2" t="s">
        <v>17</v>
      </c>
      <c r="Q175" s="2" t="s">
        <v>17</v>
      </c>
      <c r="R175" s="2" t="s">
        <v>17</v>
      </c>
      <c r="S175" s="2" t="s">
        <v>17</v>
      </c>
      <c r="T175" s="3" t="s">
        <v>1470</v>
      </c>
    </row>
    <row r="176" spans="1:20" ht="123.75" x14ac:dyDescent="0.2">
      <c r="A176" s="2" t="str">
        <f>VLOOKUP(B176,[1]raw_data!$B$4:$C$343,2,FALSE)</f>
        <v>Public District</v>
      </c>
      <c r="B176" s="2" t="s">
        <v>2497</v>
      </c>
      <c r="C176" s="2" t="s">
        <v>515</v>
      </c>
      <c r="D176" s="2" t="s">
        <v>59</v>
      </c>
      <c r="E176" s="2">
        <v>135</v>
      </c>
      <c r="F176" s="2" t="s">
        <v>516</v>
      </c>
      <c r="G176" s="2" t="s">
        <v>522</v>
      </c>
      <c r="H176" s="2">
        <v>2750</v>
      </c>
      <c r="I176" s="2" t="s">
        <v>517</v>
      </c>
      <c r="J176" s="2" t="s">
        <v>518</v>
      </c>
      <c r="K176" s="2" t="s">
        <v>519</v>
      </c>
      <c r="L176" s="2" t="s">
        <v>520</v>
      </c>
      <c r="M176" s="2" t="s">
        <v>521</v>
      </c>
      <c r="N176" s="2" t="s">
        <v>16</v>
      </c>
      <c r="O176" s="2" t="s">
        <v>17</v>
      </c>
      <c r="P176" s="2" t="s">
        <v>17</v>
      </c>
      <c r="Q176" s="2" t="s">
        <v>17</v>
      </c>
      <c r="R176" s="2" t="s">
        <v>17</v>
      </c>
      <c r="S176" s="2" t="s">
        <v>16</v>
      </c>
      <c r="T176" s="3">
        <v>1000000</v>
      </c>
    </row>
    <row r="177" spans="1:20" ht="180" x14ac:dyDescent="0.2">
      <c r="A177" s="2" t="str">
        <f>VLOOKUP(B177,[1]raw_data!$B$4:$C$343,2,FALSE)</f>
        <v>Public District</v>
      </c>
      <c r="B177" s="2" t="s">
        <v>2497</v>
      </c>
      <c r="C177" s="2" t="s">
        <v>515</v>
      </c>
      <c r="D177" s="2" t="s">
        <v>59</v>
      </c>
      <c r="E177" s="2">
        <v>136</v>
      </c>
      <c r="F177" s="2" t="s">
        <v>2264</v>
      </c>
      <c r="G177" s="2" t="s">
        <v>528</v>
      </c>
      <c r="H177" s="2">
        <v>183</v>
      </c>
      <c r="I177" s="2" t="s">
        <v>523</v>
      </c>
      <c r="J177" s="2" t="s">
        <v>524</v>
      </c>
      <c r="K177" s="2" t="s">
        <v>525</v>
      </c>
      <c r="L177" s="2" t="s">
        <v>526</v>
      </c>
      <c r="M177" s="2" t="s">
        <v>527</v>
      </c>
      <c r="N177" s="2" t="s">
        <v>16</v>
      </c>
      <c r="O177" s="2" t="s">
        <v>17</v>
      </c>
      <c r="P177" s="2" t="s">
        <v>17</v>
      </c>
      <c r="Q177" s="2" t="s">
        <v>17</v>
      </c>
      <c r="R177" s="2" t="s">
        <v>16</v>
      </c>
      <c r="S177" s="2" t="s">
        <v>16</v>
      </c>
      <c r="T177" s="3">
        <v>992965</v>
      </c>
    </row>
    <row r="178" spans="1:20" ht="180" x14ac:dyDescent="0.2">
      <c r="A178" s="2" t="str">
        <f>VLOOKUP(B178,[1]raw_data!$B$4:$C$343,2,FALSE)</f>
        <v>Public District</v>
      </c>
      <c r="B178" s="2" t="s">
        <v>2662</v>
      </c>
      <c r="C178" s="2" t="s">
        <v>1939</v>
      </c>
      <c r="D178" s="2" t="s">
        <v>1940</v>
      </c>
      <c r="E178" s="2">
        <v>196</v>
      </c>
      <c r="F178" s="2" t="s">
        <v>2405</v>
      </c>
      <c r="G178" s="2" t="s">
        <v>1946</v>
      </c>
      <c r="H178" s="2">
        <v>2166</v>
      </c>
      <c r="I178" s="2" t="s">
        <v>1941</v>
      </c>
      <c r="J178" s="2" t="s">
        <v>1942</v>
      </c>
      <c r="K178" s="2" t="s">
        <v>1943</v>
      </c>
      <c r="L178" s="2" t="s">
        <v>1944</v>
      </c>
      <c r="M178" s="2" t="s">
        <v>1945</v>
      </c>
      <c r="N178" s="2" t="s">
        <v>17</v>
      </c>
      <c r="O178" s="2" t="s">
        <v>17</v>
      </c>
      <c r="P178" s="2" t="s">
        <v>17</v>
      </c>
      <c r="Q178" s="2" t="s">
        <v>17</v>
      </c>
      <c r="R178" s="2" t="s">
        <v>17</v>
      </c>
      <c r="S178" s="2" t="s">
        <v>17</v>
      </c>
      <c r="T178" s="3">
        <v>3556476</v>
      </c>
    </row>
    <row r="179" spans="1:20" ht="180" x14ac:dyDescent="0.2">
      <c r="A179" s="2" t="str">
        <f>VLOOKUP(B179,[1]raw_data!$B$4:$C$343,2,FALSE)</f>
        <v>Public District</v>
      </c>
      <c r="B179" s="2" t="s">
        <v>2663</v>
      </c>
      <c r="C179" s="2" t="s">
        <v>1947</v>
      </c>
      <c r="D179" s="2" t="s">
        <v>456</v>
      </c>
      <c r="E179" s="2">
        <v>288</v>
      </c>
      <c r="F179" s="2" t="s">
        <v>2406</v>
      </c>
      <c r="G179" s="2" t="s">
        <v>1953</v>
      </c>
      <c r="H179" s="2">
        <v>500</v>
      </c>
      <c r="I179" s="2" t="s">
        <v>1948</v>
      </c>
      <c r="J179" s="2" t="s">
        <v>1949</v>
      </c>
      <c r="K179" s="2" t="s">
        <v>1950</v>
      </c>
      <c r="L179" s="2" t="s">
        <v>1951</v>
      </c>
      <c r="M179" s="2" t="s">
        <v>1952</v>
      </c>
      <c r="N179" s="2" t="s">
        <v>16</v>
      </c>
      <c r="O179" s="2" t="s">
        <v>17</v>
      </c>
      <c r="P179" s="2" t="s">
        <v>17</v>
      </c>
      <c r="Q179" s="2" t="s">
        <v>17</v>
      </c>
      <c r="R179" s="2" t="s">
        <v>17</v>
      </c>
      <c r="S179" s="2" t="s">
        <v>17</v>
      </c>
      <c r="T179" s="3">
        <v>932046</v>
      </c>
    </row>
    <row r="180" spans="1:20" ht="180" x14ac:dyDescent="0.2">
      <c r="A180" s="2" t="str">
        <f>VLOOKUP(B180,[1]raw_data!$B$4:$C$343,2,FALSE)</f>
        <v>Educational Service Center</v>
      </c>
      <c r="B180" s="2" t="s">
        <v>2606</v>
      </c>
      <c r="C180" s="2" t="s">
        <v>1478</v>
      </c>
      <c r="D180" s="2" t="s">
        <v>1479</v>
      </c>
      <c r="E180" s="2">
        <v>198</v>
      </c>
      <c r="F180" s="2" t="s">
        <v>2361</v>
      </c>
      <c r="G180" s="2" t="s">
        <v>1485</v>
      </c>
      <c r="H180" s="2">
        <v>1732</v>
      </c>
      <c r="I180" s="2" t="s">
        <v>1480</v>
      </c>
      <c r="J180" s="2" t="s">
        <v>1481</v>
      </c>
      <c r="K180" s="2" t="s">
        <v>1482</v>
      </c>
      <c r="L180" s="2" t="s">
        <v>1483</v>
      </c>
      <c r="M180" s="2" t="s">
        <v>1484</v>
      </c>
      <c r="N180" s="2" t="s">
        <v>17</v>
      </c>
      <c r="O180" s="2" t="s">
        <v>17</v>
      </c>
      <c r="P180" s="2" t="s">
        <v>17</v>
      </c>
      <c r="Q180" s="2" t="s">
        <v>17</v>
      </c>
      <c r="R180" s="2" t="s">
        <v>17</v>
      </c>
      <c r="S180" s="2" t="s">
        <v>16</v>
      </c>
      <c r="T180" s="3">
        <v>500000</v>
      </c>
    </row>
    <row r="181" spans="1:20" ht="168.75" x14ac:dyDescent="0.2">
      <c r="A181" s="2" t="str">
        <f>VLOOKUP(B181,[1]raw_data!$B$4:$C$343,2,FALSE)</f>
        <v>Public District</v>
      </c>
      <c r="B181" s="2" t="s">
        <v>2634</v>
      </c>
      <c r="C181" s="2" t="s">
        <v>1704</v>
      </c>
      <c r="D181" s="2" t="s">
        <v>1705</v>
      </c>
      <c r="E181" s="2">
        <v>72</v>
      </c>
      <c r="F181" s="2" t="s">
        <v>2384</v>
      </c>
      <c r="G181" s="2" t="s">
        <v>1711</v>
      </c>
      <c r="H181" s="2">
        <v>1200</v>
      </c>
      <c r="I181" s="2" t="s">
        <v>1706</v>
      </c>
      <c r="J181" s="2" t="s">
        <v>1707</v>
      </c>
      <c r="K181" s="2" t="s">
        <v>1708</v>
      </c>
      <c r="L181" s="2" t="s">
        <v>1709</v>
      </c>
      <c r="M181" s="2" t="s">
        <v>1710</v>
      </c>
      <c r="N181" s="2" t="s">
        <v>16</v>
      </c>
      <c r="O181" s="2" t="s">
        <v>17</v>
      </c>
      <c r="P181" s="2" t="s">
        <v>17</v>
      </c>
      <c r="Q181" s="2" t="s">
        <v>16</v>
      </c>
      <c r="R181" s="2" t="s">
        <v>16</v>
      </c>
      <c r="S181" s="2" t="s">
        <v>16</v>
      </c>
      <c r="T181" s="3">
        <v>793200</v>
      </c>
    </row>
    <row r="182" spans="1:20" ht="180" x14ac:dyDescent="0.2">
      <c r="A182" s="2" t="str">
        <f>VLOOKUP(B182,[1]raw_data!$B$4:$C$343,2,FALSE)</f>
        <v>Public District</v>
      </c>
      <c r="B182" s="2" t="s">
        <v>2498</v>
      </c>
      <c r="C182" s="2" t="s">
        <v>529</v>
      </c>
      <c r="D182" s="2" t="s">
        <v>530</v>
      </c>
      <c r="E182" s="2">
        <v>16</v>
      </c>
      <c r="F182" s="2" t="s">
        <v>2265</v>
      </c>
      <c r="G182" s="2" t="s">
        <v>536</v>
      </c>
      <c r="H182" s="2">
        <v>1800</v>
      </c>
      <c r="I182" s="2" t="s">
        <v>531</v>
      </c>
      <c r="J182" s="2" t="s">
        <v>532</v>
      </c>
      <c r="K182" s="2" t="s">
        <v>533</v>
      </c>
      <c r="L182" s="2" t="s">
        <v>534</v>
      </c>
      <c r="M182" s="2" t="s">
        <v>535</v>
      </c>
      <c r="N182" s="2" t="s">
        <v>16</v>
      </c>
      <c r="O182" s="2" t="s">
        <v>17</v>
      </c>
      <c r="P182" s="2" t="s">
        <v>17</v>
      </c>
      <c r="Q182" s="2" t="s">
        <v>17</v>
      </c>
      <c r="R182" s="2" t="s">
        <v>17</v>
      </c>
      <c r="S182" s="2" t="s">
        <v>16</v>
      </c>
      <c r="T182" s="3">
        <v>1000000</v>
      </c>
    </row>
    <row r="183" spans="1:20" ht="168.75" x14ac:dyDescent="0.2">
      <c r="A183" s="2" t="str">
        <f>VLOOKUP(B183,[1]raw_data!$B$4:$C$343,2,FALSE)</f>
        <v>Public District</v>
      </c>
      <c r="B183" s="2" t="s">
        <v>2499</v>
      </c>
      <c r="C183" s="2" t="s">
        <v>537</v>
      </c>
      <c r="D183" s="2" t="s">
        <v>423</v>
      </c>
      <c r="E183" s="2">
        <v>273</v>
      </c>
      <c r="F183" s="2" t="s">
        <v>538</v>
      </c>
      <c r="G183" s="2" t="s">
        <v>544</v>
      </c>
      <c r="H183" s="2">
        <v>660</v>
      </c>
      <c r="I183" s="2" t="s">
        <v>539</v>
      </c>
      <c r="J183" s="2" t="s">
        <v>540</v>
      </c>
      <c r="K183" s="2" t="s">
        <v>541</v>
      </c>
      <c r="L183" s="2" t="s">
        <v>542</v>
      </c>
      <c r="M183" s="2" t="s">
        <v>543</v>
      </c>
      <c r="N183" s="2" t="s">
        <v>16</v>
      </c>
      <c r="O183" s="2" t="s">
        <v>17</v>
      </c>
      <c r="P183" s="2" t="s">
        <v>17</v>
      </c>
      <c r="Q183" s="2" t="s">
        <v>17</v>
      </c>
      <c r="R183" s="2" t="s">
        <v>17</v>
      </c>
      <c r="S183" s="2" t="s">
        <v>16</v>
      </c>
      <c r="T183" s="3">
        <v>955000</v>
      </c>
    </row>
    <row r="184" spans="1:20" ht="33.75" x14ac:dyDescent="0.2">
      <c r="A184" s="2" t="str">
        <f>VLOOKUP(B184,[1]raw_data!$B$4:$C$343,2,FALSE)</f>
        <v>Joint Vocational School District</v>
      </c>
      <c r="B184" s="2" t="s">
        <v>2669</v>
      </c>
      <c r="C184" s="2" t="s">
        <v>1991</v>
      </c>
      <c r="D184" s="2" t="s">
        <v>423</v>
      </c>
      <c r="E184" s="2">
        <v>172</v>
      </c>
      <c r="F184" s="2" t="s">
        <v>2411</v>
      </c>
      <c r="G184" s="2" t="s">
        <v>1996</v>
      </c>
      <c r="H184" s="2">
        <v>1500</v>
      </c>
      <c r="I184" s="2" t="s">
        <v>1992</v>
      </c>
      <c r="J184" s="2" t="s">
        <v>1991</v>
      </c>
      <c r="K184" s="2" t="s">
        <v>1993</v>
      </c>
      <c r="L184" s="2" t="s">
        <v>1994</v>
      </c>
      <c r="M184" s="2" t="s">
        <v>1995</v>
      </c>
      <c r="N184" s="2" t="s">
        <v>16</v>
      </c>
      <c r="O184" s="2" t="s">
        <v>16</v>
      </c>
      <c r="P184" s="2" t="s">
        <v>17</v>
      </c>
      <c r="Q184" s="2" t="s">
        <v>17</v>
      </c>
      <c r="R184" s="2" t="s">
        <v>16</v>
      </c>
      <c r="S184" s="2" t="s">
        <v>16</v>
      </c>
      <c r="T184" s="3">
        <v>541000</v>
      </c>
    </row>
    <row r="185" spans="1:20" ht="168.75" x14ac:dyDescent="0.2">
      <c r="A185" s="2" t="str">
        <f>VLOOKUP(B185,[1]raw_data!$B$4:$C$343,2,FALSE)</f>
        <v>Public District</v>
      </c>
      <c r="B185" s="2" t="s">
        <v>2660</v>
      </c>
      <c r="C185" s="2" t="s">
        <v>1924</v>
      </c>
      <c r="D185" s="2" t="s">
        <v>1903</v>
      </c>
      <c r="E185" s="2">
        <v>233</v>
      </c>
      <c r="F185" s="2" t="s">
        <v>2404</v>
      </c>
      <c r="G185" s="2" t="s">
        <v>1930</v>
      </c>
      <c r="H185" s="2">
        <v>260</v>
      </c>
      <c r="I185" s="2" t="s">
        <v>1925</v>
      </c>
      <c r="J185" s="2" t="s">
        <v>1926</v>
      </c>
      <c r="K185" s="2" t="s">
        <v>1927</v>
      </c>
      <c r="L185" s="2" t="s">
        <v>1928</v>
      </c>
      <c r="M185" s="2" t="s">
        <v>1929</v>
      </c>
      <c r="N185" s="2" t="s">
        <v>16</v>
      </c>
      <c r="O185" s="2" t="s">
        <v>16</v>
      </c>
      <c r="P185" s="2" t="s">
        <v>17</v>
      </c>
      <c r="Q185" s="2" t="s">
        <v>16</v>
      </c>
      <c r="R185" s="2" t="s">
        <v>16</v>
      </c>
      <c r="S185" s="2" t="s">
        <v>16</v>
      </c>
      <c r="T185" s="3">
        <v>110463.22</v>
      </c>
    </row>
    <row r="186" spans="1:20" ht="168.75" x14ac:dyDescent="0.2">
      <c r="A186" s="2" t="str">
        <f>VLOOKUP(B186,[1]raw_data!$B$4:$C$343,2,FALSE)</f>
        <v>Public District</v>
      </c>
      <c r="B186" s="2" t="s">
        <v>2616</v>
      </c>
      <c r="C186" s="2" t="s">
        <v>1553</v>
      </c>
      <c r="D186" s="2" t="s">
        <v>1547</v>
      </c>
      <c r="E186" s="2">
        <v>237</v>
      </c>
      <c r="F186" s="2" t="s">
        <v>2367</v>
      </c>
      <c r="G186" s="2" t="s">
        <v>1559</v>
      </c>
      <c r="H186" s="2">
        <v>500</v>
      </c>
      <c r="I186" s="2" t="s">
        <v>1554</v>
      </c>
      <c r="J186" s="2" t="s">
        <v>1555</v>
      </c>
      <c r="K186" s="2" t="s">
        <v>1556</v>
      </c>
      <c r="L186" s="2" t="s">
        <v>1557</v>
      </c>
      <c r="M186" s="2" t="s">
        <v>1558</v>
      </c>
      <c r="N186" s="2" t="s">
        <v>16</v>
      </c>
      <c r="O186" s="2" t="s">
        <v>16</v>
      </c>
      <c r="P186" s="2" t="s">
        <v>17</v>
      </c>
      <c r="Q186" s="2" t="s">
        <v>17</v>
      </c>
      <c r="R186" s="2" t="s">
        <v>17</v>
      </c>
      <c r="S186" s="2" t="s">
        <v>16</v>
      </c>
      <c r="T186" s="3">
        <v>203000</v>
      </c>
    </row>
    <row r="187" spans="1:20" ht="180" x14ac:dyDescent="0.2">
      <c r="A187" s="2" t="str">
        <f>VLOOKUP(B187,[1]raw_data!$B$4:$C$343,2,FALSE)</f>
        <v>Educational Service Center</v>
      </c>
      <c r="B187" s="2" t="s">
        <v>2617</v>
      </c>
      <c r="C187" s="2" t="s">
        <v>1560</v>
      </c>
      <c r="D187" s="2" t="s">
        <v>746</v>
      </c>
      <c r="E187" s="2">
        <v>57</v>
      </c>
      <c r="F187" s="2" t="s">
        <v>2368</v>
      </c>
      <c r="G187" s="2" t="s">
        <v>1565</v>
      </c>
      <c r="H187" s="2">
        <v>33000</v>
      </c>
      <c r="I187" s="2" t="s">
        <v>1561</v>
      </c>
      <c r="J187" s="2" t="s">
        <v>1560</v>
      </c>
      <c r="K187" s="2" t="s">
        <v>1562</v>
      </c>
      <c r="L187" s="2" t="s">
        <v>1563</v>
      </c>
      <c r="M187" s="2" t="s">
        <v>1564</v>
      </c>
      <c r="N187" s="2" t="s">
        <v>17</v>
      </c>
      <c r="O187" s="2" t="s">
        <v>17</v>
      </c>
      <c r="P187" s="2" t="s">
        <v>17</v>
      </c>
      <c r="Q187" s="2" t="s">
        <v>17</v>
      </c>
      <c r="R187" s="2" t="s">
        <v>17</v>
      </c>
      <c r="S187" s="2" t="s">
        <v>17</v>
      </c>
      <c r="T187" s="3">
        <v>4805500</v>
      </c>
    </row>
    <row r="188" spans="1:20" ht="168.75" x14ac:dyDescent="0.2">
      <c r="A188" s="2" t="str">
        <f>VLOOKUP(B188,[1]raw_data!$B$4:$C$343,2,FALSE)</f>
        <v>Community School</v>
      </c>
      <c r="B188" s="2" t="s">
        <v>2442</v>
      </c>
      <c r="C188" s="2" t="s">
        <v>35</v>
      </c>
      <c r="D188" s="2" t="s">
        <v>36</v>
      </c>
      <c r="E188" s="2">
        <v>149</v>
      </c>
      <c r="F188" s="2" t="s">
        <v>37</v>
      </c>
      <c r="G188" s="2" t="s">
        <v>43</v>
      </c>
      <c r="H188" s="2">
        <v>200</v>
      </c>
      <c r="I188" s="2" t="s">
        <v>38</v>
      </c>
      <c r="J188" s="2" t="s">
        <v>39</v>
      </c>
      <c r="K188" s="2" t="s">
        <v>40</v>
      </c>
      <c r="L188" s="2" t="s">
        <v>41</v>
      </c>
      <c r="M188" s="2" t="s">
        <v>42</v>
      </c>
      <c r="N188" s="2" t="s">
        <v>16</v>
      </c>
      <c r="O188" s="2" t="s">
        <v>17</v>
      </c>
      <c r="P188" s="2" t="s">
        <v>17</v>
      </c>
      <c r="Q188" s="2" t="s">
        <v>17</v>
      </c>
      <c r="R188" s="2" t="s">
        <v>17</v>
      </c>
      <c r="S188" s="2" t="s">
        <v>16</v>
      </c>
      <c r="T188" s="3">
        <v>1000000</v>
      </c>
    </row>
    <row r="189" spans="1:20" ht="180" x14ac:dyDescent="0.2">
      <c r="A189" s="2" t="str">
        <f>VLOOKUP(B189,[1]raw_data!$B$4:$C$343,2,FALSE)</f>
        <v>Public District</v>
      </c>
      <c r="B189" s="2" t="s">
        <v>2500</v>
      </c>
      <c r="C189" s="2" t="s">
        <v>545</v>
      </c>
      <c r="D189" s="2" t="s">
        <v>29</v>
      </c>
      <c r="E189" s="2">
        <v>164</v>
      </c>
      <c r="F189" s="2" t="s">
        <v>546</v>
      </c>
      <c r="G189" s="2" t="s">
        <v>552</v>
      </c>
      <c r="H189" s="2">
        <v>2200</v>
      </c>
      <c r="I189" s="2" t="s">
        <v>547</v>
      </c>
      <c r="J189" s="2" t="s">
        <v>548</v>
      </c>
      <c r="K189" s="2" t="s">
        <v>549</v>
      </c>
      <c r="L189" s="2" t="s">
        <v>550</v>
      </c>
      <c r="M189" s="2" t="s">
        <v>551</v>
      </c>
      <c r="N189" s="2" t="s">
        <v>16</v>
      </c>
      <c r="O189" s="2" t="s">
        <v>17</v>
      </c>
      <c r="P189" s="2" t="s">
        <v>17</v>
      </c>
      <c r="Q189" s="2" t="s">
        <v>17</v>
      </c>
      <c r="R189" s="2" t="s">
        <v>17</v>
      </c>
      <c r="S189" s="2" t="s">
        <v>17</v>
      </c>
      <c r="T189" s="3">
        <v>1000000</v>
      </c>
    </row>
    <row r="190" spans="1:20" ht="168.75" x14ac:dyDescent="0.2">
      <c r="A190" s="2" t="str">
        <f>VLOOKUP(B190,[1]raw_data!$B$4:$C$343,2,FALSE)</f>
        <v>Public District</v>
      </c>
      <c r="B190" s="2" t="s">
        <v>2501</v>
      </c>
      <c r="C190" s="2" t="s">
        <v>553</v>
      </c>
      <c r="D190" s="2" t="s">
        <v>554</v>
      </c>
      <c r="E190" s="2">
        <v>11</v>
      </c>
      <c r="F190" s="2" t="s">
        <v>555</v>
      </c>
      <c r="G190" s="2" t="s">
        <v>561</v>
      </c>
      <c r="H190" s="2">
        <v>2932</v>
      </c>
      <c r="I190" s="2" t="s">
        <v>556</v>
      </c>
      <c r="J190" s="2" t="s">
        <v>557</v>
      </c>
      <c r="K190" s="2" t="s">
        <v>558</v>
      </c>
      <c r="L190" s="2" t="s">
        <v>559</v>
      </c>
      <c r="M190" s="2" t="s">
        <v>560</v>
      </c>
      <c r="N190" s="2" t="s">
        <v>16</v>
      </c>
      <c r="O190" s="2" t="s">
        <v>16</v>
      </c>
      <c r="P190" s="2" t="s">
        <v>16</v>
      </c>
      <c r="Q190" s="2" t="s">
        <v>17</v>
      </c>
      <c r="R190" s="2" t="s">
        <v>17</v>
      </c>
      <c r="S190" s="2" t="s">
        <v>16</v>
      </c>
      <c r="T190" s="3">
        <v>999959</v>
      </c>
    </row>
    <row r="191" spans="1:20" ht="180" x14ac:dyDescent="0.2">
      <c r="A191" s="2" t="str">
        <f>VLOOKUP(B191,[1]raw_data!$B$4:$C$343,2,FALSE)</f>
        <v>Public District</v>
      </c>
      <c r="B191" s="2" t="s">
        <v>2502</v>
      </c>
      <c r="C191" s="2" t="s">
        <v>562</v>
      </c>
      <c r="D191" s="2" t="s">
        <v>563</v>
      </c>
      <c r="E191" s="2">
        <v>215</v>
      </c>
      <c r="F191" s="2" t="s">
        <v>564</v>
      </c>
      <c r="G191" s="2" t="s">
        <v>570</v>
      </c>
      <c r="H191" s="2">
        <v>10800</v>
      </c>
      <c r="I191" s="2" t="s">
        <v>565</v>
      </c>
      <c r="J191" s="2" t="s">
        <v>566</v>
      </c>
      <c r="K191" s="2" t="s">
        <v>567</v>
      </c>
      <c r="L191" s="2" t="s">
        <v>568</v>
      </c>
      <c r="M191" s="2" t="s">
        <v>569</v>
      </c>
      <c r="N191" s="2" t="s">
        <v>17</v>
      </c>
      <c r="O191" s="2" t="s">
        <v>17</v>
      </c>
      <c r="P191" s="2" t="s">
        <v>17</v>
      </c>
      <c r="Q191" s="2" t="s">
        <v>17</v>
      </c>
      <c r="R191" s="2" t="s">
        <v>16</v>
      </c>
      <c r="S191" s="2" t="s">
        <v>16</v>
      </c>
      <c r="T191" s="3">
        <v>1843300</v>
      </c>
    </row>
    <row r="192" spans="1:20" ht="146.25" x14ac:dyDescent="0.2">
      <c r="A192" s="2" t="str">
        <f>VLOOKUP(B192,[1]raw_data!$B$4:$C$343,2,FALSE)</f>
        <v>Community School</v>
      </c>
      <c r="B192" s="2" t="s">
        <v>2446</v>
      </c>
      <c r="C192" s="2" t="s">
        <v>66</v>
      </c>
      <c r="D192" s="2" t="s">
        <v>11</v>
      </c>
      <c r="E192" s="2">
        <v>20</v>
      </c>
      <c r="F192" s="2" t="s">
        <v>2223</v>
      </c>
      <c r="G192" s="2" t="s">
        <v>72</v>
      </c>
      <c r="H192" s="2">
        <v>1500</v>
      </c>
      <c r="I192" s="2" t="s">
        <v>67</v>
      </c>
      <c r="J192" s="2" t="s">
        <v>68</v>
      </c>
      <c r="K192" s="2" t="s">
        <v>69</v>
      </c>
      <c r="L192" s="2" t="s">
        <v>70</v>
      </c>
      <c r="M192" s="2" t="s">
        <v>71</v>
      </c>
      <c r="N192" s="2" t="s">
        <v>16</v>
      </c>
      <c r="O192" s="2" t="s">
        <v>17</v>
      </c>
      <c r="P192" s="2" t="s">
        <v>17</v>
      </c>
      <c r="Q192" s="2" t="s">
        <v>17</v>
      </c>
      <c r="R192" s="2" t="s">
        <v>17</v>
      </c>
      <c r="S192" s="2" t="s">
        <v>16</v>
      </c>
      <c r="T192" s="3">
        <v>1000000</v>
      </c>
    </row>
    <row r="193" spans="1:20" ht="90" x14ac:dyDescent="0.2">
      <c r="A193" s="2" t="str">
        <f>VLOOKUP(B193,[1]raw_data!$B$4:$C$343,2,FALSE)</f>
        <v>Public District</v>
      </c>
      <c r="B193" s="2" t="s">
        <v>2503</v>
      </c>
      <c r="C193" s="2" t="s">
        <v>571</v>
      </c>
      <c r="D193" s="2" t="s">
        <v>204</v>
      </c>
      <c r="E193" s="2">
        <v>60</v>
      </c>
      <c r="F193" s="2" t="s">
        <v>2266</v>
      </c>
      <c r="G193" s="2" t="s">
        <v>576</v>
      </c>
      <c r="H193" s="2">
        <v>4880</v>
      </c>
      <c r="I193" s="2" t="s">
        <v>572</v>
      </c>
      <c r="J193" s="2" t="s">
        <v>573</v>
      </c>
      <c r="K193" s="2" t="s">
        <v>574</v>
      </c>
      <c r="L193" s="2">
        <v>3308303900</v>
      </c>
      <c r="M193" s="2" t="s">
        <v>575</v>
      </c>
      <c r="N193" s="2" t="s">
        <v>17</v>
      </c>
      <c r="O193" s="2" t="s">
        <v>17</v>
      </c>
      <c r="P193" s="2" t="s">
        <v>17</v>
      </c>
      <c r="Q193" s="2" t="s">
        <v>17</v>
      </c>
      <c r="R193" s="2" t="s">
        <v>17</v>
      </c>
      <c r="S193" s="2" t="s">
        <v>17</v>
      </c>
      <c r="T193" s="3">
        <v>882272.45</v>
      </c>
    </row>
    <row r="194" spans="1:20" ht="78.75" x14ac:dyDescent="0.2">
      <c r="A194" s="2" t="str">
        <f>VLOOKUP(B194,[1]raw_data!$B$4:$C$343,2,FALSE)</f>
        <v>Public District</v>
      </c>
      <c r="B194" s="2" t="s">
        <v>2540</v>
      </c>
      <c r="C194" s="2" t="s">
        <v>895</v>
      </c>
      <c r="D194" s="2" t="s">
        <v>896</v>
      </c>
      <c r="E194" s="2">
        <v>116</v>
      </c>
      <c r="F194" s="2" t="s">
        <v>2294</v>
      </c>
      <c r="G194" s="2" t="s">
        <v>900</v>
      </c>
      <c r="H194" s="2">
        <v>880</v>
      </c>
      <c r="I194" s="2" t="s">
        <v>897</v>
      </c>
      <c r="J194" s="2" t="s">
        <v>895</v>
      </c>
      <c r="K194" s="2" t="s">
        <v>898</v>
      </c>
      <c r="L194" s="2">
        <v>9378342453</v>
      </c>
      <c r="M194" s="2" t="s">
        <v>899</v>
      </c>
      <c r="N194" s="2" t="s">
        <v>16</v>
      </c>
      <c r="O194" s="2" t="s">
        <v>17</v>
      </c>
      <c r="P194" s="2" t="s">
        <v>17</v>
      </c>
      <c r="Q194" s="2" t="s">
        <v>17</v>
      </c>
      <c r="R194" s="2" t="s">
        <v>17</v>
      </c>
      <c r="S194" s="2" t="s">
        <v>17</v>
      </c>
      <c r="T194" s="3">
        <v>312278</v>
      </c>
    </row>
    <row r="195" spans="1:20" ht="180" x14ac:dyDescent="0.2">
      <c r="A195" s="2" t="str">
        <f>VLOOKUP(B195,[1]raw_data!$B$4:$C$343,2,FALSE)</f>
        <v>Public District</v>
      </c>
      <c r="B195" s="2" t="s">
        <v>2540</v>
      </c>
      <c r="C195" s="2" t="s">
        <v>895</v>
      </c>
      <c r="D195" s="2" t="s">
        <v>896</v>
      </c>
      <c r="E195" s="2">
        <v>115</v>
      </c>
      <c r="F195" s="2" t="s">
        <v>2295</v>
      </c>
      <c r="G195" s="2" t="s">
        <v>902</v>
      </c>
      <c r="H195" s="2">
        <v>120</v>
      </c>
      <c r="I195" s="2" t="s">
        <v>897</v>
      </c>
      <c r="J195" s="2" t="s">
        <v>895</v>
      </c>
      <c r="K195" s="2" t="s">
        <v>898</v>
      </c>
      <c r="L195" s="2" t="s">
        <v>901</v>
      </c>
      <c r="M195" s="2" t="s">
        <v>899</v>
      </c>
      <c r="N195" s="2" t="s">
        <v>16</v>
      </c>
      <c r="O195" s="2" t="s">
        <v>17</v>
      </c>
      <c r="P195" s="2" t="s">
        <v>17</v>
      </c>
      <c r="Q195" s="2" t="s">
        <v>17</v>
      </c>
      <c r="R195" s="2" t="s">
        <v>16</v>
      </c>
      <c r="S195" s="2" t="s">
        <v>17</v>
      </c>
      <c r="T195" s="3">
        <v>833821</v>
      </c>
    </row>
    <row r="196" spans="1:20" ht="168.75" x14ac:dyDescent="0.2">
      <c r="A196" s="2" t="str">
        <f>VLOOKUP(B196,[1]raw_data!$B$4:$C$343,2,FALSE)</f>
        <v>Public District</v>
      </c>
      <c r="B196" s="2" t="s">
        <v>2504</v>
      </c>
      <c r="C196" s="2" t="s">
        <v>577</v>
      </c>
      <c r="D196" s="2" t="s">
        <v>578</v>
      </c>
      <c r="E196" s="2">
        <v>227</v>
      </c>
      <c r="F196" s="2" t="s">
        <v>579</v>
      </c>
      <c r="G196" s="2" t="s">
        <v>584</v>
      </c>
      <c r="H196" s="2">
        <v>36627</v>
      </c>
      <c r="I196" s="2" t="s">
        <v>580</v>
      </c>
      <c r="J196" s="2" t="s">
        <v>219</v>
      </c>
      <c r="K196" s="2" t="s">
        <v>581</v>
      </c>
      <c r="L196" s="2" t="s">
        <v>582</v>
      </c>
      <c r="M196" s="2" t="s">
        <v>583</v>
      </c>
      <c r="N196" s="2" t="s">
        <v>17</v>
      </c>
      <c r="O196" s="2" t="s">
        <v>17</v>
      </c>
      <c r="P196" s="2" t="s">
        <v>16</v>
      </c>
      <c r="Q196" s="2" t="s">
        <v>17</v>
      </c>
      <c r="R196" s="2" t="s">
        <v>17</v>
      </c>
      <c r="S196" s="2" t="s">
        <v>17</v>
      </c>
      <c r="T196" s="3">
        <v>5038180</v>
      </c>
    </row>
    <row r="197" spans="1:20" ht="135" x14ac:dyDescent="0.2">
      <c r="A197" s="2" t="str">
        <f>VLOOKUP(B197,[1]raw_data!$B$4:$C$343,2,FALSE)</f>
        <v>Joint Vocational School District</v>
      </c>
      <c r="B197" s="2" t="s">
        <v>2678</v>
      </c>
      <c r="C197" s="2" t="s">
        <v>2065</v>
      </c>
      <c r="D197" s="2" t="s">
        <v>578</v>
      </c>
      <c r="E197" s="2">
        <v>21</v>
      </c>
      <c r="F197" s="2" t="s">
        <v>2419</v>
      </c>
      <c r="G197" s="2" t="s">
        <v>2071</v>
      </c>
      <c r="H197" s="2">
        <v>500</v>
      </c>
      <c r="I197" s="2" t="s">
        <v>2066</v>
      </c>
      <c r="J197" s="2" t="s">
        <v>2067</v>
      </c>
      <c r="K197" s="2" t="s">
        <v>2068</v>
      </c>
      <c r="L197" s="2" t="s">
        <v>2069</v>
      </c>
      <c r="M197" s="2" t="s">
        <v>2070</v>
      </c>
      <c r="N197" s="2" t="s">
        <v>16</v>
      </c>
      <c r="O197" s="2" t="s">
        <v>17</v>
      </c>
      <c r="P197" s="2" t="s">
        <v>17</v>
      </c>
      <c r="Q197" s="2" t="s">
        <v>17</v>
      </c>
      <c r="R197" s="2" t="s">
        <v>17</v>
      </c>
      <c r="S197" s="2" t="s">
        <v>17</v>
      </c>
      <c r="T197" s="3">
        <v>986261</v>
      </c>
    </row>
    <row r="198" spans="1:20" ht="67.5" x14ac:dyDescent="0.2">
      <c r="A198" s="2" t="str">
        <f>VLOOKUP(B198,[1]raw_data!$B$4:$C$343,2,FALSE)</f>
        <v>Community School</v>
      </c>
      <c r="B198" s="2" t="s">
        <v>2441</v>
      </c>
      <c r="C198" s="2" t="s">
        <v>28</v>
      </c>
      <c r="D198" s="2" t="s">
        <v>29</v>
      </c>
      <c r="E198" s="2">
        <v>286</v>
      </c>
      <c r="F198" s="2" t="s">
        <v>2220</v>
      </c>
      <c r="G198" s="2" t="s">
        <v>34</v>
      </c>
      <c r="H198" s="2">
        <v>361</v>
      </c>
      <c r="I198" s="2" t="s">
        <v>30</v>
      </c>
      <c r="J198" s="2" t="s">
        <v>28</v>
      </c>
      <c r="K198" s="2" t="s">
        <v>31</v>
      </c>
      <c r="L198" s="2" t="s">
        <v>32</v>
      </c>
      <c r="M198" s="2" t="s">
        <v>33</v>
      </c>
      <c r="N198" s="2" t="s">
        <v>16</v>
      </c>
      <c r="O198" s="2" t="s">
        <v>16</v>
      </c>
      <c r="P198" s="2" t="s">
        <v>17</v>
      </c>
      <c r="Q198" s="2" t="s">
        <v>17</v>
      </c>
      <c r="R198" s="2" t="s">
        <v>17</v>
      </c>
      <c r="S198" s="2" t="s">
        <v>16</v>
      </c>
      <c r="T198" s="3">
        <v>226905</v>
      </c>
    </row>
    <row r="199" spans="1:20" ht="90" x14ac:dyDescent="0.2">
      <c r="A199" s="2" t="str">
        <f>VLOOKUP(B199,[1]raw_data!$B$4:$C$343,2,FALSE)</f>
        <v>Public District</v>
      </c>
      <c r="B199" s="2" t="s">
        <v>2541</v>
      </c>
      <c r="C199" s="2" t="s">
        <v>903</v>
      </c>
      <c r="D199" s="2" t="s">
        <v>811</v>
      </c>
      <c r="E199" s="2">
        <v>295</v>
      </c>
      <c r="F199" s="2" t="s">
        <v>2296</v>
      </c>
      <c r="G199" s="2" t="s">
        <v>909</v>
      </c>
      <c r="H199" s="2">
        <v>2943</v>
      </c>
      <c r="I199" s="2" t="s">
        <v>904</v>
      </c>
      <c r="J199" s="2" t="s">
        <v>905</v>
      </c>
      <c r="K199" s="2" t="s">
        <v>906</v>
      </c>
      <c r="L199" s="2" t="s">
        <v>907</v>
      </c>
      <c r="M199" s="2" t="s">
        <v>908</v>
      </c>
      <c r="N199" s="2" t="s">
        <v>17</v>
      </c>
      <c r="O199" s="2" t="s">
        <v>17</v>
      </c>
      <c r="P199" s="2" t="s">
        <v>17</v>
      </c>
      <c r="Q199" s="2" t="s">
        <v>17</v>
      </c>
      <c r="R199" s="2" t="s">
        <v>17</v>
      </c>
      <c r="S199" s="2" t="s">
        <v>17</v>
      </c>
      <c r="T199" s="3">
        <v>13811122</v>
      </c>
    </row>
    <row r="200" spans="1:20" ht="180" x14ac:dyDescent="0.2">
      <c r="A200" s="2" t="str">
        <f>VLOOKUP(B200,[1]raw_data!$B$4:$C$343,2,FALSE)</f>
        <v>Public District</v>
      </c>
      <c r="B200" s="2" t="s">
        <v>2541</v>
      </c>
      <c r="C200" s="2" t="s">
        <v>903</v>
      </c>
      <c r="D200" s="2" t="s">
        <v>811</v>
      </c>
      <c r="E200" s="2">
        <v>298</v>
      </c>
      <c r="F200" s="2" t="s">
        <v>910</v>
      </c>
      <c r="G200" s="2" t="s">
        <v>915</v>
      </c>
      <c r="H200" s="2">
        <v>15236</v>
      </c>
      <c r="I200" s="2" t="s">
        <v>911</v>
      </c>
      <c r="J200" s="2" t="s">
        <v>912</v>
      </c>
      <c r="K200" s="2" t="s">
        <v>913</v>
      </c>
      <c r="L200" s="2" t="s">
        <v>914</v>
      </c>
      <c r="M200" s="2" t="s">
        <v>908</v>
      </c>
      <c r="N200" s="2" t="s">
        <v>17</v>
      </c>
      <c r="O200" s="2" t="s">
        <v>17</v>
      </c>
      <c r="P200" s="2" t="s">
        <v>17</v>
      </c>
      <c r="Q200" s="2" t="s">
        <v>16</v>
      </c>
      <c r="R200" s="2" t="s">
        <v>16</v>
      </c>
      <c r="S200" s="2" t="s">
        <v>17</v>
      </c>
      <c r="T200" s="3">
        <v>14999250</v>
      </c>
    </row>
    <row r="201" spans="1:20" ht="101.25" x14ac:dyDescent="0.2">
      <c r="A201" s="2" t="str">
        <f>VLOOKUP(B201,[1]raw_data!$B$4:$C$343,2,FALSE)</f>
        <v>Public District</v>
      </c>
      <c r="B201" s="2" t="s">
        <v>2541</v>
      </c>
      <c r="C201" s="2" t="s">
        <v>903</v>
      </c>
      <c r="D201" s="2" t="s">
        <v>811</v>
      </c>
      <c r="E201" s="2">
        <v>296</v>
      </c>
      <c r="F201" s="2" t="s">
        <v>916</v>
      </c>
      <c r="G201" s="2" t="s">
        <v>918</v>
      </c>
      <c r="H201" s="2">
        <v>14439</v>
      </c>
      <c r="I201" s="2" t="s">
        <v>911</v>
      </c>
      <c r="J201" s="2" t="s">
        <v>912</v>
      </c>
      <c r="K201" s="2" t="s">
        <v>917</v>
      </c>
      <c r="L201" s="2" t="s">
        <v>914</v>
      </c>
      <c r="M201" s="2" t="s">
        <v>908</v>
      </c>
      <c r="N201" s="2" t="s">
        <v>17</v>
      </c>
      <c r="O201" s="2" t="s">
        <v>17</v>
      </c>
      <c r="P201" s="2" t="s">
        <v>17</v>
      </c>
      <c r="Q201" s="2" t="s">
        <v>17</v>
      </c>
      <c r="R201" s="2" t="s">
        <v>16</v>
      </c>
      <c r="S201" s="2" t="s">
        <v>17</v>
      </c>
      <c r="T201" s="3">
        <v>14463928</v>
      </c>
    </row>
    <row r="202" spans="1:20" ht="135" x14ac:dyDescent="0.2">
      <c r="A202" s="2" t="str">
        <f>VLOOKUP(B202,[1]raw_data!$B$4:$C$343,2,FALSE)</f>
        <v>Public District</v>
      </c>
      <c r="B202" s="2" t="s">
        <v>2541</v>
      </c>
      <c r="C202" s="2" t="s">
        <v>903</v>
      </c>
      <c r="D202" s="2" t="s">
        <v>811</v>
      </c>
      <c r="E202" s="2">
        <v>297</v>
      </c>
      <c r="F202" s="2" t="s">
        <v>919</v>
      </c>
      <c r="G202" s="2" t="s">
        <v>922</v>
      </c>
      <c r="H202" s="2">
        <v>10539</v>
      </c>
      <c r="I202" s="2" t="s">
        <v>920</v>
      </c>
      <c r="J202" s="2" t="s">
        <v>912</v>
      </c>
      <c r="K202" s="2" t="s">
        <v>913</v>
      </c>
      <c r="L202" s="2" t="s">
        <v>914</v>
      </c>
      <c r="M202" s="2" t="s">
        <v>921</v>
      </c>
      <c r="N202" s="2" t="s">
        <v>17</v>
      </c>
      <c r="O202" s="2" t="s">
        <v>17</v>
      </c>
      <c r="P202" s="2" t="s">
        <v>17</v>
      </c>
      <c r="Q202" s="2" t="s">
        <v>16</v>
      </c>
      <c r="R202" s="2" t="s">
        <v>16</v>
      </c>
      <c r="S202" s="2" t="s">
        <v>17</v>
      </c>
      <c r="T202" s="3">
        <v>11538955</v>
      </c>
    </row>
    <row r="203" spans="1:20" ht="180" x14ac:dyDescent="0.2">
      <c r="A203" s="2" t="str">
        <f>VLOOKUP(B203,[1]raw_data!$B$4:$C$343,2,FALSE)</f>
        <v>Public District</v>
      </c>
      <c r="B203" s="2" t="s">
        <v>2541</v>
      </c>
      <c r="C203" s="2" t="s">
        <v>903</v>
      </c>
      <c r="D203" s="2" t="s">
        <v>811</v>
      </c>
      <c r="E203" s="2">
        <v>299</v>
      </c>
      <c r="F203" s="2" t="s">
        <v>923</v>
      </c>
      <c r="G203" s="2" t="s">
        <v>924</v>
      </c>
      <c r="H203" s="2">
        <v>11498</v>
      </c>
      <c r="I203" s="2" t="s">
        <v>911</v>
      </c>
      <c r="J203" s="2" t="s">
        <v>912</v>
      </c>
      <c r="K203" s="2" t="s">
        <v>913</v>
      </c>
      <c r="L203" s="2" t="s">
        <v>914</v>
      </c>
      <c r="M203" s="2" t="s">
        <v>921</v>
      </c>
      <c r="N203" s="2" t="s">
        <v>17</v>
      </c>
      <c r="O203" s="2" t="s">
        <v>17</v>
      </c>
      <c r="P203" s="2" t="s">
        <v>17</v>
      </c>
      <c r="Q203" s="2" t="s">
        <v>16</v>
      </c>
      <c r="R203" s="2" t="s">
        <v>16</v>
      </c>
      <c r="S203" s="2" t="s">
        <v>17</v>
      </c>
      <c r="T203" s="3">
        <v>13327493</v>
      </c>
    </row>
    <row r="204" spans="1:20" ht="168.75" x14ac:dyDescent="0.2">
      <c r="A204" s="2" t="str">
        <f>VLOOKUP(B204,[1]raw_data!$B$4:$C$343,2,FALSE)</f>
        <v>STEM</v>
      </c>
      <c r="B204" s="2" t="s">
        <v>2455</v>
      </c>
      <c r="C204" s="2" t="s">
        <v>136</v>
      </c>
      <c r="D204" s="2" t="s">
        <v>82</v>
      </c>
      <c r="E204" s="2">
        <v>7</v>
      </c>
      <c r="F204" s="2" t="s">
        <v>2228</v>
      </c>
      <c r="G204" s="2" t="s">
        <v>141</v>
      </c>
      <c r="H204" s="2">
        <v>373</v>
      </c>
      <c r="I204" s="2" t="s">
        <v>137</v>
      </c>
      <c r="J204" s="2" t="s">
        <v>136</v>
      </c>
      <c r="K204" s="2" t="s">
        <v>138</v>
      </c>
      <c r="L204" s="2" t="s">
        <v>139</v>
      </c>
      <c r="M204" s="2" t="s">
        <v>140</v>
      </c>
      <c r="N204" s="2" t="s">
        <v>16</v>
      </c>
      <c r="O204" s="2" t="s">
        <v>17</v>
      </c>
      <c r="P204" s="2" t="s">
        <v>17</v>
      </c>
      <c r="Q204" s="2" t="s">
        <v>17</v>
      </c>
      <c r="R204" s="2" t="s">
        <v>16</v>
      </c>
      <c r="S204" s="2" t="s">
        <v>16</v>
      </c>
      <c r="T204" s="3">
        <v>920530</v>
      </c>
    </row>
    <row r="205" spans="1:20" ht="101.25" x14ac:dyDescent="0.2">
      <c r="A205" s="2" t="str">
        <f>VLOOKUP(B205,[1]raw_data!$B$4:$C$343,2,FALSE)</f>
        <v>Public District</v>
      </c>
      <c r="B205" s="2" t="s">
        <v>2625</v>
      </c>
      <c r="C205" s="2" t="s">
        <v>1631</v>
      </c>
      <c r="D205" s="2" t="s">
        <v>926</v>
      </c>
      <c r="E205" s="2">
        <v>267</v>
      </c>
      <c r="F205" s="2" t="s">
        <v>1632</v>
      </c>
      <c r="G205" s="2" t="s">
        <v>1638</v>
      </c>
      <c r="H205" s="2">
        <v>757</v>
      </c>
      <c r="I205" s="2" t="s">
        <v>1633</v>
      </c>
      <c r="J205" s="2" t="s">
        <v>1634</v>
      </c>
      <c r="K205" s="2" t="s">
        <v>1635</v>
      </c>
      <c r="L205" s="2" t="s">
        <v>1636</v>
      </c>
      <c r="M205" s="2" t="s">
        <v>1637</v>
      </c>
      <c r="N205" s="2" t="s">
        <v>16</v>
      </c>
      <c r="O205" s="2" t="s">
        <v>16</v>
      </c>
      <c r="P205" s="2" t="s">
        <v>16</v>
      </c>
      <c r="Q205" s="2" t="s">
        <v>17</v>
      </c>
      <c r="R205" s="2" t="s">
        <v>16</v>
      </c>
      <c r="S205" s="2" t="s">
        <v>16</v>
      </c>
      <c r="T205" s="3">
        <v>590000</v>
      </c>
    </row>
    <row r="206" spans="1:20" ht="168.75" x14ac:dyDescent="0.2">
      <c r="A206" s="2" t="str">
        <f>VLOOKUP(B206,[1]raw_data!$B$4:$C$343,2,FALSE)</f>
        <v>Public District</v>
      </c>
      <c r="B206" s="2" t="s">
        <v>2505</v>
      </c>
      <c r="C206" s="2" t="s">
        <v>585</v>
      </c>
      <c r="D206" s="2" t="s">
        <v>178</v>
      </c>
      <c r="E206" s="2">
        <v>228</v>
      </c>
      <c r="F206" s="2" t="s">
        <v>586</v>
      </c>
      <c r="G206" s="2" t="s">
        <v>592</v>
      </c>
      <c r="H206" s="2">
        <v>5566</v>
      </c>
      <c r="I206" s="2" t="s">
        <v>587</v>
      </c>
      <c r="J206" s="2" t="s">
        <v>588</v>
      </c>
      <c r="K206" s="2" t="s">
        <v>589</v>
      </c>
      <c r="L206" s="2" t="s">
        <v>590</v>
      </c>
      <c r="M206" s="2" t="s">
        <v>591</v>
      </c>
      <c r="N206" s="2" t="s">
        <v>16</v>
      </c>
      <c r="O206" s="2" t="s">
        <v>16</v>
      </c>
      <c r="P206" s="2" t="s">
        <v>17</v>
      </c>
      <c r="Q206" s="2" t="s">
        <v>16</v>
      </c>
      <c r="R206" s="2" t="s">
        <v>16</v>
      </c>
      <c r="S206" s="2" t="s">
        <v>16</v>
      </c>
      <c r="T206" s="3">
        <v>956085.75</v>
      </c>
    </row>
    <row r="207" spans="1:20" ht="146.25" x14ac:dyDescent="0.2">
      <c r="A207" s="2" t="str">
        <f>VLOOKUP(B207,[1]raw_data!$B$4:$C$343,2,FALSE)</f>
        <v>Public District</v>
      </c>
      <c r="B207" s="2" t="s">
        <v>2506</v>
      </c>
      <c r="C207" s="2" t="s">
        <v>593</v>
      </c>
      <c r="D207" s="2" t="s">
        <v>472</v>
      </c>
      <c r="E207" s="2">
        <v>187</v>
      </c>
      <c r="F207" s="2" t="s">
        <v>594</v>
      </c>
      <c r="G207" s="2" t="s">
        <v>600</v>
      </c>
      <c r="H207" s="2">
        <v>3247</v>
      </c>
      <c r="I207" s="2" t="s">
        <v>595</v>
      </c>
      <c r="J207" s="2" t="s">
        <v>596</v>
      </c>
      <c r="K207" s="2" t="s">
        <v>597</v>
      </c>
      <c r="L207" s="2" t="s">
        <v>598</v>
      </c>
      <c r="M207" s="2" t="s">
        <v>599</v>
      </c>
      <c r="N207" s="2" t="s">
        <v>16</v>
      </c>
      <c r="O207" s="2" t="s">
        <v>17</v>
      </c>
      <c r="P207" s="2" t="s">
        <v>17</v>
      </c>
      <c r="Q207" s="2" t="s">
        <v>17</v>
      </c>
      <c r="R207" s="2" t="s">
        <v>17</v>
      </c>
      <c r="S207" s="2" t="s">
        <v>16</v>
      </c>
      <c r="T207" s="3">
        <v>1000000</v>
      </c>
    </row>
    <row r="208" spans="1:20" ht="135" x14ac:dyDescent="0.2">
      <c r="A208" s="2" t="str">
        <f>VLOOKUP(B208,[1]raw_data!$B$4:$C$343,2,FALSE)</f>
        <v>Public District</v>
      </c>
      <c r="B208" s="2" t="s">
        <v>2506</v>
      </c>
      <c r="C208" s="2" t="s">
        <v>593</v>
      </c>
      <c r="D208" s="2" t="s">
        <v>472</v>
      </c>
      <c r="E208" s="2">
        <v>188</v>
      </c>
      <c r="F208" s="2" t="s">
        <v>2267</v>
      </c>
      <c r="G208" s="2" t="s">
        <v>602</v>
      </c>
      <c r="H208" s="2">
        <v>1635</v>
      </c>
      <c r="I208" s="2" t="s">
        <v>595</v>
      </c>
      <c r="J208" s="2" t="s">
        <v>596</v>
      </c>
      <c r="K208" s="2" t="s">
        <v>601</v>
      </c>
      <c r="L208" s="2" t="s">
        <v>598</v>
      </c>
      <c r="M208" s="2" t="s">
        <v>599</v>
      </c>
      <c r="N208" s="2" t="s">
        <v>16</v>
      </c>
      <c r="O208" s="2" t="s">
        <v>17</v>
      </c>
      <c r="P208" s="2" t="s">
        <v>17</v>
      </c>
      <c r="Q208" s="2" t="s">
        <v>17</v>
      </c>
      <c r="R208" s="2" t="s">
        <v>17</v>
      </c>
      <c r="S208" s="2" t="s">
        <v>16</v>
      </c>
      <c r="T208" s="3">
        <v>1000000</v>
      </c>
    </row>
    <row r="209" spans="1:20" ht="135" x14ac:dyDescent="0.2">
      <c r="A209" s="2" t="str">
        <f>VLOOKUP(B209,[1]raw_data!$B$4:$C$343,2,FALSE)</f>
        <v>Educational Service Center</v>
      </c>
      <c r="B209" s="2" t="s">
        <v>2683</v>
      </c>
      <c r="C209" s="2" t="s">
        <v>2102</v>
      </c>
      <c r="D209" s="2" t="s">
        <v>36</v>
      </c>
      <c r="E209" s="2">
        <v>184</v>
      </c>
      <c r="F209" s="2" t="s">
        <v>2103</v>
      </c>
      <c r="G209" s="2" t="s">
        <v>2109</v>
      </c>
      <c r="H209" s="2">
        <v>6084</v>
      </c>
      <c r="I209" s="2" t="s">
        <v>2104</v>
      </c>
      <c r="J209" s="2" t="s">
        <v>2105</v>
      </c>
      <c r="K209" s="2" t="s">
        <v>2106</v>
      </c>
      <c r="L209" s="2" t="s">
        <v>2107</v>
      </c>
      <c r="M209" s="2" t="s">
        <v>2108</v>
      </c>
      <c r="N209" s="2" t="s">
        <v>17</v>
      </c>
      <c r="O209" s="2" t="s">
        <v>17</v>
      </c>
      <c r="P209" s="2" t="s">
        <v>17</v>
      </c>
      <c r="Q209" s="2" t="s">
        <v>16</v>
      </c>
      <c r="R209" s="2" t="s">
        <v>17</v>
      </c>
      <c r="S209" s="2" t="s">
        <v>17</v>
      </c>
      <c r="T209" s="3">
        <v>2170704.44</v>
      </c>
    </row>
    <row r="210" spans="1:20" ht="180" x14ac:dyDescent="0.2">
      <c r="A210" s="2" t="str">
        <f>VLOOKUP(B210,[1]raw_data!$B$4:$C$343,2,FALSE)</f>
        <v>Public District</v>
      </c>
      <c r="B210" s="2" t="s">
        <v>2612</v>
      </c>
      <c r="C210" s="2" t="s">
        <v>1523</v>
      </c>
      <c r="D210" s="2" t="s">
        <v>423</v>
      </c>
      <c r="E210" s="2">
        <v>224</v>
      </c>
      <c r="F210" s="2" t="s">
        <v>1524</v>
      </c>
      <c r="G210" s="2" t="s">
        <v>1530</v>
      </c>
      <c r="H210" s="2">
        <v>3046</v>
      </c>
      <c r="I210" s="2" t="s">
        <v>1525</v>
      </c>
      <c r="J210" s="2" t="s">
        <v>1526</v>
      </c>
      <c r="K210" s="2" t="s">
        <v>1527</v>
      </c>
      <c r="L210" s="2" t="s">
        <v>1528</v>
      </c>
      <c r="M210" s="2" t="s">
        <v>1529</v>
      </c>
      <c r="N210" s="2" t="s">
        <v>16</v>
      </c>
      <c r="O210" s="2" t="s">
        <v>17</v>
      </c>
      <c r="P210" s="2" t="s">
        <v>17</v>
      </c>
      <c r="Q210" s="2" t="s">
        <v>17</v>
      </c>
      <c r="R210" s="2" t="s">
        <v>17</v>
      </c>
      <c r="S210" s="2" t="s">
        <v>16</v>
      </c>
      <c r="T210" s="3">
        <v>490000</v>
      </c>
    </row>
    <row r="211" spans="1:20" ht="157.5" x14ac:dyDescent="0.2">
      <c r="A211" s="2" t="str">
        <f>VLOOKUP(B211,[1]raw_data!$B$4:$C$343,2,FALSE)</f>
        <v>Public District</v>
      </c>
      <c r="B211" s="2" t="s">
        <v>2542</v>
      </c>
      <c r="C211" s="2" t="s">
        <v>925</v>
      </c>
      <c r="D211" s="2" t="s">
        <v>926</v>
      </c>
      <c r="E211" s="2">
        <v>170</v>
      </c>
      <c r="F211" s="2" t="s">
        <v>2297</v>
      </c>
      <c r="G211" s="2" t="s">
        <v>932</v>
      </c>
      <c r="H211" s="2">
        <v>1030</v>
      </c>
      <c r="I211" s="2" t="s">
        <v>927</v>
      </c>
      <c r="J211" s="2" t="s">
        <v>928</v>
      </c>
      <c r="K211" s="2" t="s">
        <v>929</v>
      </c>
      <c r="L211" s="2" t="s">
        <v>930</v>
      </c>
      <c r="M211" s="2" t="s">
        <v>931</v>
      </c>
      <c r="N211" s="2" t="s">
        <v>17</v>
      </c>
      <c r="O211" s="2" t="s">
        <v>17</v>
      </c>
      <c r="P211" s="2" t="s">
        <v>17</v>
      </c>
      <c r="Q211" s="2" t="s">
        <v>16</v>
      </c>
      <c r="R211" s="2" t="s">
        <v>16</v>
      </c>
      <c r="S211" s="2" t="s">
        <v>16</v>
      </c>
      <c r="T211" s="3">
        <v>2107977.12</v>
      </c>
    </row>
    <row r="212" spans="1:20" ht="180" x14ac:dyDescent="0.2">
      <c r="A212" s="2" t="str">
        <f>VLOOKUP(B212,[1]raw_data!$B$4:$C$343,2,FALSE)</f>
        <v>Public District</v>
      </c>
      <c r="B212" s="2" t="s">
        <v>2666</v>
      </c>
      <c r="C212" s="2" t="s">
        <v>1968</v>
      </c>
      <c r="D212" s="2" t="s">
        <v>1969</v>
      </c>
      <c r="E212" s="2">
        <v>56</v>
      </c>
      <c r="F212" s="2" t="s">
        <v>2408</v>
      </c>
      <c r="G212" s="2" t="s">
        <v>1975</v>
      </c>
      <c r="H212" s="2">
        <v>571</v>
      </c>
      <c r="I212" s="2" t="s">
        <v>1970</v>
      </c>
      <c r="J212" s="2" t="s">
        <v>1971</v>
      </c>
      <c r="K212" s="2" t="s">
        <v>1972</v>
      </c>
      <c r="L212" s="2" t="s">
        <v>1973</v>
      </c>
      <c r="M212" s="2" t="s">
        <v>1974</v>
      </c>
      <c r="N212" s="2" t="s">
        <v>16</v>
      </c>
      <c r="O212" s="2" t="s">
        <v>16</v>
      </c>
      <c r="P212" s="2" t="s">
        <v>17</v>
      </c>
      <c r="Q212" s="2" t="s">
        <v>17</v>
      </c>
      <c r="R212" s="2" t="s">
        <v>17</v>
      </c>
      <c r="S212" s="2" t="s">
        <v>16</v>
      </c>
      <c r="T212" s="3">
        <v>908000</v>
      </c>
    </row>
    <row r="213" spans="1:20" ht="146.25" x14ac:dyDescent="0.2">
      <c r="A213" s="2" t="str">
        <f>VLOOKUP(B213,[1]raw_data!$B$4:$C$343,2,FALSE)</f>
        <v>Educational Service Center</v>
      </c>
      <c r="B213" s="2" t="s">
        <v>2626</v>
      </c>
      <c r="C213" s="2" t="s">
        <v>1639</v>
      </c>
      <c r="D213" s="2" t="s">
        <v>178</v>
      </c>
      <c r="E213" s="2">
        <v>33</v>
      </c>
      <c r="F213" s="2" t="s">
        <v>1640</v>
      </c>
      <c r="G213" s="2" t="s">
        <v>1646</v>
      </c>
      <c r="H213" s="2">
        <v>20610</v>
      </c>
      <c r="I213" s="2" t="s">
        <v>1641</v>
      </c>
      <c r="J213" s="2" t="s">
        <v>1642</v>
      </c>
      <c r="K213" s="2" t="s">
        <v>1643</v>
      </c>
      <c r="L213" s="2" t="s">
        <v>1644</v>
      </c>
      <c r="M213" s="2" t="s">
        <v>1645</v>
      </c>
      <c r="N213" s="2" t="s">
        <v>17</v>
      </c>
      <c r="O213" s="2" t="s">
        <v>17</v>
      </c>
      <c r="P213" s="2" t="s">
        <v>17</v>
      </c>
      <c r="Q213" s="2" t="s">
        <v>17</v>
      </c>
      <c r="R213" s="2" t="s">
        <v>16</v>
      </c>
      <c r="S213" s="2" t="s">
        <v>17</v>
      </c>
      <c r="T213" s="3">
        <v>5037798.9000000004</v>
      </c>
    </row>
    <row r="214" spans="1:20" ht="78.75" x14ac:dyDescent="0.2">
      <c r="A214" s="2" t="str">
        <f>VLOOKUP(B214,[1]raw_data!$B$4:$C$343,2,FALSE)</f>
        <v>Educational Service Center</v>
      </c>
      <c r="B214" s="2" t="s">
        <v>2626</v>
      </c>
      <c r="C214" s="2" t="s">
        <v>1639</v>
      </c>
      <c r="D214" s="2" t="s">
        <v>178</v>
      </c>
      <c r="E214" s="2">
        <v>34</v>
      </c>
      <c r="F214" s="2" t="s">
        <v>1647</v>
      </c>
      <c r="G214" s="2" t="s">
        <v>1650</v>
      </c>
      <c r="H214" s="2">
        <v>30678</v>
      </c>
      <c r="I214" s="2" t="s">
        <v>1641</v>
      </c>
      <c r="J214" s="2" t="s">
        <v>1642</v>
      </c>
      <c r="K214" s="2" t="s">
        <v>1648</v>
      </c>
      <c r="L214" s="2" t="s">
        <v>1644</v>
      </c>
      <c r="M214" s="2" t="s">
        <v>1649</v>
      </c>
      <c r="N214" s="2" t="s">
        <v>17</v>
      </c>
      <c r="O214" s="2" t="s">
        <v>17</v>
      </c>
      <c r="P214" s="2" t="s">
        <v>17</v>
      </c>
      <c r="Q214" s="2" t="s">
        <v>16</v>
      </c>
      <c r="R214" s="2" t="s">
        <v>16</v>
      </c>
      <c r="S214" s="2" t="s">
        <v>17</v>
      </c>
      <c r="T214" s="3">
        <v>2226679</v>
      </c>
    </row>
    <row r="215" spans="1:20" ht="112.5" x14ac:dyDescent="0.2">
      <c r="A215" s="2" t="str">
        <f>VLOOKUP(B215,[1]raw_data!$B$4:$C$343,2,FALSE)</f>
        <v>Public District</v>
      </c>
      <c r="B215" s="2" t="s">
        <v>2543</v>
      </c>
      <c r="C215" s="2" t="s">
        <v>933</v>
      </c>
      <c r="D215" s="2" t="s">
        <v>934</v>
      </c>
      <c r="E215" s="2">
        <v>235</v>
      </c>
      <c r="F215" s="2" t="s">
        <v>935</v>
      </c>
      <c r="G215" s="2" t="s">
        <v>941</v>
      </c>
      <c r="H215" s="2">
        <v>1300</v>
      </c>
      <c r="I215" s="2" t="s">
        <v>936</v>
      </c>
      <c r="J215" s="2" t="s">
        <v>937</v>
      </c>
      <c r="K215" s="2" t="s">
        <v>938</v>
      </c>
      <c r="L215" s="2" t="s">
        <v>939</v>
      </c>
      <c r="M215" s="2" t="s">
        <v>940</v>
      </c>
      <c r="N215" s="2" t="s">
        <v>16</v>
      </c>
      <c r="O215" s="2" t="s">
        <v>17</v>
      </c>
      <c r="P215" s="2" t="s">
        <v>17</v>
      </c>
      <c r="Q215" s="2" t="s">
        <v>17</v>
      </c>
      <c r="R215" s="2" t="s">
        <v>17</v>
      </c>
      <c r="S215" s="2" t="s">
        <v>16</v>
      </c>
      <c r="T215" s="3">
        <v>1000000</v>
      </c>
    </row>
    <row r="216" spans="1:20" ht="168.75" x14ac:dyDescent="0.2">
      <c r="A216" s="2" t="str">
        <f>VLOOKUP(B216,[1]raw_data!$B$4:$C$343,2,FALSE)</f>
        <v>Public District</v>
      </c>
      <c r="B216" s="2" t="s">
        <v>2627</v>
      </c>
      <c r="C216" s="2" t="s">
        <v>1651</v>
      </c>
      <c r="D216" s="2" t="s">
        <v>178</v>
      </c>
      <c r="E216" s="2">
        <v>68</v>
      </c>
      <c r="F216" s="2" t="s">
        <v>2377</v>
      </c>
      <c r="G216" s="2" t="s">
        <v>1656</v>
      </c>
      <c r="H216" s="2">
        <v>600</v>
      </c>
      <c r="I216" s="2" t="s">
        <v>1652</v>
      </c>
      <c r="J216" s="2" t="s">
        <v>1653</v>
      </c>
      <c r="K216" s="2" t="s">
        <v>1654</v>
      </c>
      <c r="L216" s="2">
        <v>9376871301</v>
      </c>
      <c r="M216" s="2" t="s">
        <v>1655</v>
      </c>
      <c r="N216" s="2" t="s">
        <v>16</v>
      </c>
      <c r="O216" s="2" t="s">
        <v>17</v>
      </c>
      <c r="P216" s="2" t="s">
        <v>17</v>
      </c>
      <c r="Q216" s="2" t="s">
        <v>17</v>
      </c>
      <c r="R216" s="2" t="s">
        <v>17</v>
      </c>
      <c r="S216" s="2" t="s">
        <v>16</v>
      </c>
      <c r="T216" s="3">
        <v>149450</v>
      </c>
    </row>
    <row r="217" spans="1:20" ht="67.5" x14ac:dyDescent="0.2">
      <c r="A217" s="2" t="str">
        <f>VLOOKUP(B217,[1]raw_data!$B$4:$C$343,2,FALSE)</f>
        <v>Public District</v>
      </c>
      <c r="B217" s="2" t="s">
        <v>2627</v>
      </c>
      <c r="C217" s="2" t="s">
        <v>1651</v>
      </c>
      <c r="D217" s="2" t="s">
        <v>178</v>
      </c>
      <c r="E217" s="2">
        <v>67</v>
      </c>
      <c r="F217" s="2" t="s">
        <v>2378</v>
      </c>
      <c r="G217" s="2" t="s">
        <v>1659</v>
      </c>
      <c r="H217" s="2">
        <v>550</v>
      </c>
      <c r="I217" s="2" t="s">
        <v>1657</v>
      </c>
      <c r="J217" s="2" t="s">
        <v>1658</v>
      </c>
      <c r="K217" s="2" t="s">
        <v>1654</v>
      </c>
      <c r="L217" s="2">
        <v>9376871301</v>
      </c>
      <c r="M217" s="2" t="s">
        <v>1655</v>
      </c>
      <c r="N217" s="2" t="s">
        <v>16</v>
      </c>
      <c r="O217" s="2" t="s">
        <v>17</v>
      </c>
      <c r="P217" s="2" t="s">
        <v>17</v>
      </c>
      <c r="Q217" s="2" t="s">
        <v>17</v>
      </c>
      <c r="R217" s="2" t="s">
        <v>17</v>
      </c>
      <c r="S217" s="2" t="s">
        <v>16</v>
      </c>
      <c r="T217" s="3">
        <v>99599.75</v>
      </c>
    </row>
    <row r="218" spans="1:20" ht="56.25" x14ac:dyDescent="0.2">
      <c r="A218" s="2" t="str">
        <f>VLOOKUP(B218,[1]raw_data!$B$4:$C$343,2,FALSE)</f>
        <v>Public District</v>
      </c>
      <c r="B218" s="2" t="s">
        <v>2507</v>
      </c>
      <c r="C218" s="2" t="s">
        <v>603</v>
      </c>
      <c r="D218" s="2" t="s">
        <v>604</v>
      </c>
      <c r="E218" s="2">
        <v>256</v>
      </c>
      <c r="F218" s="2" t="s">
        <v>605</v>
      </c>
      <c r="G218" s="2" t="s">
        <v>611</v>
      </c>
      <c r="H218" s="2">
        <v>3313</v>
      </c>
      <c r="I218" s="2" t="s">
        <v>606</v>
      </c>
      <c r="J218" s="2" t="s">
        <v>607</v>
      </c>
      <c r="K218" s="2" t="s">
        <v>608</v>
      </c>
      <c r="L218" s="2" t="s">
        <v>609</v>
      </c>
      <c r="M218" s="2" t="s">
        <v>610</v>
      </c>
      <c r="N218" s="2" t="s">
        <v>17</v>
      </c>
      <c r="O218" s="2" t="s">
        <v>17</v>
      </c>
      <c r="P218" s="2" t="s">
        <v>17</v>
      </c>
      <c r="Q218" s="2" t="s">
        <v>17</v>
      </c>
      <c r="R218" s="2" t="s">
        <v>16</v>
      </c>
      <c r="S218" s="2" t="s">
        <v>16</v>
      </c>
      <c r="T218" s="3">
        <v>9339767</v>
      </c>
    </row>
    <row r="219" spans="1:20" ht="90" x14ac:dyDescent="0.2">
      <c r="A219" s="2" t="str">
        <f>VLOOKUP(B219,[1]raw_data!$B$4:$C$343,2,FALSE)</f>
        <v>Community School</v>
      </c>
      <c r="B219" s="2" t="s">
        <v>2457</v>
      </c>
      <c r="C219" s="2" t="s">
        <v>149</v>
      </c>
      <c r="D219" s="2" t="s">
        <v>82</v>
      </c>
      <c r="E219" s="2">
        <v>218</v>
      </c>
      <c r="F219" s="2" t="s">
        <v>150</v>
      </c>
      <c r="G219" s="2" t="s">
        <v>156</v>
      </c>
      <c r="H219" s="2">
        <v>2400</v>
      </c>
      <c r="I219" s="2" t="s">
        <v>151</v>
      </c>
      <c r="J219" s="2" t="s">
        <v>152</v>
      </c>
      <c r="K219" s="2" t="s">
        <v>153</v>
      </c>
      <c r="L219" s="2" t="s">
        <v>154</v>
      </c>
      <c r="M219" s="2" t="s">
        <v>155</v>
      </c>
      <c r="N219" s="2" t="s">
        <v>17</v>
      </c>
      <c r="O219" s="2" t="s">
        <v>17</v>
      </c>
      <c r="P219" s="2" t="s">
        <v>17</v>
      </c>
      <c r="Q219" s="2" t="s">
        <v>17</v>
      </c>
      <c r="R219" s="2" t="s">
        <v>16</v>
      </c>
      <c r="S219" s="2" t="s">
        <v>17</v>
      </c>
      <c r="T219" s="3">
        <v>1491000</v>
      </c>
    </row>
    <row r="220" spans="1:20" ht="180" x14ac:dyDescent="0.2">
      <c r="A220" s="2" t="str">
        <f>VLOOKUP(B220,[1]raw_data!$B$4:$C$343,2,FALSE)</f>
        <v>Community School</v>
      </c>
      <c r="B220" s="2" t="s">
        <v>2457</v>
      </c>
      <c r="C220" s="2" t="s">
        <v>149</v>
      </c>
      <c r="D220" s="2" t="s">
        <v>82</v>
      </c>
      <c r="E220" s="2">
        <v>217</v>
      </c>
      <c r="F220" s="2" t="s">
        <v>2229</v>
      </c>
      <c r="G220" s="2" t="s">
        <v>157</v>
      </c>
      <c r="H220" s="2">
        <v>1350</v>
      </c>
      <c r="I220" s="2" t="s">
        <v>151</v>
      </c>
      <c r="J220" s="2" t="s">
        <v>152</v>
      </c>
      <c r="K220" s="2" t="s">
        <v>153</v>
      </c>
      <c r="L220" s="2" t="s">
        <v>154</v>
      </c>
      <c r="M220" s="2" t="s">
        <v>155</v>
      </c>
      <c r="N220" s="2" t="s">
        <v>17</v>
      </c>
      <c r="O220" s="2" t="s">
        <v>17</v>
      </c>
      <c r="P220" s="2" t="s">
        <v>17</v>
      </c>
      <c r="Q220" s="2" t="s">
        <v>17</v>
      </c>
      <c r="R220" s="2" t="s">
        <v>17</v>
      </c>
      <c r="S220" s="2" t="s">
        <v>17</v>
      </c>
      <c r="T220" s="3">
        <v>1583500</v>
      </c>
    </row>
    <row r="221" spans="1:20" ht="101.25" x14ac:dyDescent="0.2">
      <c r="A221" s="2" t="str">
        <f>VLOOKUP(B221,[1]raw_data!$B$4:$C$343,2,FALSE)</f>
        <v>Public District</v>
      </c>
      <c r="B221" s="2" t="s">
        <v>2632</v>
      </c>
      <c r="C221" s="2" t="s">
        <v>1689</v>
      </c>
      <c r="D221" s="2" t="s">
        <v>1690</v>
      </c>
      <c r="E221" s="2">
        <v>287</v>
      </c>
      <c r="F221" s="2" t="s">
        <v>2382</v>
      </c>
      <c r="G221" s="2" t="s">
        <v>1696</v>
      </c>
      <c r="H221" s="2">
        <v>30748</v>
      </c>
      <c r="I221" s="2" t="s">
        <v>1691</v>
      </c>
      <c r="J221" s="2" t="s">
        <v>1692</v>
      </c>
      <c r="K221" s="2" t="s">
        <v>1693</v>
      </c>
      <c r="L221" s="2" t="s">
        <v>1694</v>
      </c>
      <c r="M221" s="2" t="s">
        <v>1695</v>
      </c>
      <c r="N221" s="2" t="s">
        <v>17</v>
      </c>
      <c r="O221" s="2" t="s">
        <v>17</v>
      </c>
      <c r="P221" s="2" t="s">
        <v>16</v>
      </c>
      <c r="Q221" s="2" t="s">
        <v>17</v>
      </c>
      <c r="R221" s="2" t="s">
        <v>16</v>
      </c>
      <c r="S221" s="2" t="s">
        <v>16</v>
      </c>
      <c r="T221" s="3">
        <v>1763900</v>
      </c>
    </row>
    <row r="222" spans="1:20" ht="123.75" x14ac:dyDescent="0.2">
      <c r="A222" s="2" t="str">
        <f>VLOOKUP(B222,[1]raw_data!$B$4:$C$343,2,FALSE)</f>
        <v>Public District</v>
      </c>
      <c r="B222" s="2" t="s">
        <v>2655</v>
      </c>
      <c r="C222" s="2" t="s">
        <v>1879</v>
      </c>
      <c r="D222" s="2" t="s">
        <v>20</v>
      </c>
      <c r="E222" s="2">
        <v>137</v>
      </c>
      <c r="F222" s="2" t="s">
        <v>2399</v>
      </c>
      <c r="G222" s="2" t="s">
        <v>1885</v>
      </c>
      <c r="H222" s="2">
        <v>68706</v>
      </c>
      <c r="I222" s="2" t="s">
        <v>1880</v>
      </c>
      <c r="J222" s="2" t="s">
        <v>1881</v>
      </c>
      <c r="K222" s="2" t="s">
        <v>1882</v>
      </c>
      <c r="L222" s="2" t="s">
        <v>1883</v>
      </c>
      <c r="M222" s="2" t="s">
        <v>1884</v>
      </c>
      <c r="N222" s="2" t="s">
        <v>17</v>
      </c>
      <c r="O222" s="2" t="s">
        <v>17</v>
      </c>
      <c r="P222" s="2" t="s">
        <v>17</v>
      </c>
      <c r="Q222" s="2" t="s">
        <v>17</v>
      </c>
      <c r="R222" s="2" t="s">
        <v>17</v>
      </c>
      <c r="S222" s="2" t="s">
        <v>17</v>
      </c>
      <c r="T222" s="3">
        <v>6045085</v>
      </c>
    </row>
    <row r="223" spans="1:20" ht="146.25" x14ac:dyDescent="0.2">
      <c r="A223" s="2" t="str">
        <f>VLOOKUP(B223,[1]raw_data!$B$4:$C$343,2,FALSE)</f>
        <v>Public District</v>
      </c>
      <c r="B223" s="2" t="s">
        <v>2655</v>
      </c>
      <c r="C223" s="2" t="s">
        <v>1879</v>
      </c>
      <c r="D223" s="2" t="s">
        <v>20</v>
      </c>
      <c r="E223" s="2">
        <v>138</v>
      </c>
      <c r="F223" s="2" t="s">
        <v>1886</v>
      </c>
      <c r="G223" s="2" t="s">
        <v>1892</v>
      </c>
      <c r="H223" s="2">
        <v>1652</v>
      </c>
      <c r="I223" s="2" t="s">
        <v>1887</v>
      </c>
      <c r="J223" s="2" t="s">
        <v>1888</v>
      </c>
      <c r="K223" s="2" t="s">
        <v>1889</v>
      </c>
      <c r="L223" s="2" t="s">
        <v>1890</v>
      </c>
      <c r="M223" s="2" t="s">
        <v>1891</v>
      </c>
      <c r="N223" s="2" t="s">
        <v>16</v>
      </c>
      <c r="O223" s="2" t="s">
        <v>16</v>
      </c>
      <c r="P223" s="2" t="s">
        <v>17</v>
      </c>
      <c r="Q223" s="2" t="s">
        <v>17</v>
      </c>
      <c r="R223" s="2" t="s">
        <v>17</v>
      </c>
      <c r="S223" s="2" t="s">
        <v>16</v>
      </c>
      <c r="T223" s="3">
        <v>999600</v>
      </c>
    </row>
    <row r="224" spans="1:20" ht="112.5" x14ac:dyDescent="0.2">
      <c r="A224" s="2" t="str">
        <f>VLOOKUP(B224,[1]raw_data!$B$4:$C$343,2,FALSE)</f>
        <v>Public District</v>
      </c>
      <c r="B224" s="2" t="s">
        <v>2655</v>
      </c>
      <c r="C224" s="2" t="s">
        <v>1879</v>
      </c>
      <c r="D224" s="2" t="s">
        <v>20</v>
      </c>
      <c r="E224" s="2">
        <v>139</v>
      </c>
      <c r="F224" s="2" t="s">
        <v>1893</v>
      </c>
      <c r="G224" s="2" t="s">
        <v>1894</v>
      </c>
      <c r="H224" s="2">
        <v>1293</v>
      </c>
      <c r="I224" s="2" t="s">
        <v>1887</v>
      </c>
      <c r="J224" s="2" t="s">
        <v>1888</v>
      </c>
      <c r="K224" s="2" t="s">
        <v>1889</v>
      </c>
      <c r="L224" s="2" t="s">
        <v>1890</v>
      </c>
      <c r="M224" s="2" t="s">
        <v>1891</v>
      </c>
      <c r="N224" s="2" t="s">
        <v>16</v>
      </c>
      <c r="O224" s="2" t="s">
        <v>16</v>
      </c>
      <c r="P224" s="2" t="s">
        <v>17</v>
      </c>
      <c r="Q224" s="2" t="s">
        <v>17</v>
      </c>
      <c r="R224" s="2" t="s">
        <v>17</v>
      </c>
      <c r="S224" s="2" t="s">
        <v>16</v>
      </c>
      <c r="T224" s="3">
        <v>924300</v>
      </c>
    </row>
    <row r="225" spans="1:20" ht="168.75" x14ac:dyDescent="0.2">
      <c r="A225" s="2" t="str">
        <f>VLOOKUP(B225,[1]raw_data!$B$4:$C$343,2,FALSE)</f>
        <v>Public District</v>
      </c>
      <c r="B225" s="2" t="s">
        <v>2508</v>
      </c>
      <c r="C225" s="2" t="s">
        <v>612</v>
      </c>
      <c r="D225" s="2" t="s">
        <v>204</v>
      </c>
      <c r="E225" s="2">
        <v>223</v>
      </c>
      <c r="F225" s="2" t="s">
        <v>2268</v>
      </c>
      <c r="G225" s="2" t="s">
        <v>618</v>
      </c>
      <c r="H225" s="2">
        <v>3618</v>
      </c>
      <c r="I225" s="2" t="s">
        <v>613</v>
      </c>
      <c r="J225" s="2" t="s">
        <v>614</v>
      </c>
      <c r="K225" s="2" t="s">
        <v>615</v>
      </c>
      <c r="L225" s="2" t="s">
        <v>616</v>
      </c>
      <c r="M225" s="2" t="s">
        <v>617</v>
      </c>
      <c r="N225" s="2" t="s">
        <v>16</v>
      </c>
      <c r="O225" s="2" t="s">
        <v>16</v>
      </c>
      <c r="P225" s="2" t="s">
        <v>17</v>
      </c>
      <c r="Q225" s="2" t="s">
        <v>16</v>
      </c>
      <c r="R225" s="2" t="s">
        <v>17</v>
      </c>
      <c r="S225" s="2" t="s">
        <v>17</v>
      </c>
      <c r="T225" s="3">
        <v>728541</v>
      </c>
    </row>
    <row r="226" spans="1:20" ht="135" x14ac:dyDescent="0.2">
      <c r="A226" s="2" t="str">
        <f>VLOOKUP(B226,[1]raw_data!$B$4:$C$343,2,FALSE)</f>
        <v>Public District</v>
      </c>
      <c r="B226" s="2" t="s">
        <v>2508</v>
      </c>
      <c r="C226" s="2" t="s">
        <v>612</v>
      </c>
      <c r="D226" s="2" t="s">
        <v>204</v>
      </c>
      <c r="E226" s="2">
        <v>222</v>
      </c>
      <c r="F226" s="2" t="s">
        <v>619</v>
      </c>
      <c r="G226" s="2" t="s">
        <v>620</v>
      </c>
      <c r="H226" s="2">
        <v>1918</v>
      </c>
      <c r="I226" s="2" t="s">
        <v>613</v>
      </c>
      <c r="J226" s="2" t="s">
        <v>614</v>
      </c>
      <c r="K226" s="2" t="s">
        <v>615</v>
      </c>
      <c r="L226" s="2" t="s">
        <v>616</v>
      </c>
      <c r="M226" s="2" t="s">
        <v>617</v>
      </c>
      <c r="N226" s="2" t="s">
        <v>16</v>
      </c>
      <c r="O226" s="2" t="s">
        <v>16</v>
      </c>
      <c r="P226" s="2" t="s">
        <v>17</v>
      </c>
      <c r="Q226" s="2" t="s">
        <v>17</v>
      </c>
      <c r="R226" s="2" t="s">
        <v>17</v>
      </c>
      <c r="S226" s="2" t="s">
        <v>17</v>
      </c>
      <c r="T226" s="3">
        <v>1000000</v>
      </c>
    </row>
    <row r="227" spans="1:20" ht="78.75" x14ac:dyDescent="0.2">
      <c r="A227" s="2" t="str">
        <f>VLOOKUP(B227,[1]raw_data!$B$4:$C$343,2,FALSE)</f>
        <v>Educational Service Center</v>
      </c>
      <c r="B227" s="2" t="s">
        <v>2681</v>
      </c>
      <c r="C227" s="2" t="s">
        <v>2088</v>
      </c>
      <c r="D227" s="2" t="s">
        <v>448</v>
      </c>
      <c r="E227" s="2">
        <v>213</v>
      </c>
      <c r="F227" s="2" t="s">
        <v>2422</v>
      </c>
      <c r="G227" s="2" t="s">
        <v>2094</v>
      </c>
      <c r="H227" s="2">
        <v>5063</v>
      </c>
      <c r="I227" s="2" t="s">
        <v>2089</v>
      </c>
      <c r="J227" s="2" t="s">
        <v>2090</v>
      </c>
      <c r="K227" s="2" t="s">
        <v>2091</v>
      </c>
      <c r="L227" s="2" t="s">
        <v>2092</v>
      </c>
      <c r="M227" s="2" t="s">
        <v>2093</v>
      </c>
      <c r="N227" s="2" t="s">
        <v>17</v>
      </c>
      <c r="O227" s="2" t="s">
        <v>17</v>
      </c>
      <c r="P227" s="2" t="s">
        <v>16</v>
      </c>
      <c r="Q227" s="2" t="s">
        <v>17</v>
      </c>
      <c r="R227" s="2" t="s">
        <v>16</v>
      </c>
      <c r="S227" s="2" t="s">
        <v>17</v>
      </c>
      <c r="T227" s="3">
        <v>5407000</v>
      </c>
    </row>
    <row r="228" spans="1:20" ht="146.25" x14ac:dyDescent="0.2">
      <c r="A228" s="2" t="str">
        <f>VLOOKUP(B228,[1]raw_data!$B$4:$C$343,2,FALSE)</f>
        <v>Educational Service Center</v>
      </c>
      <c r="B228" s="2" t="s">
        <v>2685</v>
      </c>
      <c r="C228" s="2" t="s">
        <v>2119</v>
      </c>
      <c r="D228" s="2" t="s">
        <v>696</v>
      </c>
      <c r="E228" s="2">
        <v>106</v>
      </c>
      <c r="F228" s="2" t="s">
        <v>2424</v>
      </c>
      <c r="G228" s="2" t="s">
        <v>2124</v>
      </c>
      <c r="H228" s="2">
        <v>6860</v>
      </c>
      <c r="I228" s="2" t="s">
        <v>2120</v>
      </c>
      <c r="J228" s="2" t="s">
        <v>2119</v>
      </c>
      <c r="K228" s="2" t="s">
        <v>2121</v>
      </c>
      <c r="L228" s="2" t="s">
        <v>2122</v>
      </c>
      <c r="M228" s="2" t="s">
        <v>2123</v>
      </c>
      <c r="N228" s="2" t="s">
        <v>17</v>
      </c>
      <c r="O228" s="2" t="s">
        <v>17</v>
      </c>
      <c r="P228" s="2" t="s">
        <v>17</v>
      </c>
      <c r="Q228" s="2" t="s">
        <v>16</v>
      </c>
      <c r="R228" s="2" t="s">
        <v>16</v>
      </c>
      <c r="S228" s="2" t="s">
        <v>17</v>
      </c>
      <c r="T228" s="3">
        <v>3274415</v>
      </c>
    </row>
    <row r="229" spans="1:20" ht="157.5" x14ac:dyDescent="0.2">
      <c r="A229" s="2" t="str">
        <f>VLOOKUP(B229,[1]raw_data!$B$4:$C$343,2,FALSE)</f>
        <v>Public District</v>
      </c>
      <c r="B229" s="2" t="s">
        <v>2661</v>
      </c>
      <c r="C229" s="2" t="s">
        <v>1931</v>
      </c>
      <c r="D229" s="2" t="s">
        <v>1932</v>
      </c>
      <c r="E229" s="2">
        <v>49</v>
      </c>
      <c r="F229" s="2" t="s">
        <v>1933</v>
      </c>
      <c r="G229" s="2" t="s">
        <v>1938</v>
      </c>
      <c r="H229" s="2">
        <v>1045</v>
      </c>
      <c r="I229" s="2" t="s">
        <v>1934</v>
      </c>
      <c r="J229" s="2" t="s">
        <v>1935</v>
      </c>
      <c r="K229" s="2" t="s">
        <v>1936</v>
      </c>
      <c r="L229" s="2">
        <v>7409431603</v>
      </c>
      <c r="M229" s="2" t="s">
        <v>1937</v>
      </c>
      <c r="N229" s="2" t="s">
        <v>17</v>
      </c>
      <c r="O229" s="2" t="s">
        <v>17</v>
      </c>
      <c r="P229" s="2" t="s">
        <v>17</v>
      </c>
      <c r="Q229" s="2" t="s">
        <v>17</v>
      </c>
      <c r="R229" s="2" t="s">
        <v>16</v>
      </c>
      <c r="S229" s="2" t="s">
        <v>17</v>
      </c>
      <c r="T229" s="3">
        <v>14991471</v>
      </c>
    </row>
    <row r="230" spans="1:20" ht="101.25" x14ac:dyDescent="0.2">
      <c r="A230" s="2" t="str">
        <f>VLOOKUP(B230,[1]raw_data!$B$4:$C$343,2,FALSE)</f>
        <v>Public District</v>
      </c>
      <c r="B230" s="2" t="s">
        <v>2561</v>
      </c>
      <c r="C230" s="2" t="s">
        <v>1086</v>
      </c>
      <c r="D230" s="2" t="s">
        <v>729</v>
      </c>
      <c r="E230" s="2">
        <v>114</v>
      </c>
      <c r="F230" s="2" t="s">
        <v>2314</v>
      </c>
      <c r="G230" s="2" t="s">
        <v>1092</v>
      </c>
      <c r="H230" s="2">
        <v>1865</v>
      </c>
      <c r="I230" s="2" t="s">
        <v>1087</v>
      </c>
      <c r="J230" s="2" t="s">
        <v>1088</v>
      </c>
      <c r="K230" s="2" t="s">
        <v>1089</v>
      </c>
      <c r="L230" s="2" t="s">
        <v>1090</v>
      </c>
      <c r="M230" s="2" t="s">
        <v>1091</v>
      </c>
      <c r="N230" s="2" t="s">
        <v>17</v>
      </c>
      <c r="O230" s="2" t="s">
        <v>17</v>
      </c>
      <c r="P230" s="2" t="s">
        <v>17</v>
      </c>
      <c r="Q230" s="2" t="s">
        <v>17</v>
      </c>
      <c r="R230" s="2" t="s">
        <v>17</v>
      </c>
      <c r="S230" s="2" t="s">
        <v>16</v>
      </c>
      <c r="T230" s="3">
        <v>1015845</v>
      </c>
    </row>
    <row r="231" spans="1:20" ht="135" x14ac:dyDescent="0.2">
      <c r="A231" s="2" t="str">
        <f>VLOOKUP(B231,[1]raw_data!$B$4:$C$343,2,FALSE)</f>
        <v>Public District</v>
      </c>
      <c r="B231" s="2" t="s">
        <v>2628</v>
      </c>
      <c r="C231" s="2" t="s">
        <v>1660</v>
      </c>
      <c r="D231" s="2" t="s">
        <v>178</v>
      </c>
      <c r="E231" s="2">
        <v>264</v>
      </c>
      <c r="F231" s="2" t="s">
        <v>2379</v>
      </c>
      <c r="G231" s="2" t="s">
        <v>1666</v>
      </c>
      <c r="H231" s="2">
        <v>795</v>
      </c>
      <c r="I231" s="2" t="s">
        <v>1661</v>
      </c>
      <c r="J231" s="2" t="s">
        <v>1662</v>
      </c>
      <c r="K231" s="2" t="s">
        <v>1663</v>
      </c>
      <c r="L231" s="2" t="s">
        <v>1664</v>
      </c>
      <c r="M231" s="2" t="s">
        <v>1665</v>
      </c>
      <c r="N231" s="2" t="s">
        <v>16</v>
      </c>
      <c r="O231" s="2" t="s">
        <v>17</v>
      </c>
      <c r="P231" s="2" t="s">
        <v>17</v>
      </c>
      <c r="Q231" s="2" t="s">
        <v>17</v>
      </c>
      <c r="R231" s="2" t="s">
        <v>17</v>
      </c>
      <c r="S231" s="2" t="s">
        <v>16</v>
      </c>
      <c r="T231" s="3">
        <v>613718</v>
      </c>
    </row>
    <row r="232" spans="1:20" ht="180" x14ac:dyDescent="0.2">
      <c r="A232" s="2" t="str">
        <f>VLOOKUP(B232,[1]raw_data!$B$4:$C$343,2,FALSE)</f>
        <v>Community School</v>
      </c>
      <c r="B232" s="2" t="s">
        <v>2461</v>
      </c>
      <c r="C232" s="2" t="s">
        <v>177</v>
      </c>
      <c r="D232" s="2" t="s">
        <v>178</v>
      </c>
      <c r="E232" s="2">
        <v>337</v>
      </c>
      <c r="F232" s="2" t="s">
        <v>2233</v>
      </c>
      <c r="G232" s="2" t="s">
        <v>183</v>
      </c>
      <c r="H232" s="2">
        <v>198</v>
      </c>
      <c r="I232" s="2" t="s">
        <v>179</v>
      </c>
      <c r="J232" s="2" t="s">
        <v>177</v>
      </c>
      <c r="K232" s="2" t="s">
        <v>180</v>
      </c>
      <c r="L232" s="2" t="s">
        <v>181</v>
      </c>
      <c r="M232" s="2" t="s">
        <v>182</v>
      </c>
      <c r="N232" s="2" t="s">
        <v>16</v>
      </c>
      <c r="O232" s="2" t="s">
        <v>17</v>
      </c>
      <c r="P232" s="2" t="s">
        <v>17</v>
      </c>
      <c r="Q232" s="2" t="s">
        <v>16</v>
      </c>
      <c r="R232" s="2" t="s">
        <v>16</v>
      </c>
      <c r="S232" s="2" t="s">
        <v>16</v>
      </c>
      <c r="T232" s="3">
        <v>173500</v>
      </c>
    </row>
    <row r="233" spans="1:20" ht="168.75" x14ac:dyDescent="0.2">
      <c r="A233" s="2" t="str">
        <f>VLOOKUP(B233,[1]raw_data!$B$4:$C$343,2,FALSE)</f>
        <v>Public District</v>
      </c>
      <c r="B233" s="2" t="s">
        <v>2629</v>
      </c>
      <c r="C233" s="2" t="s">
        <v>1667</v>
      </c>
      <c r="D233" s="2" t="s">
        <v>934</v>
      </c>
      <c r="E233" s="2">
        <v>121</v>
      </c>
      <c r="F233" s="2" t="s">
        <v>2380</v>
      </c>
      <c r="G233" s="2" t="s">
        <v>1673</v>
      </c>
      <c r="H233" s="2">
        <v>750</v>
      </c>
      <c r="I233" s="2" t="s">
        <v>1668</v>
      </c>
      <c r="J233" s="2" t="s">
        <v>1669</v>
      </c>
      <c r="K233" s="2" t="s">
        <v>1670</v>
      </c>
      <c r="L233" s="2" t="s">
        <v>1671</v>
      </c>
      <c r="M233" s="2" t="s">
        <v>1672</v>
      </c>
      <c r="N233" s="2" t="s">
        <v>16</v>
      </c>
      <c r="O233" s="2" t="s">
        <v>17</v>
      </c>
      <c r="P233" s="2" t="s">
        <v>17</v>
      </c>
      <c r="Q233" s="2" t="s">
        <v>17</v>
      </c>
      <c r="R233" s="2" t="s">
        <v>17</v>
      </c>
      <c r="S233" s="2" t="s">
        <v>17</v>
      </c>
      <c r="T233" s="3">
        <v>332274</v>
      </c>
    </row>
    <row r="234" spans="1:20" ht="135" x14ac:dyDescent="0.2">
      <c r="A234" s="2" t="str">
        <f>VLOOKUP(B234,[1]raw_data!$B$4:$C$343,2,FALSE)</f>
        <v>Public District</v>
      </c>
      <c r="B234" s="2" t="s">
        <v>2592</v>
      </c>
      <c r="C234" s="2" t="s">
        <v>1377</v>
      </c>
      <c r="D234" s="2" t="s">
        <v>74</v>
      </c>
      <c r="E234" s="2">
        <v>252</v>
      </c>
      <c r="F234" s="2" t="s">
        <v>2350</v>
      </c>
      <c r="G234" s="2" t="s">
        <v>1383</v>
      </c>
      <c r="H234" s="2">
        <v>2092</v>
      </c>
      <c r="I234" s="2" t="s">
        <v>1378</v>
      </c>
      <c r="J234" s="2" t="s">
        <v>1379</v>
      </c>
      <c r="K234" s="2" t="s">
        <v>1380</v>
      </c>
      <c r="L234" s="2" t="s">
        <v>1381</v>
      </c>
      <c r="M234" s="2" t="s">
        <v>1382</v>
      </c>
      <c r="N234" s="2" t="s">
        <v>16</v>
      </c>
      <c r="O234" s="2" t="s">
        <v>17</v>
      </c>
      <c r="P234" s="2" t="s">
        <v>17</v>
      </c>
      <c r="Q234" s="2" t="s">
        <v>16</v>
      </c>
      <c r="R234" s="2" t="s">
        <v>17</v>
      </c>
      <c r="S234" s="2" t="s">
        <v>16</v>
      </c>
      <c r="T234" s="3">
        <v>1000000</v>
      </c>
    </row>
    <row r="235" spans="1:20" ht="123.75" x14ac:dyDescent="0.2">
      <c r="A235" s="2" t="str">
        <f>VLOOKUP(B235,[1]raw_data!$B$4:$C$343,2,FALSE)</f>
        <v>Public District</v>
      </c>
      <c r="B235" s="2" t="s">
        <v>2562</v>
      </c>
      <c r="C235" s="2" t="s">
        <v>1093</v>
      </c>
      <c r="D235" s="2" t="s">
        <v>729</v>
      </c>
      <c r="E235" s="2">
        <v>40</v>
      </c>
      <c r="F235" s="2" t="s">
        <v>1094</v>
      </c>
      <c r="G235" s="2" t="s">
        <v>1100</v>
      </c>
      <c r="H235" s="2">
        <v>850</v>
      </c>
      <c r="I235" s="2" t="s">
        <v>1095</v>
      </c>
      <c r="J235" s="2" t="s">
        <v>1096</v>
      </c>
      <c r="K235" s="2" t="s">
        <v>1097</v>
      </c>
      <c r="L235" s="2" t="s">
        <v>1098</v>
      </c>
      <c r="M235" s="2" t="s">
        <v>1099</v>
      </c>
      <c r="N235" s="2" t="s">
        <v>16</v>
      </c>
      <c r="O235" s="2" t="s">
        <v>16</v>
      </c>
      <c r="P235" s="2" t="s">
        <v>17</v>
      </c>
      <c r="Q235" s="2" t="s">
        <v>17</v>
      </c>
      <c r="R235" s="2" t="s">
        <v>17</v>
      </c>
      <c r="S235" s="2" t="s">
        <v>16</v>
      </c>
      <c r="T235" s="3">
        <v>215230</v>
      </c>
    </row>
    <row r="236" spans="1:20" ht="101.25" x14ac:dyDescent="0.2">
      <c r="A236" s="2" t="str">
        <f>VLOOKUP(B236,[1]raw_data!$B$4:$C$343,2,FALSE)</f>
        <v>Public District</v>
      </c>
      <c r="B236" s="2" t="s">
        <v>2664</v>
      </c>
      <c r="C236" s="2" t="s">
        <v>1093</v>
      </c>
      <c r="D236" s="2" t="s">
        <v>820</v>
      </c>
      <c r="E236" s="2">
        <v>315</v>
      </c>
      <c r="F236" s="2" t="s">
        <v>2407</v>
      </c>
      <c r="G236" s="2" t="s">
        <v>1959</v>
      </c>
      <c r="H236" s="2">
        <v>1020</v>
      </c>
      <c r="I236" s="2" t="s">
        <v>1954</v>
      </c>
      <c r="J236" s="2" t="s">
        <v>1955</v>
      </c>
      <c r="K236" s="2" t="s">
        <v>1956</v>
      </c>
      <c r="L236" s="2" t="s">
        <v>1957</v>
      </c>
      <c r="M236" s="2" t="s">
        <v>1958</v>
      </c>
      <c r="N236" s="2" t="s">
        <v>16</v>
      </c>
      <c r="O236" s="2" t="s">
        <v>17</v>
      </c>
      <c r="P236" s="2" t="s">
        <v>17</v>
      </c>
      <c r="Q236" s="2" t="s">
        <v>17</v>
      </c>
      <c r="R236" s="2" t="s">
        <v>16</v>
      </c>
      <c r="S236" s="2" t="s">
        <v>16</v>
      </c>
      <c r="T236" s="3">
        <v>189120</v>
      </c>
    </row>
    <row r="237" spans="1:20" ht="67.5" x14ac:dyDescent="0.2">
      <c r="A237" s="2" t="str">
        <f>VLOOKUP(B237,[1]raw_data!$B$4:$C$343,2,FALSE)</f>
        <v>Public District</v>
      </c>
      <c r="B237" s="2" t="s">
        <v>2509</v>
      </c>
      <c r="C237" s="2" t="s">
        <v>621</v>
      </c>
      <c r="D237" s="2" t="s">
        <v>622</v>
      </c>
      <c r="E237" s="2">
        <v>61</v>
      </c>
      <c r="F237" s="2" t="s">
        <v>2269</v>
      </c>
      <c r="G237" s="2" t="s">
        <v>628</v>
      </c>
      <c r="H237" s="2">
        <v>423</v>
      </c>
      <c r="I237" s="2" t="s">
        <v>623</v>
      </c>
      <c r="J237" s="2" t="s">
        <v>624</v>
      </c>
      <c r="K237" s="2" t="s">
        <v>625</v>
      </c>
      <c r="L237" s="2" t="s">
        <v>626</v>
      </c>
      <c r="M237" s="2" t="s">
        <v>627</v>
      </c>
      <c r="N237" s="2" t="s">
        <v>17</v>
      </c>
      <c r="O237" s="2" t="s">
        <v>17</v>
      </c>
      <c r="P237" s="2" t="s">
        <v>17</v>
      </c>
      <c r="Q237" s="2" t="s">
        <v>17</v>
      </c>
      <c r="R237" s="2" t="s">
        <v>17</v>
      </c>
      <c r="S237" s="2" t="s">
        <v>16</v>
      </c>
      <c r="T237" s="3">
        <v>882605</v>
      </c>
    </row>
    <row r="238" spans="1:20" ht="112.5" x14ac:dyDescent="0.2">
      <c r="A238" s="2" t="str">
        <f>VLOOKUP(B238,[1]raw_data!$B$4:$C$343,2,FALSE)</f>
        <v>Public District</v>
      </c>
      <c r="B238" s="2" t="s">
        <v>2593</v>
      </c>
      <c r="C238" s="2" t="s">
        <v>1384</v>
      </c>
      <c r="D238" s="2" t="s">
        <v>74</v>
      </c>
      <c r="E238" s="2">
        <v>42</v>
      </c>
      <c r="F238" s="2" t="s">
        <v>2351</v>
      </c>
      <c r="G238" s="2" t="s">
        <v>1390</v>
      </c>
      <c r="H238" s="2">
        <v>3592</v>
      </c>
      <c r="I238" s="2" t="s">
        <v>1385</v>
      </c>
      <c r="J238" s="2" t="s">
        <v>1386</v>
      </c>
      <c r="K238" s="2" t="s">
        <v>1387</v>
      </c>
      <c r="L238" s="2" t="s">
        <v>1388</v>
      </c>
      <c r="M238" s="2" t="s">
        <v>1389</v>
      </c>
      <c r="N238" s="2" t="s">
        <v>17</v>
      </c>
      <c r="O238" s="2" t="s">
        <v>17</v>
      </c>
      <c r="P238" s="2" t="s">
        <v>17</v>
      </c>
      <c r="Q238" s="2" t="s">
        <v>17</v>
      </c>
      <c r="R238" s="2" t="s">
        <v>17</v>
      </c>
      <c r="S238" s="2" t="s">
        <v>17</v>
      </c>
      <c r="T238" s="3">
        <v>3244681</v>
      </c>
    </row>
    <row r="239" spans="1:20" ht="112.5" x14ac:dyDescent="0.2">
      <c r="A239" s="2" t="str">
        <f>VLOOKUP(B239,[1]raw_data!$B$4:$C$343,2,FALSE)</f>
        <v>Public District</v>
      </c>
      <c r="B239" s="2" t="s">
        <v>2510</v>
      </c>
      <c r="C239" s="2" t="s">
        <v>629</v>
      </c>
      <c r="D239" s="2" t="s">
        <v>178</v>
      </c>
      <c r="E239" s="2">
        <v>309</v>
      </c>
      <c r="F239" s="2" t="s">
        <v>2270</v>
      </c>
      <c r="G239" s="2" t="s">
        <v>635</v>
      </c>
      <c r="H239" s="2">
        <v>2106</v>
      </c>
      <c r="I239" s="2" t="s">
        <v>630</v>
      </c>
      <c r="J239" s="2" t="s">
        <v>631</v>
      </c>
      <c r="K239" s="2" t="s">
        <v>632</v>
      </c>
      <c r="L239" s="2" t="s">
        <v>633</v>
      </c>
      <c r="M239" s="2" t="s">
        <v>634</v>
      </c>
      <c r="N239" s="2" t="s">
        <v>16</v>
      </c>
      <c r="O239" s="2" t="s">
        <v>17</v>
      </c>
      <c r="P239" s="2" t="s">
        <v>17</v>
      </c>
      <c r="Q239" s="2" t="s">
        <v>17</v>
      </c>
      <c r="R239" s="2" t="s">
        <v>17</v>
      </c>
      <c r="S239" s="2" t="s">
        <v>16</v>
      </c>
      <c r="T239" s="3">
        <v>995250</v>
      </c>
    </row>
    <row r="240" spans="1:20" ht="67.5" x14ac:dyDescent="0.2">
      <c r="A240" s="2" t="str">
        <f>VLOOKUP(B240,[1]raw_data!$B$4:$C$343,2,FALSE)</f>
        <v>Public District</v>
      </c>
      <c r="B240" s="2" t="s">
        <v>2510</v>
      </c>
      <c r="C240" s="2" t="s">
        <v>629</v>
      </c>
      <c r="D240" s="2" t="s">
        <v>178</v>
      </c>
      <c r="E240" s="2">
        <v>310</v>
      </c>
      <c r="F240" s="2" t="s">
        <v>636</v>
      </c>
      <c r="G240" s="2" t="s">
        <v>642</v>
      </c>
      <c r="H240" s="2">
        <v>2106</v>
      </c>
      <c r="I240" s="2" t="s">
        <v>637</v>
      </c>
      <c r="J240" s="2" t="s">
        <v>638</v>
      </c>
      <c r="K240" s="2" t="s">
        <v>639</v>
      </c>
      <c r="L240" s="2" t="s">
        <v>640</v>
      </c>
      <c r="M240" s="2" t="s">
        <v>641</v>
      </c>
      <c r="N240" s="2" t="s">
        <v>16</v>
      </c>
      <c r="O240" s="2" t="s">
        <v>16</v>
      </c>
      <c r="P240" s="2" t="s">
        <v>17</v>
      </c>
      <c r="Q240" s="2" t="s">
        <v>17</v>
      </c>
      <c r="R240" s="2" t="s">
        <v>17</v>
      </c>
      <c r="S240" s="2" t="s">
        <v>16</v>
      </c>
      <c r="T240" s="3">
        <v>835000</v>
      </c>
    </row>
    <row r="241" spans="1:20" ht="78.75" x14ac:dyDescent="0.2">
      <c r="A241" s="2" t="str">
        <f>VLOOKUP(B241,[1]raw_data!$B$4:$C$343,2,FALSE)</f>
        <v>Public District</v>
      </c>
      <c r="B241" s="2" t="s">
        <v>2511</v>
      </c>
      <c r="C241" s="2" t="s">
        <v>643</v>
      </c>
      <c r="D241" s="2" t="s">
        <v>423</v>
      </c>
      <c r="E241" s="2">
        <v>341</v>
      </c>
      <c r="F241" s="2" t="s">
        <v>644</v>
      </c>
      <c r="G241" s="2" t="s">
        <v>648</v>
      </c>
      <c r="H241" s="2">
        <v>1000</v>
      </c>
      <c r="I241" s="2" t="s">
        <v>645</v>
      </c>
      <c r="J241" s="2" t="s">
        <v>643</v>
      </c>
      <c r="K241" s="2" t="s">
        <v>646</v>
      </c>
      <c r="L241" s="2">
        <v>4407741458</v>
      </c>
      <c r="M241" s="2" t="s">
        <v>647</v>
      </c>
      <c r="N241" s="2" t="s">
        <v>16</v>
      </c>
      <c r="O241" s="2" t="s">
        <v>17</v>
      </c>
      <c r="P241" s="2" t="s">
        <v>17</v>
      </c>
      <c r="Q241" s="2" t="s">
        <v>17</v>
      </c>
      <c r="R241" s="2" t="s">
        <v>17</v>
      </c>
      <c r="S241" s="2" t="s">
        <v>16</v>
      </c>
      <c r="T241" s="3" t="s">
        <v>649</v>
      </c>
    </row>
    <row r="242" spans="1:20" ht="123.75" x14ac:dyDescent="0.2">
      <c r="A242" s="2" t="str">
        <f>VLOOKUP(B242,[1]raw_data!$B$4:$C$343,2,FALSE)</f>
        <v>Joint Vocational School District</v>
      </c>
      <c r="B242" s="2" t="s">
        <v>2670</v>
      </c>
      <c r="C242" s="2" t="s">
        <v>1997</v>
      </c>
      <c r="D242" s="2" t="s">
        <v>1479</v>
      </c>
      <c r="E242" s="2">
        <v>66</v>
      </c>
      <c r="F242" s="2" t="s">
        <v>2412</v>
      </c>
      <c r="G242" s="2" t="s">
        <v>2002</v>
      </c>
      <c r="H242" s="2">
        <v>10439</v>
      </c>
      <c r="I242" s="2" t="s">
        <v>1998</v>
      </c>
      <c r="J242" s="2" t="s">
        <v>1997</v>
      </c>
      <c r="K242" s="2" t="s">
        <v>1999</v>
      </c>
      <c r="L242" s="2" t="s">
        <v>2000</v>
      </c>
      <c r="M242" s="2" t="s">
        <v>2001</v>
      </c>
      <c r="N242" s="2" t="s">
        <v>17</v>
      </c>
      <c r="O242" s="2" t="s">
        <v>17</v>
      </c>
      <c r="P242" s="2" t="s">
        <v>17</v>
      </c>
      <c r="Q242" s="2" t="s">
        <v>17</v>
      </c>
      <c r="R242" s="2" t="s">
        <v>16</v>
      </c>
      <c r="S242" s="2" t="s">
        <v>17</v>
      </c>
      <c r="T242" s="3">
        <v>7123312</v>
      </c>
    </row>
    <row r="243" spans="1:20" ht="101.25" x14ac:dyDescent="0.2">
      <c r="A243" s="2" t="str">
        <f>VLOOKUP(B243,[1]raw_data!$B$4:$C$343,2,FALSE)</f>
        <v>Educational Service Center</v>
      </c>
      <c r="B243" s="2" t="s">
        <v>2682</v>
      </c>
      <c r="C243" s="2" t="s">
        <v>2095</v>
      </c>
      <c r="D243" s="2" t="s">
        <v>276</v>
      </c>
      <c r="E243" s="2">
        <v>118</v>
      </c>
      <c r="F243" s="2" t="s">
        <v>2423</v>
      </c>
      <c r="G243" s="2" t="s">
        <v>2101</v>
      </c>
      <c r="H243" s="2">
        <v>3375</v>
      </c>
      <c r="I243" s="2" t="s">
        <v>2096</v>
      </c>
      <c r="J243" s="2" t="s">
        <v>2097</v>
      </c>
      <c r="K243" s="2" t="s">
        <v>2098</v>
      </c>
      <c r="L243" s="2" t="s">
        <v>2099</v>
      </c>
      <c r="M243" s="2" t="s">
        <v>2100</v>
      </c>
      <c r="N243" s="2" t="s">
        <v>17</v>
      </c>
      <c r="O243" s="2" t="s">
        <v>17</v>
      </c>
      <c r="P243" s="2" t="s">
        <v>17</v>
      </c>
      <c r="Q243" s="2" t="s">
        <v>17</v>
      </c>
      <c r="R243" s="2" t="s">
        <v>17</v>
      </c>
      <c r="S243" s="2" t="s">
        <v>17</v>
      </c>
      <c r="T243" s="3">
        <v>924227.24</v>
      </c>
    </row>
    <row r="244" spans="1:20" ht="101.25" x14ac:dyDescent="0.2">
      <c r="A244" s="2" t="str">
        <f>VLOOKUP(B244,[1]raw_data!$B$4:$C$343,2,FALSE)</f>
        <v>Community School</v>
      </c>
      <c r="B244" s="2" t="s">
        <v>2695</v>
      </c>
      <c r="C244" s="2" t="s">
        <v>2178</v>
      </c>
      <c r="D244" s="2" t="s">
        <v>11</v>
      </c>
      <c r="E244" s="2">
        <v>232</v>
      </c>
      <c r="F244" s="2" t="s">
        <v>2432</v>
      </c>
      <c r="G244" s="2" t="s">
        <v>2184</v>
      </c>
      <c r="H244" s="2">
        <v>13000</v>
      </c>
      <c r="I244" s="2" t="s">
        <v>2179</v>
      </c>
      <c r="J244" s="2" t="s">
        <v>2180</v>
      </c>
      <c r="K244" s="2" t="s">
        <v>2181</v>
      </c>
      <c r="L244" s="2" t="s">
        <v>2182</v>
      </c>
      <c r="M244" s="2" t="s">
        <v>2183</v>
      </c>
      <c r="N244" s="2" t="s">
        <v>16</v>
      </c>
      <c r="O244" s="2" t="s">
        <v>16</v>
      </c>
      <c r="P244" s="2" t="s">
        <v>17</v>
      </c>
      <c r="Q244" s="2" t="s">
        <v>17</v>
      </c>
      <c r="R244" s="2" t="s">
        <v>17</v>
      </c>
      <c r="S244" s="2" t="s">
        <v>17</v>
      </c>
      <c r="T244" s="3">
        <v>13179</v>
      </c>
    </row>
    <row r="245" spans="1:20" ht="101.25" x14ac:dyDescent="0.2">
      <c r="A245" s="2" t="str">
        <f>VLOOKUP(B245,[1]raw_data!$B$4:$C$343,2,FALSE)</f>
        <v>Public District</v>
      </c>
      <c r="B245" s="2" t="s">
        <v>2570</v>
      </c>
      <c r="C245" s="2" t="s">
        <v>1163</v>
      </c>
      <c r="D245" s="2" t="s">
        <v>29</v>
      </c>
      <c r="E245" s="2">
        <v>155</v>
      </c>
      <c r="F245" s="2" t="s">
        <v>2323</v>
      </c>
      <c r="G245" s="2" t="s">
        <v>1169</v>
      </c>
      <c r="H245" s="2">
        <v>15930</v>
      </c>
      <c r="I245" s="2" t="s">
        <v>1164</v>
      </c>
      <c r="J245" s="2" t="s">
        <v>1165</v>
      </c>
      <c r="K245" s="2" t="s">
        <v>1166</v>
      </c>
      <c r="L245" s="2" t="s">
        <v>1167</v>
      </c>
      <c r="M245" s="2" t="s">
        <v>1168</v>
      </c>
      <c r="N245" s="2" t="s">
        <v>17</v>
      </c>
      <c r="O245" s="2" t="s">
        <v>17</v>
      </c>
      <c r="P245" s="2" t="s">
        <v>17</v>
      </c>
      <c r="Q245" s="2" t="s">
        <v>17</v>
      </c>
      <c r="R245" s="2" t="s">
        <v>17</v>
      </c>
      <c r="S245" s="2" t="s">
        <v>17</v>
      </c>
      <c r="T245" s="3">
        <v>14979312</v>
      </c>
    </row>
    <row r="246" spans="1:20" ht="101.25" x14ac:dyDescent="0.2">
      <c r="A246" s="2" t="str">
        <f>VLOOKUP(B246,[1]raw_data!$B$4:$C$343,2,FALSE)</f>
        <v>Public District</v>
      </c>
      <c r="B246" s="2" t="s">
        <v>2512</v>
      </c>
      <c r="C246" s="2" t="s">
        <v>650</v>
      </c>
      <c r="D246" s="2" t="s">
        <v>11</v>
      </c>
      <c r="E246" s="2">
        <v>333</v>
      </c>
      <c r="F246" s="2" t="s">
        <v>651</v>
      </c>
      <c r="G246" s="2" t="s">
        <v>657</v>
      </c>
      <c r="H246" s="2">
        <v>3000</v>
      </c>
      <c r="I246" s="2" t="s">
        <v>652</v>
      </c>
      <c r="J246" s="2" t="s">
        <v>653</v>
      </c>
      <c r="K246" s="2" t="s">
        <v>654</v>
      </c>
      <c r="L246" s="2" t="s">
        <v>655</v>
      </c>
      <c r="M246" s="2" t="s">
        <v>656</v>
      </c>
      <c r="N246" s="2" t="s">
        <v>16</v>
      </c>
      <c r="O246" s="2" t="s">
        <v>17</v>
      </c>
      <c r="P246" s="2" t="s">
        <v>17</v>
      </c>
      <c r="Q246" s="2" t="s">
        <v>17</v>
      </c>
      <c r="R246" s="2" t="s">
        <v>17</v>
      </c>
      <c r="S246" s="2" t="s">
        <v>16</v>
      </c>
      <c r="T246" s="3">
        <v>139710</v>
      </c>
    </row>
    <row r="247" spans="1:20" ht="157.5" x14ac:dyDescent="0.2">
      <c r="A247" s="2" t="str">
        <f>VLOOKUP(B247,[1]raw_data!$B$4:$C$343,2,FALSE)</f>
        <v>Public District</v>
      </c>
      <c r="B247" s="2" t="s">
        <v>2665</v>
      </c>
      <c r="C247" s="2" t="s">
        <v>1960</v>
      </c>
      <c r="D247" s="2" t="s">
        <v>268</v>
      </c>
      <c r="E247" s="2">
        <v>50</v>
      </c>
      <c r="F247" s="2" t="s">
        <v>1961</v>
      </c>
      <c r="G247" s="2" t="s">
        <v>1967</v>
      </c>
      <c r="H247" s="2">
        <v>1643</v>
      </c>
      <c r="I247" s="2" t="s">
        <v>1962</v>
      </c>
      <c r="J247" s="2" t="s">
        <v>1963</v>
      </c>
      <c r="K247" s="2" t="s">
        <v>1964</v>
      </c>
      <c r="L247" s="2" t="s">
        <v>1965</v>
      </c>
      <c r="M247" s="2" t="s">
        <v>1966</v>
      </c>
      <c r="N247" s="2" t="s">
        <v>16</v>
      </c>
      <c r="O247" s="2" t="s">
        <v>16</v>
      </c>
      <c r="P247" s="2" t="s">
        <v>17</v>
      </c>
      <c r="Q247" s="2" t="s">
        <v>17</v>
      </c>
      <c r="R247" s="2" t="s">
        <v>16</v>
      </c>
      <c r="S247" s="2" t="s">
        <v>16</v>
      </c>
      <c r="T247" s="3">
        <v>925000</v>
      </c>
    </row>
    <row r="248" spans="1:20" ht="168.75" x14ac:dyDescent="0.2">
      <c r="A248" s="2" t="str">
        <f>VLOOKUP(B248,[1]raw_data!$B$4:$C$343,2,FALSE)</f>
        <v>Public District</v>
      </c>
      <c r="B248" s="2" t="s">
        <v>2614</v>
      </c>
      <c r="C248" s="2" t="s">
        <v>1538</v>
      </c>
      <c r="D248" s="2" t="s">
        <v>11</v>
      </c>
      <c r="E248" s="2">
        <v>89</v>
      </c>
      <c r="F248" s="2" t="s">
        <v>1539</v>
      </c>
      <c r="G248" s="2" t="s">
        <v>1545</v>
      </c>
      <c r="H248" s="2">
        <v>1000</v>
      </c>
      <c r="I248" s="2" t="s">
        <v>1540</v>
      </c>
      <c r="J248" s="2" t="s">
        <v>1541</v>
      </c>
      <c r="K248" s="2" t="s">
        <v>1542</v>
      </c>
      <c r="L248" s="2" t="s">
        <v>1543</v>
      </c>
      <c r="M248" s="2" t="s">
        <v>1544</v>
      </c>
      <c r="N248" s="2" t="s">
        <v>16</v>
      </c>
      <c r="O248" s="2" t="s">
        <v>17</v>
      </c>
      <c r="P248" s="2" t="s">
        <v>17</v>
      </c>
      <c r="Q248" s="2" t="s">
        <v>17</v>
      </c>
      <c r="R248" s="2" t="s">
        <v>17</v>
      </c>
      <c r="S248" s="2" t="s">
        <v>16</v>
      </c>
      <c r="T248" s="3">
        <v>985450</v>
      </c>
    </row>
    <row r="249" spans="1:20" ht="180" x14ac:dyDescent="0.2">
      <c r="A249" s="2" t="str">
        <f>VLOOKUP(B249,[1]raw_data!$B$4:$C$343,2,FALSE)</f>
        <v>Public District</v>
      </c>
      <c r="B249" s="2" t="s">
        <v>2513</v>
      </c>
      <c r="C249" s="2" t="s">
        <v>658</v>
      </c>
      <c r="D249" s="2" t="s">
        <v>29</v>
      </c>
      <c r="E249" s="2">
        <v>325</v>
      </c>
      <c r="F249" s="2" t="s">
        <v>2271</v>
      </c>
      <c r="G249" s="2" t="s">
        <v>664</v>
      </c>
      <c r="H249" s="2">
        <v>3637</v>
      </c>
      <c r="I249" s="2" t="s">
        <v>659</v>
      </c>
      <c r="J249" s="2" t="s">
        <v>660</v>
      </c>
      <c r="K249" s="2" t="s">
        <v>661</v>
      </c>
      <c r="L249" s="2" t="s">
        <v>662</v>
      </c>
      <c r="M249" s="2" t="s">
        <v>663</v>
      </c>
      <c r="N249" s="2" t="s">
        <v>16</v>
      </c>
      <c r="O249" s="2" t="s">
        <v>16</v>
      </c>
      <c r="P249" s="2" t="s">
        <v>17</v>
      </c>
      <c r="Q249" s="2" t="s">
        <v>17</v>
      </c>
      <c r="R249" s="2" t="s">
        <v>16</v>
      </c>
      <c r="S249" s="2" t="s">
        <v>16</v>
      </c>
      <c r="T249" s="3">
        <v>732646.96</v>
      </c>
    </row>
    <row r="250" spans="1:20" ht="157.5" x14ac:dyDescent="0.2">
      <c r="A250" s="2" t="str">
        <f>VLOOKUP(B250,[1]raw_data!$B$4:$C$343,2,FALSE)</f>
        <v>Public District</v>
      </c>
      <c r="B250" s="2" t="s">
        <v>2513</v>
      </c>
      <c r="C250" s="2" t="s">
        <v>658</v>
      </c>
      <c r="D250" s="2" t="s">
        <v>29</v>
      </c>
      <c r="E250" s="2">
        <v>326</v>
      </c>
      <c r="F250" s="2" t="s">
        <v>2272</v>
      </c>
      <c r="G250" s="2" t="s">
        <v>668</v>
      </c>
      <c r="H250" s="2">
        <v>12465</v>
      </c>
      <c r="I250" s="2" t="s">
        <v>659</v>
      </c>
      <c r="J250" s="2" t="s">
        <v>665</v>
      </c>
      <c r="K250" s="2" t="s">
        <v>666</v>
      </c>
      <c r="L250" s="2" t="s">
        <v>667</v>
      </c>
      <c r="M250" s="2" t="s">
        <v>663</v>
      </c>
      <c r="N250" s="2" t="s">
        <v>17</v>
      </c>
      <c r="O250" s="2" t="s">
        <v>16</v>
      </c>
      <c r="P250" s="2" t="s">
        <v>17</v>
      </c>
      <c r="Q250" s="2" t="s">
        <v>17</v>
      </c>
      <c r="R250" s="2" t="s">
        <v>16</v>
      </c>
      <c r="S250" s="2" t="s">
        <v>17</v>
      </c>
      <c r="T250" s="3">
        <v>11948791</v>
      </c>
    </row>
    <row r="251" spans="1:20" ht="157.5" x14ac:dyDescent="0.2">
      <c r="A251" s="2" t="str">
        <f>VLOOKUP(B251,[1]raw_data!$B$4:$C$343,2,FALSE)</f>
        <v>Community School</v>
      </c>
      <c r="B251" s="2" t="s">
        <v>2454</v>
      </c>
      <c r="C251" s="2" t="s">
        <v>129</v>
      </c>
      <c r="D251" s="2" t="s">
        <v>82</v>
      </c>
      <c r="E251" s="2">
        <v>322</v>
      </c>
      <c r="F251" s="2" t="s">
        <v>2227</v>
      </c>
      <c r="G251" s="2" t="s">
        <v>135</v>
      </c>
      <c r="H251" s="2">
        <v>344</v>
      </c>
      <c r="I251" s="2" t="s">
        <v>130</v>
      </c>
      <c r="J251" s="2" t="s">
        <v>131</v>
      </c>
      <c r="K251" s="2" t="s">
        <v>132</v>
      </c>
      <c r="L251" s="2" t="s">
        <v>133</v>
      </c>
      <c r="M251" s="2" t="s">
        <v>134</v>
      </c>
      <c r="N251" s="2" t="s">
        <v>16</v>
      </c>
      <c r="O251" s="2" t="s">
        <v>16</v>
      </c>
      <c r="P251" s="2" t="s">
        <v>17</v>
      </c>
      <c r="Q251" s="2" t="s">
        <v>16</v>
      </c>
      <c r="R251" s="2" t="s">
        <v>17</v>
      </c>
      <c r="S251" s="2" t="s">
        <v>16</v>
      </c>
      <c r="T251" s="3">
        <v>197500</v>
      </c>
    </row>
    <row r="252" spans="1:20" ht="146.25" x14ac:dyDescent="0.2">
      <c r="A252" s="2" t="str">
        <f>VLOOKUP(B252,[1]raw_data!$B$4:$C$343,2,FALSE)</f>
        <v>Public District</v>
      </c>
      <c r="B252" s="2" t="s">
        <v>2573</v>
      </c>
      <c r="C252" s="2" t="s">
        <v>1186</v>
      </c>
      <c r="D252" s="2" t="s">
        <v>696</v>
      </c>
      <c r="E252" s="2">
        <v>312</v>
      </c>
      <c r="F252" s="2" t="s">
        <v>2324</v>
      </c>
      <c r="G252" s="2" t="s">
        <v>1192</v>
      </c>
      <c r="H252" s="2">
        <v>3060</v>
      </c>
      <c r="I252" s="2" t="s">
        <v>1187</v>
      </c>
      <c r="J252" s="2" t="s">
        <v>1188</v>
      </c>
      <c r="K252" s="2" t="s">
        <v>1189</v>
      </c>
      <c r="L252" s="2" t="s">
        <v>1190</v>
      </c>
      <c r="M252" s="2" t="s">
        <v>1191</v>
      </c>
      <c r="N252" s="2" t="s">
        <v>17</v>
      </c>
      <c r="O252" s="2" t="s">
        <v>17</v>
      </c>
      <c r="P252" s="2" t="s">
        <v>17</v>
      </c>
      <c r="Q252" s="2" t="s">
        <v>17</v>
      </c>
      <c r="R252" s="2" t="s">
        <v>17</v>
      </c>
      <c r="S252" s="2" t="s">
        <v>17</v>
      </c>
      <c r="T252" s="3">
        <v>2024615</v>
      </c>
    </row>
    <row r="253" spans="1:20" ht="123.75" x14ac:dyDescent="0.2">
      <c r="A253" s="2" t="str">
        <f>VLOOKUP(B253,[1]raw_data!$B$4:$C$343,2,FALSE)</f>
        <v>Public District</v>
      </c>
      <c r="B253" s="2" t="s">
        <v>2601</v>
      </c>
      <c r="C253" s="2" t="s">
        <v>1440</v>
      </c>
      <c r="D253" s="2" t="s">
        <v>811</v>
      </c>
      <c r="E253" s="2">
        <v>183</v>
      </c>
      <c r="F253" s="2" t="s">
        <v>1441</v>
      </c>
      <c r="G253" s="2" t="s">
        <v>1447</v>
      </c>
      <c r="H253" s="2">
        <v>600</v>
      </c>
      <c r="I253" s="2" t="s">
        <v>1442</v>
      </c>
      <c r="J253" s="2" t="s">
        <v>1443</v>
      </c>
      <c r="K253" s="2" t="s">
        <v>1444</v>
      </c>
      <c r="L253" s="2" t="s">
        <v>1445</v>
      </c>
      <c r="M253" s="2" t="s">
        <v>1446</v>
      </c>
      <c r="N253" s="2" t="s">
        <v>16</v>
      </c>
      <c r="O253" s="2" t="s">
        <v>17</v>
      </c>
      <c r="P253" s="2" t="s">
        <v>17</v>
      </c>
      <c r="Q253" s="2" t="s">
        <v>17</v>
      </c>
      <c r="R253" s="2" t="s">
        <v>17</v>
      </c>
      <c r="S253" s="2" t="s">
        <v>17</v>
      </c>
      <c r="T253" s="3">
        <v>999718</v>
      </c>
    </row>
    <row r="254" spans="1:20" ht="180" x14ac:dyDescent="0.2">
      <c r="A254" s="2" t="str">
        <f>VLOOKUP(B254,[1]raw_data!$B$4:$C$343,2,FALSE)</f>
        <v>Public District</v>
      </c>
      <c r="B254" s="2" t="s">
        <v>2582</v>
      </c>
      <c r="C254" s="2" t="s">
        <v>1291</v>
      </c>
      <c r="D254" s="2" t="s">
        <v>1283</v>
      </c>
      <c r="E254" s="2">
        <v>153</v>
      </c>
      <c r="F254" s="2" t="s">
        <v>2337</v>
      </c>
      <c r="G254" s="2" t="s">
        <v>1296</v>
      </c>
      <c r="H254" s="2">
        <v>367</v>
      </c>
      <c r="I254" s="2" t="s">
        <v>1292</v>
      </c>
      <c r="J254" s="2" t="s">
        <v>1293</v>
      </c>
      <c r="K254" s="2" t="s">
        <v>1294</v>
      </c>
      <c r="L254" s="2">
        <v>4194462705</v>
      </c>
      <c r="M254" s="2" t="s">
        <v>1295</v>
      </c>
      <c r="N254" s="2" t="s">
        <v>16</v>
      </c>
      <c r="O254" s="2" t="s">
        <v>17</v>
      </c>
      <c r="P254" s="2" t="s">
        <v>17</v>
      </c>
      <c r="Q254" s="2" t="s">
        <v>16</v>
      </c>
      <c r="R254" s="2" t="s">
        <v>17</v>
      </c>
      <c r="S254" s="2" t="s">
        <v>16</v>
      </c>
      <c r="T254" s="3">
        <v>331000</v>
      </c>
    </row>
    <row r="255" spans="1:20" ht="168.75" x14ac:dyDescent="0.2">
      <c r="A255" s="2" t="str">
        <f>VLOOKUP(B255,[1]raw_data!$B$4:$C$343,2,FALSE)</f>
        <v>Joint Vocational School District</v>
      </c>
      <c r="B255" s="2" t="s">
        <v>2671</v>
      </c>
      <c r="C255" s="2" t="s">
        <v>2003</v>
      </c>
      <c r="D255" s="2" t="s">
        <v>307</v>
      </c>
      <c r="E255" s="2">
        <v>35</v>
      </c>
      <c r="F255" s="2" t="s">
        <v>2413</v>
      </c>
      <c r="G255" s="2" t="s">
        <v>2009</v>
      </c>
      <c r="H255" s="2">
        <v>25000</v>
      </c>
      <c r="I255" s="2" t="s">
        <v>2004</v>
      </c>
      <c r="J255" s="2" t="s">
        <v>2005</v>
      </c>
      <c r="K255" s="2" t="s">
        <v>2006</v>
      </c>
      <c r="L255" s="2" t="s">
        <v>2007</v>
      </c>
      <c r="M255" s="2" t="s">
        <v>2008</v>
      </c>
      <c r="N255" s="2" t="s">
        <v>16</v>
      </c>
      <c r="O255" s="2" t="s">
        <v>17</v>
      </c>
      <c r="P255" s="2" t="s">
        <v>17</v>
      </c>
      <c r="Q255" s="2" t="s">
        <v>16</v>
      </c>
      <c r="R255" s="2" t="s">
        <v>17</v>
      </c>
      <c r="S255" s="2" t="s">
        <v>16</v>
      </c>
      <c r="T255" s="3">
        <v>948337.34</v>
      </c>
    </row>
    <row r="256" spans="1:20" ht="180" x14ac:dyDescent="0.2">
      <c r="A256" s="2" t="str">
        <f>VLOOKUP(B256,[1]raw_data!$B$4:$C$343,2,FALSE)</f>
        <v>Public District</v>
      </c>
      <c r="B256" s="2" t="s">
        <v>2575</v>
      </c>
      <c r="C256" s="2" t="s">
        <v>1210</v>
      </c>
      <c r="D256" s="2" t="s">
        <v>502</v>
      </c>
      <c r="E256" s="2">
        <v>181</v>
      </c>
      <c r="F256" s="2" t="s">
        <v>2327</v>
      </c>
      <c r="G256" s="2" t="s">
        <v>1216</v>
      </c>
      <c r="H256" s="2">
        <v>120</v>
      </c>
      <c r="I256" s="2" t="s">
        <v>1211</v>
      </c>
      <c r="J256" s="2" t="s">
        <v>1212</v>
      </c>
      <c r="K256" s="2" t="s">
        <v>1213</v>
      </c>
      <c r="L256" s="2" t="s">
        <v>1214</v>
      </c>
      <c r="M256" s="2" t="s">
        <v>1215</v>
      </c>
      <c r="N256" s="2" t="s">
        <v>16</v>
      </c>
      <c r="O256" s="2" t="s">
        <v>17</v>
      </c>
      <c r="P256" s="2" t="s">
        <v>17</v>
      </c>
      <c r="Q256" s="2" t="s">
        <v>17</v>
      </c>
      <c r="R256" s="2" t="s">
        <v>17</v>
      </c>
      <c r="S256" s="2" t="s">
        <v>16</v>
      </c>
      <c r="T256" s="3">
        <v>220940</v>
      </c>
    </row>
    <row r="257" spans="1:20" ht="78.75" x14ac:dyDescent="0.2">
      <c r="A257" s="2" t="str">
        <f>VLOOKUP(B257,[1]raw_data!$B$4:$C$343,2,FALSE)</f>
        <v>Public District</v>
      </c>
      <c r="B257" s="2" t="s">
        <v>2575</v>
      </c>
      <c r="C257" s="2" t="s">
        <v>1210</v>
      </c>
      <c r="D257" s="2" t="s">
        <v>502</v>
      </c>
      <c r="E257" s="2">
        <v>182</v>
      </c>
      <c r="F257" s="2" t="s">
        <v>1217</v>
      </c>
      <c r="G257" s="2" t="s">
        <v>1222</v>
      </c>
      <c r="H257" s="2">
        <v>10300</v>
      </c>
      <c r="I257" s="2" t="s">
        <v>1218</v>
      </c>
      <c r="J257" s="2" t="s">
        <v>1212</v>
      </c>
      <c r="K257" s="2" t="s">
        <v>1219</v>
      </c>
      <c r="L257" s="2" t="s">
        <v>1220</v>
      </c>
      <c r="M257" s="2" t="s">
        <v>1221</v>
      </c>
      <c r="N257" s="2" t="s">
        <v>16</v>
      </c>
      <c r="O257" s="2" t="s">
        <v>17</v>
      </c>
      <c r="P257" s="2" t="s">
        <v>17</v>
      </c>
      <c r="Q257" s="2" t="s">
        <v>17</v>
      </c>
      <c r="R257" s="2" t="s">
        <v>16</v>
      </c>
      <c r="S257" s="2" t="s">
        <v>16</v>
      </c>
      <c r="T257" s="3">
        <v>998898</v>
      </c>
    </row>
    <row r="258" spans="1:20" ht="67.5" x14ac:dyDescent="0.2">
      <c r="A258" s="2" t="str">
        <f>VLOOKUP(B258,[1]raw_data!$B$4:$C$343,2,FALSE)</f>
        <v>Public District</v>
      </c>
      <c r="B258" s="2" t="s">
        <v>2653</v>
      </c>
      <c r="C258" s="2" t="s">
        <v>1862</v>
      </c>
      <c r="D258" s="2" t="s">
        <v>204</v>
      </c>
      <c r="E258" s="2">
        <v>289</v>
      </c>
      <c r="F258" s="2" t="s">
        <v>1863</v>
      </c>
      <c r="G258" s="2" t="s">
        <v>1869</v>
      </c>
      <c r="H258" s="2">
        <v>2730</v>
      </c>
      <c r="I258" s="2" t="s">
        <v>1864</v>
      </c>
      <c r="J258" s="2" t="s">
        <v>1865</v>
      </c>
      <c r="K258" s="2" t="s">
        <v>1866</v>
      </c>
      <c r="L258" s="2" t="s">
        <v>1867</v>
      </c>
      <c r="M258" s="2" t="s">
        <v>1868</v>
      </c>
      <c r="N258" s="2" t="s">
        <v>17</v>
      </c>
      <c r="O258" s="2" t="s">
        <v>17</v>
      </c>
      <c r="P258" s="2" t="s">
        <v>17</v>
      </c>
      <c r="Q258" s="2" t="s">
        <v>17</v>
      </c>
      <c r="R258" s="2" t="s">
        <v>16</v>
      </c>
      <c r="S258" s="2" t="s">
        <v>16</v>
      </c>
      <c r="T258" s="3">
        <v>4736225</v>
      </c>
    </row>
    <row r="259" spans="1:20" ht="157.5" x14ac:dyDescent="0.2">
      <c r="A259" s="2" t="str">
        <f>VLOOKUP(B259,[1]raw_data!$B$4:$C$343,2,FALSE)</f>
        <v>Public District</v>
      </c>
      <c r="B259" s="2" t="s">
        <v>2619</v>
      </c>
      <c r="C259" s="2" t="s">
        <v>1580</v>
      </c>
      <c r="D259" s="2" t="s">
        <v>746</v>
      </c>
      <c r="E259" s="2">
        <v>4</v>
      </c>
      <c r="F259" s="2" t="s">
        <v>1581</v>
      </c>
      <c r="G259" s="2" t="s">
        <v>1587</v>
      </c>
      <c r="H259" s="2">
        <v>2116</v>
      </c>
      <c r="I259" s="2" t="s">
        <v>1582</v>
      </c>
      <c r="J259" s="2" t="s">
        <v>1583</v>
      </c>
      <c r="K259" s="2" t="s">
        <v>1584</v>
      </c>
      <c r="L259" s="2" t="s">
        <v>1585</v>
      </c>
      <c r="M259" s="2" t="s">
        <v>1586</v>
      </c>
      <c r="N259" s="2" t="s">
        <v>16</v>
      </c>
      <c r="O259" s="2" t="s">
        <v>16</v>
      </c>
      <c r="P259" s="2" t="s">
        <v>16</v>
      </c>
      <c r="Q259" s="2" t="s">
        <v>16</v>
      </c>
      <c r="R259" s="2" t="s">
        <v>17</v>
      </c>
      <c r="S259" s="2" t="s">
        <v>16</v>
      </c>
      <c r="T259" s="3">
        <v>742428</v>
      </c>
    </row>
    <row r="260" spans="1:20" ht="168.75" x14ac:dyDescent="0.2">
      <c r="A260" s="2" t="str">
        <f>VLOOKUP(B260,[1]raw_data!$B$4:$C$343,2,FALSE)</f>
        <v>Public District</v>
      </c>
      <c r="B260" s="2" t="s">
        <v>2514</v>
      </c>
      <c r="C260" s="2" t="s">
        <v>669</v>
      </c>
      <c r="D260" s="2" t="s">
        <v>670</v>
      </c>
      <c r="E260" s="2">
        <v>110</v>
      </c>
      <c r="F260" s="2" t="s">
        <v>2273</v>
      </c>
      <c r="G260" s="2" t="s">
        <v>675</v>
      </c>
      <c r="H260" s="2">
        <v>1125</v>
      </c>
      <c r="I260" s="2" t="s">
        <v>671</v>
      </c>
      <c r="J260" s="2" t="s">
        <v>672</v>
      </c>
      <c r="K260" s="2" t="s">
        <v>673</v>
      </c>
      <c r="L260" s="2">
        <v>4197322102</v>
      </c>
      <c r="M260" s="2" t="s">
        <v>674</v>
      </c>
      <c r="N260" s="2" t="s">
        <v>16</v>
      </c>
      <c r="O260" s="2" t="s">
        <v>16</v>
      </c>
      <c r="P260" s="2" t="s">
        <v>17</v>
      </c>
      <c r="Q260" s="2" t="s">
        <v>17</v>
      </c>
      <c r="R260" s="2" t="s">
        <v>17</v>
      </c>
      <c r="S260" s="2" t="s">
        <v>16</v>
      </c>
      <c r="T260" s="3">
        <v>203500</v>
      </c>
    </row>
    <row r="261" spans="1:20" ht="146.25" x14ac:dyDescent="0.2">
      <c r="A261" s="2" t="str">
        <f>VLOOKUP(B261,[1]raw_data!$B$4:$C$343,2,FALSE)</f>
        <v>Public District</v>
      </c>
      <c r="B261" s="2" t="s">
        <v>2515</v>
      </c>
      <c r="C261" s="2" t="s">
        <v>676</v>
      </c>
      <c r="D261" s="2" t="s">
        <v>677</v>
      </c>
      <c r="E261" s="2">
        <v>146</v>
      </c>
      <c r="F261" s="2" t="s">
        <v>2274</v>
      </c>
      <c r="G261" s="2" t="s">
        <v>682</v>
      </c>
      <c r="H261" s="2">
        <v>40000</v>
      </c>
      <c r="I261" s="2" t="s">
        <v>678</v>
      </c>
      <c r="J261" s="2" t="s">
        <v>679</v>
      </c>
      <c r="K261" s="2" t="s">
        <v>680</v>
      </c>
      <c r="L261" s="2">
        <v>7403544727</v>
      </c>
      <c r="M261" s="2" t="s">
        <v>681</v>
      </c>
      <c r="N261" s="2" t="s">
        <v>17</v>
      </c>
      <c r="O261" s="2" t="s">
        <v>17</v>
      </c>
      <c r="P261" s="2" t="s">
        <v>17</v>
      </c>
      <c r="Q261" s="2" t="s">
        <v>16</v>
      </c>
      <c r="R261" s="2" t="s">
        <v>16</v>
      </c>
      <c r="S261" s="2" t="s">
        <v>17</v>
      </c>
      <c r="T261" s="3">
        <v>14418081.710000001</v>
      </c>
    </row>
    <row r="262" spans="1:20" ht="101.25" x14ac:dyDescent="0.2">
      <c r="A262" s="2" t="str">
        <f>VLOOKUP(B262,[1]raw_data!$B$4:$C$343,2,FALSE)</f>
        <v>Public District</v>
      </c>
      <c r="B262" s="2" t="s">
        <v>2515</v>
      </c>
      <c r="C262" s="2" t="s">
        <v>676</v>
      </c>
      <c r="D262" s="2" t="s">
        <v>677</v>
      </c>
      <c r="E262" s="2">
        <v>145</v>
      </c>
      <c r="F262" s="2" t="s">
        <v>408</v>
      </c>
      <c r="G262" s="2" t="s">
        <v>687</v>
      </c>
      <c r="H262" s="2">
        <v>521</v>
      </c>
      <c r="I262" s="2" t="s">
        <v>683</v>
      </c>
      <c r="J262" s="2" t="s">
        <v>679</v>
      </c>
      <c r="K262" s="2" t="s">
        <v>684</v>
      </c>
      <c r="L262" s="2" t="s">
        <v>685</v>
      </c>
      <c r="M262" s="2" t="s">
        <v>686</v>
      </c>
      <c r="N262" s="2" t="s">
        <v>16</v>
      </c>
      <c r="O262" s="2" t="s">
        <v>16</v>
      </c>
      <c r="P262" s="2" t="s">
        <v>17</v>
      </c>
      <c r="Q262" s="2" t="s">
        <v>17</v>
      </c>
      <c r="R262" s="2" t="s">
        <v>17</v>
      </c>
      <c r="S262" s="2" t="s">
        <v>16</v>
      </c>
      <c r="T262" s="3">
        <v>608620.25</v>
      </c>
    </row>
    <row r="263" spans="1:20" ht="168.75" x14ac:dyDescent="0.2">
      <c r="A263" s="2" t="str">
        <f>VLOOKUP(B263,[1]raw_data!$B$4:$C$343,2,FALSE)</f>
        <v>Educational Service Center</v>
      </c>
      <c r="B263" s="2" t="s">
        <v>2640</v>
      </c>
      <c r="C263" s="2" t="s">
        <v>1755</v>
      </c>
      <c r="D263" s="2" t="s">
        <v>1756</v>
      </c>
      <c r="E263" s="2">
        <v>147</v>
      </c>
      <c r="F263" s="2" t="s">
        <v>2386</v>
      </c>
      <c r="G263" s="2" t="s">
        <v>1761</v>
      </c>
      <c r="H263" s="2">
        <v>3203</v>
      </c>
      <c r="I263" s="2" t="s">
        <v>1757</v>
      </c>
      <c r="J263" s="2" t="s">
        <v>1755</v>
      </c>
      <c r="K263" s="2" t="s">
        <v>1758</v>
      </c>
      <c r="L263" s="2" t="s">
        <v>1759</v>
      </c>
      <c r="M263" s="2" t="s">
        <v>1760</v>
      </c>
      <c r="N263" s="2" t="s">
        <v>17</v>
      </c>
      <c r="O263" s="2" t="s">
        <v>17</v>
      </c>
      <c r="P263" s="2" t="s">
        <v>17</v>
      </c>
      <c r="Q263" s="2" t="s">
        <v>16</v>
      </c>
      <c r="R263" s="2" t="s">
        <v>17</v>
      </c>
      <c r="S263" s="2" t="s">
        <v>17</v>
      </c>
      <c r="T263" s="3">
        <v>5549229</v>
      </c>
    </row>
    <row r="264" spans="1:20" ht="33.75" x14ac:dyDescent="0.2">
      <c r="A264" s="2" t="str">
        <f>VLOOKUP(B264,[1]raw_data!$B$4:$C$343,2,FALSE)</f>
        <v>Public District</v>
      </c>
      <c r="B264" s="2" t="s">
        <v>2552</v>
      </c>
      <c r="C264" s="2" t="s">
        <v>1012</v>
      </c>
      <c r="D264" s="2" t="s">
        <v>225</v>
      </c>
      <c r="E264" s="2">
        <v>246</v>
      </c>
      <c r="F264" s="2" t="s">
        <v>2305</v>
      </c>
      <c r="G264" s="2" t="s">
        <v>1017</v>
      </c>
      <c r="H264" s="2">
        <v>200</v>
      </c>
      <c r="I264" s="2" t="s">
        <v>1013</v>
      </c>
      <c r="J264" s="2" t="s">
        <v>1014</v>
      </c>
      <c r="K264" s="2" t="s">
        <v>1015</v>
      </c>
      <c r="L264" s="2">
        <v>4402936488</v>
      </c>
      <c r="M264" s="2" t="s">
        <v>1016</v>
      </c>
      <c r="N264" s="2" t="s">
        <v>16</v>
      </c>
      <c r="O264" s="2" t="s">
        <v>16</v>
      </c>
      <c r="P264" s="2" t="s">
        <v>17</v>
      </c>
      <c r="Q264" s="2" t="s">
        <v>17</v>
      </c>
      <c r="R264" s="2" t="s">
        <v>17</v>
      </c>
      <c r="S264" s="2" t="s">
        <v>16</v>
      </c>
      <c r="T264" s="3">
        <v>57500</v>
      </c>
    </row>
    <row r="265" spans="1:20" ht="56.25" x14ac:dyDescent="0.2">
      <c r="A265" s="2" t="str">
        <f>VLOOKUP(B265,[1]raw_data!$B$4:$C$343,2,FALSE)</f>
        <v>Public District</v>
      </c>
      <c r="B265" s="2" t="s">
        <v>2552</v>
      </c>
      <c r="C265" s="2" t="s">
        <v>1012</v>
      </c>
      <c r="D265" s="2" t="s">
        <v>225</v>
      </c>
      <c r="E265" s="2">
        <v>245</v>
      </c>
      <c r="F265" s="2" t="s">
        <v>2306</v>
      </c>
      <c r="G265" s="2" t="s">
        <v>1019</v>
      </c>
      <c r="H265" s="2">
        <v>1305</v>
      </c>
      <c r="I265" s="2" t="s">
        <v>1018</v>
      </c>
      <c r="J265" s="2" t="s">
        <v>1014</v>
      </c>
      <c r="K265" s="2" t="s">
        <v>1015</v>
      </c>
      <c r="L265" s="2">
        <v>4402936488</v>
      </c>
      <c r="M265" s="2" t="s">
        <v>1016</v>
      </c>
      <c r="N265" s="2" t="s">
        <v>16</v>
      </c>
      <c r="O265" s="2" t="s">
        <v>16</v>
      </c>
      <c r="P265" s="2" t="s">
        <v>17</v>
      </c>
      <c r="Q265" s="2" t="s">
        <v>17</v>
      </c>
      <c r="R265" s="2" t="s">
        <v>17</v>
      </c>
      <c r="S265" s="2" t="s">
        <v>17</v>
      </c>
      <c r="T265" s="3">
        <v>65000</v>
      </c>
    </row>
    <row r="266" spans="1:20" ht="67.5" x14ac:dyDescent="0.2">
      <c r="A266" s="2" t="str">
        <f>VLOOKUP(B266,[1]raw_data!$B$4:$C$343,2,FALSE)</f>
        <v>Community School</v>
      </c>
      <c r="B266" s="2" t="s">
        <v>2451</v>
      </c>
      <c r="C266" s="2" t="s">
        <v>108</v>
      </c>
      <c r="D266" s="2" t="s">
        <v>82</v>
      </c>
      <c r="E266" s="2">
        <v>280</v>
      </c>
      <c r="F266" s="2" t="s">
        <v>2225</v>
      </c>
      <c r="G266" s="2" t="s">
        <v>114</v>
      </c>
      <c r="H266" s="2">
        <v>1000</v>
      </c>
      <c r="I266" s="2" t="s">
        <v>109</v>
      </c>
      <c r="J266" s="2" t="s">
        <v>110</v>
      </c>
      <c r="K266" s="2" t="s">
        <v>111</v>
      </c>
      <c r="L266" s="2" t="s">
        <v>112</v>
      </c>
      <c r="M266" s="2" t="s">
        <v>113</v>
      </c>
      <c r="N266" s="2" t="s">
        <v>17</v>
      </c>
      <c r="O266" s="2" t="s">
        <v>17</v>
      </c>
      <c r="P266" s="2" t="s">
        <v>17</v>
      </c>
      <c r="Q266" s="2" t="s">
        <v>17</v>
      </c>
      <c r="R266" s="2" t="s">
        <v>17</v>
      </c>
      <c r="S266" s="2" t="s">
        <v>17</v>
      </c>
      <c r="T266" s="3">
        <v>776062.96</v>
      </c>
    </row>
    <row r="267" spans="1:20" ht="78.75" x14ac:dyDescent="0.2">
      <c r="A267" s="2" t="str">
        <f>VLOOKUP(B267,[1]raw_data!$B$4:$C$343,2,FALSE)</f>
        <v>Public District</v>
      </c>
      <c r="B267" s="2" t="s">
        <v>2656</v>
      </c>
      <c r="C267" s="2" t="s">
        <v>1895</v>
      </c>
      <c r="D267" s="2" t="s">
        <v>20</v>
      </c>
      <c r="E267" s="2">
        <v>151</v>
      </c>
      <c r="F267" s="2" t="s">
        <v>2400</v>
      </c>
      <c r="G267" s="2" t="s">
        <v>1901</v>
      </c>
      <c r="H267" s="2">
        <v>2634</v>
      </c>
      <c r="I267" s="2" t="s">
        <v>1897</v>
      </c>
      <c r="J267" s="2" t="s">
        <v>1896</v>
      </c>
      <c r="K267" s="2" t="s">
        <v>1898</v>
      </c>
      <c r="L267" s="2" t="s">
        <v>1899</v>
      </c>
      <c r="M267" s="2" t="s">
        <v>1900</v>
      </c>
      <c r="N267" s="2" t="s">
        <v>16</v>
      </c>
      <c r="O267" s="2" t="s">
        <v>17</v>
      </c>
      <c r="P267" s="2" t="s">
        <v>17</v>
      </c>
      <c r="Q267" s="2" t="s">
        <v>17</v>
      </c>
      <c r="R267" s="2" t="s">
        <v>17</v>
      </c>
      <c r="S267" s="2" t="s">
        <v>16</v>
      </c>
      <c r="T267" s="3">
        <v>176861.75</v>
      </c>
    </row>
    <row r="268" spans="1:20" ht="101.25" x14ac:dyDescent="0.2">
      <c r="A268" s="2" t="str">
        <f>VLOOKUP(B268,[1]raw_data!$B$4:$C$343,2,FALSE)</f>
        <v>Community School</v>
      </c>
      <c r="B268" s="2" t="s">
        <v>2453</v>
      </c>
      <c r="C268" s="2" t="s">
        <v>123</v>
      </c>
      <c r="D268" s="2" t="s">
        <v>36</v>
      </c>
      <c r="E268" s="2">
        <v>111</v>
      </c>
      <c r="F268" s="2" t="s">
        <v>2226</v>
      </c>
      <c r="G268" s="2" t="s">
        <v>128</v>
      </c>
      <c r="H268" s="2">
        <v>795553</v>
      </c>
      <c r="I268" s="2" t="s">
        <v>124</v>
      </c>
      <c r="J268" s="2" t="s">
        <v>123</v>
      </c>
      <c r="K268" s="2" t="s">
        <v>125</v>
      </c>
      <c r="L268" s="2" t="s">
        <v>126</v>
      </c>
      <c r="M268" s="2" t="s">
        <v>127</v>
      </c>
      <c r="N268" s="2" t="s">
        <v>17</v>
      </c>
      <c r="O268" s="2" t="s">
        <v>17</v>
      </c>
      <c r="P268" s="2" t="s">
        <v>17</v>
      </c>
      <c r="Q268" s="2" t="s">
        <v>17</v>
      </c>
      <c r="R268" s="2" t="s">
        <v>17</v>
      </c>
      <c r="S268" s="2" t="s">
        <v>17</v>
      </c>
      <c r="T268" s="3">
        <v>3625782.01</v>
      </c>
    </row>
    <row r="269" spans="1:20" ht="112.5" x14ac:dyDescent="0.2">
      <c r="A269" s="2" t="str">
        <f>VLOOKUP(B269,[1]raw_data!$B$4:$C$343,2,FALSE)</f>
        <v>Public District</v>
      </c>
      <c r="B269" s="2" t="s">
        <v>2555</v>
      </c>
      <c r="C269" s="2" t="s">
        <v>1036</v>
      </c>
      <c r="D269" s="2" t="s">
        <v>1029</v>
      </c>
      <c r="E269" s="2">
        <v>301</v>
      </c>
      <c r="F269" s="2" t="s">
        <v>1037</v>
      </c>
      <c r="G269" s="2" t="s">
        <v>1043</v>
      </c>
      <c r="H269" s="2">
        <v>975</v>
      </c>
      <c r="I269" s="2" t="s">
        <v>1038</v>
      </c>
      <c r="J269" s="2" t="s">
        <v>1039</v>
      </c>
      <c r="K269" s="2" t="s">
        <v>1040</v>
      </c>
      <c r="L269" s="2" t="s">
        <v>1041</v>
      </c>
      <c r="M269" s="2" t="s">
        <v>1042</v>
      </c>
      <c r="N269" s="2" t="s">
        <v>16</v>
      </c>
      <c r="O269" s="2" t="s">
        <v>16</v>
      </c>
      <c r="P269" s="2" t="s">
        <v>17</v>
      </c>
      <c r="Q269" s="2" t="s">
        <v>17</v>
      </c>
      <c r="R269" s="2" t="s">
        <v>17</v>
      </c>
      <c r="S269" s="2" t="s">
        <v>16</v>
      </c>
      <c r="T269" s="3">
        <v>746416</v>
      </c>
    </row>
    <row r="270" spans="1:20" ht="112.5" x14ac:dyDescent="0.2">
      <c r="A270" s="2" t="str">
        <f>VLOOKUP(B270,[1]raw_data!$B$4:$C$343,2,FALSE)</f>
        <v>Public District</v>
      </c>
      <c r="B270" s="2" t="s">
        <v>2544</v>
      </c>
      <c r="C270" s="2" t="s">
        <v>942</v>
      </c>
      <c r="D270" s="2" t="s">
        <v>820</v>
      </c>
      <c r="E270" s="2">
        <v>261</v>
      </c>
      <c r="F270" s="2" t="s">
        <v>2298</v>
      </c>
      <c r="G270" s="2" t="s">
        <v>948</v>
      </c>
      <c r="H270" s="2">
        <v>5181</v>
      </c>
      <c r="I270" s="2" t="s">
        <v>943</v>
      </c>
      <c r="J270" s="2" t="s">
        <v>944</v>
      </c>
      <c r="K270" s="2" t="s">
        <v>945</v>
      </c>
      <c r="L270" s="2" t="s">
        <v>946</v>
      </c>
      <c r="M270" s="2" t="s">
        <v>947</v>
      </c>
      <c r="N270" s="2" t="s">
        <v>17</v>
      </c>
      <c r="O270" s="2" t="s">
        <v>17</v>
      </c>
      <c r="P270" s="2" t="s">
        <v>16</v>
      </c>
      <c r="Q270" s="2" t="s">
        <v>17</v>
      </c>
      <c r="R270" s="2" t="s">
        <v>17</v>
      </c>
      <c r="S270" s="2" t="s">
        <v>17</v>
      </c>
      <c r="T270" s="3">
        <v>187790</v>
      </c>
    </row>
    <row r="271" spans="1:20" ht="101.25" x14ac:dyDescent="0.2">
      <c r="A271" s="2" t="str">
        <f>VLOOKUP(B271,[1]raw_data!$B$4:$C$343,2,FALSE)</f>
        <v>Public District</v>
      </c>
      <c r="B271" s="2" t="s">
        <v>2595</v>
      </c>
      <c r="C271" s="2" t="s">
        <v>1399</v>
      </c>
      <c r="D271" s="2" t="s">
        <v>440</v>
      </c>
      <c r="E271" s="2">
        <v>99</v>
      </c>
      <c r="F271" s="2" t="s">
        <v>2352</v>
      </c>
      <c r="G271" s="2" t="s">
        <v>1405</v>
      </c>
      <c r="H271" s="2">
        <v>1050</v>
      </c>
      <c r="I271" s="2" t="s">
        <v>1400</v>
      </c>
      <c r="J271" s="2" t="s">
        <v>1401</v>
      </c>
      <c r="K271" s="2" t="s">
        <v>1402</v>
      </c>
      <c r="L271" s="2" t="s">
        <v>1403</v>
      </c>
      <c r="M271" s="2" t="s">
        <v>1404</v>
      </c>
      <c r="N271" s="2" t="s">
        <v>16</v>
      </c>
      <c r="O271" s="2" t="s">
        <v>16</v>
      </c>
      <c r="P271" s="2" t="s">
        <v>17</v>
      </c>
      <c r="Q271" s="2" t="s">
        <v>17</v>
      </c>
      <c r="R271" s="2" t="s">
        <v>17</v>
      </c>
      <c r="S271" s="2" t="s">
        <v>16</v>
      </c>
      <c r="T271" s="3">
        <v>132356</v>
      </c>
    </row>
    <row r="272" spans="1:20" ht="78.75" x14ac:dyDescent="0.2">
      <c r="A272" s="2" t="str">
        <f>VLOOKUP(B272,[1]raw_data!$B$4:$C$343,2,FALSE)</f>
        <v>Public District</v>
      </c>
      <c r="B272" s="2" t="s">
        <v>2608</v>
      </c>
      <c r="C272" s="2" t="s">
        <v>1493</v>
      </c>
      <c r="D272" s="2" t="s">
        <v>1479</v>
      </c>
      <c r="E272" s="2">
        <v>119</v>
      </c>
      <c r="F272" s="2" t="s">
        <v>1494</v>
      </c>
      <c r="G272" s="2" t="s">
        <v>1500</v>
      </c>
      <c r="H272" s="2">
        <v>725</v>
      </c>
      <c r="I272" s="2" t="s">
        <v>1495</v>
      </c>
      <c r="J272" s="2" t="s">
        <v>1496</v>
      </c>
      <c r="K272" s="2" t="s">
        <v>1497</v>
      </c>
      <c r="L272" s="2" t="s">
        <v>1498</v>
      </c>
      <c r="M272" s="2" t="s">
        <v>1499</v>
      </c>
      <c r="N272" s="2" t="s">
        <v>16</v>
      </c>
      <c r="O272" s="2" t="s">
        <v>16</v>
      </c>
      <c r="P272" s="2" t="s">
        <v>17</v>
      </c>
      <c r="Q272" s="2" t="s">
        <v>17</v>
      </c>
      <c r="R272" s="2" t="s">
        <v>17</v>
      </c>
      <c r="S272" s="2" t="s">
        <v>16</v>
      </c>
      <c r="T272" s="3">
        <v>724125</v>
      </c>
    </row>
    <row r="273" spans="1:20" ht="90" x14ac:dyDescent="0.2">
      <c r="A273" s="2" t="str">
        <f>VLOOKUP(B273,[1]raw_data!$B$4:$C$343,2,FALSE)</f>
        <v>Public District</v>
      </c>
      <c r="B273" s="2" t="s">
        <v>2602</v>
      </c>
      <c r="C273" s="2" t="s">
        <v>1448</v>
      </c>
      <c r="D273" s="2" t="s">
        <v>1449</v>
      </c>
      <c r="E273" s="2">
        <v>282</v>
      </c>
      <c r="F273" s="2" t="s">
        <v>2357</v>
      </c>
      <c r="G273" s="2" t="s">
        <v>1455</v>
      </c>
      <c r="H273" s="2">
        <v>1525</v>
      </c>
      <c r="I273" s="2" t="s">
        <v>1450</v>
      </c>
      <c r="J273" s="2" t="s">
        <v>1451</v>
      </c>
      <c r="K273" s="2" t="s">
        <v>1452</v>
      </c>
      <c r="L273" s="2" t="s">
        <v>1453</v>
      </c>
      <c r="M273" s="2" t="s">
        <v>1454</v>
      </c>
      <c r="N273" s="2" t="s">
        <v>16</v>
      </c>
      <c r="O273" s="2" t="s">
        <v>17</v>
      </c>
      <c r="P273" s="2" t="s">
        <v>17</v>
      </c>
      <c r="Q273" s="2" t="s">
        <v>17</v>
      </c>
      <c r="R273" s="2" t="s">
        <v>16</v>
      </c>
      <c r="S273" s="2" t="s">
        <v>16</v>
      </c>
      <c r="T273" s="3">
        <v>726000</v>
      </c>
    </row>
    <row r="274" spans="1:20" ht="90" x14ac:dyDescent="0.2">
      <c r="A274" s="2" t="str">
        <f>VLOOKUP(B274,[1]raw_data!$B$4:$C$343,2,FALSE)</f>
        <v>Public District</v>
      </c>
      <c r="B274" s="2" t="s">
        <v>2589</v>
      </c>
      <c r="C274" s="2" t="s">
        <v>1351</v>
      </c>
      <c r="D274" s="2" t="s">
        <v>276</v>
      </c>
      <c r="E274" s="2">
        <v>84</v>
      </c>
      <c r="F274" s="2" t="s">
        <v>1352</v>
      </c>
      <c r="G274" s="2" t="s">
        <v>1357</v>
      </c>
      <c r="H274" s="2">
        <v>1023</v>
      </c>
      <c r="I274" s="2" t="s">
        <v>1353</v>
      </c>
      <c r="J274" s="2" t="s">
        <v>1354</v>
      </c>
      <c r="K274" s="2" t="s">
        <v>1355</v>
      </c>
      <c r="L274" s="2">
        <v>7404393061</v>
      </c>
      <c r="M274" s="2" t="s">
        <v>1356</v>
      </c>
      <c r="N274" s="2" t="s">
        <v>17</v>
      </c>
      <c r="O274" s="2" t="s">
        <v>16</v>
      </c>
      <c r="P274" s="2" t="s">
        <v>17</v>
      </c>
      <c r="Q274" s="2" t="s">
        <v>16</v>
      </c>
      <c r="R274" s="2" t="s">
        <v>16</v>
      </c>
      <c r="S274" s="2" t="s">
        <v>17</v>
      </c>
      <c r="T274" s="3">
        <v>965850</v>
      </c>
    </row>
    <row r="275" spans="1:20" ht="101.25" x14ac:dyDescent="0.2">
      <c r="A275" s="2" t="str">
        <f>VLOOKUP(B275,[1]raw_data!$B$4:$C$343,2,FALSE)</f>
        <v>Public District</v>
      </c>
      <c r="B275" s="2" t="s">
        <v>2558</v>
      </c>
      <c r="C275" s="2" t="s">
        <v>1058</v>
      </c>
      <c r="D275" s="2" t="s">
        <v>472</v>
      </c>
      <c r="E275" s="2">
        <v>210</v>
      </c>
      <c r="F275" s="2" t="s">
        <v>1059</v>
      </c>
      <c r="G275" s="2" t="s">
        <v>1065</v>
      </c>
      <c r="H275" s="2">
        <v>1750</v>
      </c>
      <c r="I275" s="2" t="s">
        <v>1060</v>
      </c>
      <c r="J275" s="2" t="s">
        <v>1061</v>
      </c>
      <c r="K275" s="2" t="s">
        <v>1062</v>
      </c>
      <c r="L275" s="2" t="s">
        <v>1063</v>
      </c>
      <c r="M275" s="2" t="s">
        <v>1064</v>
      </c>
      <c r="N275" s="2" t="s">
        <v>16</v>
      </c>
      <c r="O275" s="2" t="s">
        <v>17</v>
      </c>
      <c r="P275" s="2" t="s">
        <v>17</v>
      </c>
      <c r="Q275" s="2" t="s">
        <v>17</v>
      </c>
      <c r="R275" s="2" t="s">
        <v>16</v>
      </c>
      <c r="S275" s="2" t="s">
        <v>16</v>
      </c>
      <c r="T275" s="3">
        <v>949987</v>
      </c>
    </row>
    <row r="276" spans="1:20" ht="101.25" x14ac:dyDescent="0.2">
      <c r="A276" s="2" t="str">
        <f>VLOOKUP(B276,[1]raw_data!$B$4:$C$343,2,FALSE)</f>
        <v>Public District</v>
      </c>
      <c r="B276" s="2" t="s">
        <v>2516</v>
      </c>
      <c r="C276" s="2" t="s">
        <v>688</v>
      </c>
      <c r="D276" s="2" t="s">
        <v>45</v>
      </c>
      <c r="E276" s="2">
        <v>98</v>
      </c>
      <c r="F276" s="2" t="s">
        <v>2275</v>
      </c>
      <c r="G276" s="2" t="s">
        <v>694</v>
      </c>
      <c r="H276" s="2">
        <v>2153</v>
      </c>
      <c r="I276" s="2" t="s">
        <v>689</v>
      </c>
      <c r="J276" s="2" t="s">
        <v>690</v>
      </c>
      <c r="K276" s="2" t="s">
        <v>691</v>
      </c>
      <c r="L276" s="2" t="s">
        <v>692</v>
      </c>
      <c r="M276" s="2" t="s">
        <v>693</v>
      </c>
      <c r="N276" s="2" t="s">
        <v>16</v>
      </c>
      <c r="O276" s="2" t="s">
        <v>17</v>
      </c>
      <c r="P276" s="2" t="s">
        <v>17</v>
      </c>
      <c r="Q276" s="2" t="s">
        <v>16</v>
      </c>
      <c r="R276" s="2" t="s">
        <v>17</v>
      </c>
      <c r="S276" s="2" t="s">
        <v>16</v>
      </c>
      <c r="T276" s="3">
        <v>990900</v>
      </c>
    </row>
    <row r="277" spans="1:20" ht="123.75" x14ac:dyDescent="0.2">
      <c r="A277" s="2" t="str">
        <f>VLOOKUP(B277,[1]raw_data!$B$4:$C$343,2,FALSE)</f>
        <v>Public District</v>
      </c>
      <c r="B277" s="2" t="s">
        <v>2517</v>
      </c>
      <c r="C277" s="2" t="s">
        <v>695</v>
      </c>
      <c r="D277" s="2" t="s">
        <v>696</v>
      </c>
      <c r="E277" s="2">
        <v>212</v>
      </c>
      <c r="F277" s="2" t="s">
        <v>2276</v>
      </c>
      <c r="G277" s="2" t="s">
        <v>702</v>
      </c>
      <c r="H277" s="2">
        <v>750</v>
      </c>
      <c r="I277" s="2" t="s">
        <v>697</v>
      </c>
      <c r="J277" s="2" t="s">
        <v>698</v>
      </c>
      <c r="K277" s="2" t="s">
        <v>699</v>
      </c>
      <c r="L277" s="2" t="s">
        <v>700</v>
      </c>
      <c r="M277" s="2" t="s">
        <v>701</v>
      </c>
      <c r="N277" s="2" t="s">
        <v>16</v>
      </c>
      <c r="O277" s="2" t="s">
        <v>17</v>
      </c>
      <c r="P277" s="2" t="s">
        <v>17</v>
      </c>
      <c r="Q277" s="2" t="s">
        <v>17</v>
      </c>
      <c r="R277" s="2" t="s">
        <v>17</v>
      </c>
      <c r="S277" s="2" t="s">
        <v>16</v>
      </c>
      <c r="T277" s="3">
        <v>494670.75</v>
      </c>
    </row>
    <row r="278" spans="1:20" ht="56.25" x14ac:dyDescent="0.2">
      <c r="A278" s="2" t="str">
        <f>VLOOKUP(B278,[1]raw_data!$B$4:$C$343,2,FALSE)</f>
        <v>Public District</v>
      </c>
      <c r="B278" s="2" t="s">
        <v>2647</v>
      </c>
      <c r="C278" s="2" t="s">
        <v>1812</v>
      </c>
      <c r="D278" s="2" t="s">
        <v>448</v>
      </c>
      <c r="E278" s="2">
        <v>22</v>
      </c>
      <c r="F278" s="2" t="s">
        <v>1813</v>
      </c>
      <c r="G278" s="2" t="s">
        <v>1818</v>
      </c>
      <c r="H278" s="2">
        <v>2500</v>
      </c>
      <c r="I278" s="2" t="s">
        <v>1814</v>
      </c>
      <c r="J278" s="2" t="s">
        <v>1815</v>
      </c>
      <c r="K278" s="2" t="s">
        <v>1816</v>
      </c>
      <c r="L278" s="2">
        <v>4194267041</v>
      </c>
      <c r="M278" s="2" t="s">
        <v>1817</v>
      </c>
      <c r="N278" s="2" t="s">
        <v>17</v>
      </c>
      <c r="O278" s="2" t="s">
        <v>17</v>
      </c>
      <c r="P278" s="2" t="s">
        <v>17</v>
      </c>
      <c r="Q278" s="2" t="s">
        <v>17</v>
      </c>
      <c r="R278" s="2" t="s">
        <v>16</v>
      </c>
      <c r="S278" s="2" t="s">
        <v>17</v>
      </c>
      <c r="T278" s="3">
        <v>1770561.9</v>
      </c>
    </row>
    <row r="279" spans="1:20" ht="101.25" x14ac:dyDescent="0.2">
      <c r="A279" s="2" t="str">
        <f>VLOOKUP(B279,[1]raw_data!$B$4:$C$343,2,FALSE)</f>
        <v>Public District</v>
      </c>
      <c r="B279" s="2" t="s">
        <v>2518</v>
      </c>
      <c r="C279" s="2" t="s">
        <v>703</v>
      </c>
      <c r="D279" s="2" t="s">
        <v>29</v>
      </c>
      <c r="E279" s="2">
        <v>112</v>
      </c>
      <c r="F279" s="2" t="s">
        <v>704</v>
      </c>
      <c r="G279" s="2" t="s">
        <v>710</v>
      </c>
      <c r="H279" s="2">
        <v>50</v>
      </c>
      <c r="I279" s="2" t="s">
        <v>705</v>
      </c>
      <c r="J279" s="2" t="s">
        <v>706</v>
      </c>
      <c r="K279" s="2" t="s">
        <v>707</v>
      </c>
      <c r="L279" s="2" t="s">
        <v>708</v>
      </c>
      <c r="M279" s="2" t="s">
        <v>709</v>
      </c>
      <c r="N279" s="2" t="s">
        <v>16</v>
      </c>
      <c r="O279" s="2" t="s">
        <v>17</v>
      </c>
      <c r="P279" s="2" t="s">
        <v>17</v>
      </c>
      <c r="Q279" s="2" t="s">
        <v>17</v>
      </c>
      <c r="R279" s="2" t="s">
        <v>16</v>
      </c>
      <c r="S279" s="2" t="s">
        <v>16</v>
      </c>
      <c r="T279" s="3">
        <v>492198</v>
      </c>
    </row>
    <row r="280" spans="1:20" ht="157.5" x14ac:dyDescent="0.2">
      <c r="A280" s="2" t="str">
        <f>VLOOKUP(B280,[1]raw_data!$B$4:$C$343,2,FALSE)</f>
        <v>Public District</v>
      </c>
      <c r="B280" s="2" t="s">
        <v>2519</v>
      </c>
      <c r="C280" s="2" t="s">
        <v>711</v>
      </c>
      <c r="D280" s="2" t="s">
        <v>423</v>
      </c>
      <c r="E280" s="2">
        <v>160</v>
      </c>
      <c r="F280" s="2" t="s">
        <v>712</v>
      </c>
      <c r="G280" s="2" t="s">
        <v>718</v>
      </c>
      <c r="H280" s="2">
        <v>1360</v>
      </c>
      <c r="I280" s="2" t="s">
        <v>713</v>
      </c>
      <c r="J280" s="2" t="s">
        <v>714</v>
      </c>
      <c r="K280" s="2" t="s">
        <v>715</v>
      </c>
      <c r="L280" s="2" t="s">
        <v>716</v>
      </c>
      <c r="M280" s="2" t="s">
        <v>717</v>
      </c>
      <c r="N280" s="2" t="s">
        <v>16</v>
      </c>
      <c r="O280" s="2" t="s">
        <v>16</v>
      </c>
      <c r="P280" s="2" t="s">
        <v>17</v>
      </c>
      <c r="Q280" s="2" t="s">
        <v>17</v>
      </c>
      <c r="R280" s="2" t="s">
        <v>17</v>
      </c>
      <c r="S280" s="2" t="s">
        <v>16</v>
      </c>
      <c r="T280" s="3">
        <v>146500</v>
      </c>
    </row>
    <row r="281" spans="1:20" ht="180" x14ac:dyDescent="0.2">
      <c r="A281" s="2" t="str">
        <f>VLOOKUP(B281,[1]raw_data!$B$4:$C$343,2,FALSE)</f>
        <v>Public District</v>
      </c>
      <c r="B281" s="2" t="s">
        <v>2520</v>
      </c>
      <c r="C281" s="2" t="s">
        <v>719</v>
      </c>
      <c r="D281" s="2" t="s">
        <v>720</v>
      </c>
      <c r="E281" s="2">
        <v>17</v>
      </c>
      <c r="F281" s="2" t="s">
        <v>721</v>
      </c>
      <c r="G281" s="2" t="s">
        <v>727</v>
      </c>
      <c r="H281" s="2">
        <v>3451</v>
      </c>
      <c r="I281" s="2" t="s">
        <v>722</v>
      </c>
      <c r="J281" s="2" t="s">
        <v>723</v>
      </c>
      <c r="K281" s="2" t="s">
        <v>724</v>
      </c>
      <c r="L281" s="2" t="s">
        <v>725</v>
      </c>
      <c r="M281" s="2" t="s">
        <v>726</v>
      </c>
      <c r="N281" s="2" t="s">
        <v>16</v>
      </c>
      <c r="O281" s="2" t="s">
        <v>17</v>
      </c>
      <c r="P281" s="2" t="s">
        <v>17</v>
      </c>
      <c r="Q281" s="2" t="s">
        <v>17</v>
      </c>
      <c r="R281" s="2" t="s">
        <v>17</v>
      </c>
      <c r="S281" s="2" t="s">
        <v>16</v>
      </c>
      <c r="T281" s="3">
        <v>930475.2</v>
      </c>
    </row>
    <row r="282" spans="1:20" ht="135" x14ac:dyDescent="0.2">
      <c r="A282" s="2" t="str">
        <f>VLOOKUP(B282,[1]raw_data!$B$4:$C$343,2,FALSE)</f>
        <v>Public District</v>
      </c>
      <c r="B282" s="2" t="s">
        <v>2571</v>
      </c>
      <c r="C282" s="2" t="s">
        <v>1170</v>
      </c>
      <c r="D282" s="2" t="s">
        <v>29</v>
      </c>
      <c r="E282" s="2">
        <v>47</v>
      </c>
      <c r="F282" s="2" t="s">
        <v>1171</v>
      </c>
      <c r="G282" s="2" t="s">
        <v>1177</v>
      </c>
      <c r="H282" s="2">
        <v>4854</v>
      </c>
      <c r="I282" s="2" t="s">
        <v>1172</v>
      </c>
      <c r="J282" s="2" t="s">
        <v>1173</v>
      </c>
      <c r="K282" s="2" t="s">
        <v>1174</v>
      </c>
      <c r="L282" s="2" t="s">
        <v>1175</v>
      </c>
      <c r="M282" s="2" t="s">
        <v>1176</v>
      </c>
      <c r="N282" s="2" t="s">
        <v>16</v>
      </c>
      <c r="O282" s="2" t="s">
        <v>16</v>
      </c>
      <c r="P282" s="2" t="s">
        <v>17</v>
      </c>
      <c r="Q282" s="2" t="s">
        <v>16</v>
      </c>
      <c r="R282" s="2" t="s">
        <v>16</v>
      </c>
      <c r="S282" s="2" t="s">
        <v>16</v>
      </c>
      <c r="T282" s="3">
        <v>251677.58</v>
      </c>
    </row>
    <row r="283" spans="1:20" ht="180" x14ac:dyDescent="0.2">
      <c r="A283" s="2" t="str">
        <f>VLOOKUP(B283,[1]raw_data!$B$4:$C$343,2,FALSE)</f>
        <v>Public District</v>
      </c>
      <c r="B283" s="2" t="s">
        <v>2620</v>
      </c>
      <c r="C283" s="2" t="s">
        <v>1588</v>
      </c>
      <c r="D283" s="2" t="s">
        <v>746</v>
      </c>
      <c r="E283" s="2">
        <v>3</v>
      </c>
      <c r="F283" s="2" t="s">
        <v>2372</v>
      </c>
      <c r="G283" s="2" t="s">
        <v>1594</v>
      </c>
      <c r="H283" s="2">
        <v>1210</v>
      </c>
      <c r="I283" s="2" t="s">
        <v>1589</v>
      </c>
      <c r="J283" s="2" t="s">
        <v>1590</v>
      </c>
      <c r="K283" s="2" t="s">
        <v>1591</v>
      </c>
      <c r="L283" s="2" t="s">
        <v>1592</v>
      </c>
      <c r="M283" s="2" t="s">
        <v>1593</v>
      </c>
      <c r="N283" s="2" t="s">
        <v>16</v>
      </c>
      <c r="O283" s="2" t="s">
        <v>16</v>
      </c>
      <c r="P283" s="2" t="s">
        <v>17</v>
      </c>
      <c r="Q283" s="2" t="s">
        <v>17</v>
      </c>
      <c r="R283" s="2" t="s">
        <v>17</v>
      </c>
      <c r="S283" s="2" t="s">
        <v>16</v>
      </c>
      <c r="T283" s="3">
        <v>460000</v>
      </c>
    </row>
    <row r="284" spans="1:20" ht="56.25" x14ac:dyDescent="0.2">
      <c r="A284" s="2" t="str">
        <f>VLOOKUP(B284,[1]raw_data!$B$4:$C$343,2,FALSE)</f>
        <v>Public District</v>
      </c>
      <c r="B284" s="2" t="s">
        <v>2605</v>
      </c>
      <c r="C284" s="2" t="s">
        <v>1471</v>
      </c>
      <c r="D284" s="2" t="s">
        <v>604</v>
      </c>
      <c r="E284" s="2">
        <v>175</v>
      </c>
      <c r="F284" s="2" t="s">
        <v>2360</v>
      </c>
      <c r="G284" s="2" t="s">
        <v>1477</v>
      </c>
      <c r="H284" s="2">
        <v>3941</v>
      </c>
      <c r="I284" s="2" t="s">
        <v>1472</v>
      </c>
      <c r="J284" s="2" t="s">
        <v>1473</v>
      </c>
      <c r="K284" s="2" t="s">
        <v>1474</v>
      </c>
      <c r="L284" s="2" t="s">
        <v>1475</v>
      </c>
      <c r="M284" s="2" t="s">
        <v>1476</v>
      </c>
      <c r="N284" s="2" t="s">
        <v>16</v>
      </c>
      <c r="O284" s="2" t="s">
        <v>17</v>
      </c>
      <c r="P284" s="2" t="s">
        <v>17</v>
      </c>
      <c r="Q284" s="2" t="s">
        <v>17</v>
      </c>
      <c r="R284" s="2" t="s">
        <v>17</v>
      </c>
      <c r="S284" s="2" t="s">
        <v>17</v>
      </c>
      <c r="T284" s="3">
        <v>763041</v>
      </c>
    </row>
    <row r="285" spans="1:20" ht="56.25" x14ac:dyDescent="0.2">
      <c r="A285" s="2" t="str">
        <f>VLOOKUP(B285,[1]raw_data!$B$4:$C$343,2,FALSE)</f>
        <v>Public District</v>
      </c>
      <c r="B285" s="2" t="s">
        <v>2521</v>
      </c>
      <c r="C285" s="2" t="s">
        <v>728</v>
      </c>
      <c r="D285" s="2" t="s">
        <v>729</v>
      </c>
      <c r="E285" s="2">
        <v>253</v>
      </c>
      <c r="F285" s="2" t="s">
        <v>2277</v>
      </c>
      <c r="G285" s="2" t="s">
        <v>735</v>
      </c>
      <c r="H285" s="2">
        <v>5343</v>
      </c>
      <c r="I285" s="2" t="s">
        <v>730</v>
      </c>
      <c r="J285" s="2" t="s">
        <v>731</v>
      </c>
      <c r="K285" s="2" t="s">
        <v>732</v>
      </c>
      <c r="L285" s="2" t="s">
        <v>733</v>
      </c>
      <c r="M285" s="2" t="s">
        <v>734</v>
      </c>
      <c r="N285" s="2" t="s">
        <v>17</v>
      </c>
      <c r="O285" s="2" t="s">
        <v>17</v>
      </c>
      <c r="P285" s="2" t="s">
        <v>17</v>
      </c>
      <c r="Q285" s="2" t="s">
        <v>16</v>
      </c>
      <c r="R285" s="2" t="s">
        <v>16</v>
      </c>
      <c r="S285" s="2" t="s">
        <v>17</v>
      </c>
      <c r="T285" s="3">
        <v>11289980</v>
      </c>
    </row>
    <row r="286" spans="1:20" ht="90" x14ac:dyDescent="0.2">
      <c r="A286" s="2" t="str">
        <f>VLOOKUP(B286,[1]raw_data!$B$4:$C$343,2,FALSE)</f>
        <v>Joint Vocational School District</v>
      </c>
      <c r="B286" s="2" t="s">
        <v>2673</v>
      </c>
      <c r="C286" s="2" t="s">
        <v>2025</v>
      </c>
      <c r="D286" s="2" t="s">
        <v>729</v>
      </c>
      <c r="E286" s="2">
        <v>347</v>
      </c>
      <c r="F286" s="2" t="s">
        <v>2416</v>
      </c>
      <c r="G286" s="2" t="s">
        <v>2031</v>
      </c>
      <c r="H286" s="2">
        <v>27962</v>
      </c>
      <c r="I286" s="2" t="s">
        <v>2026</v>
      </c>
      <c r="J286" s="2" t="s">
        <v>2027</v>
      </c>
      <c r="K286" s="2" t="s">
        <v>2028</v>
      </c>
      <c r="L286" s="2" t="s">
        <v>2029</v>
      </c>
      <c r="M286" s="2" t="s">
        <v>2030</v>
      </c>
      <c r="N286" s="2" t="s">
        <v>17</v>
      </c>
      <c r="O286" s="2" t="s">
        <v>17</v>
      </c>
      <c r="P286" s="2" t="s">
        <v>17</v>
      </c>
      <c r="Q286" s="2" t="s">
        <v>17</v>
      </c>
      <c r="R286" s="2" t="s">
        <v>17</v>
      </c>
      <c r="S286" s="2" t="s">
        <v>17</v>
      </c>
      <c r="T286" s="3">
        <v>1123456</v>
      </c>
    </row>
    <row r="287" spans="1:20" ht="123.75" x14ac:dyDescent="0.2">
      <c r="A287" s="2" t="str">
        <f>VLOOKUP(B287,[1]raw_data!$B$4:$C$343,2,FALSE)</f>
        <v>Joint Vocational School District</v>
      </c>
      <c r="B287" s="2" t="s">
        <v>2673</v>
      </c>
      <c r="C287" s="2" t="s">
        <v>2025</v>
      </c>
      <c r="D287" s="2" t="s">
        <v>729</v>
      </c>
      <c r="E287" s="2">
        <v>348</v>
      </c>
      <c r="F287" s="2" t="s">
        <v>2032</v>
      </c>
      <c r="G287" s="2" t="s">
        <v>2035</v>
      </c>
      <c r="H287" s="2">
        <v>2278</v>
      </c>
      <c r="I287" s="2" t="s">
        <v>2026</v>
      </c>
      <c r="J287" s="2" t="s">
        <v>2033</v>
      </c>
      <c r="K287" s="2" t="s">
        <v>2034</v>
      </c>
      <c r="L287" s="2" t="s">
        <v>2029</v>
      </c>
      <c r="M287" s="2" t="s">
        <v>2030</v>
      </c>
      <c r="N287" s="2" t="s">
        <v>17</v>
      </c>
      <c r="O287" s="2" t="s">
        <v>17</v>
      </c>
      <c r="P287" s="2" t="s">
        <v>17</v>
      </c>
      <c r="Q287" s="2" t="s">
        <v>17</v>
      </c>
      <c r="R287" s="2" t="s">
        <v>16</v>
      </c>
      <c r="S287" s="2" t="s">
        <v>17</v>
      </c>
      <c r="T287" s="3">
        <v>2525959.5</v>
      </c>
    </row>
    <row r="288" spans="1:20" ht="90" x14ac:dyDescent="0.2">
      <c r="A288" s="2" t="str">
        <f>VLOOKUP(B288,[1]raw_data!$B$4:$C$343,2,FALSE)</f>
        <v>Joint Vocational School District</v>
      </c>
      <c r="B288" s="2" t="s">
        <v>2676</v>
      </c>
      <c r="C288" s="2" t="s">
        <v>2052</v>
      </c>
      <c r="D288" s="2" t="s">
        <v>204</v>
      </c>
      <c r="E288" s="2">
        <v>69</v>
      </c>
      <c r="F288" s="2" t="s">
        <v>2053</v>
      </c>
      <c r="G288" s="2" t="s">
        <v>2057</v>
      </c>
      <c r="H288" s="2">
        <v>26549</v>
      </c>
      <c r="I288" s="2" t="s">
        <v>1835</v>
      </c>
      <c r="J288" s="2" t="s">
        <v>2054</v>
      </c>
      <c r="K288" s="2" t="s">
        <v>2055</v>
      </c>
      <c r="L288" s="2" t="s">
        <v>2056</v>
      </c>
      <c r="M288" s="2" t="s">
        <v>1838</v>
      </c>
      <c r="N288" s="2" t="s">
        <v>17</v>
      </c>
      <c r="O288" s="2" t="s">
        <v>17</v>
      </c>
      <c r="P288" s="2" t="s">
        <v>17</v>
      </c>
      <c r="Q288" s="2" t="s">
        <v>17</v>
      </c>
      <c r="R288" s="2" t="s">
        <v>17</v>
      </c>
      <c r="S288" s="2" t="s">
        <v>17</v>
      </c>
      <c r="T288" s="3">
        <v>13604214.380000001</v>
      </c>
    </row>
    <row r="289" spans="1:20" ht="90" x14ac:dyDescent="0.2">
      <c r="A289" s="2" t="str">
        <f>VLOOKUP(B289,[1]raw_data!$B$4:$C$343,2,FALSE)</f>
        <v>Educational Service Center</v>
      </c>
      <c r="B289" s="2" t="s">
        <v>2649</v>
      </c>
      <c r="C289" s="2" t="s">
        <v>1826</v>
      </c>
      <c r="D289" s="2" t="s">
        <v>204</v>
      </c>
      <c r="E289" s="2">
        <v>125</v>
      </c>
      <c r="F289" s="2" t="s">
        <v>1827</v>
      </c>
      <c r="G289" s="2" t="s">
        <v>1833</v>
      </c>
      <c r="H289" s="2">
        <v>25328</v>
      </c>
      <c r="I289" s="2" t="s">
        <v>1828</v>
      </c>
      <c r="J289" s="2" t="s">
        <v>1829</v>
      </c>
      <c r="K289" s="2" t="s">
        <v>1830</v>
      </c>
      <c r="L289" s="2" t="s">
        <v>1831</v>
      </c>
      <c r="M289" s="2" t="s">
        <v>1832</v>
      </c>
      <c r="N289" s="2" t="s">
        <v>17</v>
      </c>
      <c r="O289" s="2" t="s">
        <v>17</v>
      </c>
      <c r="P289" s="2" t="s">
        <v>16</v>
      </c>
      <c r="Q289" s="2" t="s">
        <v>17</v>
      </c>
      <c r="R289" s="2" t="s">
        <v>17</v>
      </c>
      <c r="S289" s="2" t="s">
        <v>17</v>
      </c>
      <c r="T289" s="3">
        <v>3265650</v>
      </c>
    </row>
    <row r="290" spans="1:20" ht="90" x14ac:dyDescent="0.2">
      <c r="A290" s="2" t="str">
        <f>VLOOKUP(B290,[1]raw_data!$B$4:$C$343,2,FALSE)</f>
        <v>Educational Service Center</v>
      </c>
      <c r="B290" s="2" t="s">
        <v>2649</v>
      </c>
      <c r="C290" s="2" t="s">
        <v>1826</v>
      </c>
      <c r="D290" s="2" t="s">
        <v>204</v>
      </c>
      <c r="E290" s="2">
        <v>126</v>
      </c>
      <c r="F290" s="2" t="s">
        <v>1834</v>
      </c>
      <c r="G290" s="2" t="s">
        <v>1839</v>
      </c>
      <c r="H290" s="2">
        <v>62774</v>
      </c>
      <c r="I290" s="2" t="s">
        <v>1835</v>
      </c>
      <c r="J290" s="2" t="s">
        <v>1836</v>
      </c>
      <c r="K290" s="2" t="s">
        <v>1837</v>
      </c>
      <c r="L290" s="2" t="s">
        <v>1831</v>
      </c>
      <c r="M290" s="2" t="s">
        <v>1838</v>
      </c>
      <c r="N290" s="2" t="s">
        <v>17</v>
      </c>
      <c r="O290" s="2" t="s">
        <v>17</v>
      </c>
      <c r="P290" s="2" t="s">
        <v>16</v>
      </c>
      <c r="Q290" s="2" t="s">
        <v>17</v>
      </c>
      <c r="R290" s="2" t="s">
        <v>16</v>
      </c>
      <c r="S290" s="2" t="s">
        <v>17</v>
      </c>
      <c r="T290" s="3">
        <v>13495620</v>
      </c>
    </row>
    <row r="291" spans="1:20" ht="78.75" x14ac:dyDescent="0.2">
      <c r="A291" s="2" t="str">
        <f>VLOOKUP(B291,[1]raw_data!$B$4:$C$343,2,FALSE)</f>
        <v>Public District</v>
      </c>
      <c r="B291" s="2" t="s">
        <v>2522</v>
      </c>
      <c r="C291" s="2" t="s">
        <v>736</v>
      </c>
      <c r="D291" s="2" t="s">
        <v>737</v>
      </c>
      <c r="E291" s="2">
        <v>81</v>
      </c>
      <c r="F291" s="2" t="s">
        <v>2278</v>
      </c>
      <c r="G291" s="2" t="s">
        <v>743</v>
      </c>
      <c r="H291" s="2">
        <v>8470</v>
      </c>
      <c r="I291" s="2" t="s">
        <v>738</v>
      </c>
      <c r="J291" s="2" t="s">
        <v>739</v>
      </c>
      <c r="K291" s="2" t="s">
        <v>740</v>
      </c>
      <c r="L291" s="2" t="s">
        <v>741</v>
      </c>
      <c r="M291" s="2" t="s">
        <v>742</v>
      </c>
      <c r="N291" s="2" t="s">
        <v>17</v>
      </c>
      <c r="O291" s="2" t="s">
        <v>17</v>
      </c>
      <c r="P291" s="2" t="s">
        <v>17</v>
      </c>
      <c r="Q291" s="2" t="s">
        <v>17</v>
      </c>
      <c r="R291" s="2" t="s">
        <v>16</v>
      </c>
      <c r="S291" s="2" t="s">
        <v>17</v>
      </c>
      <c r="T291" s="3">
        <v>797440</v>
      </c>
    </row>
    <row r="292" spans="1:20" ht="135" x14ac:dyDescent="0.2">
      <c r="A292" s="2" t="str">
        <f>VLOOKUP(B292,[1]raw_data!$B$4:$C$343,2,FALSE)</f>
        <v>Public District</v>
      </c>
      <c r="B292" s="2" t="s">
        <v>2522</v>
      </c>
      <c r="C292" s="2" t="s">
        <v>736</v>
      </c>
      <c r="D292" s="2" t="s">
        <v>737</v>
      </c>
      <c r="E292" s="2">
        <v>82</v>
      </c>
      <c r="F292" s="2" t="s">
        <v>2279</v>
      </c>
      <c r="G292" s="2" t="s">
        <v>744</v>
      </c>
      <c r="H292" s="2">
        <v>14206</v>
      </c>
      <c r="I292" s="2" t="s">
        <v>738</v>
      </c>
      <c r="J292" s="2" t="s">
        <v>739</v>
      </c>
      <c r="K292" s="2" t="s">
        <v>740</v>
      </c>
      <c r="L292" s="2" t="s">
        <v>741</v>
      </c>
      <c r="M292" s="2" t="s">
        <v>742</v>
      </c>
      <c r="N292" s="2" t="s">
        <v>17</v>
      </c>
      <c r="O292" s="2" t="s">
        <v>17</v>
      </c>
      <c r="P292" s="2" t="s">
        <v>17</v>
      </c>
      <c r="Q292" s="2" t="s">
        <v>17</v>
      </c>
      <c r="R292" s="2" t="s">
        <v>17</v>
      </c>
      <c r="S292" s="2" t="s">
        <v>17</v>
      </c>
      <c r="T292" s="3">
        <v>3675635</v>
      </c>
    </row>
    <row r="293" spans="1:20" ht="78.75" x14ac:dyDescent="0.2">
      <c r="A293" s="2" t="str">
        <f>VLOOKUP(B293,[1]raw_data!$B$4:$C$343,2,FALSE)</f>
        <v>Public District</v>
      </c>
      <c r="B293" s="2" t="s">
        <v>2638</v>
      </c>
      <c r="C293" s="2" t="s">
        <v>1739</v>
      </c>
      <c r="D293" s="2" t="s">
        <v>958</v>
      </c>
      <c r="E293" s="2">
        <v>216</v>
      </c>
      <c r="F293" s="2" t="s">
        <v>1740</v>
      </c>
      <c r="G293" s="2" t="s">
        <v>1746</v>
      </c>
      <c r="H293" s="2">
        <v>1000</v>
      </c>
      <c r="I293" s="2" t="s">
        <v>1741</v>
      </c>
      <c r="J293" s="2" t="s">
        <v>1742</v>
      </c>
      <c r="K293" s="2" t="s">
        <v>1743</v>
      </c>
      <c r="L293" s="2" t="s">
        <v>1744</v>
      </c>
      <c r="M293" s="2" t="s">
        <v>1745</v>
      </c>
      <c r="N293" s="2" t="s">
        <v>16</v>
      </c>
      <c r="O293" s="2" t="s">
        <v>16</v>
      </c>
      <c r="P293" s="2" t="s">
        <v>17</v>
      </c>
      <c r="Q293" s="2" t="s">
        <v>16</v>
      </c>
      <c r="R293" s="2" t="s">
        <v>16</v>
      </c>
      <c r="S293" s="2" t="s">
        <v>16</v>
      </c>
      <c r="T293" s="3">
        <v>368107.85</v>
      </c>
    </row>
    <row r="294" spans="1:20" ht="78.75" x14ac:dyDescent="0.2">
      <c r="A294" s="2" t="str">
        <f>VLOOKUP(B294,[1]raw_data!$B$4:$C$343,2,FALSE)</f>
        <v>Public District</v>
      </c>
      <c r="B294" s="2" t="s">
        <v>2523</v>
      </c>
      <c r="C294" s="2" t="s">
        <v>745</v>
      </c>
      <c r="D294" s="2" t="s">
        <v>746</v>
      </c>
      <c r="E294" s="2">
        <v>277</v>
      </c>
      <c r="F294" s="2" t="s">
        <v>747</v>
      </c>
      <c r="G294" s="2" t="s">
        <v>753</v>
      </c>
      <c r="H294" s="2">
        <v>-6000</v>
      </c>
      <c r="I294" s="2" t="s">
        <v>748</v>
      </c>
      <c r="J294" s="2" t="s">
        <v>749</v>
      </c>
      <c r="K294" s="2" t="s">
        <v>750</v>
      </c>
      <c r="L294" s="2" t="s">
        <v>751</v>
      </c>
      <c r="M294" s="2" t="s">
        <v>752</v>
      </c>
      <c r="N294" s="2" t="s">
        <v>17</v>
      </c>
      <c r="O294" s="2" t="s">
        <v>17</v>
      </c>
      <c r="P294" s="2" t="s">
        <v>16</v>
      </c>
      <c r="Q294" s="2" t="s">
        <v>16</v>
      </c>
      <c r="R294" s="2" t="s">
        <v>16</v>
      </c>
      <c r="S294" s="2" t="s">
        <v>17</v>
      </c>
      <c r="T294" s="3">
        <v>4200000</v>
      </c>
    </row>
    <row r="295" spans="1:20" ht="180" x14ac:dyDescent="0.2">
      <c r="A295" s="2" t="str">
        <f>VLOOKUP(B295,[1]raw_data!$B$4:$C$343,2,FALSE)</f>
        <v>Community School</v>
      </c>
      <c r="B295" s="2" t="s">
        <v>2440</v>
      </c>
      <c r="C295" s="2" t="s">
        <v>19</v>
      </c>
      <c r="D295" s="2" t="s">
        <v>20</v>
      </c>
      <c r="E295" s="2">
        <v>173</v>
      </c>
      <c r="F295" s="2" t="s">
        <v>21</v>
      </c>
      <c r="G295" s="2" t="s">
        <v>27</v>
      </c>
      <c r="H295" s="2">
        <v>3125</v>
      </c>
      <c r="I295" s="2" t="s">
        <v>22</v>
      </c>
      <c r="J295" s="2" t="s">
        <v>23</v>
      </c>
      <c r="K295" s="2" t="s">
        <v>24</v>
      </c>
      <c r="L295" s="2" t="s">
        <v>25</v>
      </c>
      <c r="M295" s="2" t="s">
        <v>26</v>
      </c>
      <c r="N295" s="2" t="s">
        <v>17</v>
      </c>
      <c r="O295" s="2" t="s">
        <v>17</v>
      </c>
      <c r="P295" s="2" t="s">
        <v>17</v>
      </c>
      <c r="Q295" s="2" t="s">
        <v>17</v>
      </c>
      <c r="R295" s="2" t="s">
        <v>17</v>
      </c>
      <c r="S295" s="2" t="s">
        <v>17</v>
      </c>
      <c r="T295" s="3">
        <v>6207150</v>
      </c>
    </row>
    <row r="296" spans="1:20" ht="180" x14ac:dyDescent="0.2">
      <c r="A296" s="2" t="str">
        <f>VLOOKUP(B296,[1]raw_data!$B$4:$C$343,2,FALSE)</f>
        <v>Educational Service Center</v>
      </c>
      <c r="B296" s="2" t="s">
        <v>2654</v>
      </c>
      <c r="C296" s="2" t="s">
        <v>1870</v>
      </c>
      <c r="D296" s="2" t="s">
        <v>20</v>
      </c>
      <c r="E296" s="2">
        <v>59</v>
      </c>
      <c r="F296" s="2" t="s">
        <v>2397</v>
      </c>
      <c r="G296" s="2" t="s">
        <v>1876</v>
      </c>
      <c r="H296" s="2">
        <v>4700</v>
      </c>
      <c r="I296" s="2" t="s">
        <v>1871</v>
      </c>
      <c r="J296" s="2" t="s">
        <v>1872</v>
      </c>
      <c r="K296" s="2" t="s">
        <v>1873</v>
      </c>
      <c r="L296" s="2" t="s">
        <v>1874</v>
      </c>
      <c r="M296" s="2" t="s">
        <v>1875</v>
      </c>
      <c r="N296" s="2" t="s">
        <v>16</v>
      </c>
      <c r="O296" s="2" t="s">
        <v>17</v>
      </c>
      <c r="P296" s="2" t="s">
        <v>17</v>
      </c>
      <c r="Q296" s="2" t="s">
        <v>16</v>
      </c>
      <c r="R296" s="2" t="s">
        <v>17</v>
      </c>
      <c r="S296" s="2" t="s">
        <v>16</v>
      </c>
      <c r="T296" s="3">
        <v>105000</v>
      </c>
    </row>
    <row r="297" spans="1:20" ht="67.5" x14ac:dyDescent="0.2">
      <c r="A297" s="2" t="str">
        <f>VLOOKUP(B297,[1]raw_data!$B$4:$C$343,2,FALSE)</f>
        <v>Educational Service Center</v>
      </c>
      <c r="B297" s="2" t="s">
        <v>2654</v>
      </c>
      <c r="C297" s="2" t="s">
        <v>1870</v>
      </c>
      <c r="D297" s="2" t="s">
        <v>20</v>
      </c>
      <c r="E297" s="2">
        <v>58</v>
      </c>
      <c r="F297" s="2" t="s">
        <v>2398</v>
      </c>
      <c r="G297" s="2" t="s">
        <v>1878</v>
      </c>
      <c r="H297" s="2">
        <v>16416</v>
      </c>
      <c r="I297" s="2" t="s">
        <v>1871</v>
      </c>
      <c r="J297" s="2" t="s">
        <v>1872</v>
      </c>
      <c r="K297" s="2" t="s">
        <v>1877</v>
      </c>
      <c r="L297" s="2" t="s">
        <v>1874</v>
      </c>
      <c r="M297" s="2" t="s">
        <v>1875</v>
      </c>
      <c r="N297" s="2" t="s">
        <v>16</v>
      </c>
      <c r="O297" s="2" t="s">
        <v>17</v>
      </c>
      <c r="P297" s="2" t="s">
        <v>17</v>
      </c>
      <c r="Q297" s="2" t="s">
        <v>16</v>
      </c>
      <c r="R297" s="2" t="s">
        <v>17</v>
      </c>
      <c r="S297" s="2" t="s">
        <v>17</v>
      </c>
      <c r="T297" s="3">
        <v>355000</v>
      </c>
    </row>
    <row r="298" spans="1:20" ht="157.5" x14ac:dyDescent="0.2">
      <c r="A298" s="2" t="str">
        <f>VLOOKUP(B298,[1]raw_data!$B$4:$C$343,2,FALSE)</f>
        <v>Public District</v>
      </c>
      <c r="B298" s="2" t="s">
        <v>2524</v>
      </c>
      <c r="C298" s="2" t="s">
        <v>754</v>
      </c>
      <c r="D298" s="2" t="s">
        <v>11</v>
      </c>
      <c r="E298" s="2">
        <v>244</v>
      </c>
      <c r="F298" s="2" t="s">
        <v>755</v>
      </c>
      <c r="G298" s="2" t="s">
        <v>761</v>
      </c>
      <c r="H298" s="2">
        <v>4135</v>
      </c>
      <c r="I298" s="2" t="s">
        <v>756</v>
      </c>
      <c r="J298" s="2" t="s">
        <v>757</v>
      </c>
      <c r="K298" s="2" t="s">
        <v>758</v>
      </c>
      <c r="L298" s="2" t="s">
        <v>759</v>
      </c>
      <c r="M298" s="2" t="s">
        <v>760</v>
      </c>
      <c r="N298" s="2" t="s">
        <v>16</v>
      </c>
      <c r="O298" s="2" t="s">
        <v>17</v>
      </c>
      <c r="P298" s="2" t="s">
        <v>17</v>
      </c>
      <c r="Q298" s="2" t="s">
        <v>16</v>
      </c>
      <c r="R298" s="2" t="s">
        <v>16</v>
      </c>
      <c r="S298" s="2" t="s">
        <v>16</v>
      </c>
      <c r="T298" s="3">
        <v>999036</v>
      </c>
    </row>
    <row r="299" spans="1:20" ht="168.75" x14ac:dyDescent="0.2">
      <c r="A299" s="2" t="str">
        <f>VLOOKUP(B299,[1]raw_data!$B$4:$C$343,2,FALSE)</f>
        <v>Public District</v>
      </c>
      <c r="B299" s="2" t="s">
        <v>2559</v>
      </c>
      <c r="C299" s="2" t="s">
        <v>1066</v>
      </c>
      <c r="D299" s="2" t="s">
        <v>472</v>
      </c>
      <c r="E299" s="2">
        <v>27</v>
      </c>
      <c r="F299" s="2" t="s">
        <v>2311</v>
      </c>
      <c r="G299" s="2" t="s">
        <v>1072</v>
      </c>
      <c r="H299" s="2">
        <v>1950</v>
      </c>
      <c r="I299" s="2" t="s">
        <v>1067</v>
      </c>
      <c r="J299" s="2" t="s">
        <v>1068</v>
      </c>
      <c r="K299" s="2" t="s">
        <v>1069</v>
      </c>
      <c r="L299" s="2" t="s">
        <v>1070</v>
      </c>
      <c r="M299" s="2" t="s">
        <v>1071</v>
      </c>
      <c r="N299" s="2" t="s">
        <v>16</v>
      </c>
      <c r="O299" s="2" t="s">
        <v>17</v>
      </c>
      <c r="P299" s="2" t="s">
        <v>17</v>
      </c>
      <c r="Q299" s="2" t="s">
        <v>17</v>
      </c>
      <c r="R299" s="2" t="s">
        <v>17</v>
      </c>
      <c r="S299" s="2" t="s">
        <v>17</v>
      </c>
      <c r="T299" s="3">
        <v>999030</v>
      </c>
    </row>
    <row r="300" spans="1:20" ht="90" x14ac:dyDescent="0.2">
      <c r="A300" s="2" t="str">
        <f>VLOOKUP(B300,[1]raw_data!$B$4:$C$343,2,FALSE)</f>
        <v>Public District</v>
      </c>
      <c r="B300" s="2" t="s">
        <v>2525</v>
      </c>
      <c r="C300" s="2" t="s">
        <v>762</v>
      </c>
      <c r="D300" s="2" t="s">
        <v>20</v>
      </c>
      <c r="E300" s="2">
        <v>161</v>
      </c>
      <c r="F300" s="2" t="s">
        <v>2280</v>
      </c>
      <c r="G300" s="2" t="s">
        <v>768</v>
      </c>
      <c r="H300" s="2">
        <v>2010</v>
      </c>
      <c r="I300" s="2" t="s">
        <v>763</v>
      </c>
      <c r="J300" s="2" t="s">
        <v>764</v>
      </c>
      <c r="K300" s="2" t="s">
        <v>765</v>
      </c>
      <c r="L300" s="2" t="s">
        <v>766</v>
      </c>
      <c r="M300" s="2" t="s">
        <v>767</v>
      </c>
      <c r="N300" s="2" t="s">
        <v>16</v>
      </c>
      <c r="O300" s="2" t="s">
        <v>16</v>
      </c>
      <c r="P300" s="2" t="s">
        <v>17</v>
      </c>
      <c r="Q300" s="2" t="s">
        <v>17</v>
      </c>
      <c r="R300" s="2" t="s">
        <v>17</v>
      </c>
      <c r="S300" s="2" t="s">
        <v>16</v>
      </c>
      <c r="T300" s="3">
        <v>881551</v>
      </c>
    </row>
    <row r="301" spans="1:20" ht="123.75" x14ac:dyDescent="0.2">
      <c r="A301" s="2" t="str">
        <f>VLOOKUP(B301,[1]raw_data!$B$4:$C$343,2,FALSE)</f>
        <v>Public District</v>
      </c>
      <c r="B301" s="2" t="s">
        <v>2635</v>
      </c>
      <c r="C301" s="2" t="s">
        <v>1712</v>
      </c>
      <c r="D301" s="2" t="s">
        <v>1705</v>
      </c>
      <c r="E301" s="2">
        <v>203</v>
      </c>
      <c r="F301" s="2" t="s">
        <v>2385</v>
      </c>
      <c r="G301" s="2" t="s">
        <v>1718</v>
      </c>
      <c r="H301" s="2">
        <v>31500</v>
      </c>
      <c r="I301" s="2" t="s">
        <v>1713</v>
      </c>
      <c r="J301" s="2" t="s">
        <v>1714</v>
      </c>
      <c r="K301" s="2" t="s">
        <v>1715</v>
      </c>
      <c r="L301" s="2" t="s">
        <v>1716</v>
      </c>
      <c r="M301" s="2" t="s">
        <v>1717</v>
      </c>
      <c r="N301" s="2" t="s">
        <v>17</v>
      </c>
      <c r="O301" s="2" t="s">
        <v>17</v>
      </c>
      <c r="P301" s="2" t="s">
        <v>17</v>
      </c>
      <c r="Q301" s="2" t="s">
        <v>17</v>
      </c>
      <c r="R301" s="2" t="s">
        <v>17</v>
      </c>
      <c r="S301" s="2" t="s">
        <v>17</v>
      </c>
      <c r="T301" s="3">
        <v>9178716.1300000008</v>
      </c>
    </row>
    <row r="302" spans="1:20" ht="90" x14ac:dyDescent="0.2">
      <c r="A302" s="2" t="str">
        <f>VLOOKUP(B302,[1]raw_data!$B$4:$C$343,2,FALSE)</f>
        <v>Public District</v>
      </c>
      <c r="B302" s="2" t="s">
        <v>2560</v>
      </c>
      <c r="C302" s="2" t="s">
        <v>1073</v>
      </c>
      <c r="D302" s="2" t="s">
        <v>729</v>
      </c>
      <c r="E302" s="2">
        <v>105</v>
      </c>
      <c r="F302" s="2" t="s">
        <v>2312</v>
      </c>
      <c r="G302" s="2" t="s">
        <v>1079</v>
      </c>
      <c r="H302" s="2">
        <v>80</v>
      </c>
      <c r="I302" s="2" t="s">
        <v>1074</v>
      </c>
      <c r="J302" s="2" t="s">
        <v>1075</v>
      </c>
      <c r="K302" s="2" t="s">
        <v>1076</v>
      </c>
      <c r="L302" s="2" t="s">
        <v>1077</v>
      </c>
      <c r="M302" s="2" t="s">
        <v>1078</v>
      </c>
      <c r="N302" s="2" t="s">
        <v>16</v>
      </c>
      <c r="O302" s="2" t="s">
        <v>17</v>
      </c>
      <c r="P302" s="2" t="s">
        <v>17</v>
      </c>
      <c r="Q302" s="2" t="s">
        <v>17</v>
      </c>
      <c r="R302" s="2" t="s">
        <v>17</v>
      </c>
      <c r="S302" s="2" t="s">
        <v>16</v>
      </c>
      <c r="T302" s="3">
        <v>83013</v>
      </c>
    </row>
    <row r="303" spans="1:20" ht="90" x14ac:dyDescent="0.2">
      <c r="A303" s="2" t="str">
        <f>VLOOKUP(B303,[1]raw_data!$B$4:$C$343,2,FALSE)</f>
        <v>Public District</v>
      </c>
      <c r="B303" s="2" t="s">
        <v>2560</v>
      </c>
      <c r="C303" s="2" t="s">
        <v>1073</v>
      </c>
      <c r="D303" s="2" t="s">
        <v>729</v>
      </c>
      <c r="E303" s="2">
        <v>104</v>
      </c>
      <c r="F303" s="2" t="s">
        <v>2313</v>
      </c>
      <c r="G303" s="2" t="s">
        <v>1085</v>
      </c>
      <c r="H303" s="2">
        <v>775</v>
      </c>
      <c r="I303" s="2" t="s">
        <v>1080</v>
      </c>
      <c r="J303" s="2" t="s">
        <v>1081</v>
      </c>
      <c r="K303" s="2" t="s">
        <v>1082</v>
      </c>
      <c r="L303" s="2" t="s">
        <v>1083</v>
      </c>
      <c r="M303" s="2" t="s">
        <v>1084</v>
      </c>
      <c r="N303" s="2" t="s">
        <v>16</v>
      </c>
      <c r="O303" s="2" t="s">
        <v>17</v>
      </c>
      <c r="P303" s="2" t="s">
        <v>17</v>
      </c>
      <c r="Q303" s="2" t="s">
        <v>17</v>
      </c>
      <c r="R303" s="2" t="s">
        <v>17</v>
      </c>
      <c r="S303" s="2" t="s">
        <v>16</v>
      </c>
      <c r="T303" s="3">
        <v>892703</v>
      </c>
    </row>
    <row r="304" spans="1:20" ht="90" x14ac:dyDescent="0.2">
      <c r="A304" s="2" t="str">
        <f>VLOOKUP(B304,[1]raw_data!$B$4:$C$343,2,FALSE)</f>
        <v>Community School</v>
      </c>
      <c r="B304" s="2" t="s">
        <v>2462</v>
      </c>
      <c r="C304" s="2" t="s">
        <v>184</v>
      </c>
      <c r="D304" s="2" t="s">
        <v>20</v>
      </c>
      <c r="E304" s="2">
        <v>336</v>
      </c>
      <c r="F304" s="2" t="s">
        <v>2234</v>
      </c>
      <c r="G304" s="2" t="s">
        <v>189</v>
      </c>
      <c r="H304" s="2">
        <v>75</v>
      </c>
      <c r="I304" s="2" t="s">
        <v>185</v>
      </c>
      <c r="J304" s="2" t="s">
        <v>184</v>
      </c>
      <c r="K304" s="2" t="s">
        <v>186</v>
      </c>
      <c r="L304" s="2" t="s">
        <v>187</v>
      </c>
      <c r="M304" s="2" t="s">
        <v>188</v>
      </c>
      <c r="N304" s="2" t="s">
        <v>16</v>
      </c>
      <c r="O304" s="2" t="s">
        <v>16</v>
      </c>
      <c r="P304" s="2" t="s">
        <v>17</v>
      </c>
      <c r="Q304" s="2" t="s">
        <v>16</v>
      </c>
      <c r="R304" s="2" t="s">
        <v>16</v>
      </c>
      <c r="S304" s="2" t="s">
        <v>16</v>
      </c>
      <c r="T304" s="3">
        <v>174566.62</v>
      </c>
    </row>
    <row r="305" spans="1:20" ht="168.75" x14ac:dyDescent="0.2">
      <c r="A305" s="2" t="str">
        <f>VLOOKUP(B305,[1]raw_data!$B$4:$C$343,2,FALSE)</f>
        <v>Public District</v>
      </c>
      <c r="B305" s="2" t="s">
        <v>2594</v>
      </c>
      <c r="C305" s="2" t="s">
        <v>1391</v>
      </c>
      <c r="D305" s="2" t="s">
        <v>74</v>
      </c>
      <c r="E305" s="2">
        <v>132</v>
      </c>
      <c r="F305" s="2" t="s">
        <v>1392</v>
      </c>
      <c r="G305" s="2" t="s">
        <v>1398</v>
      </c>
      <c r="H305" s="2">
        <v>2600</v>
      </c>
      <c r="I305" s="2" t="s">
        <v>1393</v>
      </c>
      <c r="J305" s="2" t="s">
        <v>1394</v>
      </c>
      <c r="K305" s="2" t="s">
        <v>1395</v>
      </c>
      <c r="L305" s="2" t="s">
        <v>1396</v>
      </c>
      <c r="M305" s="2" t="s">
        <v>1397</v>
      </c>
      <c r="N305" s="2" t="s">
        <v>17</v>
      </c>
      <c r="O305" s="2" t="s">
        <v>17</v>
      </c>
      <c r="P305" s="2" t="s">
        <v>17</v>
      </c>
      <c r="Q305" s="2" t="s">
        <v>17</v>
      </c>
      <c r="R305" s="2" t="s">
        <v>17</v>
      </c>
      <c r="S305" s="2" t="s">
        <v>17</v>
      </c>
      <c r="T305" s="3">
        <v>1253062</v>
      </c>
    </row>
    <row r="306" spans="1:20" ht="123.75" x14ac:dyDescent="0.2">
      <c r="A306" s="2" t="str">
        <f>VLOOKUP(B306,[1]raw_data!$B$4:$C$343,2,FALSE)</f>
        <v>Public District</v>
      </c>
      <c r="B306" s="2" t="s">
        <v>2526</v>
      </c>
      <c r="C306" s="2" t="s">
        <v>769</v>
      </c>
      <c r="D306" s="2" t="s">
        <v>11</v>
      </c>
      <c r="E306" s="2">
        <v>120</v>
      </c>
      <c r="F306" s="2" t="s">
        <v>2281</v>
      </c>
      <c r="G306" s="2" t="s">
        <v>775</v>
      </c>
      <c r="H306" s="2">
        <v>224</v>
      </c>
      <c r="I306" s="2" t="s">
        <v>770</v>
      </c>
      <c r="J306" s="2" t="s">
        <v>771</v>
      </c>
      <c r="K306" s="2" t="s">
        <v>772</v>
      </c>
      <c r="L306" s="2" t="s">
        <v>773</v>
      </c>
      <c r="M306" s="2" t="s">
        <v>774</v>
      </c>
      <c r="N306" s="2" t="s">
        <v>16</v>
      </c>
      <c r="O306" s="2" t="s">
        <v>17</v>
      </c>
      <c r="P306" s="2" t="s">
        <v>17</v>
      </c>
      <c r="Q306" s="2" t="s">
        <v>17</v>
      </c>
      <c r="R306" s="2" t="s">
        <v>17</v>
      </c>
      <c r="S306" s="2" t="s">
        <v>17</v>
      </c>
      <c r="T306" s="3">
        <v>774231.4</v>
      </c>
    </row>
    <row r="307" spans="1:20" ht="157.5" x14ac:dyDescent="0.2">
      <c r="A307" s="2" t="str">
        <f>VLOOKUP(B307,[1]raw_data!$B$4:$C$343,2,FALSE)</f>
        <v>Community School</v>
      </c>
      <c r="B307" s="2" t="s">
        <v>2691</v>
      </c>
      <c r="C307" s="2" t="s">
        <v>2161</v>
      </c>
      <c r="D307" s="2" t="s">
        <v>11</v>
      </c>
      <c r="E307" s="2">
        <v>171</v>
      </c>
      <c r="F307" s="2" t="s">
        <v>2430</v>
      </c>
      <c r="G307" s="2" t="s">
        <v>2167</v>
      </c>
      <c r="H307" s="2">
        <v>700</v>
      </c>
      <c r="I307" s="2" t="s">
        <v>2162</v>
      </c>
      <c r="J307" s="2" t="s">
        <v>2163</v>
      </c>
      <c r="K307" s="2" t="s">
        <v>2164</v>
      </c>
      <c r="L307" s="2" t="s">
        <v>2165</v>
      </c>
      <c r="M307" s="2" t="s">
        <v>2166</v>
      </c>
      <c r="N307" s="2" t="s">
        <v>16</v>
      </c>
      <c r="O307" s="2" t="s">
        <v>17</v>
      </c>
      <c r="P307" s="2" t="s">
        <v>17</v>
      </c>
      <c r="Q307" s="2" t="s">
        <v>17</v>
      </c>
      <c r="R307" s="2" t="s">
        <v>17</v>
      </c>
      <c r="S307" s="2" t="s">
        <v>16</v>
      </c>
      <c r="T307" s="3">
        <v>989325</v>
      </c>
    </row>
    <row r="308" spans="1:20" ht="101.25" x14ac:dyDescent="0.2">
      <c r="A308" s="2" t="str">
        <f>VLOOKUP(B308,[1]raw_data!$B$4:$C$343,2,FALSE)</f>
        <v>Joint Vocational School District</v>
      </c>
      <c r="B308" s="2" t="s">
        <v>2680</v>
      </c>
      <c r="C308" s="2" t="s">
        <v>2081</v>
      </c>
      <c r="D308" s="2" t="s">
        <v>563</v>
      </c>
      <c r="E308" s="2">
        <v>168</v>
      </c>
      <c r="F308" s="2" t="s">
        <v>2421</v>
      </c>
      <c r="G308" s="2" t="s">
        <v>2087</v>
      </c>
      <c r="H308" s="2">
        <v>28118</v>
      </c>
      <c r="I308" s="2" t="s">
        <v>2082</v>
      </c>
      <c r="J308" s="2" t="s">
        <v>2083</v>
      </c>
      <c r="K308" s="2" t="s">
        <v>2084</v>
      </c>
      <c r="L308" s="2" t="s">
        <v>2085</v>
      </c>
      <c r="M308" s="2" t="s">
        <v>2086</v>
      </c>
      <c r="N308" s="2" t="s">
        <v>17</v>
      </c>
      <c r="O308" s="2" t="s">
        <v>17</v>
      </c>
      <c r="P308" s="2" t="s">
        <v>17</v>
      </c>
      <c r="Q308" s="2" t="s">
        <v>17</v>
      </c>
      <c r="R308" s="2" t="s">
        <v>16</v>
      </c>
      <c r="S308" s="2" t="s">
        <v>17</v>
      </c>
      <c r="T308" s="3">
        <v>14993781</v>
      </c>
    </row>
    <row r="309" spans="1:20" ht="90" x14ac:dyDescent="0.2">
      <c r="A309" s="2" t="str">
        <f>VLOOKUP(B309,[1]raw_data!$B$4:$C$343,2,FALSE)</f>
        <v>Community School</v>
      </c>
      <c r="B309" s="2" t="s">
        <v>2696</v>
      </c>
      <c r="C309" s="2" t="s">
        <v>2185</v>
      </c>
      <c r="D309" s="2" t="s">
        <v>178</v>
      </c>
      <c r="E309" s="2">
        <v>239</v>
      </c>
      <c r="F309" s="2" t="s">
        <v>2433</v>
      </c>
      <c r="G309" s="2" t="s">
        <v>2191</v>
      </c>
      <c r="H309" s="2">
        <v>2715</v>
      </c>
      <c r="I309" s="2" t="s">
        <v>2186</v>
      </c>
      <c r="J309" s="2" t="s">
        <v>2187</v>
      </c>
      <c r="K309" s="2" t="s">
        <v>2188</v>
      </c>
      <c r="L309" s="2" t="s">
        <v>2189</v>
      </c>
      <c r="M309" s="2" t="s">
        <v>2190</v>
      </c>
      <c r="N309" s="2" t="s">
        <v>17</v>
      </c>
      <c r="O309" s="2" t="s">
        <v>17</v>
      </c>
      <c r="P309" s="2" t="s">
        <v>17</v>
      </c>
      <c r="Q309" s="2" t="s">
        <v>16</v>
      </c>
      <c r="R309" s="2" t="s">
        <v>17</v>
      </c>
      <c r="S309" s="2" t="s">
        <v>17</v>
      </c>
      <c r="T309" s="3">
        <v>4399000</v>
      </c>
    </row>
    <row r="310" spans="1:20" ht="123.75" x14ac:dyDescent="0.2">
      <c r="A310" s="2" t="str">
        <f>VLOOKUP(B310,[1]raw_data!$B$4:$C$343,2,FALSE)</f>
        <v>Joint Vocational School District</v>
      </c>
      <c r="B310" s="2" t="s">
        <v>2674</v>
      </c>
      <c r="C310" s="2" t="s">
        <v>2036</v>
      </c>
      <c r="D310" s="2" t="s">
        <v>1903</v>
      </c>
      <c r="E310" s="2">
        <v>148</v>
      </c>
      <c r="F310" s="2" t="s">
        <v>2417</v>
      </c>
      <c r="G310" s="2" t="s">
        <v>2042</v>
      </c>
      <c r="H310" s="2">
        <v>932</v>
      </c>
      <c r="I310" s="2" t="s">
        <v>2037</v>
      </c>
      <c r="J310" s="2" t="s">
        <v>2038</v>
      </c>
      <c r="K310" s="2" t="s">
        <v>2039</v>
      </c>
      <c r="L310" s="2" t="s">
        <v>2040</v>
      </c>
      <c r="M310" s="2" t="s">
        <v>2041</v>
      </c>
      <c r="N310" s="2" t="s">
        <v>16</v>
      </c>
      <c r="O310" s="2" t="s">
        <v>16</v>
      </c>
      <c r="P310" s="2" t="s">
        <v>17</v>
      </c>
      <c r="Q310" s="2" t="s">
        <v>17</v>
      </c>
      <c r="R310" s="2" t="s">
        <v>16</v>
      </c>
      <c r="S310" s="2" t="s">
        <v>16</v>
      </c>
      <c r="T310" s="3">
        <v>615765</v>
      </c>
    </row>
    <row r="311" spans="1:20" ht="90" x14ac:dyDescent="0.2">
      <c r="A311" s="2" t="str">
        <f>VLOOKUP(B311,[1]raw_data!$B$4:$C$343,2,FALSE)</f>
        <v>Public District</v>
      </c>
      <c r="B311" s="2" t="s">
        <v>2639</v>
      </c>
      <c r="C311" s="2" t="s">
        <v>1747</v>
      </c>
      <c r="D311" s="2" t="s">
        <v>1748</v>
      </c>
      <c r="E311" s="2">
        <v>77</v>
      </c>
      <c r="F311" s="2" t="s">
        <v>1749</v>
      </c>
      <c r="G311" s="2" t="s">
        <v>1754</v>
      </c>
      <c r="H311" s="2">
        <v>900</v>
      </c>
      <c r="I311" s="2" t="s">
        <v>1750</v>
      </c>
      <c r="J311" s="2" t="s">
        <v>1751</v>
      </c>
      <c r="K311" s="2" t="s">
        <v>1752</v>
      </c>
      <c r="L311" s="2">
        <v>9378394688</v>
      </c>
      <c r="M311" s="2" t="s">
        <v>1753</v>
      </c>
      <c r="N311" s="2" t="s">
        <v>16</v>
      </c>
      <c r="O311" s="2" t="s">
        <v>16</v>
      </c>
      <c r="P311" s="2" t="s">
        <v>17</v>
      </c>
      <c r="Q311" s="2" t="s">
        <v>17</v>
      </c>
      <c r="R311" s="2" t="s">
        <v>17</v>
      </c>
      <c r="S311" s="2" t="s">
        <v>16</v>
      </c>
      <c r="T311" s="3">
        <v>75000</v>
      </c>
    </row>
    <row r="312" spans="1:20" ht="101.25" x14ac:dyDescent="0.2">
      <c r="A312" s="2" t="str">
        <f>VLOOKUP(B312,[1]raw_data!$B$4:$C$343,2,FALSE)</f>
        <v>Public District</v>
      </c>
      <c r="B312" s="2" t="s">
        <v>2567</v>
      </c>
      <c r="C312" s="2" t="s">
        <v>1138</v>
      </c>
      <c r="D312" s="2" t="s">
        <v>45</v>
      </c>
      <c r="E312" s="2">
        <v>323</v>
      </c>
      <c r="F312" s="2" t="s">
        <v>2320</v>
      </c>
      <c r="G312" s="2" t="s">
        <v>1144</v>
      </c>
      <c r="H312" s="2">
        <v>1289</v>
      </c>
      <c r="I312" s="2" t="s">
        <v>1139</v>
      </c>
      <c r="J312" s="2" t="s">
        <v>1140</v>
      </c>
      <c r="K312" s="2" t="s">
        <v>1141</v>
      </c>
      <c r="L312" s="2" t="s">
        <v>1142</v>
      </c>
      <c r="M312" s="2" t="s">
        <v>1143</v>
      </c>
      <c r="N312" s="2" t="s">
        <v>16</v>
      </c>
      <c r="O312" s="2" t="s">
        <v>17</v>
      </c>
      <c r="P312" s="2" t="s">
        <v>17</v>
      </c>
      <c r="Q312" s="2" t="s">
        <v>17</v>
      </c>
      <c r="R312" s="2" t="s">
        <v>17</v>
      </c>
      <c r="S312" s="2" t="s">
        <v>16</v>
      </c>
      <c r="T312" s="3">
        <v>624499.11</v>
      </c>
    </row>
    <row r="313" spans="1:20" ht="90" x14ac:dyDescent="0.2">
      <c r="A313" s="2" t="str">
        <f>VLOOKUP(B313,[1]raw_data!$B$4:$C$343,2,FALSE)</f>
        <v>Community School</v>
      </c>
      <c r="B313" s="2" t="s">
        <v>2698</v>
      </c>
      <c r="C313" s="2" t="s">
        <v>2200</v>
      </c>
      <c r="D313" s="2" t="s">
        <v>82</v>
      </c>
      <c r="E313" s="2">
        <v>177</v>
      </c>
      <c r="F313" s="2" t="s">
        <v>2201</v>
      </c>
      <c r="G313" s="2" t="s">
        <v>2207</v>
      </c>
      <c r="H313" s="2">
        <v>18000</v>
      </c>
      <c r="I313" s="2" t="s">
        <v>2202</v>
      </c>
      <c r="J313" s="2" t="s">
        <v>2203</v>
      </c>
      <c r="K313" s="2" t="s">
        <v>2204</v>
      </c>
      <c r="L313" s="2" t="s">
        <v>2205</v>
      </c>
      <c r="M313" s="2" t="s">
        <v>2206</v>
      </c>
      <c r="N313" s="2" t="s">
        <v>17</v>
      </c>
      <c r="O313" s="2" t="s">
        <v>17</v>
      </c>
      <c r="P313" s="2" t="s">
        <v>16</v>
      </c>
      <c r="Q313" s="2" t="s">
        <v>16</v>
      </c>
      <c r="R313" s="2" t="s">
        <v>17</v>
      </c>
      <c r="S313" s="2" t="s">
        <v>17</v>
      </c>
      <c r="T313" s="3">
        <v>4578303</v>
      </c>
    </row>
    <row r="314" spans="1:20" ht="180" x14ac:dyDescent="0.2">
      <c r="A314" s="2" t="str">
        <f>VLOOKUP(B314,[1]raw_data!$B$4:$C$343,2,FALSE)</f>
        <v>Public District</v>
      </c>
      <c r="B314" s="2" t="s">
        <v>2527</v>
      </c>
      <c r="C314" s="2" t="s">
        <v>776</v>
      </c>
      <c r="D314" s="2" t="s">
        <v>578</v>
      </c>
      <c r="E314" s="2">
        <v>339</v>
      </c>
      <c r="F314" s="2" t="s">
        <v>777</v>
      </c>
      <c r="G314" s="2" t="s">
        <v>783</v>
      </c>
      <c r="H314" s="2">
        <v>14000</v>
      </c>
      <c r="I314" s="2" t="s">
        <v>778</v>
      </c>
      <c r="J314" s="2" t="s">
        <v>779</v>
      </c>
      <c r="K314" s="2" t="s">
        <v>780</v>
      </c>
      <c r="L314" s="2" t="s">
        <v>781</v>
      </c>
      <c r="M314" s="2" t="s">
        <v>782</v>
      </c>
      <c r="N314" s="2" t="s">
        <v>16</v>
      </c>
      <c r="O314" s="2" t="s">
        <v>17</v>
      </c>
      <c r="P314" s="2" t="s">
        <v>17</v>
      </c>
      <c r="Q314" s="2" t="s">
        <v>17</v>
      </c>
      <c r="R314" s="2" t="s">
        <v>17</v>
      </c>
      <c r="S314" s="2" t="s">
        <v>17</v>
      </c>
      <c r="T314" s="3">
        <v>373208</v>
      </c>
    </row>
    <row r="315" spans="1:20" ht="112.5" x14ac:dyDescent="0.2">
      <c r="A315" s="2" t="str">
        <f>VLOOKUP(B315,[1]raw_data!$B$4:$C$343,2,FALSE)</f>
        <v>Public District</v>
      </c>
      <c r="B315" s="2" t="s">
        <v>2527</v>
      </c>
      <c r="C315" s="2" t="s">
        <v>776</v>
      </c>
      <c r="D315" s="2" t="s">
        <v>578</v>
      </c>
      <c r="E315" s="2">
        <v>338</v>
      </c>
      <c r="F315" s="2" t="s">
        <v>784</v>
      </c>
      <c r="G315" s="2" t="s">
        <v>789</v>
      </c>
      <c r="H315" s="2">
        <v>725</v>
      </c>
      <c r="I315" s="2" t="s">
        <v>785</v>
      </c>
      <c r="J315" s="2" t="s">
        <v>779</v>
      </c>
      <c r="K315" s="2" t="s">
        <v>786</v>
      </c>
      <c r="L315" s="2" t="s">
        <v>787</v>
      </c>
      <c r="M315" s="2" t="s">
        <v>788</v>
      </c>
      <c r="N315" s="2" t="s">
        <v>16</v>
      </c>
      <c r="O315" s="2" t="s">
        <v>17</v>
      </c>
      <c r="P315" s="2" t="s">
        <v>17</v>
      </c>
      <c r="Q315" s="2" t="s">
        <v>16</v>
      </c>
      <c r="R315" s="2" t="s">
        <v>17</v>
      </c>
      <c r="S315" s="2" t="s">
        <v>16</v>
      </c>
      <c r="T315" s="3">
        <v>91078.07</v>
      </c>
    </row>
    <row r="316" spans="1:20" ht="123.75" x14ac:dyDescent="0.2">
      <c r="A316" s="2" t="str">
        <f>VLOOKUP(B316,[1]raw_data!$B$4:$C$343,2,FALSE)</f>
        <v>Public District</v>
      </c>
      <c r="B316" s="2" t="s">
        <v>2527</v>
      </c>
      <c r="C316" s="2" t="s">
        <v>776</v>
      </c>
      <c r="D316" s="2" t="s">
        <v>578</v>
      </c>
      <c r="E316" s="2">
        <v>340</v>
      </c>
      <c r="F316" s="2" t="s">
        <v>2282</v>
      </c>
      <c r="G316" s="2" t="s">
        <v>794</v>
      </c>
      <c r="H316" s="2">
        <v>216</v>
      </c>
      <c r="I316" s="2" t="s">
        <v>790</v>
      </c>
      <c r="J316" s="2" t="s">
        <v>779</v>
      </c>
      <c r="K316" s="2" t="s">
        <v>791</v>
      </c>
      <c r="L316" s="2" t="s">
        <v>792</v>
      </c>
      <c r="M316" s="2" t="s">
        <v>793</v>
      </c>
      <c r="N316" s="2" t="s">
        <v>16</v>
      </c>
      <c r="O316" s="2" t="s">
        <v>17</v>
      </c>
      <c r="P316" s="2" t="s">
        <v>17</v>
      </c>
      <c r="Q316" s="2" t="s">
        <v>16</v>
      </c>
      <c r="R316" s="2" t="s">
        <v>17</v>
      </c>
      <c r="S316" s="2" t="s">
        <v>16</v>
      </c>
      <c r="T316" s="3">
        <v>250069.03</v>
      </c>
    </row>
    <row r="317" spans="1:20" ht="180" x14ac:dyDescent="0.2">
      <c r="A317" s="2" t="str">
        <f>VLOOKUP(B317,[1]raw_data!$B$4:$C$343,2,FALSE)</f>
        <v>Joint Vocational School District</v>
      </c>
      <c r="B317" s="2" t="s">
        <v>2672</v>
      </c>
      <c r="C317" s="2" t="s">
        <v>2010</v>
      </c>
      <c r="D317" s="2" t="s">
        <v>456</v>
      </c>
      <c r="E317" s="2">
        <v>165</v>
      </c>
      <c r="F317" s="2" t="s">
        <v>2414</v>
      </c>
      <c r="G317" s="2" t="s">
        <v>2016</v>
      </c>
      <c r="H317" s="2">
        <v>300</v>
      </c>
      <c r="I317" s="2" t="s">
        <v>2011</v>
      </c>
      <c r="J317" s="2" t="s">
        <v>2012</v>
      </c>
      <c r="K317" s="2" t="s">
        <v>2013</v>
      </c>
      <c r="L317" s="2" t="s">
        <v>2014</v>
      </c>
      <c r="M317" s="2" t="s">
        <v>2015</v>
      </c>
      <c r="N317" s="2" t="s">
        <v>16</v>
      </c>
      <c r="O317" s="2" t="s">
        <v>17</v>
      </c>
      <c r="P317" s="2" t="s">
        <v>17</v>
      </c>
      <c r="Q317" s="2" t="s">
        <v>16</v>
      </c>
      <c r="R317" s="2" t="s">
        <v>16</v>
      </c>
      <c r="S317" s="2" t="s">
        <v>17</v>
      </c>
      <c r="T317" s="3">
        <v>717381</v>
      </c>
    </row>
    <row r="318" spans="1:20" ht="180" x14ac:dyDescent="0.2">
      <c r="A318" s="2" t="str">
        <f>VLOOKUP(B318,[1]raw_data!$B$4:$C$343,2,FALSE)</f>
        <v>Joint Vocational School District</v>
      </c>
      <c r="B318" s="2" t="s">
        <v>2672</v>
      </c>
      <c r="C318" s="2" t="s">
        <v>2010</v>
      </c>
      <c r="D318" s="2" t="s">
        <v>456</v>
      </c>
      <c r="E318" s="2">
        <v>166</v>
      </c>
      <c r="F318" s="2" t="s">
        <v>2415</v>
      </c>
      <c r="G318" s="2" t="s">
        <v>2022</v>
      </c>
      <c r="H318" s="2">
        <v>1000</v>
      </c>
      <c r="I318" s="2" t="s">
        <v>2017</v>
      </c>
      <c r="J318" s="2" t="s">
        <v>2018</v>
      </c>
      <c r="K318" s="2" t="s">
        <v>2019</v>
      </c>
      <c r="L318" s="2" t="s">
        <v>2020</v>
      </c>
      <c r="M318" s="2" t="s">
        <v>2021</v>
      </c>
      <c r="N318" s="2" t="s">
        <v>16</v>
      </c>
      <c r="O318" s="2" t="s">
        <v>16</v>
      </c>
      <c r="P318" s="2" t="s">
        <v>17</v>
      </c>
      <c r="Q318" s="2" t="s">
        <v>16</v>
      </c>
      <c r="R318" s="2" t="s">
        <v>17</v>
      </c>
      <c r="S318" s="2" t="s">
        <v>16</v>
      </c>
      <c r="T318" s="3">
        <v>574000</v>
      </c>
    </row>
    <row r="319" spans="1:20" ht="168.75" x14ac:dyDescent="0.2">
      <c r="A319" s="2" t="str">
        <f>VLOOKUP(B319,[1]raw_data!$B$4:$C$343,2,FALSE)</f>
        <v>Joint Vocational School District</v>
      </c>
      <c r="B319" s="2" t="s">
        <v>2672</v>
      </c>
      <c r="C319" s="2" t="s">
        <v>2010</v>
      </c>
      <c r="D319" s="2" t="s">
        <v>456</v>
      </c>
      <c r="E319" s="2">
        <v>167</v>
      </c>
      <c r="F319" s="2" t="s">
        <v>2023</v>
      </c>
      <c r="G319" s="2" t="s">
        <v>2024</v>
      </c>
      <c r="H319" s="2">
        <v>300</v>
      </c>
      <c r="I319" s="2" t="s">
        <v>2017</v>
      </c>
      <c r="J319" s="2" t="s">
        <v>2018</v>
      </c>
      <c r="K319" s="2" t="s">
        <v>2019</v>
      </c>
      <c r="L319" s="2" t="s">
        <v>2020</v>
      </c>
      <c r="M319" s="2" t="s">
        <v>2021</v>
      </c>
      <c r="N319" s="2" t="s">
        <v>16</v>
      </c>
      <c r="O319" s="2" t="s">
        <v>16</v>
      </c>
      <c r="P319" s="2" t="s">
        <v>17</v>
      </c>
      <c r="Q319" s="2" t="s">
        <v>16</v>
      </c>
      <c r="R319" s="2" t="s">
        <v>17</v>
      </c>
      <c r="S319" s="2" t="s">
        <v>16</v>
      </c>
      <c r="T319" s="3">
        <v>210000</v>
      </c>
    </row>
    <row r="320" spans="1:20" ht="135" x14ac:dyDescent="0.2">
      <c r="A320" s="2" t="str">
        <f>VLOOKUP(B320,[1]raw_data!$B$4:$C$343,2,FALSE)</f>
        <v>Public District</v>
      </c>
      <c r="B320" s="2" t="s">
        <v>2528</v>
      </c>
      <c r="C320" s="2" t="s">
        <v>795</v>
      </c>
      <c r="D320" s="2" t="s">
        <v>29</v>
      </c>
      <c r="E320" s="2">
        <v>176</v>
      </c>
      <c r="F320" s="2" t="s">
        <v>2283</v>
      </c>
      <c r="G320" s="2" t="s">
        <v>801</v>
      </c>
      <c r="H320" s="2">
        <v>900</v>
      </c>
      <c r="I320" s="2" t="s">
        <v>796</v>
      </c>
      <c r="J320" s="2" t="s">
        <v>797</v>
      </c>
      <c r="K320" s="2" t="s">
        <v>798</v>
      </c>
      <c r="L320" s="2" t="s">
        <v>799</v>
      </c>
      <c r="M320" s="2" t="s">
        <v>800</v>
      </c>
      <c r="N320" s="2" t="s">
        <v>16</v>
      </c>
      <c r="O320" s="2" t="s">
        <v>17</v>
      </c>
      <c r="P320" s="2" t="s">
        <v>17</v>
      </c>
      <c r="Q320" s="2" t="s">
        <v>17</v>
      </c>
      <c r="R320" s="2" t="s">
        <v>17</v>
      </c>
      <c r="S320" s="2" t="s">
        <v>16</v>
      </c>
      <c r="T320" s="3">
        <v>981335.08</v>
      </c>
    </row>
    <row r="321" spans="1:20" ht="90" x14ac:dyDescent="0.2">
      <c r="A321" s="2" t="str">
        <f>VLOOKUP(B321,[1]raw_data!$B$4:$C$343,2,FALSE)</f>
        <v>Public District</v>
      </c>
      <c r="B321" s="2" t="s">
        <v>2646</v>
      </c>
      <c r="C321" s="2" t="s">
        <v>1804</v>
      </c>
      <c r="D321" s="2" t="s">
        <v>677</v>
      </c>
      <c r="E321" s="2">
        <v>12</v>
      </c>
      <c r="F321" s="2" t="s">
        <v>1805</v>
      </c>
      <c r="G321" s="2" t="s">
        <v>1811</v>
      </c>
      <c r="H321" s="2">
        <v>1612</v>
      </c>
      <c r="I321" s="2" t="s">
        <v>1806</v>
      </c>
      <c r="J321" s="2" t="s">
        <v>1807</v>
      </c>
      <c r="K321" s="2" t="s">
        <v>1808</v>
      </c>
      <c r="L321" s="2" t="s">
        <v>1809</v>
      </c>
      <c r="M321" s="2" t="s">
        <v>1810</v>
      </c>
      <c r="N321" s="2" t="s">
        <v>16</v>
      </c>
      <c r="O321" s="2" t="s">
        <v>17</v>
      </c>
      <c r="P321" s="2" t="s">
        <v>17</v>
      </c>
      <c r="Q321" s="2" t="s">
        <v>16</v>
      </c>
      <c r="R321" s="2" t="s">
        <v>16</v>
      </c>
      <c r="S321" s="2" t="s">
        <v>16</v>
      </c>
      <c r="T321" s="3">
        <v>373423</v>
      </c>
    </row>
    <row r="322" spans="1:20" ht="112.5" x14ac:dyDescent="0.2">
      <c r="A322" s="2" t="str">
        <f>VLOOKUP(B322,[1]raw_data!$B$4:$C$343,2,FALSE)</f>
        <v>Public District</v>
      </c>
      <c r="B322" s="2" t="s">
        <v>2545</v>
      </c>
      <c r="C322" s="2" t="s">
        <v>949</v>
      </c>
      <c r="D322" s="2" t="s">
        <v>423</v>
      </c>
      <c r="E322" s="2">
        <v>117</v>
      </c>
      <c r="F322" s="2" t="s">
        <v>950</v>
      </c>
      <c r="G322" s="2" t="s">
        <v>956</v>
      </c>
      <c r="H322" s="2">
        <v>1282</v>
      </c>
      <c r="I322" s="2" t="s">
        <v>951</v>
      </c>
      <c r="J322" s="2" t="s">
        <v>952</v>
      </c>
      <c r="K322" s="2" t="s">
        <v>953</v>
      </c>
      <c r="L322" s="2" t="s">
        <v>954</v>
      </c>
      <c r="M322" s="2" t="s">
        <v>955</v>
      </c>
      <c r="N322" s="2" t="s">
        <v>16</v>
      </c>
      <c r="O322" s="2" t="s">
        <v>16</v>
      </c>
      <c r="P322" s="2" t="s">
        <v>17</v>
      </c>
      <c r="Q322" s="2" t="s">
        <v>17</v>
      </c>
      <c r="R322" s="2" t="s">
        <v>16</v>
      </c>
      <c r="S322" s="2" t="s">
        <v>16</v>
      </c>
      <c r="T322" s="3">
        <v>497498</v>
      </c>
    </row>
    <row r="323" spans="1:20" ht="101.25" x14ac:dyDescent="0.2">
      <c r="A323" s="2" t="str">
        <f>VLOOKUP(B323,[1]raw_data!$B$4:$C$343,2,FALSE)</f>
        <v>Public District</v>
      </c>
      <c r="B323" s="2" t="s">
        <v>2586</v>
      </c>
      <c r="C323" s="2" t="s">
        <v>1323</v>
      </c>
      <c r="D323" s="2" t="s">
        <v>1298</v>
      </c>
      <c r="E323" s="2">
        <v>174</v>
      </c>
      <c r="F323" s="2" t="s">
        <v>2341</v>
      </c>
      <c r="G323" s="2" t="s">
        <v>1328</v>
      </c>
      <c r="H323" s="2">
        <v>2160</v>
      </c>
      <c r="I323" s="2" t="s">
        <v>1324</v>
      </c>
      <c r="J323" s="2" t="s">
        <v>219</v>
      </c>
      <c r="K323" s="2" t="s">
        <v>1325</v>
      </c>
      <c r="L323" s="2" t="s">
        <v>1326</v>
      </c>
      <c r="M323" s="2" t="s">
        <v>1327</v>
      </c>
      <c r="N323" s="2" t="s">
        <v>16</v>
      </c>
      <c r="O323" s="2" t="s">
        <v>16</v>
      </c>
      <c r="P323" s="2" t="s">
        <v>17</v>
      </c>
      <c r="Q323" s="2" t="s">
        <v>17</v>
      </c>
      <c r="R323" s="2" t="s">
        <v>16</v>
      </c>
      <c r="S323" s="2" t="s">
        <v>16</v>
      </c>
      <c r="T323" s="3">
        <v>998900</v>
      </c>
    </row>
    <row r="324" spans="1:20" ht="101.25" x14ac:dyDescent="0.2">
      <c r="A324" s="2" t="str">
        <f>VLOOKUP(B324,[1]raw_data!$B$4:$C$343,2,FALSE)</f>
        <v>Public District</v>
      </c>
      <c r="B324" s="2" t="s">
        <v>2631</v>
      </c>
      <c r="C324" s="2" t="s">
        <v>1681</v>
      </c>
      <c r="D324" s="2" t="s">
        <v>100</v>
      </c>
      <c r="E324" s="2">
        <v>260</v>
      </c>
      <c r="F324" s="2" t="s">
        <v>1682</v>
      </c>
      <c r="G324" s="2" t="s">
        <v>1688</v>
      </c>
      <c r="H324" s="2">
        <v>1571</v>
      </c>
      <c r="I324" s="2" t="s">
        <v>1683</v>
      </c>
      <c r="J324" s="2" t="s">
        <v>1684</v>
      </c>
      <c r="K324" s="2" t="s">
        <v>1685</v>
      </c>
      <c r="L324" s="2" t="s">
        <v>1686</v>
      </c>
      <c r="M324" s="2" t="s">
        <v>1687</v>
      </c>
      <c r="N324" s="2" t="s">
        <v>16</v>
      </c>
      <c r="O324" s="2" t="s">
        <v>17</v>
      </c>
      <c r="P324" s="2" t="s">
        <v>17</v>
      </c>
      <c r="Q324" s="2" t="s">
        <v>16</v>
      </c>
      <c r="R324" s="2" t="s">
        <v>17</v>
      </c>
      <c r="S324" s="2" t="s">
        <v>17</v>
      </c>
      <c r="T324" s="3">
        <v>622732.43000000005</v>
      </c>
    </row>
    <row r="325" spans="1:20" ht="180" x14ac:dyDescent="0.2">
      <c r="A325" s="2" t="str">
        <f>VLOOKUP(B325,[1]raw_data!$B$4:$C$343,2,FALSE)</f>
        <v>Public District</v>
      </c>
      <c r="B325" s="2" t="s">
        <v>2554</v>
      </c>
      <c r="C325" s="2" t="s">
        <v>1028</v>
      </c>
      <c r="D325" s="2" t="s">
        <v>1029</v>
      </c>
      <c r="E325" s="2">
        <v>38</v>
      </c>
      <c r="F325" s="2" t="s">
        <v>2308</v>
      </c>
      <c r="G325" s="2" t="s">
        <v>1035</v>
      </c>
      <c r="H325" s="2">
        <v>3067</v>
      </c>
      <c r="I325" s="2" t="s">
        <v>1030</v>
      </c>
      <c r="J325" s="2" t="s">
        <v>1031</v>
      </c>
      <c r="K325" s="2" t="s">
        <v>1032</v>
      </c>
      <c r="L325" s="2" t="s">
        <v>1033</v>
      </c>
      <c r="M325" s="2" t="s">
        <v>1034</v>
      </c>
      <c r="N325" s="2" t="s">
        <v>16</v>
      </c>
      <c r="O325" s="2" t="s">
        <v>17</v>
      </c>
      <c r="P325" s="2" t="s">
        <v>17</v>
      </c>
      <c r="Q325" s="2" t="s">
        <v>17</v>
      </c>
      <c r="R325" s="2" t="s">
        <v>17</v>
      </c>
      <c r="S325" s="2" t="s">
        <v>16</v>
      </c>
      <c r="T325" s="3">
        <v>810425</v>
      </c>
    </row>
    <row r="326" spans="1:20" ht="112.5" x14ac:dyDescent="0.2">
      <c r="A326" s="2" t="str">
        <f>VLOOKUP(B326,[1]raw_data!$B$4:$C$343,2,FALSE)</f>
        <v>Public District</v>
      </c>
      <c r="B326" s="2" t="s">
        <v>2621</v>
      </c>
      <c r="C326" s="2" t="s">
        <v>1595</v>
      </c>
      <c r="D326" s="2" t="s">
        <v>746</v>
      </c>
      <c r="E326" s="2">
        <v>53</v>
      </c>
      <c r="F326" s="2" t="s">
        <v>2373</v>
      </c>
      <c r="G326" s="2" t="s">
        <v>1601</v>
      </c>
      <c r="H326" s="2">
        <v>307</v>
      </c>
      <c r="I326" s="2" t="s">
        <v>1596</v>
      </c>
      <c r="J326" s="2" t="s">
        <v>1597</v>
      </c>
      <c r="K326" s="2" t="s">
        <v>1598</v>
      </c>
      <c r="L326" s="2" t="s">
        <v>1599</v>
      </c>
      <c r="M326" s="2" t="s">
        <v>1600</v>
      </c>
      <c r="N326" s="2" t="s">
        <v>16</v>
      </c>
      <c r="O326" s="2" t="s">
        <v>17</v>
      </c>
      <c r="P326" s="2" t="s">
        <v>17</v>
      </c>
      <c r="Q326" s="2" t="s">
        <v>17</v>
      </c>
      <c r="R326" s="2" t="s">
        <v>17</v>
      </c>
      <c r="S326" s="2" t="s">
        <v>16</v>
      </c>
      <c r="T326" s="3">
        <v>1000000</v>
      </c>
    </row>
    <row r="327" spans="1:20" ht="180" x14ac:dyDescent="0.2">
      <c r="A327" s="2" t="str">
        <f>VLOOKUP(B327,[1]raw_data!$B$4:$C$343,2,FALSE)</f>
        <v>Public District</v>
      </c>
      <c r="B327" s="2" t="s">
        <v>2529</v>
      </c>
      <c r="C327" s="2" t="s">
        <v>802</v>
      </c>
      <c r="D327" s="2" t="s">
        <v>82</v>
      </c>
      <c r="E327" s="2">
        <v>162</v>
      </c>
      <c r="F327" s="2" t="s">
        <v>803</v>
      </c>
      <c r="G327" s="2" t="s">
        <v>809</v>
      </c>
      <c r="H327" s="2">
        <v>20645</v>
      </c>
      <c r="I327" s="2" t="s">
        <v>804</v>
      </c>
      <c r="J327" s="2" t="s">
        <v>805</v>
      </c>
      <c r="K327" s="2" t="s">
        <v>806</v>
      </c>
      <c r="L327" s="2" t="s">
        <v>807</v>
      </c>
      <c r="M327" s="2" t="s">
        <v>808</v>
      </c>
      <c r="N327" s="2" t="s">
        <v>17</v>
      </c>
      <c r="O327" s="2" t="s">
        <v>17</v>
      </c>
      <c r="P327" s="2" t="s">
        <v>17</v>
      </c>
      <c r="Q327" s="2" t="s">
        <v>16</v>
      </c>
      <c r="R327" s="2" t="s">
        <v>16</v>
      </c>
      <c r="S327" s="2" t="s">
        <v>17</v>
      </c>
      <c r="T327" s="3">
        <v>8386034.2000000002</v>
      </c>
    </row>
    <row r="328" spans="1:20" ht="168.75" x14ac:dyDescent="0.2">
      <c r="A328" s="2" t="str">
        <f>VLOOKUP(B328,[1]raw_data!$B$4:$C$343,2,FALSE)</f>
        <v>Public District</v>
      </c>
      <c r="B328" s="2" t="s">
        <v>2636</v>
      </c>
      <c r="C328" s="2" t="s">
        <v>1719</v>
      </c>
      <c r="D328" s="2" t="s">
        <v>1705</v>
      </c>
      <c r="E328" s="2">
        <v>113</v>
      </c>
      <c r="F328" s="2" t="s">
        <v>1720</v>
      </c>
      <c r="G328" s="2" t="s">
        <v>1726</v>
      </c>
      <c r="H328" s="2">
        <v>193</v>
      </c>
      <c r="I328" s="2" t="s">
        <v>1721</v>
      </c>
      <c r="J328" s="2" t="s">
        <v>1722</v>
      </c>
      <c r="K328" s="2" t="s">
        <v>1723</v>
      </c>
      <c r="L328" s="2" t="s">
        <v>1724</v>
      </c>
      <c r="M328" s="2" t="s">
        <v>1725</v>
      </c>
      <c r="N328" s="2" t="s">
        <v>16</v>
      </c>
      <c r="O328" s="2" t="s">
        <v>17</v>
      </c>
      <c r="P328" s="2" t="s">
        <v>17</v>
      </c>
      <c r="Q328" s="2" t="s">
        <v>17</v>
      </c>
      <c r="R328" s="2" t="s">
        <v>17</v>
      </c>
      <c r="S328" s="2" t="s">
        <v>17</v>
      </c>
      <c r="T328" s="3">
        <v>417857.71</v>
      </c>
    </row>
    <row r="329" spans="1:20" ht="157.5" x14ac:dyDescent="0.2">
      <c r="A329" s="2" t="str">
        <f>VLOOKUP(B329,[1]raw_data!$B$4:$C$343,2,FALSE)</f>
        <v>Community School</v>
      </c>
      <c r="B329" s="2" t="s">
        <v>2439</v>
      </c>
      <c r="C329" s="2" t="s">
        <v>10</v>
      </c>
      <c r="D329" s="2" t="s">
        <v>11</v>
      </c>
      <c r="E329" s="2">
        <v>270</v>
      </c>
      <c r="F329" s="2" t="s">
        <v>2219</v>
      </c>
      <c r="G329" s="2" t="s">
        <v>18</v>
      </c>
      <c r="H329" s="2">
        <v>350</v>
      </c>
      <c r="I329" s="2" t="s">
        <v>12</v>
      </c>
      <c r="J329" s="2" t="s">
        <v>10</v>
      </c>
      <c r="K329" s="2" t="s">
        <v>13</v>
      </c>
      <c r="L329" s="2" t="s">
        <v>14</v>
      </c>
      <c r="M329" s="2" t="s">
        <v>15</v>
      </c>
      <c r="N329" s="2" t="s">
        <v>16</v>
      </c>
      <c r="O329" s="2" t="s">
        <v>17</v>
      </c>
      <c r="P329" s="2" t="s">
        <v>17</v>
      </c>
      <c r="Q329" s="2" t="s">
        <v>17</v>
      </c>
      <c r="R329" s="2" t="s">
        <v>17</v>
      </c>
      <c r="S329" s="2" t="s">
        <v>16</v>
      </c>
      <c r="T329" s="3">
        <v>1000000</v>
      </c>
    </row>
    <row r="330" spans="1:20" ht="157.5" x14ac:dyDescent="0.2">
      <c r="A330" s="2" t="str">
        <f>VLOOKUP(B330,[1]raw_data!$B$4:$C$343,2,FALSE)</f>
        <v>Public District</v>
      </c>
      <c r="B330" s="2" t="s">
        <v>2530</v>
      </c>
      <c r="C330" s="2" t="s">
        <v>810</v>
      </c>
      <c r="D330" s="2" t="s">
        <v>811</v>
      </c>
      <c r="E330" s="2">
        <v>257</v>
      </c>
      <c r="F330" s="2" t="s">
        <v>2284</v>
      </c>
      <c r="G330" s="2" t="s">
        <v>817</v>
      </c>
      <c r="H330" s="2">
        <v>529</v>
      </c>
      <c r="I330" s="2" t="s">
        <v>812</v>
      </c>
      <c r="J330" s="2" t="s">
        <v>813</v>
      </c>
      <c r="K330" s="2" t="s">
        <v>814</v>
      </c>
      <c r="L330" s="2" t="s">
        <v>815</v>
      </c>
      <c r="M330" s="2" t="s">
        <v>816</v>
      </c>
      <c r="N330" s="2" t="s">
        <v>17</v>
      </c>
      <c r="O330" s="2" t="s">
        <v>17</v>
      </c>
      <c r="P330" s="2" t="s">
        <v>17</v>
      </c>
      <c r="Q330" s="2" t="s">
        <v>17</v>
      </c>
      <c r="R330" s="2" t="s">
        <v>17</v>
      </c>
      <c r="S330" s="2" t="s">
        <v>16</v>
      </c>
      <c r="T330" s="3">
        <v>767090.17</v>
      </c>
    </row>
    <row r="331" spans="1:20" ht="180" x14ac:dyDescent="0.2">
      <c r="A331" s="2" t="str">
        <f>VLOOKUP(B331,[1]raw_data!$B$4:$C$343,2,FALSE)</f>
        <v>Public District</v>
      </c>
      <c r="B331" s="2" t="s">
        <v>2530</v>
      </c>
      <c r="C331" s="2" t="s">
        <v>810</v>
      </c>
      <c r="D331" s="2" t="s">
        <v>811</v>
      </c>
      <c r="E331" s="2">
        <v>258</v>
      </c>
      <c r="F331" s="2" t="s">
        <v>2285</v>
      </c>
      <c r="G331" s="2" t="s">
        <v>818</v>
      </c>
      <c r="H331" s="2">
        <v>225</v>
      </c>
      <c r="I331" s="2" t="s">
        <v>812</v>
      </c>
      <c r="J331" s="2" t="s">
        <v>813</v>
      </c>
      <c r="K331" s="2" t="s">
        <v>814</v>
      </c>
      <c r="L331" s="2" t="s">
        <v>815</v>
      </c>
      <c r="M331" s="2" t="s">
        <v>816</v>
      </c>
      <c r="N331" s="2" t="s">
        <v>16</v>
      </c>
      <c r="O331" s="2" t="s">
        <v>17</v>
      </c>
      <c r="P331" s="2" t="s">
        <v>17</v>
      </c>
      <c r="Q331" s="2" t="s">
        <v>17</v>
      </c>
      <c r="R331" s="2" t="s">
        <v>17</v>
      </c>
      <c r="S331" s="2" t="s">
        <v>16</v>
      </c>
      <c r="T331" s="3">
        <v>578355.01</v>
      </c>
    </row>
    <row r="332" spans="1:20" ht="168.75" x14ac:dyDescent="0.2">
      <c r="A332" s="2" t="str">
        <f>VLOOKUP(B332,[1]raw_data!$B$4:$C$343,2,FALSE)</f>
        <v>Public District</v>
      </c>
      <c r="B332" s="2" t="s">
        <v>2546</v>
      </c>
      <c r="C332" s="2" t="s">
        <v>957</v>
      </c>
      <c r="D332" s="2" t="s">
        <v>958</v>
      </c>
      <c r="E332" s="2">
        <v>345</v>
      </c>
      <c r="F332" s="2" t="s">
        <v>2299</v>
      </c>
      <c r="G332" s="2" t="s">
        <v>963</v>
      </c>
      <c r="H332" s="2">
        <v>1800</v>
      </c>
      <c r="I332" s="2" t="s">
        <v>959</v>
      </c>
      <c r="J332" s="2" t="s">
        <v>957</v>
      </c>
      <c r="K332" s="2" t="s">
        <v>960</v>
      </c>
      <c r="L332" s="2" t="s">
        <v>961</v>
      </c>
      <c r="M332" s="2" t="s">
        <v>962</v>
      </c>
      <c r="N332" s="2" t="s">
        <v>17</v>
      </c>
      <c r="O332" s="2" t="s">
        <v>17</v>
      </c>
      <c r="P332" s="2" t="s">
        <v>17</v>
      </c>
      <c r="Q332" s="2" t="s">
        <v>17</v>
      </c>
      <c r="R332" s="2" t="s">
        <v>17</v>
      </c>
      <c r="S332" s="2" t="s">
        <v>17</v>
      </c>
      <c r="T332" s="3">
        <v>550000</v>
      </c>
    </row>
    <row r="333" spans="1:20" ht="45" x14ac:dyDescent="0.2">
      <c r="A333" s="2" t="str">
        <f>VLOOKUP(B333,[1]raw_data!$B$4:$C$343,2,FALSE)</f>
        <v>Community School</v>
      </c>
      <c r="B333" s="2" t="s">
        <v>2444</v>
      </c>
      <c r="C333" s="2" t="s">
        <v>52</v>
      </c>
      <c r="D333" s="2" t="s">
        <v>11</v>
      </c>
      <c r="E333" s="2">
        <v>185</v>
      </c>
      <c r="F333" s="2" t="s">
        <v>2222</v>
      </c>
      <c r="G333" s="2" t="s">
        <v>57</v>
      </c>
      <c r="H333" s="2">
        <v>3476</v>
      </c>
      <c r="I333" s="2" t="s">
        <v>53</v>
      </c>
      <c r="J333" s="2" t="s">
        <v>52</v>
      </c>
      <c r="K333" s="2" t="s">
        <v>54</v>
      </c>
      <c r="L333" s="2" t="s">
        <v>55</v>
      </c>
      <c r="M333" s="2" t="s">
        <v>56</v>
      </c>
      <c r="N333" s="2" t="s">
        <v>17</v>
      </c>
      <c r="O333" s="2" t="s">
        <v>17</v>
      </c>
      <c r="P333" s="2" t="s">
        <v>17</v>
      </c>
      <c r="Q333" s="2" t="s">
        <v>16</v>
      </c>
      <c r="R333" s="2" t="s">
        <v>16</v>
      </c>
      <c r="S333" s="2" t="s">
        <v>16</v>
      </c>
      <c r="T333" s="3">
        <v>7252336.8799999999</v>
      </c>
    </row>
    <row r="334" spans="1:20" ht="45" x14ac:dyDescent="0.2">
      <c r="A334" s="2" t="str">
        <f>VLOOKUP(B334,[1]raw_data!$B$4:$C$343,2,FALSE)</f>
        <v>Public District</v>
      </c>
      <c r="B334" s="2" t="s">
        <v>2531</v>
      </c>
      <c r="C334" s="2" t="s">
        <v>819</v>
      </c>
      <c r="D334" s="2" t="s">
        <v>820</v>
      </c>
      <c r="E334" s="2">
        <v>254</v>
      </c>
      <c r="F334" s="2" t="s">
        <v>2286</v>
      </c>
      <c r="G334" s="2" t="s">
        <v>826</v>
      </c>
      <c r="H334" s="2">
        <v>750</v>
      </c>
      <c r="I334" s="2" t="s">
        <v>821</v>
      </c>
      <c r="J334" s="2" t="s">
        <v>822</v>
      </c>
      <c r="K334" s="2" t="s">
        <v>823</v>
      </c>
      <c r="L334" s="2" t="s">
        <v>824</v>
      </c>
      <c r="M334" s="2" t="s">
        <v>825</v>
      </c>
      <c r="N334" s="2" t="s">
        <v>16</v>
      </c>
      <c r="O334" s="2" t="s">
        <v>17</v>
      </c>
      <c r="P334" s="2" t="s">
        <v>17</v>
      </c>
      <c r="Q334" s="2" t="s">
        <v>17</v>
      </c>
      <c r="R334" s="2" t="s">
        <v>16</v>
      </c>
      <c r="S334" s="2" t="s">
        <v>17</v>
      </c>
      <c r="T334" s="3">
        <v>524930</v>
      </c>
    </row>
    <row r="335" spans="1:20" ht="56.25" x14ac:dyDescent="0.2">
      <c r="A335" s="2" t="str">
        <f>VLOOKUP(B335,[1]raw_data!$B$4:$C$343,2,FALSE)</f>
        <v>Public District</v>
      </c>
      <c r="B335" s="2" t="s">
        <v>2532</v>
      </c>
      <c r="C335" s="2" t="s">
        <v>827</v>
      </c>
      <c r="D335" s="2" t="s">
        <v>82</v>
      </c>
      <c r="E335" s="2">
        <v>142</v>
      </c>
      <c r="F335" s="2" t="s">
        <v>2287</v>
      </c>
      <c r="G335" s="2" t="s">
        <v>833</v>
      </c>
      <c r="H335" s="2">
        <v>16795</v>
      </c>
      <c r="I335" s="2" t="s">
        <v>828</v>
      </c>
      <c r="J335" s="2" t="s">
        <v>829</v>
      </c>
      <c r="K335" s="2" t="s">
        <v>830</v>
      </c>
      <c r="L335" s="2" t="s">
        <v>831</v>
      </c>
      <c r="M335" s="2" t="s">
        <v>832</v>
      </c>
      <c r="N335" s="2" t="s">
        <v>17</v>
      </c>
      <c r="O335" s="2" t="s">
        <v>17</v>
      </c>
      <c r="P335" s="2" t="s">
        <v>16</v>
      </c>
      <c r="Q335" s="2" t="s">
        <v>17</v>
      </c>
      <c r="R335" s="2" t="s">
        <v>16</v>
      </c>
      <c r="S335" s="2" t="s">
        <v>16</v>
      </c>
      <c r="T335" s="3">
        <v>10857226</v>
      </c>
    </row>
    <row r="336" spans="1:20" ht="135" x14ac:dyDescent="0.2">
      <c r="A336" s="2" t="str">
        <f>VLOOKUP(B336,[1]raw_data!$B$4:$C$343,2,FALSE)</f>
        <v>Public District</v>
      </c>
      <c r="B336" s="2" t="s">
        <v>2568</v>
      </c>
      <c r="C336" s="2" t="s">
        <v>1145</v>
      </c>
      <c r="D336" s="2" t="s">
        <v>1146</v>
      </c>
      <c r="E336" s="2">
        <v>163</v>
      </c>
      <c r="F336" s="2" t="s">
        <v>2321</v>
      </c>
      <c r="G336" s="2" t="s">
        <v>1152</v>
      </c>
      <c r="H336" s="2">
        <v>1165</v>
      </c>
      <c r="I336" s="2" t="s">
        <v>1147</v>
      </c>
      <c r="J336" s="2" t="s">
        <v>1148</v>
      </c>
      <c r="K336" s="2" t="s">
        <v>1149</v>
      </c>
      <c r="L336" s="2" t="s">
        <v>1150</v>
      </c>
      <c r="M336" s="2" t="s">
        <v>1151</v>
      </c>
      <c r="N336" s="2" t="s">
        <v>16</v>
      </c>
      <c r="O336" s="2" t="s">
        <v>17</v>
      </c>
      <c r="P336" s="2" t="s">
        <v>17</v>
      </c>
      <c r="Q336" s="2" t="s">
        <v>17</v>
      </c>
      <c r="R336" s="2" t="s">
        <v>17</v>
      </c>
      <c r="S336" s="2" t="s">
        <v>17</v>
      </c>
      <c r="T336" s="3">
        <v>1000000</v>
      </c>
    </row>
    <row r="337" spans="1:20" ht="123.75" x14ac:dyDescent="0.2">
      <c r="A337" s="2" t="str">
        <f>VLOOKUP(B337,[1]raw_data!$B$4:$C$343,2,FALSE)</f>
        <v>Community School</v>
      </c>
      <c r="B337" s="2" t="s">
        <v>2686</v>
      </c>
      <c r="C337" s="2" t="s">
        <v>2125</v>
      </c>
      <c r="D337" s="2" t="s">
        <v>82</v>
      </c>
      <c r="E337" s="2">
        <v>236</v>
      </c>
      <c r="F337" s="2" t="s">
        <v>2425</v>
      </c>
      <c r="G337" s="2" t="s">
        <v>2131</v>
      </c>
      <c r="H337" s="2">
        <v>1513</v>
      </c>
      <c r="I337" s="2" t="s">
        <v>2126</v>
      </c>
      <c r="J337" s="2" t="s">
        <v>2127</v>
      </c>
      <c r="K337" s="2" t="s">
        <v>2128</v>
      </c>
      <c r="L337" s="2" t="s">
        <v>2129</v>
      </c>
      <c r="M337" s="2" t="s">
        <v>2130</v>
      </c>
      <c r="N337" s="2" t="s">
        <v>17</v>
      </c>
      <c r="O337" s="2" t="s">
        <v>17</v>
      </c>
      <c r="P337" s="2" t="s">
        <v>17</v>
      </c>
      <c r="Q337" s="2" t="s">
        <v>17</v>
      </c>
      <c r="R337" s="2" t="s">
        <v>17</v>
      </c>
      <c r="S337" s="2" t="s">
        <v>17</v>
      </c>
      <c r="T337" s="3">
        <v>4265487.7</v>
      </c>
    </row>
    <row r="338" spans="1:20" ht="157.5" x14ac:dyDescent="0.2">
      <c r="A338" s="2" t="str">
        <f>VLOOKUP(B338,[1]raw_data!$B$4:$C$343,2,FALSE)</f>
        <v>Public District</v>
      </c>
      <c r="B338" s="2" t="s">
        <v>2643</v>
      </c>
      <c r="C338" s="2" t="s">
        <v>1781</v>
      </c>
      <c r="D338" s="2" t="s">
        <v>307</v>
      </c>
      <c r="E338" s="2">
        <v>157</v>
      </c>
      <c r="F338" s="2" t="s">
        <v>2391</v>
      </c>
      <c r="G338" s="2" t="s">
        <v>1787</v>
      </c>
      <c r="H338" s="2">
        <v>500</v>
      </c>
      <c r="I338" s="2" t="s">
        <v>1782</v>
      </c>
      <c r="J338" s="2" t="s">
        <v>1783</v>
      </c>
      <c r="K338" s="2" t="s">
        <v>1784</v>
      </c>
      <c r="L338" s="2" t="s">
        <v>1785</v>
      </c>
      <c r="M338" s="2" t="s">
        <v>1786</v>
      </c>
      <c r="N338" s="2" t="s">
        <v>16</v>
      </c>
      <c r="O338" s="2" t="s">
        <v>17</v>
      </c>
      <c r="P338" s="2" t="s">
        <v>17</v>
      </c>
      <c r="Q338" s="2" t="s">
        <v>16</v>
      </c>
      <c r="R338" s="2" t="s">
        <v>17</v>
      </c>
      <c r="S338" s="2" t="s">
        <v>16</v>
      </c>
      <c r="T338" s="3">
        <v>985000</v>
      </c>
    </row>
    <row r="339" spans="1:20" ht="157.5" x14ac:dyDescent="0.2">
      <c r="A339" s="2" t="str">
        <f>VLOOKUP(B339,[1]raw_data!$B$4:$C$343,2,FALSE)</f>
        <v>Public District</v>
      </c>
      <c r="B339" s="2" t="s">
        <v>2533</v>
      </c>
      <c r="C339" s="2" t="s">
        <v>834</v>
      </c>
      <c r="D339" s="2" t="s">
        <v>100</v>
      </c>
      <c r="E339" s="2">
        <v>2</v>
      </c>
      <c r="F339" s="2" t="s">
        <v>2288</v>
      </c>
      <c r="G339" s="2" t="s">
        <v>840</v>
      </c>
      <c r="H339" s="2">
        <v>900</v>
      </c>
      <c r="I339" s="2" t="s">
        <v>835</v>
      </c>
      <c r="J339" s="2" t="s">
        <v>836</v>
      </c>
      <c r="K339" s="2" t="s">
        <v>837</v>
      </c>
      <c r="L339" s="2" t="s">
        <v>838</v>
      </c>
      <c r="M339" s="2" t="s">
        <v>839</v>
      </c>
      <c r="N339" s="2" t="s">
        <v>16</v>
      </c>
      <c r="O339" s="2" t="s">
        <v>16</v>
      </c>
      <c r="P339" s="2" t="s">
        <v>17</v>
      </c>
      <c r="Q339" s="2" t="s">
        <v>17</v>
      </c>
      <c r="R339" s="2" t="s">
        <v>17</v>
      </c>
      <c r="S339" s="2" t="s">
        <v>17</v>
      </c>
      <c r="T339" s="3">
        <v>881896.08</v>
      </c>
    </row>
    <row r="340" spans="1:20" ht="101.25" x14ac:dyDescent="0.2">
      <c r="A340" s="2" t="str">
        <f>VLOOKUP(B340,[1]raw_data!$B$4:$C$343,2,FALSE)</f>
        <v>Community School</v>
      </c>
      <c r="B340" s="2" t="s">
        <v>2450</v>
      </c>
      <c r="C340" s="2" t="s">
        <v>99</v>
      </c>
      <c r="D340" s="2" t="s">
        <v>100</v>
      </c>
      <c r="E340" s="2">
        <v>243</v>
      </c>
      <c r="F340" s="2" t="s">
        <v>101</v>
      </c>
      <c r="G340" s="2" t="s">
        <v>107</v>
      </c>
      <c r="H340" s="2">
        <v>800</v>
      </c>
      <c r="I340" s="2" t="s">
        <v>102</v>
      </c>
      <c r="J340" s="2" t="s">
        <v>103</v>
      </c>
      <c r="K340" s="2" t="s">
        <v>104</v>
      </c>
      <c r="L340" s="2" t="s">
        <v>105</v>
      </c>
      <c r="M340" s="2" t="s">
        <v>106</v>
      </c>
      <c r="N340" s="2" t="s">
        <v>16</v>
      </c>
      <c r="O340" s="2" t="s">
        <v>17</v>
      </c>
      <c r="P340" s="2" t="s">
        <v>17</v>
      </c>
      <c r="Q340" s="2" t="s">
        <v>16</v>
      </c>
      <c r="R340" s="2" t="s">
        <v>16</v>
      </c>
      <c r="S340" s="2" t="s">
        <v>17</v>
      </c>
      <c r="T340" s="3">
        <v>407125.98</v>
      </c>
    </row>
  </sheetData>
  <sheetProtection password="CA83" sheet="1" objects="1" scenarios="1"/>
  <autoFilter ref="A1:T340">
    <sortState ref="A2:T340">
      <sortCondition ref="C1:C340"/>
    </sortState>
  </autoFilter>
  <pageMargins left="0.75" right="0.75" top="1" bottom="1" header="0.5" footer="0.5"/>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raw_data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SAS Output</dc:title>
  <dc:creator>Clark, Brian</dc:creator>
  <cp:lastModifiedBy>Windows User</cp:lastModifiedBy>
  <dcterms:created xsi:type="dcterms:W3CDTF">2014-04-23T13:05:00Z</dcterms:created>
  <dcterms:modified xsi:type="dcterms:W3CDTF">2014-04-29T13:21:25Z</dcterms:modified>
</cp:coreProperties>
</file>