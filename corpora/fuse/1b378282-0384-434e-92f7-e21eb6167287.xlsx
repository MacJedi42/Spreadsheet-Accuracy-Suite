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75" windowWidth="18900" windowHeight="11130" activeTab="1"/>
  </bookViews>
  <sheets>
    <sheet name="Narrative 2011-12 LEA Awards" sheetId="2" r:id="rId1"/>
    <sheet name="2011-12 Part B LEA awards" sheetId="1" r:id="rId2"/>
  </sheets>
  <externalReferences>
    <externalReference r:id="rId3"/>
  </externalReferences>
  <calcPr calcId="125725"/>
</workbook>
</file>

<file path=xl/calcChain.xml><?xml version="1.0" encoding="utf-8"?>
<calcChain xmlns="http://schemas.openxmlformats.org/spreadsheetml/2006/main">
  <c r="Q360" i="1"/>
  <c r="P401"/>
  <c r="M401"/>
  <c r="H397"/>
  <c r="G397"/>
  <c r="E397"/>
  <c r="D397"/>
  <c r="O395"/>
  <c r="J395"/>
  <c r="M395" s="1"/>
  <c r="J394"/>
  <c r="M394" s="1"/>
  <c r="O393"/>
  <c r="J393"/>
  <c r="M393" s="1"/>
  <c r="O392"/>
  <c r="J392"/>
  <c r="M392" s="1"/>
  <c r="J391"/>
  <c r="M391" s="1"/>
  <c r="O390"/>
  <c r="J390"/>
  <c r="M390" s="1"/>
  <c r="O389"/>
  <c r="J389"/>
  <c r="M389" s="1"/>
  <c r="O388"/>
  <c r="J388"/>
  <c r="M388" s="1"/>
  <c r="G386"/>
  <c r="D386"/>
  <c r="O384"/>
  <c r="N384"/>
  <c r="H384"/>
  <c r="E384"/>
  <c r="J384" s="1"/>
  <c r="O383"/>
  <c r="N383"/>
  <c r="J383"/>
  <c r="H383"/>
  <c r="E383"/>
  <c r="O382"/>
  <c r="N382"/>
  <c r="H382"/>
  <c r="E382"/>
  <c r="O381"/>
  <c r="N381"/>
  <c r="H381"/>
  <c r="E381"/>
  <c r="J381" s="1"/>
  <c r="O380"/>
  <c r="N380"/>
  <c r="H380"/>
  <c r="E380"/>
  <c r="O379"/>
  <c r="N379"/>
  <c r="H379"/>
  <c r="E379"/>
  <c r="O378"/>
  <c r="N378"/>
  <c r="H378"/>
  <c r="E378"/>
  <c r="O377"/>
  <c r="N377"/>
  <c r="H377"/>
  <c r="E377"/>
  <c r="J377" s="1"/>
  <c r="O376"/>
  <c r="N376"/>
  <c r="J376"/>
  <c r="H376"/>
  <c r="E376"/>
  <c r="O374"/>
  <c r="N371"/>
  <c r="L371"/>
  <c r="K371"/>
  <c r="H371"/>
  <c r="G371"/>
  <c r="E371"/>
  <c r="D371"/>
  <c r="D373" s="1"/>
  <c r="M369"/>
  <c r="J369"/>
  <c r="P369" s="1"/>
  <c r="O368"/>
  <c r="O394" s="1"/>
  <c r="J368"/>
  <c r="M368" s="1"/>
  <c r="J367"/>
  <c r="P367" s="1"/>
  <c r="J366"/>
  <c r="O365"/>
  <c r="O391" s="1"/>
  <c r="J365"/>
  <c r="J364"/>
  <c r="P364" s="1"/>
  <c r="Q364" s="1"/>
  <c r="J363"/>
  <c r="M363" s="1"/>
  <c r="J362"/>
  <c r="O360"/>
  <c r="U360" s="1"/>
  <c r="N360"/>
  <c r="H360"/>
  <c r="G360"/>
  <c r="E360"/>
  <c r="D360"/>
  <c r="P359"/>
  <c r="Q359" s="1"/>
  <c r="M359"/>
  <c r="P358"/>
  <c r="Q358" s="1"/>
  <c r="P356"/>
  <c r="Q356" s="1"/>
  <c r="M356"/>
  <c r="M354"/>
  <c r="P354"/>
  <c r="Q354" s="1"/>
  <c r="P352"/>
  <c r="Q352" s="1"/>
  <c r="M352"/>
  <c r="P351"/>
  <c r="Q351" s="1"/>
  <c r="M351"/>
  <c r="M350"/>
  <c r="P350"/>
  <c r="Q350" s="1"/>
  <c r="P349"/>
  <c r="Q349" s="1"/>
  <c r="M348"/>
  <c r="P346"/>
  <c r="Q346" s="1"/>
  <c r="P344"/>
  <c r="Q344" s="1"/>
  <c r="M344"/>
  <c r="P343"/>
  <c r="Q343" s="1"/>
  <c r="P341"/>
  <c r="Q341" s="1"/>
  <c r="P339"/>
  <c r="Q339" s="1"/>
  <c r="P337"/>
  <c r="Q337" s="1"/>
  <c r="M336"/>
  <c r="M334"/>
  <c r="P334"/>
  <c r="Q334" s="1"/>
  <c r="P333"/>
  <c r="Q333" s="1"/>
  <c r="P332"/>
  <c r="Q332" s="1"/>
  <c r="M332"/>
  <c r="P331"/>
  <c r="Q331" s="1"/>
  <c r="M331"/>
  <c r="P330"/>
  <c r="Q330" s="1"/>
  <c r="P326"/>
  <c r="Q326" s="1"/>
  <c r="P322"/>
  <c r="Q322" s="1"/>
  <c r="M320"/>
  <c r="Q319"/>
  <c r="P319"/>
  <c r="M319"/>
  <c r="P318"/>
  <c r="Q318" s="1"/>
  <c r="P316"/>
  <c r="Q316" s="1"/>
  <c r="M316"/>
  <c r="M314"/>
  <c r="P314"/>
  <c r="Q314" s="1"/>
  <c r="P311"/>
  <c r="Q311" s="1"/>
  <c r="P309"/>
  <c r="Q309" s="1"/>
  <c r="P308"/>
  <c r="Q308" s="1"/>
  <c r="M308"/>
  <c r="P307"/>
  <c r="Q307" s="1"/>
  <c r="M307"/>
  <c r="P305"/>
  <c r="Q305" s="1"/>
  <c r="Q304"/>
  <c r="P304"/>
  <c r="M303"/>
  <c r="P302"/>
  <c r="Q302" s="1"/>
  <c r="M299"/>
  <c r="P298"/>
  <c r="Q298" s="1"/>
  <c r="P297"/>
  <c r="Q297" s="1"/>
  <c r="P296"/>
  <c r="Q296" s="1"/>
  <c r="M296"/>
  <c r="P294"/>
  <c r="Q294" s="1"/>
  <c r="P292"/>
  <c r="Q292" s="1"/>
  <c r="M292"/>
  <c r="M290"/>
  <c r="P290"/>
  <c r="Q290" s="1"/>
  <c r="P288"/>
  <c r="Q288" s="1"/>
  <c r="M288"/>
  <c r="P287"/>
  <c r="Q287" s="1"/>
  <c r="M287"/>
  <c r="M286"/>
  <c r="P286"/>
  <c r="Q286" s="1"/>
  <c r="P285"/>
  <c r="Q285" s="1"/>
  <c r="M284"/>
  <c r="P282"/>
  <c r="Q282" s="1"/>
  <c r="P280"/>
  <c r="Q280" s="1"/>
  <c r="M280"/>
  <c r="P279"/>
  <c r="Q279" s="1"/>
  <c r="P277"/>
  <c r="Q277" s="1"/>
  <c r="P273"/>
  <c r="Q273" s="1"/>
  <c r="M272"/>
  <c r="P270"/>
  <c r="Q270" s="1"/>
  <c r="P269"/>
  <c r="Q269" s="1"/>
  <c r="P268"/>
  <c r="Q268" s="1"/>
  <c r="M268"/>
  <c r="P267"/>
  <c r="Q267" s="1"/>
  <c r="M267"/>
  <c r="P266"/>
  <c r="Q266" s="1"/>
  <c r="P262"/>
  <c r="Q262" s="1"/>
  <c r="P258"/>
  <c r="Q258" s="1"/>
  <c r="M256"/>
  <c r="M255"/>
  <c r="P254"/>
  <c r="Q254" s="1"/>
  <c r="P252"/>
  <c r="Q252" s="1"/>
  <c r="M252"/>
  <c r="P250"/>
  <c r="Q250" s="1"/>
  <c r="P247"/>
  <c r="Q247" s="1"/>
  <c r="P245"/>
  <c r="Q245" s="1"/>
  <c r="P244"/>
  <c r="Q244" s="1"/>
  <c r="M244"/>
  <c r="M243"/>
  <c r="P243"/>
  <c r="Q243" s="1"/>
  <c r="P241"/>
  <c r="Q241" s="1"/>
  <c r="P240"/>
  <c r="Q240" s="1"/>
  <c r="M240"/>
  <c r="M239"/>
  <c r="P238"/>
  <c r="Q238" s="1"/>
  <c r="Q235"/>
  <c r="P235"/>
  <c r="M235"/>
  <c r="P233"/>
  <c r="Q233" s="1"/>
  <c r="M232"/>
  <c r="P230"/>
  <c r="Q230" s="1"/>
  <c r="M228"/>
  <c r="P226"/>
  <c r="Q226" s="1"/>
  <c r="P224"/>
  <c r="Q224" s="1"/>
  <c r="M224"/>
  <c r="M223"/>
  <c r="P223"/>
  <c r="Q223" s="1"/>
  <c r="P222"/>
  <c r="Q222" s="1"/>
  <c r="P221"/>
  <c r="Q221" s="1"/>
  <c r="P220"/>
  <c r="Q220" s="1"/>
  <c r="M220"/>
  <c r="P218"/>
  <c r="Q218" s="1"/>
  <c r="P215"/>
  <c r="Q215" s="1"/>
  <c r="Q213"/>
  <c r="P213"/>
  <c r="P212"/>
  <c r="Q212" s="1"/>
  <c r="P211"/>
  <c r="Q211" s="1"/>
  <c r="M211"/>
  <c r="M207"/>
  <c r="M206"/>
  <c r="P206"/>
  <c r="Q206" s="1"/>
  <c r="P205"/>
  <c r="Q205" s="1"/>
  <c r="M204"/>
  <c r="Q203"/>
  <c r="P203"/>
  <c r="M203"/>
  <c r="P201"/>
  <c r="Q201" s="1"/>
  <c r="P200"/>
  <c r="Q200" s="1"/>
  <c r="M200"/>
  <c r="P198"/>
  <c r="Q198" s="1"/>
  <c r="P196"/>
  <c r="Q196" s="1"/>
  <c r="M196"/>
  <c r="M194"/>
  <c r="P194"/>
  <c r="Q194" s="1"/>
  <c r="P192"/>
  <c r="Q192" s="1"/>
  <c r="M192"/>
  <c r="P191"/>
  <c r="Q191" s="1"/>
  <c r="M191"/>
  <c r="M190"/>
  <c r="P190"/>
  <c r="Q190" s="1"/>
  <c r="P189"/>
  <c r="Q189" s="1"/>
  <c r="M188"/>
  <c r="P186"/>
  <c r="Q186" s="1"/>
  <c r="M184"/>
  <c r="P181"/>
  <c r="Q181" s="1"/>
  <c r="P179"/>
  <c r="Q179" s="1"/>
  <c r="P177"/>
  <c r="Q177" s="1"/>
  <c r="M176"/>
  <c r="M174"/>
  <c r="P174"/>
  <c r="Q174" s="1"/>
  <c r="P173"/>
  <c r="Q173" s="1"/>
  <c r="P172"/>
  <c r="Q172" s="1"/>
  <c r="M172"/>
  <c r="P171"/>
  <c r="Q171" s="1"/>
  <c r="M171"/>
  <c r="M170"/>
  <c r="P169"/>
  <c r="Q169" s="1"/>
  <c r="M169"/>
  <c r="M168"/>
  <c r="M163"/>
  <c r="M160"/>
  <c r="M157"/>
  <c r="P156"/>
  <c r="Q156" s="1"/>
  <c r="M154"/>
  <c r="M145"/>
  <c r="M144"/>
  <c r="M141"/>
  <c r="P140"/>
  <c r="Q140" s="1"/>
  <c r="M140"/>
  <c r="M139"/>
  <c r="P139"/>
  <c r="Q139" s="1"/>
  <c r="M138"/>
  <c r="M137"/>
  <c r="M135"/>
  <c r="P134"/>
  <c r="Q134" s="1"/>
  <c r="M134"/>
  <c r="P133"/>
  <c r="Q133" s="1"/>
  <c r="P131"/>
  <c r="Q131" s="1"/>
  <c r="P130"/>
  <c r="Q130" s="1"/>
  <c r="P128"/>
  <c r="Q128" s="1"/>
  <c r="M128"/>
  <c r="P127"/>
  <c r="Q127" s="1"/>
  <c r="P125"/>
  <c r="Q125" s="1"/>
  <c r="P124"/>
  <c r="Q124" s="1"/>
  <c r="P122"/>
  <c r="Q122" s="1"/>
  <c r="M122"/>
  <c r="P121"/>
  <c r="Q121" s="1"/>
  <c r="P119"/>
  <c r="Q119" s="1"/>
  <c r="M119"/>
  <c r="M112"/>
  <c r="P110"/>
  <c r="Q110" s="1"/>
  <c r="M110"/>
  <c r="M109"/>
  <c r="M108"/>
  <c r="P107"/>
  <c r="Q107" s="1"/>
  <c r="M107"/>
  <c r="P105"/>
  <c r="Q105" s="1"/>
  <c r="M105"/>
  <c r="M104"/>
  <c r="M99"/>
  <c r="P95"/>
  <c r="Q95" s="1"/>
  <c r="M93"/>
  <c r="P90"/>
  <c r="Q90" s="1"/>
  <c r="M90"/>
  <c r="P87"/>
  <c r="Q87" s="1"/>
  <c r="M87"/>
  <c r="M84"/>
  <c r="M81"/>
  <c r="M80"/>
  <c r="P78"/>
  <c r="Q78" s="1"/>
  <c r="M78"/>
  <c r="M77"/>
  <c r="M76"/>
  <c r="M75"/>
  <c r="P75"/>
  <c r="Q75" s="1"/>
  <c r="M74"/>
  <c r="M73"/>
  <c r="P73"/>
  <c r="Q73" s="1"/>
  <c r="P72"/>
  <c r="Q72" s="1"/>
  <c r="M72"/>
  <c r="M71"/>
  <c r="P70"/>
  <c r="Q70" s="1"/>
  <c r="M70"/>
  <c r="P69"/>
  <c r="Q69" s="1"/>
  <c r="P67"/>
  <c r="Q67" s="1"/>
  <c r="M67"/>
  <c r="P66"/>
  <c r="Q66" s="1"/>
  <c r="P64"/>
  <c r="Q64" s="1"/>
  <c r="M64"/>
  <c r="P63"/>
  <c r="Q63" s="1"/>
  <c r="P61"/>
  <c r="Q61" s="1"/>
  <c r="M61"/>
  <c r="P60"/>
  <c r="Q60" s="1"/>
  <c r="P58"/>
  <c r="Q58" s="1"/>
  <c r="M58"/>
  <c r="P55"/>
  <c r="Q55" s="1"/>
  <c r="M55"/>
  <c r="M52"/>
  <c r="M49"/>
  <c r="P46"/>
  <c r="Q46" s="1"/>
  <c r="M46"/>
  <c r="M43"/>
  <c r="M41"/>
  <c r="M39"/>
  <c r="P37"/>
  <c r="Q37" s="1"/>
  <c r="M36"/>
  <c r="P35"/>
  <c r="Q35" s="1"/>
  <c r="Q34"/>
  <c r="P34"/>
  <c r="P33"/>
  <c r="M32"/>
  <c r="P31"/>
  <c r="Q31" s="1"/>
  <c r="P29"/>
  <c r="Q29" s="1"/>
  <c r="M28"/>
  <c r="P27"/>
  <c r="Q27" s="1"/>
  <c r="Q26"/>
  <c r="P26"/>
  <c r="P25"/>
  <c r="Q25" s="1"/>
  <c r="M24"/>
  <c r="P23"/>
  <c r="Q23" s="1"/>
  <c r="P21"/>
  <c r="Q21" s="1"/>
  <c r="M20"/>
  <c r="P19"/>
  <c r="Q19" s="1"/>
  <c r="Q18"/>
  <c r="P18"/>
  <c r="P17"/>
  <c r="Q17" s="1"/>
  <c r="M16"/>
  <c r="P15"/>
  <c r="Q15" s="1"/>
  <c r="P13"/>
  <c r="Q13" s="1"/>
  <c r="M12"/>
  <c r="P11"/>
  <c r="Q11" s="1"/>
  <c r="Q10"/>
  <c r="P10"/>
  <c r="P9"/>
  <c r="H5"/>
  <c r="J380" l="1"/>
  <c r="E373"/>
  <c r="M367"/>
  <c r="J382"/>
  <c r="J378"/>
  <c r="G399"/>
  <c r="N373"/>
  <c r="M251"/>
  <c r="P102"/>
  <c r="Q102" s="1"/>
  <c r="P166"/>
  <c r="Q166" s="1"/>
  <c r="P275"/>
  <c r="Q275" s="1"/>
  <c r="O371"/>
  <c r="O373" s="1"/>
  <c r="O375" s="1"/>
  <c r="M14"/>
  <c r="M22"/>
  <c r="M30"/>
  <c r="M38"/>
  <c r="P41"/>
  <c r="Q41" s="1"/>
  <c r="P43"/>
  <c r="Q43" s="1"/>
  <c r="M45"/>
  <c r="P93"/>
  <c r="Q93" s="1"/>
  <c r="P96"/>
  <c r="Q96" s="1"/>
  <c r="P99"/>
  <c r="Q99" s="1"/>
  <c r="M102"/>
  <c r="M106"/>
  <c r="M116"/>
  <c r="M127"/>
  <c r="P137"/>
  <c r="Q137" s="1"/>
  <c r="M142"/>
  <c r="M151"/>
  <c r="P154"/>
  <c r="Q154" s="1"/>
  <c r="P157"/>
  <c r="P163"/>
  <c r="Q163" s="1"/>
  <c r="M166"/>
  <c r="M175"/>
  <c r="P180"/>
  <c r="Q180" s="1"/>
  <c r="P183"/>
  <c r="Q183" s="1"/>
  <c r="P209"/>
  <c r="Q209" s="1"/>
  <c r="M212"/>
  <c r="P236"/>
  <c r="Q236" s="1"/>
  <c r="M250"/>
  <c r="P253"/>
  <c r="Q253" s="1"/>
  <c r="P255"/>
  <c r="Q255" s="1"/>
  <c r="M258"/>
  <c r="P265"/>
  <c r="Q265" s="1"/>
  <c r="M270"/>
  <c r="M275"/>
  <c r="P299"/>
  <c r="Q299" s="1"/>
  <c r="P301"/>
  <c r="Q301" s="1"/>
  <c r="M304"/>
  <c r="P312"/>
  <c r="Q312" s="1"/>
  <c r="M318"/>
  <c r="P324"/>
  <c r="Q324" s="1"/>
  <c r="P328"/>
  <c r="Q328" s="1"/>
  <c r="M335"/>
  <c r="P340"/>
  <c r="Q340" s="1"/>
  <c r="M397"/>
  <c r="H373"/>
  <c r="P14"/>
  <c r="Q14" s="1"/>
  <c r="P22"/>
  <c r="Q22" s="1"/>
  <c r="P30"/>
  <c r="Q30" s="1"/>
  <c r="P38"/>
  <c r="Q38" s="1"/>
  <c r="P142"/>
  <c r="Q142" s="1"/>
  <c r="P151"/>
  <c r="Q151" s="1"/>
  <c r="M48"/>
  <c r="M96"/>
  <c r="P104"/>
  <c r="Q104" s="1"/>
  <c r="P108"/>
  <c r="Q108" s="1"/>
  <c r="P160"/>
  <c r="Q160" s="1"/>
  <c r="P168"/>
  <c r="Q168" s="1"/>
  <c r="M180"/>
  <c r="M186"/>
  <c r="P204"/>
  <c r="Q204" s="1"/>
  <c r="M215"/>
  <c r="M218"/>
  <c r="M226"/>
  <c r="M236"/>
  <c r="M238"/>
  <c r="P272"/>
  <c r="Q272" s="1"/>
  <c r="M277"/>
  <c r="P284"/>
  <c r="Q284" s="1"/>
  <c r="M312"/>
  <c r="P320"/>
  <c r="Q320" s="1"/>
  <c r="M324"/>
  <c r="M328"/>
  <c r="M340"/>
  <c r="M346"/>
  <c r="M364"/>
  <c r="P368"/>
  <c r="Q368" s="1"/>
  <c r="M183"/>
  <c r="M315"/>
  <c r="P390"/>
  <c r="M66"/>
  <c r="O386"/>
  <c r="M10"/>
  <c r="M18"/>
  <c r="M26"/>
  <c r="M34"/>
  <c r="M42"/>
  <c r="P44"/>
  <c r="Q44" s="1"/>
  <c r="P98"/>
  <c r="Q98" s="1"/>
  <c r="P101"/>
  <c r="Q101" s="1"/>
  <c r="M103"/>
  <c r="M113"/>
  <c r="M125"/>
  <c r="M131"/>
  <c r="P136"/>
  <c r="Q136" s="1"/>
  <c r="P159"/>
  <c r="Q159" s="1"/>
  <c r="P162"/>
  <c r="Q162" s="1"/>
  <c r="P165"/>
  <c r="Q165" s="1"/>
  <c r="M167"/>
  <c r="M179"/>
  <c r="P208"/>
  <c r="Q208" s="1"/>
  <c r="P216"/>
  <c r="Q216" s="1"/>
  <c r="P237"/>
  <c r="Q237" s="1"/>
  <c r="P248"/>
  <c r="Q248" s="1"/>
  <c r="M254"/>
  <c r="P260"/>
  <c r="Q260" s="1"/>
  <c r="P264"/>
  <c r="Q264" s="1"/>
  <c r="M271"/>
  <c r="P276"/>
  <c r="Q276" s="1"/>
  <c r="P300"/>
  <c r="Q300" s="1"/>
  <c r="P317"/>
  <c r="Q317" s="1"/>
  <c r="M322"/>
  <c r="P329"/>
  <c r="Q329" s="1"/>
  <c r="M339"/>
  <c r="P363"/>
  <c r="E386"/>
  <c r="E399" s="1"/>
  <c r="M44"/>
  <c r="P76"/>
  <c r="Q76" s="1"/>
  <c r="M95"/>
  <c r="M136"/>
  <c r="M148"/>
  <c r="P176"/>
  <c r="Q176" s="1"/>
  <c r="M181"/>
  <c r="P184"/>
  <c r="Q184" s="1"/>
  <c r="P188"/>
  <c r="Q188" s="1"/>
  <c r="M208"/>
  <c r="M216"/>
  <c r="M222"/>
  <c r="P228"/>
  <c r="Q228" s="1"/>
  <c r="P232"/>
  <c r="Q232" s="1"/>
  <c r="M248"/>
  <c r="P256"/>
  <c r="Q256" s="1"/>
  <c r="M260"/>
  <c r="M264"/>
  <c r="M276"/>
  <c r="M282"/>
  <c r="M300"/>
  <c r="M302"/>
  <c r="P336"/>
  <c r="Q336" s="1"/>
  <c r="P348"/>
  <c r="Q348" s="1"/>
  <c r="O397"/>
  <c r="P59"/>
  <c r="Q59" s="1"/>
  <c r="P115"/>
  <c r="Q115" s="1"/>
  <c r="M115"/>
  <c r="M225"/>
  <c r="P291"/>
  <c r="Q291" s="1"/>
  <c r="M291"/>
  <c r="P338"/>
  <c r="Q338" s="1"/>
  <c r="P355"/>
  <c r="Q355" s="1"/>
  <c r="M355"/>
  <c r="M366"/>
  <c r="P366"/>
  <c r="M40"/>
  <c r="M56"/>
  <c r="P56"/>
  <c r="Q56" s="1"/>
  <c r="M92"/>
  <c r="M114"/>
  <c r="P114"/>
  <c r="Q114" s="1"/>
  <c r="M117"/>
  <c r="P117"/>
  <c r="Q117" s="1"/>
  <c r="M153"/>
  <c r="M155"/>
  <c r="P155"/>
  <c r="Q155" s="1"/>
  <c r="Q157"/>
  <c r="P195"/>
  <c r="Q195" s="1"/>
  <c r="M195"/>
  <c r="M197"/>
  <c r="P197"/>
  <c r="Q197" s="1"/>
  <c r="P227"/>
  <c r="Q227" s="1"/>
  <c r="M227"/>
  <c r="M229"/>
  <c r="P229"/>
  <c r="Q229" s="1"/>
  <c r="M263"/>
  <c r="P263"/>
  <c r="Q263" s="1"/>
  <c r="M293"/>
  <c r="P293"/>
  <c r="Q293" s="1"/>
  <c r="M327"/>
  <c r="P327"/>
  <c r="Q327" s="1"/>
  <c r="M357"/>
  <c r="P357"/>
  <c r="Q357" s="1"/>
  <c r="P362"/>
  <c r="M362"/>
  <c r="J371"/>
  <c r="Q9"/>
  <c r="Q33"/>
  <c r="P51"/>
  <c r="Q51" s="1"/>
  <c r="M51"/>
  <c r="P54"/>
  <c r="Q54" s="1"/>
  <c r="M54"/>
  <c r="M68"/>
  <c r="P68"/>
  <c r="Q68" s="1"/>
  <c r="M94"/>
  <c r="P94"/>
  <c r="Q94" s="1"/>
  <c r="M111"/>
  <c r="P111"/>
  <c r="Q111" s="1"/>
  <c r="M152"/>
  <c r="P152"/>
  <c r="Q152" s="1"/>
  <c r="M257"/>
  <c r="P257"/>
  <c r="Q257" s="1"/>
  <c r="P278"/>
  <c r="M278"/>
  <c r="M321"/>
  <c r="P321"/>
  <c r="Q321" s="1"/>
  <c r="P342"/>
  <c r="Q342" s="1"/>
  <c r="M342"/>
  <c r="M365"/>
  <c r="P365"/>
  <c r="P395"/>
  <c r="Q369"/>
  <c r="P89"/>
  <c r="Q89" s="1"/>
  <c r="M130"/>
  <c r="M279"/>
  <c r="M343"/>
  <c r="P158"/>
  <c r="Q158" s="1"/>
  <c r="M193"/>
  <c r="M11"/>
  <c r="M15"/>
  <c r="M27"/>
  <c r="M31"/>
  <c r="M53"/>
  <c r="P53"/>
  <c r="Q53" s="1"/>
  <c r="M89"/>
  <c r="P150"/>
  <c r="Q150" s="1"/>
  <c r="M150"/>
  <c r="P202"/>
  <c r="Q202" s="1"/>
  <c r="M202"/>
  <c r="M88"/>
  <c r="P88"/>
  <c r="Q88" s="1"/>
  <c r="M149"/>
  <c r="P149"/>
  <c r="Q149" s="1"/>
  <c r="P178"/>
  <c r="Q178" s="1"/>
  <c r="M178"/>
  <c r="P182"/>
  <c r="Q182" s="1"/>
  <c r="M182"/>
  <c r="P214"/>
  <c r="Q214" s="1"/>
  <c r="M214"/>
  <c r="P242"/>
  <c r="M37"/>
  <c r="M126"/>
  <c r="P126"/>
  <c r="Q126" s="1"/>
  <c r="M261"/>
  <c r="P261"/>
  <c r="Q261" s="1"/>
  <c r="M162"/>
  <c r="M283"/>
  <c r="M347"/>
  <c r="M25"/>
  <c r="M63"/>
  <c r="M247"/>
  <c r="M311"/>
  <c r="P118"/>
  <c r="Q118" s="1"/>
  <c r="M118"/>
  <c r="P274"/>
  <c r="Q274" s="1"/>
  <c r="M274"/>
  <c r="M164"/>
  <c r="P164"/>
  <c r="Q164" s="1"/>
  <c r="M185"/>
  <c r="P185"/>
  <c r="Q185" s="1"/>
  <c r="M217"/>
  <c r="P217"/>
  <c r="Q217" s="1"/>
  <c r="P234"/>
  <c r="Q234" s="1"/>
  <c r="M234"/>
  <c r="M47"/>
  <c r="P47"/>
  <c r="Q47" s="1"/>
  <c r="M124"/>
  <c r="M146"/>
  <c r="P146"/>
  <c r="Q146" s="1"/>
  <c r="P259"/>
  <c r="Q259" s="1"/>
  <c r="M259"/>
  <c r="P306"/>
  <c r="Q306" s="1"/>
  <c r="M306"/>
  <c r="J360"/>
  <c r="M9"/>
  <c r="M65"/>
  <c r="P65"/>
  <c r="Q65" s="1"/>
  <c r="P86"/>
  <c r="Q86" s="1"/>
  <c r="M86"/>
  <c r="M199"/>
  <c r="P199"/>
  <c r="Q199" s="1"/>
  <c r="M325"/>
  <c r="P325"/>
  <c r="Q325" s="1"/>
  <c r="M60"/>
  <c r="M123"/>
  <c r="P123"/>
  <c r="Q123" s="1"/>
  <c r="M187"/>
  <c r="P187"/>
  <c r="Q187" s="1"/>
  <c r="M219"/>
  <c r="P219"/>
  <c r="Q219" s="1"/>
  <c r="M289"/>
  <c r="P289"/>
  <c r="Q289" s="1"/>
  <c r="P310"/>
  <c r="Q310" s="1"/>
  <c r="M310"/>
  <c r="M353"/>
  <c r="P353"/>
  <c r="Q353" s="1"/>
  <c r="M17"/>
  <c r="G373"/>
  <c r="P97"/>
  <c r="Q97" s="1"/>
  <c r="M132"/>
  <c r="P132"/>
  <c r="Q132" s="1"/>
  <c r="M19"/>
  <c r="M50"/>
  <c r="P50"/>
  <c r="Q50" s="1"/>
  <c r="M91"/>
  <c r="P91"/>
  <c r="M129"/>
  <c r="P129"/>
  <c r="Q129" s="1"/>
  <c r="P147"/>
  <c r="Q147" s="1"/>
  <c r="P210"/>
  <c r="Q210" s="1"/>
  <c r="M210"/>
  <c r="P323"/>
  <c r="Q323" s="1"/>
  <c r="M323"/>
  <c r="P83"/>
  <c r="Q83" s="1"/>
  <c r="M83"/>
  <c r="M100"/>
  <c r="P100"/>
  <c r="Q100" s="1"/>
  <c r="M143"/>
  <c r="P143"/>
  <c r="Q143" s="1"/>
  <c r="M231"/>
  <c r="P231"/>
  <c r="Q231" s="1"/>
  <c r="M295"/>
  <c r="P295"/>
  <c r="Q295" s="1"/>
  <c r="M82"/>
  <c r="P82"/>
  <c r="Q82" s="1"/>
  <c r="M85"/>
  <c r="P85"/>
  <c r="Q85" s="1"/>
  <c r="M121"/>
  <c r="M161"/>
  <c r="P161"/>
  <c r="Q161" s="1"/>
  <c r="P246"/>
  <c r="Q246" s="1"/>
  <c r="M246"/>
  <c r="M62"/>
  <c r="P62"/>
  <c r="Q62" s="1"/>
  <c r="M79"/>
  <c r="P79"/>
  <c r="Q79" s="1"/>
  <c r="M120"/>
  <c r="P120"/>
  <c r="Q120" s="1"/>
  <c r="M156"/>
  <c r="P393"/>
  <c r="Q367"/>
  <c r="N386"/>
  <c r="J397"/>
  <c r="H386"/>
  <c r="H399" s="1"/>
  <c r="M13"/>
  <c r="M21"/>
  <c r="M29"/>
  <c r="M33"/>
  <c r="P57"/>
  <c r="Q57" s="1"/>
  <c r="M98"/>
  <c r="M159"/>
  <c r="P40"/>
  <c r="Q40" s="1"/>
  <c r="M57"/>
  <c r="M59"/>
  <c r="P92"/>
  <c r="Q92" s="1"/>
  <c r="M97"/>
  <c r="P153"/>
  <c r="Q153" s="1"/>
  <c r="L380"/>
  <c r="P193"/>
  <c r="Q193" s="1"/>
  <c r="P225"/>
  <c r="Q225" s="1"/>
  <c r="M249"/>
  <c r="M281"/>
  <c r="M313"/>
  <c r="M345"/>
  <c r="M173"/>
  <c r="M205"/>
  <c r="M237"/>
  <c r="M269"/>
  <c r="M301"/>
  <c r="M333"/>
  <c r="P49"/>
  <c r="Q49" s="1"/>
  <c r="P52"/>
  <c r="Q52" s="1"/>
  <c r="M69"/>
  <c r="P81"/>
  <c r="Q81" s="1"/>
  <c r="P84"/>
  <c r="Q84" s="1"/>
  <c r="M101"/>
  <c r="P113"/>
  <c r="Q113" s="1"/>
  <c r="P116"/>
  <c r="Q116" s="1"/>
  <c r="M133"/>
  <c r="P145"/>
  <c r="Q145" s="1"/>
  <c r="P148"/>
  <c r="Q148" s="1"/>
  <c r="M165"/>
  <c r="M198"/>
  <c r="M230"/>
  <c r="M262"/>
  <c r="M294"/>
  <c r="M326"/>
  <c r="M358"/>
  <c r="M233"/>
  <c r="M265"/>
  <c r="M297"/>
  <c r="M329"/>
  <c r="D399"/>
  <c r="P251"/>
  <c r="Q251" s="1"/>
  <c r="P283"/>
  <c r="Q283" s="1"/>
  <c r="P315"/>
  <c r="Q315" s="1"/>
  <c r="P347"/>
  <c r="Q347" s="1"/>
  <c r="M213"/>
  <c r="M341"/>
  <c r="M189"/>
  <c r="M221"/>
  <c r="M253"/>
  <c r="M285"/>
  <c r="M317"/>
  <c r="M349"/>
  <c r="P20"/>
  <c r="Q20" s="1"/>
  <c r="P36"/>
  <c r="Q36" s="1"/>
  <c r="P39"/>
  <c r="Q39" s="1"/>
  <c r="P42"/>
  <c r="Q42" s="1"/>
  <c r="P71"/>
  <c r="Q71" s="1"/>
  <c r="P135"/>
  <c r="P138"/>
  <c r="Q138" s="1"/>
  <c r="P167"/>
  <c r="Q167" s="1"/>
  <c r="P207"/>
  <c r="Q207" s="1"/>
  <c r="P239"/>
  <c r="Q239" s="1"/>
  <c r="P271"/>
  <c r="Q271" s="1"/>
  <c r="P303"/>
  <c r="Q303" s="1"/>
  <c r="P335"/>
  <c r="Q335" s="1"/>
  <c r="M245"/>
  <c r="M309"/>
  <c r="M201"/>
  <c r="M177"/>
  <c r="M209"/>
  <c r="M241"/>
  <c r="M273"/>
  <c r="M305"/>
  <c r="M337"/>
  <c r="P12"/>
  <c r="Q12" s="1"/>
  <c r="P16"/>
  <c r="Q16" s="1"/>
  <c r="P24"/>
  <c r="Q24" s="1"/>
  <c r="P28"/>
  <c r="Q28" s="1"/>
  <c r="P32"/>
  <c r="Q32" s="1"/>
  <c r="P74"/>
  <c r="Q74" s="1"/>
  <c r="P103"/>
  <c r="Q103" s="1"/>
  <c r="P106"/>
  <c r="Q106" s="1"/>
  <c r="P170"/>
  <c r="Q170" s="1"/>
  <c r="P175"/>
  <c r="Q175" s="1"/>
  <c r="P45"/>
  <c r="Q45" s="1"/>
  <c r="P48"/>
  <c r="Q48" s="1"/>
  <c r="P77"/>
  <c r="Q77" s="1"/>
  <c r="P80"/>
  <c r="Q80" s="1"/>
  <c r="P109"/>
  <c r="Q109" s="1"/>
  <c r="P112"/>
  <c r="Q112" s="1"/>
  <c r="P141"/>
  <c r="Q141" s="1"/>
  <c r="P144"/>
  <c r="Q144" s="1"/>
  <c r="P249"/>
  <c r="Q249" s="1"/>
  <c r="M266"/>
  <c r="P281"/>
  <c r="Q281" s="1"/>
  <c r="M298"/>
  <c r="P313"/>
  <c r="Q313" s="1"/>
  <c r="M330"/>
  <c r="P345"/>
  <c r="Q345" s="1"/>
  <c r="J379"/>
  <c r="J386" l="1"/>
  <c r="J399" s="1"/>
  <c r="O399"/>
  <c r="P394"/>
  <c r="M371"/>
  <c r="L376"/>
  <c r="L379"/>
  <c r="L377"/>
  <c r="L382"/>
  <c r="L384"/>
  <c r="P384"/>
  <c r="Q384" s="1"/>
  <c r="P389"/>
  <c r="Q363"/>
  <c r="M378"/>
  <c r="P379"/>
  <c r="Q379" s="1"/>
  <c r="Q135"/>
  <c r="Q278"/>
  <c r="P383"/>
  <c r="Q383" s="1"/>
  <c r="Q362"/>
  <c r="P371"/>
  <c r="P388"/>
  <c r="M242"/>
  <c r="M382" s="1"/>
  <c r="L381"/>
  <c r="P377"/>
  <c r="Q377" s="1"/>
  <c r="M338"/>
  <c r="M147"/>
  <c r="M379" s="1"/>
  <c r="L383"/>
  <c r="Q91"/>
  <c r="P378"/>
  <c r="Q378" s="1"/>
  <c r="P391"/>
  <c r="Q365"/>
  <c r="P392"/>
  <c r="Q366"/>
  <c r="M23"/>
  <c r="M376" s="1"/>
  <c r="L360"/>
  <c r="L373" s="1"/>
  <c r="M35"/>
  <c r="M377" s="1"/>
  <c r="M158"/>
  <c r="M380" s="1"/>
  <c r="J373"/>
  <c r="P382"/>
  <c r="Q382" s="1"/>
  <c r="Q242"/>
  <c r="P360"/>
  <c r="M383"/>
  <c r="L378"/>
  <c r="P380"/>
  <c r="Q380" s="1"/>
  <c r="P381"/>
  <c r="Q381" s="1"/>
  <c r="M381"/>
  <c r="M384"/>
  <c r="P376"/>
  <c r="Q376" s="1"/>
  <c r="L386" l="1"/>
  <c r="L399" s="1"/>
  <c r="M360"/>
  <c r="M373" s="1"/>
  <c r="Q371"/>
  <c r="P373"/>
  <c r="Q373" s="1"/>
  <c r="M386"/>
  <c r="M399" s="1"/>
  <c r="P397"/>
  <c r="P399" s="1"/>
  <c r="P386"/>
  <c r="Q386" s="1"/>
</calcChain>
</file>

<file path=xl/sharedStrings.xml><?xml version="1.0" encoding="utf-8"?>
<sst xmlns="http://schemas.openxmlformats.org/spreadsheetml/2006/main" count="1218" uniqueCount="810">
  <si>
    <t>A</t>
  </si>
  <si>
    <t>B</t>
  </si>
  <si>
    <t>C</t>
  </si>
  <si>
    <t>D</t>
  </si>
  <si>
    <t>E</t>
  </si>
  <si>
    <t>F</t>
  </si>
  <si>
    <t>G</t>
  </si>
  <si>
    <t>H</t>
  </si>
  <si>
    <t>I</t>
  </si>
  <si>
    <t>J</t>
  </si>
  <si>
    <t>K</t>
  </si>
  <si>
    <t>L</t>
  </si>
  <si>
    <t>M</t>
  </si>
  <si>
    <t>N</t>
  </si>
  <si>
    <t>O</t>
  </si>
  <si>
    <t>P</t>
  </si>
  <si>
    <t>Q</t>
  </si>
  <si>
    <t>R</t>
  </si>
  <si>
    <t>AEA</t>
  </si>
  <si>
    <t>District</t>
  </si>
  <si>
    <t xml:space="preserve"> District Name</t>
  </si>
  <si>
    <t>Poverty Factor       11-12</t>
  </si>
  <si>
    <t>Part B 611 Poverty Estimate for  2011-12</t>
  </si>
  <si>
    <t>Population Factor             11-12</t>
  </si>
  <si>
    <t>Part B 611 Population Estimate for  2011-12</t>
  </si>
  <si>
    <t>Part B 611 Formula Amount 2011-12</t>
  </si>
  <si>
    <t>Non Public Proportionate Share (NPPS)</t>
  </si>
  <si>
    <t>NPPS to AEA</t>
  </si>
  <si>
    <t>Net Award to LEA</t>
  </si>
  <si>
    <t>15% Coordinated Early Intervening Services Maximum</t>
  </si>
  <si>
    <t>2010-11 FORMULA</t>
  </si>
  <si>
    <t>CHANGE 10-11 TO 11-12</t>
  </si>
  <si>
    <t>Percent Change</t>
  </si>
  <si>
    <t>2011-12 Awards</t>
  </si>
  <si>
    <t>FORMULA</t>
  </si>
  <si>
    <t>Percent</t>
  </si>
  <si>
    <t>CEIS</t>
  </si>
  <si>
    <t>TOTAL</t>
  </si>
  <si>
    <t>IDEA, Part B  (CFDA 84.027)</t>
  </si>
  <si>
    <t xml:space="preserve"> + E  +  H</t>
  </si>
  <si>
    <t>2011-12</t>
  </si>
  <si>
    <t>+ J x .15</t>
  </si>
  <si>
    <t xml:space="preserve"> + J -  P</t>
  </si>
  <si>
    <t xml:space="preserve">Formula </t>
  </si>
  <si>
    <t xml:space="preserve">Required </t>
  </si>
  <si>
    <t>less NPPS</t>
  </si>
  <si>
    <t>01</t>
  </si>
  <si>
    <t>0135</t>
  </si>
  <si>
    <t>Allamakee</t>
  </si>
  <si>
    <t>1080</t>
  </si>
  <si>
    <t>Central</t>
  </si>
  <si>
    <t>1638</t>
  </si>
  <si>
    <t>Decorah Community</t>
  </si>
  <si>
    <t>1863</t>
  </si>
  <si>
    <t>Dubuque</t>
  </si>
  <si>
    <t>1972</t>
  </si>
  <si>
    <t>Eastern Allamakee</t>
  </si>
  <si>
    <t>1989</t>
  </si>
  <si>
    <t>Edgewood-Colesburg</t>
  </si>
  <si>
    <t>2349</t>
  </si>
  <si>
    <t>Fredericksburg</t>
  </si>
  <si>
    <t>2763</t>
  </si>
  <si>
    <t>Clayton Ridge</t>
  </si>
  <si>
    <t>3029</t>
  </si>
  <si>
    <t>Howard-Winneshiek</t>
  </si>
  <si>
    <t>4043</t>
  </si>
  <si>
    <t>Maquoketa Valley</t>
  </si>
  <si>
    <t>4419</t>
  </si>
  <si>
    <t>MFL MarMac</t>
  </si>
  <si>
    <t>4662</t>
  </si>
  <si>
    <t>New Hampton</t>
  </si>
  <si>
    <t>4774</t>
  </si>
  <si>
    <t>North Fayette</t>
  </si>
  <si>
    <t>4787</t>
  </si>
  <si>
    <t>North Winneshiek</t>
  </si>
  <si>
    <t>4869</t>
  </si>
  <si>
    <t>Oelwein</t>
  </si>
  <si>
    <t>5310</t>
  </si>
  <si>
    <t>Postville</t>
  </si>
  <si>
    <t>5508</t>
  </si>
  <si>
    <t>Riceville</t>
  </si>
  <si>
    <t>6100</t>
  </si>
  <si>
    <t>South Winneshiek</t>
  </si>
  <si>
    <t>6175</t>
  </si>
  <si>
    <t>Starmont</t>
  </si>
  <si>
    <t>6509</t>
  </si>
  <si>
    <t>Turkey Valley</t>
  </si>
  <si>
    <t>6591</t>
  </si>
  <si>
    <t>Valley</t>
  </si>
  <si>
    <t>6943</t>
  </si>
  <si>
    <t>West Central</t>
  </si>
  <si>
    <t>6950</t>
  </si>
  <si>
    <t>West Delaware County</t>
  </si>
  <si>
    <t>6961</t>
  </si>
  <si>
    <t>Western Dubuque</t>
  </si>
  <si>
    <t>07</t>
  </si>
  <si>
    <t>0009</t>
  </si>
  <si>
    <t>AGWSR</t>
  </si>
  <si>
    <t>0108</t>
  </si>
  <si>
    <t>Alden</t>
  </si>
  <si>
    <t>0153</t>
  </si>
  <si>
    <t>North Butler  (Allison-Bristow &amp; Greene)</t>
  </si>
  <si>
    <t>0279</t>
  </si>
  <si>
    <t>Aplington-Parkersburg</t>
  </si>
  <si>
    <t>0540</t>
  </si>
  <si>
    <t>BCLUW</t>
  </si>
  <si>
    <t>0594</t>
  </si>
  <si>
    <t>Belmond-Klemme</t>
  </si>
  <si>
    <t>0819</t>
  </si>
  <si>
    <t>West Hancock</t>
  </si>
  <si>
    <t>0846</t>
  </si>
  <si>
    <t>Brooklyn-Guernsey-Malcom</t>
  </si>
  <si>
    <t>0873</t>
  </si>
  <si>
    <t>North Iowa</t>
  </si>
  <si>
    <t>0916</t>
  </si>
  <si>
    <t>CAL</t>
  </si>
  <si>
    <t>1044</t>
  </si>
  <si>
    <t>Cedar Falls</t>
  </si>
  <si>
    <t>1116</t>
  </si>
  <si>
    <t>Charles City</t>
  </si>
  <si>
    <t>1215</t>
  </si>
  <si>
    <t>Clarksville</t>
  </si>
  <si>
    <t>1233</t>
  </si>
  <si>
    <t>Clear Lake</t>
  </si>
  <si>
    <t>1449</t>
  </si>
  <si>
    <t>Corwith-Wesley</t>
  </si>
  <si>
    <t>1719</t>
  </si>
  <si>
    <t>Denver</t>
  </si>
  <si>
    <t>1791</t>
  </si>
  <si>
    <t>Dike-New Hartford</t>
  </si>
  <si>
    <t>1854</t>
  </si>
  <si>
    <t>Dows</t>
  </si>
  <si>
    <t>1908</t>
  </si>
  <si>
    <t>Dunkerton</t>
  </si>
  <si>
    <t>1963</t>
  </si>
  <si>
    <t>East Buchanan</t>
  </si>
  <si>
    <t>1968</t>
  </si>
  <si>
    <t>East Marshall</t>
  </si>
  <si>
    <t>2007</t>
  </si>
  <si>
    <t>Eldora-New Providence</t>
  </si>
  <si>
    <t>2295</t>
  </si>
  <si>
    <t>Forest City</t>
  </si>
  <si>
    <t>2403</t>
  </si>
  <si>
    <t>Garner-Hayfield</t>
  </si>
  <si>
    <t>2502</t>
  </si>
  <si>
    <t>Gladbrook-Reinbeck</t>
  </si>
  <si>
    <t>2682</t>
  </si>
  <si>
    <t>GMG</t>
  </si>
  <si>
    <t>2709</t>
  </si>
  <si>
    <t>Grinnell-Newburg</t>
  </si>
  <si>
    <t>2727</t>
  </si>
  <si>
    <t>Grundy Center</t>
  </si>
  <si>
    <t>2781</t>
  </si>
  <si>
    <t>Hampton-Dumont</t>
  </si>
  <si>
    <t>3033</t>
  </si>
  <si>
    <t>Hubbard-Radcliffe</t>
  </si>
  <si>
    <t>3042</t>
  </si>
  <si>
    <t>Hudson</t>
  </si>
  <si>
    <t>3105</t>
  </si>
  <si>
    <t>Independence</t>
  </si>
  <si>
    <t>3150</t>
  </si>
  <si>
    <t>Iowa Falls</t>
  </si>
  <si>
    <t>3186</t>
  </si>
  <si>
    <t>Janesville Consolidated</t>
  </si>
  <si>
    <t>3204</t>
  </si>
  <si>
    <t>Jesup</t>
  </si>
  <si>
    <t>3420</t>
  </si>
  <si>
    <t>Lake Mills</t>
  </si>
  <si>
    <t>4104</t>
  </si>
  <si>
    <t>Marshalltown</t>
  </si>
  <si>
    <t>4131</t>
  </si>
  <si>
    <t>Mason City</t>
  </si>
  <si>
    <t>4437</t>
  </si>
  <si>
    <t>Montezuma</t>
  </si>
  <si>
    <t>4599</t>
  </si>
  <si>
    <t>Nashua-Plainfield</t>
  </si>
  <si>
    <t>4772</t>
  </si>
  <si>
    <t>Central Springs   (Nora Springs-Rock Falls &amp; North Central)</t>
  </si>
  <si>
    <t>4785</t>
  </si>
  <si>
    <t>North Tama County</t>
  </si>
  <si>
    <t>4788</t>
  </si>
  <si>
    <t>Northwood-Kensett</t>
  </si>
  <si>
    <t>4995</t>
  </si>
  <si>
    <t>Osage</t>
  </si>
  <si>
    <t>5697</t>
  </si>
  <si>
    <t>Rudd-Rockford-Marble Rk</t>
  </si>
  <si>
    <t>5751</t>
  </si>
  <si>
    <t>St Ansgar</t>
  </si>
  <si>
    <t>5922</t>
  </si>
  <si>
    <t>West Fork (Rockwell Swaledale &amp; Sheffield Chapin Meservey Thornton)</t>
  </si>
  <si>
    <t>6098</t>
  </si>
  <si>
    <t>South Tama County</t>
  </si>
  <si>
    <t>6273</t>
  </si>
  <si>
    <t>Sumner</t>
  </si>
  <si>
    <t>6471</t>
  </si>
  <si>
    <t>Tripoli</t>
  </si>
  <si>
    <t>6536</t>
  </si>
  <si>
    <t>Union</t>
  </si>
  <si>
    <t>6633</t>
  </si>
  <si>
    <t>Ventura</t>
  </si>
  <si>
    <t>6762</t>
  </si>
  <si>
    <t>Wapsie Valley</t>
  </si>
  <si>
    <t>6795</t>
  </si>
  <si>
    <t>Waterloo</t>
  </si>
  <si>
    <t>6840</t>
  </si>
  <si>
    <t>Waverly-Shell Rock</t>
  </si>
  <si>
    <t>6985</t>
  </si>
  <si>
    <t>West Marshall</t>
  </si>
  <si>
    <t>7083</t>
  </si>
  <si>
    <t>Woden-Crystal Lake</t>
  </si>
  <si>
    <t>08</t>
  </si>
  <si>
    <t>0072</t>
  </si>
  <si>
    <t>Albert City-Truesdale</t>
  </si>
  <si>
    <t>0126</t>
  </si>
  <si>
    <t>Algona</t>
  </si>
  <si>
    <t>0171</t>
  </si>
  <si>
    <t>Alta</t>
  </si>
  <si>
    <t>0333</t>
  </si>
  <si>
    <t>Armstrong-Ringsted</t>
  </si>
  <si>
    <t>1206</t>
  </si>
  <si>
    <t>Clarion-Goldfield</t>
  </si>
  <si>
    <t>1218</t>
  </si>
  <si>
    <t>Clay Central-Everly</t>
  </si>
  <si>
    <t>1944</t>
  </si>
  <si>
    <t>Eagle Grove</t>
  </si>
  <si>
    <t>1967</t>
  </si>
  <si>
    <t>East Greene</t>
  </si>
  <si>
    <t>2088</t>
  </si>
  <si>
    <t>Emmetsburg</t>
  </si>
  <si>
    <t>2124</t>
  </si>
  <si>
    <t>Estherville Lincoln</t>
  </si>
  <si>
    <t>2313</t>
  </si>
  <si>
    <t>Fort Dodge</t>
  </si>
  <si>
    <t>2493</t>
  </si>
  <si>
    <t>Gilmore City-Bradgate</t>
  </si>
  <si>
    <t>2556</t>
  </si>
  <si>
    <t>Graettinger -Terrill</t>
  </si>
  <si>
    <t>2846</t>
  </si>
  <si>
    <t>Harris-Lake Park</t>
  </si>
  <si>
    <t>3060</t>
  </si>
  <si>
    <t>Humboldt</t>
  </si>
  <si>
    <t>3195</t>
  </si>
  <si>
    <t>Jefferson-Scranton</t>
  </si>
  <si>
    <t>3537</t>
  </si>
  <si>
    <t>Laurens-Marathon</t>
  </si>
  <si>
    <t>3897</t>
  </si>
  <si>
    <t>LuVerne</t>
  </si>
  <si>
    <t>4023</t>
  </si>
  <si>
    <t>Manson Northwest Webster</t>
  </si>
  <si>
    <t>4644</t>
  </si>
  <si>
    <t>Newell-Fonda</t>
  </si>
  <si>
    <t>4775</t>
  </si>
  <si>
    <t>Northeast Hamilton</t>
  </si>
  <si>
    <t>4778</t>
  </si>
  <si>
    <t>North Kossuth</t>
  </si>
  <si>
    <t>4860</t>
  </si>
  <si>
    <t>Odebolt-Arthur</t>
  </si>
  <si>
    <t>4890</t>
  </si>
  <si>
    <t>Okoboji</t>
  </si>
  <si>
    <t>5139</t>
  </si>
  <si>
    <t>Paton-Churdan</t>
  </si>
  <si>
    <t>5283</t>
  </si>
  <si>
    <t>Pocahontas Area</t>
  </si>
  <si>
    <t>5301</t>
  </si>
  <si>
    <t>Pomeroy-Palmer</t>
  </si>
  <si>
    <t>5325</t>
  </si>
  <si>
    <t>Prairie Valley</t>
  </si>
  <si>
    <t>5625</t>
  </si>
  <si>
    <t>Rockwell City-Lytton</t>
  </si>
  <si>
    <t>5724</t>
  </si>
  <si>
    <t>Ruthven-Ayrshire</t>
  </si>
  <si>
    <t>5823</t>
  </si>
  <si>
    <t>Schaller-Crestland</t>
  </si>
  <si>
    <t>5868</t>
  </si>
  <si>
    <t>Sentral</t>
  </si>
  <si>
    <t>6035</t>
  </si>
  <si>
    <t>Sioux Central</t>
  </si>
  <si>
    <t>6091</t>
  </si>
  <si>
    <t>Southern Cal</t>
  </si>
  <si>
    <t>6095</t>
  </si>
  <si>
    <t>South Hamilton</t>
  </si>
  <si>
    <t>6096</t>
  </si>
  <si>
    <t>Southeast Webster Grand</t>
  </si>
  <si>
    <t>6102</t>
  </si>
  <si>
    <t>Spencer</t>
  </si>
  <si>
    <t>6120</t>
  </si>
  <si>
    <t>Spirit Lake</t>
  </si>
  <si>
    <t>6219</t>
  </si>
  <si>
    <t>Storm Lake</t>
  </si>
  <si>
    <t>6246</t>
  </si>
  <si>
    <t>Stratford</t>
  </si>
  <si>
    <t>6417</t>
  </si>
  <si>
    <t>Titonka Consolidated</t>
  </si>
  <si>
    <t>6516</t>
  </si>
  <si>
    <t>Twin Rivers</t>
  </si>
  <si>
    <t>6741</t>
  </si>
  <si>
    <t>East Sac (Wall Lake View Auburn &amp; Sac)</t>
  </si>
  <si>
    <t>6867</t>
  </si>
  <si>
    <t>Webster City</t>
  </si>
  <si>
    <t>6921</t>
  </si>
  <si>
    <t>West Bend-Mallard</t>
  </si>
  <si>
    <t>09</t>
  </si>
  <si>
    <t>0243</t>
  </si>
  <si>
    <t>Andrew</t>
  </si>
  <si>
    <t>0585</t>
  </si>
  <si>
    <t>Bellevue</t>
  </si>
  <si>
    <t>0603</t>
  </si>
  <si>
    <t>Bennett</t>
  </si>
  <si>
    <t>0621</t>
  </si>
  <si>
    <t>Bettendorf</t>
  </si>
  <si>
    <t>0918</t>
  </si>
  <si>
    <t>Calamus-Wheatland</t>
  </si>
  <si>
    <t>0936</t>
  </si>
  <si>
    <t>Camanche</t>
  </si>
  <si>
    <t>1082</t>
  </si>
  <si>
    <t>Central Clinton</t>
  </si>
  <si>
    <t>1278</t>
  </si>
  <si>
    <t>Clinton</t>
  </si>
  <si>
    <t>1368</t>
  </si>
  <si>
    <t>Columbus</t>
  </si>
  <si>
    <t>1611</t>
  </si>
  <si>
    <t>Davenport</t>
  </si>
  <si>
    <t>1675</t>
  </si>
  <si>
    <t>Delwood</t>
  </si>
  <si>
    <t>1926</t>
  </si>
  <si>
    <t>Durant</t>
  </si>
  <si>
    <t>1965</t>
  </si>
  <si>
    <t>East Central</t>
  </si>
  <si>
    <t>3841</t>
  </si>
  <si>
    <t>Louisa-Muscatine</t>
  </si>
  <si>
    <t>4041</t>
  </si>
  <si>
    <t>Maquoketa</t>
  </si>
  <si>
    <t>4581</t>
  </si>
  <si>
    <t>Muscatine</t>
  </si>
  <si>
    <t>4773</t>
  </si>
  <si>
    <t>Northeast</t>
  </si>
  <si>
    <t>4784</t>
  </si>
  <si>
    <t>North Scott</t>
  </si>
  <si>
    <t>5250</t>
  </si>
  <si>
    <t>Pleasant Valley</t>
  </si>
  <si>
    <t>5337</t>
  </si>
  <si>
    <t>Preston</t>
  </si>
  <si>
    <t>6975</t>
  </si>
  <si>
    <t>West Liberty</t>
  </si>
  <si>
    <t>7038</t>
  </si>
  <si>
    <t>Wilton</t>
  </si>
  <si>
    <t>10</t>
  </si>
  <si>
    <t>0099</t>
  </si>
  <si>
    <t>Alburnett</t>
  </si>
  <si>
    <t>0234</t>
  </si>
  <si>
    <t>Anamosa</t>
  </si>
  <si>
    <t>0576</t>
  </si>
  <si>
    <t>Belle Plaine</t>
  </si>
  <si>
    <t>0609</t>
  </si>
  <si>
    <t>Benton</t>
  </si>
  <si>
    <t>1053</t>
  </si>
  <si>
    <t>Cedar Rapids</t>
  </si>
  <si>
    <t>1062</t>
  </si>
  <si>
    <t>Center Point-Urbana</t>
  </si>
  <si>
    <t>1089</t>
  </si>
  <si>
    <t>Central City</t>
  </si>
  <si>
    <t>1221</t>
  </si>
  <si>
    <t>Clear Creek Amana</t>
  </si>
  <si>
    <t>1337</t>
  </si>
  <si>
    <t>College</t>
  </si>
  <si>
    <t>2097</t>
  </si>
  <si>
    <t>English Valleys</t>
  </si>
  <si>
    <t>2766</t>
  </si>
  <si>
    <t>H-L-V</t>
  </si>
  <si>
    <t>2977</t>
  </si>
  <si>
    <t>Highland</t>
  </si>
  <si>
    <t>3141</t>
  </si>
  <si>
    <t>Iowa City</t>
  </si>
  <si>
    <t>3154</t>
  </si>
  <si>
    <t>Iowa Valley</t>
  </si>
  <si>
    <t>3691</t>
  </si>
  <si>
    <t>North Cedar</t>
  </si>
  <si>
    <t>3715</t>
  </si>
  <si>
    <t>Linn-Mar</t>
  </si>
  <si>
    <t>3744</t>
  </si>
  <si>
    <t>Lisbon</t>
  </si>
  <si>
    <t>3816</t>
  </si>
  <si>
    <t>Lone Tree</t>
  </si>
  <si>
    <t>4086</t>
  </si>
  <si>
    <t>Marion Independent</t>
  </si>
  <si>
    <t>4269</t>
  </si>
  <si>
    <t>Midland</t>
  </si>
  <si>
    <t>4271</t>
  </si>
  <si>
    <t>Mid-Prairie</t>
  </si>
  <si>
    <t>4446</t>
  </si>
  <si>
    <t>Monticello</t>
  </si>
  <si>
    <t>4554</t>
  </si>
  <si>
    <t>Mount Vernon</t>
  </si>
  <si>
    <t>4777</t>
  </si>
  <si>
    <t>North Linn</t>
  </si>
  <si>
    <t>4905</t>
  </si>
  <si>
    <t>Olin Consolidated</t>
  </si>
  <si>
    <t>6093</t>
  </si>
  <si>
    <t>Solon</t>
  </si>
  <si>
    <t>6138</t>
  </si>
  <si>
    <t>Springville</t>
  </si>
  <si>
    <t>6408</t>
  </si>
  <si>
    <t>Tipton</t>
  </si>
  <si>
    <t>6660</t>
  </si>
  <si>
    <t>Vinton-Shellsburg</t>
  </si>
  <si>
    <t>6768</t>
  </si>
  <si>
    <t>Washington</t>
  </si>
  <si>
    <t>6930</t>
  </si>
  <si>
    <t>West Branch</t>
  </si>
  <si>
    <t>7029</t>
  </si>
  <si>
    <t>Williamsburg</t>
  </si>
  <si>
    <t>11</t>
  </si>
  <si>
    <t>0018</t>
  </si>
  <si>
    <t>Adair-Casey</t>
  </si>
  <si>
    <t>0027</t>
  </si>
  <si>
    <t>Adel DeSoto Minburn</t>
  </si>
  <si>
    <t>0225</t>
  </si>
  <si>
    <t>Ames</t>
  </si>
  <si>
    <t>0261</t>
  </si>
  <si>
    <t>Ankeny</t>
  </si>
  <si>
    <t>0414</t>
  </si>
  <si>
    <t>Audubon</t>
  </si>
  <si>
    <t>0472</t>
  </si>
  <si>
    <t>Ballard</t>
  </si>
  <si>
    <t>0513</t>
  </si>
  <si>
    <t>Baxter</t>
  </si>
  <si>
    <t>0720</t>
  </si>
  <si>
    <t>Bondurant-Farrar</t>
  </si>
  <si>
    <t>0729</t>
  </si>
  <si>
    <t>Boone</t>
  </si>
  <si>
    <t>0981</t>
  </si>
  <si>
    <t>Carlisle</t>
  </si>
  <si>
    <t>0999</t>
  </si>
  <si>
    <t>Carroll</t>
  </si>
  <si>
    <t>1332</t>
  </si>
  <si>
    <t>Colfax-Mingo</t>
  </si>
  <si>
    <t>1350</t>
  </si>
  <si>
    <t>Collins-Maxwell</t>
  </si>
  <si>
    <t>1359</t>
  </si>
  <si>
    <t>Colo-Nesco</t>
  </si>
  <si>
    <t>1413</t>
  </si>
  <si>
    <t>Coon Rapids-Bayard</t>
  </si>
  <si>
    <t>1576</t>
  </si>
  <si>
    <t>Dallas Center-Grimes</t>
  </si>
  <si>
    <t>1737</t>
  </si>
  <si>
    <t>Des Moines Independent</t>
  </si>
  <si>
    <t>1953</t>
  </si>
  <si>
    <t>Earlham</t>
  </si>
  <si>
    <t>2151</t>
  </si>
  <si>
    <t>Exira</t>
  </si>
  <si>
    <t>2466</t>
  </si>
  <si>
    <t>Gilbert</t>
  </si>
  <si>
    <t>2520</t>
  </si>
  <si>
    <t>Glidden-Ralston</t>
  </si>
  <si>
    <t>2754</t>
  </si>
  <si>
    <t>Guthrie Center</t>
  </si>
  <si>
    <t>3114</t>
  </si>
  <si>
    <t>Indianola</t>
  </si>
  <si>
    <t>3119</t>
  </si>
  <si>
    <t>Interstate 35</t>
  </si>
  <si>
    <t>3231</t>
  </si>
  <si>
    <t>Johnston</t>
  </si>
  <si>
    <t>3375</t>
  </si>
  <si>
    <t>Knoxville</t>
  </si>
  <si>
    <t>3906</t>
  </si>
  <si>
    <t>Lynnville-Sully</t>
  </si>
  <si>
    <t>3942</t>
  </si>
  <si>
    <t>Madrid</t>
  </si>
  <si>
    <t>4122</t>
  </si>
  <si>
    <t>Martensdale-St Marys</t>
  </si>
  <si>
    <t>4212</t>
  </si>
  <si>
    <t>Melcher-Dallas</t>
  </si>
  <si>
    <t>4617</t>
  </si>
  <si>
    <t>Nevada</t>
  </si>
  <si>
    <t>4725</t>
  </si>
  <si>
    <t>Newton</t>
  </si>
  <si>
    <t>4779</t>
  </si>
  <si>
    <t>North Polk</t>
  </si>
  <si>
    <t>4797</t>
  </si>
  <si>
    <t>Norwalk</t>
  </si>
  <si>
    <t>4878</t>
  </si>
  <si>
    <t>Ogden</t>
  </si>
  <si>
    <t>5121</t>
  </si>
  <si>
    <t>Panorama</t>
  </si>
  <si>
    <t>5160</t>
  </si>
  <si>
    <t>PCM</t>
  </si>
  <si>
    <t>5166</t>
  </si>
  <si>
    <t>Pella</t>
  </si>
  <si>
    <t>5184</t>
  </si>
  <si>
    <t>Perry</t>
  </si>
  <si>
    <t>5256</t>
  </si>
  <si>
    <t>Pleasantville</t>
  </si>
  <si>
    <t>5643</t>
  </si>
  <si>
    <t>Roland-Story</t>
  </si>
  <si>
    <t>5805</t>
  </si>
  <si>
    <t>Saydel</t>
  </si>
  <si>
    <t>6094</t>
  </si>
  <si>
    <t>Southeast Warren</t>
  </si>
  <si>
    <t>6101</t>
  </si>
  <si>
    <t>Southeast Polk</t>
  </si>
  <si>
    <t>6264</t>
  </si>
  <si>
    <t>West Central Valley</t>
  </si>
  <si>
    <t>6512</t>
  </si>
  <si>
    <t>Twin Cedars</t>
  </si>
  <si>
    <t>6561</t>
  </si>
  <si>
    <t>United</t>
  </si>
  <si>
    <t>6579</t>
  </si>
  <si>
    <t>Urbandale</t>
  </si>
  <si>
    <t>6615</t>
  </si>
  <si>
    <t>Van Meter</t>
  </si>
  <si>
    <t>6822</t>
  </si>
  <si>
    <t>Waukee</t>
  </si>
  <si>
    <t>6957</t>
  </si>
  <si>
    <t>West Des Moines</t>
  </si>
  <si>
    <t>7056</t>
  </si>
  <si>
    <t>Winterset</t>
  </si>
  <si>
    <t>7110</t>
  </si>
  <si>
    <t>Woodward-Granger</t>
  </si>
  <si>
    <t>12</t>
  </si>
  <si>
    <t>0063</t>
  </si>
  <si>
    <t>Akron Westfield</t>
  </si>
  <si>
    <t>0270</t>
  </si>
  <si>
    <t>Anthon-Oto</t>
  </si>
  <si>
    <t>0355</t>
  </si>
  <si>
    <t>Ar-We-Va</t>
  </si>
  <si>
    <t>0423</t>
  </si>
  <si>
    <t>Aurelia</t>
  </si>
  <si>
    <t>0504</t>
  </si>
  <si>
    <t>Battle Creek-Ida Grove</t>
  </si>
  <si>
    <t>0747</t>
  </si>
  <si>
    <t>Boyden-Hull</t>
  </si>
  <si>
    <t>1095</t>
  </si>
  <si>
    <t>Central Lyon</t>
  </si>
  <si>
    <t>1134</t>
  </si>
  <si>
    <t>Charter Oak-Ute</t>
  </si>
  <si>
    <t>1152</t>
  </si>
  <si>
    <t>Cherokee</t>
  </si>
  <si>
    <t>1701</t>
  </si>
  <si>
    <t>Denison</t>
  </si>
  <si>
    <t>1975</t>
  </si>
  <si>
    <t>River Valley</t>
  </si>
  <si>
    <t>2376</t>
  </si>
  <si>
    <t>Galva-Holstein</t>
  </si>
  <si>
    <t>2457</t>
  </si>
  <si>
    <t>George-Little Rock</t>
  </si>
  <si>
    <t>2862</t>
  </si>
  <si>
    <t>Hartley-Melvin-Sanborn</t>
  </si>
  <si>
    <t>2988</t>
  </si>
  <si>
    <t>Hinton</t>
  </si>
  <si>
    <t>3348</t>
  </si>
  <si>
    <t>Kingsley-Pierson</t>
  </si>
  <si>
    <t>3555</t>
  </si>
  <si>
    <t>Lawton-Bronson</t>
  </si>
  <si>
    <t>3600</t>
  </si>
  <si>
    <t>Le Mars</t>
  </si>
  <si>
    <t>4033</t>
  </si>
  <si>
    <t>Maple Valley</t>
  </si>
  <si>
    <t>4068</t>
  </si>
  <si>
    <t>Marcus-Meriden-Cleghorn</t>
  </si>
  <si>
    <t>4149</t>
  </si>
  <si>
    <t>MOC-Floyd Valley</t>
  </si>
  <si>
    <t>5486</t>
  </si>
  <si>
    <t>Remsen-Union</t>
  </si>
  <si>
    <t>5607</t>
  </si>
  <si>
    <t>Rock Valley</t>
  </si>
  <si>
    <t>5832</t>
  </si>
  <si>
    <t>Schleswig</t>
  </si>
  <si>
    <t>5877</t>
  </si>
  <si>
    <t>Sergeant Bluff-Luton</t>
  </si>
  <si>
    <t>5949</t>
  </si>
  <si>
    <t>Sheldon</t>
  </si>
  <si>
    <t>5994</t>
  </si>
  <si>
    <t>Sibley-Ocheyedan</t>
  </si>
  <si>
    <t>6030</t>
  </si>
  <si>
    <t>Sioux Center</t>
  </si>
  <si>
    <t>6039</t>
  </si>
  <si>
    <t>Sioux City</t>
  </si>
  <si>
    <t>6099</t>
  </si>
  <si>
    <t>South O'Brien</t>
  </si>
  <si>
    <t>6983</t>
  </si>
  <si>
    <t>West Lyon</t>
  </si>
  <si>
    <t>6987</t>
  </si>
  <si>
    <t>West Monona</t>
  </si>
  <si>
    <t>6990</t>
  </si>
  <si>
    <t>West Sioux</t>
  </si>
  <si>
    <t>6992</t>
  </si>
  <si>
    <t>Westwood</t>
  </si>
  <si>
    <t>7002</t>
  </si>
  <si>
    <t>Whiting</t>
  </si>
  <si>
    <t>7098</t>
  </si>
  <si>
    <t>Woodbury Central</t>
  </si>
  <si>
    <t>13</t>
  </si>
  <si>
    <t>0387</t>
  </si>
  <si>
    <t>Atlantic</t>
  </si>
  <si>
    <t>0441</t>
  </si>
  <si>
    <t>A-H-S-T</t>
  </si>
  <si>
    <t>0549</t>
  </si>
  <si>
    <t>Bedford</t>
  </si>
  <si>
    <t>0914</t>
  </si>
  <si>
    <t>CAM (C and M &amp; Anita)</t>
  </si>
  <si>
    <t>1093</t>
  </si>
  <si>
    <t>Central Decatur</t>
  </si>
  <si>
    <t>1197</t>
  </si>
  <si>
    <t>Clarinda</t>
  </si>
  <si>
    <t>1211</t>
  </si>
  <si>
    <t>Clarke</t>
  </si>
  <si>
    <t>1224</t>
  </si>
  <si>
    <t>Clearfield</t>
  </si>
  <si>
    <t>1431</t>
  </si>
  <si>
    <t>Corning</t>
  </si>
  <si>
    <t>1476</t>
  </si>
  <si>
    <t>Council Bluffs</t>
  </si>
  <si>
    <t>1503</t>
  </si>
  <si>
    <t>Creston</t>
  </si>
  <si>
    <t>1782</t>
  </si>
  <si>
    <t>Diagonal</t>
  </si>
  <si>
    <t>1917</t>
  </si>
  <si>
    <t>Boyer Valley</t>
  </si>
  <si>
    <t>1970</t>
  </si>
  <si>
    <t>East Union</t>
  </si>
  <si>
    <t>2016</t>
  </si>
  <si>
    <t>Elk Horn-Kimballton</t>
  </si>
  <si>
    <t>2113</t>
  </si>
  <si>
    <t>Essex</t>
  </si>
  <si>
    <t>2205</t>
  </si>
  <si>
    <t>Farragut</t>
  </si>
  <si>
    <t>2369</t>
  </si>
  <si>
    <t>Fremont-Mills</t>
  </si>
  <si>
    <t>2511</t>
  </si>
  <si>
    <t>Glenwood</t>
  </si>
  <si>
    <t>2673</t>
  </si>
  <si>
    <t>Nodaway Valley</t>
  </si>
  <si>
    <t>2718</t>
  </si>
  <si>
    <t>Griswold</t>
  </si>
  <si>
    <t>2772</t>
  </si>
  <si>
    <t>Hamburg</t>
  </si>
  <si>
    <t>2826</t>
  </si>
  <si>
    <t>Harlan</t>
  </si>
  <si>
    <t>3168</t>
  </si>
  <si>
    <t>IKM-Manning  (IKM &amp; Manning)</t>
  </si>
  <si>
    <t xml:space="preserve">Manning </t>
  </si>
  <si>
    <t>3465</t>
  </si>
  <si>
    <t>Lamoni</t>
  </si>
  <si>
    <t>3609</t>
  </si>
  <si>
    <t>Lenox</t>
  </si>
  <si>
    <t>3645</t>
  </si>
  <si>
    <t>Lewis Central</t>
  </si>
  <si>
    <t>3798</t>
  </si>
  <si>
    <t>Logan-Magnolia</t>
  </si>
  <si>
    <t>3978</t>
  </si>
  <si>
    <t>East Mills  (Malvern &amp; Nishna Valley)</t>
  </si>
  <si>
    <t>4356</t>
  </si>
  <si>
    <t>Missouri Valley</t>
  </si>
  <si>
    <t>4505</t>
  </si>
  <si>
    <t>Mormon Trail</t>
  </si>
  <si>
    <t>4527</t>
  </si>
  <si>
    <t>Mount Ayr</t>
  </si>
  <si>
    <t>4572</t>
  </si>
  <si>
    <t>Murray</t>
  </si>
  <si>
    <t>4978</t>
  </si>
  <si>
    <t>Orient-Macksburg</t>
  </si>
  <si>
    <t>5328</t>
  </si>
  <si>
    <t>Prescott</t>
  </si>
  <si>
    <t>5463</t>
  </si>
  <si>
    <t>Red Oak</t>
  </si>
  <si>
    <t>5510</t>
  </si>
  <si>
    <t>Riverside</t>
  </si>
  <si>
    <t>5976</t>
  </si>
  <si>
    <t>Shenandoah</t>
  </si>
  <si>
    <t>6003</t>
  </si>
  <si>
    <t>Sidney</t>
  </si>
  <si>
    <t>6097</t>
  </si>
  <si>
    <t>South Page</t>
  </si>
  <si>
    <t>6165</t>
  </si>
  <si>
    <t>Stanton</t>
  </si>
  <si>
    <t>6453</t>
  </si>
  <si>
    <t>Treynor</t>
  </si>
  <si>
    <t>6460</t>
  </si>
  <si>
    <t>Tri-Center</t>
  </si>
  <si>
    <t>6534</t>
  </si>
  <si>
    <t>Underwood</t>
  </si>
  <si>
    <t>6651</t>
  </si>
  <si>
    <t>Villisca</t>
  </si>
  <si>
    <t>6750</t>
  </si>
  <si>
    <t>Walnut</t>
  </si>
  <si>
    <t>6969</t>
  </si>
  <si>
    <t>West Harrison</t>
  </si>
  <si>
    <t>7092</t>
  </si>
  <si>
    <t>Woodbine</t>
  </si>
  <si>
    <t>15</t>
  </si>
  <si>
    <t>0081</t>
  </si>
  <si>
    <t>Albia</t>
  </si>
  <si>
    <t>0657</t>
  </si>
  <si>
    <t>Eddyville-Blakesburg</t>
  </si>
  <si>
    <t>0882</t>
  </si>
  <si>
    <t>Burlington</t>
  </si>
  <si>
    <t>0977</t>
  </si>
  <si>
    <t>Cardinal</t>
  </si>
  <si>
    <t>1071</t>
  </si>
  <si>
    <t>Centerville</t>
  </si>
  <si>
    <t>1079</t>
  </si>
  <si>
    <t>Central Lee</t>
  </si>
  <si>
    <t>1107</t>
  </si>
  <si>
    <t>Chariton</t>
  </si>
  <si>
    <t>1602</t>
  </si>
  <si>
    <t>Danville</t>
  </si>
  <si>
    <t>1619</t>
  </si>
  <si>
    <t>Davis County</t>
  </si>
  <si>
    <t>2169</t>
  </si>
  <si>
    <t>Fairfield</t>
  </si>
  <si>
    <t>2322</t>
  </si>
  <si>
    <t>Fort Madison</t>
  </si>
  <si>
    <t>2367</t>
  </si>
  <si>
    <t>Fremont</t>
  </si>
  <si>
    <t>2834</t>
  </si>
  <si>
    <t>Harmony</t>
  </si>
  <si>
    <t>3312</t>
  </si>
  <si>
    <t>Keokuk</t>
  </si>
  <si>
    <t>3330</t>
  </si>
  <si>
    <t>Keota</t>
  </si>
  <si>
    <t>4203</t>
  </si>
  <si>
    <t>Mediapolis</t>
  </si>
  <si>
    <t>4491</t>
  </si>
  <si>
    <t>Moravia</t>
  </si>
  <si>
    <t>4509</t>
  </si>
  <si>
    <t>Morning Sun</t>
  </si>
  <si>
    <t>4518</t>
  </si>
  <si>
    <t>Moulton-Udell</t>
  </si>
  <si>
    <t>4536</t>
  </si>
  <si>
    <t>Mount Pleasant</t>
  </si>
  <si>
    <t>4689</t>
  </si>
  <si>
    <t>New London</t>
  </si>
  <si>
    <t>4776</t>
  </si>
  <si>
    <t>North Mahaska</t>
  </si>
  <si>
    <t>5013</t>
  </si>
  <si>
    <t>Oskaloosa</t>
  </si>
  <si>
    <t>5049</t>
  </si>
  <si>
    <t>Ottumwa</t>
  </si>
  <si>
    <t>5163</t>
  </si>
  <si>
    <t>Pekin</t>
  </si>
  <si>
    <t>5895</t>
  </si>
  <si>
    <t>Seymour</t>
  </si>
  <si>
    <t>6012</t>
  </si>
  <si>
    <t>Sigourney</t>
  </si>
  <si>
    <t>6462</t>
  </si>
  <si>
    <t>Tri-County</t>
  </si>
  <si>
    <t>6592</t>
  </si>
  <si>
    <t>Van Buren</t>
  </si>
  <si>
    <t>6700</t>
  </si>
  <si>
    <t>Waco</t>
  </si>
  <si>
    <t>6759</t>
  </si>
  <si>
    <t>Wapello</t>
  </si>
  <si>
    <t>6854</t>
  </si>
  <si>
    <t>Wayne (Lineville-Clio &amp; Wayne)</t>
  </si>
  <si>
    <t>6937</t>
  </si>
  <si>
    <t>West Burlington Ind</t>
  </si>
  <si>
    <t>7047</t>
  </si>
  <si>
    <t>Winfield-Mt Union</t>
  </si>
  <si>
    <t>Total  LEAs</t>
  </si>
  <si>
    <t>ITS Eldora</t>
  </si>
  <si>
    <t>IJH Tama</t>
  </si>
  <si>
    <t>Child Psych</t>
  </si>
  <si>
    <t xml:space="preserve">ISD </t>
  </si>
  <si>
    <t>IBSSS</t>
  </si>
  <si>
    <t>DEPT OF Corrections</t>
  </si>
  <si>
    <t>Subtotal for SOPs</t>
  </si>
  <si>
    <t>State Total AEA &amp; SOP</t>
  </si>
  <si>
    <t>9201</t>
  </si>
  <si>
    <t>AEA 01</t>
  </si>
  <si>
    <t>9207</t>
  </si>
  <si>
    <t>AEA 07</t>
  </si>
  <si>
    <t>9208</t>
  </si>
  <si>
    <t>AEA 08</t>
  </si>
  <si>
    <t>9209</t>
  </si>
  <si>
    <t>AEA 09</t>
  </si>
  <si>
    <t>9210</t>
  </si>
  <si>
    <t>AEA 10</t>
  </si>
  <si>
    <t>9211</t>
  </si>
  <si>
    <t>AEA 11</t>
  </si>
  <si>
    <t>9212</t>
  </si>
  <si>
    <t>AEA 12</t>
  </si>
  <si>
    <t>9213</t>
  </si>
  <si>
    <t>AEA 13</t>
  </si>
  <si>
    <t>9215</t>
  </si>
  <si>
    <t>AEA 15</t>
  </si>
  <si>
    <t>AEA Total</t>
  </si>
  <si>
    <t>Check Total</t>
  </si>
  <si>
    <t>AEA number</t>
  </si>
  <si>
    <t>District number</t>
  </si>
  <si>
    <t>District name</t>
  </si>
  <si>
    <t>Poverty factor from October 2010 free and reduced lunch count for grades 1-6.  This is the percent the district's count is of the state total.</t>
  </si>
  <si>
    <t>This is the poverty factor multiplied by 15% of the total amount available for flowthrough and is the portion of the award amount due to the poverty factor.</t>
  </si>
  <si>
    <t>Filler</t>
  </si>
  <si>
    <t>This is the poverty factor multiplied by the total poverty portion amount (15% of the total flowthrough available) and is the portion of the award amount calculated by taking the district's poverty factor (percent) multiplied by the total amount available for the poverty distribution.</t>
  </si>
  <si>
    <t>This is the population factor multiplied by 85% of the total amount available for flowthrough and is the portion of the district's award amount calculated by taking the district's population factor (percent) multiplied by the total amount available for the population distribution.</t>
  </si>
  <si>
    <t>Total award available:  Poverty amount plus the Population amount.</t>
  </si>
  <si>
    <t>This is the percent applied to the Formula amount and is the number of students with IEPs (ages 3-21) in an AEA that are Nonpublic attendees divided by the total number of students with IEPs (ages 3-21) This data uses the October 2010 special education count to calculate a percent for each AEA that is applied to all districts within that AEA.</t>
  </si>
  <si>
    <t xml:space="preserve">This is the amount that is transferred to the AEA to provide for support and related services in accordance with agreements established with the Approved Nonpublic schools within the AEA.  The LEA would fund instructional services for the Non-Public students on IEPs through special education instructional funds coming from the weighted enrollment. </t>
  </si>
  <si>
    <t xml:space="preserve">Actual amount available to the LEA for 11-12 to supplement state/local funding through the school aid formula  (Formula amount in Column J less the amount in Column L.  </t>
  </si>
  <si>
    <t>This is the maximum amount that a district may set aside for Coordinated Early Intervening Services for 2011-12.  Some districts are required to set aside the full amount to address issues related to disproportionate representation in special education.  Those districts would have received notification to that effect from the Department.</t>
  </si>
  <si>
    <t>Formula amount for the district for the 2010-11 school year.</t>
  </si>
  <si>
    <t>Change in Formula dollar amount from 10-11 to 11-12</t>
  </si>
  <si>
    <t>Percent of the change amount from 10-11 to 11-12</t>
  </si>
  <si>
    <t>Net Award to LEA  (Project amount for 11-12)</t>
  </si>
  <si>
    <t>Project</t>
  </si>
  <si>
    <t>+ J - L</t>
  </si>
  <si>
    <t>TOTALS BY AEA</t>
  </si>
  <si>
    <t>Must set aside the full 15% indicated in Column N for remediation of disproportionality issues.</t>
  </si>
  <si>
    <t>Mergers effective for 2011-12</t>
  </si>
  <si>
    <t>Color codes</t>
  </si>
</sst>
</file>

<file path=xl/styles.xml><?xml version="1.0" encoding="utf-8"?>
<styleSheet xmlns="http://schemas.openxmlformats.org/spreadsheetml/2006/main">
  <numFmts count="5">
    <numFmt numFmtId="44" formatCode="_(&quot;$&quot;* #,##0.00_);_(&quot;$&quot;* \(#,##0.00\);_(&quot;$&quot;* &quot;-&quot;??_);_(@_)"/>
    <numFmt numFmtId="43" formatCode="_(* #,##0.00_);_(* \(#,##0.00\);_(* &quot;-&quot;??_);_(@_)"/>
    <numFmt numFmtId="164" formatCode="_(&quot;$&quot;* #,##0_);_(&quot;$&quot;* \(#,##0\);_(&quot;$&quot;* &quot;-&quot;??_);_(@_)"/>
    <numFmt numFmtId="165" formatCode="0.0000%"/>
    <numFmt numFmtId="166" formatCode="0.000%"/>
  </numFmts>
  <fonts count="16">
    <font>
      <sz val="10"/>
      <color theme="1"/>
      <name val="Arial"/>
      <family val="2"/>
    </font>
    <font>
      <sz val="10"/>
      <color theme="1"/>
      <name val="Arial"/>
      <family val="2"/>
    </font>
    <font>
      <b/>
      <sz val="10"/>
      <name val="Arial"/>
      <family val="2"/>
    </font>
    <font>
      <b/>
      <sz val="12"/>
      <name val="Arial"/>
      <family val="2"/>
    </font>
    <font>
      <b/>
      <sz val="14"/>
      <name val="Arial"/>
      <family val="2"/>
    </font>
    <font>
      <sz val="10"/>
      <name val="Arial"/>
      <family val="2"/>
    </font>
    <font>
      <b/>
      <sz val="8"/>
      <name val="Arial"/>
      <family val="2"/>
    </font>
    <font>
      <b/>
      <sz val="9"/>
      <name val="Arial"/>
      <family val="2"/>
    </font>
    <font>
      <sz val="9"/>
      <name val="Arial"/>
      <family val="2"/>
    </font>
    <font>
      <sz val="8"/>
      <name val="Arial"/>
      <family val="2"/>
    </font>
    <font>
      <sz val="10"/>
      <color indexed="8"/>
      <name val="Arial"/>
      <family val="2"/>
    </font>
    <font>
      <sz val="9"/>
      <color theme="1"/>
      <name val="Arial"/>
      <family val="2"/>
    </font>
    <font>
      <sz val="8"/>
      <color theme="1"/>
      <name val="Arial"/>
      <family val="2"/>
    </font>
    <font>
      <b/>
      <sz val="10"/>
      <color theme="1"/>
      <name val="Arial"/>
      <family val="2"/>
    </font>
    <font>
      <b/>
      <sz val="16"/>
      <name val="Arial"/>
      <family val="2"/>
    </font>
    <font>
      <sz val="16"/>
      <name val="Arial"/>
      <family val="2"/>
    </font>
  </fonts>
  <fills count="21">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rgb="FFFFCC99"/>
        <bgColor indexed="64"/>
      </patternFill>
    </fill>
    <fill>
      <patternFill patternType="solid">
        <fgColor theme="0"/>
        <bgColor indexed="64"/>
      </patternFill>
    </fill>
    <fill>
      <patternFill patternType="solid">
        <fgColor theme="5" tint="0.79998168889431442"/>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rgb="FFFFFF00"/>
        <bgColor indexed="64"/>
      </patternFill>
    </fill>
    <fill>
      <patternFill patternType="solid">
        <fgColor theme="9" tint="-0.249977111117893"/>
        <bgColor indexed="64"/>
      </patternFill>
    </fill>
    <fill>
      <patternFill patternType="solid">
        <fgColor rgb="FF86EFFA"/>
        <bgColor indexed="64"/>
      </patternFill>
    </fill>
    <fill>
      <patternFill patternType="solid">
        <fgColor theme="1"/>
        <bgColor indexed="64"/>
      </patternFill>
    </fill>
    <fill>
      <patternFill patternType="solid">
        <fgColor theme="3" tint="0.39997558519241921"/>
        <bgColor indexed="64"/>
      </patternFill>
    </fill>
    <fill>
      <patternFill patternType="solid">
        <fgColor theme="7" tint="-0.249977111117893"/>
        <bgColor indexed="64"/>
      </patternFill>
    </fill>
    <fill>
      <patternFill patternType="solid">
        <fgColor theme="1" tint="0.34998626667073579"/>
        <bgColor indexed="64"/>
      </patternFill>
    </fill>
    <fill>
      <patternFill patternType="solid">
        <fgColor rgb="FFFFFF85"/>
        <bgColor indexed="64"/>
      </patternFill>
    </fill>
  </fills>
  <borders count="22">
    <border>
      <left/>
      <right/>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0" fillId="0" borderId="0"/>
  </cellStyleXfs>
  <cellXfs count="285">
    <xf numFmtId="0" fontId="0" fillId="0" borderId="0" xfId="0"/>
    <xf numFmtId="0" fontId="2" fillId="0" borderId="1" xfId="0" applyFont="1" applyBorder="1" applyAlignment="1">
      <alignment horizontal="center"/>
    </xf>
    <xf numFmtId="0" fontId="2" fillId="2" borderId="1" xfId="0" applyFont="1" applyFill="1" applyBorder="1" applyAlignment="1">
      <alignment horizontal="center" wrapText="1"/>
    </xf>
    <xf numFmtId="0" fontId="2" fillId="3" borderId="1" xfId="0" applyFont="1" applyFill="1" applyBorder="1" applyAlignment="1">
      <alignment horizontal="center" wrapText="1"/>
    </xf>
    <xf numFmtId="0" fontId="2" fillId="3" borderId="2" xfId="0" applyFont="1" applyFill="1" applyBorder="1" applyAlignment="1">
      <alignment horizontal="center" wrapText="1"/>
    </xf>
    <xf numFmtId="0" fontId="0" fillId="4" borderId="0" xfId="0" applyFill="1"/>
    <xf numFmtId="0" fontId="2" fillId="5" borderId="1" xfId="0" applyFont="1" applyFill="1" applyBorder="1" applyAlignment="1">
      <alignment horizontal="center" wrapText="1"/>
    </xf>
    <xf numFmtId="0" fontId="0" fillId="6" borderId="0" xfId="0" applyFill="1"/>
    <xf numFmtId="0" fontId="2" fillId="7" borderId="1" xfId="0" applyFont="1" applyFill="1" applyBorder="1" applyAlignment="1">
      <alignment horizontal="center" wrapText="1"/>
    </xf>
    <xf numFmtId="0" fontId="2" fillId="8" borderId="1" xfId="0" applyFont="1" applyFill="1" applyBorder="1" applyAlignment="1">
      <alignment horizontal="center" wrapText="1"/>
    </xf>
    <xf numFmtId="0" fontId="2" fillId="9" borderId="1" xfId="0" applyFont="1" applyFill="1" applyBorder="1" applyAlignment="1">
      <alignment horizontal="center" wrapText="1"/>
    </xf>
    <xf numFmtId="0" fontId="2" fillId="10" borderId="1" xfId="0" applyFont="1" applyFill="1" applyBorder="1" applyAlignment="1">
      <alignment horizontal="center" wrapText="1"/>
    </xf>
    <xf numFmtId="0" fontId="2" fillId="11" borderId="1" xfId="0" applyFont="1" applyFill="1" applyBorder="1" applyAlignment="1">
      <alignment horizontal="center" wrapText="1"/>
    </xf>
    <xf numFmtId="0" fontId="2" fillId="12" borderId="1" xfId="0" applyFont="1" applyFill="1" applyBorder="1" applyAlignment="1">
      <alignment horizontal="center" wrapText="1"/>
    </xf>
    <xf numFmtId="0" fontId="2" fillId="2" borderId="3" xfId="0" applyFont="1" applyFill="1" applyBorder="1" applyAlignment="1">
      <alignment horizontal="center" wrapText="1"/>
    </xf>
    <xf numFmtId="0" fontId="2" fillId="3" borderId="3" xfId="0" applyFont="1" applyFill="1" applyBorder="1" applyAlignment="1">
      <alignment horizontal="center" wrapText="1"/>
    </xf>
    <xf numFmtId="0" fontId="2" fillId="3" borderId="3" xfId="0" applyFont="1" applyFill="1" applyBorder="1" applyAlignment="1">
      <alignment horizontal="center"/>
    </xf>
    <xf numFmtId="0" fontId="2" fillId="5" borderId="3" xfId="0" applyFont="1" applyFill="1" applyBorder="1" applyAlignment="1">
      <alignment horizontal="center" wrapText="1"/>
    </xf>
    <xf numFmtId="0" fontId="3" fillId="5" borderId="3" xfId="0" applyFont="1" applyFill="1" applyBorder="1" applyAlignment="1">
      <alignment horizontal="center"/>
    </xf>
    <xf numFmtId="0" fontId="4" fillId="7" borderId="3" xfId="0" applyFont="1" applyFill="1" applyBorder="1" applyAlignment="1">
      <alignment horizontal="center"/>
    </xf>
    <xf numFmtId="0" fontId="4" fillId="8" borderId="3" xfId="0" applyFont="1" applyFill="1" applyBorder="1" applyAlignment="1">
      <alignment horizontal="center"/>
    </xf>
    <xf numFmtId="0" fontId="4" fillId="9" borderId="3" xfId="0" applyFont="1" applyFill="1" applyBorder="1" applyAlignment="1">
      <alignment horizontal="center"/>
    </xf>
    <xf numFmtId="0" fontId="4" fillId="10" borderId="3" xfId="0" applyFont="1" applyFill="1" applyBorder="1" applyAlignment="1">
      <alignment horizontal="center"/>
    </xf>
    <xf numFmtId="0" fontId="2" fillId="2" borderId="4" xfId="0" applyFont="1" applyFill="1" applyBorder="1" applyAlignment="1">
      <alignment horizontal="center" wrapText="1"/>
    </xf>
    <xf numFmtId="0" fontId="2" fillId="3" borderId="4" xfId="0" applyFont="1" applyFill="1" applyBorder="1" applyAlignment="1">
      <alignment horizontal="center" wrapText="1"/>
    </xf>
    <xf numFmtId="0" fontId="2" fillId="3" borderId="4" xfId="0" applyFont="1" applyFill="1" applyBorder="1"/>
    <xf numFmtId="0" fontId="2" fillId="5" borderId="4" xfId="0" applyFont="1" applyFill="1" applyBorder="1" applyAlignment="1">
      <alignment horizontal="center" wrapText="1"/>
    </xf>
    <xf numFmtId="0" fontId="2" fillId="5" borderId="4" xfId="0" applyFont="1" applyFill="1" applyBorder="1"/>
    <xf numFmtId="0" fontId="2" fillId="7" borderId="4" xfId="0" applyFont="1" applyFill="1" applyBorder="1" applyAlignment="1">
      <alignment horizontal="center"/>
    </xf>
    <xf numFmtId="0" fontId="2" fillId="8" borderId="4" xfId="0" applyFont="1" applyFill="1" applyBorder="1"/>
    <xf numFmtId="0" fontId="2" fillId="9" borderId="4" xfId="0" applyFont="1" applyFill="1" applyBorder="1"/>
    <xf numFmtId="0" fontId="2" fillId="10" borderId="4" xfId="0" applyFont="1" applyFill="1" applyBorder="1"/>
    <xf numFmtId="0" fontId="2" fillId="2" borderId="5" xfId="0" applyFont="1" applyFill="1" applyBorder="1" applyAlignment="1">
      <alignment horizontal="center" wrapText="1"/>
    </xf>
    <xf numFmtId="0" fontId="2" fillId="2" borderId="6" xfId="0" applyFont="1" applyFill="1" applyBorder="1" applyAlignment="1">
      <alignment horizontal="center" wrapText="1"/>
    </xf>
    <xf numFmtId="0" fontId="3" fillId="2" borderId="6" xfId="0" applyFont="1" applyFill="1" applyBorder="1" applyAlignment="1">
      <alignment horizontal="center" wrapText="1"/>
    </xf>
    <xf numFmtId="0" fontId="2" fillId="3" borderId="6" xfId="0" applyFont="1" applyFill="1" applyBorder="1" applyAlignment="1">
      <alignment horizontal="center" wrapText="1"/>
    </xf>
    <xf numFmtId="164" fontId="2" fillId="3" borderId="7" xfId="2" applyNumberFormat="1" applyFont="1" applyFill="1" applyBorder="1"/>
    <xf numFmtId="0" fontId="2" fillId="5" borderId="6" xfId="0" applyFont="1" applyFill="1" applyBorder="1" applyAlignment="1">
      <alignment horizontal="center" wrapText="1"/>
    </xf>
    <xf numFmtId="164" fontId="2" fillId="5" borderId="7" xfId="2" applyNumberFormat="1" applyFont="1" applyFill="1" applyBorder="1"/>
    <xf numFmtId="164" fontId="2" fillId="7" borderId="7" xfId="2" quotePrefix="1" applyNumberFormat="1" applyFont="1" applyFill="1" applyBorder="1" applyAlignment="1">
      <alignment horizontal="center"/>
    </xf>
    <xf numFmtId="164" fontId="2" fillId="8" borderId="7" xfId="2" applyNumberFormat="1" applyFont="1" applyFill="1" applyBorder="1" applyAlignment="1">
      <alignment horizontal="center"/>
    </xf>
    <xf numFmtId="164" fontId="2" fillId="9" borderId="7" xfId="2" applyNumberFormat="1" applyFont="1" applyFill="1" applyBorder="1"/>
    <xf numFmtId="164" fontId="2" fillId="10" borderId="7" xfId="2" quotePrefix="1" applyNumberFormat="1" applyFont="1" applyFill="1" applyBorder="1" applyAlignment="1">
      <alignment horizontal="center"/>
    </xf>
    <xf numFmtId="0" fontId="2" fillId="2" borderId="8" xfId="0" applyFont="1" applyFill="1" applyBorder="1" applyAlignment="1">
      <alignment horizontal="center" wrapText="1"/>
    </xf>
    <xf numFmtId="0" fontId="2" fillId="2" borderId="9" xfId="0" applyFont="1" applyFill="1" applyBorder="1" applyAlignment="1">
      <alignment horizontal="center" wrapText="1"/>
    </xf>
    <xf numFmtId="0" fontId="2" fillId="3" borderId="9" xfId="0" applyFont="1" applyFill="1" applyBorder="1" applyAlignment="1">
      <alignment horizontal="center" wrapText="1"/>
    </xf>
    <xf numFmtId="0" fontId="2" fillId="3" borderId="10" xfId="0" applyFont="1" applyFill="1" applyBorder="1"/>
    <xf numFmtId="0" fontId="2" fillId="5" borderId="9" xfId="0" applyFont="1" applyFill="1" applyBorder="1" applyAlignment="1">
      <alignment horizontal="center" wrapText="1"/>
    </xf>
    <xf numFmtId="0" fontId="2" fillId="5" borderId="10" xfId="0" applyFont="1" applyFill="1" applyBorder="1"/>
    <xf numFmtId="0" fontId="2" fillId="7" borderId="10" xfId="0" applyFont="1" applyFill="1" applyBorder="1"/>
    <xf numFmtId="0" fontId="2" fillId="8" borderId="10" xfId="0" applyFont="1" applyFill="1" applyBorder="1"/>
    <xf numFmtId="0" fontId="2" fillId="9" borderId="10" xfId="0" applyFont="1" applyFill="1" applyBorder="1"/>
    <xf numFmtId="0" fontId="2" fillId="10" borderId="10" xfId="0" applyFont="1" applyFill="1" applyBorder="1" applyAlignment="1">
      <alignment horizontal="center"/>
    </xf>
    <xf numFmtId="0" fontId="2" fillId="13" borderId="10" xfId="0" applyFont="1" applyFill="1" applyBorder="1" applyAlignment="1">
      <alignment horizontal="center"/>
    </xf>
    <xf numFmtId="0" fontId="2" fillId="2" borderId="11" xfId="0" applyFont="1" applyFill="1" applyBorder="1" applyAlignment="1">
      <alignment horizontal="center" wrapText="1"/>
    </xf>
    <xf numFmtId="0" fontId="2" fillId="3" borderId="12" xfId="0" applyFont="1" applyFill="1" applyBorder="1"/>
    <xf numFmtId="0" fontId="2" fillId="5" borderId="12" xfId="0" applyFont="1" applyFill="1" applyBorder="1"/>
    <xf numFmtId="0" fontId="2" fillId="7" borderId="12" xfId="0" applyFont="1" applyFill="1" applyBorder="1"/>
    <xf numFmtId="0" fontId="2" fillId="8" borderId="12" xfId="0" applyFont="1" applyFill="1" applyBorder="1"/>
    <xf numFmtId="0" fontId="2" fillId="9" borderId="12" xfId="0" applyFont="1" applyFill="1" applyBorder="1"/>
    <xf numFmtId="0" fontId="2" fillId="10" borderId="12" xfId="0" applyFont="1" applyFill="1" applyBorder="1" applyAlignment="1">
      <alignment horizontal="center"/>
    </xf>
    <xf numFmtId="0" fontId="2" fillId="10" borderId="12" xfId="0" applyFont="1" applyFill="1" applyBorder="1"/>
    <xf numFmtId="0" fontId="2" fillId="14" borderId="13" xfId="0" applyFont="1" applyFill="1" applyBorder="1" applyAlignment="1">
      <alignment horizontal="center" wrapText="1"/>
    </xf>
    <xf numFmtId="0" fontId="2" fillId="14" borderId="14" xfId="0" applyFont="1" applyFill="1" applyBorder="1" applyAlignment="1">
      <alignment horizontal="center" wrapText="1"/>
    </xf>
    <xf numFmtId="0" fontId="2" fillId="14" borderId="15" xfId="0" applyFont="1" applyFill="1" applyBorder="1" applyAlignment="1">
      <alignment horizontal="center"/>
    </xf>
    <xf numFmtId="0" fontId="0" fillId="14" borderId="0" xfId="0" applyFill="1" applyAlignment="1">
      <alignment horizontal="center"/>
    </xf>
    <xf numFmtId="0" fontId="2" fillId="14" borderId="12" xfId="0" applyFont="1" applyFill="1" applyBorder="1" applyAlignment="1">
      <alignment horizontal="center"/>
    </xf>
    <xf numFmtId="0" fontId="5" fillId="0" borderId="3" xfId="0" quotePrefix="1" applyNumberFormat="1" applyFont="1" applyBorder="1" applyAlignment="1">
      <alignment horizontal="center"/>
    </xf>
    <xf numFmtId="0" fontId="5" fillId="0" borderId="3" xfId="0" quotePrefix="1" applyNumberFormat="1" applyFont="1" applyBorder="1"/>
    <xf numFmtId="165" fontId="6" fillId="3" borderId="3" xfId="3" applyNumberFormat="1" applyFont="1" applyFill="1" applyBorder="1"/>
    <xf numFmtId="164" fontId="7" fillId="3" borderId="3" xfId="2" applyNumberFormat="1" applyFont="1" applyFill="1" applyBorder="1"/>
    <xf numFmtId="165" fontId="6" fillId="5" borderId="16" xfId="3" applyNumberFormat="1" applyFont="1" applyFill="1" applyBorder="1"/>
    <xf numFmtId="164" fontId="8" fillId="5" borderId="3" xfId="2" applyNumberFormat="1" applyFont="1" applyFill="1" applyBorder="1"/>
    <xf numFmtId="164" fontId="6" fillId="7" borderId="3" xfId="2" applyNumberFormat="1" applyFont="1" applyFill="1" applyBorder="1"/>
    <xf numFmtId="10" fontId="8" fillId="8" borderId="3" xfId="3" applyNumberFormat="1" applyFont="1" applyFill="1" applyBorder="1"/>
    <xf numFmtId="164" fontId="6" fillId="9" borderId="3" xfId="2" applyNumberFormat="1" applyFont="1" applyFill="1" applyBorder="1"/>
    <xf numFmtId="164" fontId="9" fillId="0" borderId="3" xfId="2" applyNumberFormat="1" applyFont="1" applyBorder="1"/>
    <xf numFmtId="164" fontId="9" fillId="11" borderId="3" xfId="2" applyNumberFormat="1" applyFont="1" applyFill="1" applyBorder="1"/>
    <xf numFmtId="10" fontId="9" fillId="13" borderId="16" xfId="3" applyNumberFormat="1" applyFont="1" applyFill="1" applyBorder="1"/>
    <xf numFmtId="0" fontId="5" fillId="0" borderId="16" xfId="0" quotePrefix="1" applyNumberFormat="1" applyFont="1" applyBorder="1" applyAlignment="1">
      <alignment horizontal="center"/>
    </xf>
    <xf numFmtId="0" fontId="5" fillId="0" borderId="16" xfId="0" quotePrefix="1" applyNumberFormat="1" applyFont="1" applyBorder="1"/>
    <xf numFmtId="165" fontId="6" fillId="3" borderId="16" xfId="3" applyNumberFormat="1" applyFont="1" applyFill="1" applyBorder="1"/>
    <xf numFmtId="164" fontId="7" fillId="3" borderId="16" xfId="2" applyNumberFormat="1" applyFont="1" applyFill="1" applyBorder="1"/>
    <xf numFmtId="164" fontId="8" fillId="5" borderId="16" xfId="2" applyNumberFormat="1" applyFont="1" applyFill="1" applyBorder="1"/>
    <xf numFmtId="164" fontId="6" fillId="7" borderId="16" xfId="2" applyNumberFormat="1" applyFont="1" applyFill="1" applyBorder="1"/>
    <xf numFmtId="164" fontId="6" fillId="9" borderId="16" xfId="2" applyNumberFormat="1" applyFont="1" applyFill="1" applyBorder="1"/>
    <xf numFmtId="164" fontId="7" fillId="10" borderId="16" xfId="2" applyNumberFormat="1" applyFont="1" applyFill="1" applyBorder="1"/>
    <xf numFmtId="164" fontId="9" fillId="0" borderId="16" xfId="2" applyNumberFormat="1" applyFont="1" applyBorder="1"/>
    <xf numFmtId="164" fontId="9" fillId="11" borderId="16" xfId="2" applyNumberFormat="1" applyFont="1" applyFill="1" applyBorder="1"/>
    <xf numFmtId="0" fontId="9" fillId="0" borderId="0" xfId="0" applyFont="1"/>
    <xf numFmtId="0" fontId="5" fillId="0" borderId="4" xfId="0" quotePrefix="1" applyNumberFormat="1" applyFont="1" applyBorder="1" applyAlignment="1">
      <alignment horizontal="center"/>
    </xf>
    <xf numFmtId="0" fontId="5" fillId="0" borderId="4" xfId="0" quotePrefix="1" applyNumberFormat="1" applyFont="1" applyBorder="1"/>
    <xf numFmtId="165" fontId="6" fillId="3" borderId="4" xfId="3" applyNumberFormat="1" applyFont="1" applyFill="1" applyBorder="1"/>
    <xf numFmtId="164" fontId="7" fillId="3" borderId="4" xfId="2" applyNumberFormat="1" applyFont="1" applyFill="1" applyBorder="1"/>
    <xf numFmtId="0" fontId="0" fillId="4" borderId="2" xfId="0" applyFill="1" applyBorder="1"/>
    <xf numFmtId="165" fontId="6" fillId="5" borderId="4" xfId="3" applyNumberFormat="1" applyFont="1" applyFill="1" applyBorder="1"/>
    <xf numFmtId="164" fontId="8" fillId="5" borderId="4" xfId="2" applyNumberFormat="1" applyFont="1" applyFill="1" applyBorder="1"/>
    <xf numFmtId="164" fontId="6" fillId="7" borderId="4" xfId="2" applyNumberFormat="1" applyFont="1" applyFill="1" applyBorder="1"/>
    <xf numFmtId="10" fontId="8" fillId="8" borderId="4" xfId="3" applyNumberFormat="1" applyFont="1" applyFill="1" applyBorder="1"/>
    <xf numFmtId="164" fontId="6" fillId="9" borderId="4" xfId="2" applyNumberFormat="1" applyFont="1" applyFill="1" applyBorder="1"/>
    <xf numFmtId="164" fontId="7" fillId="10" borderId="4" xfId="2" applyNumberFormat="1" applyFont="1" applyFill="1" applyBorder="1"/>
    <xf numFmtId="164" fontId="9" fillId="0" borderId="4" xfId="2" applyNumberFormat="1" applyFont="1" applyBorder="1"/>
    <xf numFmtId="164" fontId="9" fillId="11" borderId="4" xfId="2" applyNumberFormat="1" applyFont="1" applyFill="1" applyBorder="1"/>
    <xf numFmtId="165" fontId="6" fillId="5" borderId="3" xfId="3" applyNumberFormat="1" applyFont="1" applyFill="1" applyBorder="1"/>
    <xf numFmtId="10" fontId="8" fillId="0" borderId="3" xfId="3" applyNumberFormat="1" applyFont="1" applyBorder="1"/>
    <xf numFmtId="10" fontId="8" fillId="0" borderId="16" xfId="3" applyNumberFormat="1" applyFont="1" applyBorder="1"/>
    <xf numFmtId="0" fontId="5" fillId="15" borderId="16" xfId="0" quotePrefix="1" applyNumberFormat="1" applyFont="1" applyFill="1" applyBorder="1" applyAlignment="1">
      <alignment horizontal="center"/>
    </xf>
    <xf numFmtId="0" fontId="5" fillId="15" borderId="16" xfId="0" applyNumberFormat="1" applyFont="1" applyFill="1" applyBorder="1"/>
    <xf numFmtId="0" fontId="2" fillId="13" borderId="16" xfId="0" quotePrefix="1" applyNumberFormat="1" applyFont="1" applyFill="1" applyBorder="1"/>
    <xf numFmtId="10" fontId="8" fillId="0" borderId="4" xfId="3" applyNumberFormat="1" applyFont="1" applyBorder="1"/>
    <xf numFmtId="49" fontId="0" fillId="0" borderId="0" xfId="0" applyNumberFormat="1"/>
    <xf numFmtId="0" fontId="2" fillId="0" borderId="16" xfId="0" quotePrefix="1" applyNumberFormat="1" applyFont="1" applyBorder="1" applyAlignment="1">
      <alignment horizontal="center"/>
    </xf>
    <xf numFmtId="0" fontId="5" fillId="8" borderId="16" xfId="0" quotePrefix="1" applyNumberFormat="1" applyFont="1" applyFill="1" applyBorder="1"/>
    <xf numFmtId="0" fontId="5" fillId="0" borderId="0" xfId="0" applyFont="1"/>
    <xf numFmtId="0" fontId="0" fillId="4" borderId="17" xfId="0" applyFill="1" applyBorder="1"/>
    <xf numFmtId="0" fontId="2" fillId="0" borderId="18" xfId="0" applyFont="1" applyBorder="1"/>
    <xf numFmtId="0" fontId="2" fillId="0" borderId="18" xfId="0" applyFont="1" applyBorder="1" applyAlignment="1">
      <alignment horizontal="center"/>
    </xf>
    <xf numFmtId="166" fontId="6" fillId="3" borderId="18" xfId="0" applyNumberFormat="1" applyFont="1" applyFill="1" applyBorder="1"/>
    <xf numFmtId="44" fontId="2" fillId="3" borderId="18" xfId="2" applyFont="1" applyFill="1" applyBorder="1"/>
    <xf numFmtId="165" fontId="6" fillId="5" borderId="18" xfId="3" applyNumberFormat="1" applyFont="1" applyFill="1" applyBorder="1"/>
    <xf numFmtId="44" fontId="2" fillId="5" borderId="18" xfId="2" applyFont="1" applyFill="1" applyBorder="1"/>
    <xf numFmtId="44" fontId="6" fillId="7" borderId="18" xfId="2" applyFont="1" applyFill="1" applyBorder="1"/>
    <xf numFmtId="44" fontId="2" fillId="16" borderId="18" xfId="2" applyFont="1" applyFill="1" applyBorder="1"/>
    <xf numFmtId="164" fontId="6" fillId="9" borderId="18" xfId="2" applyNumberFormat="1" applyFont="1" applyFill="1" applyBorder="1"/>
    <xf numFmtId="164" fontId="2" fillId="10" borderId="18" xfId="2" applyNumberFormat="1" applyFont="1" applyFill="1" applyBorder="1"/>
    <xf numFmtId="164" fontId="9" fillId="11" borderId="18" xfId="2" applyNumberFormat="1" applyFont="1" applyFill="1" applyBorder="1"/>
    <xf numFmtId="164" fontId="6" fillId="8" borderId="18" xfId="2" applyNumberFormat="1" applyFont="1" applyFill="1" applyBorder="1"/>
    <xf numFmtId="164" fontId="0" fillId="0" borderId="0" xfId="0" applyNumberFormat="1"/>
    <xf numFmtId="0" fontId="2" fillId="0" borderId="0" xfId="0" applyFont="1" applyBorder="1"/>
    <xf numFmtId="0" fontId="2" fillId="0" borderId="0" xfId="0" applyFont="1" applyBorder="1" applyAlignment="1">
      <alignment horizontal="center"/>
    </xf>
    <xf numFmtId="166" fontId="6" fillId="3" borderId="0" xfId="0" applyNumberFormat="1" applyFont="1" applyFill="1" applyBorder="1"/>
    <xf numFmtId="44" fontId="2" fillId="3" borderId="0" xfId="2" applyFont="1" applyFill="1" applyBorder="1"/>
    <xf numFmtId="0" fontId="0" fillId="5" borderId="0" xfId="0" applyFill="1"/>
    <xf numFmtId="0" fontId="0" fillId="7" borderId="0" xfId="0" applyFill="1"/>
    <xf numFmtId="1" fontId="10" fillId="0" borderId="16" xfId="4" applyNumberFormat="1" applyFont="1" applyFill="1" applyBorder="1" applyAlignment="1">
      <alignment horizontal="right" wrapText="1"/>
    </xf>
    <xf numFmtId="0" fontId="8" fillId="0" borderId="16" xfId="0" applyFont="1" applyBorder="1"/>
    <xf numFmtId="164" fontId="7" fillId="3" borderId="16" xfId="2" applyNumberFormat="1" applyFont="1" applyFill="1" applyBorder="1" applyAlignment="1">
      <alignment horizontal="center"/>
    </xf>
    <xf numFmtId="44" fontId="8" fillId="5" borderId="16" xfId="3" applyNumberFormat="1" applyFont="1" applyFill="1" applyBorder="1"/>
    <xf numFmtId="44" fontId="8" fillId="0" borderId="16" xfId="3" applyNumberFormat="1" applyFont="1" applyBorder="1"/>
    <xf numFmtId="164" fontId="9" fillId="0" borderId="16" xfId="3" applyNumberFormat="1" applyFont="1" applyBorder="1"/>
    <xf numFmtId="164" fontId="9" fillId="13" borderId="16" xfId="2" applyNumberFormat="1" applyFont="1" applyFill="1" applyBorder="1"/>
    <xf numFmtId="1" fontId="10" fillId="0" borderId="4" xfId="4" applyNumberFormat="1" applyFont="1" applyFill="1" applyBorder="1" applyAlignment="1">
      <alignment horizontal="right" wrapText="1"/>
    </xf>
    <xf numFmtId="0" fontId="8" fillId="0" borderId="4" xfId="0" applyFont="1" applyBorder="1"/>
    <xf numFmtId="164" fontId="7" fillId="3" borderId="4" xfId="2" applyNumberFormat="1" applyFont="1" applyFill="1" applyBorder="1" applyAlignment="1">
      <alignment horizontal="center"/>
    </xf>
    <xf numFmtId="44" fontId="11" fillId="5" borderId="4" xfId="1" applyNumberFormat="1" applyFont="1" applyFill="1" applyBorder="1"/>
    <xf numFmtId="44" fontId="8" fillId="0" borderId="4" xfId="3" applyNumberFormat="1" applyFont="1" applyBorder="1"/>
    <xf numFmtId="164" fontId="12" fillId="8" borderId="4" xfId="1" applyNumberFormat="1" applyFont="1" applyFill="1" applyBorder="1"/>
    <xf numFmtId="1" fontId="10" fillId="0" borderId="5" xfId="4" applyNumberFormat="1" applyFont="1" applyFill="1" applyBorder="1" applyAlignment="1">
      <alignment horizontal="right" wrapText="1"/>
    </xf>
    <xf numFmtId="1" fontId="10" fillId="0" borderId="6" xfId="4" applyNumberFormat="1" applyFont="1" applyFill="1" applyBorder="1" applyAlignment="1">
      <alignment horizontal="right" wrapText="1"/>
    </xf>
    <xf numFmtId="0" fontId="8" fillId="0" borderId="6" xfId="0" applyFont="1" applyBorder="1"/>
    <xf numFmtId="165" fontId="6" fillId="3" borderId="6" xfId="3" applyNumberFormat="1" applyFont="1" applyFill="1" applyBorder="1"/>
    <xf numFmtId="3" fontId="7" fillId="3" borderId="6" xfId="0" applyNumberFormat="1" applyFont="1" applyFill="1" applyBorder="1" applyAlignment="1">
      <alignment horizontal="center"/>
    </xf>
    <xf numFmtId="165" fontId="6" fillId="5" borderId="14" xfId="3" applyNumberFormat="1" applyFont="1" applyFill="1" applyBorder="1"/>
    <xf numFmtId="3" fontId="7" fillId="5" borderId="6" xfId="0" applyNumberFormat="1" applyFont="1" applyFill="1" applyBorder="1" applyAlignment="1">
      <alignment horizontal="center"/>
    </xf>
    <xf numFmtId="3" fontId="7" fillId="7" borderId="6" xfId="0" applyNumberFormat="1" applyFont="1" applyFill="1" applyBorder="1" applyAlignment="1">
      <alignment horizontal="center"/>
    </xf>
    <xf numFmtId="3" fontId="7" fillId="8" borderId="6" xfId="0" applyNumberFormat="1" applyFont="1" applyFill="1" applyBorder="1" applyAlignment="1">
      <alignment horizontal="center"/>
    </xf>
    <xf numFmtId="3" fontId="7" fillId="9" borderId="6" xfId="0" applyNumberFormat="1" applyFont="1" applyFill="1" applyBorder="1" applyAlignment="1">
      <alignment horizontal="center"/>
    </xf>
    <xf numFmtId="3" fontId="7" fillId="10" borderId="6" xfId="0" applyNumberFormat="1" applyFont="1" applyFill="1" applyBorder="1" applyAlignment="1">
      <alignment horizontal="center"/>
    </xf>
    <xf numFmtId="0" fontId="7" fillId="0" borderId="19" xfId="0" quotePrefix="1" applyFont="1" applyBorder="1"/>
    <xf numFmtId="0" fontId="7" fillId="0" borderId="18" xfId="0" applyFont="1" applyFill="1" applyBorder="1" applyAlignment="1">
      <alignment horizontal="center"/>
    </xf>
    <xf numFmtId="166" fontId="6" fillId="3" borderId="18" xfId="3" applyNumberFormat="1" applyFont="1" applyFill="1" applyBorder="1"/>
    <xf numFmtId="44" fontId="2" fillId="3" borderId="18" xfId="2" applyFont="1" applyFill="1" applyBorder="1" applyAlignment="1">
      <alignment horizontal="center"/>
    </xf>
    <xf numFmtId="44" fontId="2" fillId="5" borderId="18" xfId="2" applyFont="1" applyFill="1" applyBorder="1" applyAlignment="1">
      <alignment horizontal="center"/>
    </xf>
    <xf numFmtId="164" fontId="2" fillId="7" borderId="18" xfId="2" applyNumberFormat="1" applyFont="1" applyFill="1" applyBorder="1" applyAlignment="1">
      <alignment horizontal="center"/>
    </xf>
    <xf numFmtId="164" fontId="2" fillId="8" borderId="18" xfId="2" applyNumberFormat="1" applyFont="1" applyFill="1" applyBorder="1" applyAlignment="1">
      <alignment horizontal="center"/>
    </xf>
    <xf numFmtId="164" fontId="2" fillId="9" borderId="18" xfId="2" applyNumberFormat="1" applyFont="1" applyFill="1" applyBorder="1" applyAlignment="1">
      <alignment horizontal="center"/>
    </xf>
    <xf numFmtId="164" fontId="2" fillId="10" borderId="18" xfId="2" applyNumberFormat="1" applyFont="1" applyFill="1" applyBorder="1" applyAlignment="1">
      <alignment horizontal="center"/>
    </xf>
    <xf numFmtId="0" fontId="7" fillId="0" borderId="5" xfId="0" quotePrefix="1" applyFont="1" applyBorder="1"/>
    <xf numFmtId="0" fontId="7" fillId="0" borderId="0" xfId="0" applyFont="1" applyFill="1" applyBorder="1" applyAlignment="1">
      <alignment horizontal="center"/>
    </xf>
    <xf numFmtId="166" fontId="6" fillId="3" borderId="0" xfId="3" applyNumberFormat="1" applyFont="1" applyFill="1" applyBorder="1"/>
    <xf numFmtId="3" fontId="2" fillId="3" borderId="0" xfId="0" applyNumberFormat="1" applyFont="1" applyFill="1" applyBorder="1" applyAlignment="1">
      <alignment horizontal="center"/>
    </xf>
    <xf numFmtId="3" fontId="2" fillId="5" borderId="0" xfId="0" applyNumberFormat="1" applyFont="1" applyFill="1" applyBorder="1" applyAlignment="1">
      <alignment horizontal="center"/>
    </xf>
    <xf numFmtId="164" fontId="2" fillId="7" borderId="0" xfId="0" applyNumberFormat="1" applyFont="1" applyFill="1" applyBorder="1" applyAlignment="1">
      <alignment horizontal="center"/>
    </xf>
    <xf numFmtId="164" fontId="2" fillId="8" borderId="0" xfId="0" applyNumberFormat="1" applyFont="1" applyFill="1" applyBorder="1" applyAlignment="1">
      <alignment horizontal="center"/>
    </xf>
    <xf numFmtId="164" fontId="2" fillId="9" borderId="0" xfId="0" applyNumberFormat="1" applyFont="1" applyFill="1" applyBorder="1" applyAlignment="1">
      <alignment horizontal="center"/>
    </xf>
    <xf numFmtId="164" fontId="2" fillId="10" borderId="0" xfId="0" applyNumberFormat="1" applyFont="1" applyFill="1" applyBorder="1" applyAlignment="1">
      <alignment horizontal="center"/>
    </xf>
    <xf numFmtId="3" fontId="2" fillId="8" borderId="0" xfId="0" applyNumberFormat="1" applyFont="1" applyFill="1" applyBorder="1" applyAlignment="1">
      <alignment horizontal="center"/>
    </xf>
    <xf numFmtId="10" fontId="6" fillId="3" borderId="18" xfId="0" applyNumberFormat="1" applyFont="1" applyFill="1" applyBorder="1"/>
    <xf numFmtId="10" fontId="6" fillId="5" borderId="18" xfId="3" applyNumberFormat="1" applyFont="1" applyFill="1" applyBorder="1"/>
    <xf numFmtId="0" fontId="2" fillId="3" borderId="0" xfId="0" applyFont="1" applyFill="1"/>
    <xf numFmtId="0" fontId="0" fillId="9" borderId="0" xfId="0" applyFill="1"/>
    <xf numFmtId="0" fontId="0" fillId="10" borderId="0" xfId="0" applyFill="1"/>
    <xf numFmtId="164" fontId="0" fillId="0" borderId="0" xfId="2" applyNumberFormat="1" applyFont="1"/>
    <xf numFmtId="0" fontId="2" fillId="0" borderId="16" xfId="0" quotePrefix="1" applyNumberFormat="1" applyFont="1" applyBorder="1"/>
    <xf numFmtId="164" fontId="0" fillId="5" borderId="16" xfId="2" applyNumberFormat="1" applyFont="1" applyFill="1" applyBorder="1"/>
    <xf numFmtId="164" fontId="0" fillId="7" borderId="16" xfId="2" applyNumberFormat="1" applyFont="1" applyFill="1" applyBorder="1"/>
    <xf numFmtId="10" fontId="0" fillId="0" borderId="16" xfId="3" applyNumberFormat="1" applyFont="1" applyBorder="1"/>
    <xf numFmtId="164" fontId="0" fillId="10" borderId="16" xfId="2" applyNumberFormat="1" applyFont="1" applyFill="1" applyBorder="1"/>
    <xf numFmtId="164" fontId="0" fillId="0" borderId="16" xfId="2" applyNumberFormat="1" applyFont="1" applyBorder="1"/>
    <xf numFmtId="0" fontId="2" fillId="0" borderId="4" xfId="0" quotePrefix="1" applyNumberFormat="1" applyFont="1" applyBorder="1"/>
    <xf numFmtId="164" fontId="0" fillId="5" borderId="4" xfId="2" applyNumberFormat="1" applyFont="1" applyFill="1" applyBorder="1"/>
    <xf numFmtId="164" fontId="0" fillId="7" borderId="4" xfId="2" applyNumberFormat="1" applyFont="1" applyFill="1" applyBorder="1"/>
    <xf numFmtId="10" fontId="0" fillId="0" borderId="4" xfId="3" applyNumberFormat="1" applyFont="1" applyBorder="1"/>
    <xf numFmtId="164" fontId="0" fillId="10" borderId="4" xfId="2" applyNumberFormat="1" applyFont="1" applyFill="1" applyBorder="1"/>
    <xf numFmtId="164" fontId="0" fillId="0" borderId="4" xfId="2" applyNumberFormat="1" applyFont="1" applyBorder="1"/>
    <xf numFmtId="0" fontId="0" fillId="5" borderId="14" xfId="0" applyFill="1" applyBorder="1"/>
    <xf numFmtId="0" fontId="0" fillId="7" borderId="14" xfId="0" applyFill="1" applyBorder="1"/>
    <xf numFmtId="0" fontId="0" fillId="0" borderId="14" xfId="0" applyBorder="1"/>
    <xf numFmtId="0" fontId="0" fillId="9" borderId="14" xfId="0" applyFill="1" applyBorder="1"/>
    <xf numFmtId="0" fontId="0" fillId="10" borderId="14" xfId="0" applyFill="1" applyBorder="1"/>
    <xf numFmtId="10" fontId="6" fillId="5" borderId="14" xfId="3" applyNumberFormat="1" applyFont="1" applyFill="1" applyBorder="1"/>
    <xf numFmtId="164" fontId="2" fillId="5" borderId="14" xfId="0" applyNumberFormat="1" applyFont="1" applyFill="1" applyBorder="1"/>
    <xf numFmtId="164" fontId="2" fillId="7" borderId="14" xfId="0" applyNumberFormat="1" applyFont="1" applyFill="1" applyBorder="1"/>
    <xf numFmtId="164" fontId="2" fillId="0" borderId="14" xfId="0" applyNumberFormat="1" applyFont="1" applyBorder="1"/>
    <xf numFmtId="164" fontId="2" fillId="9" borderId="14" xfId="0" applyNumberFormat="1" applyFont="1" applyFill="1" applyBorder="1"/>
    <xf numFmtId="164" fontId="2" fillId="10" borderId="14" xfId="0" applyNumberFormat="1" applyFont="1" applyFill="1" applyBorder="1"/>
    <xf numFmtId="44" fontId="7" fillId="3" borderId="16" xfId="2" applyFont="1" applyFill="1" applyBorder="1" applyAlignment="1">
      <alignment horizontal="center"/>
    </xf>
    <xf numFmtId="164" fontId="8" fillId="5" borderId="16" xfId="3" applyNumberFormat="1" applyFont="1" applyFill="1" applyBorder="1"/>
    <xf numFmtId="164" fontId="8" fillId="0" borderId="16" xfId="3" applyNumberFormat="1" applyFont="1" applyBorder="1"/>
    <xf numFmtId="164" fontId="8" fillId="9" borderId="16" xfId="3" applyNumberFormat="1" applyFont="1" applyFill="1" applyBorder="1"/>
    <xf numFmtId="164" fontId="8" fillId="5" borderId="4" xfId="3" applyNumberFormat="1" applyFont="1" applyFill="1" applyBorder="1"/>
    <xf numFmtId="164" fontId="8" fillId="7" borderId="4" xfId="3" applyNumberFormat="1" applyFont="1" applyFill="1" applyBorder="1"/>
    <xf numFmtId="164" fontId="8" fillId="0" borderId="4" xfId="3" applyNumberFormat="1" applyFont="1" applyBorder="1"/>
    <xf numFmtId="164" fontId="8" fillId="9" borderId="4" xfId="3" applyNumberFormat="1" applyFont="1" applyFill="1" applyBorder="1"/>
    <xf numFmtId="164" fontId="8" fillId="10" borderId="4" xfId="3" applyNumberFormat="1" applyFont="1" applyFill="1" applyBorder="1"/>
    <xf numFmtId="164" fontId="8" fillId="5" borderId="14" xfId="2" applyNumberFormat="1" applyFont="1" applyFill="1" applyBorder="1"/>
    <xf numFmtId="164" fontId="8" fillId="7" borderId="14" xfId="2" applyNumberFormat="1" applyFont="1" applyFill="1" applyBorder="1"/>
    <xf numFmtId="164" fontId="8" fillId="0" borderId="14" xfId="2" applyNumberFormat="1" applyFont="1" applyBorder="1"/>
    <xf numFmtId="164" fontId="8" fillId="9" borderId="14" xfId="2" applyNumberFormat="1" applyFont="1" applyFill="1" applyBorder="1"/>
    <xf numFmtId="164" fontId="7" fillId="10" borderId="14" xfId="2" applyNumberFormat="1" applyFont="1" applyFill="1" applyBorder="1"/>
    <xf numFmtId="164" fontId="8" fillId="5" borderId="3" xfId="3" applyNumberFormat="1" applyFont="1" applyFill="1" applyBorder="1"/>
    <xf numFmtId="164" fontId="8" fillId="7" borderId="3" xfId="3" applyNumberFormat="1" applyFont="1" applyFill="1" applyBorder="1"/>
    <xf numFmtId="164" fontId="8" fillId="0" borderId="3" xfId="3" applyNumberFormat="1" applyFont="1" applyBorder="1"/>
    <xf numFmtId="164" fontId="8" fillId="9" borderId="3" xfId="3" applyNumberFormat="1" applyFont="1" applyFill="1" applyBorder="1"/>
    <xf numFmtId="164" fontId="8" fillId="10" borderId="3" xfId="3" applyNumberFormat="1" applyFont="1" applyFill="1" applyBorder="1"/>
    <xf numFmtId="10" fontId="6" fillId="5" borderId="16" xfId="3" applyNumberFormat="1" applyFont="1" applyFill="1" applyBorder="1"/>
    <xf numFmtId="164" fontId="8" fillId="7" borderId="16" xfId="2" applyNumberFormat="1" applyFont="1" applyFill="1" applyBorder="1"/>
    <xf numFmtId="164" fontId="8" fillId="0" borderId="16" xfId="2" applyNumberFormat="1" applyFont="1" applyBorder="1"/>
    <xf numFmtId="164" fontId="8" fillId="9" borderId="16" xfId="2" applyNumberFormat="1" applyFont="1" applyFill="1" applyBorder="1"/>
    <xf numFmtId="0" fontId="0" fillId="17" borderId="0" xfId="0" applyFill="1"/>
    <xf numFmtId="0" fontId="9" fillId="17" borderId="0" xfId="0" applyFont="1" applyFill="1"/>
    <xf numFmtId="0" fontId="2" fillId="17" borderId="0" xfId="0" applyFont="1" applyFill="1"/>
    <xf numFmtId="164" fontId="0" fillId="17" borderId="0" xfId="0" applyNumberFormat="1" applyFill="1"/>
    <xf numFmtId="164" fontId="8" fillId="10" borderId="16" xfId="2" applyNumberFormat="1" applyFont="1" applyFill="1" applyBorder="1"/>
    <xf numFmtId="0" fontId="2" fillId="8" borderId="0" xfId="0" applyFont="1" applyFill="1"/>
    <xf numFmtId="0" fontId="2" fillId="8" borderId="1" xfId="0" applyFont="1" applyFill="1" applyBorder="1" applyAlignment="1">
      <alignment horizontal="center" vertical="center" wrapText="1"/>
    </xf>
    <xf numFmtId="0" fontId="2" fillId="0" borderId="1" xfId="0" applyFont="1" applyFill="1" applyBorder="1" applyAlignment="1">
      <alignment horizontal="center"/>
    </xf>
    <xf numFmtId="0" fontId="2" fillId="18" borderId="1" xfId="0" applyFont="1" applyFill="1" applyBorder="1" applyAlignment="1">
      <alignment horizontal="center" wrapText="1"/>
    </xf>
    <xf numFmtId="0" fontId="0" fillId="18" borderId="0" xfId="0" applyFill="1"/>
    <xf numFmtId="0" fontId="2" fillId="18" borderId="1" xfId="0" applyFont="1" applyFill="1" applyBorder="1" applyAlignment="1">
      <alignment horizontal="center" vertical="center" wrapText="1"/>
    </xf>
    <xf numFmtId="0" fontId="5" fillId="2" borderId="1" xfId="0" applyFont="1" applyFill="1" applyBorder="1" applyAlignment="1">
      <alignment horizontal="left" wrapText="1"/>
    </xf>
    <xf numFmtId="0" fontId="5" fillId="3" borderId="1" xfId="0" applyFont="1" applyFill="1" applyBorder="1" applyAlignment="1">
      <alignment horizontal="left" wrapText="1"/>
    </xf>
    <xf numFmtId="0" fontId="0" fillId="4" borderId="0" xfId="0" applyFont="1" applyFill="1" applyAlignment="1">
      <alignment horizontal="left"/>
    </xf>
    <xf numFmtId="0" fontId="5" fillId="5" borderId="1" xfId="0" applyFont="1" applyFill="1" applyBorder="1" applyAlignment="1">
      <alignment horizontal="left" wrapText="1"/>
    </xf>
    <xf numFmtId="0" fontId="0" fillId="6" borderId="0" xfId="0" applyFont="1" applyFill="1" applyAlignment="1">
      <alignment horizontal="left"/>
    </xf>
    <xf numFmtId="0" fontId="5" fillId="7" borderId="1" xfId="0" applyFont="1" applyFill="1" applyBorder="1" applyAlignment="1">
      <alignment horizontal="left" wrapText="1"/>
    </xf>
    <xf numFmtId="0" fontId="5" fillId="8" borderId="1" xfId="0" applyFont="1" applyFill="1" applyBorder="1" applyAlignment="1">
      <alignment horizontal="left" vertical="center" wrapText="1"/>
    </xf>
    <xf numFmtId="0" fontId="5" fillId="9" borderId="1" xfId="0" applyFont="1" applyFill="1" applyBorder="1" applyAlignment="1">
      <alignment horizontal="left" wrapText="1"/>
    </xf>
    <xf numFmtId="0" fontId="5" fillId="10" borderId="1" xfId="0" applyFont="1" applyFill="1" applyBorder="1" applyAlignment="1">
      <alignment horizontal="left" wrapText="1"/>
    </xf>
    <xf numFmtId="0" fontId="5" fillId="11" borderId="1" xfId="0" applyFont="1" applyFill="1" applyBorder="1" applyAlignment="1">
      <alignment horizontal="left" wrapText="1"/>
    </xf>
    <xf numFmtId="0" fontId="5" fillId="12" borderId="1" xfId="0" applyFont="1" applyFill="1" applyBorder="1" applyAlignment="1">
      <alignment horizontal="left" wrapText="1"/>
    </xf>
    <xf numFmtId="0" fontId="4" fillId="10" borderId="1" xfId="0" applyFont="1" applyFill="1" applyBorder="1" applyAlignment="1">
      <alignment horizontal="center" wrapText="1"/>
    </xf>
    <xf numFmtId="0" fontId="14" fillId="10" borderId="1" xfId="0" applyFont="1" applyFill="1" applyBorder="1" applyAlignment="1">
      <alignment horizontal="center" vertical="center" wrapText="1"/>
    </xf>
    <xf numFmtId="0" fontId="14" fillId="18" borderId="1" xfId="0" applyFont="1" applyFill="1" applyBorder="1" applyAlignment="1">
      <alignment horizontal="center" wrapText="1"/>
    </xf>
    <xf numFmtId="0" fontId="15" fillId="10" borderId="1" xfId="0" applyFont="1" applyFill="1" applyBorder="1" applyAlignment="1">
      <alignment horizontal="left" wrapText="1"/>
    </xf>
    <xf numFmtId="0" fontId="4" fillId="14" borderId="15" xfId="0" applyFont="1" applyFill="1" applyBorder="1" applyAlignment="1">
      <alignment horizontal="center"/>
    </xf>
    <xf numFmtId="164" fontId="4" fillId="10" borderId="3" xfId="2" applyNumberFormat="1" applyFont="1" applyFill="1" applyBorder="1"/>
    <xf numFmtId="164" fontId="4" fillId="10" borderId="16" xfId="2" applyNumberFormat="1" applyFont="1" applyFill="1" applyBorder="1"/>
    <xf numFmtId="164" fontId="4" fillId="10" borderId="4" xfId="2" applyNumberFormat="1" applyFont="1" applyFill="1" applyBorder="1"/>
    <xf numFmtId="164" fontId="4" fillId="10" borderId="7" xfId="2" quotePrefix="1" applyNumberFormat="1" applyFont="1" applyFill="1" applyBorder="1" applyAlignment="1">
      <alignment horizontal="center"/>
    </xf>
    <xf numFmtId="164" fontId="4" fillId="10" borderId="4" xfId="2" applyNumberFormat="1" applyFont="1" applyFill="1" applyBorder="1" applyAlignment="1">
      <alignment horizontal="center"/>
    </xf>
    <xf numFmtId="0" fontId="13" fillId="0" borderId="0" xfId="0" applyFont="1" applyAlignment="1">
      <alignment horizontal="center"/>
    </xf>
    <xf numFmtId="44" fontId="8" fillId="19" borderId="16" xfId="3" applyNumberFormat="1" applyFont="1" applyFill="1" applyBorder="1"/>
    <xf numFmtId="44" fontId="11" fillId="19" borderId="4" xfId="1" applyNumberFormat="1" applyFont="1" applyFill="1" applyBorder="1"/>
    <xf numFmtId="0" fontId="7" fillId="0" borderId="1" xfId="0" applyFont="1" applyBorder="1" applyAlignment="1">
      <alignment horizontal="center"/>
    </xf>
    <xf numFmtId="0" fontId="3" fillId="0" borderId="1" xfId="0" applyFont="1" applyBorder="1" applyAlignment="1">
      <alignment horizontal="center"/>
    </xf>
    <xf numFmtId="0" fontId="14" fillId="0" borderId="1" xfId="0" applyFont="1" applyBorder="1" applyAlignment="1">
      <alignment horizontal="center"/>
    </xf>
    <xf numFmtId="0" fontId="13" fillId="13" borderId="1" xfId="0" applyFont="1" applyFill="1" applyBorder="1" applyAlignment="1">
      <alignment vertical="center" wrapText="1"/>
    </xf>
    <xf numFmtId="0" fontId="2" fillId="15" borderId="1" xfId="0" applyNumberFormat="1" applyFont="1" applyFill="1" applyBorder="1"/>
    <xf numFmtId="10" fontId="9" fillId="20" borderId="16" xfId="3" applyNumberFormat="1" applyFont="1" applyFill="1" applyBorder="1"/>
    <xf numFmtId="164" fontId="3" fillId="13" borderId="16" xfId="2" applyNumberFormat="1" applyFont="1" applyFill="1" applyBorder="1"/>
    <xf numFmtId="10" fontId="9" fillId="20" borderId="21" xfId="3" applyNumberFormat="1" applyFont="1" applyFill="1" applyBorder="1"/>
    <xf numFmtId="10" fontId="9" fillId="20" borderId="1" xfId="3" applyNumberFormat="1" applyFont="1" applyFill="1" applyBorder="1"/>
    <xf numFmtId="164" fontId="2" fillId="8" borderId="7" xfId="2" applyNumberFormat="1" applyFont="1" applyFill="1" applyBorder="1"/>
    <xf numFmtId="0" fontId="2" fillId="20" borderId="1" xfId="0" applyFont="1" applyFill="1" applyBorder="1" applyAlignment="1">
      <alignment horizontal="center" wrapText="1"/>
    </xf>
    <xf numFmtId="0" fontId="4" fillId="20" borderId="3" xfId="0" applyFont="1" applyFill="1" applyBorder="1" applyAlignment="1">
      <alignment horizontal="center"/>
    </xf>
    <xf numFmtId="0" fontId="2" fillId="20" borderId="4" xfId="0" applyFont="1" applyFill="1" applyBorder="1"/>
    <xf numFmtId="0" fontId="2" fillId="20" borderId="10" xfId="0" applyFont="1" applyFill="1" applyBorder="1"/>
    <xf numFmtId="0" fontId="2" fillId="20" borderId="12" xfId="0" applyFont="1" applyFill="1" applyBorder="1"/>
    <xf numFmtId="164" fontId="2" fillId="20" borderId="7" xfId="2" quotePrefix="1" applyNumberFormat="1" applyFont="1" applyFill="1" applyBorder="1" applyAlignment="1">
      <alignment horizontal="center"/>
    </xf>
    <xf numFmtId="164" fontId="9" fillId="20" borderId="3" xfId="2" applyNumberFormat="1" applyFont="1" applyFill="1" applyBorder="1"/>
    <xf numFmtId="164" fontId="9" fillId="20" borderId="16" xfId="2" applyNumberFormat="1" applyFont="1" applyFill="1" applyBorder="1"/>
    <xf numFmtId="164" fontId="9" fillId="20" borderId="4" xfId="2" applyNumberFormat="1" applyFont="1" applyFill="1" applyBorder="1"/>
    <xf numFmtId="164" fontId="6" fillId="20" borderId="20" xfId="2" applyNumberFormat="1" applyFont="1" applyFill="1" applyBorder="1"/>
    <xf numFmtId="164" fontId="2" fillId="20" borderId="18" xfId="2" quotePrefix="1" applyNumberFormat="1" applyFont="1" applyFill="1" applyBorder="1"/>
  </cellXfs>
  <cellStyles count="5">
    <cellStyle name="Comma" xfId="1" builtinId="3"/>
    <cellStyle name="Currency" xfId="2" builtinId="4"/>
    <cellStyle name="Normal" xfId="0" builtinId="0"/>
    <cellStyle name="Normal_Sheet1" xfId="4"/>
    <cellStyle name="Percent" xfId="3" builtinId="5"/>
  </cellStyles>
  <dxfs count="0"/>
  <tableStyles count="0" defaultTableStyle="TableStyleMedium9" defaultPivotStyle="PivotStyleLight16"/>
  <colors>
    <mruColors>
      <color rgb="FFFFFF85"/>
      <color rgb="FF86EFFA"/>
    </mruColors>
  </colors>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rant%20Master%20%231%20BASIC%202K%20Part%20B%2011-1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istrict Reorgs 7-1-12"/>
      <sheetName val="South Clay Dissolved"/>
      <sheetName val="2K Budget for I-3"/>
      <sheetName val="May-6-11 LEA Estimate"/>
      <sheetName val="Sheet1"/>
      <sheetName val="LEA Awards 11-12 Part B"/>
      <sheetName val="Non Public Percents for 11-12"/>
      <sheetName val="Base (AEA-SOP only)11-12"/>
      <sheetName val="AEA $ Enroll 11-12"/>
      <sheetName val="AEA $ Poverty 11-12"/>
      <sheetName val="AEA 11-12 Detail"/>
      <sheetName val="LEA $ Poverty Factors for 11-12"/>
      <sheetName val="LEA $ Enroll Factor for 11-12"/>
      <sheetName val="AEA to LEA Grants 11-12 "/>
      <sheetName val="AEA BASIC 11-12 "/>
      <sheetName val="State Operated Programs 11-12"/>
      <sheetName val="SOP Basic Grants 10-11 ANNOUNCE"/>
      <sheetName val="Grant Overview 2K"/>
      <sheetName val="OSEP Award Table (pdf)"/>
      <sheetName val="BASIC OVERVIEW FLOW THRU"/>
      <sheetName val="Base 10-11"/>
      <sheetName val="Base 09-10"/>
      <sheetName val="Sheet3"/>
    </sheetNames>
    <sheetDataSet>
      <sheetData sheetId="0"/>
      <sheetData sheetId="1"/>
      <sheetData sheetId="2"/>
      <sheetData sheetId="3"/>
      <sheetData sheetId="4">
        <row r="370">
          <cell r="F370">
            <v>26791335</v>
          </cell>
        </row>
      </sheetData>
      <sheetData sheetId="5"/>
      <sheetData sheetId="6"/>
      <sheetData sheetId="7"/>
      <sheetData sheetId="8"/>
      <sheetData sheetId="9"/>
      <sheetData sheetId="10"/>
      <sheetData sheetId="11"/>
      <sheetData sheetId="12">
        <row r="3">
          <cell r="L3">
            <v>22428441</v>
          </cell>
        </row>
      </sheetData>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19"/>
  <sheetViews>
    <sheetView topLeftCell="A7" zoomScale="120" zoomScaleNormal="120" workbookViewId="0">
      <selection activeCell="F5" sqref="F5"/>
    </sheetView>
  </sheetViews>
  <sheetFormatPr defaultRowHeight="12.75"/>
  <cols>
    <col min="1" max="1" width="2.5703125" bestFit="1" customWidth="1"/>
    <col min="2" max="2" width="24.7109375" customWidth="1"/>
    <col min="3" max="3" width="3.7109375" customWidth="1"/>
    <col min="4" max="4" width="59.140625" customWidth="1"/>
    <col min="6" max="6" width="37" customWidth="1"/>
  </cols>
  <sheetData>
    <row r="1" spans="1:6" ht="13.5" thickBot="1">
      <c r="F1" t="s">
        <v>809</v>
      </c>
    </row>
    <row r="2" spans="1:6" ht="39" thickBot="1">
      <c r="A2" s="1" t="s">
        <v>0</v>
      </c>
      <c r="B2" s="2" t="s">
        <v>18</v>
      </c>
      <c r="C2" s="237"/>
      <c r="D2" s="240" t="s">
        <v>787</v>
      </c>
      <c r="F2" s="267" t="s">
        <v>807</v>
      </c>
    </row>
    <row r="3" spans="1:6" ht="13.5" thickBot="1">
      <c r="A3" s="1" t="s">
        <v>1</v>
      </c>
      <c r="B3" s="2" t="s">
        <v>19</v>
      </c>
      <c r="C3" s="237"/>
      <c r="D3" s="240" t="s">
        <v>788</v>
      </c>
      <c r="F3" s="268" t="s">
        <v>808</v>
      </c>
    </row>
    <row r="4" spans="1:6" ht="13.5" thickBot="1">
      <c r="A4" s="1" t="s">
        <v>2</v>
      </c>
      <c r="B4" s="2" t="s">
        <v>20</v>
      </c>
      <c r="C4" s="237"/>
      <c r="D4" s="240" t="s">
        <v>789</v>
      </c>
    </row>
    <row r="5" spans="1:6" ht="30" customHeight="1" thickBot="1">
      <c r="A5" s="1" t="s">
        <v>3</v>
      </c>
      <c r="B5" s="3" t="s">
        <v>21</v>
      </c>
      <c r="C5" s="237"/>
      <c r="D5" s="241" t="s">
        <v>790</v>
      </c>
    </row>
    <row r="6" spans="1:6" ht="64.5" thickBot="1">
      <c r="A6" s="1" t="s">
        <v>4</v>
      </c>
      <c r="B6" s="3" t="s">
        <v>22</v>
      </c>
      <c r="C6" s="237"/>
      <c r="D6" s="241" t="s">
        <v>793</v>
      </c>
    </row>
    <row r="7" spans="1:6" ht="13.5" thickBot="1">
      <c r="A7" s="1" t="s">
        <v>5</v>
      </c>
      <c r="B7" s="5"/>
      <c r="C7" s="238"/>
      <c r="D7" s="242" t="s">
        <v>792</v>
      </c>
    </row>
    <row r="8" spans="1:6" ht="39" thickBot="1">
      <c r="A8" s="1" t="s">
        <v>6</v>
      </c>
      <c r="B8" s="6" t="s">
        <v>23</v>
      </c>
      <c r="C8" s="237"/>
      <c r="D8" s="243" t="s">
        <v>791</v>
      </c>
    </row>
    <row r="9" spans="1:6" ht="64.5" thickBot="1">
      <c r="A9" s="1" t="s">
        <v>7</v>
      </c>
      <c r="B9" s="6" t="s">
        <v>24</v>
      </c>
      <c r="C9" s="237"/>
      <c r="D9" s="243" t="s">
        <v>794</v>
      </c>
    </row>
    <row r="10" spans="1:6" ht="13.5" thickBot="1">
      <c r="A10" s="1" t="s">
        <v>8</v>
      </c>
      <c r="B10" s="7"/>
      <c r="C10" s="238"/>
      <c r="D10" s="244" t="s">
        <v>792</v>
      </c>
    </row>
    <row r="11" spans="1:6" ht="26.25" thickBot="1">
      <c r="A11" s="1" t="s">
        <v>9</v>
      </c>
      <c r="B11" s="8" t="s">
        <v>25</v>
      </c>
      <c r="C11" s="237"/>
      <c r="D11" s="245" t="s">
        <v>795</v>
      </c>
    </row>
    <row r="12" spans="1:6" ht="77.25" thickBot="1">
      <c r="A12" s="1" t="s">
        <v>10</v>
      </c>
      <c r="B12" s="235" t="s">
        <v>26</v>
      </c>
      <c r="C12" s="239"/>
      <c r="D12" s="246" t="s">
        <v>796</v>
      </c>
    </row>
    <row r="13" spans="1:6" ht="77.25" thickBot="1">
      <c r="A13" s="1" t="s">
        <v>11</v>
      </c>
      <c r="B13" s="10" t="s">
        <v>27</v>
      </c>
      <c r="C13" s="237"/>
      <c r="D13" s="247" t="s">
        <v>797</v>
      </c>
    </row>
    <row r="14" spans="1:6" ht="102" thickBot="1">
      <c r="A14" s="1" t="s">
        <v>12</v>
      </c>
      <c r="B14" s="252" t="s">
        <v>803</v>
      </c>
      <c r="C14" s="253"/>
      <c r="D14" s="254" t="s">
        <v>798</v>
      </c>
    </row>
    <row r="15" spans="1:6" ht="64.5" thickBot="1">
      <c r="A15" s="1" t="s">
        <v>13</v>
      </c>
      <c r="B15" s="12" t="s">
        <v>29</v>
      </c>
      <c r="C15" s="237"/>
      <c r="D15" s="249" t="s">
        <v>799</v>
      </c>
    </row>
    <row r="16" spans="1:6" ht="13.5" thickBot="1">
      <c r="A16" s="1" t="s">
        <v>14</v>
      </c>
      <c r="B16" s="13" t="s">
        <v>30</v>
      </c>
      <c r="C16" s="237"/>
      <c r="D16" s="250" t="s">
        <v>800</v>
      </c>
    </row>
    <row r="17" spans="1:4" ht="13.5" thickBot="1">
      <c r="A17" s="1" t="s">
        <v>15</v>
      </c>
      <c r="B17" s="11" t="s">
        <v>31</v>
      </c>
      <c r="C17" s="237"/>
      <c r="D17" s="248" t="s">
        <v>801</v>
      </c>
    </row>
    <row r="18" spans="1:4" ht="13.5" thickBot="1">
      <c r="A18" s="1" t="s">
        <v>16</v>
      </c>
      <c r="B18" s="11" t="s">
        <v>32</v>
      </c>
      <c r="C18" s="237"/>
      <c r="D18" s="248" t="s">
        <v>802</v>
      </c>
    </row>
    <row r="19" spans="1:4" ht="13.5" thickBot="1">
      <c r="A19" s="236" t="s">
        <v>17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AA403"/>
  <sheetViews>
    <sheetView tabSelected="1" topLeftCell="G1" workbookViewId="0">
      <selection activeCell="S10" sqref="S10"/>
    </sheetView>
  </sheetViews>
  <sheetFormatPr defaultRowHeight="12.75"/>
  <cols>
    <col min="1" max="1" width="4.7109375" customWidth="1"/>
    <col min="2" max="2" width="8.7109375" customWidth="1"/>
    <col min="3" max="3" width="61.42578125" bestFit="1" customWidth="1"/>
    <col min="4" max="4" width="10.7109375" customWidth="1"/>
    <col min="5" max="5" width="14" customWidth="1"/>
    <col min="6" max="6" width="1.42578125" customWidth="1"/>
    <col min="7" max="7" width="10.85546875" customWidth="1"/>
    <col min="8" max="8" width="16" customWidth="1"/>
    <col min="9" max="9" width="1.7109375" customWidth="1"/>
    <col min="10" max="10" width="17" customWidth="1"/>
    <col min="11" max="11" width="13.5703125" customWidth="1"/>
    <col min="12" max="12" width="9.7109375" customWidth="1"/>
    <col min="13" max="13" width="17.140625" bestFit="1" customWidth="1"/>
    <col min="14" max="15" width="12.28515625" bestFit="1" customWidth="1"/>
    <col min="16" max="16" width="14" bestFit="1" customWidth="1"/>
    <col min="17" max="17" width="8" bestFit="1" customWidth="1"/>
    <col min="18" max="18" width="9.85546875" customWidth="1"/>
    <col min="19" max="19" width="31.7109375" bestFit="1" customWidth="1"/>
    <col min="20" max="20" width="12.28515625" customWidth="1"/>
    <col min="21" max="21" width="9.140625" customWidth="1"/>
  </cols>
  <sheetData>
    <row r="1" spans="1:19" ht="21" thickBot="1">
      <c r="A1" s="1" t="s">
        <v>0</v>
      </c>
      <c r="B1" s="1" t="s">
        <v>1</v>
      </c>
      <c r="C1" s="1" t="s">
        <v>2</v>
      </c>
      <c r="D1" s="1" t="s">
        <v>3</v>
      </c>
      <c r="E1" s="1" t="s">
        <v>4</v>
      </c>
      <c r="F1" s="1" t="s">
        <v>5</v>
      </c>
      <c r="G1" s="1" t="s">
        <v>6</v>
      </c>
      <c r="H1" s="1" t="s">
        <v>7</v>
      </c>
      <c r="I1" s="1" t="s">
        <v>8</v>
      </c>
      <c r="J1" s="265" t="s">
        <v>9</v>
      </c>
      <c r="K1" s="264" t="s">
        <v>10</v>
      </c>
      <c r="L1" s="265" t="s">
        <v>11</v>
      </c>
      <c r="M1" s="266" t="s">
        <v>12</v>
      </c>
      <c r="N1" s="1" t="s">
        <v>13</v>
      </c>
      <c r="O1" s="1" t="s">
        <v>14</v>
      </c>
      <c r="P1" s="1" t="s">
        <v>15</v>
      </c>
      <c r="Q1" s="1" t="s">
        <v>16</v>
      </c>
    </row>
    <row r="2" spans="1:19" ht="78" thickBot="1">
      <c r="A2" s="2" t="s">
        <v>18</v>
      </c>
      <c r="B2" s="2" t="s">
        <v>19</v>
      </c>
      <c r="C2" s="2" t="s">
        <v>20</v>
      </c>
      <c r="D2" s="3" t="s">
        <v>21</v>
      </c>
      <c r="E2" s="4" t="s">
        <v>22</v>
      </c>
      <c r="F2" s="5"/>
      <c r="G2" s="6" t="s">
        <v>23</v>
      </c>
      <c r="H2" s="6" t="s">
        <v>24</v>
      </c>
      <c r="I2" s="7"/>
      <c r="J2" s="8" t="s">
        <v>25</v>
      </c>
      <c r="K2" s="9" t="s">
        <v>26</v>
      </c>
      <c r="L2" s="10" t="s">
        <v>27</v>
      </c>
      <c r="M2" s="251" t="s">
        <v>28</v>
      </c>
      <c r="N2" s="12" t="s">
        <v>29</v>
      </c>
      <c r="O2" s="9" t="s">
        <v>30</v>
      </c>
      <c r="P2" s="274" t="s">
        <v>31</v>
      </c>
      <c r="Q2" s="274" t="s">
        <v>32</v>
      </c>
      <c r="S2" s="267" t="s">
        <v>807</v>
      </c>
    </row>
    <row r="3" spans="1:19" ht="18.75" thickBot="1">
      <c r="A3" s="14"/>
      <c r="B3" s="14"/>
      <c r="C3" s="14" t="s">
        <v>33</v>
      </c>
      <c r="D3" s="15"/>
      <c r="E3" s="16" t="s">
        <v>34</v>
      </c>
      <c r="F3" s="5"/>
      <c r="G3" s="17"/>
      <c r="H3" s="18" t="s">
        <v>34</v>
      </c>
      <c r="I3" s="7"/>
      <c r="J3" s="19" t="s">
        <v>34</v>
      </c>
      <c r="K3" s="20" t="s">
        <v>35</v>
      </c>
      <c r="L3" s="21"/>
      <c r="M3" s="22" t="s">
        <v>804</v>
      </c>
      <c r="N3" s="22" t="s">
        <v>36</v>
      </c>
      <c r="O3" s="20"/>
      <c r="P3" s="275"/>
      <c r="Q3" s="275"/>
      <c r="S3" s="268" t="s">
        <v>808</v>
      </c>
    </row>
    <row r="4" spans="1:19" ht="18.75" thickBot="1">
      <c r="A4" s="23"/>
      <c r="B4" s="23"/>
      <c r="C4" s="23"/>
      <c r="D4" s="24"/>
      <c r="E4" s="25"/>
      <c r="F4" s="5"/>
      <c r="G4" s="26"/>
      <c r="H4" s="27"/>
      <c r="I4" s="7"/>
      <c r="J4" s="28" t="s">
        <v>37</v>
      </c>
      <c r="K4" s="29"/>
      <c r="L4" s="30"/>
      <c r="M4" s="260" t="s">
        <v>40</v>
      </c>
      <c r="N4" s="31"/>
      <c r="O4" s="29"/>
      <c r="P4" s="276"/>
      <c r="Q4" s="276"/>
    </row>
    <row r="5" spans="1:19" ht="18.75" thickBot="1">
      <c r="A5" s="32"/>
      <c r="B5" s="33"/>
      <c r="C5" s="34" t="s">
        <v>38</v>
      </c>
      <c r="D5" s="35"/>
      <c r="E5" s="36">
        <v>3957960</v>
      </c>
      <c r="F5" s="5"/>
      <c r="G5" s="37"/>
      <c r="H5" s="38">
        <f>+'[1]LEA $ Enroll Factor for 11-12'!L3</f>
        <v>22428441</v>
      </c>
      <c r="I5" s="7"/>
      <c r="J5" s="39" t="s">
        <v>39</v>
      </c>
      <c r="K5" s="40" t="s">
        <v>40</v>
      </c>
      <c r="L5" s="41"/>
      <c r="M5" s="259" t="s">
        <v>805</v>
      </c>
      <c r="N5" s="42" t="s">
        <v>41</v>
      </c>
      <c r="O5" s="273"/>
      <c r="P5" s="279" t="s">
        <v>42</v>
      </c>
      <c r="Q5" s="284"/>
    </row>
    <row r="6" spans="1:19">
      <c r="A6" s="43"/>
      <c r="B6" s="44"/>
      <c r="C6" s="44"/>
      <c r="D6" s="45"/>
      <c r="E6" s="46"/>
      <c r="F6" s="5"/>
      <c r="G6" s="47"/>
      <c r="H6" s="48"/>
      <c r="I6" s="7"/>
      <c r="J6" s="49"/>
      <c r="K6" s="50"/>
      <c r="L6" s="51"/>
      <c r="M6" s="52" t="s">
        <v>43</v>
      </c>
      <c r="N6" s="53" t="s">
        <v>44</v>
      </c>
      <c r="O6" s="50"/>
      <c r="P6" s="277"/>
      <c r="Q6" s="277"/>
    </row>
    <row r="7" spans="1:19">
      <c r="A7" s="54"/>
      <c r="B7" s="33"/>
      <c r="C7" s="33"/>
      <c r="D7" s="35"/>
      <c r="E7" s="55"/>
      <c r="F7" s="5"/>
      <c r="G7" s="37"/>
      <c r="H7" s="56"/>
      <c r="I7" s="7"/>
      <c r="J7" s="57"/>
      <c r="K7" s="58"/>
      <c r="L7" s="59"/>
      <c r="M7" s="60" t="s">
        <v>45</v>
      </c>
      <c r="N7" s="61"/>
      <c r="O7" s="58"/>
      <c r="P7" s="278"/>
      <c r="Q7" s="278"/>
    </row>
    <row r="8" spans="1:19" ht="18.75" thickBot="1">
      <c r="A8" s="62" t="s">
        <v>0</v>
      </c>
      <c r="B8" s="63" t="s">
        <v>1</v>
      </c>
      <c r="C8" s="63" t="s">
        <v>2</v>
      </c>
      <c r="D8" s="63" t="s">
        <v>3</v>
      </c>
      <c r="E8" s="64" t="s">
        <v>4</v>
      </c>
      <c r="F8" s="65" t="s">
        <v>5</v>
      </c>
      <c r="G8" s="63" t="s">
        <v>6</v>
      </c>
      <c r="H8" s="64" t="s">
        <v>7</v>
      </c>
      <c r="I8" s="65" t="s">
        <v>8</v>
      </c>
      <c r="J8" s="64" t="s">
        <v>9</v>
      </c>
      <c r="K8" s="64" t="s">
        <v>10</v>
      </c>
      <c r="L8" s="64" t="s">
        <v>11</v>
      </c>
      <c r="M8" s="255" t="s">
        <v>12</v>
      </c>
      <c r="N8" s="64" t="s">
        <v>14</v>
      </c>
      <c r="O8" s="64" t="s">
        <v>15</v>
      </c>
      <c r="P8" s="64" t="s">
        <v>16</v>
      </c>
      <c r="Q8" s="66" t="s">
        <v>17</v>
      </c>
    </row>
    <row r="9" spans="1:19" ht="18">
      <c r="A9" s="67" t="s">
        <v>46</v>
      </c>
      <c r="B9" s="67" t="s">
        <v>47</v>
      </c>
      <c r="C9" s="68" t="s">
        <v>48</v>
      </c>
      <c r="D9" s="69">
        <v>2.7260000000000001E-3</v>
      </c>
      <c r="E9" s="70">
        <v>10789</v>
      </c>
      <c r="F9" s="5"/>
      <c r="G9" s="71">
        <v>2.6619999999999999E-3</v>
      </c>
      <c r="H9" s="72">
        <v>59704</v>
      </c>
      <c r="I9" s="7"/>
      <c r="J9" s="73">
        <v>70493</v>
      </c>
      <c r="K9" s="74">
        <v>1.8100000000000002E-2</v>
      </c>
      <c r="L9" s="75">
        <v>1276</v>
      </c>
      <c r="M9" s="256">
        <f>+J9-L9</f>
        <v>69217</v>
      </c>
      <c r="N9" s="77">
        <v>10574</v>
      </c>
      <c r="O9" s="76">
        <v>73406</v>
      </c>
      <c r="P9" s="280">
        <f t="shared" ref="P9:P72" si="0">+J9-O9</f>
        <v>-2913</v>
      </c>
      <c r="Q9" s="269">
        <f>+P9/O9</f>
        <v>-3.9683404626324824E-2</v>
      </c>
    </row>
    <row r="10" spans="1:19" ht="18">
      <c r="A10" s="79" t="s">
        <v>46</v>
      </c>
      <c r="B10" s="79" t="s">
        <v>49</v>
      </c>
      <c r="C10" s="80" t="s">
        <v>50</v>
      </c>
      <c r="D10" s="81">
        <v>9.1200000000000005E-4</v>
      </c>
      <c r="E10" s="82">
        <v>3610</v>
      </c>
      <c r="F10" s="5"/>
      <c r="G10" s="71">
        <v>9.5100000000000002E-4</v>
      </c>
      <c r="H10" s="83">
        <v>21329</v>
      </c>
      <c r="I10" s="7"/>
      <c r="J10" s="84">
        <v>24939</v>
      </c>
      <c r="K10" s="74">
        <v>1.8100000000000002E-2</v>
      </c>
      <c r="L10" s="85">
        <v>451</v>
      </c>
      <c r="M10" s="257">
        <f t="shared" ref="M10:M73" si="1">+J10-L10</f>
        <v>24488</v>
      </c>
      <c r="N10" s="88">
        <v>3741</v>
      </c>
      <c r="O10" s="87">
        <v>26845</v>
      </c>
      <c r="P10" s="281">
        <f t="shared" si="0"/>
        <v>-1906</v>
      </c>
      <c r="Q10" s="269">
        <f t="shared" ref="Q10:Q73" si="2">+P10/O10</f>
        <v>-7.1000186254423545E-2</v>
      </c>
    </row>
    <row r="11" spans="1:19" ht="18">
      <c r="A11" s="79" t="s">
        <v>46</v>
      </c>
      <c r="B11" s="79" t="s">
        <v>51</v>
      </c>
      <c r="C11" s="80" t="s">
        <v>52</v>
      </c>
      <c r="D11" s="81">
        <v>2.3029999999999999E-3</v>
      </c>
      <c r="E11" s="82">
        <v>9115</v>
      </c>
      <c r="F11" s="5"/>
      <c r="G11" s="71">
        <v>3.0490000000000001E-3</v>
      </c>
      <c r="H11" s="83">
        <v>68384</v>
      </c>
      <c r="I11" s="7"/>
      <c r="J11" s="84">
        <v>77499</v>
      </c>
      <c r="K11" s="74">
        <v>1.8100000000000002E-2</v>
      </c>
      <c r="L11" s="85">
        <v>1403</v>
      </c>
      <c r="M11" s="257">
        <f t="shared" si="1"/>
        <v>76096</v>
      </c>
      <c r="N11" s="88">
        <v>11625</v>
      </c>
      <c r="O11" s="87">
        <v>77426</v>
      </c>
      <c r="P11" s="281">
        <f t="shared" si="0"/>
        <v>73</v>
      </c>
      <c r="Q11" s="269">
        <f t="shared" si="2"/>
        <v>9.4283573993232249E-4</v>
      </c>
    </row>
    <row r="12" spans="1:19" ht="18">
      <c r="A12" s="79" t="s">
        <v>46</v>
      </c>
      <c r="B12" s="79" t="s">
        <v>53</v>
      </c>
      <c r="C12" s="80" t="s">
        <v>54</v>
      </c>
      <c r="D12" s="81">
        <v>2.1604000000000002E-2</v>
      </c>
      <c r="E12" s="82">
        <v>85508</v>
      </c>
      <c r="F12" s="5"/>
      <c r="G12" s="71">
        <v>2.435E-2</v>
      </c>
      <c r="H12" s="83">
        <v>546129</v>
      </c>
      <c r="I12" s="7"/>
      <c r="J12" s="84">
        <v>631637</v>
      </c>
      <c r="K12" s="74">
        <v>1.8100000000000002E-2</v>
      </c>
      <c r="L12" s="85">
        <v>11433</v>
      </c>
      <c r="M12" s="257">
        <f t="shared" si="1"/>
        <v>620204</v>
      </c>
      <c r="N12" s="88">
        <v>94746</v>
      </c>
      <c r="O12" s="87">
        <v>658565</v>
      </c>
      <c r="P12" s="281">
        <f t="shared" si="0"/>
        <v>-26928</v>
      </c>
      <c r="Q12" s="269">
        <f t="shared" si="2"/>
        <v>-4.0888902386248892E-2</v>
      </c>
    </row>
    <row r="13" spans="1:19" ht="18">
      <c r="A13" s="79" t="s">
        <v>46</v>
      </c>
      <c r="B13" s="79" t="s">
        <v>55</v>
      </c>
      <c r="C13" s="80" t="s">
        <v>56</v>
      </c>
      <c r="D13" s="81">
        <v>7.3399999999999995E-4</v>
      </c>
      <c r="E13" s="82">
        <v>2905</v>
      </c>
      <c r="F13" s="5"/>
      <c r="G13" s="71">
        <v>7.9199999999999995E-4</v>
      </c>
      <c r="H13" s="83">
        <v>17763</v>
      </c>
      <c r="I13" s="7"/>
      <c r="J13" s="84">
        <v>20668</v>
      </c>
      <c r="K13" s="74">
        <v>1.8100000000000002E-2</v>
      </c>
      <c r="L13" s="85">
        <v>374</v>
      </c>
      <c r="M13" s="257">
        <f t="shared" si="1"/>
        <v>20294</v>
      </c>
      <c r="N13" s="88">
        <v>3100</v>
      </c>
      <c r="O13" s="87">
        <v>22676</v>
      </c>
      <c r="P13" s="281">
        <f t="shared" si="0"/>
        <v>-2008</v>
      </c>
      <c r="Q13" s="269">
        <f t="shared" si="2"/>
        <v>-8.8551772799435532E-2</v>
      </c>
    </row>
    <row r="14" spans="1:19" ht="18">
      <c r="A14" s="79" t="s">
        <v>46</v>
      </c>
      <c r="B14" s="79" t="s">
        <v>57</v>
      </c>
      <c r="C14" s="80" t="s">
        <v>58</v>
      </c>
      <c r="D14" s="81">
        <v>1.2459999999999999E-3</v>
      </c>
      <c r="E14" s="82">
        <v>4932</v>
      </c>
      <c r="F14" s="5"/>
      <c r="G14" s="71">
        <v>9.7099999999999997E-4</v>
      </c>
      <c r="H14" s="83">
        <v>21778</v>
      </c>
      <c r="I14" s="7"/>
      <c r="J14" s="84">
        <v>26710</v>
      </c>
      <c r="K14" s="74">
        <v>1.8100000000000002E-2</v>
      </c>
      <c r="L14" s="85">
        <v>483</v>
      </c>
      <c r="M14" s="257">
        <f t="shared" si="1"/>
        <v>26227</v>
      </c>
      <c r="N14" s="88">
        <v>4007</v>
      </c>
      <c r="O14" s="87">
        <v>26939</v>
      </c>
      <c r="P14" s="281">
        <f t="shared" si="0"/>
        <v>-229</v>
      </c>
      <c r="Q14" s="269">
        <f t="shared" si="2"/>
        <v>-8.5006867367014363E-3</v>
      </c>
    </row>
    <row r="15" spans="1:19" ht="18">
      <c r="A15" s="79" t="s">
        <v>46</v>
      </c>
      <c r="B15" s="79" t="s">
        <v>59</v>
      </c>
      <c r="C15" s="80" t="s">
        <v>60</v>
      </c>
      <c r="D15" s="81">
        <v>5.6700000000000001E-4</v>
      </c>
      <c r="E15" s="82">
        <v>2244</v>
      </c>
      <c r="F15" s="5"/>
      <c r="G15" s="71">
        <v>5.1999999999999995E-4</v>
      </c>
      <c r="H15" s="83">
        <v>11663</v>
      </c>
      <c r="I15" s="7"/>
      <c r="J15" s="84">
        <v>13907</v>
      </c>
      <c r="K15" s="74">
        <v>1.8100000000000002E-2</v>
      </c>
      <c r="L15" s="85">
        <v>252</v>
      </c>
      <c r="M15" s="257">
        <f t="shared" si="1"/>
        <v>13655</v>
      </c>
      <c r="N15" s="88">
        <v>2086</v>
      </c>
      <c r="O15" s="87">
        <v>14454</v>
      </c>
      <c r="P15" s="281">
        <f t="shared" si="0"/>
        <v>-547</v>
      </c>
      <c r="Q15" s="269">
        <f t="shared" si="2"/>
        <v>-3.7844195378441955E-2</v>
      </c>
    </row>
    <row r="16" spans="1:19" ht="18">
      <c r="A16" s="79" t="s">
        <v>46</v>
      </c>
      <c r="B16" s="79" t="s">
        <v>61</v>
      </c>
      <c r="C16" s="80" t="s">
        <v>62</v>
      </c>
      <c r="D16" s="81">
        <v>1.0790000000000001E-3</v>
      </c>
      <c r="E16" s="82">
        <v>4271</v>
      </c>
      <c r="F16" s="5"/>
      <c r="G16" s="71">
        <v>1.4250000000000001E-3</v>
      </c>
      <c r="H16" s="83">
        <v>31960</v>
      </c>
      <c r="I16" s="7"/>
      <c r="J16" s="84">
        <v>36231</v>
      </c>
      <c r="K16" s="74">
        <v>1.8100000000000002E-2</v>
      </c>
      <c r="L16" s="85">
        <v>656</v>
      </c>
      <c r="M16" s="257">
        <f t="shared" si="1"/>
        <v>35575</v>
      </c>
      <c r="N16" s="88">
        <v>5435</v>
      </c>
      <c r="O16" s="87">
        <v>37863</v>
      </c>
      <c r="P16" s="281">
        <f t="shared" si="0"/>
        <v>-1632</v>
      </c>
      <c r="Q16" s="269">
        <f t="shared" si="2"/>
        <v>-4.3102765232548926E-2</v>
      </c>
      <c r="S16" s="89"/>
    </row>
    <row r="17" spans="1:17" ht="18">
      <c r="A17" s="79" t="s">
        <v>46</v>
      </c>
      <c r="B17" s="79" t="s">
        <v>63</v>
      </c>
      <c r="C17" s="80" t="s">
        <v>64</v>
      </c>
      <c r="D17" s="81">
        <v>2.97E-3</v>
      </c>
      <c r="E17" s="82">
        <v>11755</v>
      </c>
      <c r="F17" s="5"/>
      <c r="G17" s="71">
        <v>3.0339999999999998E-3</v>
      </c>
      <c r="H17" s="83">
        <v>68047</v>
      </c>
      <c r="I17" s="7"/>
      <c r="J17" s="84">
        <v>79802</v>
      </c>
      <c r="K17" s="74">
        <v>1.8100000000000002E-2</v>
      </c>
      <c r="L17" s="85">
        <v>1444</v>
      </c>
      <c r="M17" s="257">
        <f t="shared" si="1"/>
        <v>78358</v>
      </c>
      <c r="N17" s="88">
        <v>11970</v>
      </c>
      <c r="O17" s="87">
        <v>79330</v>
      </c>
      <c r="P17" s="281">
        <f t="shared" si="0"/>
        <v>472</v>
      </c>
      <c r="Q17" s="269">
        <f t="shared" si="2"/>
        <v>5.9498298247825541E-3</v>
      </c>
    </row>
    <row r="18" spans="1:17" ht="18">
      <c r="A18" s="79" t="s">
        <v>46</v>
      </c>
      <c r="B18" s="79" t="s">
        <v>65</v>
      </c>
      <c r="C18" s="80" t="s">
        <v>66</v>
      </c>
      <c r="D18" s="81">
        <v>1.446E-3</v>
      </c>
      <c r="E18" s="82">
        <v>5723</v>
      </c>
      <c r="F18" s="5"/>
      <c r="G18" s="71">
        <v>1.5200000000000001E-3</v>
      </c>
      <c r="H18" s="83">
        <v>34091</v>
      </c>
      <c r="I18" s="7"/>
      <c r="J18" s="84">
        <v>39814</v>
      </c>
      <c r="K18" s="74">
        <v>1.8100000000000002E-2</v>
      </c>
      <c r="L18" s="85">
        <v>721</v>
      </c>
      <c r="M18" s="257">
        <f t="shared" si="1"/>
        <v>39093</v>
      </c>
      <c r="N18" s="88">
        <v>5972</v>
      </c>
      <c r="O18" s="87">
        <v>40561</v>
      </c>
      <c r="P18" s="281">
        <f t="shared" si="0"/>
        <v>-747</v>
      </c>
      <c r="Q18" s="269">
        <f t="shared" si="2"/>
        <v>-1.8416705702522126E-2</v>
      </c>
    </row>
    <row r="19" spans="1:17" ht="18">
      <c r="A19" s="79" t="s">
        <v>46</v>
      </c>
      <c r="B19" s="79" t="s">
        <v>67</v>
      </c>
      <c r="C19" s="80" t="s">
        <v>68</v>
      </c>
      <c r="D19" s="81">
        <v>1.98E-3</v>
      </c>
      <c r="E19" s="82">
        <v>7837</v>
      </c>
      <c r="F19" s="5"/>
      <c r="G19" s="71">
        <v>1.578E-3</v>
      </c>
      <c r="H19" s="83">
        <v>35392</v>
      </c>
      <c r="I19" s="7"/>
      <c r="J19" s="84">
        <v>43229</v>
      </c>
      <c r="K19" s="74">
        <v>1.8100000000000002E-2</v>
      </c>
      <c r="L19" s="85">
        <v>782</v>
      </c>
      <c r="M19" s="257">
        <f t="shared" si="1"/>
        <v>42447</v>
      </c>
      <c r="N19" s="88">
        <v>6484</v>
      </c>
      <c r="O19" s="87">
        <v>45373</v>
      </c>
      <c r="P19" s="281">
        <f t="shared" si="0"/>
        <v>-2144</v>
      </c>
      <c r="Q19" s="269">
        <f t="shared" si="2"/>
        <v>-4.7252771472020803E-2</v>
      </c>
    </row>
    <row r="20" spans="1:17" ht="18">
      <c r="A20" s="79" t="s">
        <v>46</v>
      </c>
      <c r="B20" s="79" t="s">
        <v>69</v>
      </c>
      <c r="C20" s="80" t="s">
        <v>70</v>
      </c>
      <c r="D20" s="81">
        <v>1.402E-3</v>
      </c>
      <c r="E20" s="82">
        <v>5549</v>
      </c>
      <c r="F20" s="5"/>
      <c r="G20" s="71">
        <v>2.366E-3</v>
      </c>
      <c r="H20" s="83">
        <v>53065</v>
      </c>
      <c r="I20" s="7"/>
      <c r="J20" s="84">
        <v>58614</v>
      </c>
      <c r="K20" s="74">
        <v>1.8100000000000002E-2</v>
      </c>
      <c r="L20" s="85">
        <v>1061</v>
      </c>
      <c r="M20" s="257">
        <f t="shared" si="1"/>
        <v>57553</v>
      </c>
      <c r="N20" s="88">
        <v>8792</v>
      </c>
      <c r="O20" s="87">
        <v>59158</v>
      </c>
      <c r="P20" s="281">
        <f t="shared" si="0"/>
        <v>-544</v>
      </c>
      <c r="Q20" s="269">
        <f t="shared" si="2"/>
        <v>-9.19571317488759E-3</v>
      </c>
    </row>
    <row r="21" spans="1:17" ht="18">
      <c r="A21" s="79" t="s">
        <v>46</v>
      </c>
      <c r="B21" s="79" t="s">
        <v>71</v>
      </c>
      <c r="C21" s="80" t="s">
        <v>72</v>
      </c>
      <c r="D21" s="81">
        <v>1.402E-3</v>
      </c>
      <c r="E21" s="82">
        <v>5549</v>
      </c>
      <c r="F21" s="5"/>
      <c r="G21" s="71">
        <v>1.7340000000000001E-3</v>
      </c>
      <c r="H21" s="83">
        <v>38891</v>
      </c>
      <c r="I21" s="7"/>
      <c r="J21" s="84">
        <v>44440</v>
      </c>
      <c r="K21" s="74">
        <v>1.8100000000000002E-2</v>
      </c>
      <c r="L21" s="85">
        <v>804</v>
      </c>
      <c r="M21" s="257">
        <f t="shared" si="1"/>
        <v>43636</v>
      </c>
      <c r="N21" s="88">
        <v>6666</v>
      </c>
      <c r="O21" s="87">
        <v>45698</v>
      </c>
      <c r="P21" s="281">
        <f t="shared" si="0"/>
        <v>-1258</v>
      </c>
      <c r="Q21" s="269">
        <f t="shared" si="2"/>
        <v>-2.7528557048448511E-2</v>
      </c>
    </row>
    <row r="22" spans="1:17" ht="18">
      <c r="A22" s="79" t="s">
        <v>46</v>
      </c>
      <c r="B22" s="79" t="s">
        <v>73</v>
      </c>
      <c r="C22" s="80" t="s">
        <v>74</v>
      </c>
      <c r="D22" s="81">
        <v>4.6700000000000002E-4</v>
      </c>
      <c r="E22" s="82">
        <v>1848</v>
      </c>
      <c r="F22" s="5"/>
      <c r="G22" s="71">
        <v>5.5500000000000005E-4</v>
      </c>
      <c r="H22" s="83">
        <v>12448</v>
      </c>
      <c r="I22" s="7"/>
      <c r="J22" s="84">
        <v>14296</v>
      </c>
      <c r="K22" s="74">
        <v>1.8100000000000002E-2</v>
      </c>
      <c r="L22" s="85">
        <v>259</v>
      </c>
      <c r="M22" s="257">
        <f t="shared" si="1"/>
        <v>14037</v>
      </c>
      <c r="N22" s="88">
        <v>2144</v>
      </c>
      <c r="O22" s="87">
        <v>15905</v>
      </c>
      <c r="P22" s="281">
        <f t="shared" si="0"/>
        <v>-1609</v>
      </c>
      <c r="Q22" s="269">
        <f t="shared" si="2"/>
        <v>-0.10116315624017605</v>
      </c>
    </row>
    <row r="23" spans="1:17" ht="18">
      <c r="A23" s="79" t="s">
        <v>46</v>
      </c>
      <c r="B23" s="79" t="s">
        <v>75</v>
      </c>
      <c r="C23" s="80" t="s">
        <v>76</v>
      </c>
      <c r="D23" s="81">
        <v>3.4819999999999999E-3</v>
      </c>
      <c r="E23" s="82">
        <v>13782</v>
      </c>
      <c r="F23" s="5"/>
      <c r="G23" s="71">
        <v>2.748E-3</v>
      </c>
      <c r="H23" s="83">
        <v>61633</v>
      </c>
      <c r="I23" s="7"/>
      <c r="J23" s="84">
        <v>75415</v>
      </c>
      <c r="K23" s="74">
        <v>1.8100000000000002E-2</v>
      </c>
      <c r="L23" s="85">
        <v>1365</v>
      </c>
      <c r="M23" s="257">
        <f t="shared" si="1"/>
        <v>74050</v>
      </c>
      <c r="N23" s="88">
        <v>11312</v>
      </c>
      <c r="O23" s="87">
        <v>76228</v>
      </c>
      <c r="P23" s="281">
        <f t="shared" si="0"/>
        <v>-813</v>
      </c>
      <c r="Q23" s="269">
        <f t="shared" si="2"/>
        <v>-1.0665372304140211E-2</v>
      </c>
    </row>
    <row r="24" spans="1:17" ht="18">
      <c r="A24" s="79" t="s">
        <v>46</v>
      </c>
      <c r="B24" s="79" t="s">
        <v>77</v>
      </c>
      <c r="C24" s="80" t="s">
        <v>78</v>
      </c>
      <c r="D24" s="81">
        <v>2.258E-3</v>
      </c>
      <c r="E24" s="82">
        <v>8937</v>
      </c>
      <c r="F24" s="5"/>
      <c r="G24" s="71">
        <v>1.1540000000000001E-3</v>
      </c>
      <c r="H24" s="83">
        <v>25882</v>
      </c>
      <c r="I24" s="7"/>
      <c r="J24" s="84">
        <v>34819</v>
      </c>
      <c r="K24" s="74">
        <v>1.8100000000000002E-2</v>
      </c>
      <c r="L24" s="85">
        <v>630</v>
      </c>
      <c r="M24" s="257">
        <f t="shared" si="1"/>
        <v>34189</v>
      </c>
      <c r="N24" s="88">
        <v>5223</v>
      </c>
      <c r="O24" s="87">
        <v>34875</v>
      </c>
      <c r="P24" s="281">
        <f t="shared" si="0"/>
        <v>-56</v>
      </c>
      <c r="Q24" s="269">
        <f t="shared" si="2"/>
        <v>-1.6057347670250896E-3</v>
      </c>
    </row>
    <row r="25" spans="1:17" ht="18">
      <c r="A25" s="79" t="s">
        <v>46</v>
      </c>
      <c r="B25" s="79" t="s">
        <v>79</v>
      </c>
      <c r="C25" s="80" t="s">
        <v>80</v>
      </c>
      <c r="D25" s="81">
        <v>4.3399999999999998E-4</v>
      </c>
      <c r="E25" s="82">
        <v>1718</v>
      </c>
      <c r="F25" s="5"/>
      <c r="G25" s="71">
        <v>5.4199999999999995E-4</v>
      </c>
      <c r="H25" s="83">
        <v>12156</v>
      </c>
      <c r="I25" s="7"/>
      <c r="J25" s="84">
        <v>13874</v>
      </c>
      <c r="K25" s="74">
        <v>1.8100000000000002E-2</v>
      </c>
      <c r="L25" s="85">
        <v>251</v>
      </c>
      <c r="M25" s="257">
        <f t="shared" si="1"/>
        <v>13623</v>
      </c>
      <c r="N25" s="88">
        <v>2081</v>
      </c>
      <c r="O25" s="87">
        <v>14429</v>
      </c>
      <c r="P25" s="281">
        <f t="shared" si="0"/>
        <v>-555</v>
      </c>
      <c r="Q25" s="269">
        <f t="shared" si="2"/>
        <v>-3.8464204033543559E-2</v>
      </c>
    </row>
    <row r="26" spans="1:17" ht="18">
      <c r="A26" s="79" t="s">
        <v>46</v>
      </c>
      <c r="B26" s="79" t="s">
        <v>81</v>
      </c>
      <c r="C26" s="80" t="s">
        <v>82</v>
      </c>
      <c r="D26" s="81">
        <v>7.45E-4</v>
      </c>
      <c r="E26" s="82">
        <v>2949</v>
      </c>
      <c r="F26" s="5"/>
      <c r="G26" s="71">
        <v>1.536E-3</v>
      </c>
      <c r="H26" s="83">
        <v>34450</v>
      </c>
      <c r="I26" s="7"/>
      <c r="J26" s="84">
        <v>37399</v>
      </c>
      <c r="K26" s="74">
        <v>1.8100000000000002E-2</v>
      </c>
      <c r="L26" s="85">
        <v>677</v>
      </c>
      <c r="M26" s="257">
        <f t="shared" si="1"/>
        <v>36722</v>
      </c>
      <c r="N26" s="88">
        <v>5610</v>
      </c>
      <c r="O26" s="87">
        <v>38872</v>
      </c>
      <c r="P26" s="281">
        <f t="shared" si="0"/>
        <v>-1473</v>
      </c>
      <c r="Q26" s="269">
        <f t="shared" si="2"/>
        <v>-3.7893599506071206E-2</v>
      </c>
    </row>
    <row r="27" spans="1:17" ht="18">
      <c r="A27" s="79" t="s">
        <v>46</v>
      </c>
      <c r="B27" s="79" t="s">
        <v>83</v>
      </c>
      <c r="C27" s="80" t="s">
        <v>84</v>
      </c>
      <c r="D27" s="81">
        <v>1.268E-3</v>
      </c>
      <c r="E27" s="82">
        <v>5019</v>
      </c>
      <c r="F27" s="5"/>
      <c r="G27" s="71">
        <v>1.2769999999999999E-3</v>
      </c>
      <c r="H27" s="83">
        <v>28641</v>
      </c>
      <c r="I27" s="7"/>
      <c r="J27" s="84">
        <v>33660</v>
      </c>
      <c r="K27" s="74">
        <v>1.8100000000000002E-2</v>
      </c>
      <c r="L27" s="85">
        <v>609</v>
      </c>
      <c r="M27" s="257">
        <f t="shared" si="1"/>
        <v>33051</v>
      </c>
      <c r="N27" s="88">
        <v>5049</v>
      </c>
      <c r="O27" s="87">
        <v>36072</v>
      </c>
      <c r="P27" s="281">
        <f t="shared" si="0"/>
        <v>-2412</v>
      </c>
      <c r="Q27" s="269">
        <f t="shared" si="2"/>
        <v>-6.6866267465069865E-2</v>
      </c>
    </row>
    <row r="28" spans="1:17" ht="18">
      <c r="A28" s="79" t="s">
        <v>46</v>
      </c>
      <c r="B28" s="79" t="s">
        <v>85</v>
      </c>
      <c r="C28" s="80" t="s">
        <v>86</v>
      </c>
      <c r="D28" s="81">
        <v>3.5599999999999998E-4</v>
      </c>
      <c r="E28" s="82">
        <v>1409</v>
      </c>
      <c r="F28" s="5"/>
      <c r="G28" s="71">
        <v>9.1600000000000004E-4</v>
      </c>
      <c r="H28" s="83">
        <v>20544</v>
      </c>
      <c r="I28" s="7"/>
      <c r="J28" s="84">
        <v>21953</v>
      </c>
      <c r="K28" s="74">
        <v>1.8100000000000002E-2</v>
      </c>
      <c r="L28" s="85">
        <v>397</v>
      </c>
      <c r="M28" s="257">
        <f t="shared" si="1"/>
        <v>21556</v>
      </c>
      <c r="N28" s="88">
        <v>3293</v>
      </c>
      <c r="O28" s="87">
        <v>23428</v>
      </c>
      <c r="P28" s="281">
        <f t="shared" si="0"/>
        <v>-1475</v>
      </c>
      <c r="Q28" s="269">
        <f t="shared" si="2"/>
        <v>-6.2958852654942804E-2</v>
      </c>
    </row>
    <row r="29" spans="1:17" ht="18">
      <c r="A29" s="79" t="s">
        <v>46</v>
      </c>
      <c r="B29" s="79" t="s">
        <v>87</v>
      </c>
      <c r="C29" s="80" t="s">
        <v>88</v>
      </c>
      <c r="D29" s="81">
        <v>7.45E-4</v>
      </c>
      <c r="E29" s="82">
        <v>2949</v>
      </c>
      <c r="F29" s="5"/>
      <c r="G29" s="71">
        <v>8.8400000000000002E-4</v>
      </c>
      <c r="H29" s="83">
        <v>19827</v>
      </c>
      <c r="I29" s="7"/>
      <c r="J29" s="84">
        <v>22776</v>
      </c>
      <c r="K29" s="74">
        <v>1.8100000000000002E-2</v>
      </c>
      <c r="L29" s="85">
        <v>412</v>
      </c>
      <c r="M29" s="257">
        <f t="shared" si="1"/>
        <v>22364</v>
      </c>
      <c r="N29" s="88">
        <v>3416</v>
      </c>
      <c r="O29" s="87">
        <v>24860</v>
      </c>
      <c r="P29" s="281">
        <f t="shared" si="0"/>
        <v>-2084</v>
      </c>
      <c r="Q29" s="269">
        <f t="shared" si="2"/>
        <v>-8.3829444891391797E-2</v>
      </c>
    </row>
    <row r="30" spans="1:17" ht="18">
      <c r="A30" s="79" t="s">
        <v>46</v>
      </c>
      <c r="B30" s="79" t="s">
        <v>89</v>
      </c>
      <c r="C30" s="80" t="s">
        <v>90</v>
      </c>
      <c r="D30" s="81">
        <v>5.4500000000000002E-4</v>
      </c>
      <c r="E30" s="82">
        <v>2157</v>
      </c>
      <c r="F30" s="5"/>
      <c r="G30" s="71">
        <v>5.8600000000000004E-4</v>
      </c>
      <c r="H30" s="83">
        <v>13143</v>
      </c>
      <c r="I30" s="7"/>
      <c r="J30" s="84">
        <v>15300</v>
      </c>
      <c r="K30" s="74">
        <v>1.8100000000000002E-2</v>
      </c>
      <c r="L30" s="85">
        <v>277</v>
      </c>
      <c r="M30" s="257">
        <f t="shared" si="1"/>
        <v>15023</v>
      </c>
      <c r="N30" s="88">
        <v>2295</v>
      </c>
      <c r="O30" s="87">
        <v>16066</v>
      </c>
      <c r="P30" s="281">
        <f t="shared" si="0"/>
        <v>-766</v>
      </c>
      <c r="Q30" s="269">
        <f t="shared" si="2"/>
        <v>-4.7678326901531183E-2</v>
      </c>
    </row>
    <row r="31" spans="1:17" ht="18">
      <c r="A31" s="79" t="s">
        <v>46</v>
      </c>
      <c r="B31" s="79" t="s">
        <v>91</v>
      </c>
      <c r="C31" s="80" t="s">
        <v>92</v>
      </c>
      <c r="D31" s="81">
        <v>2.7030000000000001E-3</v>
      </c>
      <c r="E31" s="82">
        <v>10698</v>
      </c>
      <c r="F31" s="5"/>
      <c r="G31" s="71">
        <v>3.4489999999999998E-3</v>
      </c>
      <c r="H31" s="83">
        <v>77355</v>
      </c>
      <c r="I31" s="7"/>
      <c r="J31" s="84">
        <v>88053</v>
      </c>
      <c r="K31" s="74">
        <v>1.8100000000000002E-2</v>
      </c>
      <c r="L31" s="85">
        <v>1594</v>
      </c>
      <c r="M31" s="257">
        <f t="shared" si="1"/>
        <v>86459</v>
      </c>
      <c r="N31" s="88">
        <v>13208</v>
      </c>
      <c r="O31" s="87">
        <v>89819</v>
      </c>
      <c r="P31" s="281">
        <f t="shared" si="0"/>
        <v>-1766</v>
      </c>
      <c r="Q31" s="269">
        <f t="shared" si="2"/>
        <v>-1.9661764214698448E-2</v>
      </c>
    </row>
    <row r="32" spans="1:17" ht="18.75" thickBot="1">
      <c r="A32" s="90" t="s">
        <v>46</v>
      </c>
      <c r="B32" s="90" t="s">
        <v>93</v>
      </c>
      <c r="C32" s="91" t="s">
        <v>94</v>
      </c>
      <c r="D32" s="92">
        <v>4.3610000000000003E-3</v>
      </c>
      <c r="E32" s="93">
        <v>17261</v>
      </c>
      <c r="F32" s="94"/>
      <c r="G32" s="95">
        <v>8.6650000000000008E-3</v>
      </c>
      <c r="H32" s="96">
        <v>194341</v>
      </c>
      <c r="I32" s="7"/>
      <c r="J32" s="97">
        <v>211602</v>
      </c>
      <c r="K32" s="98">
        <v>1.8100000000000002E-2</v>
      </c>
      <c r="L32" s="99">
        <v>3830</v>
      </c>
      <c r="M32" s="258">
        <f t="shared" si="1"/>
        <v>207772</v>
      </c>
      <c r="N32" s="102">
        <v>31740</v>
      </c>
      <c r="O32" s="101">
        <v>211488</v>
      </c>
      <c r="P32" s="282">
        <f t="shared" si="0"/>
        <v>114</v>
      </c>
      <c r="Q32" s="269">
        <f t="shared" si="2"/>
        <v>5.390376758965048E-4</v>
      </c>
    </row>
    <row r="33" spans="1:17" ht="18">
      <c r="A33" s="67" t="s">
        <v>95</v>
      </c>
      <c r="B33" s="67" t="s">
        <v>96</v>
      </c>
      <c r="C33" s="68" t="s">
        <v>97</v>
      </c>
      <c r="D33" s="69">
        <v>9.5699999999999995E-4</v>
      </c>
      <c r="E33" s="70">
        <v>3788</v>
      </c>
      <c r="F33" s="5"/>
      <c r="G33" s="103">
        <v>1.304E-3</v>
      </c>
      <c r="H33" s="83">
        <v>29247</v>
      </c>
      <c r="I33" s="7"/>
      <c r="J33" s="84">
        <v>33035</v>
      </c>
      <c r="K33" s="104">
        <v>1.3100000000000001E-2</v>
      </c>
      <c r="L33" s="85">
        <v>433</v>
      </c>
      <c r="M33" s="257">
        <f t="shared" si="1"/>
        <v>32602</v>
      </c>
      <c r="N33" s="88">
        <v>4955</v>
      </c>
      <c r="O33" s="87">
        <v>33559</v>
      </c>
      <c r="P33" s="281">
        <f t="shared" si="0"/>
        <v>-524</v>
      </c>
      <c r="Q33" s="269">
        <f t="shared" si="2"/>
        <v>-1.5614291248249352E-2</v>
      </c>
    </row>
    <row r="34" spans="1:17" ht="18">
      <c r="A34" s="79" t="s">
        <v>95</v>
      </c>
      <c r="B34" s="79" t="s">
        <v>98</v>
      </c>
      <c r="C34" s="80" t="s">
        <v>99</v>
      </c>
      <c r="D34" s="81">
        <v>9.4600000000000001E-4</v>
      </c>
      <c r="E34" s="82">
        <v>3744</v>
      </c>
      <c r="F34" s="5"/>
      <c r="G34" s="71">
        <v>5.2999999999999998E-4</v>
      </c>
      <c r="H34" s="83">
        <v>11887</v>
      </c>
      <c r="I34" s="7"/>
      <c r="J34" s="84">
        <v>15631</v>
      </c>
      <c r="K34" s="105">
        <v>1.3100000000000001E-2</v>
      </c>
      <c r="L34" s="85">
        <v>205</v>
      </c>
      <c r="M34" s="257">
        <f t="shared" si="1"/>
        <v>15426</v>
      </c>
      <c r="N34" s="88">
        <v>2345</v>
      </c>
      <c r="O34" s="87">
        <v>15703</v>
      </c>
      <c r="P34" s="281">
        <f t="shared" si="0"/>
        <v>-72</v>
      </c>
      <c r="Q34" s="269">
        <f t="shared" si="2"/>
        <v>-4.5851111252626885E-3</v>
      </c>
    </row>
    <row r="35" spans="1:17" ht="18">
      <c r="A35" s="106" t="s">
        <v>95</v>
      </c>
      <c r="B35" s="106" t="s">
        <v>100</v>
      </c>
      <c r="C35" s="107" t="s">
        <v>101</v>
      </c>
      <c r="D35" s="81">
        <v>8.4500000000000005E-4</v>
      </c>
      <c r="E35" s="82">
        <v>3345</v>
      </c>
      <c r="F35" s="5"/>
      <c r="G35" s="71">
        <v>1.16E-3</v>
      </c>
      <c r="H35" s="83">
        <v>26017</v>
      </c>
      <c r="I35" s="7"/>
      <c r="J35" s="84">
        <v>29362</v>
      </c>
      <c r="K35" s="105">
        <v>1.3100000000000001E-2</v>
      </c>
      <c r="L35" s="85">
        <v>385</v>
      </c>
      <c r="M35" s="257">
        <f t="shared" si="1"/>
        <v>28977</v>
      </c>
      <c r="N35" s="88">
        <v>4404</v>
      </c>
      <c r="O35" s="87">
        <v>29537</v>
      </c>
      <c r="P35" s="281">
        <f t="shared" si="0"/>
        <v>-175</v>
      </c>
      <c r="Q35" s="269">
        <f t="shared" si="2"/>
        <v>-5.9247723194637237E-3</v>
      </c>
    </row>
    <row r="36" spans="1:17" ht="18">
      <c r="A36" s="79" t="s">
        <v>95</v>
      </c>
      <c r="B36" s="79" t="s">
        <v>102</v>
      </c>
      <c r="C36" s="80" t="s">
        <v>103</v>
      </c>
      <c r="D36" s="81">
        <v>1.457E-3</v>
      </c>
      <c r="E36" s="82">
        <v>5767</v>
      </c>
      <c r="F36" s="5"/>
      <c r="G36" s="71">
        <v>1.5900000000000001E-3</v>
      </c>
      <c r="H36" s="83">
        <v>35661</v>
      </c>
      <c r="I36" s="7"/>
      <c r="J36" s="84">
        <v>41428</v>
      </c>
      <c r="K36" s="105">
        <v>1.3100000000000001E-2</v>
      </c>
      <c r="L36" s="85">
        <v>543</v>
      </c>
      <c r="M36" s="257">
        <f t="shared" si="1"/>
        <v>40885</v>
      </c>
      <c r="N36" s="88">
        <v>6214</v>
      </c>
      <c r="O36" s="87">
        <v>40149</v>
      </c>
      <c r="P36" s="281">
        <f t="shared" si="0"/>
        <v>1279</v>
      </c>
      <c r="Q36" s="269">
        <f t="shared" si="2"/>
        <v>3.1856335151560437E-2</v>
      </c>
    </row>
    <row r="37" spans="1:17" ht="18">
      <c r="A37" s="79" t="s">
        <v>95</v>
      </c>
      <c r="B37" s="79" t="s">
        <v>104</v>
      </c>
      <c r="C37" s="80" t="s">
        <v>105</v>
      </c>
      <c r="D37" s="81">
        <v>8.8999999999999995E-4</v>
      </c>
      <c r="E37" s="82">
        <v>3523</v>
      </c>
      <c r="F37" s="5"/>
      <c r="G37" s="71">
        <v>1.175E-3</v>
      </c>
      <c r="H37" s="83">
        <v>26353</v>
      </c>
      <c r="I37" s="7"/>
      <c r="J37" s="84">
        <v>29876</v>
      </c>
      <c r="K37" s="105">
        <v>1.3100000000000001E-2</v>
      </c>
      <c r="L37" s="85">
        <v>391</v>
      </c>
      <c r="M37" s="257">
        <f t="shared" si="1"/>
        <v>29485</v>
      </c>
      <c r="N37" s="88">
        <v>4481</v>
      </c>
      <c r="O37" s="87">
        <v>30374</v>
      </c>
      <c r="P37" s="281">
        <f t="shared" si="0"/>
        <v>-498</v>
      </c>
      <c r="Q37" s="269">
        <f t="shared" si="2"/>
        <v>-1.6395601501283993E-2</v>
      </c>
    </row>
    <row r="38" spans="1:17" ht="18">
      <c r="A38" s="79" t="s">
        <v>95</v>
      </c>
      <c r="B38" s="79" t="s">
        <v>106</v>
      </c>
      <c r="C38" s="80" t="s">
        <v>107</v>
      </c>
      <c r="D38" s="81">
        <v>1.8799999999999999E-3</v>
      </c>
      <c r="E38" s="82">
        <v>7441</v>
      </c>
      <c r="F38" s="5"/>
      <c r="G38" s="71">
        <v>1.444E-3</v>
      </c>
      <c r="H38" s="83">
        <v>32386</v>
      </c>
      <c r="I38" s="7"/>
      <c r="J38" s="84">
        <v>39827</v>
      </c>
      <c r="K38" s="105">
        <v>1.3100000000000001E-2</v>
      </c>
      <c r="L38" s="85">
        <v>522</v>
      </c>
      <c r="M38" s="257">
        <f t="shared" si="1"/>
        <v>39305</v>
      </c>
      <c r="N38" s="88">
        <v>5974</v>
      </c>
      <c r="O38" s="87">
        <v>38727</v>
      </c>
      <c r="P38" s="281">
        <f t="shared" si="0"/>
        <v>1100</v>
      </c>
      <c r="Q38" s="269">
        <f t="shared" si="2"/>
        <v>2.8403955896403026E-2</v>
      </c>
    </row>
    <row r="39" spans="1:17" ht="18">
      <c r="A39" s="79" t="s">
        <v>95</v>
      </c>
      <c r="B39" s="79" t="s">
        <v>108</v>
      </c>
      <c r="C39" s="80" t="s">
        <v>109</v>
      </c>
      <c r="D39" s="81">
        <v>1.4679999999999999E-3</v>
      </c>
      <c r="E39" s="82">
        <v>5810</v>
      </c>
      <c r="F39" s="5"/>
      <c r="G39" s="71">
        <v>1.279E-3</v>
      </c>
      <c r="H39" s="83">
        <v>28686</v>
      </c>
      <c r="I39" s="7"/>
      <c r="J39" s="84">
        <v>34496</v>
      </c>
      <c r="K39" s="105">
        <v>1.3100000000000001E-2</v>
      </c>
      <c r="L39" s="85">
        <v>452</v>
      </c>
      <c r="M39" s="257">
        <f t="shared" si="1"/>
        <v>34044</v>
      </c>
      <c r="N39" s="88">
        <v>5174</v>
      </c>
      <c r="O39" s="87">
        <v>33364</v>
      </c>
      <c r="P39" s="281">
        <f t="shared" si="0"/>
        <v>1132</v>
      </c>
      <c r="Q39" s="269">
        <f t="shared" si="2"/>
        <v>3.3928785517324062E-2</v>
      </c>
    </row>
    <row r="40" spans="1:17" ht="18">
      <c r="A40" s="79" t="s">
        <v>95</v>
      </c>
      <c r="B40" s="79" t="s">
        <v>110</v>
      </c>
      <c r="C40" s="80" t="s">
        <v>111</v>
      </c>
      <c r="D40" s="81">
        <v>8.6799999999999996E-4</v>
      </c>
      <c r="E40" s="82">
        <v>3436</v>
      </c>
      <c r="F40" s="5"/>
      <c r="G40" s="71">
        <v>1.0920000000000001E-3</v>
      </c>
      <c r="H40" s="83">
        <v>24492</v>
      </c>
      <c r="I40" s="7"/>
      <c r="J40" s="84">
        <v>27928</v>
      </c>
      <c r="K40" s="105">
        <v>1.3100000000000001E-2</v>
      </c>
      <c r="L40" s="85">
        <v>366</v>
      </c>
      <c r="M40" s="257">
        <f t="shared" si="1"/>
        <v>27562</v>
      </c>
      <c r="N40" s="88">
        <v>4189</v>
      </c>
      <c r="O40" s="87">
        <v>27549</v>
      </c>
      <c r="P40" s="281">
        <f t="shared" si="0"/>
        <v>379</v>
      </c>
      <c r="Q40" s="269">
        <f t="shared" si="2"/>
        <v>1.3757305165341755E-2</v>
      </c>
    </row>
    <row r="41" spans="1:17" ht="18">
      <c r="A41" s="79" t="s">
        <v>95</v>
      </c>
      <c r="B41" s="79" t="s">
        <v>112</v>
      </c>
      <c r="C41" s="80" t="s">
        <v>113</v>
      </c>
      <c r="D41" s="81">
        <v>8.8999999999999995E-4</v>
      </c>
      <c r="E41" s="82">
        <v>3523</v>
      </c>
      <c r="F41" s="5"/>
      <c r="G41" s="71">
        <v>9.8299999999999993E-4</v>
      </c>
      <c r="H41" s="83">
        <v>22047</v>
      </c>
      <c r="I41" s="7"/>
      <c r="J41" s="84">
        <v>25570</v>
      </c>
      <c r="K41" s="105">
        <v>1.3100000000000001E-2</v>
      </c>
      <c r="L41" s="85">
        <v>335</v>
      </c>
      <c r="M41" s="257">
        <f t="shared" si="1"/>
        <v>25235</v>
      </c>
      <c r="N41" s="88">
        <v>3836</v>
      </c>
      <c r="O41" s="87">
        <v>26848</v>
      </c>
      <c r="P41" s="281">
        <f t="shared" si="0"/>
        <v>-1278</v>
      </c>
      <c r="Q41" s="269">
        <f t="shared" si="2"/>
        <v>-4.7601311084624551E-2</v>
      </c>
    </row>
    <row r="42" spans="1:17" ht="18">
      <c r="A42" s="79" t="s">
        <v>95</v>
      </c>
      <c r="B42" s="79" t="s">
        <v>114</v>
      </c>
      <c r="C42" s="80" t="s">
        <v>115</v>
      </c>
      <c r="D42" s="81">
        <v>6.2299999999999996E-4</v>
      </c>
      <c r="E42" s="82">
        <v>2466</v>
      </c>
      <c r="F42" s="5"/>
      <c r="G42" s="71">
        <v>5.5900000000000004E-4</v>
      </c>
      <c r="H42" s="83">
        <v>12537</v>
      </c>
      <c r="I42" s="7"/>
      <c r="J42" s="84">
        <v>15003</v>
      </c>
      <c r="K42" s="105">
        <v>1.3100000000000001E-2</v>
      </c>
      <c r="L42" s="85">
        <v>197</v>
      </c>
      <c r="M42" s="257">
        <f t="shared" si="1"/>
        <v>14806</v>
      </c>
      <c r="N42" s="88">
        <v>2250</v>
      </c>
      <c r="O42" s="87">
        <v>14960</v>
      </c>
      <c r="P42" s="281">
        <f t="shared" si="0"/>
        <v>43</v>
      </c>
      <c r="Q42" s="269">
        <f t="shared" si="2"/>
        <v>2.8743315508021391E-3</v>
      </c>
    </row>
    <row r="43" spans="1:17" ht="18">
      <c r="A43" s="79" t="s">
        <v>95</v>
      </c>
      <c r="B43" s="79" t="s">
        <v>116</v>
      </c>
      <c r="C43" s="80" t="s">
        <v>117</v>
      </c>
      <c r="D43" s="81">
        <v>5.2950000000000002E-3</v>
      </c>
      <c r="E43" s="82">
        <v>20958</v>
      </c>
      <c r="F43" s="5"/>
      <c r="G43" s="71">
        <v>9.9330000000000009E-3</v>
      </c>
      <c r="H43" s="83">
        <v>222780</v>
      </c>
      <c r="I43" s="7"/>
      <c r="J43" s="84">
        <v>243738</v>
      </c>
      <c r="K43" s="105">
        <v>1.3100000000000001E-2</v>
      </c>
      <c r="L43" s="85">
        <v>3193</v>
      </c>
      <c r="M43" s="257">
        <f t="shared" si="1"/>
        <v>240545</v>
      </c>
      <c r="N43" s="88">
        <v>36561</v>
      </c>
      <c r="O43" s="87">
        <v>231768</v>
      </c>
      <c r="P43" s="281">
        <f t="shared" si="0"/>
        <v>11970</v>
      </c>
      <c r="Q43" s="269">
        <f t="shared" si="2"/>
        <v>5.1646474060267164E-2</v>
      </c>
    </row>
    <row r="44" spans="1:17" ht="18">
      <c r="A44" s="79" t="s">
        <v>95</v>
      </c>
      <c r="B44" s="79" t="s">
        <v>118</v>
      </c>
      <c r="C44" s="80" t="s">
        <v>119</v>
      </c>
      <c r="D44" s="81">
        <v>3.7160000000000001E-3</v>
      </c>
      <c r="E44" s="82">
        <v>14708</v>
      </c>
      <c r="F44" s="5"/>
      <c r="G44" s="71">
        <v>3.3409999999999998E-3</v>
      </c>
      <c r="H44" s="83">
        <v>74933</v>
      </c>
      <c r="I44" s="7"/>
      <c r="J44" s="84">
        <v>89641</v>
      </c>
      <c r="K44" s="105">
        <v>1.3100000000000001E-2</v>
      </c>
      <c r="L44" s="85">
        <v>1174</v>
      </c>
      <c r="M44" s="257">
        <f t="shared" si="1"/>
        <v>88467</v>
      </c>
      <c r="N44" s="88">
        <v>13446</v>
      </c>
      <c r="O44" s="87">
        <v>90496</v>
      </c>
      <c r="P44" s="281">
        <f t="shared" si="0"/>
        <v>-855</v>
      </c>
      <c r="Q44" s="269">
        <f t="shared" si="2"/>
        <v>-9.4479314002828847E-3</v>
      </c>
    </row>
    <row r="45" spans="1:17" ht="18">
      <c r="A45" s="79" t="s">
        <v>95</v>
      </c>
      <c r="B45" s="79" t="s">
        <v>120</v>
      </c>
      <c r="C45" s="80" t="s">
        <v>121</v>
      </c>
      <c r="D45" s="81">
        <v>6.2299999999999996E-4</v>
      </c>
      <c r="E45" s="82">
        <v>2466</v>
      </c>
      <c r="F45" s="5"/>
      <c r="G45" s="71">
        <v>7.1599999999999995E-4</v>
      </c>
      <c r="H45" s="83">
        <v>16059</v>
      </c>
      <c r="I45" s="7"/>
      <c r="J45" s="84">
        <v>18525</v>
      </c>
      <c r="K45" s="105">
        <v>1.3100000000000001E-2</v>
      </c>
      <c r="L45" s="85">
        <v>243</v>
      </c>
      <c r="M45" s="257">
        <f t="shared" si="1"/>
        <v>18282</v>
      </c>
      <c r="N45" s="88">
        <v>2779</v>
      </c>
      <c r="O45" s="87">
        <v>19274</v>
      </c>
      <c r="P45" s="281">
        <f t="shared" si="0"/>
        <v>-749</v>
      </c>
      <c r="Q45" s="269">
        <f t="shared" si="2"/>
        <v>-3.886064127840614E-2</v>
      </c>
    </row>
    <row r="46" spans="1:17" ht="18">
      <c r="A46" s="79" t="s">
        <v>95</v>
      </c>
      <c r="B46" s="79" t="s">
        <v>122</v>
      </c>
      <c r="C46" s="80" t="s">
        <v>123</v>
      </c>
      <c r="D46" s="81">
        <v>2.1359999999999999E-3</v>
      </c>
      <c r="E46" s="82">
        <v>8454</v>
      </c>
      <c r="F46" s="5"/>
      <c r="G46" s="71">
        <v>2.6020000000000001E-3</v>
      </c>
      <c r="H46" s="83">
        <v>58358</v>
      </c>
      <c r="I46" s="7"/>
      <c r="J46" s="84">
        <v>66812</v>
      </c>
      <c r="K46" s="105">
        <v>1.3100000000000001E-2</v>
      </c>
      <c r="L46" s="85">
        <v>875</v>
      </c>
      <c r="M46" s="257">
        <f t="shared" si="1"/>
        <v>65937</v>
      </c>
      <c r="N46" s="88">
        <v>10022</v>
      </c>
      <c r="O46" s="87">
        <v>69402</v>
      </c>
      <c r="P46" s="281">
        <f t="shared" si="0"/>
        <v>-2590</v>
      </c>
      <c r="Q46" s="269">
        <f t="shared" si="2"/>
        <v>-3.7318809256217403E-2</v>
      </c>
    </row>
    <row r="47" spans="1:17" ht="18">
      <c r="A47" s="79" t="s">
        <v>95</v>
      </c>
      <c r="B47" s="79" t="s">
        <v>124</v>
      </c>
      <c r="C47" s="80" t="s">
        <v>125</v>
      </c>
      <c r="D47" s="81">
        <v>0</v>
      </c>
      <c r="E47" s="82">
        <v>0</v>
      </c>
      <c r="F47" s="5"/>
      <c r="G47" s="71">
        <v>3.0899999999999998E-4</v>
      </c>
      <c r="H47" s="83">
        <v>6930</v>
      </c>
      <c r="I47" s="7"/>
      <c r="J47" s="84">
        <v>6930</v>
      </c>
      <c r="K47" s="105">
        <v>1.3100000000000001E-2</v>
      </c>
      <c r="L47" s="85">
        <v>91</v>
      </c>
      <c r="M47" s="257">
        <f t="shared" si="1"/>
        <v>6839</v>
      </c>
      <c r="N47" s="88">
        <v>1040</v>
      </c>
      <c r="O47" s="87">
        <v>7164</v>
      </c>
      <c r="P47" s="281">
        <f t="shared" si="0"/>
        <v>-234</v>
      </c>
      <c r="Q47" s="269">
        <f t="shared" si="2"/>
        <v>-3.2663316582914576E-2</v>
      </c>
    </row>
    <row r="48" spans="1:17" ht="18">
      <c r="A48" s="79" t="s">
        <v>95</v>
      </c>
      <c r="B48" s="79" t="s">
        <v>126</v>
      </c>
      <c r="C48" s="80" t="s">
        <v>127</v>
      </c>
      <c r="D48" s="81">
        <v>5.3399999999999997E-4</v>
      </c>
      <c r="E48" s="82">
        <v>2114</v>
      </c>
      <c r="F48" s="5"/>
      <c r="G48" s="71">
        <v>1.4289999999999999E-3</v>
      </c>
      <c r="H48" s="83">
        <v>32050</v>
      </c>
      <c r="I48" s="7"/>
      <c r="J48" s="84">
        <v>34164</v>
      </c>
      <c r="K48" s="105">
        <v>1.3100000000000001E-2</v>
      </c>
      <c r="L48" s="85">
        <v>448</v>
      </c>
      <c r="M48" s="257">
        <f t="shared" si="1"/>
        <v>33716</v>
      </c>
      <c r="N48" s="88">
        <v>5125</v>
      </c>
      <c r="O48" s="87">
        <v>33677</v>
      </c>
      <c r="P48" s="281">
        <f t="shared" si="0"/>
        <v>487</v>
      </c>
      <c r="Q48" s="269">
        <f t="shared" si="2"/>
        <v>1.4460908038126911E-2</v>
      </c>
    </row>
    <row r="49" spans="1:17" ht="18">
      <c r="A49" s="79" t="s">
        <v>95</v>
      </c>
      <c r="B49" s="79" t="s">
        <v>128</v>
      </c>
      <c r="C49" s="80" t="s">
        <v>129</v>
      </c>
      <c r="D49" s="81">
        <v>9.5699999999999995E-4</v>
      </c>
      <c r="E49" s="82">
        <v>3788</v>
      </c>
      <c r="F49" s="5"/>
      <c r="G49" s="71">
        <v>1.572E-3</v>
      </c>
      <c r="H49" s="83">
        <v>35257</v>
      </c>
      <c r="I49" s="7"/>
      <c r="J49" s="84">
        <v>39045</v>
      </c>
      <c r="K49" s="105">
        <v>1.3100000000000001E-2</v>
      </c>
      <c r="L49" s="85">
        <v>511</v>
      </c>
      <c r="M49" s="257">
        <f t="shared" si="1"/>
        <v>38534</v>
      </c>
      <c r="N49" s="88">
        <v>5857</v>
      </c>
      <c r="O49" s="87">
        <v>38593</v>
      </c>
      <c r="P49" s="281">
        <f t="shared" si="0"/>
        <v>452</v>
      </c>
      <c r="Q49" s="269">
        <f t="shared" si="2"/>
        <v>1.1711968491695385E-2</v>
      </c>
    </row>
    <row r="50" spans="1:17" ht="18">
      <c r="A50" s="79" t="s">
        <v>95</v>
      </c>
      <c r="B50" s="79" t="s">
        <v>130</v>
      </c>
      <c r="C50" s="80" t="s">
        <v>131</v>
      </c>
      <c r="D50" s="81">
        <v>3.5599999999999998E-4</v>
      </c>
      <c r="E50" s="82">
        <v>1409</v>
      </c>
      <c r="F50" s="5"/>
      <c r="G50" s="71">
        <v>2.7399999999999999E-4</v>
      </c>
      <c r="H50" s="83">
        <v>6145</v>
      </c>
      <c r="I50" s="7"/>
      <c r="J50" s="84">
        <v>7554</v>
      </c>
      <c r="K50" s="105">
        <v>1.3100000000000001E-2</v>
      </c>
      <c r="L50" s="85">
        <v>99</v>
      </c>
      <c r="M50" s="257">
        <f t="shared" si="1"/>
        <v>7455</v>
      </c>
      <c r="N50" s="88">
        <v>1133</v>
      </c>
      <c r="O50" s="87">
        <v>7031</v>
      </c>
      <c r="P50" s="281">
        <f t="shared" si="0"/>
        <v>523</v>
      </c>
      <c r="Q50" s="269">
        <f t="shared" si="2"/>
        <v>7.4384867017493958E-2</v>
      </c>
    </row>
    <row r="51" spans="1:17" ht="18">
      <c r="A51" s="79" t="s">
        <v>95</v>
      </c>
      <c r="B51" s="79" t="s">
        <v>132</v>
      </c>
      <c r="C51" s="80" t="s">
        <v>133</v>
      </c>
      <c r="D51" s="81">
        <v>1.168E-3</v>
      </c>
      <c r="E51" s="82">
        <v>4623</v>
      </c>
      <c r="F51" s="5"/>
      <c r="G51" s="71">
        <v>9.7300000000000002E-4</v>
      </c>
      <c r="H51" s="83">
        <v>21823</v>
      </c>
      <c r="I51" s="7"/>
      <c r="J51" s="84">
        <v>26446</v>
      </c>
      <c r="K51" s="105">
        <v>1.3100000000000001E-2</v>
      </c>
      <c r="L51" s="85">
        <v>346</v>
      </c>
      <c r="M51" s="257">
        <f t="shared" si="1"/>
        <v>26100</v>
      </c>
      <c r="N51" s="88">
        <v>3967</v>
      </c>
      <c r="O51" s="87">
        <v>27037</v>
      </c>
      <c r="P51" s="281">
        <f t="shared" si="0"/>
        <v>-591</v>
      </c>
      <c r="Q51" s="269">
        <f t="shared" si="2"/>
        <v>-2.185893405333432E-2</v>
      </c>
    </row>
    <row r="52" spans="1:17" ht="18">
      <c r="A52" s="79" t="s">
        <v>95</v>
      </c>
      <c r="B52" s="79" t="s">
        <v>134</v>
      </c>
      <c r="C52" s="80" t="s">
        <v>135</v>
      </c>
      <c r="D52" s="81">
        <v>1.0009999999999999E-3</v>
      </c>
      <c r="E52" s="82">
        <v>3962</v>
      </c>
      <c r="F52" s="5"/>
      <c r="G52" s="71">
        <v>1.0579999999999999E-3</v>
      </c>
      <c r="H52" s="83">
        <v>23729</v>
      </c>
      <c r="I52" s="7"/>
      <c r="J52" s="84">
        <v>27691</v>
      </c>
      <c r="K52" s="105">
        <v>1.3100000000000001E-2</v>
      </c>
      <c r="L52" s="85">
        <v>363</v>
      </c>
      <c r="M52" s="257">
        <f t="shared" si="1"/>
        <v>27328</v>
      </c>
      <c r="N52" s="88">
        <v>4154</v>
      </c>
      <c r="O52" s="87">
        <v>28750</v>
      </c>
      <c r="P52" s="281">
        <f t="shared" si="0"/>
        <v>-1059</v>
      </c>
      <c r="Q52" s="269">
        <f t="shared" si="2"/>
        <v>-3.6834782608695653E-2</v>
      </c>
    </row>
    <row r="53" spans="1:17" ht="18">
      <c r="A53" s="79" t="s">
        <v>95</v>
      </c>
      <c r="B53" s="79" t="s">
        <v>136</v>
      </c>
      <c r="C53" s="80" t="s">
        <v>137</v>
      </c>
      <c r="D53" s="81">
        <v>1.8799999999999999E-3</v>
      </c>
      <c r="E53" s="82">
        <v>7441</v>
      </c>
      <c r="F53" s="5"/>
      <c r="G53" s="71">
        <v>1.3749999999999999E-3</v>
      </c>
      <c r="H53" s="83">
        <v>30839</v>
      </c>
      <c r="I53" s="7"/>
      <c r="J53" s="84">
        <v>38280</v>
      </c>
      <c r="K53" s="105">
        <v>1.3100000000000001E-2</v>
      </c>
      <c r="L53" s="85">
        <v>501</v>
      </c>
      <c r="M53" s="257">
        <f t="shared" si="1"/>
        <v>37779</v>
      </c>
      <c r="N53" s="88">
        <v>5742</v>
      </c>
      <c r="O53" s="87">
        <v>38004</v>
      </c>
      <c r="P53" s="281">
        <f t="shared" si="0"/>
        <v>276</v>
      </c>
      <c r="Q53" s="269">
        <f t="shared" si="2"/>
        <v>7.2623934322702871E-3</v>
      </c>
    </row>
    <row r="54" spans="1:17" ht="18">
      <c r="A54" s="79" t="s">
        <v>95</v>
      </c>
      <c r="B54" s="79" t="s">
        <v>138</v>
      </c>
      <c r="C54" s="80" t="s">
        <v>139</v>
      </c>
      <c r="D54" s="81">
        <v>1.2570000000000001E-3</v>
      </c>
      <c r="E54" s="82">
        <v>4975</v>
      </c>
      <c r="F54" s="5"/>
      <c r="G54" s="71">
        <v>1.291E-3</v>
      </c>
      <c r="H54" s="83">
        <v>28955</v>
      </c>
      <c r="I54" s="7"/>
      <c r="J54" s="84">
        <v>33930</v>
      </c>
      <c r="K54" s="105">
        <v>1.3100000000000001E-2</v>
      </c>
      <c r="L54" s="85">
        <v>444</v>
      </c>
      <c r="M54" s="257">
        <f t="shared" si="1"/>
        <v>33486</v>
      </c>
      <c r="N54" s="88">
        <v>5090</v>
      </c>
      <c r="O54" s="87">
        <v>34108</v>
      </c>
      <c r="P54" s="281">
        <f t="shared" si="0"/>
        <v>-178</v>
      </c>
      <c r="Q54" s="269">
        <f t="shared" si="2"/>
        <v>-5.2187170165357098E-3</v>
      </c>
    </row>
    <row r="55" spans="1:17" ht="18">
      <c r="A55" s="79" t="s">
        <v>95</v>
      </c>
      <c r="B55" s="79" t="s">
        <v>140</v>
      </c>
      <c r="C55" s="80" t="s">
        <v>141</v>
      </c>
      <c r="D55" s="81">
        <v>1.7910000000000001E-3</v>
      </c>
      <c r="E55" s="82">
        <v>7089</v>
      </c>
      <c r="F55" s="5"/>
      <c r="G55" s="71">
        <v>2.166E-3</v>
      </c>
      <c r="H55" s="83">
        <v>48580</v>
      </c>
      <c r="I55" s="7"/>
      <c r="J55" s="84">
        <v>55669</v>
      </c>
      <c r="K55" s="105">
        <v>1.3100000000000001E-2</v>
      </c>
      <c r="L55" s="85">
        <v>729</v>
      </c>
      <c r="M55" s="257">
        <f t="shared" si="1"/>
        <v>54940</v>
      </c>
      <c r="N55" s="88">
        <v>8350</v>
      </c>
      <c r="O55" s="87">
        <v>59589</v>
      </c>
      <c r="P55" s="281">
        <f t="shared" si="0"/>
        <v>-3920</v>
      </c>
      <c r="Q55" s="269">
        <f t="shared" si="2"/>
        <v>-6.5783953414220747E-2</v>
      </c>
    </row>
    <row r="56" spans="1:17" ht="18">
      <c r="A56" s="79" t="s">
        <v>95</v>
      </c>
      <c r="B56" s="79" t="s">
        <v>142</v>
      </c>
      <c r="C56" s="80" t="s">
        <v>143</v>
      </c>
      <c r="D56" s="81">
        <v>1.302E-3</v>
      </c>
      <c r="E56" s="82">
        <v>5153</v>
      </c>
      <c r="F56" s="5"/>
      <c r="G56" s="71">
        <v>1.531E-3</v>
      </c>
      <c r="H56" s="83">
        <v>34338</v>
      </c>
      <c r="I56" s="7"/>
      <c r="J56" s="84">
        <v>39491</v>
      </c>
      <c r="K56" s="105">
        <v>1.3100000000000001E-2</v>
      </c>
      <c r="L56" s="85">
        <v>517</v>
      </c>
      <c r="M56" s="257">
        <f t="shared" si="1"/>
        <v>38974</v>
      </c>
      <c r="N56" s="88">
        <v>5924</v>
      </c>
      <c r="O56" s="87">
        <v>39974</v>
      </c>
      <c r="P56" s="281">
        <f t="shared" si="0"/>
        <v>-483</v>
      </c>
      <c r="Q56" s="269">
        <f t="shared" si="2"/>
        <v>-1.2082853855005753E-2</v>
      </c>
    </row>
    <row r="57" spans="1:17" ht="18">
      <c r="A57" s="79" t="s">
        <v>95</v>
      </c>
      <c r="B57" s="79" t="s">
        <v>144</v>
      </c>
      <c r="C57" s="80" t="s">
        <v>145</v>
      </c>
      <c r="D57" s="81">
        <v>6.4499999999999996E-4</v>
      </c>
      <c r="E57" s="82">
        <v>2553</v>
      </c>
      <c r="F57" s="5"/>
      <c r="G57" s="71">
        <v>1.286E-3</v>
      </c>
      <c r="H57" s="83">
        <v>28843</v>
      </c>
      <c r="I57" s="7"/>
      <c r="J57" s="84">
        <v>31396</v>
      </c>
      <c r="K57" s="105">
        <v>1.3100000000000001E-2</v>
      </c>
      <c r="L57" s="85">
        <v>411</v>
      </c>
      <c r="M57" s="257">
        <f t="shared" si="1"/>
        <v>30985</v>
      </c>
      <c r="N57" s="88">
        <v>4709</v>
      </c>
      <c r="O57" s="87">
        <v>33733</v>
      </c>
      <c r="P57" s="281">
        <f t="shared" si="0"/>
        <v>-2337</v>
      </c>
      <c r="Q57" s="269">
        <f t="shared" si="2"/>
        <v>-6.9279340704947678E-2</v>
      </c>
    </row>
    <row r="58" spans="1:17" ht="18">
      <c r="A58" s="79" t="s">
        <v>95</v>
      </c>
      <c r="B58" s="79" t="s">
        <v>146</v>
      </c>
      <c r="C58" s="80" t="s">
        <v>147</v>
      </c>
      <c r="D58" s="81">
        <v>8.34E-4</v>
      </c>
      <c r="E58" s="82">
        <v>3301</v>
      </c>
      <c r="F58" s="5"/>
      <c r="G58" s="71">
        <v>6.4899999999999995E-4</v>
      </c>
      <c r="H58" s="83">
        <v>14556</v>
      </c>
      <c r="I58" s="7"/>
      <c r="J58" s="84">
        <v>17857</v>
      </c>
      <c r="K58" s="105">
        <v>1.3100000000000001E-2</v>
      </c>
      <c r="L58" s="85">
        <v>234</v>
      </c>
      <c r="M58" s="257">
        <f t="shared" si="1"/>
        <v>17623</v>
      </c>
      <c r="N58" s="88">
        <v>2679</v>
      </c>
      <c r="O58" s="87">
        <v>18594</v>
      </c>
      <c r="P58" s="281">
        <f t="shared" si="0"/>
        <v>-737</v>
      </c>
      <c r="Q58" s="269">
        <f t="shared" si="2"/>
        <v>-3.9636441862966547E-2</v>
      </c>
    </row>
    <row r="59" spans="1:17" ht="18">
      <c r="A59" s="79" t="s">
        <v>95</v>
      </c>
      <c r="B59" s="79" t="s">
        <v>148</v>
      </c>
      <c r="C59" s="80" t="s">
        <v>149</v>
      </c>
      <c r="D59" s="81">
        <v>3.5929999999999998E-3</v>
      </c>
      <c r="E59" s="82">
        <v>14221</v>
      </c>
      <c r="F59" s="5"/>
      <c r="G59" s="71">
        <v>3.441E-3</v>
      </c>
      <c r="H59" s="83">
        <v>77176</v>
      </c>
      <c r="I59" s="7"/>
      <c r="J59" s="84">
        <v>91397</v>
      </c>
      <c r="K59" s="105">
        <v>1.3100000000000001E-2</v>
      </c>
      <c r="L59" s="85">
        <v>1197</v>
      </c>
      <c r="M59" s="257">
        <f t="shared" si="1"/>
        <v>90200</v>
      </c>
      <c r="N59" s="88">
        <v>13710</v>
      </c>
      <c r="O59" s="87">
        <v>92319</v>
      </c>
      <c r="P59" s="281">
        <f t="shared" si="0"/>
        <v>-922</v>
      </c>
      <c r="Q59" s="269">
        <f t="shared" si="2"/>
        <v>-9.9871099123690684E-3</v>
      </c>
    </row>
    <row r="60" spans="1:17" ht="18">
      <c r="A60" s="79" t="s">
        <v>95</v>
      </c>
      <c r="B60" s="79" t="s">
        <v>150</v>
      </c>
      <c r="C60" s="80" t="s">
        <v>151</v>
      </c>
      <c r="D60" s="81">
        <v>9.5699999999999995E-4</v>
      </c>
      <c r="E60" s="82">
        <v>3788</v>
      </c>
      <c r="F60" s="5"/>
      <c r="G60" s="71">
        <v>1.248E-3</v>
      </c>
      <c r="H60" s="83">
        <v>27991</v>
      </c>
      <c r="I60" s="7"/>
      <c r="J60" s="84">
        <v>31779</v>
      </c>
      <c r="K60" s="105">
        <v>1.3100000000000001E-2</v>
      </c>
      <c r="L60" s="85">
        <v>416</v>
      </c>
      <c r="M60" s="257">
        <f t="shared" si="1"/>
        <v>31363</v>
      </c>
      <c r="N60" s="88">
        <v>4767</v>
      </c>
      <c r="O60" s="87">
        <v>32126</v>
      </c>
      <c r="P60" s="281">
        <f t="shared" si="0"/>
        <v>-347</v>
      </c>
      <c r="Q60" s="269">
        <f t="shared" si="2"/>
        <v>-1.0801220195480297E-2</v>
      </c>
    </row>
    <row r="61" spans="1:17" ht="18">
      <c r="A61" s="79" t="s">
        <v>95</v>
      </c>
      <c r="B61" s="79" t="s">
        <v>152</v>
      </c>
      <c r="C61" s="80" t="s">
        <v>153</v>
      </c>
      <c r="D61" s="81">
        <v>3.3709999999999999E-3</v>
      </c>
      <c r="E61" s="82">
        <v>13342</v>
      </c>
      <c r="F61" s="5"/>
      <c r="G61" s="71">
        <v>2.343E-3</v>
      </c>
      <c r="H61" s="83">
        <v>52550</v>
      </c>
      <c r="I61" s="7"/>
      <c r="J61" s="84">
        <v>65892</v>
      </c>
      <c r="K61" s="105">
        <v>1.3100000000000001E-2</v>
      </c>
      <c r="L61" s="85">
        <v>863</v>
      </c>
      <c r="M61" s="257">
        <f t="shared" si="1"/>
        <v>65029</v>
      </c>
      <c r="N61" s="88">
        <v>9884</v>
      </c>
      <c r="O61" s="87">
        <v>66994</v>
      </c>
      <c r="P61" s="281">
        <f t="shared" si="0"/>
        <v>-1102</v>
      </c>
      <c r="Q61" s="269">
        <f t="shared" si="2"/>
        <v>-1.6449234259784458E-2</v>
      </c>
    </row>
    <row r="62" spans="1:17" ht="18">
      <c r="A62" s="79" t="s">
        <v>95</v>
      </c>
      <c r="B62" s="79" t="s">
        <v>154</v>
      </c>
      <c r="C62" s="80" t="s">
        <v>155</v>
      </c>
      <c r="D62" s="81">
        <v>1.0790000000000001E-3</v>
      </c>
      <c r="E62" s="82">
        <v>4271</v>
      </c>
      <c r="F62" s="5"/>
      <c r="G62" s="71">
        <v>7.8899999999999999E-4</v>
      </c>
      <c r="H62" s="83">
        <v>17696</v>
      </c>
      <c r="I62" s="7"/>
      <c r="J62" s="84">
        <v>21967</v>
      </c>
      <c r="K62" s="105">
        <v>1.3100000000000001E-2</v>
      </c>
      <c r="L62" s="85">
        <v>288</v>
      </c>
      <c r="M62" s="257">
        <f t="shared" si="1"/>
        <v>21679</v>
      </c>
      <c r="N62" s="88">
        <v>3295</v>
      </c>
      <c r="O62" s="87">
        <v>22741</v>
      </c>
      <c r="P62" s="281">
        <f t="shared" si="0"/>
        <v>-774</v>
      </c>
      <c r="Q62" s="269">
        <f t="shared" si="2"/>
        <v>-3.4035442592674027E-2</v>
      </c>
    </row>
    <row r="63" spans="1:17" ht="18">
      <c r="A63" s="79" t="s">
        <v>95</v>
      </c>
      <c r="B63" s="79" t="s">
        <v>156</v>
      </c>
      <c r="C63" s="80" t="s">
        <v>157</v>
      </c>
      <c r="D63" s="81">
        <v>7.5600000000000005E-4</v>
      </c>
      <c r="E63" s="82">
        <v>2992</v>
      </c>
      <c r="F63" s="5"/>
      <c r="G63" s="71">
        <v>1.3550000000000001E-3</v>
      </c>
      <c r="H63" s="83">
        <v>30390</v>
      </c>
      <c r="I63" s="7"/>
      <c r="J63" s="84">
        <v>33382</v>
      </c>
      <c r="K63" s="105">
        <v>1.3100000000000001E-2</v>
      </c>
      <c r="L63" s="85">
        <v>437</v>
      </c>
      <c r="M63" s="257">
        <f t="shared" si="1"/>
        <v>32945</v>
      </c>
      <c r="N63" s="88">
        <v>5007</v>
      </c>
      <c r="O63" s="87">
        <v>34264</v>
      </c>
      <c r="P63" s="281">
        <f t="shared" si="0"/>
        <v>-882</v>
      </c>
      <c r="Q63" s="269">
        <f t="shared" si="2"/>
        <v>-2.5741302825122579E-2</v>
      </c>
    </row>
    <row r="64" spans="1:17" ht="18">
      <c r="A64" s="79" t="s">
        <v>95</v>
      </c>
      <c r="B64" s="79" t="s">
        <v>158</v>
      </c>
      <c r="C64" s="80" t="s">
        <v>159</v>
      </c>
      <c r="D64" s="81">
        <v>2.5590000000000001E-3</v>
      </c>
      <c r="E64" s="82">
        <v>10129</v>
      </c>
      <c r="F64" s="5"/>
      <c r="G64" s="71">
        <v>2.9359999999999998E-3</v>
      </c>
      <c r="H64" s="83">
        <v>65850</v>
      </c>
      <c r="I64" s="7"/>
      <c r="J64" s="84">
        <v>75979</v>
      </c>
      <c r="K64" s="105">
        <v>1.3100000000000001E-2</v>
      </c>
      <c r="L64" s="85">
        <v>995</v>
      </c>
      <c r="M64" s="257">
        <f t="shared" si="1"/>
        <v>74984</v>
      </c>
      <c r="N64" s="88">
        <v>11397</v>
      </c>
      <c r="O64" s="87">
        <v>78263</v>
      </c>
      <c r="P64" s="281">
        <f t="shared" si="0"/>
        <v>-2284</v>
      </c>
      <c r="Q64" s="269">
        <f t="shared" si="2"/>
        <v>-2.9183650000638873E-2</v>
      </c>
    </row>
    <row r="65" spans="1:17" ht="18">
      <c r="A65" s="79" t="s">
        <v>95</v>
      </c>
      <c r="B65" s="79" t="s">
        <v>160</v>
      </c>
      <c r="C65" s="80" t="s">
        <v>161</v>
      </c>
      <c r="D65" s="81">
        <v>1.9469999999999999E-3</v>
      </c>
      <c r="E65" s="82">
        <v>7706</v>
      </c>
      <c r="F65" s="5"/>
      <c r="G65" s="71">
        <v>2.0720000000000001E-3</v>
      </c>
      <c r="H65" s="83">
        <v>46471</v>
      </c>
      <c r="I65" s="7"/>
      <c r="J65" s="84">
        <v>54177</v>
      </c>
      <c r="K65" s="105">
        <v>1.3100000000000001E-2</v>
      </c>
      <c r="L65" s="85">
        <v>710</v>
      </c>
      <c r="M65" s="257">
        <f t="shared" si="1"/>
        <v>53467</v>
      </c>
      <c r="N65" s="88">
        <v>8127</v>
      </c>
      <c r="O65" s="87">
        <v>54322</v>
      </c>
      <c r="P65" s="281">
        <f t="shared" si="0"/>
        <v>-145</v>
      </c>
      <c r="Q65" s="269">
        <f t="shared" si="2"/>
        <v>-2.6692684363609589E-3</v>
      </c>
    </row>
    <row r="66" spans="1:17" ht="18">
      <c r="A66" s="79" t="s">
        <v>95</v>
      </c>
      <c r="B66" s="79" t="s">
        <v>162</v>
      </c>
      <c r="C66" s="80" t="s">
        <v>163</v>
      </c>
      <c r="D66" s="81">
        <v>3.3399999999999999E-4</v>
      </c>
      <c r="E66" s="82">
        <v>1322</v>
      </c>
      <c r="F66" s="5"/>
      <c r="G66" s="71">
        <v>7.5500000000000003E-4</v>
      </c>
      <c r="H66" s="83">
        <v>16933</v>
      </c>
      <c r="I66" s="7"/>
      <c r="J66" s="84">
        <v>18255</v>
      </c>
      <c r="K66" s="105">
        <v>1.3100000000000001E-2</v>
      </c>
      <c r="L66" s="85">
        <v>239</v>
      </c>
      <c r="M66" s="257">
        <f t="shared" si="1"/>
        <v>18016</v>
      </c>
      <c r="N66" s="88">
        <v>2738</v>
      </c>
      <c r="O66" s="87">
        <v>17249</v>
      </c>
      <c r="P66" s="281">
        <f t="shared" si="0"/>
        <v>1006</v>
      </c>
      <c r="Q66" s="269">
        <f t="shared" si="2"/>
        <v>5.8322221578062494E-2</v>
      </c>
    </row>
    <row r="67" spans="1:17" ht="18">
      <c r="A67" s="79" t="s">
        <v>95</v>
      </c>
      <c r="B67" s="79" t="s">
        <v>164</v>
      </c>
      <c r="C67" s="80" t="s">
        <v>165</v>
      </c>
      <c r="D67" s="81">
        <v>1.3910000000000001E-3</v>
      </c>
      <c r="E67" s="82">
        <v>5506</v>
      </c>
      <c r="F67" s="5"/>
      <c r="G67" s="71">
        <v>1.9940000000000001E-3</v>
      </c>
      <c r="H67" s="83">
        <v>44722</v>
      </c>
      <c r="I67" s="7"/>
      <c r="J67" s="84">
        <v>50228</v>
      </c>
      <c r="K67" s="105">
        <v>1.3100000000000001E-2</v>
      </c>
      <c r="L67" s="85">
        <v>658</v>
      </c>
      <c r="M67" s="257">
        <f t="shared" si="1"/>
        <v>49570</v>
      </c>
      <c r="N67" s="88">
        <v>7534</v>
      </c>
      <c r="O67" s="87">
        <v>53282</v>
      </c>
      <c r="P67" s="281">
        <f t="shared" si="0"/>
        <v>-3054</v>
      </c>
      <c r="Q67" s="269">
        <f t="shared" si="2"/>
        <v>-5.7317668255696105E-2</v>
      </c>
    </row>
    <row r="68" spans="1:17" ht="18">
      <c r="A68" s="79" t="s">
        <v>95</v>
      </c>
      <c r="B68" s="79" t="s">
        <v>166</v>
      </c>
      <c r="C68" s="80" t="s">
        <v>167</v>
      </c>
      <c r="D68" s="81">
        <v>1.0460000000000001E-3</v>
      </c>
      <c r="E68" s="82">
        <v>4140</v>
      </c>
      <c r="F68" s="5"/>
      <c r="G68" s="71">
        <v>1.1739999999999999E-3</v>
      </c>
      <c r="H68" s="83">
        <v>26331</v>
      </c>
      <c r="I68" s="7"/>
      <c r="J68" s="84">
        <v>30471</v>
      </c>
      <c r="K68" s="105">
        <v>1.3100000000000001E-2</v>
      </c>
      <c r="L68" s="85">
        <v>399</v>
      </c>
      <c r="M68" s="257">
        <f t="shared" si="1"/>
        <v>30072</v>
      </c>
      <c r="N68" s="88">
        <v>4571</v>
      </c>
      <c r="O68" s="87">
        <v>32468</v>
      </c>
      <c r="P68" s="281">
        <f t="shared" si="0"/>
        <v>-1997</v>
      </c>
      <c r="Q68" s="269">
        <f t="shared" si="2"/>
        <v>-6.1506714303314031E-2</v>
      </c>
    </row>
    <row r="69" spans="1:17" ht="18">
      <c r="A69" s="79" t="s">
        <v>95</v>
      </c>
      <c r="B69" s="79" t="s">
        <v>168</v>
      </c>
      <c r="C69" s="80" t="s">
        <v>169</v>
      </c>
      <c r="D69" s="81">
        <v>1.7698999999999999E-2</v>
      </c>
      <c r="E69" s="82">
        <v>70053</v>
      </c>
      <c r="F69" s="5"/>
      <c r="G69" s="71">
        <v>1.0558E-2</v>
      </c>
      <c r="H69" s="83">
        <v>236798</v>
      </c>
      <c r="I69" s="7"/>
      <c r="J69" s="84">
        <v>306851</v>
      </c>
      <c r="K69" s="105">
        <v>1.3100000000000001E-2</v>
      </c>
      <c r="L69" s="85">
        <v>4020</v>
      </c>
      <c r="M69" s="257">
        <f t="shared" si="1"/>
        <v>302831</v>
      </c>
      <c r="N69" s="88">
        <v>46028</v>
      </c>
      <c r="O69" s="87">
        <v>313513</v>
      </c>
      <c r="P69" s="281">
        <f t="shared" si="0"/>
        <v>-6662</v>
      </c>
      <c r="Q69" s="269">
        <f t="shared" si="2"/>
        <v>-2.1249517563864975E-2</v>
      </c>
    </row>
    <row r="70" spans="1:17" ht="18">
      <c r="A70" s="79" t="s">
        <v>95</v>
      </c>
      <c r="B70" s="79" t="s">
        <v>170</v>
      </c>
      <c r="C70" s="80" t="s">
        <v>171</v>
      </c>
      <c r="D70" s="81">
        <v>1.0602E-2</v>
      </c>
      <c r="E70" s="82">
        <v>41963</v>
      </c>
      <c r="F70" s="5"/>
      <c r="G70" s="71">
        <v>8.5789999999999998E-3</v>
      </c>
      <c r="H70" s="83">
        <v>192412</v>
      </c>
      <c r="I70" s="7"/>
      <c r="J70" s="84">
        <v>234375</v>
      </c>
      <c r="K70" s="105">
        <v>1.3100000000000001E-2</v>
      </c>
      <c r="L70" s="85">
        <v>3070</v>
      </c>
      <c r="M70" s="257">
        <f t="shared" si="1"/>
        <v>231305</v>
      </c>
      <c r="N70" s="88">
        <v>35156</v>
      </c>
      <c r="O70" s="87">
        <v>237961</v>
      </c>
      <c r="P70" s="281">
        <f t="shared" si="0"/>
        <v>-3586</v>
      </c>
      <c r="Q70" s="269">
        <f t="shared" si="2"/>
        <v>-1.5069696294770991E-2</v>
      </c>
    </row>
    <row r="71" spans="1:17" ht="18">
      <c r="A71" s="79" t="s">
        <v>95</v>
      </c>
      <c r="B71" s="79" t="s">
        <v>172</v>
      </c>
      <c r="C71" s="80" t="s">
        <v>173</v>
      </c>
      <c r="D71" s="81">
        <v>9.1200000000000005E-4</v>
      </c>
      <c r="E71" s="82">
        <v>3610</v>
      </c>
      <c r="F71" s="5"/>
      <c r="G71" s="71">
        <v>1.044E-3</v>
      </c>
      <c r="H71" s="83">
        <v>23415</v>
      </c>
      <c r="I71" s="7"/>
      <c r="J71" s="84">
        <v>27025</v>
      </c>
      <c r="K71" s="105">
        <v>1.3100000000000001E-2</v>
      </c>
      <c r="L71" s="85">
        <v>354</v>
      </c>
      <c r="M71" s="257">
        <f t="shared" si="1"/>
        <v>26671</v>
      </c>
      <c r="N71" s="88">
        <v>4054</v>
      </c>
      <c r="O71" s="87">
        <v>27621</v>
      </c>
      <c r="P71" s="281">
        <f t="shared" si="0"/>
        <v>-596</v>
      </c>
      <c r="Q71" s="269">
        <f t="shared" si="2"/>
        <v>-2.1577785018645233E-2</v>
      </c>
    </row>
    <row r="72" spans="1:17" ht="18">
      <c r="A72" s="79" t="s">
        <v>95</v>
      </c>
      <c r="B72" s="79" t="s">
        <v>174</v>
      </c>
      <c r="C72" s="80" t="s">
        <v>175</v>
      </c>
      <c r="D72" s="81">
        <v>1.2459999999999999E-3</v>
      </c>
      <c r="E72" s="82">
        <v>4932</v>
      </c>
      <c r="F72" s="5"/>
      <c r="G72" s="71">
        <v>1.3500000000000001E-3</v>
      </c>
      <c r="H72" s="83">
        <v>30278</v>
      </c>
      <c r="I72" s="7"/>
      <c r="J72" s="84">
        <v>35210</v>
      </c>
      <c r="K72" s="105">
        <v>1.3100000000000001E-2</v>
      </c>
      <c r="L72" s="85">
        <v>461</v>
      </c>
      <c r="M72" s="257">
        <f t="shared" si="1"/>
        <v>34749</v>
      </c>
      <c r="N72" s="88">
        <v>5282</v>
      </c>
      <c r="O72" s="87">
        <v>35624</v>
      </c>
      <c r="P72" s="281">
        <f t="shared" si="0"/>
        <v>-414</v>
      </c>
      <c r="Q72" s="269">
        <f t="shared" si="2"/>
        <v>-1.1621378845721985E-2</v>
      </c>
    </row>
    <row r="73" spans="1:17" ht="18">
      <c r="A73" s="106" t="s">
        <v>95</v>
      </c>
      <c r="B73" s="106" t="s">
        <v>176</v>
      </c>
      <c r="C73" s="107" t="s">
        <v>177</v>
      </c>
      <c r="D73" s="81">
        <v>1.279E-3</v>
      </c>
      <c r="E73" s="82">
        <v>5062</v>
      </c>
      <c r="F73" s="5"/>
      <c r="G73" s="71">
        <v>1.7960000000000001E-3</v>
      </c>
      <c r="H73" s="83">
        <v>40281</v>
      </c>
      <c r="I73" s="7"/>
      <c r="J73" s="84">
        <v>45343</v>
      </c>
      <c r="K73" s="105">
        <v>1.3100000000000001E-2</v>
      </c>
      <c r="L73" s="85">
        <v>594</v>
      </c>
      <c r="M73" s="257">
        <f t="shared" si="1"/>
        <v>44749</v>
      </c>
      <c r="N73" s="88">
        <v>6801</v>
      </c>
      <c r="O73" s="87">
        <v>48462</v>
      </c>
      <c r="P73" s="281">
        <f t="shared" ref="P73:P136" si="3">+J73-O73</f>
        <v>-3119</v>
      </c>
      <c r="Q73" s="269">
        <f t="shared" si="2"/>
        <v>-6.4359704510750695E-2</v>
      </c>
    </row>
    <row r="74" spans="1:17" ht="18">
      <c r="A74" s="79" t="s">
        <v>95</v>
      </c>
      <c r="B74" s="79" t="s">
        <v>178</v>
      </c>
      <c r="C74" s="80" t="s">
        <v>179</v>
      </c>
      <c r="D74" s="81">
        <v>7.2300000000000001E-4</v>
      </c>
      <c r="E74" s="82">
        <v>2862</v>
      </c>
      <c r="F74" s="5"/>
      <c r="G74" s="71">
        <v>1.042E-3</v>
      </c>
      <c r="H74" s="83">
        <v>23370</v>
      </c>
      <c r="I74" s="7"/>
      <c r="J74" s="84">
        <v>26232</v>
      </c>
      <c r="K74" s="105">
        <v>1.3100000000000001E-2</v>
      </c>
      <c r="L74" s="85">
        <v>344</v>
      </c>
      <c r="M74" s="257">
        <f t="shared" ref="M74:M137" si="4">+J74-L74</f>
        <v>25888</v>
      </c>
      <c r="N74" s="88">
        <v>3935</v>
      </c>
      <c r="O74" s="87">
        <v>27534</v>
      </c>
      <c r="P74" s="281">
        <f t="shared" si="3"/>
        <v>-1302</v>
      </c>
      <c r="Q74" s="269">
        <f t="shared" ref="Q74:Q137" si="5">+P74/O74</f>
        <v>-4.7286990629766837E-2</v>
      </c>
    </row>
    <row r="75" spans="1:17" ht="18">
      <c r="A75" s="79" t="s">
        <v>95</v>
      </c>
      <c r="B75" s="79" t="s">
        <v>180</v>
      </c>
      <c r="C75" s="80" t="s">
        <v>181</v>
      </c>
      <c r="D75" s="81">
        <v>9.01E-4</v>
      </c>
      <c r="E75" s="82">
        <v>3566</v>
      </c>
      <c r="F75" s="5"/>
      <c r="G75" s="71">
        <v>1.018E-3</v>
      </c>
      <c r="H75" s="83">
        <v>22832</v>
      </c>
      <c r="I75" s="7"/>
      <c r="J75" s="84">
        <v>26398</v>
      </c>
      <c r="K75" s="105">
        <v>1.3100000000000001E-2</v>
      </c>
      <c r="L75" s="85">
        <v>346</v>
      </c>
      <c r="M75" s="257">
        <f t="shared" si="4"/>
        <v>26052</v>
      </c>
      <c r="N75" s="88">
        <v>3960</v>
      </c>
      <c r="O75" s="87">
        <v>27658</v>
      </c>
      <c r="P75" s="281">
        <f t="shared" si="3"/>
        <v>-1260</v>
      </c>
      <c r="Q75" s="269">
        <f t="shared" si="5"/>
        <v>-4.555643936654856E-2</v>
      </c>
    </row>
    <row r="76" spans="1:17" ht="18">
      <c r="A76" s="79" t="s">
        <v>95</v>
      </c>
      <c r="B76" s="79" t="s">
        <v>182</v>
      </c>
      <c r="C76" s="80" t="s">
        <v>183</v>
      </c>
      <c r="D76" s="81">
        <v>1.4239999999999999E-3</v>
      </c>
      <c r="E76" s="82">
        <v>5636</v>
      </c>
      <c r="F76" s="5"/>
      <c r="G76" s="71">
        <v>1.941E-3</v>
      </c>
      <c r="H76" s="83">
        <v>43533</v>
      </c>
      <c r="I76" s="7"/>
      <c r="J76" s="84">
        <v>49169</v>
      </c>
      <c r="K76" s="105">
        <v>1.3100000000000001E-2</v>
      </c>
      <c r="L76" s="85">
        <v>644</v>
      </c>
      <c r="M76" s="257">
        <f t="shared" si="4"/>
        <v>48525</v>
      </c>
      <c r="N76" s="88">
        <v>7375</v>
      </c>
      <c r="O76" s="87">
        <v>49881</v>
      </c>
      <c r="P76" s="281">
        <f t="shared" si="3"/>
        <v>-712</v>
      </c>
      <c r="Q76" s="269">
        <f t="shared" si="5"/>
        <v>-1.4273972053487299E-2</v>
      </c>
    </row>
    <row r="77" spans="1:17" ht="18">
      <c r="A77" s="79" t="s">
        <v>95</v>
      </c>
      <c r="B77" s="79" t="s">
        <v>184</v>
      </c>
      <c r="C77" s="80" t="s">
        <v>185</v>
      </c>
      <c r="D77" s="81">
        <v>8.0099999999999995E-4</v>
      </c>
      <c r="E77" s="82">
        <v>3170</v>
      </c>
      <c r="F77" s="5"/>
      <c r="G77" s="71">
        <v>9.7300000000000002E-4</v>
      </c>
      <c r="H77" s="83">
        <v>21823</v>
      </c>
      <c r="I77" s="7"/>
      <c r="J77" s="84">
        <v>24993</v>
      </c>
      <c r="K77" s="105">
        <v>1.3100000000000001E-2</v>
      </c>
      <c r="L77" s="85">
        <v>327</v>
      </c>
      <c r="M77" s="257">
        <f t="shared" si="4"/>
        <v>24666</v>
      </c>
      <c r="N77" s="88">
        <v>3749</v>
      </c>
      <c r="O77" s="87">
        <v>26024</v>
      </c>
      <c r="P77" s="281">
        <f t="shared" si="3"/>
        <v>-1031</v>
      </c>
      <c r="Q77" s="269">
        <f t="shared" si="5"/>
        <v>-3.9617276360282817E-2</v>
      </c>
    </row>
    <row r="78" spans="1:17" ht="18">
      <c r="A78" s="79" t="s">
        <v>95</v>
      </c>
      <c r="B78" s="79" t="s">
        <v>186</v>
      </c>
      <c r="C78" s="80" t="s">
        <v>187</v>
      </c>
      <c r="D78" s="81">
        <v>1.0460000000000001E-3</v>
      </c>
      <c r="E78" s="82">
        <v>4140</v>
      </c>
      <c r="F78" s="5"/>
      <c r="G78" s="71">
        <v>1.2750000000000001E-3</v>
      </c>
      <c r="H78" s="83">
        <v>28596</v>
      </c>
      <c r="I78" s="7"/>
      <c r="J78" s="84">
        <v>32736</v>
      </c>
      <c r="K78" s="105">
        <v>1.3100000000000001E-2</v>
      </c>
      <c r="L78" s="85">
        <v>429</v>
      </c>
      <c r="M78" s="257">
        <f t="shared" si="4"/>
        <v>32307</v>
      </c>
      <c r="N78" s="88">
        <v>4910</v>
      </c>
      <c r="O78" s="87">
        <v>33917</v>
      </c>
      <c r="P78" s="281">
        <f t="shared" si="3"/>
        <v>-1181</v>
      </c>
      <c r="Q78" s="269">
        <f t="shared" si="5"/>
        <v>-3.4820296606421559E-2</v>
      </c>
    </row>
    <row r="79" spans="1:17" ht="18">
      <c r="A79" s="106" t="s">
        <v>95</v>
      </c>
      <c r="B79" s="106" t="s">
        <v>188</v>
      </c>
      <c r="C79" s="107" t="s">
        <v>189</v>
      </c>
      <c r="D79" s="81">
        <v>1.1349999999999999E-3</v>
      </c>
      <c r="E79" s="82">
        <v>4492</v>
      </c>
      <c r="F79" s="5"/>
      <c r="G79" s="71">
        <v>1.549E-3</v>
      </c>
      <c r="H79" s="83">
        <v>34741</v>
      </c>
      <c r="I79" s="7"/>
      <c r="J79" s="84">
        <v>39233</v>
      </c>
      <c r="K79" s="105">
        <v>1.3100000000000001E-2</v>
      </c>
      <c r="L79" s="85">
        <v>514</v>
      </c>
      <c r="M79" s="257">
        <f t="shared" si="4"/>
        <v>38719</v>
      </c>
      <c r="N79" s="88">
        <v>5885</v>
      </c>
      <c r="O79" s="87">
        <v>39177</v>
      </c>
      <c r="P79" s="281">
        <f t="shared" si="3"/>
        <v>56</v>
      </c>
      <c r="Q79" s="269">
        <f t="shared" si="5"/>
        <v>1.42941011307655E-3</v>
      </c>
    </row>
    <row r="80" spans="1:17" ht="18">
      <c r="A80" s="79" t="s">
        <v>95</v>
      </c>
      <c r="B80" s="79" t="s">
        <v>190</v>
      </c>
      <c r="C80" s="80" t="s">
        <v>191</v>
      </c>
      <c r="D80" s="81">
        <v>3.1819999999999999E-3</v>
      </c>
      <c r="E80" s="82">
        <v>12594</v>
      </c>
      <c r="F80" s="5"/>
      <c r="G80" s="71">
        <v>2.9949999999999998E-3</v>
      </c>
      <c r="H80" s="83">
        <v>67173</v>
      </c>
      <c r="I80" s="7"/>
      <c r="J80" s="84">
        <v>79767</v>
      </c>
      <c r="K80" s="105">
        <v>1.3100000000000001E-2</v>
      </c>
      <c r="L80" s="85">
        <v>1045</v>
      </c>
      <c r="M80" s="257">
        <f t="shared" si="4"/>
        <v>78722</v>
      </c>
      <c r="N80" s="88">
        <v>11965</v>
      </c>
      <c r="O80" s="87">
        <v>83015</v>
      </c>
      <c r="P80" s="281">
        <f t="shared" si="3"/>
        <v>-3248</v>
      </c>
      <c r="Q80" s="269">
        <f t="shared" si="5"/>
        <v>-3.9125459254351624E-2</v>
      </c>
    </row>
    <row r="81" spans="1:18" ht="18">
      <c r="A81" s="79" t="s">
        <v>95</v>
      </c>
      <c r="B81" s="79" t="s">
        <v>192</v>
      </c>
      <c r="C81" s="80" t="s">
        <v>193</v>
      </c>
      <c r="D81" s="81">
        <v>5.4500000000000002E-4</v>
      </c>
      <c r="E81" s="82">
        <v>2157</v>
      </c>
      <c r="F81" s="5"/>
      <c r="G81" s="71">
        <v>1.1379999999999999E-3</v>
      </c>
      <c r="H81" s="83">
        <v>25523</v>
      </c>
      <c r="I81" s="7"/>
      <c r="J81" s="84">
        <v>27680</v>
      </c>
      <c r="K81" s="105">
        <v>1.3100000000000001E-2</v>
      </c>
      <c r="L81" s="85">
        <v>363</v>
      </c>
      <c r="M81" s="257">
        <f t="shared" si="4"/>
        <v>27317</v>
      </c>
      <c r="N81" s="88">
        <v>4152</v>
      </c>
      <c r="O81" s="87">
        <v>26605</v>
      </c>
      <c r="P81" s="281">
        <f t="shared" si="3"/>
        <v>1075</v>
      </c>
      <c r="Q81" s="269">
        <f t="shared" si="5"/>
        <v>4.0405938733320802E-2</v>
      </c>
    </row>
    <row r="82" spans="1:18" ht="18">
      <c r="A82" s="79" t="s">
        <v>95</v>
      </c>
      <c r="B82" s="79" t="s">
        <v>194</v>
      </c>
      <c r="C82" s="80" t="s">
        <v>195</v>
      </c>
      <c r="D82" s="81">
        <v>6.8999999999999997E-4</v>
      </c>
      <c r="E82" s="82">
        <v>2731</v>
      </c>
      <c r="F82" s="5"/>
      <c r="G82" s="71">
        <v>9.3400000000000004E-4</v>
      </c>
      <c r="H82" s="83">
        <v>20948</v>
      </c>
      <c r="I82" s="7"/>
      <c r="J82" s="84">
        <v>23679</v>
      </c>
      <c r="K82" s="105">
        <v>1.3100000000000001E-2</v>
      </c>
      <c r="L82" s="85">
        <v>310</v>
      </c>
      <c r="M82" s="257">
        <f t="shared" si="4"/>
        <v>23369</v>
      </c>
      <c r="N82" s="88">
        <v>3552</v>
      </c>
      <c r="O82" s="87">
        <v>24268</v>
      </c>
      <c r="P82" s="281">
        <f t="shared" si="3"/>
        <v>-589</v>
      </c>
      <c r="Q82" s="269">
        <f t="shared" si="5"/>
        <v>-2.4270644470084063E-2</v>
      </c>
    </row>
    <row r="83" spans="1:18" ht="18">
      <c r="A83" s="79" t="s">
        <v>95</v>
      </c>
      <c r="B83" s="79" t="s">
        <v>196</v>
      </c>
      <c r="C83" s="80" t="s">
        <v>197</v>
      </c>
      <c r="D83" s="81">
        <v>1.9250000000000001E-3</v>
      </c>
      <c r="E83" s="82">
        <v>7619</v>
      </c>
      <c r="F83" s="5"/>
      <c r="G83" s="71">
        <v>2.5049999999999998E-3</v>
      </c>
      <c r="H83" s="83">
        <v>56183</v>
      </c>
      <c r="I83" s="7"/>
      <c r="J83" s="84">
        <v>63802</v>
      </c>
      <c r="K83" s="105">
        <v>1.3100000000000001E-2</v>
      </c>
      <c r="L83" s="85">
        <v>836</v>
      </c>
      <c r="M83" s="257">
        <f t="shared" si="4"/>
        <v>62966</v>
      </c>
      <c r="N83" s="88">
        <v>9570</v>
      </c>
      <c r="O83" s="87">
        <v>64312</v>
      </c>
      <c r="P83" s="281">
        <f t="shared" si="3"/>
        <v>-510</v>
      </c>
      <c r="Q83" s="269">
        <f t="shared" si="5"/>
        <v>-7.9300908073143429E-3</v>
      </c>
    </row>
    <row r="84" spans="1:18" ht="18">
      <c r="A84" s="79" t="s">
        <v>95</v>
      </c>
      <c r="B84" s="79" t="s">
        <v>198</v>
      </c>
      <c r="C84" s="80" t="s">
        <v>199</v>
      </c>
      <c r="D84" s="81">
        <v>4.0000000000000002E-4</v>
      </c>
      <c r="E84" s="82">
        <v>1583</v>
      </c>
      <c r="F84" s="5"/>
      <c r="G84" s="71">
        <v>5.31E-4</v>
      </c>
      <c r="H84" s="83">
        <v>11909</v>
      </c>
      <c r="I84" s="7"/>
      <c r="J84" s="84">
        <v>13492</v>
      </c>
      <c r="K84" s="105">
        <v>1.3100000000000001E-2</v>
      </c>
      <c r="L84" s="85">
        <v>177</v>
      </c>
      <c r="M84" s="257">
        <f t="shared" si="4"/>
        <v>13315</v>
      </c>
      <c r="N84" s="88">
        <v>2024</v>
      </c>
      <c r="O84" s="87">
        <v>14087</v>
      </c>
      <c r="P84" s="281">
        <f t="shared" si="3"/>
        <v>-595</v>
      </c>
      <c r="Q84" s="269">
        <f t="shared" si="5"/>
        <v>-4.2237523958259388E-2</v>
      </c>
    </row>
    <row r="85" spans="1:18" ht="18">
      <c r="A85" s="79" t="s">
        <v>95</v>
      </c>
      <c r="B85" s="79" t="s">
        <v>200</v>
      </c>
      <c r="C85" s="80" t="s">
        <v>201</v>
      </c>
      <c r="D85" s="81">
        <v>7.0100000000000002E-4</v>
      </c>
      <c r="E85" s="82">
        <v>2775</v>
      </c>
      <c r="F85" s="5"/>
      <c r="G85" s="71">
        <v>1.4760000000000001E-3</v>
      </c>
      <c r="H85" s="83">
        <v>33104</v>
      </c>
      <c r="I85" s="7"/>
      <c r="J85" s="84">
        <v>35879</v>
      </c>
      <c r="K85" s="105">
        <v>1.3100000000000001E-2</v>
      </c>
      <c r="L85" s="85">
        <v>470</v>
      </c>
      <c r="M85" s="257">
        <f t="shared" si="4"/>
        <v>35409</v>
      </c>
      <c r="N85" s="88">
        <v>5382</v>
      </c>
      <c r="O85" s="87">
        <v>36109</v>
      </c>
      <c r="P85" s="281">
        <f t="shared" si="3"/>
        <v>-230</v>
      </c>
      <c r="Q85" s="269">
        <f t="shared" si="5"/>
        <v>-6.3696031460300758E-3</v>
      </c>
    </row>
    <row r="86" spans="1:18" ht="18">
      <c r="A86" s="79" t="s">
        <v>95</v>
      </c>
      <c r="B86" s="79" t="s">
        <v>202</v>
      </c>
      <c r="C86" s="108" t="s">
        <v>203</v>
      </c>
      <c r="D86" s="81">
        <v>3.61E-2</v>
      </c>
      <c r="E86" s="82">
        <v>142884</v>
      </c>
      <c r="F86" s="5"/>
      <c r="G86" s="71">
        <v>2.3633000000000001E-2</v>
      </c>
      <c r="H86" s="83">
        <v>530048</v>
      </c>
      <c r="I86" s="7"/>
      <c r="J86" s="84">
        <v>672932</v>
      </c>
      <c r="K86" s="105">
        <v>1.3100000000000001E-2</v>
      </c>
      <c r="L86" s="85">
        <v>8815</v>
      </c>
      <c r="M86" s="257">
        <f t="shared" si="4"/>
        <v>664117</v>
      </c>
      <c r="N86" s="270">
        <v>100940</v>
      </c>
      <c r="O86" s="87">
        <v>680306</v>
      </c>
      <c r="P86" s="281">
        <f t="shared" si="3"/>
        <v>-7374</v>
      </c>
      <c r="Q86" s="269">
        <f t="shared" si="5"/>
        <v>-1.0839239989063745E-2</v>
      </c>
    </row>
    <row r="87" spans="1:18" ht="18">
      <c r="A87" s="79" t="s">
        <v>95</v>
      </c>
      <c r="B87" s="79" t="s">
        <v>204</v>
      </c>
      <c r="C87" s="80" t="s">
        <v>205</v>
      </c>
      <c r="D87" s="81">
        <v>2.4810000000000001E-3</v>
      </c>
      <c r="E87" s="82">
        <v>9820</v>
      </c>
      <c r="F87" s="5"/>
      <c r="G87" s="71">
        <v>3.9830000000000004E-3</v>
      </c>
      <c r="H87" s="83">
        <v>89332</v>
      </c>
      <c r="I87" s="7"/>
      <c r="J87" s="84">
        <v>99152</v>
      </c>
      <c r="K87" s="105">
        <v>1.3100000000000001E-2</v>
      </c>
      <c r="L87" s="85">
        <v>1299</v>
      </c>
      <c r="M87" s="257">
        <f t="shared" si="4"/>
        <v>97853</v>
      </c>
      <c r="N87" s="88">
        <v>14873</v>
      </c>
      <c r="O87" s="87">
        <v>100341</v>
      </c>
      <c r="P87" s="281">
        <f t="shared" si="3"/>
        <v>-1189</v>
      </c>
      <c r="Q87" s="269">
        <f t="shared" si="5"/>
        <v>-1.1849592888251064E-2</v>
      </c>
    </row>
    <row r="88" spans="1:18" ht="18">
      <c r="A88" s="79" t="s">
        <v>95</v>
      </c>
      <c r="B88" s="79" t="s">
        <v>206</v>
      </c>
      <c r="C88" s="80" t="s">
        <v>207</v>
      </c>
      <c r="D88" s="81">
        <v>1.268E-3</v>
      </c>
      <c r="E88" s="82">
        <v>5019</v>
      </c>
      <c r="F88" s="5"/>
      <c r="G88" s="71">
        <v>1.709E-3</v>
      </c>
      <c r="H88" s="83">
        <v>38330</v>
      </c>
      <c r="I88" s="7"/>
      <c r="J88" s="84">
        <v>43349</v>
      </c>
      <c r="K88" s="105">
        <v>1.3100000000000001E-2</v>
      </c>
      <c r="L88" s="85">
        <v>568</v>
      </c>
      <c r="M88" s="257">
        <f t="shared" si="4"/>
        <v>42781</v>
      </c>
      <c r="N88" s="88">
        <v>6502</v>
      </c>
      <c r="O88" s="87">
        <v>45654</v>
      </c>
      <c r="P88" s="281">
        <f t="shared" si="3"/>
        <v>-2305</v>
      </c>
      <c r="Q88" s="269">
        <f t="shared" si="5"/>
        <v>-5.0488456652210099E-2</v>
      </c>
    </row>
    <row r="89" spans="1:18" ht="18.75" thickBot="1">
      <c r="A89" s="90" t="s">
        <v>95</v>
      </c>
      <c r="B89" s="90" t="s">
        <v>208</v>
      </c>
      <c r="C89" s="91" t="s">
        <v>209</v>
      </c>
      <c r="D89" s="92">
        <v>4.3999999999999999E-5</v>
      </c>
      <c r="E89" s="93">
        <v>174</v>
      </c>
      <c r="F89" s="94"/>
      <c r="G89" s="95">
        <v>2.6600000000000001E-4</v>
      </c>
      <c r="H89" s="96">
        <v>5966</v>
      </c>
      <c r="I89" s="7"/>
      <c r="J89" s="97">
        <v>6140</v>
      </c>
      <c r="K89" s="109">
        <v>1.3100000000000001E-2</v>
      </c>
      <c r="L89" s="99">
        <v>80</v>
      </c>
      <c r="M89" s="258">
        <f t="shared" si="4"/>
        <v>6060</v>
      </c>
      <c r="N89" s="102">
        <v>921</v>
      </c>
      <c r="O89" s="101">
        <v>5824</v>
      </c>
      <c r="P89" s="282">
        <f t="shared" si="3"/>
        <v>316</v>
      </c>
      <c r="Q89" s="269">
        <f t="shared" si="5"/>
        <v>5.425824175824176E-2</v>
      </c>
    </row>
    <row r="90" spans="1:18" ht="18">
      <c r="A90" s="79" t="s">
        <v>210</v>
      </c>
      <c r="B90" s="79" t="s">
        <v>211</v>
      </c>
      <c r="C90" s="80" t="s">
        <v>212</v>
      </c>
      <c r="D90" s="81">
        <v>2.8899999999999998E-4</v>
      </c>
      <c r="E90" s="82">
        <v>1144</v>
      </c>
      <c r="F90" s="5"/>
      <c r="G90" s="103">
        <v>4.2299999999999998E-4</v>
      </c>
      <c r="H90" s="72">
        <v>9487</v>
      </c>
      <c r="I90" s="7"/>
      <c r="J90" s="73">
        <v>10631</v>
      </c>
      <c r="K90" s="104">
        <v>2.2800000000000001E-2</v>
      </c>
      <c r="L90" s="75">
        <v>242</v>
      </c>
      <c r="M90" s="256">
        <f t="shared" si="4"/>
        <v>10389</v>
      </c>
      <c r="N90" s="77">
        <v>1595</v>
      </c>
      <c r="O90" s="76">
        <v>11912</v>
      </c>
      <c r="P90" s="280">
        <f t="shared" si="3"/>
        <v>-1281</v>
      </c>
      <c r="Q90" s="269">
        <f t="shared" si="5"/>
        <v>-0.10753861652115514</v>
      </c>
      <c r="R90" s="110"/>
    </row>
    <row r="91" spans="1:18" ht="18">
      <c r="A91" s="111" t="s">
        <v>210</v>
      </c>
      <c r="B91" s="111" t="s">
        <v>213</v>
      </c>
      <c r="C91" s="108" t="s">
        <v>214</v>
      </c>
      <c r="D91" s="81">
        <v>2.1689999999999999E-3</v>
      </c>
      <c r="E91" s="82">
        <v>8585</v>
      </c>
      <c r="F91" s="5"/>
      <c r="G91" s="71">
        <v>3.199E-3</v>
      </c>
      <c r="H91" s="83">
        <v>71748</v>
      </c>
      <c r="I91" s="7"/>
      <c r="J91" s="84">
        <v>80333</v>
      </c>
      <c r="K91" s="105">
        <v>2.2800000000000001E-2</v>
      </c>
      <c r="L91" s="85">
        <v>1832</v>
      </c>
      <c r="M91" s="257">
        <f t="shared" si="4"/>
        <v>78501</v>
      </c>
      <c r="N91" s="270">
        <v>12050</v>
      </c>
      <c r="O91" s="87">
        <v>82812</v>
      </c>
      <c r="P91" s="281">
        <f t="shared" si="3"/>
        <v>-2479</v>
      </c>
      <c r="Q91" s="269">
        <f t="shared" si="5"/>
        <v>-2.9935275080906147E-2</v>
      </c>
      <c r="R91" s="110"/>
    </row>
    <row r="92" spans="1:18" ht="18">
      <c r="A92" s="79" t="s">
        <v>210</v>
      </c>
      <c r="B92" s="79" t="s">
        <v>215</v>
      </c>
      <c r="C92" s="80" t="s">
        <v>216</v>
      </c>
      <c r="D92" s="81">
        <v>1.1349999999999999E-3</v>
      </c>
      <c r="E92" s="82">
        <v>4492</v>
      </c>
      <c r="F92" s="5"/>
      <c r="G92" s="71">
        <v>1.018E-3</v>
      </c>
      <c r="H92" s="83">
        <v>22832</v>
      </c>
      <c r="I92" s="7"/>
      <c r="J92" s="84">
        <v>27324</v>
      </c>
      <c r="K92" s="105">
        <v>2.2800000000000001E-2</v>
      </c>
      <c r="L92" s="85">
        <v>623</v>
      </c>
      <c r="M92" s="257">
        <f t="shared" si="4"/>
        <v>26701</v>
      </c>
      <c r="N92" s="88">
        <v>4099</v>
      </c>
      <c r="O92" s="87">
        <v>27693</v>
      </c>
      <c r="P92" s="281">
        <f t="shared" si="3"/>
        <v>-369</v>
      </c>
      <c r="Q92" s="269">
        <f t="shared" si="5"/>
        <v>-1.3324666883327917E-2</v>
      </c>
      <c r="R92" s="110"/>
    </row>
    <row r="93" spans="1:18" ht="18">
      <c r="A93" s="79" t="s">
        <v>210</v>
      </c>
      <c r="B93" s="79" t="s">
        <v>217</v>
      </c>
      <c r="C93" s="80" t="s">
        <v>218</v>
      </c>
      <c r="D93" s="81">
        <v>5.7799999999999995E-4</v>
      </c>
      <c r="E93" s="82">
        <v>2288</v>
      </c>
      <c r="F93" s="5"/>
      <c r="G93" s="71">
        <v>5.9900000000000003E-4</v>
      </c>
      <c r="H93" s="83">
        <v>13435</v>
      </c>
      <c r="I93" s="7"/>
      <c r="J93" s="84">
        <v>15723</v>
      </c>
      <c r="K93" s="105">
        <v>2.2800000000000001E-2</v>
      </c>
      <c r="L93" s="85">
        <v>358</v>
      </c>
      <c r="M93" s="257">
        <f t="shared" si="4"/>
        <v>15365</v>
      </c>
      <c r="N93" s="88">
        <v>2358</v>
      </c>
      <c r="O93" s="87">
        <v>16054</v>
      </c>
      <c r="P93" s="281">
        <f t="shared" si="3"/>
        <v>-331</v>
      </c>
      <c r="Q93" s="269">
        <f t="shared" si="5"/>
        <v>-2.0617914538432789E-2</v>
      </c>
      <c r="R93" s="110"/>
    </row>
    <row r="94" spans="1:18" ht="18">
      <c r="A94" s="79" t="s">
        <v>210</v>
      </c>
      <c r="B94" s="79" t="s">
        <v>219</v>
      </c>
      <c r="C94" s="80" t="s">
        <v>220</v>
      </c>
      <c r="D94" s="81">
        <v>1.691E-3</v>
      </c>
      <c r="E94" s="82">
        <v>6693</v>
      </c>
      <c r="F94" s="5"/>
      <c r="G94" s="71">
        <v>1.565E-3</v>
      </c>
      <c r="H94" s="83">
        <v>35100</v>
      </c>
      <c r="I94" s="7"/>
      <c r="J94" s="84">
        <v>41793</v>
      </c>
      <c r="K94" s="105">
        <v>2.2800000000000001E-2</v>
      </c>
      <c r="L94" s="85">
        <v>953</v>
      </c>
      <c r="M94" s="257">
        <f t="shared" si="4"/>
        <v>40840</v>
      </c>
      <c r="N94" s="88">
        <v>6269</v>
      </c>
      <c r="O94" s="87">
        <v>42856</v>
      </c>
      <c r="P94" s="281">
        <f t="shared" si="3"/>
        <v>-1063</v>
      </c>
      <c r="Q94" s="269">
        <f t="shared" si="5"/>
        <v>-2.4803994773193953E-2</v>
      </c>
      <c r="R94" s="110"/>
    </row>
    <row r="95" spans="1:18" ht="18">
      <c r="A95" s="79" t="s">
        <v>210</v>
      </c>
      <c r="B95" s="79" t="s">
        <v>221</v>
      </c>
      <c r="C95" s="80" t="s">
        <v>222</v>
      </c>
      <c r="D95" s="81">
        <v>8.2299999999999995E-4</v>
      </c>
      <c r="E95" s="82">
        <v>3257</v>
      </c>
      <c r="F95" s="5"/>
      <c r="G95" s="71">
        <v>7.7200000000000001E-4</v>
      </c>
      <c r="H95" s="83">
        <v>17315</v>
      </c>
      <c r="I95" s="7"/>
      <c r="J95" s="84">
        <v>20572</v>
      </c>
      <c r="K95" s="105">
        <v>2.2800000000000001E-2</v>
      </c>
      <c r="L95" s="85">
        <v>469</v>
      </c>
      <c r="M95" s="257">
        <f t="shared" si="4"/>
        <v>20103</v>
      </c>
      <c r="N95" s="88">
        <v>3086</v>
      </c>
      <c r="O95" s="87">
        <v>20922</v>
      </c>
      <c r="P95" s="281">
        <f t="shared" si="3"/>
        <v>-350</v>
      </c>
      <c r="Q95" s="269">
        <f t="shared" si="5"/>
        <v>-1.6728802217761209E-2</v>
      </c>
      <c r="R95" s="110"/>
    </row>
    <row r="96" spans="1:18" ht="18">
      <c r="A96" s="79" t="s">
        <v>210</v>
      </c>
      <c r="B96" s="79" t="s">
        <v>223</v>
      </c>
      <c r="C96" s="80" t="s">
        <v>224</v>
      </c>
      <c r="D96" s="81">
        <v>1.98E-3</v>
      </c>
      <c r="E96" s="82">
        <v>7837</v>
      </c>
      <c r="F96" s="5"/>
      <c r="G96" s="71">
        <v>1.598E-3</v>
      </c>
      <c r="H96" s="83">
        <v>35840</v>
      </c>
      <c r="I96" s="7"/>
      <c r="J96" s="84">
        <v>43677</v>
      </c>
      <c r="K96" s="105">
        <v>2.2800000000000001E-2</v>
      </c>
      <c r="L96" s="85">
        <v>996</v>
      </c>
      <c r="M96" s="257">
        <f t="shared" si="4"/>
        <v>42681</v>
      </c>
      <c r="N96" s="88">
        <v>6552</v>
      </c>
      <c r="O96" s="87">
        <v>44837</v>
      </c>
      <c r="P96" s="281">
        <f t="shared" si="3"/>
        <v>-1160</v>
      </c>
      <c r="Q96" s="269">
        <f t="shared" si="5"/>
        <v>-2.5871490064009635E-2</v>
      </c>
      <c r="R96" s="110"/>
    </row>
    <row r="97" spans="1:18" ht="18">
      <c r="A97" s="79" t="s">
        <v>210</v>
      </c>
      <c r="B97" s="79" t="s">
        <v>225</v>
      </c>
      <c r="C97" s="80" t="s">
        <v>226</v>
      </c>
      <c r="D97" s="81">
        <v>8.6799999999999996E-4</v>
      </c>
      <c r="E97" s="82">
        <v>3436</v>
      </c>
      <c r="F97" s="5"/>
      <c r="G97" s="71">
        <v>6.6799999999999997E-4</v>
      </c>
      <c r="H97" s="83">
        <v>14982</v>
      </c>
      <c r="I97" s="7"/>
      <c r="J97" s="84">
        <v>18418</v>
      </c>
      <c r="K97" s="105">
        <v>2.2800000000000001E-2</v>
      </c>
      <c r="L97" s="85">
        <v>420</v>
      </c>
      <c r="M97" s="257">
        <f t="shared" si="4"/>
        <v>17998</v>
      </c>
      <c r="N97" s="88">
        <v>2763</v>
      </c>
      <c r="O97" s="87">
        <v>20606</v>
      </c>
      <c r="P97" s="281">
        <f t="shared" si="3"/>
        <v>-2188</v>
      </c>
      <c r="Q97" s="269">
        <f t="shared" si="5"/>
        <v>-0.10618266524313306</v>
      </c>
      <c r="R97" s="110"/>
    </row>
    <row r="98" spans="1:18" ht="18">
      <c r="A98" s="79" t="s">
        <v>210</v>
      </c>
      <c r="B98" s="79" t="s">
        <v>227</v>
      </c>
      <c r="C98" s="80" t="s">
        <v>228</v>
      </c>
      <c r="D98" s="81">
        <v>1.5460000000000001E-3</v>
      </c>
      <c r="E98" s="82">
        <v>6119</v>
      </c>
      <c r="F98" s="5"/>
      <c r="G98" s="71">
        <v>1.529E-3</v>
      </c>
      <c r="H98" s="83">
        <v>34293</v>
      </c>
      <c r="I98" s="7"/>
      <c r="J98" s="84">
        <v>40412</v>
      </c>
      <c r="K98" s="105">
        <v>2.2800000000000001E-2</v>
      </c>
      <c r="L98" s="85">
        <v>921</v>
      </c>
      <c r="M98" s="257">
        <f t="shared" si="4"/>
        <v>39491</v>
      </c>
      <c r="N98" s="88">
        <v>6062</v>
      </c>
      <c r="O98" s="87">
        <v>39741</v>
      </c>
      <c r="P98" s="281">
        <f t="shared" si="3"/>
        <v>671</v>
      </c>
      <c r="Q98" s="269">
        <f t="shared" si="5"/>
        <v>1.688432601092071E-2</v>
      </c>
      <c r="R98" s="110"/>
    </row>
    <row r="99" spans="1:18" ht="18">
      <c r="A99" s="79" t="s">
        <v>210</v>
      </c>
      <c r="B99" s="79" t="s">
        <v>229</v>
      </c>
      <c r="C99" s="80" t="s">
        <v>230</v>
      </c>
      <c r="D99" s="81">
        <v>3.1259999999999999E-3</v>
      </c>
      <c r="E99" s="82">
        <v>12373</v>
      </c>
      <c r="F99" s="5"/>
      <c r="G99" s="71">
        <v>2.6749999999999999E-3</v>
      </c>
      <c r="H99" s="83">
        <v>59996</v>
      </c>
      <c r="I99" s="7"/>
      <c r="J99" s="84">
        <v>72369</v>
      </c>
      <c r="K99" s="105">
        <v>2.2800000000000001E-2</v>
      </c>
      <c r="L99" s="85">
        <v>1650</v>
      </c>
      <c r="M99" s="257">
        <f t="shared" si="4"/>
        <v>70719</v>
      </c>
      <c r="N99" s="88">
        <v>10855</v>
      </c>
      <c r="O99" s="87">
        <v>75212</v>
      </c>
      <c r="P99" s="281">
        <f t="shared" si="3"/>
        <v>-2843</v>
      </c>
      <c r="Q99" s="269">
        <f t="shared" si="5"/>
        <v>-3.779981917779078E-2</v>
      </c>
      <c r="R99" s="110"/>
    </row>
    <row r="100" spans="1:18" ht="18">
      <c r="A100" s="79" t="s">
        <v>210</v>
      </c>
      <c r="B100" s="79" t="s">
        <v>231</v>
      </c>
      <c r="C100" s="80" t="s">
        <v>232</v>
      </c>
      <c r="D100" s="81">
        <v>1.0413E-2</v>
      </c>
      <c r="E100" s="82">
        <v>41215</v>
      </c>
      <c r="F100" s="5"/>
      <c r="G100" s="71">
        <v>9.0369999999999999E-3</v>
      </c>
      <c r="H100" s="83">
        <v>202685</v>
      </c>
      <c r="I100" s="7"/>
      <c r="J100" s="84">
        <v>243900</v>
      </c>
      <c r="K100" s="105">
        <v>2.2800000000000001E-2</v>
      </c>
      <c r="L100" s="85">
        <v>5561</v>
      </c>
      <c r="M100" s="257">
        <f t="shared" si="4"/>
        <v>238339</v>
      </c>
      <c r="N100" s="88">
        <v>36585</v>
      </c>
      <c r="O100" s="87">
        <v>250846</v>
      </c>
      <c r="P100" s="281">
        <f t="shared" si="3"/>
        <v>-6946</v>
      </c>
      <c r="Q100" s="269">
        <f t="shared" si="5"/>
        <v>-2.7690296038206708E-2</v>
      </c>
      <c r="R100" s="110"/>
    </row>
    <row r="101" spans="1:18" ht="18">
      <c r="A101" s="79" t="s">
        <v>210</v>
      </c>
      <c r="B101" s="79" t="s">
        <v>233</v>
      </c>
      <c r="C101" s="80" t="s">
        <v>234</v>
      </c>
      <c r="D101" s="81">
        <v>5.4500000000000002E-4</v>
      </c>
      <c r="E101" s="82">
        <v>2157</v>
      </c>
      <c r="F101" s="5"/>
      <c r="G101" s="71">
        <v>2.5399999999999999E-4</v>
      </c>
      <c r="H101" s="83">
        <v>5697</v>
      </c>
      <c r="I101" s="7"/>
      <c r="J101" s="84">
        <v>7854</v>
      </c>
      <c r="K101" s="105">
        <v>2.2800000000000001E-2</v>
      </c>
      <c r="L101" s="85">
        <v>179</v>
      </c>
      <c r="M101" s="257">
        <f t="shared" si="4"/>
        <v>7675</v>
      </c>
      <c r="N101" s="88">
        <v>1178</v>
      </c>
      <c r="O101" s="87">
        <v>8368</v>
      </c>
      <c r="P101" s="281">
        <f t="shared" si="3"/>
        <v>-514</v>
      </c>
      <c r="Q101" s="269">
        <f t="shared" si="5"/>
        <v>-6.14244741873805E-2</v>
      </c>
      <c r="R101" s="110"/>
    </row>
    <row r="102" spans="1:18" ht="18">
      <c r="A102" s="79" t="s">
        <v>210</v>
      </c>
      <c r="B102" s="79" t="s">
        <v>235</v>
      </c>
      <c r="C102" s="112" t="s">
        <v>236</v>
      </c>
      <c r="D102" s="81">
        <v>7.0100000000000002E-4</v>
      </c>
      <c r="E102" s="82">
        <v>2775</v>
      </c>
      <c r="F102" s="5"/>
      <c r="G102" s="71">
        <v>7.3099999999999999E-4</v>
      </c>
      <c r="H102" s="83">
        <v>16395</v>
      </c>
      <c r="I102" s="7"/>
      <c r="J102" s="84">
        <v>19170</v>
      </c>
      <c r="K102" s="105">
        <v>2.2800000000000001E-2</v>
      </c>
      <c r="L102" s="85">
        <v>437</v>
      </c>
      <c r="M102" s="257">
        <f t="shared" si="4"/>
        <v>18733</v>
      </c>
      <c r="N102" s="88">
        <v>2876</v>
      </c>
      <c r="O102" s="87">
        <v>19397</v>
      </c>
      <c r="P102" s="281">
        <f t="shared" si="3"/>
        <v>-227</v>
      </c>
      <c r="Q102" s="269">
        <f t="shared" si="5"/>
        <v>-1.1702840645460639E-2</v>
      </c>
      <c r="R102" s="110"/>
    </row>
    <row r="103" spans="1:18" ht="18">
      <c r="A103" s="79" t="s">
        <v>210</v>
      </c>
      <c r="B103" s="79" t="s">
        <v>237</v>
      </c>
      <c r="C103" s="80" t="s">
        <v>238</v>
      </c>
      <c r="D103" s="81">
        <v>5.9000000000000003E-4</v>
      </c>
      <c r="E103" s="82">
        <v>2335</v>
      </c>
      <c r="F103" s="5"/>
      <c r="G103" s="71">
        <v>5.9100000000000005E-4</v>
      </c>
      <c r="H103" s="83">
        <v>13255</v>
      </c>
      <c r="I103" s="7"/>
      <c r="J103" s="84">
        <v>15590</v>
      </c>
      <c r="K103" s="105">
        <v>2.2800000000000001E-2</v>
      </c>
      <c r="L103" s="85">
        <v>355</v>
      </c>
      <c r="M103" s="257">
        <f t="shared" si="4"/>
        <v>15235</v>
      </c>
      <c r="N103" s="88">
        <v>2339</v>
      </c>
      <c r="O103" s="87">
        <v>15580</v>
      </c>
      <c r="P103" s="281">
        <f t="shared" si="3"/>
        <v>10</v>
      </c>
      <c r="Q103" s="269">
        <f t="shared" si="5"/>
        <v>6.4184852374839533E-4</v>
      </c>
      <c r="R103" s="110"/>
    </row>
    <row r="104" spans="1:18" ht="18">
      <c r="A104" s="79" t="s">
        <v>210</v>
      </c>
      <c r="B104" s="79" t="s">
        <v>239</v>
      </c>
      <c r="C104" s="80" t="s">
        <v>240</v>
      </c>
      <c r="D104" s="81">
        <v>2.1580000000000002E-3</v>
      </c>
      <c r="E104" s="82">
        <v>8541</v>
      </c>
      <c r="F104" s="5"/>
      <c r="G104" s="71">
        <v>2.5200000000000001E-3</v>
      </c>
      <c r="H104" s="83">
        <v>56519</v>
      </c>
      <c r="I104" s="7"/>
      <c r="J104" s="84">
        <v>65060</v>
      </c>
      <c r="K104" s="105">
        <v>2.2800000000000001E-2</v>
      </c>
      <c r="L104" s="85">
        <v>1483</v>
      </c>
      <c r="M104" s="257">
        <f t="shared" si="4"/>
        <v>63577</v>
      </c>
      <c r="N104" s="88">
        <v>9759</v>
      </c>
      <c r="O104" s="87">
        <v>66708</v>
      </c>
      <c r="P104" s="281">
        <f t="shared" si="3"/>
        <v>-1648</v>
      </c>
      <c r="Q104" s="269">
        <f t="shared" si="5"/>
        <v>-2.4704683096480183E-2</v>
      </c>
      <c r="R104" s="110"/>
    </row>
    <row r="105" spans="1:18" ht="18">
      <c r="A105" s="79" t="s">
        <v>210</v>
      </c>
      <c r="B105" s="79" t="s">
        <v>241</v>
      </c>
      <c r="C105" s="80" t="s">
        <v>242</v>
      </c>
      <c r="D105" s="81">
        <v>2.7810000000000001E-3</v>
      </c>
      <c r="E105" s="82">
        <v>11007</v>
      </c>
      <c r="F105" s="5"/>
      <c r="G105" s="71">
        <v>1.993E-3</v>
      </c>
      <c r="H105" s="83">
        <v>44700</v>
      </c>
      <c r="I105" s="7"/>
      <c r="J105" s="84">
        <v>55707</v>
      </c>
      <c r="K105" s="105">
        <v>2.2800000000000001E-2</v>
      </c>
      <c r="L105" s="85">
        <v>1270</v>
      </c>
      <c r="M105" s="257">
        <f t="shared" si="4"/>
        <v>54437</v>
      </c>
      <c r="N105" s="88">
        <v>8356</v>
      </c>
      <c r="O105" s="87">
        <v>55008</v>
      </c>
      <c r="P105" s="281">
        <f t="shared" si="3"/>
        <v>699</v>
      </c>
      <c r="Q105" s="269">
        <f t="shared" si="5"/>
        <v>1.2707242582897033E-2</v>
      </c>
      <c r="R105" s="110"/>
    </row>
    <row r="106" spans="1:18" ht="18">
      <c r="A106" s="79" t="s">
        <v>210</v>
      </c>
      <c r="B106" s="79" t="s">
        <v>243</v>
      </c>
      <c r="C106" s="80" t="s">
        <v>244</v>
      </c>
      <c r="D106" s="81">
        <v>6.1200000000000002E-4</v>
      </c>
      <c r="E106" s="82">
        <v>2422</v>
      </c>
      <c r="F106" s="5"/>
      <c r="G106" s="71">
        <v>6.7400000000000001E-4</v>
      </c>
      <c r="H106" s="83">
        <v>15117</v>
      </c>
      <c r="I106" s="7"/>
      <c r="J106" s="84">
        <v>17539</v>
      </c>
      <c r="K106" s="105">
        <v>2.2800000000000001E-2</v>
      </c>
      <c r="L106" s="85">
        <v>400</v>
      </c>
      <c r="M106" s="257">
        <f t="shared" si="4"/>
        <v>17139</v>
      </c>
      <c r="N106" s="88">
        <v>2631</v>
      </c>
      <c r="O106" s="87">
        <v>19003</v>
      </c>
      <c r="P106" s="281">
        <f t="shared" si="3"/>
        <v>-1464</v>
      </c>
      <c r="Q106" s="269">
        <f t="shared" si="5"/>
        <v>-7.7040467294637691E-2</v>
      </c>
      <c r="R106" s="110"/>
    </row>
    <row r="107" spans="1:18" ht="18">
      <c r="A107" s="79" t="s">
        <v>210</v>
      </c>
      <c r="B107" s="79" t="s">
        <v>245</v>
      </c>
      <c r="C107" s="80" t="s">
        <v>246</v>
      </c>
      <c r="D107" s="81">
        <v>4.5600000000000003E-4</v>
      </c>
      <c r="E107" s="82">
        <v>1805</v>
      </c>
      <c r="F107" s="5"/>
      <c r="G107" s="71">
        <v>1.4200000000000001E-4</v>
      </c>
      <c r="H107" s="83">
        <v>3185</v>
      </c>
      <c r="I107" s="7"/>
      <c r="J107" s="84">
        <v>4990</v>
      </c>
      <c r="K107" s="105">
        <v>2.2800000000000001E-2</v>
      </c>
      <c r="L107" s="85">
        <v>114</v>
      </c>
      <c r="M107" s="257">
        <f t="shared" si="4"/>
        <v>4876</v>
      </c>
      <c r="N107" s="88">
        <v>749</v>
      </c>
      <c r="O107" s="87">
        <v>5208</v>
      </c>
      <c r="P107" s="281">
        <f t="shared" si="3"/>
        <v>-218</v>
      </c>
      <c r="Q107" s="269">
        <f t="shared" si="5"/>
        <v>-4.185867895545315E-2</v>
      </c>
      <c r="R107" s="110"/>
    </row>
    <row r="108" spans="1:18" ht="18">
      <c r="A108" s="79" t="s">
        <v>210</v>
      </c>
      <c r="B108" s="79" t="s">
        <v>247</v>
      </c>
      <c r="C108" s="80" t="s">
        <v>248</v>
      </c>
      <c r="D108" s="81">
        <v>1.0679999999999999E-3</v>
      </c>
      <c r="E108" s="82">
        <v>4227</v>
      </c>
      <c r="F108" s="5"/>
      <c r="G108" s="71">
        <v>1.3749999999999999E-3</v>
      </c>
      <c r="H108" s="83">
        <v>30839</v>
      </c>
      <c r="I108" s="7"/>
      <c r="J108" s="84">
        <v>35066</v>
      </c>
      <c r="K108" s="105">
        <v>2.2800000000000001E-2</v>
      </c>
      <c r="L108" s="85">
        <v>800</v>
      </c>
      <c r="M108" s="257">
        <f t="shared" si="4"/>
        <v>34266</v>
      </c>
      <c r="N108" s="88">
        <v>5260</v>
      </c>
      <c r="O108" s="87">
        <v>34928</v>
      </c>
      <c r="P108" s="281">
        <f t="shared" si="3"/>
        <v>138</v>
      </c>
      <c r="Q108" s="269">
        <f t="shared" si="5"/>
        <v>3.9509848831882728E-3</v>
      </c>
      <c r="R108" s="110"/>
    </row>
    <row r="109" spans="1:18" ht="18">
      <c r="A109" s="79" t="s">
        <v>210</v>
      </c>
      <c r="B109" s="79" t="s">
        <v>249</v>
      </c>
      <c r="C109" s="80" t="s">
        <v>250</v>
      </c>
      <c r="D109" s="81">
        <v>9.4600000000000001E-4</v>
      </c>
      <c r="E109" s="82">
        <v>3744</v>
      </c>
      <c r="F109" s="5"/>
      <c r="G109" s="71">
        <v>9.2400000000000002E-4</v>
      </c>
      <c r="H109" s="83">
        <v>20724</v>
      </c>
      <c r="I109" s="7"/>
      <c r="J109" s="84">
        <v>24468</v>
      </c>
      <c r="K109" s="105">
        <v>2.2800000000000001E-2</v>
      </c>
      <c r="L109" s="85">
        <v>558</v>
      </c>
      <c r="M109" s="257">
        <f t="shared" si="4"/>
        <v>23910</v>
      </c>
      <c r="N109" s="88">
        <v>3670</v>
      </c>
      <c r="O109" s="87">
        <v>22869</v>
      </c>
      <c r="P109" s="281">
        <f t="shared" si="3"/>
        <v>1599</v>
      </c>
      <c r="Q109" s="269">
        <f t="shared" si="5"/>
        <v>6.9919979010888103E-2</v>
      </c>
      <c r="R109" s="110"/>
    </row>
    <row r="110" spans="1:18" ht="18">
      <c r="A110" s="79" t="s">
        <v>210</v>
      </c>
      <c r="B110" s="79" t="s">
        <v>251</v>
      </c>
      <c r="C110" s="80" t="s">
        <v>252</v>
      </c>
      <c r="D110" s="81">
        <v>4.4499999999999997E-4</v>
      </c>
      <c r="E110" s="82">
        <v>1761</v>
      </c>
      <c r="F110" s="5"/>
      <c r="G110" s="71">
        <v>5.1400000000000003E-4</v>
      </c>
      <c r="H110" s="83">
        <v>11528</v>
      </c>
      <c r="I110" s="7"/>
      <c r="J110" s="84">
        <v>13289</v>
      </c>
      <c r="K110" s="105">
        <v>2.2800000000000001E-2</v>
      </c>
      <c r="L110" s="85">
        <v>303</v>
      </c>
      <c r="M110" s="257">
        <f t="shared" si="4"/>
        <v>12986</v>
      </c>
      <c r="N110" s="88">
        <v>1993</v>
      </c>
      <c r="O110" s="87">
        <v>13417</v>
      </c>
      <c r="P110" s="281">
        <f t="shared" si="3"/>
        <v>-128</v>
      </c>
      <c r="Q110" s="269">
        <f t="shared" si="5"/>
        <v>-9.5401356488037572E-3</v>
      </c>
      <c r="R110" s="110"/>
    </row>
    <row r="111" spans="1:18" ht="18">
      <c r="A111" s="79" t="s">
        <v>210</v>
      </c>
      <c r="B111" s="79" t="s">
        <v>253</v>
      </c>
      <c r="C111" s="80" t="s">
        <v>254</v>
      </c>
      <c r="D111" s="81">
        <v>5.2300000000000003E-4</v>
      </c>
      <c r="E111" s="82">
        <v>2070</v>
      </c>
      <c r="F111" s="5"/>
      <c r="G111" s="71">
        <v>6.8400000000000004E-4</v>
      </c>
      <c r="H111" s="83">
        <v>15341</v>
      </c>
      <c r="I111" s="7"/>
      <c r="J111" s="84">
        <v>17411</v>
      </c>
      <c r="K111" s="105">
        <v>2.2800000000000001E-2</v>
      </c>
      <c r="L111" s="85">
        <v>397</v>
      </c>
      <c r="M111" s="257">
        <f t="shared" si="4"/>
        <v>17014</v>
      </c>
      <c r="N111" s="88">
        <v>2612</v>
      </c>
      <c r="O111" s="87">
        <v>19541</v>
      </c>
      <c r="P111" s="281">
        <f t="shared" si="3"/>
        <v>-2130</v>
      </c>
      <c r="Q111" s="269">
        <f t="shared" si="5"/>
        <v>-0.10900158640806509</v>
      </c>
      <c r="R111" s="110"/>
    </row>
    <row r="112" spans="1:18" ht="18">
      <c r="A112" s="79" t="s">
        <v>210</v>
      </c>
      <c r="B112" s="79" t="s">
        <v>255</v>
      </c>
      <c r="C112" s="80" t="s">
        <v>256</v>
      </c>
      <c r="D112" s="81">
        <v>8.12E-4</v>
      </c>
      <c r="E112" s="82">
        <v>3214</v>
      </c>
      <c r="F112" s="5"/>
      <c r="G112" s="71">
        <v>6.6600000000000003E-4</v>
      </c>
      <c r="H112" s="83">
        <v>14937</v>
      </c>
      <c r="I112" s="7"/>
      <c r="J112" s="84">
        <v>18151</v>
      </c>
      <c r="K112" s="105">
        <v>2.2800000000000001E-2</v>
      </c>
      <c r="L112" s="85">
        <v>414</v>
      </c>
      <c r="M112" s="257">
        <f t="shared" si="4"/>
        <v>17737</v>
      </c>
      <c r="N112" s="88">
        <v>2723</v>
      </c>
      <c r="O112" s="87">
        <v>17474</v>
      </c>
      <c r="P112" s="281">
        <f t="shared" si="3"/>
        <v>677</v>
      </c>
      <c r="Q112" s="269">
        <f t="shared" si="5"/>
        <v>3.8743275723932699E-2</v>
      </c>
      <c r="R112" s="110"/>
    </row>
    <row r="113" spans="1:21" ht="18">
      <c r="A113" s="79" t="s">
        <v>210</v>
      </c>
      <c r="B113" s="79" t="s">
        <v>257</v>
      </c>
      <c r="C113" s="80" t="s">
        <v>258</v>
      </c>
      <c r="D113" s="81">
        <v>1.379E-3</v>
      </c>
      <c r="E113" s="82">
        <v>5458</v>
      </c>
      <c r="F113" s="5"/>
      <c r="G113" s="71">
        <v>1.7179999999999999E-3</v>
      </c>
      <c r="H113" s="83">
        <v>38532</v>
      </c>
      <c r="I113" s="7"/>
      <c r="J113" s="84">
        <v>43990</v>
      </c>
      <c r="K113" s="105">
        <v>2.2800000000000001E-2</v>
      </c>
      <c r="L113" s="85">
        <v>1003</v>
      </c>
      <c r="M113" s="257">
        <f t="shared" si="4"/>
        <v>42987</v>
      </c>
      <c r="N113" s="88">
        <v>6599</v>
      </c>
      <c r="O113" s="87">
        <v>45738</v>
      </c>
      <c r="P113" s="281">
        <f t="shared" si="3"/>
        <v>-1748</v>
      </c>
      <c r="Q113" s="269">
        <f t="shared" si="5"/>
        <v>-3.8217674581310944E-2</v>
      </c>
      <c r="R113" s="110"/>
    </row>
    <row r="114" spans="1:21" ht="18">
      <c r="A114" s="79" t="s">
        <v>210</v>
      </c>
      <c r="B114" s="79" t="s">
        <v>259</v>
      </c>
      <c r="C114" s="80" t="s">
        <v>260</v>
      </c>
      <c r="D114" s="81">
        <v>4.0000000000000002E-4</v>
      </c>
      <c r="E114" s="82">
        <v>1583</v>
      </c>
      <c r="F114" s="5"/>
      <c r="G114" s="71">
        <v>3.6600000000000001E-4</v>
      </c>
      <c r="H114" s="83">
        <v>8209</v>
      </c>
      <c r="I114" s="7"/>
      <c r="J114" s="84">
        <v>9792</v>
      </c>
      <c r="K114" s="105">
        <v>2.2800000000000001E-2</v>
      </c>
      <c r="L114" s="85">
        <v>223</v>
      </c>
      <c r="M114" s="257">
        <f t="shared" si="4"/>
        <v>9569</v>
      </c>
      <c r="N114" s="88">
        <v>1469</v>
      </c>
      <c r="O114" s="87">
        <v>10528</v>
      </c>
      <c r="P114" s="281">
        <f t="shared" si="3"/>
        <v>-736</v>
      </c>
      <c r="Q114" s="269">
        <f t="shared" si="5"/>
        <v>-6.9908814589665649E-2</v>
      </c>
      <c r="R114" s="110"/>
    </row>
    <row r="115" spans="1:21" ht="18">
      <c r="A115" s="79" t="s">
        <v>210</v>
      </c>
      <c r="B115" s="79" t="s">
        <v>261</v>
      </c>
      <c r="C115" s="80" t="s">
        <v>262</v>
      </c>
      <c r="D115" s="81">
        <v>1.168E-3</v>
      </c>
      <c r="E115" s="82">
        <v>4623</v>
      </c>
      <c r="F115" s="5"/>
      <c r="G115" s="71">
        <v>1.083E-3</v>
      </c>
      <c r="H115" s="83">
        <v>24290</v>
      </c>
      <c r="I115" s="7"/>
      <c r="J115" s="84">
        <v>28913</v>
      </c>
      <c r="K115" s="105">
        <v>2.2800000000000001E-2</v>
      </c>
      <c r="L115" s="85">
        <v>659</v>
      </c>
      <c r="M115" s="257">
        <f t="shared" si="4"/>
        <v>28254</v>
      </c>
      <c r="N115" s="88">
        <v>4337</v>
      </c>
      <c r="O115" s="87">
        <v>28571</v>
      </c>
      <c r="P115" s="281">
        <f t="shared" si="3"/>
        <v>342</v>
      </c>
      <c r="Q115" s="269">
        <f t="shared" si="5"/>
        <v>1.197017955269329E-2</v>
      </c>
      <c r="R115" s="110"/>
    </row>
    <row r="116" spans="1:21" ht="18">
      <c r="A116" s="79" t="s">
        <v>210</v>
      </c>
      <c r="B116" s="79" t="s">
        <v>263</v>
      </c>
      <c r="C116" s="80" t="s">
        <v>264</v>
      </c>
      <c r="D116" s="81">
        <v>4.7800000000000002E-4</v>
      </c>
      <c r="E116" s="82">
        <v>1892</v>
      </c>
      <c r="F116" s="5"/>
      <c r="G116" s="71">
        <v>4.28E-4</v>
      </c>
      <c r="H116" s="83">
        <v>9599</v>
      </c>
      <c r="I116" s="7"/>
      <c r="J116" s="84">
        <v>11491</v>
      </c>
      <c r="K116" s="105">
        <v>2.2800000000000001E-2</v>
      </c>
      <c r="L116" s="85">
        <v>262</v>
      </c>
      <c r="M116" s="257">
        <f t="shared" si="4"/>
        <v>11229</v>
      </c>
      <c r="N116" s="88">
        <v>1724</v>
      </c>
      <c r="O116" s="87">
        <v>11673</v>
      </c>
      <c r="P116" s="281">
        <f t="shared" si="3"/>
        <v>-182</v>
      </c>
      <c r="Q116" s="269">
        <f t="shared" si="5"/>
        <v>-1.5591536023301636E-2</v>
      </c>
      <c r="R116" s="110"/>
    </row>
    <row r="117" spans="1:21" ht="18">
      <c r="A117" s="79" t="s">
        <v>210</v>
      </c>
      <c r="B117" s="79" t="s">
        <v>265</v>
      </c>
      <c r="C117" s="80" t="s">
        <v>266</v>
      </c>
      <c r="D117" s="81">
        <v>1.513E-3</v>
      </c>
      <c r="E117" s="82">
        <v>5988</v>
      </c>
      <c r="F117" s="5"/>
      <c r="G117" s="71">
        <v>1.305E-3</v>
      </c>
      <c r="H117" s="83">
        <v>29269</v>
      </c>
      <c r="I117" s="7"/>
      <c r="J117" s="84">
        <v>35257</v>
      </c>
      <c r="K117" s="105">
        <v>2.2800000000000001E-2</v>
      </c>
      <c r="L117" s="85">
        <v>804</v>
      </c>
      <c r="M117" s="257">
        <f t="shared" si="4"/>
        <v>34453</v>
      </c>
      <c r="N117" s="88">
        <v>5289</v>
      </c>
      <c r="O117" s="87">
        <v>35326</v>
      </c>
      <c r="P117" s="281">
        <f t="shared" si="3"/>
        <v>-69</v>
      </c>
      <c r="Q117" s="269">
        <f t="shared" si="5"/>
        <v>-1.9532355771952671E-3</v>
      </c>
      <c r="R117" s="110"/>
    </row>
    <row r="118" spans="1:21" ht="18">
      <c r="A118" s="79" t="s">
        <v>210</v>
      </c>
      <c r="B118" s="79" t="s">
        <v>267</v>
      </c>
      <c r="C118" s="80" t="s">
        <v>268</v>
      </c>
      <c r="D118" s="81">
        <v>9.68E-4</v>
      </c>
      <c r="E118" s="82">
        <v>3831</v>
      </c>
      <c r="F118" s="5"/>
      <c r="G118" s="71">
        <v>9.3199999999999999E-4</v>
      </c>
      <c r="H118" s="83">
        <v>20903</v>
      </c>
      <c r="I118" s="7"/>
      <c r="J118" s="84">
        <v>24734</v>
      </c>
      <c r="K118" s="105">
        <v>2.2800000000000001E-2</v>
      </c>
      <c r="L118" s="85">
        <v>564</v>
      </c>
      <c r="M118" s="257">
        <f t="shared" si="4"/>
        <v>24170</v>
      </c>
      <c r="N118" s="88">
        <v>3710</v>
      </c>
      <c r="O118" s="87">
        <v>24301</v>
      </c>
      <c r="P118" s="281">
        <f t="shared" si="3"/>
        <v>433</v>
      </c>
      <c r="Q118" s="269">
        <f t="shared" si="5"/>
        <v>1.7818196782025432E-2</v>
      </c>
      <c r="R118" s="110"/>
    </row>
    <row r="119" spans="1:21" ht="18">
      <c r="A119" s="79" t="s">
        <v>210</v>
      </c>
      <c r="B119" s="79" t="s">
        <v>269</v>
      </c>
      <c r="C119" s="80" t="s">
        <v>270</v>
      </c>
      <c r="D119" s="81">
        <v>5.3399999999999997E-4</v>
      </c>
      <c r="E119" s="82">
        <v>2114</v>
      </c>
      <c r="F119" s="5"/>
      <c r="G119" s="71">
        <v>5.3399999999999997E-4</v>
      </c>
      <c r="H119" s="83">
        <v>11977</v>
      </c>
      <c r="I119" s="7"/>
      <c r="J119" s="84">
        <v>14091</v>
      </c>
      <c r="K119" s="105">
        <v>2.2800000000000001E-2</v>
      </c>
      <c r="L119" s="85">
        <v>321</v>
      </c>
      <c r="M119" s="257">
        <f t="shared" si="4"/>
        <v>13770</v>
      </c>
      <c r="N119" s="88">
        <v>2114</v>
      </c>
      <c r="O119" s="87">
        <v>13730</v>
      </c>
      <c r="P119" s="281">
        <f t="shared" si="3"/>
        <v>361</v>
      </c>
      <c r="Q119" s="269">
        <f t="shared" si="5"/>
        <v>2.6292789512017481E-2</v>
      </c>
      <c r="R119" s="110"/>
    </row>
    <row r="120" spans="1:21" ht="18">
      <c r="A120" s="79" t="s">
        <v>210</v>
      </c>
      <c r="B120" s="79" t="s">
        <v>271</v>
      </c>
      <c r="C120" s="80" t="s">
        <v>272</v>
      </c>
      <c r="D120" s="81">
        <v>7.45E-4</v>
      </c>
      <c r="E120" s="82">
        <v>2949</v>
      </c>
      <c r="F120" s="5"/>
      <c r="G120" s="71">
        <v>7.7899999999999996E-4</v>
      </c>
      <c r="H120" s="83">
        <v>17472</v>
      </c>
      <c r="I120" s="7"/>
      <c r="J120" s="84">
        <v>20421</v>
      </c>
      <c r="K120" s="105">
        <v>2.2800000000000001E-2</v>
      </c>
      <c r="L120" s="85">
        <v>466</v>
      </c>
      <c r="M120" s="257">
        <f t="shared" si="4"/>
        <v>19955</v>
      </c>
      <c r="N120" s="88">
        <v>3063</v>
      </c>
      <c r="O120" s="87">
        <v>20360</v>
      </c>
      <c r="P120" s="281">
        <f t="shared" si="3"/>
        <v>61</v>
      </c>
      <c r="Q120" s="269">
        <f t="shared" si="5"/>
        <v>2.9960707269155208E-3</v>
      </c>
      <c r="R120" s="110"/>
    </row>
    <row r="121" spans="1:21" ht="18">
      <c r="A121" s="79" t="s">
        <v>210</v>
      </c>
      <c r="B121" s="79" t="s">
        <v>273</v>
      </c>
      <c r="C121" s="80" t="s">
        <v>274</v>
      </c>
      <c r="D121" s="81">
        <v>5.3399999999999997E-4</v>
      </c>
      <c r="E121" s="82">
        <v>2114</v>
      </c>
      <c r="F121" s="5"/>
      <c r="G121" s="71">
        <v>3.4299999999999999E-4</v>
      </c>
      <c r="H121" s="83">
        <v>7693</v>
      </c>
      <c r="I121" s="7"/>
      <c r="J121" s="84">
        <v>9807</v>
      </c>
      <c r="K121" s="105">
        <v>2.2800000000000001E-2</v>
      </c>
      <c r="L121" s="85">
        <v>224</v>
      </c>
      <c r="M121" s="257">
        <f t="shared" si="4"/>
        <v>9583</v>
      </c>
      <c r="N121" s="88">
        <v>1471</v>
      </c>
      <c r="O121" s="87">
        <v>9696</v>
      </c>
      <c r="P121" s="281">
        <f t="shared" si="3"/>
        <v>111</v>
      </c>
      <c r="Q121" s="269">
        <f t="shared" si="5"/>
        <v>1.1448019801980198E-2</v>
      </c>
      <c r="R121" s="110"/>
    </row>
    <row r="122" spans="1:21" ht="18">
      <c r="A122" s="79" t="s">
        <v>210</v>
      </c>
      <c r="B122" s="79" t="s">
        <v>275</v>
      </c>
      <c r="C122" s="112" t="s">
        <v>276</v>
      </c>
      <c r="D122" s="81">
        <v>1.0679999999999999E-3</v>
      </c>
      <c r="E122" s="82">
        <v>4227</v>
      </c>
      <c r="F122" s="5"/>
      <c r="G122" s="71">
        <v>1.0189999999999999E-3</v>
      </c>
      <c r="H122" s="83">
        <v>22854</v>
      </c>
      <c r="I122" s="7"/>
      <c r="J122" s="84">
        <v>27081</v>
      </c>
      <c r="K122" s="105">
        <v>2.2800000000000001E-2</v>
      </c>
      <c r="L122" s="85">
        <v>617</v>
      </c>
      <c r="M122" s="257">
        <f t="shared" si="4"/>
        <v>26464</v>
      </c>
      <c r="N122" s="88">
        <v>4062</v>
      </c>
      <c r="O122" s="87">
        <v>26698</v>
      </c>
      <c r="P122" s="281">
        <f t="shared" si="3"/>
        <v>383</v>
      </c>
      <c r="Q122" s="269">
        <f t="shared" si="5"/>
        <v>1.4345643868454565E-2</v>
      </c>
      <c r="R122" s="110"/>
    </row>
    <row r="123" spans="1:21" ht="18">
      <c r="A123" s="79" t="s">
        <v>210</v>
      </c>
      <c r="B123" s="79" t="s">
        <v>277</v>
      </c>
      <c r="C123" s="112" t="s">
        <v>278</v>
      </c>
      <c r="D123" s="81">
        <v>9.3400000000000004E-4</v>
      </c>
      <c r="E123" s="82">
        <v>3697</v>
      </c>
      <c r="F123" s="5"/>
      <c r="G123" s="71">
        <v>9.8499999999999998E-4</v>
      </c>
      <c r="H123" s="83">
        <v>22092</v>
      </c>
      <c r="I123" s="7"/>
      <c r="J123" s="84">
        <v>25789</v>
      </c>
      <c r="K123" s="105">
        <v>2.2800000000000001E-2</v>
      </c>
      <c r="L123" s="85">
        <v>588</v>
      </c>
      <c r="M123" s="257">
        <f t="shared" si="4"/>
        <v>25201</v>
      </c>
      <c r="N123" s="88">
        <v>3868</v>
      </c>
      <c r="O123" s="87">
        <v>27264</v>
      </c>
      <c r="P123" s="281">
        <f t="shared" si="3"/>
        <v>-1475</v>
      </c>
      <c r="Q123" s="269">
        <f t="shared" si="5"/>
        <v>-5.4100645539906102E-2</v>
      </c>
      <c r="R123" s="110"/>
    </row>
    <row r="124" spans="1:21" ht="18">
      <c r="A124" s="79" t="s">
        <v>210</v>
      </c>
      <c r="B124" s="79" t="s">
        <v>279</v>
      </c>
      <c r="C124" s="112" t="s">
        <v>280</v>
      </c>
      <c r="D124" s="81">
        <v>1.1349999999999999E-3</v>
      </c>
      <c r="E124" s="82">
        <v>4492</v>
      </c>
      <c r="F124" s="5"/>
      <c r="G124" s="71">
        <v>1.354E-3</v>
      </c>
      <c r="H124" s="83">
        <v>30368</v>
      </c>
      <c r="I124" s="7"/>
      <c r="J124" s="84">
        <v>34860</v>
      </c>
      <c r="K124" s="105">
        <v>2.2800000000000001E-2</v>
      </c>
      <c r="L124" s="85">
        <v>795</v>
      </c>
      <c r="M124" s="257">
        <f t="shared" si="4"/>
        <v>34065</v>
      </c>
      <c r="N124" s="88">
        <v>5229</v>
      </c>
      <c r="O124" s="87">
        <v>36219</v>
      </c>
      <c r="P124" s="281">
        <f t="shared" si="3"/>
        <v>-1359</v>
      </c>
      <c r="Q124" s="269">
        <f t="shared" si="5"/>
        <v>-3.75217427317154E-2</v>
      </c>
      <c r="R124" s="110"/>
    </row>
    <row r="125" spans="1:21" ht="18">
      <c r="A125" s="79" t="s">
        <v>210</v>
      </c>
      <c r="B125" s="79" t="s">
        <v>281</v>
      </c>
      <c r="C125" s="112" t="s">
        <v>282</v>
      </c>
      <c r="D125" s="81">
        <v>1.2570000000000001E-3</v>
      </c>
      <c r="E125" s="82">
        <v>4975</v>
      </c>
      <c r="F125" s="5"/>
      <c r="G125" s="71">
        <v>1.0839999999999999E-3</v>
      </c>
      <c r="H125" s="83">
        <v>24312</v>
      </c>
      <c r="I125" s="7"/>
      <c r="J125" s="84">
        <v>29287</v>
      </c>
      <c r="K125" s="105">
        <v>2.2800000000000001E-2</v>
      </c>
      <c r="L125" s="85">
        <v>668</v>
      </c>
      <c r="M125" s="257">
        <f t="shared" si="4"/>
        <v>28619</v>
      </c>
      <c r="N125" s="88">
        <v>4393</v>
      </c>
      <c r="O125" s="87">
        <v>29906</v>
      </c>
      <c r="P125" s="281">
        <f t="shared" si="3"/>
        <v>-619</v>
      </c>
      <c r="Q125" s="269">
        <f t="shared" si="5"/>
        <v>-2.0698187654651239E-2</v>
      </c>
      <c r="R125" s="110"/>
    </row>
    <row r="126" spans="1:21" ht="18">
      <c r="A126" s="79" t="s">
        <v>210</v>
      </c>
      <c r="B126" s="79" t="s">
        <v>283</v>
      </c>
      <c r="C126" s="112" t="s">
        <v>284</v>
      </c>
      <c r="D126" s="81">
        <v>4.0940000000000004E-3</v>
      </c>
      <c r="E126" s="82">
        <v>16204</v>
      </c>
      <c r="F126" s="5"/>
      <c r="G126" s="71">
        <v>4.1110000000000001E-3</v>
      </c>
      <c r="H126" s="83">
        <v>92203</v>
      </c>
      <c r="I126" s="7"/>
      <c r="J126" s="84">
        <v>108407</v>
      </c>
      <c r="K126" s="105">
        <v>2.2800000000000001E-2</v>
      </c>
      <c r="L126" s="85">
        <v>2472</v>
      </c>
      <c r="M126" s="257">
        <f t="shared" si="4"/>
        <v>105935</v>
      </c>
      <c r="N126" s="88">
        <v>16261</v>
      </c>
      <c r="O126" s="87">
        <v>107790</v>
      </c>
      <c r="P126" s="281">
        <f t="shared" si="3"/>
        <v>617</v>
      </c>
      <c r="Q126" s="269">
        <f t="shared" si="5"/>
        <v>5.7240931440764448E-3</v>
      </c>
      <c r="R126" s="110"/>
      <c r="U126" s="113"/>
    </row>
    <row r="127" spans="1:21" ht="18">
      <c r="A127" s="79" t="s">
        <v>210</v>
      </c>
      <c r="B127" s="79" t="s">
        <v>285</v>
      </c>
      <c r="C127" s="80" t="s">
        <v>286</v>
      </c>
      <c r="D127" s="81">
        <v>1.5460000000000001E-3</v>
      </c>
      <c r="E127" s="82">
        <v>6119</v>
      </c>
      <c r="F127" s="5"/>
      <c r="G127" s="71">
        <v>2.3259999999999999E-3</v>
      </c>
      <c r="H127" s="83">
        <v>52168</v>
      </c>
      <c r="I127" s="7"/>
      <c r="J127" s="84">
        <v>58287</v>
      </c>
      <c r="K127" s="105">
        <v>2.2800000000000001E-2</v>
      </c>
      <c r="L127" s="85">
        <v>1329</v>
      </c>
      <c r="M127" s="257">
        <f t="shared" si="4"/>
        <v>56958</v>
      </c>
      <c r="N127" s="88">
        <v>8743</v>
      </c>
      <c r="O127" s="87">
        <v>58866</v>
      </c>
      <c r="P127" s="281">
        <f t="shared" si="3"/>
        <v>-579</v>
      </c>
      <c r="Q127" s="269">
        <f t="shared" si="5"/>
        <v>-9.8358984812965036E-3</v>
      </c>
      <c r="R127" s="110"/>
    </row>
    <row r="128" spans="1:21" ht="18">
      <c r="A128" s="79" t="s">
        <v>210</v>
      </c>
      <c r="B128" s="79" t="s">
        <v>287</v>
      </c>
      <c r="C128" s="80" t="s">
        <v>288</v>
      </c>
      <c r="D128" s="81">
        <v>7.7539999999999996E-3</v>
      </c>
      <c r="E128" s="82">
        <v>30690</v>
      </c>
      <c r="F128" s="5"/>
      <c r="G128" s="71">
        <v>4.529E-3</v>
      </c>
      <c r="H128" s="83">
        <v>101578</v>
      </c>
      <c r="I128" s="7"/>
      <c r="J128" s="84">
        <v>132268</v>
      </c>
      <c r="K128" s="105">
        <v>2.2800000000000001E-2</v>
      </c>
      <c r="L128" s="85">
        <v>3016</v>
      </c>
      <c r="M128" s="257">
        <f t="shared" si="4"/>
        <v>129252</v>
      </c>
      <c r="N128" s="88">
        <v>19840</v>
      </c>
      <c r="O128" s="87">
        <v>134366</v>
      </c>
      <c r="P128" s="281">
        <f t="shared" si="3"/>
        <v>-2098</v>
      </c>
      <c r="Q128" s="269">
        <f t="shared" si="5"/>
        <v>-1.5614069035321436E-2</v>
      </c>
      <c r="R128" s="110"/>
    </row>
    <row r="129" spans="1:18" ht="18">
      <c r="A129" s="79" t="s">
        <v>210</v>
      </c>
      <c r="B129" s="79" t="s">
        <v>289</v>
      </c>
      <c r="C129" s="80" t="s">
        <v>290</v>
      </c>
      <c r="D129" s="81">
        <v>1.56E-4</v>
      </c>
      <c r="E129" s="82">
        <v>617</v>
      </c>
      <c r="F129" s="5"/>
      <c r="G129" s="71">
        <v>3.5E-4</v>
      </c>
      <c r="H129" s="83">
        <v>7850</v>
      </c>
      <c r="I129" s="7"/>
      <c r="J129" s="84">
        <v>8467</v>
      </c>
      <c r="K129" s="105">
        <v>2.2800000000000001E-2</v>
      </c>
      <c r="L129" s="85">
        <v>193</v>
      </c>
      <c r="M129" s="257">
        <f t="shared" si="4"/>
        <v>8274</v>
      </c>
      <c r="N129" s="88">
        <v>1270</v>
      </c>
      <c r="O129" s="87">
        <v>9594</v>
      </c>
      <c r="P129" s="281">
        <f t="shared" si="3"/>
        <v>-1127</v>
      </c>
      <c r="Q129" s="269">
        <f t="shared" si="5"/>
        <v>-0.11746925161559307</v>
      </c>
      <c r="R129" s="110"/>
    </row>
    <row r="130" spans="1:18" ht="18">
      <c r="A130" s="79" t="s">
        <v>210</v>
      </c>
      <c r="B130" s="79" t="s">
        <v>291</v>
      </c>
      <c r="C130" s="80" t="s">
        <v>292</v>
      </c>
      <c r="D130" s="81">
        <v>4.4499999999999997E-4</v>
      </c>
      <c r="E130" s="82">
        <v>1761</v>
      </c>
      <c r="F130" s="5"/>
      <c r="G130" s="71">
        <v>3.0299999999999999E-4</v>
      </c>
      <c r="H130" s="83">
        <v>6796</v>
      </c>
      <c r="I130" s="7"/>
      <c r="J130" s="84">
        <v>8557</v>
      </c>
      <c r="K130" s="105">
        <v>2.2800000000000001E-2</v>
      </c>
      <c r="L130" s="85">
        <v>195</v>
      </c>
      <c r="M130" s="257">
        <f t="shared" si="4"/>
        <v>8362</v>
      </c>
      <c r="N130" s="88">
        <v>1284</v>
      </c>
      <c r="O130" s="87">
        <v>9469</v>
      </c>
      <c r="P130" s="281">
        <f t="shared" si="3"/>
        <v>-912</v>
      </c>
      <c r="Q130" s="269">
        <f t="shared" si="5"/>
        <v>-9.6314288731650655E-2</v>
      </c>
      <c r="R130" s="110"/>
    </row>
    <row r="131" spans="1:18" ht="18">
      <c r="A131" s="79" t="s">
        <v>210</v>
      </c>
      <c r="B131" s="79" t="s">
        <v>293</v>
      </c>
      <c r="C131" s="80" t="s">
        <v>294</v>
      </c>
      <c r="D131" s="81">
        <v>2.4499999999999999E-4</v>
      </c>
      <c r="E131" s="82">
        <v>970</v>
      </c>
      <c r="F131" s="5"/>
      <c r="G131" s="71">
        <v>3.9199999999999999E-4</v>
      </c>
      <c r="H131" s="83">
        <v>8792</v>
      </c>
      <c r="I131" s="7"/>
      <c r="J131" s="84">
        <v>9762</v>
      </c>
      <c r="K131" s="105">
        <v>2.2800000000000001E-2</v>
      </c>
      <c r="L131" s="85">
        <v>223</v>
      </c>
      <c r="M131" s="257">
        <f t="shared" si="4"/>
        <v>9539</v>
      </c>
      <c r="N131" s="88">
        <v>1464</v>
      </c>
      <c r="O131" s="87">
        <v>9390</v>
      </c>
      <c r="P131" s="281">
        <f t="shared" si="3"/>
        <v>372</v>
      </c>
      <c r="Q131" s="269">
        <f t="shared" si="5"/>
        <v>3.9616613418530351E-2</v>
      </c>
      <c r="R131" s="110"/>
    </row>
    <row r="132" spans="1:18" ht="18">
      <c r="A132" s="106" t="s">
        <v>210</v>
      </c>
      <c r="B132" s="106" t="s">
        <v>295</v>
      </c>
      <c r="C132" s="107" t="s">
        <v>296</v>
      </c>
      <c r="D132" s="81">
        <v>1.691E-3</v>
      </c>
      <c r="E132" s="82">
        <v>6693</v>
      </c>
      <c r="F132" s="5"/>
      <c r="G132" s="71">
        <v>1.9189999999999999E-3</v>
      </c>
      <c r="H132" s="83">
        <v>43040</v>
      </c>
      <c r="I132" s="7"/>
      <c r="J132" s="84">
        <v>49733</v>
      </c>
      <c r="K132" s="105">
        <v>2.2800000000000001E-2</v>
      </c>
      <c r="L132" s="85">
        <v>1134</v>
      </c>
      <c r="M132" s="257">
        <f t="shared" si="4"/>
        <v>48599</v>
      </c>
      <c r="N132" s="88">
        <v>7460</v>
      </c>
      <c r="O132" s="87">
        <v>52355</v>
      </c>
      <c r="P132" s="281">
        <f t="shared" si="3"/>
        <v>-2622</v>
      </c>
      <c r="Q132" s="269">
        <f t="shared" si="5"/>
        <v>-5.0081176582943365E-2</v>
      </c>
      <c r="R132" s="110"/>
    </row>
    <row r="133" spans="1:18" ht="18">
      <c r="A133" s="79" t="s">
        <v>210</v>
      </c>
      <c r="B133" s="79" t="s">
        <v>297</v>
      </c>
      <c r="C133" s="80" t="s">
        <v>298</v>
      </c>
      <c r="D133" s="81">
        <v>3.771E-3</v>
      </c>
      <c r="E133" s="82">
        <v>14926</v>
      </c>
      <c r="F133" s="5"/>
      <c r="G133" s="71">
        <v>3.2699999999999999E-3</v>
      </c>
      <c r="H133" s="83">
        <v>73341</v>
      </c>
      <c r="I133" s="7"/>
      <c r="J133" s="84">
        <v>88267</v>
      </c>
      <c r="K133" s="105">
        <v>2.2800000000000001E-2</v>
      </c>
      <c r="L133" s="85">
        <v>2012</v>
      </c>
      <c r="M133" s="257">
        <f t="shared" si="4"/>
        <v>86255</v>
      </c>
      <c r="N133" s="88">
        <v>13240</v>
      </c>
      <c r="O133" s="87">
        <v>85669</v>
      </c>
      <c r="P133" s="281">
        <f t="shared" si="3"/>
        <v>2598</v>
      </c>
      <c r="Q133" s="269">
        <f t="shared" si="5"/>
        <v>3.032602224842125E-2</v>
      </c>
      <c r="R133" s="110"/>
    </row>
    <row r="134" spans="1:18" ht="18.75" thickBot="1">
      <c r="A134" s="90" t="s">
        <v>210</v>
      </c>
      <c r="B134" s="90" t="s">
        <v>299</v>
      </c>
      <c r="C134" s="91" t="s">
        <v>300</v>
      </c>
      <c r="D134" s="92">
        <v>3.2299999999999999E-4</v>
      </c>
      <c r="E134" s="93">
        <v>1278</v>
      </c>
      <c r="F134" s="94"/>
      <c r="G134" s="95">
        <v>6.6399999999999999E-4</v>
      </c>
      <c r="H134" s="96">
        <v>14892</v>
      </c>
      <c r="I134" s="7"/>
      <c r="J134" s="97">
        <v>16170</v>
      </c>
      <c r="K134" s="109">
        <v>2.2800000000000001E-2</v>
      </c>
      <c r="L134" s="99">
        <v>369</v>
      </c>
      <c r="M134" s="258">
        <f t="shared" si="4"/>
        <v>15801</v>
      </c>
      <c r="N134" s="102">
        <v>2426</v>
      </c>
      <c r="O134" s="101">
        <v>17387</v>
      </c>
      <c r="P134" s="282">
        <f t="shared" si="3"/>
        <v>-1217</v>
      </c>
      <c r="Q134" s="269">
        <f t="shared" si="5"/>
        <v>-6.9994823718870419E-2</v>
      </c>
      <c r="R134" s="110"/>
    </row>
    <row r="135" spans="1:18" ht="18">
      <c r="A135" s="79" t="s">
        <v>301</v>
      </c>
      <c r="B135" s="79" t="s">
        <v>302</v>
      </c>
      <c r="C135" s="80" t="s">
        <v>303</v>
      </c>
      <c r="D135" s="81">
        <v>6.0099999999999997E-4</v>
      </c>
      <c r="E135" s="82">
        <v>2379</v>
      </c>
      <c r="F135" s="5"/>
      <c r="G135" s="103">
        <v>5.6700000000000001E-4</v>
      </c>
      <c r="H135" s="83">
        <v>12717</v>
      </c>
      <c r="I135" s="7"/>
      <c r="J135" s="84">
        <v>15096</v>
      </c>
      <c r="K135" s="105">
        <v>8.2000000000000007E-3</v>
      </c>
      <c r="L135" s="85">
        <v>124</v>
      </c>
      <c r="M135" s="257">
        <f t="shared" si="4"/>
        <v>14972</v>
      </c>
      <c r="N135" s="88">
        <v>2264</v>
      </c>
      <c r="O135" s="87">
        <v>16025</v>
      </c>
      <c r="P135" s="281">
        <f t="shared" si="3"/>
        <v>-929</v>
      </c>
      <c r="Q135" s="269">
        <f t="shared" si="5"/>
        <v>-5.7971918876755069E-2</v>
      </c>
    </row>
    <row r="136" spans="1:18" ht="18">
      <c r="A136" s="79" t="s">
        <v>301</v>
      </c>
      <c r="B136" s="79" t="s">
        <v>304</v>
      </c>
      <c r="C136" s="80" t="s">
        <v>305</v>
      </c>
      <c r="D136" s="81">
        <v>7.5600000000000005E-4</v>
      </c>
      <c r="E136" s="82">
        <v>2992</v>
      </c>
      <c r="F136" s="5"/>
      <c r="G136" s="71">
        <v>1.488E-3</v>
      </c>
      <c r="H136" s="83">
        <v>33373</v>
      </c>
      <c r="I136" s="7"/>
      <c r="J136" s="84">
        <v>36365</v>
      </c>
      <c r="K136" s="105">
        <v>8.2000000000000007E-3</v>
      </c>
      <c r="L136" s="85">
        <v>298</v>
      </c>
      <c r="M136" s="257">
        <f t="shared" si="4"/>
        <v>36067</v>
      </c>
      <c r="N136" s="88">
        <v>5455</v>
      </c>
      <c r="O136" s="87">
        <v>37359</v>
      </c>
      <c r="P136" s="281">
        <f t="shared" si="3"/>
        <v>-994</v>
      </c>
      <c r="Q136" s="269">
        <f t="shared" si="5"/>
        <v>-2.6606707888326777E-2</v>
      </c>
    </row>
    <row r="137" spans="1:18" ht="18">
      <c r="A137" s="79" t="s">
        <v>301</v>
      </c>
      <c r="B137" s="79" t="s">
        <v>306</v>
      </c>
      <c r="C137" s="80" t="s">
        <v>307</v>
      </c>
      <c r="D137" s="81">
        <v>2.5599999999999999E-4</v>
      </c>
      <c r="E137" s="82">
        <v>1013</v>
      </c>
      <c r="F137" s="5"/>
      <c r="G137" s="71">
        <v>3.8099999999999999E-4</v>
      </c>
      <c r="H137" s="83">
        <v>8545</v>
      </c>
      <c r="I137" s="7"/>
      <c r="J137" s="84">
        <v>9558</v>
      </c>
      <c r="K137" s="105">
        <v>8.2000000000000007E-3</v>
      </c>
      <c r="L137" s="85">
        <v>78</v>
      </c>
      <c r="M137" s="257">
        <f t="shared" si="4"/>
        <v>9480</v>
      </c>
      <c r="N137" s="88">
        <v>1434</v>
      </c>
      <c r="O137" s="87">
        <v>9964</v>
      </c>
      <c r="P137" s="281">
        <f t="shared" ref="P137:P200" si="6">+J137-O137</f>
        <v>-406</v>
      </c>
      <c r="Q137" s="269">
        <f t="shared" si="5"/>
        <v>-4.0746688077077479E-2</v>
      </c>
    </row>
    <row r="138" spans="1:18" ht="18">
      <c r="A138" s="79" t="s">
        <v>301</v>
      </c>
      <c r="B138" s="79" t="s">
        <v>308</v>
      </c>
      <c r="C138" s="108" t="s">
        <v>309</v>
      </c>
      <c r="D138" s="81">
        <v>6.7749999999999998E-3</v>
      </c>
      <c r="E138" s="82">
        <v>26815</v>
      </c>
      <c r="F138" s="5"/>
      <c r="G138" s="71">
        <v>8.3949999999999997E-3</v>
      </c>
      <c r="H138" s="83">
        <v>188286</v>
      </c>
      <c r="I138" s="7"/>
      <c r="J138" s="84">
        <v>215101</v>
      </c>
      <c r="K138" s="105">
        <v>8.2000000000000007E-3</v>
      </c>
      <c r="L138" s="85">
        <v>1764</v>
      </c>
      <c r="M138" s="257">
        <f t="shared" ref="M138:M201" si="7">+J138-L138</f>
        <v>213337</v>
      </c>
      <c r="N138" s="270">
        <v>32265</v>
      </c>
      <c r="O138" s="87">
        <v>220452</v>
      </c>
      <c r="P138" s="281">
        <f t="shared" si="6"/>
        <v>-5351</v>
      </c>
      <c r="Q138" s="269">
        <f t="shared" ref="Q138:Q201" si="8">+P138/O138</f>
        <v>-2.4272857583510242E-2</v>
      </c>
    </row>
    <row r="139" spans="1:18" ht="18">
      <c r="A139" s="79" t="s">
        <v>301</v>
      </c>
      <c r="B139" s="79" t="s">
        <v>310</v>
      </c>
      <c r="C139" s="80" t="s">
        <v>311</v>
      </c>
      <c r="D139" s="81">
        <v>9.8999999999999999E-4</v>
      </c>
      <c r="E139" s="82">
        <v>3918</v>
      </c>
      <c r="F139" s="5"/>
      <c r="G139" s="71">
        <v>9.5100000000000002E-4</v>
      </c>
      <c r="H139" s="83">
        <v>21329</v>
      </c>
      <c r="I139" s="7"/>
      <c r="J139" s="84">
        <v>25247</v>
      </c>
      <c r="K139" s="105">
        <v>8.2000000000000007E-3</v>
      </c>
      <c r="L139" s="85">
        <v>207</v>
      </c>
      <c r="M139" s="257">
        <f t="shared" si="7"/>
        <v>25040</v>
      </c>
      <c r="N139" s="88">
        <v>3787</v>
      </c>
      <c r="O139" s="87">
        <v>25589</v>
      </c>
      <c r="P139" s="281">
        <f t="shared" si="6"/>
        <v>-342</v>
      </c>
      <c r="Q139" s="269">
        <f t="shared" si="8"/>
        <v>-1.3365117824065027E-2</v>
      </c>
    </row>
    <row r="140" spans="1:18" ht="18">
      <c r="A140" s="79" t="s">
        <v>301</v>
      </c>
      <c r="B140" s="79" t="s">
        <v>312</v>
      </c>
      <c r="C140" s="80" t="s">
        <v>313</v>
      </c>
      <c r="D140" s="81">
        <v>2.0579999999999999E-3</v>
      </c>
      <c r="E140" s="82">
        <v>8146</v>
      </c>
      <c r="F140" s="5"/>
      <c r="G140" s="71">
        <v>1.8400000000000001E-3</v>
      </c>
      <c r="H140" s="83">
        <v>41268</v>
      </c>
      <c r="I140" s="7"/>
      <c r="J140" s="84">
        <v>49414</v>
      </c>
      <c r="K140" s="105">
        <v>8.2000000000000007E-3</v>
      </c>
      <c r="L140" s="85">
        <v>405</v>
      </c>
      <c r="M140" s="257">
        <f t="shared" si="7"/>
        <v>49009</v>
      </c>
      <c r="N140" s="88">
        <v>7412</v>
      </c>
      <c r="O140" s="87">
        <v>49730</v>
      </c>
      <c r="P140" s="281">
        <f t="shared" si="6"/>
        <v>-316</v>
      </c>
      <c r="Q140" s="269">
        <f t="shared" si="8"/>
        <v>-6.3543132917755884E-3</v>
      </c>
    </row>
    <row r="141" spans="1:18" ht="18">
      <c r="A141" s="79" t="s">
        <v>301</v>
      </c>
      <c r="B141" s="79" t="s">
        <v>314</v>
      </c>
      <c r="C141" s="80" t="s">
        <v>315</v>
      </c>
      <c r="D141" s="81">
        <v>2.3029999999999999E-3</v>
      </c>
      <c r="E141" s="82">
        <v>9115</v>
      </c>
      <c r="F141" s="5"/>
      <c r="G141" s="71">
        <v>3.408E-3</v>
      </c>
      <c r="H141" s="83">
        <v>76436</v>
      </c>
      <c r="I141" s="7"/>
      <c r="J141" s="84">
        <v>85551</v>
      </c>
      <c r="K141" s="105">
        <v>8.2000000000000007E-3</v>
      </c>
      <c r="L141" s="85">
        <v>702</v>
      </c>
      <c r="M141" s="257">
        <f t="shared" si="7"/>
        <v>84849</v>
      </c>
      <c r="N141" s="88">
        <v>12833</v>
      </c>
      <c r="O141" s="87">
        <v>85913</v>
      </c>
      <c r="P141" s="281">
        <f t="shared" si="6"/>
        <v>-362</v>
      </c>
      <c r="Q141" s="269">
        <f t="shared" si="8"/>
        <v>-4.2135648854073303E-3</v>
      </c>
    </row>
    <row r="142" spans="1:18" ht="18">
      <c r="A142" s="79" t="s">
        <v>301</v>
      </c>
      <c r="B142" s="79" t="s">
        <v>316</v>
      </c>
      <c r="C142" s="80" t="s">
        <v>317</v>
      </c>
      <c r="D142" s="81">
        <v>1.1346999999999999E-2</v>
      </c>
      <c r="E142" s="82">
        <v>44911</v>
      </c>
      <c r="F142" s="5"/>
      <c r="G142" s="71">
        <v>8.4340000000000005E-3</v>
      </c>
      <c r="H142" s="83">
        <v>189160</v>
      </c>
      <c r="I142" s="7"/>
      <c r="J142" s="84">
        <v>234071</v>
      </c>
      <c r="K142" s="105">
        <v>8.2000000000000007E-3</v>
      </c>
      <c r="L142" s="85">
        <v>1919</v>
      </c>
      <c r="M142" s="257">
        <f t="shared" si="7"/>
        <v>232152</v>
      </c>
      <c r="N142" s="88">
        <v>35111</v>
      </c>
      <c r="O142" s="87">
        <v>243973</v>
      </c>
      <c r="P142" s="281">
        <f t="shared" si="6"/>
        <v>-9902</v>
      </c>
      <c r="Q142" s="269">
        <f t="shared" si="8"/>
        <v>-4.0586458337602931E-2</v>
      </c>
    </row>
    <row r="143" spans="1:18" ht="18">
      <c r="A143" s="79" t="s">
        <v>301</v>
      </c>
      <c r="B143" s="79" t="s">
        <v>318</v>
      </c>
      <c r="C143" s="80" t="s">
        <v>319</v>
      </c>
      <c r="D143" s="81">
        <v>3.0040000000000002E-3</v>
      </c>
      <c r="E143" s="82">
        <v>11890</v>
      </c>
      <c r="F143" s="5"/>
      <c r="G143" s="71">
        <v>1.8550000000000001E-3</v>
      </c>
      <c r="H143" s="83">
        <v>41605</v>
      </c>
      <c r="I143" s="7"/>
      <c r="J143" s="84">
        <v>53495</v>
      </c>
      <c r="K143" s="105">
        <v>8.2000000000000007E-3</v>
      </c>
      <c r="L143" s="85">
        <v>439</v>
      </c>
      <c r="M143" s="257">
        <f t="shared" si="7"/>
        <v>53056</v>
      </c>
      <c r="N143" s="88">
        <v>8024</v>
      </c>
      <c r="O143" s="87">
        <v>57791</v>
      </c>
      <c r="P143" s="281">
        <f t="shared" si="6"/>
        <v>-4296</v>
      </c>
      <c r="Q143" s="269">
        <f t="shared" si="8"/>
        <v>-7.4336834455191986E-2</v>
      </c>
    </row>
    <row r="144" spans="1:18" ht="18">
      <c r="A144" s="79" t="s">
        <v>301</v>
      </c>
      <c r="B144" s="79" t="s">
        <v>320</v>
      </c>
      <c r="C144" s="80" t="s">
        <v>321</v>
      </c>
      <c r="D144" s="81">
        <v>4.9382000000000002E-2</v>
      </c>
      <c r="E144" s="82">
        <v>195454</v>
      </c>
      <c r="F144" s="5"/>
      <c r="G144" s="71">
        <v>3.5324000000000001E-2</v>
      </c>
      <c r="H144" s="83">
        <v>792258</v>
      </c>
      <c r="I144" s="7"/>
      <c r="J144" s="84">
        <v>987712</v>
      </c>
      <c r="K144" s="105">
        <v>8.2000000000000007E-3</v>
      </c>
      <c r="L144" s="85">
        <v>8099</v>
      </c>
      <c r="M144" s="257">
        <f t="shared" si="7"/>
        <v>979613</v>
      </c>
      <c r="N144" s="88">
        <v>148157</v>
      </c>
      <c r="O144" s="87">
        <v>993529</v>
      </c>
      <c r="P144" s="281">
        <f t="shared" si="6"/>
        <v>-5817</v>
      </c>
      <c r="Q144" s="269">
        <f t="shared" si="8"/>
        <v>-5.8548869736062062E-3</v>
      </c>
    </row>
    <row r="145" spans="1:17" ht="18">
      <c r="A145" s="79" t="s">
        <v>301</v>
      </c>
      <c r="B145" s="79" t="s">
        <v>322</v>
      </c>
      <c r="C145" s="80" t="s">
        <v>323</v>
      </c>
      <c r="D145" s="81">
        <v>4.7800000000000002E-4</v>
      </c>
      <c r="E145" s="82">
        <v>1892</v>
      </c>
      <c r="F145" s="5"/>
      <c r="G145" s="71">
        <v>4.5399999999999998E-4</v>
      </c>
      <c r="H145" s="83">
        <v>10182</v>
      </c>
      <c r="I145" s="7"/>
      <c r="J145" s="84">
        <v>12074</v>
      </c>
      <c r="K145" s="105">
        <v>8.2000000000000007E-3</v>
      </c>
      <c r="L145" s="85">
        <v>99</v>
      </c>
      <c r="M145" s="257">
        <f t="shared" si="7"/>
        <v>11975</v>
      </c>
      <c r="N145" s="88">
        <v>1811</v>
      </c>
      <c r="O145" s="87">
        <v>12612</v>
      </c>
      <c r="P145" s="281">
        <f t="shared" si="6"/>
        <v>-538</v>
      </c>
      <c r="Q145" s="269">
        <f t="shared" si="8"/>
        <v>-4.2657786235331431E-2</v>
      </c>
    </row>
    <row r="146" spans="1:17" ht="18">
      <c r="A146" s="79" t="s">
        <v>301</v>
      </c>
      <c r="B146" s="79" t="s">
        <v>324</v>
      </c>
      <c r="C146" s="80" t="s">
        <v>325</v>
      </c>
      <c r="D146" s="81">
        <v>8.4500000000000005E-4</v>
      </c>
      <c r="E146" s="82">
        <v>3345</v>
      </c>
      <c r="F146" s="5"/>
      <c r="G146" s="71">
        <v>1.158E-3</v>
      </c>
      <c r="H146" s="83">
        <v>25972</v>
      </c>
      <c r="I146" s="7"/>
      <c r="J146" s="84">
        <v>29317</v>
      </c>
      <c r="K146" s="105">
        <v>8.2000000000000007E-3</v>
      </c>
      <c r="L146" s="85">
        <v>240</v>
      </c>
      <c r="M146" s="257">
        <f t="shared" si="7"/>
        <v>29077</v>
      </c>
      <c r="N146" s="88">
        <v>4398</v>
      </c>
      <c r="O146" s="87">
        <v>29543</v>
      </c>
      <c r="P146" s="281">
        <f t="shared" si="6"/>
        <v>-226</v>
      </c>
      <c r="Q146" s="269">
        <f t="shared" si="8"/>
        <v>-7.6498662965846396E-3</v>
      </c>
    </row>
    <row r="147" spans="1:17" ht="18">
      <c r="A147" s="79" t="s">
        <v>301</v>
      </c>
      <c r="B147" s="79" t="s">
        <v>326</v>
      </c>
      <c r="C147" s="80" t="s">
        <v>327</v>
      </c>
      <c r="D147" s="81">
        <v>5.2300000000000003E-4</v>
      </c>
      <c r="E147" s="82">
        <v>2070</v>
      </c>
      <c r="F147" s="5"/>
      <c r="G147" s="71">
        <v>7.2900000000000005E-4</v>
      </c>
      <c r="H147" s="83">
        <v>16350</v>
      </c>
      <c r="I147" s="7"/>
      <c r="J147" s="84">
        <v>18420</v>
      </c>
      <c r="K147" s="105">
        <v>8.2000000000000007E-3</v>
      </c>
      <c r="L147" s="85">
        <v>151</v>
      </c>
      <c r="M147" s="257">
        <f t="shared" si="7"/>
        <v>18269</v>
      </c>
      <c r="N147" s="88">
        <v>2763</v>
      </c>
      <c r="O147" s="87">
        <v>20013</v>
      </c>
      <c r="P147" s="281">
        <f t="shared" si="6"/>
        <v>-1593</v>
      </c>
      <c r="Q147" s="269">
        <f t="shared" si="8"/>
        <v>-7.959826113026533E-2</v>
      </c>
    </row>
    <row r="148" spans="1:17" ht="18">
      <c r="A148" s="79" t="s">
        <v>301</v>
      </c>
      <c r="B148" s="79" t="s">
        <v>328</v>
      </c>
      <c r="C148" s="80" t="s">
        <v>329</v>
      </c>
      <c r="D148" s="81">
        <v>1.913E-3</v>
      </c>
      <c r="E148" s="82">
        <v>7572</v>
      </c>
      <c r="F148" s="5"/>
      <c r="G148" s="71">
        <v>1.5449999999999999E-3</v>
      </c>
      <c r="H148" s="83">
        <v>34652</v>
      </c>
      <c r="I148" s="7"/>
      <c r="J148" s="84">
        <v>42224</v>
      </c>
      <c r="K148" s="105">
        <v>8.2000000000000007E-3</v>
      </c>
      <c r="L148" s="85">
        <v>346</v>
      </c>
      <c r="M148" s="257">
        <f t="shared" si="7"/>
        <v>41878</v>
      </c>
      <c r="N148" s="88">
        <v>6334</v>
      </c>
      <c r="O148" s="87">
        <v>43519</v>
      </c>
      <c r="P148" s="281">
        <f t="shared" si="6"/>
        <v>-1295</v>
      </c>
      <c r="Q148" s="269">
        <f t="shared" si="8"/>
        <v>-2.9757117580826765E-2</v>
      </c>
    </row>
    <row r="149" spans="1:17" ht="18">
      <c r="A149" s="79" t="s">
        <v>301</v>
      </c>
      <c r="B149" s="79" t="s">
        <v>330</v>
      </c>
      <c r="C149" s="80" t="s">
        <v>331</v>
      </c>
      <c r="D149" s="81">
        <v>3.9830000000000004E-3</v>
      </c>
      <c r="E149" s="82">
        <v>15765</v>
      </c>
      <c r="F149" s="5"/>
      <c r="G149" s="71">
        <v>2.9559999999999999E-3</v>
      </c>
      <c r="H149" s="83">
        <v>66298</v>
      </c>
      <c r="I149" s="7"/>
      <c r="J149" s="84">
        <v>82063</v>
      </c>
      <c r="K149" s="105">
        <v>8.2000000000000007E-3</v>
      </c>
      <c r="L149" s="85">
        <v>673</v>
      </c>
      <c r="M149" s="257">
        <f t="shared" si="7"/>
        <v>81390</v>
      </c>
      <c r="N149" s="88">
        <v>12309</v>
      </c>
      <c r="O149" s="87">
        <v>86338</v>
      </c>
      <c r="P149" s="281">
        <f t="shared" si="6"/>
        <v>-4275</v>
      </c>
      <c r="Q149" s="269">
        <f t="shared" si="8"/>
        <v>-4.9514698047209801E-2</v>
      </c>
    </row>
    <row r="150" spans="1:17" ht="18">
      <c r="A150" s="79" t="s">
        <v>301</v>
      </c>
      <c r="B150" s="79" t="s">
        <v>332</v>
      </c>
      <c r="C150" s="80" t="s">
        <v>333</v>
      </c>
      <c r="D150" s="81">
        <v>1.3572000000000001E-2</v>
      </c>
      <c r="E150" s="82">
        <v>53718</v>
      </c>
      <c r="F150" s="5"/>
      <c r="G150" s="71">
        <v>1.0588999999999999E-2</v>
      </c>
      <c r="H150" s="83">
        <v>237493</v>
      </c>
      <c r="I150" s="7"/>
      <c r="J150" s="84">
        <v>291211</v>
      </c>
      <c r="K150" s="105">
        <v>8.2000000000000007E-3</v>
      </c>
      <c r="L150" s="85">
        <v>2388</v>
      </c>
      <c r="M150" s="257">
        <f t="shared" si="7"/>
        <v>288823</v>
      </c>
      <c r="N150" s="88">
        <v>43682</v>
      </c>
      <c r="O150" s="87">
        <v>303198</v>
      </c>
      <c r="P150" s="281">
        <f t="shared" si="6"/>
        <v>-11987</v>
      </c>
      <c r="Q150" s="269">
        <f t="shared" si="8"/>
        <v>-3.9535221208583167E-2</v>
      </c>
    </row>
    <row r="151" spans="1:17" ht="18">
      <c r="A151" s="79" t="s">
        <v>301</v>
      </c>
      <c r="B151" s="79" t="s">
        <v>334</v>
      </c>
      <c r="C151" s="80" t="s">
        <v>335</v>
      </c>
      <c r="D151" s="81">
        <v>8.34E-4</v>
      </c>
      <c r="E151" s="82">
        <v>3301</v>
      </c>
      <c r="F151" s="5"/>
      <c r="G151" s="71">
        <v>1.093E-3</v>
      </c>
      <c r="H151" s="83">
        <v>24514</v>
      </c>
      <c r="I151" s="7"/>
      <c r="J151" s="84">
        <v>27815</v>
      </c>
      <c r="K151" s="105">
        <v>8.2000000000000007E-3</v>
      </c>
      <c r="L151" s="85">
        <v>228</v>
      </c>
      <c r="M151" s="257">
        <f t="shared" si="7"/>
        <v>27587</v>
      </c>
      <c r="N151" s="88">
        <v>4172</v>
      </c>
      <c r="O151" s="87">
        <v>29571</v>
      </c>
      <c r="P151" s="281">
        <f t="shared" si="6"/>
        <v>-1756</v>
      </c>
      <c r="Q151" s="269">
        <f t="shared" si="8"/>
        <v>-5.9382503128064659E-2</v>
      </c>
    </row>
    <row r="152" spans="1:17" ht="18">
      <c r="A152" s="79" t="s">
        <v>301</v>
      </c>
      <c r="B152" s="79" t="s">
        <v>336</v>
      </c>
      <c r="C152" s="80" t="s">
        <v>337</v>
      </c>
      <c r="D152" s="81">
        <v>3.96E-3</v>
      </c>
      <c r="E152" s="82">
        <v>15674</v>
      </c>
      <c r="F152" s="5"/>
      <c r="G152" s="71">
        <v>5.9379999999999997E-3</v>
      </c>
      <c r="H152" s="83">
        <v>133179</v>
      </c>
      <c r="I152" s="7"/>
      <c r="J152" s="84">
        <v>148853</v>
      </c>
      <c r="K152" s="105">
        <v>8.2000000000000007E-3</v>
      </c>
      <c r="L152" s="85">
        <v>1221</v>
      </c>
      <c r="M152" s="257">
        <f t="shared" si="7"/>
        <v>147632</v>
      </c>
      <c r="N152" s="88">
        <v>22328</v>
      </c>
      <c r="O152" s="87">
        <v>150617</v>
      </c>
      <c r="P152" s="281">
        <f t="shared" si="6"/>
        <v>-1764</v>
      </c>
      <c r="Q152" s="269">
        <f t="shared" si="8"/>
        <v>-1.1711825358359282E-2</v>
      </c>
    </row>
    <row r="153" spans="1:17" ht="18">
      <c r="A153" s="79" t="s">
        <v>301</v>
      </c>
      <c r="B153" s="79" t="s">
        <v>338</v>
      </c>
      <c r="C153" s="80" t="s">
        <v>339</v>
      </c>
      <c r="D153" s="81">
        <v>1.9689999999999998E-3</v>
      </c>
      <c r="E153" s="82">
        <v>7793</v>
      </c>
      <c r="F153" s="5"/>
      <c r="G153" s="71">
        <v>7.6449999999999999E-3</v>
      </c>
      <c r="H153" s="83">
        <v>171464</v>
      </c>
      <c r="I153" s="7"/>
      <c r="J153" s="84">
        <v>179257</v>
      </c>
      <c r="K153" s="105">
        <v>8.2000000000000007E-3</v>
      </c>
      <c r="L153" s="85">
        <v>1470</v>
      </c>
      <c r="M153" s="257">
        <f t="shared" si="7"/>
        <v>177787</v>
      </c>
      <c r="N153" s="88">
        <v>26889</v>
      </c>
      <c r="O153" s="87">
        <v>173701</v>
      </c>
      <c r="P153" s="281">
        <f t="shared" si="6"/>
        <v>5556</v>
      </c>
      <c r="Q153" s="269">
        <f t="shared" si="8"/>
        <v>3.1985998929194417E-2</v>
      </c>
    </row>
    <row r="154" spans="1:17" ht="18">
      <c r="A154" s="79" t="s">
        <v>301</v>
      </c>
      <c r="B154" s="79" t="s">
        <v>340</v>
      </c>
      <c r="C154" s="80" t="s">
        <v>341</v>
      </c>
      <c r="D154" s="81">
        <v>3.2299999999999999E-4</v>
      </c>
      <c r="E154" s="82">
        <v>1278</v>
      </c>
      <c r="F154" s="5"/>
      <c r="G154" s="71">
        <v>6.7100000000000005E-4</v>
      </c>
      <c r="H154" s="83">
        <v>15049</v>
      </c>
      <c r="I154" s="7"/>
      <c r="J154" s="84">
        <v>16327</v>
      </c>
      <c r="K154" s="105">
        <v>8.2000000000000007E-3</v>
      </c>
      <c r="L154" s="85">
        <v>134</v>
      </c>
      <c r="M154" s="257">
        <f t="shared" si="7"/>
        <v>16193</v>
      </c>
      <c r="N154" s="88">
        <v>2449</v>
      </c>
      <c r="O154" s="87">
        <v>16504</v>
      </c>
      <c r="P154" s="281">
        <f t="shared" si="6"/>
        <v>-177</v>
      </c>
      <c r="Q154" s="269">
        <f t="shared" si="8"/>
        <v>-1.0724672806592341E-2</v>
      </c>
    </row>
    <row r="155" spans="1:17" ht="18">
      <c r="A155" s="79" t="s">
        <v>301</v>
      </c>
      <c r="B155" s="79" t="s">
        <v>342</v>
      </c>
      <c r="C155" s="80" t="s">
        <v>343</v>
      </c>
      <c r="D155" s="81">
        <v>3.5379999999999999E-3</v>
      </c>
      <c r="E155" s="82">
        <v>14003</v>
      </c>
      <c r="F155" s="5"/>
      <c r="G155" s="71">
        <v>2.4020000000000001E-3</v>
      </c>
      <c r="H155" s="83">
        <v>53873</v>
      </c>
      <c r="I155" s="7"/>
      <c r="J155" s="84">
        <v>67876</v>
      </c>
      <c r="K155" s="105">
        <v>8.2000000000000007E-3</v>
      </c>
      <c r="L155" s="85">
        <v>557</v>
      </c>
      <c r="M155" s="257">
        <f t="shared" si="7"/>
        <v>67319</v>
      </c>
      <c r="N155" s="88">
        <v>10181</v>
      </c>
      <c r="O155" s="87">
        <v>66611</v>
      </c>
      <c r="P155" s="281">
        <f t="shared" si="6"/>
        <v>1265</v>
      </c>
      <c r="Q155" s="269">
        <f t="shared" si="8"/>
        <v>1.8990857365900529E-2</v>
      </c>
    </row>
    <row r="156" spans="1:17" ht="18.75" thickBot="1">
      <c r="A156" s="90" t="s">
        <v>301</v>
      </c>
      <c r="B156" s="90" t="s">
        <v>344</v>
      </c>
      <c r="C156" s="91" t="s">
        <v>345</v>
      </c>
      <c r="D156" s="92">
        <v>1.2130000000000001E-3</v>
      </c>
      <c r="E156" s="93">
        <v>4801</v>
      </c>
      <c r="F156" s="94"/>
      <c r="G156" s="95">
        <v>1.557E-3</v>
      </c>
      <c r="H156" s="96">
        <v>34921</v>
      </c>
      <c r="I156" s="7"/>
      <c r="J156" s="97">
        <v>39722</v>
      </c>
      <c r="K156" s="109">
        <v>8.2000000000000007E-3</v>
      </c>
      <c r="L156" s="99">
        <v>326</v>
      </c>
      <c r="M156" s="258">
        <f t="shared" si="7"/>
        <v>39396</v>
      </c>
      <c r="N156" s="102">
        <v>5958</v>
      </c>
      <c r="O156" s="101">
        <v>41405</v>
      </c>
      <c r="P156" s="282">
        <f t="shared" si="6"/>
        <v>-1683</v>
      </c>
      <c r="Q156" s="269">
        <f t="shared" si="8"/>
        <v>-4.0647264823089002E-2</v>
      </c>
    </row>
    <row r="157" spans="1:17" ht="18">
      <c r="A157" s="79" t="s">
        <v>346</v>
      </c>
      <c r="B157" s="79" t="s">
        <v>347</v>
      </c>
      <c r="C157" s="80" t="s">
        <v>348</v>
      </c>
      <c r="D157" s="81">
        <v>4.1199999999999999E-4</v>
      </c>
      <c r="E157" s="82">
        <v>1631</v>
      </c>
      <c r="F157" s="5"/>
      <c r="G157" s="103">
        <v>1.139E-3</v>
      </c>
      <c r="H157" s="72">
        <v>25546</v>
      </c>
      <c r="I157" s="7"/>
      <c r="J157" s="73">
        <v>27177</v>
      </c>
      <c r="K157" s="104">
        <v>1.1299999999999999E-2</v>
      </c>
      <c r="L157" s="75">
        <v>307</v>
      </c>
      <c r="M157" s="256">
        <f t="shared" si="7"/>
        <v>26870</v>
      </c>
      <c r="N157" s="77">
        <v>4077</v>
      </c>
      <c r="O157" s="76">
        <v>29171</v>
      </c>
      <c r="P157" s="280">
        <f t="shared" si="6"/>
        <v>-1994</v>
      </c>
      <c r="Q157" s="269">
        <f t="shared" si="8"/>
        <v>-6.8355558602721883E-2</v>
      </c>
    </row>
    <row r="158" spans="1:17" ht="18">
      <c r="A158" s="79" t="s">
        <v>346</v>
      </c>
      <c r="B158" s="79" t="s">
        <v>349</v>
      </c>
      <c r="C158" s="80" t="s">
        <v>350</v>
      </c>
      <c r="D158" s="81">
        <v>2.2030000000000001E-3</v>
      </c>
      <c r="E158" s="82">
        <v>8719</v>
      </c>
      <c r="F158" s="5"/>
      <c r="G158" s="71">
        <v>2.686E-3</v>
      </c>
      <c r="H158" s="83">
        <v>60242</v>
      </c>
      <c r="I158" s="7"/>
      <c r="J158" s="84">
        <v>68961</v>
      </c>
      <c r="K158" s="105">
        <v>1.1299999999999999E-2</v>
      </c>
      <c r="L158" s="85">
        <v>779</v>
      </c>
      <c r="M158" s="257">
        <f t="shared" si="7"/>
        <v>68182</v>
      </c>
      <c r="N158" s="88">
        <v>10344</v>
      </c>
      <c r="O158" s="87">
        <v>72051</v>
      </c>
      <c r="P158" s="281">
        <f t="shared" si="6"/>
        <v>-3090</v>
      </c>
      <c r="Q158" s="269">
        <f t="shared" si="8"/>
        <v>-4.2886288878710911E-2</v>
      </c>
    </row>
    <row r="159" spans="1:17" ht="18">
      <c r="A159" s="79" t="s">
        <v>346</v>
      </c>
      <c r="B159" s="79" t="s">
        <v>351</v>
      </c>
      <c r="C159" s="80" t="s">
        <v>352</v>
      </c>
      <c r="D159" s="81">
        <v>9.8999999999999999E-4</v>
      </c>
      <c r="E159" s="82">
        <v>3918</v>
      </c>
      <c r="F159" s="5"/>
      <c r="G159" s="71">
        <v>1.1509999999999999E-3</v>
      </c>
      <c r="H159" s="83">
        <v>25815</v>
      </c>
      <c r="I159" s="7"/>
      <c r="J159" s="84">
        <v>29733</v>
      </c>
      <c r="K159" s="105">
        <v>1.1299999999999999E-2</v>
      </c>
      <c r="L159" s="85">
        <v>336</v>
      </c>
      <c r="M159" s="257">
        <f t="shared" si="7"/>
        <v>29397</v>
      </c>
      <c r="N159" s="88">
        <v>4460</v>
      </c>
      <c r="O159" s="87">
        <v>31435</v>
      </c>
      <c r="P159" s="281">
        <f t="shared" si="6"/>
        <v>-1702</v>
      </c>
      <c r="Q159" s="269">
        <f t="shared" si="8"/>
        <v>-5.4143470653729917E-2</v>
      </c>
    </row>
    <row r="160" spans="1:17" ht="18">
      <c r="A160" s="79" t="s">
        <v>346</v>
      </c>
      <c r="B160" s="79" t="s">
        <v>353</v>
      </c>
      <c r="C160" s="80" t="s">
        <v>354</v>
      </c>
      <c r="D160" s="81">
        <v>1.7910000000000001E-3</v>
      </c>
      <c r="E160" s="82">
        <v>7089</v>
      </c>
      <c r="F160" s="5"/>
      <c r="G160" s="71">
        <v>3.4030000000000002E-3</v>
      </c>
      <c r="H160" s="83">
        <v>76324</v>
      </c>
      <c r="I160" s="7"/>
      <c r="J160" s="84">
        <v>83413</v>
      </c>
      <c r="K160" s="105">
        <v>1.1299999999999999E-2</v>
      </c>
      <c r="L160" s="85">
        <v>943</v>
      </c>
      <c r="M160" s="257">
        <f t="shared" si="7"/>
        <v>82470</v>
      </c>
      <c r="N160" s="88">
        <v>12512</v>
      </c>
      <c r="O160" s="87">
        <v>85772</v>
      </c>
      <c r="P160" s="281">
        <f t="shared" si="6"/>
        <v>-2359</v>
      </c>
      <c r="Q160" s="269">
        <f t="shared" si="8"/>
        <v>-2.7503147880427178E-2</v>
      </c>
    </row>
    <row r="161" spans="1:17" ht="18">
      <c r="A161" s="79" t="s">
        <v>346</v>
      </c>
      <c r="B161" s="79" t="s">
        <v>355</v>
      </c>
      <c r="C161" s="80" t="s">
        <v>356</v>
      </c>
      <c r="D161" s="81">
        <v>4.0027E-2</v>
      </c>
      <c r="E161" s="82">
        <v>158427</v>
      </c>
      <c r="F161" s="5"/>
      <c r="G161" s="71">
        <v>3.7560999999999997E-2</v>
      </c>
      <c r="H161" s="83">
        <v>842430</v>
      </c>
      <c r="I161" s="7"/>
      <c r="J161" s="84">
        <v>1000857</v>
      </c>
      <c r="K161" s="105">
        <v>1.1299999999999999E-2</v>
      </c>
      <c r="L161" s="85">
        <v>11310</v>
      </c>
      <c r="M161" s="257">
        <f t="shared" si="7"/>
        <v>989547</v>
      </c>
      <c r="N161" s="88">
        <v>150129</v>
      </c>
      <c r="O161" s="87">
        <v>1014192</v>
      </c>
      <c r="P161" s="281">
        <f t="shared" si="6"/>
        <v>-13335</v>
      </c>
      <c r="Q161" s="269">
        <f t="shared" si="8"/>
        <v>-1.3148397936485399E-2</v>
      </c>
    </row>
    <row r="162" spans="1:17" ht="18">
      <c r="A162" s="79" t="s">
        <v>346</v>
      </c>
      <c r="B162" s="79" t="s">
        <v>357</v>
      </c>
      <c r="C162" s="80" t="s">
        <v>358</v>
      </c>
      <c r="D162" s="81">
        <v>1.157E-3</v>
      </c>
      <c r="E162" s="82">
        <v>4579</v>
      </c>
      <c r="F162" s="5"/>
      <c r="G162" s="71">
        <v>2.627E-3</v>
      </c>
      <c r="H162" s="83">
        <v>58919</v>
      </c>
      <c r="I162" s="7"/>
      <c r="J162" s="84">
        <v>63498</v>
      </c>
      <c r="K162" s="105">
        <v>1.1299999999999999E-2</v>
      </c>
      <c r="L162" s="85">
        <v>718</v>
      </c>
      <c r="M162" s="257">
        <f t="shared" si="7"/>
        <v>62780</v>
      </c>
      <c r="N162" s="88">
        <v>9525</v>
      </c>
      <c r="O162" s="87">
        <v>63904</v>
      </c>
      <c r="P162" s="281">
        <f t="shared" si="6"/>
        <v>-406</v>
      </c>
      <c r="Q162" s="269">
        <f t="shared" si="8"/>
        <v>-6.3532799198798198E-3</v>
      </c>
    </row>
    <row r="163" spans="1:17" ht="18">
      <c r="A163" s="79" t="s">
        <v>346</v>
      </c>
      <c r="B163" s="79" t="s">
        <v>359</v>
      </c>
      <c r="C163" s="80" t="s">
        <v>360</v>
      </c>
      <c r="D163" s="81">
        <v>8.0099999999999995E-4</v>
      </c>
      <c r="E163" s="82">
        <v>3170</v>
      </c>
      <c r="F163" s="5"/>
      <c r="G163" s="71">
        <v>9.6599999999999995E-4</v>
      </c>
      <c r="H163" s="83">
        <v>21666</v>
      </c>
      <c r="I163" s="7"/>
      <c r="J163" s="84">
        <v>24836</v>
      </c>
      <c r="K163" s="105">
        <v>1.1299999999999999E-2</v>
      </c>
      <c r="L163" s="85">
        <v>281</v>
      </c>
      <c r="M163" s="257">
        <f t="shared" si="7"/>
        <v>24555</v>
      </c>
      <c r="N163" s="88">
        <v>3725</v>
      </c>
      <c r="O163" s="87">
        <v>25645</v>
      </c>
      <c r="P163" s="281">
        <f t="shared" si="6"/>
        <v>-809</v>
      </c>
      <c r="Q163" s="269">
        <f t="shared" si="8"/>
        <v>-3.1546110352895299E-2</v>
      </c>
    </row>
    <row r="164" spans="1:17" ht="18">
      <c r="A164" s="79" t="s">
        <v>346</v>
      </c>
      <c r="B164" s="79" t="s">
        <v>361</v>
      </c>
      <c r="C164" s="108" t="s">
        <v>362</v>
      </c>
      <c r="D164" s="81">
        <v>1.8580000000000001E-3</v>
      </c>
      <c r="E164" s="82">
        <v>7354</v>
      </c>
      <c r="F164" s="5"/>
      <c r="G164" s="71">
        <v>3.1319999999999998E-3</v>
      </c>
      <c r="H164" s="83">
        <v>70245</v>
      </c>
      <c r="I164" s="7"/>
      <c r="J164" s="84">
        <v>77599</v>
      </c>
      <c r="K164" s="105">
        <v>1.1299999999999999E-2</v>
      </c>
      <c r="L164" s="85">
        <v>877</v>
      </c>
      <c r="M164" s="257">
        <f t="shared" si="7"/>
        <v>76722</v>
      </c>
      <c r="N164" s="270">
        <v>11640</v>
      </c>
      <c r="O164" s="87">
        <v>74318</v>
      </c>
      <c r="P164" s="281">
        <f t="shared" si="6"/>
        <v>3281</v>
      </c>
      <c r="Q164" s="269">
        <f t="shared" si="8"/>
        <v>4.4148120240049514E-2</v>
      </c>
    </row>
    <row r="165" spans="1:17" ht="18">
      <c r="A165" s="79" t="s">
        <v>346</v>
      </c>
      <c r="B165" s="79" t="s">
        <v>363</v>
      </c>
      <c r="C165" s="80" t="s">
        <v>364</v>
      </c>
      <c r="D165" s="81">
        <v>7.4089999999999998E-3</v>
      </c>
      <c r="E165" s="82">
        <v>29325</v>
      </c>
      <c r="F165" s="5"/>
      <c r="G165" s="71">
        <v>8.8880000000000001E-3</v>
      </c>
      <c r="H165" s="83">
        <v>199343</v>
      </c>
      <c r="I165" s="7"/>
      <c r="J165" s="84">
        <v>228668</v>
      </c>
      <c r="K165" s="105">
        <v>1.1299999999999999E-2</v>
      </c>
      <c r="L165" s="85">
        <v>2584</v>
      </c>
      <c r="M165" s="257">
        <f t="shared" si="7"/>
        <v>226084</v>
      </c>
      <c r="N165" s="88">
        <v>34300</v>
      </c>
      <c r="O165" s="87">
        <v>223014</v>
      </c>
      <c r="P165" s="281">
        <f t="shared" si="6"/>
        <v>5654</v>
      </c>
      <c r="Q165" s="269">
        <f t="shared" si="8"/>
        <v>2.5352668442339944E-2</v>
      </c>
    </row>
    <row r="166" spans="1:17" ht="18">
      <c r="A166" s="79" t="s">
        <v>346</v>
      </c>
      <c r="B166" s="79" t="s">
        <v>365</v>
      </c>
      <c r="C166" s="80" t="s">
        <v>366</v>
      </c>
      <c r="D166" s="81">
        <v>7.6800000000000002E-4</v>
      </c>
      <c r="E166" s="82">
        <v>3040</v>
      </c>
      <c r="F166" s="5"/>
      <c r="G166" s="71">
        <v>1.072E-3</v>
      </c>
      <c r="H166" s="83">
        <v>24043</v>
      </c>
      <c r="I166" s="7"/>
      <c r="J166" s="84">
        <v>27083</v>
      </c>
      <c r="K166" s="105">
        <v>1.1299999999999999E-2</v>
      </c>
      <c r="L166" s="85">
        <v>306</v>
      </c>
      <c r="M166" s="257">
        <f t="shared" si="7"/>
        <v>26777</v>
      </c>
      <c r="N166" s="88">
        <v>4062</v>
      </c>
      <c r="O166" s="87">
        <v>27287</v>
      </c>
      <c r="P166" s="281">
        <f t="shared" si="6"/>
        <v>-204</v>
      </c>
      <c r="Q166" s="269">
        <f t="shared" si="8"/>
        <v>-7.4760875142009017E-3</v>
      </c>
    </row>
    <row r="167" spans="1:17" ht="18">
      <c r="A167" s="79" t="s">
        <v>346</v>
      </c>
      <c r="B167" s="79" t="s">
        <v>367</v>
      </c>
      <c r="C167" s="80" t="s">
        <v>368</v>
      </c>
      <c r="D167" s="81">
        <v>5.5599999999999996E-4</v>
      </c>
      <c r="E167" s="82">
        <v>2201</v>
      </c>
      <c r="F167" s="5"/>
      <c r="G167" s="71">
        <v>7.0600000000000003E-4</v>
      </c>
      <c r="H167" s="83">
        <v>15834</v>
      </c>
      <c r="I167" s="7"/>
      <c r="J167" s="84">
        <v>18035</v>
      </c>
      <c r="K167" s="105">
        <v>1.1299999999999999E-2</v>
      </c>
      <c r="L167" s="85">
        <v>204</v>
      </c>
      <c r="M167" s="257">
        <f t="shared" si="7"/>
        <v>17831</v>
      </c>
      <c r="N167" s="88">
        <v>2705</v>
      </c>
      <c r="O167" s="87">
        <v>18377</v>
      </c>
      <c r="P167" s="281">
        <f t="shared" si="6"/>
        <v>-342</v>
      </c>
      <c r="Q167" s="269">
        <f t="shared" si="8"/>
        <v>-1.8610219295858953E-2</v>
      </c>
    </row>
    <row r="168" spans="1:17" ht="18">
      <c r="A168" s="79" t="s">
        <v>346</v>
      </c>
      <c r="B168" s="79" t="s">
        <v>369</v>
      </c>
      <c r="C168" s="80" t="s">
        <v>370</v>
      </c>
      <c r="D168" s="81">
        <v>9.4600000000000001E-4</v>
      </c>
      <c r="E168" s="82">
        <v>3744</v>
      </c>
      <c r="F168" s="5"/>
      <c r="G168" s="71">
        <v>1.3129999999999999E-3</v>
      </c>
      <c r="H168" s="83">
        <v>29448</v>
      </c>
      <c r="I168" s="7"/>
      <c r="J168" s="84">
        <v>33192</v>
      </c>
      <c r="K168" s="105">
        <v>1.1299999999999999E-2</v>
      </c>
      <c r="L168" s="85">
        <v>375</v>
      </c>
      <c r="M168" s="257">
        <f t="shared" si="7"/>
        <v>32817</v>
      </c>
      <c r="N168" s="88">
        <v>4979</v>
      </c>
      <c r="O168" s="87">
        <v>34647</v>
      </c>
      <c r="P168" s="281">
        <f t="shared" si="6"/>
        <v>-1455</v>
      </c>
      <c r="Q168" s="269">
        <f t="shared" si="8"/>
        <v>-4.1994977920166252E-2</v>
      </c>
    </row>
    <row r="169" spans="1:17" ht="18">
      <c r="A169" s="79" t="s">
        <v>346</v>
      </c>
      <c r="B169" s="79" t="s">
        <v>371</v>
      </c>
      <c r="C169" s="108" t="s">
        <v>372</v>
      </c>
      <c r="D169" s="81">
        <v>2.0725E-2</v>
      </c>
      <c r="E169" s="82">
        <v>82029</v>
      </c>
      <c r="F169" s="5"/>
      <c r="G169" s="71">
        <v>2.5266E-2</v>
      </c>
      <c r="H169" s="83">
        <v>566674</v>
      </c>
      <c r="I169" s="7"/>
      <c r="J169" s="84">
        <v>648703</v>
      </c>
      <c r="K169" s="105">
        <v>1.1299999999999999E-2</v>
      </c>
      <c r="L169" s="85">
        <v>7330</v>
      </c>
      <c r="M169" s="257">
        <f t="shared" si="7"/>
        <v>641373</v>
      </c>
      <c r="N169" s="270">
        <v>97305</v>
      </c>
      <c r="O169" s="87">
        <v>652513</v>
      </c>
      <c r="P169" s="281">
        <f t="shared" si="6"/>
        <v>-3810</v>
      </c>
      <c r="Q169" s="269">
        <f t="shared" si="8"/>
        <v>-5.8389641279177583E-3</v>
      </c>
    </row>
    <row r="170" spans="1:17" ht="18">
      <c r="A170" s="79" t="s">
        <v>346</v>
      </c>
      <c r="B170" s="79" t="s">
        <v>373</v>
      </c>
      <c r="C170" s="80" t="s">
        <v>374</v>
      </c>
      <c r="D170" s="81">
        <v>9.8999999999999999E-4</v>
      </c>
      <c r="E170" s="82">
        <v>3918</v>
      </c>
      <c r="F170" s="5"/>
      <c r="G170" s="71">
        <v>1.191E-3</v>
      </c>
      <c r="H170" s="83">
        <v>26712</v>
      </c>
      <c r="I170" s="7"/>
      <c r="J170" s="84">
        <v>30630</v>
      </c>
      <c r="K170" s="105">
        <v>1.1299999999999999E-2</v>
      </c>
      <c r="L170" s="85">
        <v>346</v>
      </c>
      <c r="M170" s="257">
        <f t="shared" si="7"/>
        <v>30284</v>
      </c>
      <c r="N170" s="88">
        <v>4595</v>
      </c>
      <c r="O170" s="87">
        <v>32820</v>
      </c>
      <c r="P170" s="281">
        <f t="shared" si="6"/>
        <v>-2190</v>
      </c>
      <c r="Q170" s="269">
        <f t="shared" si="8"/>
        <v>-6.6727605118829983E-2</v>
      </c>
    </row>
    <row r="171" spans="1:17" ht="18">
      <c r="A171" s="79" t="s">
        <v>346</v>
      </c>
      <c r="B171" s="79" t="s">
        <v>375</v>
      </c>
      <c r="C171" s="80" t="s">
        <v>376</v>
      </c>
      <c r="D171" s="81">
        <v>1.379E-3</v>
      </c>
      <c r="E171" s="82">
        <v>5458</v>
      </c>
      <c r="F171" s="5"/>
      <c r="G171" s="71">
        <v>1.743E-3</v>
      </c>
      <c r="H171" s="83">
        <v>39093</v>
      </c>
      <c r="I171" s="7"/>
      <c r="J171" s="84">
        <v>44551</v>
      </c>
      <c r="K171" s="105">
        <v>1.1299999999999999E-2</v>
      </c>
      <c r="L171" s="85">
        <v>503</v>
      </c>
      <c r="M171" s="257">
        <f t="shared" si="7"/>
        <v>44048</v>
      </c>
      <c r="N171" s="88">
        <v>6683</v>
      </c>
      <c r="O171" s="87">
        <v>46922</v>
      </c>
      <c r="P171" s="281">
        <f t="shared" si="6"/>
        <v>-2371</v>
      </c>
      <c r="Q171" s="269">
        <f t="shared" si="8"/>
        <v>-5.0530667916968586E-2</v>
      </c>
    </row>
    <row r="172" spans="1:17" ht="18">
      <c r="A172" s="79" t="s">
        <v>346</v>
      </c>
      <c r="B172" s="79" t="s">
        <v>377</v>
      </c>
      <c r="C172" s="80" t="s">
        <v>378</v>
      </c>
      <c r="D172" s="81">
        <v>6.0740000000000004E-3</v>
      </c>
      <c r="E172" s="82">
        <v>24041</v>
      </c>
      <c r="F172" s="5"/>
      <c r="G172" s="71">
        <v>1.4104999999999999E-2</v>
      </c>
      <c r="H172" s="83">
        <v>316351</v>
      </c>
      <c r="I172" s="7"/>
      <c r="J172" s="84">
        <v>340392</v>
      </c>
      <c r="K172" s="105">
        <v>1.1299999999999999E-2</v>
      </c>
      <c r="L172" s="85">
        <v>3846</v>
      </c>
      <c r="M172" s="257">
        <f t="shared" si="7"/>
        <v>336546</v>
      </c>
      <c r="N172" s="88">
        <v>51059</v>
      </c>
      <c r="O172" s="87">
        <v>345854</v>
      </c>
      <c r="P172" s="281">
        <f t="shared" si="6"/>
        <v>-5462</v>
      </c>
      <c r="Q172" s="269">
        <f t="shared" si="8"/>
        <v>-1.5792791177780218E-2</v>
      </c>
    </row>
    <row r="173" spans="1:17" ht="18">
      <c r="A173" s="79" t="s">
        <v>346</v>
      </c>
      <c r="B173" s="79" t="s">
        <v>379</v>
      </c>
      <c r="C173" s="80" t="s">
        <v>380</v>
      </c>
      <c r="D173" s="81">
        <v>6.5600000000000001E-4</v>
      </c>
      <c r="E173" s="82">
        <v>2596</v>
      </c>
      <c r="F173" s="5"/>
      <c r="G173" s="71">
        <v>1.3259999999999999E-3</v>
      </c>
      <c r="H173" s="83">
        <v>29740</v>
      </c>
      <c r="I173" s="7"/>
      <c r="J173" s="84">
        <v>32336</v>
      </c>
      <c r="K173" s="105">
        <v>1.1299999999999999E-2</v>
      </c>
      <c r="L173" s="85">
        <v>365</v>
      </c>
      <c r="M173" s="257">
        <f t="shared" si="7"/>
        <v>31971</v>
      </c>
      <c r="N173" s="88">
        <v>4850</v>
      </c>
      <c r="O173" s="87">
        <v>31883</v>
      </c>
      <c r="P173" s="281">
        <f t="shared" si="6"/>
        <v>453</v>
      </c>
      <c r="Q173" s="269">
        <f t="shared" si="8"/>
        <v>1.420819872659411E-2</v>
      </c>
    </row>
    <row r="174" spans="1:17" ht="18">
      <c r="A174" s="79" t="s">
        <v>346</v>
      </c>
      <c r="B174" s="79" t="s">
        <v>381</v>
      </c>
      <c r="C174" s="80" t="s">
        <v>382</v>
      </c>
      <c r="D174" s="81">
        <v>7.5600000000000005E-4</v>
      </c>
      <c r="E174" s="82">
        <v>2992</v>
      </c>
      <c r="F174" s="5"/>
      <c r="G174" s="71">
        <v>8.3100000000000003E-4</v>
      </c>
      <c r="H174" s="83">
        <v>18638</v>
      </c>
      <c r="I174" s="7"/>
      <c r="J174" s="84">
        <v>21630</v>
      </c>
      <c r="K174" s="105">
        <v>1.1299999999999999E-2</v>
      </c>
      <c r="L174" s="85">
        <v>244</v>
      </c>
      <c r="M174" s="257">
        <f t="shared" si="7"/>
        <v>21386</v>
      </c>
      <c r="N174" s="88">
        <v>3245</v>
      </c>
      <c r="O174" s="87">
        <v>21641</v>
      </c>
      <c r="P174" s="281">
        <f t="shared" si="6"/>
        <v>-11</v>
      </c>
      <c r="Q174" s="269">
        <f t="shared" si="8"/>
        <v>-5.082944411071577E-4</v>
      </c>
    </row>
    <row r="175" spans="1:17" ht="18">
      <c r="A175" s="79" t="s">
        <v>346</v>
      </c>
      <c r="B175" s="79" t="s">
        <v>383</v>
      </c>
      <c r="C175" s="80" t="s">
        <v>384</v>
      </c>
      <c r="D175" s="81">
        <v>3.0820000000000001E-3</v>
      </c>
      <c r="E175" s="82">
        <v>12199</v>
      </c>
      <c r="F175" s="5"/>
      <c r="G175" s="71">
        <v>3.8300000000000001E-3</v>
      </c>
      <c r="H175" s="83">
        <v>85900</v>
      </c>
      <c r="I175" s="7"/>
      <c r="J175" s="84">
        <v>98099</v>
      </c>
      <c r="K175" s="105">
        <v>1.1299999999999999E-2</v>
      </c>
      <c r="L175" s="85">
        <v>1109</v>
      </c>
      <c r="M175" s="257">
        <f t="shared" si="7"/>
        <v>96990</v>
      </c>
      <c r="N175" s="88">
        <v>14715</v>
      </c>
      <c r="O175" s="87">
        <v>98324</v>
      </c>
      <c r="P175" s="281">
        <f t="shared" si="6"/>
        <v>-225</v>
      </c>
      <c r="Q175" s="269">
        <f t="shared" si="8"/>
        <v>-2.2883527928074529E-3</v>
      </c>
    </row>
    <row r="176" spans="1:17" ht="18">
      <c r="A176" s="79" t="s">
        <v>346</v>
      </c>
      <c r="B176" s="79" t="s">
        <v>385</v>
      </c>
      <c r="C176" s="80" t="s">
        <v>386</v>
      </c>
      <c r="D176" s="81">
        <v>1.124E-3</v>
      </c>
      <c r="E176" s="82">
        <v>4449</v>
      </c>
      <c r="F176" s="5"/>
      <c r="G176" s="71">
        <v>1.108E-3</v>
      </c>
      <c r="H176" s="83">
        <v>24851</v>
      </c>
      <c r="I176" s="7"/>
      <c r="J176" s="84">
        <v>29300</v>
      </c>
      <c r="K176" s="105">
        <v>1.1299999999999999E-2</v>
      </c>
      <c r="L176" s="85">
        <v>331</v>
      </c>
      <c r="M176" s="257">
        <f t="shared" si="7"/>
        <v>28969</v>
      </c>
      <c r="N176" s="88">
        <v>4395</v>
      </c>
      <c r="O176" s="87">
        <v>29572</v>
      </c>
      <c r="P176" s="281">
        <f t="shared" si="6"/>
        <v>-272</v>
      </c>
      <c r="Q176" s="269">
        <f t="shared" si="8"/>
        <v>-9.197889895847423E-3</v>
      </c>
    </row>
    <row r="177" spans="1:17" ht="18">
      <c r="A177" s="79" t="s">
        <v>346</v>
      </c>
      <c r="B177" s="79" t="s">
        <v>387</v>
      </c>
      <c r="C177" s="80" t="s">
        <v>388</v>
      </c>
      <c r="D177" s="81">
        <v>1.9580000000000001E-3</v>
      </c>
      <c r="E177" s="82">
        <v>7750</v>
      </c>
      <c r="F177" s="5"/>
      <c r="G177" s="71">
        <v>2.4840000000000001E-3</v>
      </c>
      <c r="H177" s="83">
        <v>55712</v>
      </c>
      <c r="I177" s="7"/>
      <c r="J177" s="84">
        <v>63462</v>
      </c>
      <c r="K177" s="105">
        <v>1.1299999999999999E-2</v>
      </c>
      <c r="L177" s="85">
        <v>717</v>
      </c>
      <c r="M177" s="257">
        <f t="shared" si="7"/>
        <v>62745</v>
      </c>
      <c r="N177" s="88">
        <v>9519</v>
      </c>
      <c r="O177" s="87">
        <v>65864</v>
      </c>
      <c r="P177" s="281">
        <f t="shared" si="6"/>
        <v>-2402</v>
      </c>
      <c r="Q177" s="269">
        <f t="shared" si="8"/>
        <v>-3.6469087817320542E-2</v>
      </c>
    </row>
    <row r="178" spans="1:17" ht="18">
      <c r="A178" s="79" t="s">
        <v>346</v>
      </c>
      <c r="B178" s="79" t="s">
        <v>389</v>
      </c>
      <c r="C178" s="80" t="s">
        <v>390</v>
      </c>
      <c r="D178" s="81">
        <v>1.624E-3</v>
      </c>
      <c r="E178" s="82">
        <v>6428</v>
      </c>
      <c r="F178" s="5"/>
      <c r="G178" s="71">
        <v>2.1580000000000002E-3</v>
      </c>
      <c r="H178" s="83">
        <v>48400</v>
      </c>
      <c r="I178" s="7"/>
      <c r="J178" s="84">
        <v>54828</v>
      </c>
      <c r="K178" s="105">
        <v>1.1299999999999999E-2</v>
      </c>
      <c r="L178" s="85">
        <v>620</v>
      </c>
      <c r="M178" s="257">
        <f t="shared" si="7"/>
        <v>54208</v>
      </c>
      <c r="N178" s="88">
        <v>8224</v>
      </c>
      <c r="O178" s="87">
        <v>53999</v>
      </c>
      <c r="P178" s="281">
        <f t="shared" si="6"/>
        <v>829</v>
      </c>
      <c r="Q178" s="269">
        <f t="shared" si="8"/>
        <v>1.5352136150669457E-2</v>
      </c>
    </row>
    <row r="179" spans="1:17" ht="18">
      <c r="A179" s="79" t="s">
        <v>346</v>
      </c>
      <c r="B179" s="79" t="s">
        <v>391</v>
      </c>
      <c r="C179" s="80" t="s">
        <v>392</v>
      </c>
      <c r="D179" s="81">
        <v>1.0679999999999999E-3</v>
      </c>
      <c r="E179" s="82">
        <v>4227</v>
      </c>
      <c r="F179" s="5"/>
      <c r="G179" s="71">
        <v>2.14E-3</v>
      </c>
      <c r="H179" s="83">
        <v>47997</v>
      </c>
      <c r="I179" s="7"/>
      <c r="J179" s="84">
        <v>52224</v>
      </c>
      <c r="K179" s="105">
        <v>1.1299999999999999E-2</v>
      </c>
      <c r="L179" s="85">
        <v>590</v>
      </c>
      <c r="M179" s="257">
        <f t="shared" si="7"/>
        <v>51634</v>
      </c>
      <c r="N179" s="88">
        <v>7834</v>
      </c>
      <c r="O179" s="87">
        <v>53393</v>
      </c>
      <c r="P179" s="281">
        <f t="shared" si="6"/>
        <v>-1169</v>
      </c>
      <c r="Q179" s="269">
        <f t="shared" si="8"/>
        <v>-2.189425580132227E-2</v>
      </c>
    </row>
    <row r="180" spans="1:17" ht="18">
      <c r="A180" s="79" t="s">
        <v>346</v>
      </c>
      <c r="B180" s="79" t="s">
        <v>393</v>
      </c>
      <c r="C180" s="80" t="s">
        <v>394</v>
      </c>
      <c r="D180" s="81">
        <v>8.6799999999999996E-4</v>
      </c>
      <c r="E180" s="82">
        <v>3436</v>
      </c>
      <c r="F180" s="5"/>
      <c r="G180" s="71">
        <v>1.4790000000000001E-3</v>
      </c>
      <c r="H180" s="83">
        <v>33171</v>
      </c>
      <c r="I180" s="7"/>
      <c r="J180" s="84">
        <v>36607</v>
      </c>
      <c r="K180" s="105">
        <v>1.1299999999999999E-2</v>
      </c>
      <c r="L180" s="85">
        <v>414</v>
      </c>
      <c r="M180" s="257">
        <f t="shared" si="7"/>
        <v>36193</v>
      </c>
      <c r="N180" s="88">
        <v>5491</v>
      </c>
      <c r="O180" s="87">
        <v>38331</v>
      </c>
      <c r="P180" s="281">
        <f t="shared" si="6"/>
        <v>-1724</v>
      </c>
      <c r="Q180" s="269">
        <f t="shared" si="8"/>
        <v>-4.4976650752654508E-2</v>
      </c>
    </row>
    <row r="181" spans="1:17" ht="18">
      <c r="A181" s="79" t="s">
        <v>346</v>
      </c>
      <c r="B181" s="79" t="s">
        <v>395</v>
      </c>
      <c r="C181" s="80" t="s">
        <v>396</v>
      </c>
      <c r="D181" s="81">
        <v>3.8900000000000002E-4</v>
      </c>
      <c r="E181" s="82">
        <v>1540</v>
      </c>
      <c r="F181" s="5"/>
      <c r="G181" s="71">
        <v>4.55E-4</v>
      </c>
      <c r="H181" s="83">
        <v>10205</v>
      </c>
      <c r="I181" s="7"/>
      <c r="J181" s="84">
        <v>11745</v>
      </c>
      <c r="K181" s="105">
        <v>1.1299999999999999E-2</v>
      </c>
      <c r="L181" s="85">
        <v>133</v>
      </c>
      <c r="M181" s="257">
        <f t="shared" si="7"/>
        <v>11612</v>
      </c>
      <c r="N181" s="88">
        <v>1762</v>
      </c>
      <c r="O181" s="87">
        <v>12284</v>
      </c>
      <c r="P181" s="281">
        <f t="shared" si="6"/>
        <v>-539</v>
      </c>
      <c r="Q181" s="269">
        <f t="shared" si="8"/>
        <v>-4.3878215564962554E-2</v>
      </c>
    </row>
    <row r="182" spans="1:17" ht="18">
      <c r="A182" s="79" t="s">
        <v>346</v>
      </c>
      <c r="B182" s="79" t="s">
        <v>397</v>
      </c>
      <c r="C182" s="80" t="s">
        <v>398</v>
      </c>
      <c r="D182" s="81">
        <v>5.7799999999999995E-4</v>
      </c>
      <c r="E182" s="82">
        <v>2288</v>
      </c>
      <c r="F182" s="5"/>
      <c r="G182" s="71">
        <v>2.4889999999999999E-3</v>
      </c>
      <c r="H182" s="83">
        <v>55824</v>
      </c>
      <c r="I182" s="7"/>
      <c r="J182" s="84">
        <v>58112</v>
      </c>
      <c r="K182" s="105">
        <v>1.1299999999999999E-2</v>
      </c>
      <c r="L182" s="85">
        <v>657</v>
      </c>
      <c r="M182" s="257">
        <f t="shared" si="7"/>
        <v>57455</v>
      </c>
      <c r="N182" s="88">
        <v>8717</v>
      </c>
      <c r="O182" s="87">
        <v>58090</v>
      </c>
      <c r="P182" s="281">
        <f t="shared" si="6"/>
        <v>22</v>
      </c>
      <c r="Q182" s="269">
        <f t="shared" si="8"/>
        <v>3.7872267171630227E-4</v>
      </c>
    </row>
    <row r="183" spans="1:17" ht="18">
      <c r="A183" s="79" t="s">
        <v>346</v>
      </c>
      <c r="B183" s="79" t="s">
        <v>399</v>
      </c>
      <c r="C183" s="80" t="s">
        <v>400</v>
      </c>
      <c r="D183" s="81">
        <v>5.1199999999999998E-4</v>
      </c>
      <c r="E183" s="82">
        <v>2026</v>
      </c>
      <c r="F183" s="5"/>
      <c r="G183" s="71">
        <v>8.1099999999999998E-4</v>
      </c>
      <c r="H183" s="83">
        <v>18189</v>
      </c>
      <c r="I183" s="7"/>
      <c r="J183" s="84">
        <v>20215</v>
      </c>
      <c r="K183" s="105">
        <v>1.1299999999999999E-2</v>
      </c>
      <c r="L183" s="85">
        <v>228</v>
      </c>
      <c r="M183" s="257">
        <f t="shared" si="7"/>
        <v>19987</v>
      </c>
      <c r="N183" s="88">
        <v>3032</v>
      </c>
      <c r="O183" s="87">
        <v>21791</v>
      </c>
      <c r="P183" s="281">
        <f t="shared" si="6"/>
        <v>-1576</v>
      </c>
      <c r="Q183" s="269">
        <f t="shared" si="8"/>
        <v>-7.2323436281033451E-2</v>
      </c>
    </row>
    <row r="184" spans="1:17" ht="18">
      <c r="A184" s="79" t="s">
        <v>346</v>
      </c>
      <c r="B184" s="79" t="s">
        <v>401</v>
      </c>
      <c r="C184" s="80" t="s">
        <v>402</v>
      </c>
      <c r="D184" s="81">
        <v>1.402E-3</v>
      </c>
      <c r="E184" s="82">
        <v>5549</v>
      </c>
      <c r="F184" s="5"/>
      <c r="G184" s="71">
        <v>1.668E-3</v>
      </c>
      <c r="H184" s="83">
        <v>37410</v>
      </c>
      <c r="I184" s="7"/>
      <c r="J184" s="84">
        <v>42959</v>
      </c>
      <c r="K184" s="105">
        <v>1.1299999999999999E-2</v>
      </c>
      <c r="L184" s="85">
        <v>485</v>
      </c>
      <c r="M184" s="257">
        <f t="shared" si="7"/>
        <v>42474</v>
      </c>
      <c r="N184" s="88">
        <v>6444</v>
      </c>
      <c r="O184" s="87">
        <v>42201</v>
      </c>
      <c r="P184" s="281">
        <f t="shared" si="6"/>
        <v>758</v>
      </c>
      <c r="Q184" s="269">
        <f t="shared" si="8"/>
        <v>1.7961659676310988E-2</v>
      </c>
    </row>
    <row r="185" spans="1:17" ht="18">
      <c r="A185" s="79" t="s">
        <v>346</v>
      </c>
      <c r="B185" s="79" t="s">
        <v>403</v>
      </c>
      <c r="C185" s="80" t="s">
        <v>404</v>
      </c>
      <c r="D185" s="81">
        <v>3.0040000000000002E-3</v>
      </c>
      <c r="E185" s="82">
        <v>11890</v>
      </c>
      <c r="F185" s="5"/>
      <c r="G185" s="71">
        <v>3.4610000000000001E-3</v>
      </c>
      <c r="H185" s="83">
        <v>77624</v>
      </c>
      <c r="I185" s="7"/>
      <c r="J185" s="84">
        <v>89514</v>
      </c>
      <c r="K185" s="105">
        <v>1.1299999999999999E-2</v>
      </c>
      <c r="L185" s="85">
        <v>1012</v>
      </c>
      <c r="M185" s="257">
        <f t="shared" si="7"/>
        <v>88502</v>
      </c>
      <c r="N185" s="88">
        <v>13427</v>
      </c>
      <c r="O185" s="87">
        <v>94233</v>
      </c>
      <c r="P185" s="281">
        <f t="shared" si="6"/>
        <v>-4719</v>
      </c>
      <c r="Q185" s="269">
        <f t="shared" si="8"/>
        <v>-5.0077998153513104E-2</v>
      </c>
    </row>
    <row r="186" spans="1:17" ht="18">
      <c r="A186" s="79" t="s">
        <v>346</v>
      </c>
      <c r="B186" s="79" t="s">
        <v>405</v>
      </c>
      <c r="C186" s="80" t="s">
        <v>406</v>
      </c>
      <c r="D186" s="81">
        <v>3.9830000000000004E-3</v>
      </c>
      <c r="E186" s="82">
        <v>15765</v>
      </c>
      <c r="F186" s="5"/>
      <c r="G186" s="71">
        <v>3.6380000000000002E-3</v>
      </c>
      <c r="H186" s="83">
        <v>81594</v>
      </c>
      <c r="I186" s="7"/>
      <c r="J186" s="84">
        <v>97359</v>
      </c>
      <c r="K186" s="105">
        <v>1.1299999999999999E-2</v>
      </c>
      <c r="L186" s="85">
        <v>1100</v>
      </c>
      <c r="M186" s="257">
        <f t="shared" si="7"/>
        <v>96259</v>
      </c>
      <c r="N186" s="88">
        <v>14604</v>
      </c>
      <c r="O186" s="87">
        <v>97430</v>
      </c>
      <c r="P186" s="281">
        <f t="shared" si="6"/>
        <v>-71</v>
      </c>
      <c r="Q186" s="269">
        <f t="shared" si="8"/>
        <v>-7.2872831776660165E-4</v>
      </c>
    </row>
    <row r="187" spans="1:17" ht="18">
      <c r="A187" s="79" t="s">
        <v>346</v>
      </c>
      <c r="B187" s="79" t="s">
        <v>407</v>
      </c>
      <c r="C187" s="80" t="s">
        <v>408</v>
      </c>
      <c r="D187" s="81">
        <v>1.0460000000000001E-3</v>
      </c>
      <c r="E187" s="82">
        <v>4140</v>
      </c>
      <c r="F187" s="5"/>
      <c r="G187" s="71">
        <v>1.65E-3</v>
      </c>
      <c r="H187" s="83">
        <v>37007</v>
      </c>
      <c r="I187" s="7"/>
      <c r="J187" s="84">
        <v>41147</v>
      </c>
      <c r="K187" s="105">
        <v>1.1299999999999999E-2</v>
      </c>
      <c r="L187" s="85">
        <v>465</v>
      </c>
      <c r="M187" s="257">
        <f t="shared" si="7"/>
        <v>40682</v>
      </c>
      <c r="N187" s="88">
        <v>6172</v>
      </c>
      <c r="O187" s="87">
        <v>40946</v>
      </c>
      <c r="P187" s="281">
        <f t="shared" si="6"/>
        <v>201</v>
      </c>
      <c r="Q187" s="269">
        <f t="shared" si="8"/>
        <v>4.9089044106872468E-3</v>
      </c>
    </row>
    <row r="188" spans="1:17" ht="18.75" thickBot="1">
      <c r="A188" s="90" t="s">
        <v>346</v>
      </c>
      <c r="B188" s="90" t="s">
        <v>409</v>
      </c>
      <c r="C188" s="91" t="s">
        <v>410</v>
      </c>
      <c r="D188" s="92">
        <v>1.658E-3</v>
      </c>
      <c r="E188" s="93">
        <v>6562</v>
      </c>
      <c r="F188" s="94"/>
      <c r="G188" s="95">
        <v>2.4320000000000001E-3</v>
      </c>
      <c r="H188" s="96">
        <v>54546</v>
      </c>
      <c r="I188" s="7"/>
      <c r="J188" s="97">
        <v>61108</v>
      </c>
      <c r="K188" s="109">
        <v>1.1299999999999999E-2</v>
      </c>
      <c r="L188" s="99">
        <v>691</v>
      </c>
      <c r="M188" s="258">
        <f t="shared" si="7"/>
        <v>60417</v>
      </c>
      <c r="N188" s="102">
        <v>9166</v>
      </c>
      <c r="O188" s="101">
        <v>61703</v>
      </c>
      <c r="P188" s="282">
        <f t="shared" si="6"/>
        <v>-595</v>
      </c>
      <c r="Q188" s="269">
        <f t="shared" si="8"/>
        <v>-9.6429671166717995E-3</v>
      </c>
    </row>
    <row r="189" spans="1:17" ht="18">
      <c r="A189" s="79" t="s">
        <v>411</v>
      </c>
      <c r="B189" s="79" t="s">
        <v>412</v>
      </c>
      <c r="C189" s="80" t="s">
        <v>413</v>
      </c>
      <c r="D189" s="81">
        <v>6.3400000000000001E-4</v>
      </c>
      <c r="E189" s="82">
        <v>2509</v>
      </c>
      <c r="F189" s="5"/>
      <c r="G189" s="103">
        <v>6.9099999999999999E-4</v>
      </c>
      <c r="H189" s="72">
        <v>15498</v>
      </c>
      <c r="I189" s="7"/>
      <c r="J189" s="73">
        <v>18007</v>
      </c>
      <c r="K189" s="104">
        <v>9.7999999999999997E-3</v>
      </c>
      <c r="L189" s="75">
        <v>176</v>
      </c>
      <c r="M189" s="256">
        <f t="shared" si="7"/>
        <v>17831</v>
      </c>
      <c r="N189" s="77">
        <v>2701</v>
      </c>
      <c r="O189" s="76">
        <v>18757</v>
      </c>
      <c r="P189" s="280">
        <f t="shared" si="6"/>
        <v>-750</v>
      </c>
      <c r="Q189" s="269">
        <f t="shared" si="8"/>
        <v>-3.9985072239697182E-2</v>
      </c>
    </row>
    <row r="190" spans="1:17" ht="18">
      <c r="A190" s="79" t="s">
        <v>411</v>
      </c>
      <c r="B190" s="79" t="s">
        <v>414</v>
      </c>
      <c r="C190" s="80" t="s">
        <v>415</v>
      </c>
      <c r="D190" s="81">
        <v>1.7129999999999999E-3</v>
      </c>
      <c r="E190" s="82">
        <v>6780</v>
      </c>
      <c r="F190" s="5"/>
      <c r="G190" s="71">
        <v>2.8149999999999998E-3</v>
      </c>
      <c r="H190" s="83">
        <v>63136</v>
      </c>
      <c r="I190" s="7"/>
      <c r="J190" s="84">
        <v>69916</v>
      </c>
      <c r="K190" s="105">
        <v>9.7999999999999997E-3</v>
      </c>
      <c r="L190" s="85">
        <v>685</v>
      </c>
      <c r="M190" s="257">
        <f t="shared" si="7"/>
        <v>69231</v>
      </c>
      <c r="N190" s="88">
        <v>10487</v>
      </c>
      <c r="O190" s="87">
        <v>71339</v>
      </c>
      <c r="P190" s="281">
        <f t="shared" si="6"/>
        <v>-1423</v>
      </c>
      <c r="Q190" s="269">
        <f t="shared" si="8"/>
        <v>-1.9947013554997967E-2</v>
      </c>
    </row>
    <row r="191" spans="1:17" ht="18">
      <c r="A191" s="79" t="s">
        <v>411</v>
      </c>
      <c r="B191" s="79" t="s">
        <v>416</v>
      </c>
      <c r="C191" s="80" t="s">
        <v>417</v>
      </c>
      <c r="D191" s="81">
        <v>6.0629999999999998E-3</v>
      </c>
      <c r="E191" s="82">
        <v>23997</v>
      </c>
      <c r="F191" s="5"/>
      <c r="G191" s="71">
        <v>8.7419999999999998E-3</v>
      </c>
      <c r="H191" s="83">
        <v>196068</v>
      </c>
      <c r="I191" s="7"/>
      <c r="J191" s="84">
        <v>220065</v>
      </c>
      <c r="K191" s="105">
        <v>9.7999999999999997E-3</v>
      </c>
      <c r="L191" s="85">
        <v>2157</v>
      </c>
      <c r="M191" s="257">
        <f t="shared" si="7"/>
        <v>217908</v>
      </c>
      <c r="N191" s="88">
        <v>33010</v>
      </c>
      <c r="O191" s="87">
        <v>226582</v>
      </c>
      <c r="P191" s="281">
        <f t="shared" si="6"/>
        <v>-6517</v>
      </c>
      <c r="Q191" s="269">
        <f t="shared" si="8"/>
        <v>-2.876221412115702E-2</v>
      </c>
    </row>
    <row r="192" spans="1:17" ht="18">
      <c r="A192" s="79" t="s">
        <v>411</v>
      </c>
      <c r="B192" s="79" t="s">
        <v>418</v>
      </c>
      <c r="C192" s="108" t="s">
        <v>419</v>
      </c>
      <c r="D192" s="81">
        <v>5.8849999999999996E-3</v>
      </c>
      <c r="E192" s="82">
        <v>23293</v>
      </c>
      <c r="F192" s="5"/>
      <c r="G192" s="71">
        <v>1.7680000000000001E-2</v>
      </c>
      <c r="H192" s="83">
        <v>396533</v>
      </c>
      <c r="I192" s="7"/>
      <c r="J192" s="84">
        <v>419826</v>
      </c>
      <c r="K192" s="105">
        <v>9.7999999999999997E-3</v>
      </c>
      <c r="L192" s="85">
        <v>4114</v>
      </c>
      <c r="M192" s="257">
        <f t="shared" si="7"/>
        <v>415712</v>
      </c>
      <c r="N192" s="270">
        <v>62974</v>
      </c>
      <c r="O192" s="87">
        <v>407829</v>
      </c>
      <c r="P192" s="281">
        <f t="shared" si="6"/>
        <v>11997</v>
      </c>
      <c r="Q192" s="269">
        <f t="shared" si="8"/>
        <v>2.9416740839910846E-2</v>
      </c>
    </row>
    <row r="193" spans="1:17" ht="18">
      <c r="A193" s="79" t="s">
        <v>411</v>
      </c>
      <c r="B193" s="79" t="s">
        <v>420</v>
      </c>
      <c r="C193" s="80" t="s">
        <v>421</v>
      </c>
      <c r="D193" s="81">
        <v>9.2299999999999999E-4</v>
      </c>
      <c r="E193" s="82">
        <v>3653</v>
      </c>
      <c r="F193" s="5"/>
      <c r="G193" s="71">
        <v>1.147E-3</v>
      </c>
      <c r="H193" s="83">
        <v>25725</v>
      </c>
      <c r="I193" s="7"/>
      <c r="J193" s="84">
        <v>29378</v>
      </c>
      <c r="K193" s="105">
        <v>9.7999999999999997E-3</v>
      </c>
      <c r="L193" s="85">
        <v>288</v>
      </c>
      <c r="M193" s="257">
        <f t="shared" si="7"/>
        <v>29090</v>
      </c>
      <c r="N193" s="88">
        <v>4407</v>
      </c>
      <c r="O193" s="87">
        <v>31395</v>
      </c>
      <c r="P193" s="281">
        <f t="shared" si="6"/>
        <v>-2017</v>
      </c>
      <c r="Q193" s="269">
        <f t="shared" si="8"/>
        <v>-6.4245899028507719E-2</v>
      </c>
    </row>
    <row r="194" spans="1:17" ht="18">
      <c r="A194" s="79" t="s">
        <v>411</v>
      </c>
      <c r="B194" s="79" t="s">
        <v>422</v>
      </c>
      <c r="C194" s="80" t="s">
        <v>423</v>
      </c>
      <c r="D194" s="81">
        <v>1.913E-3</v>
      </c>
      <c r="E194" s="82">
        <v>7572</v>
      </c>
      <c r="F194" s="5"/>
      <c r="G194" s="71">
        <v>3.0249999999999999E-3</v>
      </c>
      <c r="H194" s="83">
        <v>67846</v>
      </c>
      <c r="I194" s="7"/>
      <c r="J194" s="84">
        <v>75418</v>
      </c>
      <c r="K194" s="105">
        <v>9.7999999999999997E-3</v>
      </c>
      <c r="L194" s="85">
        <v>739</v>
      </c>
      <c r="M194" s="257">
        <f t="shared" si="7"/>
        <v>74679</v>
      </c>
      <c r="N194" s="88">
        <v>11313</v>
      </c>
      <c r="O194" s="87">
        <v>75664</v>
      </c>
      <c r="P194" s="281">
        <f t="shared" si="6"/>
        <v>-246</v>
      </c>
      <c r="Q194" s="269">
        <f t="shared" si="8"/>
        <v>-3.2512159018820048E-3</v>
      </c>
    </row>
    <row r="195" spans="1:17" ht="18">
      <c r="A195" s="79" t="s">
        <v>411</v>
      </c>
      <c r="B195" s="79" t="s">
        <v>424</v>
      </c>
      <c r="C195" s="80" t="s">
        <v>425</v>
      </c>
      <c r="D195" s="81">
        <v>6.2299999999999996E-4</v>
      </c>
      <c r="E195" s="82">
        <v>2466</v>
      </c>
      <c r="F195" s="5"/>
      <c r="G195" s="71">
        <v>7.9600000000000005E-4</v>
      </c>
      <c r="H195" s="83">
        <v>17853</v>
      </c>
      <c r="I195" s="7"/>
      <c r="J195" s="84">
        <v>20319</v>
      </c>
      <c r="K195" s="105">
        <v>9.7999999999999997E-3</v>
      </c>
      <c r="L195" s="85">
        <v>199</v>
      </c>
      <c r="M195" s="257">
        <f t="shared" si="7"/>
        <v>20120</v>
      </c>
      <c r="N195" s="88">
        <v>3048</v>
      </c>
      <c r="O195" s="87">
        <v>18855</v>
      </c>
      <c r="P195" s="281">
        <f t="shared" si="6"/>
        <v>1464</v>
      </c>
      <c r="Q195" s="269">
        <f t="shared" si="8"/>
        <v>7.7645186953062842E-2</v>
      </c>
    </row>
    <row r="196" spans="1:17" ht="18">
      <c r="A196" s="79" t="s">
        <v>411</v>
      </c>
      <c r="B196" s="79" t="s">
        <v>426</v>
      </c>
      <c r="C196" s="80" t="s">
        <v>427</v>
      </c>
      <c r="D196" s="81">
        <v>1.6459999999999999E-3</v>
      </c>
      <c r="E196" s="82">
        <v>6515</v>
      </c>
      <c r="F196" s="5"/>
      <c r="G196" s="71">
        <v>2.6679999999999998E-3</v>
      </c>
      <c r="H196" s="83">
        <v>59839</v>
      </c>
      <c r="I196" s="7"/>
      <c r="J196" s="84">
        <v>66354</v>
      </c>
      <c r="K196" s="105">
        <v>9.7999999999999997E-3</v>
      </c>
      <c r="L196" s="85">
        <v>650</v>
      </c>
      <c r="M196" s="257">
        <f t="shared" si="7"/>
        <v>65704</v>
      </c>
      <c r="N196" s="88">
        <v>9953</v>
      </c>
      <c r="O196" s="87">
        <v>63080</v>
      </c>
      <c r="P196" s="281">
        <f t="shared" si="6"/>
        <v>3274</v>
      </c>
      <c r="Q196" s="269">
        <f t="shared" si="8"/>
        <v>5.190234622701332E-2</v>
      </c>
    </row>
    <row r="197" spans="1:17" ht="18">
      <c r="A197" s="79" t="s">
        <v>411</v>
      </c>
      <c r="B197" s="79" t="s">
        <v>428</v>
      </c>
      <c r="C197" s="80" t="s">
        <v>429</v>
      </c>
      <c r="D197" s="81">
        <v>4.3270000000000001E-3</v>
      </c>
      <c r="E197" s="82">
        <v>17126</v>
      </c>
      <c r="F197" s="5"/>
      <c r="G197" s="71">
        <v>4.6439999999999997E-3</v>
      </c>
      <c r="H197" s="83">
        <v>104157</v>
      </c>
      <c r="I197" s="7"/>
      <c r="J197" s="84">
        <v>121283</v>
      </c>
      <c r="K197" s="105">
        <v>9.7999999999999997E-3</v>
      </c>
      <c r="L197" s="85">
        <v>1189</v>
      </c>
      <c r="M197" s="257">
        <f t="shared" si="7"/>
        <v>120094</v>
      </c>
      <c r="N197" s="88">
        <v>18192</v>
      </c>
      <c r="O197" s="87">
        <v>121604</v>
      </c>
      <c r="P197" s="281">
        <f t="shared" si="6"/>
        <v>-321</v>
      </c>
      <c r="Q197" s="269">
        <f t="shared" si="8"/>
        <v>-2.639715798822407E-3</v>
      </c>
    </row>
    <row r="198" spans="1:17" ht="18">
      <c r="A198" s="79" t="s">
        <v>411</v>
      </c>
      <c r="B198" s="79" t="s">
        <v>430</v>
      </c>
      <c r="C198" s="80" t="s">
        <v>431</v>
      </c>
      <c r="D198" s="81">
        <v>2.3470000000000001E-3</v>
      </c>
      <c r="E198" s="82">
        <v>9289</v>
      </c>
      <c r="F198" s="5"/>
      <c r="G198" s="71">
        <v>3.571E-3</v>
      </c>
      <c r="H198" s="83">
        <v>80092</v>
      </c>
      <c r="I198" s="7"/>
      <c r="J198" s="84">
        <v>89381</v>
      </c>
      <c r="K198" s="105">
        <v>9.7999999999999997E-3</v>
      </c>
      <c r="L198" s="85">
        <v>876</v>
      </c>
      <c r="M198" s="257">
        <f t="shared" si="7"/>
        <v>88505</v>
      </c>
      <c r="N198" s="88">
        <v>13407</v>
      </c>
      <c r="O198" s="87">
        <v>88723</v>
      </c>
      <c r="P198" s="281">
        <f t="shared" si="6"/>
        <v>658</v>
      </c>
      <c r="Q198" s="269">
        <f t="shared" si="8"/>
        <v>7.4163407459170681E-3</v>
      </c>
    </row>
    <row r="199" spans="1:17" ht="18">
      <c r="A199" s="79" t="s">
        <v>411</v>
      </c>
      <c r="B199" s="79" t="s">
        <v>432</v>
      </c>
      <c r="C199" s="80" t="s">
        <v>433</v>
      </c>
      <c r="D199" s="81">
        <v>3.0149999999999999E-3</v>
      </c>
      <c r="E199" s="82">
        <v>11933</v>
      </c>
      <c r="F199" s="5"/>
      <c r="G199" s="71">
        <v>5.0769999999999999E-3</v>
      </c>
      <c r="H199" s="83">
        <v>113869</v>
      </c>
      <c r="I199" s="7"/>
      <c r="J199" s="84">
        <v>125802</v>
      </c>
      <c r="K199" s="105">
        <v>9.7999999999999997E-3</v>
      </c>
      <c r="L199" s="85">
        <v>1233</v>
      </c>
      <c r="M199" s="257">
        <f t="shared" si="7"/>
        <v>124569</v>
      </c>
      <c r="N199" s="88">
        <v>18870</v>
      </c>
      <c r="O199" s="87">
        <v>125708</v>
      </c>
      <c r="P199" s="281">
        <f t="shared" si="6"/>
        <v>94</v>
      </c>
      <c r="Q199" s="269">
        <f t="shared" si="8"/>
        <v>7.477646609603207E-4</v>
      </c>
    </row>
    <row r="200" spans="1:17" ht="18">
      <c r="A200" s="79" t="s">
        <v>411</v>
      </c>
      <c r="B200" s="79" t="s">
        <v>434</v>
      </c>
      <c r="C200" s="80" t="s">
        <v>435</v>
      </c>
      <c r="D200" s="81">
        <v>1.524E-3</v>
      </c>
      <c r="E200" s="82">
        <v>6032</v>
      </c>
      <c r="F200" s="5"/>
      <c r="G200" s="71">
        <v>1.572E-3</v>
      </c>
      <c r="H200" s="83">
        <v>35257</v>
      </c>
      <c r="I200" s="7"/>
      <c r="J200" s="84">
        <v>41289</v>
      </c>
      <c r="K200" s="105">
        <v>9.7999999999999997E-3</v>
      </c>
      <c r="L200" s="85">
        <v>405</v>
      </c>
      <c r="M200" s="257">
        <f t="shared" si="7"/>
        <v>40884</v>
      </c>
      <c r="N200" s="88">
        <v>6193</v>
      </c>
      <c r="O200" s="87">
        <v>42902</v>
      </c>
      <c r="P200" s="281">
        <f t="shared" si="6"/>
        <v>-1613</v>
      </c>
      <c r="Q200" s="269">
        <f t="shared" si="8"/>
        <v>-3.7597314810498342E-2</v>
      </c>
    </row>
    <row r="201" spans="1:17" ht="18">
      <c r="A201" s="79" t="s">
        <v>411</v>
      </c>
      <c r="B201" s="79" t="s">
        <v>436</v>
      </c>
      <c r="C201" s="80" t="s">
        <v>437</v>
      </c>
      <c r="D201" s="81">
        <v>6.1200000000000002E-4</v>
      </c>
      <c r="E201" s="82">
        <v>2422</v>
      </c>
      <c r="F201" s="5"/>
      <c r="G201" s="71">
        <v>1.0059999999999999E-3</v>
      </c>
      <c r="H201" s="83">
        <v>22563</v>
      </c>
      <c r="I201" s="7"/>
      <c r="J201" s="84">
        <v>24985</v>
      </c>
      <c r="K201" s="105">
        <v>9.7999999999999997E-3</v>
      </c>
      <c r="L201" s="85">
        <v>245</v>
      </c>
      <c r="M201" s="257">
        <f t="shared" si="7"/>
        <v>24740</v>
      </c>
      <c r="N201" s="88">
        <v>3748</v>
      </c>
      <c r="O201" s="87">
        <v>26386</v>
      </c>
      <c r="P201" s="281">
        <f t="shared" ref="P201:P264" si="9">+J201-O201</f>
        <v>-1401</v>
      </c>
      <c r="Q201" s="269">
        <f t="shared" si="8"/>
        <v>-5.3096338967634354E-2</v>
      </c>
    </row>
    <row r="202" spans="1:17" ht="18">
      <c r="A202" s="79" t="s">
        <v>411</v>
      </c>
      <c r="B202" s="79" t="s">
        <v>438</v>
      </c>
      <c r="C202" s="80" t="s">
        <v>439</v>
      </c>
      <c r="D202" s="81">
        <v>7.1199999999999996E-4</v>
      </c>
      <c r="E202" s="82">
        <v>2818</v>
      </c>
      <c r="F202" s="5"/>
      <c r="G202" s="71">
        <v>9.4200000000000002E-4</v>
      </c>
      <c r="H202" s="83">
        <v>21127</v>
      </c>
      <c r="I202" s="7"/>
      <c r="J202" s="84">
        <v>23945</v>
      </c>
      <c r="K202" s="105">
        <v>9.7999999999999997E-3</v>
      </c>
      <c r="L202" s="85">
        <v>235</v>
      </c>
      <c r="M202" s="257">
        <f t="shared" ref="M202:M265" si="10">+J202-L202</f>
        <v>23710</v>
      </c>
      <c r="N202" s="88">
        <v>3592</v>
      </c>
      <c r="O202" s="87">
        <v>25224</v>
      </c>
      <c r="P202" s="281">
        <f t="shared" si="9"/>
        <v>-1279</v>
      </c>
      <c r="Q202" s="269">
        <f t="shared" ref="Q202:Q265" si="11">+P202/O202</f>
        <v>-5.0705677132889315E-2</v>
      </c>
    </row>
    <row r="203" spans="1:17" ht="18">
      <c r="A203" s="79" t="s">
        <v>411</v>
      </c>
      <c r="B203" s="79" t="s">
        <v>440</v>
      </c>
      <c r="C203" s="80" t="s">
        <v>441</v>
      </c>
      <c r="D203" s="81">
        <v>1.1789999999999999E-3</v>
      </c>
      <c r="E203" s="82">
        <v>4666</v>
      </c>
      <c r="F203" s="5"/>
      <c r="G203" s="71">
        <v>8.6300000000000005E-4</v>
      </c>
      <c r="H203" s="83">
        <v>19356</v>
      </c>
      <c r="I203" s="7"/>
      <c r="J203" s="84">
        <v>24022</v>
      </c>
      <c r="K203" s="105">
        <v>9.7999999999999997E-3</v>
      </c>
      <c r="L203" s="85">
        <v>235</v>
      </c>
      <c r="M203" s="257">
        <f t="shared" si="10"/>
        <v>23787</v>
      </c>
      <c r="N203" s="88">
        <v>3603</v>
      </c>
      <c r="O203" s="87">
        <v>26239</v>
      </c>
      <c r="P203" s="281">
        <f t="shared" si="9"/>
        <v>-2217</v>
      </c>
      <c r="Q203" s="269">
        <f t="shared" si="11"/>
        <v>-8.449254925873699E-2</v>
      </c>
    </row>
    <row r="204" spans="1:17" ht="18">
      <c r="A204" s="79" t="s">
        <v>411</v>
      </c>
      <c r="B204" s="79" t="s">
        <v>442</v>
      </c>
      <c r="C204" s="80" t="s">
        <v>443</v>
      </c>
      <c r="D204" s="81">
        <v>1.936E-3</v>
      </c>
      <c r="E204" s="82">
        <v>7663</v>
      </c>
      <c r="F204" s="5"/>
      <c r="G204" s="71">
        <v>3.9569999999999996E-3</v>
      </c>
      <c r="H204" s="83">
        <v>88749</v>
      </c>
      <c r="I204" s="7"/>
      <c r="J204" s="84">
        <v>96412</v>
      </c>
      <c r="K204" s="105">
        <v>9.7999999999999997E-3</v>
      </c>
      <c r="L204" s="85">
        <v>945</v>
      </c>
      <c r="M204" s="257">
        <f t="shared" si="10"/>
        <v>95467</v>
      </c>
      <c r="N204" s="88">
        <v>14462</v>
      </c>
      <c r="O204" s="87">
        <v>94804</v>
      </c>
      <c r="P204" s="281">
        <f t="shared" si="9"/>
        <v>1608</v>
      </c>
      <c r="Q204" s="269">
        <f t="shared" si="11"/>
        <v>1.6961309649381882E-2</v>
      </c>
    </row>
    <row r="205" spans="1:17" ht="18">
      <c r="A205" s="79" t="s">
        <v>411</v>
      </c>
      <c r="B205" s="79" t="s">
        <v>444</v>
      </c>
      <c r="C205" s="80" t="s">
        <v>445</v>
      </c>
      <c r="D205" s="81">
        <v>0.111358</v>
      </c>
      <c r="E205" s="82">
        <v>440754</v>
      </c>
      <c r="F205" s="5"/>
      <c r="G205" s="71">
        <v>6.5378000000000006E-2</v>
      </c>
      <c r="H205" s="83">
        <v>1466318</v>
      </c>
      <c r="I205" s="7"/>
      <c r="J205" s="84">
        <v>1907072</v>
      </c>
      <c r="K205" s="105">
        <v>9.7999999999999997E-3</v>
      </c>
      <c r="L205" s="85">
        <v>18689</v>
      </c>
      <c r="M205" s="257">
        <f t="shared" si="10"/>
        <v>1888383</v>
      </c>
      <c r="N205" s="88">
        <v>286061</v>
      </c>
      <c r="O205" s="87">
        <v>1946769</v>
      </c>
      <c r="P205" s="281">
        <f t="shared" si="9"/>
        <v>-39697</v>
      </c>
      <c r="Q205" s="269">
        <f t="shared" si="11"/>
        <v>-2.0391222584703168E-2</v>
      </c>
    </row>
    <row r="206" spans="1:17" ht="18">
      <c r="A206" s="79" t="s">
        <v>411</v>
      </c>
      <c r="B206" s="79" t="s">
        <v>446</v>
      </c>
      <c r="C206" s="80" t="s">
        <v>447</v>
      </c>
      <c r="D206" s="81">
        <v>7.5600000000000005E-4</v>
      </c>
      <c r="E206" s="82">
        <v>2992</v>
      </c>
      <c r="F206" s="5"/>
      <c r="G206" s="71">
        <v>1.2830000000000001E-3</v>
      </c>
      <c r="H206" s="83">
        <v>28776</v>
      </c>
      <c r="I206" s="7"/>
      <c r="J206" s="84">
        <v>31768</v>
      </c>
      <c r="K206" s="105">
        <v>9.7999999999999997E-3</v>
      </c>
      <c r="L206" s="85">
        <v>311</v>
      </c>
      <c r="M206" s="257">
        <f t="shared" si="10"/>
        <v>31457</v>
      </c>
      <c r="N206" s="88">
        <v>4765</v>
      </c>
      <c r="O206" s="87">
        <v>31144</v>
      </c>
      <c r="P206" s="281">
        <f t="shared" si="9"/>
        <v>624</v>
      </c>
      <c r="Q206" s="269">
        <f t="shared" si="11"/>
        <v>2.0035961983046493E-2</v>
      </c>
    </row>
    <row r="207" spans="1:17" ht="18">
      <c r="A207" s="79" t="s">
        <v>411</v>
      </c>
      <c r="B207" s="79" t="s">
        <v>448</v>
      </c>
      <c r="C207" s="80" t="s">
        <v>449</v>
      </c>
      <c r="D207" s="81">
        <v>3.1100000000000002E-4</v>
      </c>
      <c r="E207" s="82">
        <v>1231</v>
      </c>
      <c r="F207" s="5"/>
      <c r="G207" s="71">
        <v>4.8500000000000003E-4</v>
      </c>
      <c r="H207" s="83">
        <v>10878</v>
      </c>
      <c r="I207" s="7"/>
      <c r="J207" s="84">
        <v>12109</v>
      </c>
      <c r="K207" s="105">
        <v>9.7999999999999997E-3</v>
      </c>
      <c r="L207" s="85">
        <v>119</v>
      </c>
      <c r="M207" s="257">
        <f t="shared" si="10"/>
        <v>11990</v>
      </c>
      <c r="N207" s="88">
        <v>1816</v>
      </c>
      <c r="O207" s="87">
        <v>13125</v>
      </c>
      <c r="P207" s="281">
        <f t="shared" si="9"/>
        <v>-1016</v>
      </c>
      <c r="Q207" s="269">
        <f t="shared" si="11"/>
        <v>-7.7409523809523803E-2</v>
      </c>
    </row>
    <row r="208" spans="1:17" ht="18">
      <c r="A208" s="79" t="s">
        <v>411</v>
      </c>
      <c r="B208" s="79" t="s">
        <v>450</v>
      </c>
      <c r="C208" s="80" t="s">
        <v>451</v>
      </c>
      <c r="D208" s="81">
        <v>5.1199999999999998E-4</v>
      </c>
      <c r="E208" s="82">
        <v>2026</v>
      </c>
      <c r="F208" s="5"/>
      <c r="G208" s="71">
        <v>2.4450000000000001E-3</v>
      </c>
      <c r="H208" s="83">
        <v>54837</v>
      </c>
      <c r="I208" s="7"/>
      <c r="J208" s="84">
        <v>56863</v>
      </c>
      <c r="K208" s="105">
        <v>9.7999999999999997E-3</v>
      </c>
      <c r="L208" s="85">
        <v>557</v>
      </c>
      <c r="M208" s="257">
        <f t="shared" si="10"/>
        <v>56306</v>
      </c>
      <c r="N208" s="88">
        <v>8529</v>
      </c>
      <c r="O208" s="87">
        <v>56837</v>
      </c>
      <c r="P208" s="281">
        <f t="shared" si="9"/>
        <v>26</v>
      </c>
      <c r="Q208" s="269">
        <f t="shared" si="11"/>
        <v>4.5744849305909881E-4</v>
      </c>
    </row>
    <row r="209" spans="1:17" ht="18">
      <c r="A209" s="79" t="s">
        <v>411</v>
      </c>
      <c r="B209" s="79" t="s">
        <v>452</v>
      </c>
      <c r="C209" s="80" t="s">
        <v>453</v>
      </c>
      <c r="D209" s="81">
        <v>5.2300000000000003E-4</v>
      </c>
      <c r="E209" s="82">
        <v>2070</v>
      </c>
      <c r="F209" s="5"/>
      <c r="G209" s="71">
        <v>6.78E-4</v>
      </c>
      <c r="H209" s="83">
        <v>15206</v>
      </c>
      <c r="I209" s="7"/>
      <c r="J209" s="84">
        <v>17276</v>
      </c>
      <c r="K209" s="105">
        <v>9.7999999999999997E-3</v>
      </c>
      <c r="L209" s="85">
        <v>169</v>
      </c>
      <c r="M209" s="257">
        <f t="shared" si="10"/>
        <v>17107</v>
      </c>
      <c r="N209" s="88">
        <v>2591</v>
      </c>
      <c r="O209" s="87">
        <v>17768</v>
      </c>
      <c r="P209" s="281">
        <f t="shared" si="9"/>
        <v>-492</v>
      </c>
      <c r="Q209" s="269">
        <f t="shared" si="11"/>
        <v>-2.7690229626294461E-2</v>
      </c>
    </row>
    <row r="210" spans="1:17" ht="18">
      <c r="A210" s="79" t="s">
        <v>411</v>
      </c>
      <c r="B210" s="79" t="s">
        <v>454</v>
      </c>
      <c r="C210" s="80" t="s">
        <v>455</v>
      </c>
      <c r="D210" s="81">
        <v>9.7900000000000005E-4</v>
      </c>
      <c r="E210" s="82">
        <v>3875</v>
      </c>
      <c r="F210" s="5"/>
      <c r="G210" s="71">
        <v>9.7199999999999999E-4</v>
      </c>
      <c r="H210" s="83">
        <v>21800</v>
      </c>
      <c r="I210" s="7"/>
      <c r="J210" s="84">
        <v>25675</v>
      </c>
      <c r="K210" s="105">
        <v>9.7999999999999997E-3</v>
      </c>
      <c r="L210" s="85">
        <v>252</v>
      </c>
      <c r="M210" s="257">
        <f t="shared" si="10"/>
        <v>25423</v>
      </c>
      <c r="N210" s="88">
        <v>3851</v>
      </c>
      <c r="O210" s="87">
        <v>27048</v>
      </c>
      <c r="P210" s="281">
        <f t="shared" si="9"/>
        <v>-1373</v>
      </c>
      <c r="Q210" s="269">
        <f t="shared" si="11"/>
        <v>-5.0761608991422659E-2</v>
      </c>
    </row>
    <row r="211" spans="1:17" ht="18">
      <c r="A211" s="79" t="s">
        <v>411</v>
      </c>
      <c r="B211" s="79" t="s">
        <v>456</v>
      </c>
      <c r="C211" s="80" t="s">
        <v>457</v>
      </c>
      <c r="D211" s="81">
        <v>4.8840000000000003E-3</v>
      </c>
      <c r="E211" s="82">
        <v>19331</v>
      </c>
      <c r="F211" s="5"/>
      <c r="G211" s="71">
        <v>6.5459999999999997E-3</v>
      </c>
      <c r="H211" s="83">
        <v>146816</v>
      </c>
      <c r="I211" s="7"/>
      <c r="J211" s="84">
        <v>166147</v>
      </c>
      <c r="K211" s="105">
        <v>9.7999999999999997E-3</v>
      </c>
      <c r="L211" s="85">
        <v>1628</v>
      </c>
      <c r="M211" s="257">
        <f t="shared" si="10"/>
        <v>164519</v>
      </c>
      <c r="N211" s="88">
        <v>24922</v>
      </c>
      <c r="O211" s="87">
        <v>169678</v>
      </c>
      <c r="P211" s="281">
        <f t="shared" si="9"/>
        <v>-3531</v>
      </c>
      <c r="Q211" s="269">
        <f t="shared" si="11"/>
        <v>-2.0810004832683082E-2</v>
      </c>
    </row>
    <row r="212" spans="1:17" ht="18">
      <c r="A212" s="79" t="s">
        <v>411</v>
      </c>
      <c r="B212" s="79" t="s">
        <v>458</v>
      </c>
      <c r="C212" s="80" t="s">
        <v>459</v>
      </c>
      <c r="D212" s="81">
        <v>1.413E-3</v>
      </c>
      <c r="E212" s="82">
        <v>5593</v>
      </c>
      <c r="F212" s="5"/>
      <c r="G212" s="71">
        <v>1.7309999999999999E-3</v>
      </c>
      <c r="H212" s="83">
        <v>38823</v>
      </c>
      <c r="I212" s="7"/>
      <c r="J212" s="84">
        <v>44416</v>
      </c>
      <c r="K212" s="105">
        <v>9.7999999999999997E-3</v>
      </c>
      <c r="L212" s="85">
        <v>435</v>
      </c>
      <c r="M212" s="257">
        <f t="shared" si="10"/>
        <v>43981</v>
      </c>
      <c r="N212" s="88">
        <v>6662</v>
      </c>
      <c r="O212" s="87">
        <v>43995</v>
      </c>
      <c r="P212" s="281">
        <f t="shared" si="9"/>
        <v>421</v>
      </c>
      <c r="Q212" s="269">
        <f t="shared" si="11"/>
        <v>9.5692692351403569E-3</v>
      </c>
    </row>
    <row r="213" spans="1:17" ht="18">
      <c r="A213" s="79" t="s">
        <v>411</v>
      </c>
      <c r="B213" s="79" t="s">
        <v>460</v>
      </c>
      <c r="C213" s="108" t="s">
        <v>461</v>
      </c>
      <c r="D213" s="81">
        <v>5.5290000000000001E-3</v>
      </c>
      <c r="E213" s="82">
        <v>21884</v>
      </c>
      <c r="F213" s="5"/>
      <c r="G213" s="71">
        <v>1.2848999999999999E-2</v>
      </c>
      <c r="H213" s="83">
        <v>288181</v>
      </c>
      <c r="I213" s="7"/>
      <c r="J213" s="84">
        <v>310065</v>
      </c>
      <c r="K213" s="105">
        <v>9.7999999999999997E-3</v>
      </c>
      <c r="L213" s="85">
        <v>3039</v>
      </c>
      <c r="M213" s="257">
        <f t="shared" si="10"/>
        <v>307026</v>
      </c>
      <c r="N213" s="270">
        <v>46510</v>
      </c>
      <c r="O213" s="87">
        <v>305961</v>
      </c>
      <c r="P213" s="281">
        <f t="shared" si="9"/>
        <v>4104</v>
      </c>
      <c r="Q213" s="269">
        <f t="shared" si="11"/>
        <v>1.3413474266328062E-2</v>
      </c>
    </row>
    <row r="214" spans="1:17" ht="18">
      <c r="A214" s="79" t="s">
        <v>411</v>
      </c>
      <c r="B214" s="79" t="s">
        <v>462</v>
      </c>
      <c r="C214" s="80" t="s">
        <v>463</v>
      </c>
      <c r="D214" s="81">
        <v>3.8379999999999998E-3</v>
      </c>
      <c r="E214" s="82">
        <v>15191</v>
      </c>
      <c r="F214" s="5"/>
      <c r="G214" s="71">
        <v>3.8070000000000001E-3</v>
      </c>
      <c r="H214" s="83">
        <v>85385</v>
      </c>
      <c r="I214" s="7"/>
      <c r="J214" s="84">
        <v>100576</v>
      </c>
      <c r="K214" s="105">
        <v>9.7999999999999997E-3</v>
      </c>
      <c r="L214" s="85">
        <v>986</v>
      </c>
      <c r="M214" s="257">
        <f t="shared" si="10"/>
        <v>99590</v>
      </c>
      <c r="N214" s="88">
        <v>15086</v>
      </c>
      <c r="O214" s="87">
        <v>104631</v>
      </c>
      <c r="P214" s="281">
        <f t="shared" si="9"/>
        <v>-4055</v>
      </c>
      <c r="Q214" s="269">
        <f t="shared" si="11"/>
        <v>-3.8755244621574869E-2</v>
      </c>
    </row>
    <row r="215" spans="1:17" ht="18">
      <c r="A215" s="79" t="s">
        <v>411</v>
      </c>
      <c r="B215" s="79" t="s">
        <v>464</v>
      </c>
      <c r="C215" s="80" t="s">
        <v>465</v>
      </c>
      <c r="D215" s="81">
        <v>5.2300000000000003E-4</v>
      </c>
      <c r="E215" s="82">
        <v>2070</v>
      </c>
      <c r="F215" s="5"/>
      <c r="G215" s="71">
        <v>1.057E-3</v>
      </c>
      <c r="H215" s="83">
        <v>23707</v>
      </c>
      <c r="I215" s="7"/>
      <c r="J215" s="84">
        <v>25777</v>
      </c>
      <c r="K215" s="105">
        <v>9.7999999999999997E-3</v>
      </c>
      <c r="L215" s="85">
        <v>253</v>
      </c>
      <c r="M215" s="257">
        <f t="shared" si="10"/>
        <v>25524</v>
      </c>
      <c r="N215" s="88">
        <v>3867</v>
      </c>
      <c r="O215" s="87">
        <v>25352</v>
      </c>
      <c r="P215" s="281">
        <f t="shared" si="9"/>
        <v>425</v>
      </c>
      <c r="Q215" s="269">
        <f t="shared" si="11"/>
        <v>1.6763963395392868E-2</v>
      </c>
    </row>
    <row r="216" spans="1:17" ht="18">
      <c r="A216" s="79" t="s">
        <v>411</v>
      </c>
      <c r="B216" s="79" t="s">
        <v>466</v>
      </c>
      <c r="C216" s="80" t="s">
        <v>467</v>
      </c>
      <c r="D216" s="81">
        <v>1.0009999999999999E-3</v>
      </c>
      <c r="E216" s="82">
        <v>3962</v>
      </c>
      <c r="F216" s="5"/>
      <c r="G216" s="71">
        <v>1.2999999999999999E-3</v>
      </c>
      <c r="H216" s="83">
        <v>29157</v>
      </c>
      <c r="I216" s="7"/>
      <c r="J216" s="84">
        <v>33119</v>
      </c>
      <c r="K216" s="105">
        <v>9.7999999999999997E-3</v>
      </c>
      <c r="L216" s="85">
        <v>325</v>
      </c>
      <c r="M216" s="257">
        <f t="shared" si="10"/>
        <v>32794</v>
      </c>
      <c r="N216" s="88">
        <v>4968</v>
      </c>
      <c r="O216" s="87">
        <v>31644</v>
      </c>
      <c r="P216" s="281">
        <f t="shared" si="9"/>
        <v>1475</v>
      </c>
      <c r="Q216" s="269">
        <f t="shared" si="11"/>
        <v>4.6612311970673746E-2</v>
      </c>
    </row>
    <row r="217" spans="1:17" ht="18">
      <c r="A217" s="79" t="s">
        <v>411</v>
      </c>
      <c r="B217" s="79" t="s">
        <v>468</v>
      </c>
      <c r="C217" s="80" t="s">
        <v>469</v>
      </c>
      <c r="D217" s="81">
        <v>4.8899999999999996E-4</v>
      </c>
      <c r="E217" s="82">
        <v>1935</v>
      </c>
      <c r="F217" s="5"/>
      <c r="G217" s="71">
        <v>1.0330000000000001E-3</v>
      </c>
      <c r="H217" s="83">
        <v>23168</v>
      </c>
      <c r="I217" s="7"/>
      <c r="J217" s="84">
        <v>25103</v>
      </c>
      <c r="K217" s="105">
        <v>9.7999999999999997E-3</v>
      </c>
      <c r="L217" s="85">
        <v>246</v>
      </c>
      <c r="M217" s="257">
        <f t="shared" si="10"/>
        <v>24857</v>
      </c>
      <c r="N217" s="88">
        <v>3765</v>
      </c>
      <c r="O217" s="87">
        <v>26349</v>
      </c>
      <c r="P217" s="281">
        <f t="shared" si="9"/>
        <v>-1246</v>
      </c>
      <c r="Q217" s="269">
        <f t="shared" si="11"/>
        <v>-4.7288322137462521E-2</v>
      </c>
    </row>
    <row r="218" spans="1:17" ht="18">
      <c r="A218" s="79" t="s">
        <v>411</v>
      </c>
      <c r="B218" s="79" t="s">
        <v>470</v>
      </c>
      <c r="C218" s="80" t="s">
        <v>471</v>
      </c>
      <c r="D218" s="81">
        <v>6.8999999999999997E-4</v>
      </c>
      <c r="E218" s="82">
        <v>2731</v>
      </c>
      <c r="F218" s="5"/>
      <c r="G218" s="71">
        <v>5.9400000000000002E-4</v>
      </c>
      <c r="H218" s="83">
        <v>13322</v>
      </c>
      <c r="I218" s="7"/>
      <c r="J218" s="84">
        <v>16053</v>
      </c>
      <c r="K218" s="105">
        <v>9.7999999999999997E-3</v>
      </c>
      <c r="L218" s="85">
        <v>157</v>
      </c>
      <c r="M218" s="257">
        <f t="shared" si="10"/>
        <v>15896</v>
      </c>
      <c r="N218" s="88">
        <v>2408</v>
      </c>
      <c r="O218" s="87">
        <v>17077</v>
      </c>
      <c r="P218" s="281">
        <f t="shared" si="9"/>
        <v>-1024</v>
      </c>
      <c r="Q218" s="269">
        <f t="shared" si="11"/>
        <v>-5.9963693857234879E-2</v>
      </c>
    </row>
    <row r="219" spans="1:17" ht="18">
      <c r="A219" s="79" t="s">
        <v>411</v>
      </c>
      <c r="B219" s="79" t="s">
        <v>472</v>
      </c>
      <c r="C219" s="80" t="s">
        <v>473</v>
      </c>
      <c r="D219" s="81">
        <v>2.826E-3</v>
      </c>
      <c r="E219" s="82">
        <v>11185</v>
      </c>
      <c r="F219" s="5"/>
      <c r="G219" s="71">
        <v>2.954E-3</v>
      </c>
      <c r="H219" s="83">
        <v>66253</v>
      </c>
      <c r="I219" s="7"/>
      <c r="J219" s="84">
        <v>77438</v>
      </c>
      <c r="K219" s="105">
        <v>9.7999999999999997E-3</v>
      </c>
      <c r="L219" s="85">
        <v>759</v>
      </c>
      <c r="M219" s="257">
        <f t="shared" si="10"/>
        <v>76679</v>
      </c>
      <c r="N219" s="88">
        <v>11616</v>
      </c>
      <c r="O219" s="87">
        <v>76444</v>
      </c>
      <c r="P219" s="281">
        <f t="shared" si="9"/>
        <v>994</v>
      </c>
      <c r="Q219" s="269">
        <f t="shared" si="11"/>
        <v>1.300298257548009E-2</v>
      </c>
    </row>
    <row r="220" spans="1:17" ht="18">
      <c r="A220" s="79" t="s">
        <v>411</v>
      </c>
      <c r="B220" s="79" t="s">
        <v>474</v>
      </c>
      <c r="C220" s="80" t="s">
        <v>475</v>
      </c>
      <c r="D220" s="81">
        <v>7.2529999999999999E-3</v>
      </c>
      <c r="E220" s="82">
        <v>28707</v>
      </c>
      <c r="F220" s="5"/>
      <c r="G220" s="71">
        <v>6.2649999999999997E-3</v>
      </c>
      <c r="H220" s="83">
        <v>140513</v>
      </c>
      <c r="I220" s="7"/>
      <c r="J220" s="84">
        <v>169220</v>
      </c>
      <c r="K220" s="105">
        <v>9.7999999999999997E-3</v>
      </c>
      <c r="L220" s="85">
        <v>1658</v>
      </c>
      <c r="M220" s="257">
        <f t="shared" si="10"/>
        <v>167562</v>
      </c>
      <c r="N220" s="88">
        <v>25383</v>
      </c>
      <c r="O220" s="87">
        <v>176386</v>
      </c>
      <c r="P220" s="281">
        <f t="shared" si="9"/>
        <v>-7166</v>
      </c>
      <c r="Q220" s="269">
        <f t="shared" si="11"/>
        <v>-4.0626807116211035E-2</v>
      </c>
    </row>
    <row r="221" spans="1:17" ht="18">
      <c r="A221" s="79" t="s">
        <v>411</v>
      </c>
      <c r="B221" s="79" t="s">
        <v>476</v>
      </c>
      <c r="C221" s="80" t="s">
        <v>477</v>
      </c>
      <c r="D221" s="81">
        <v>8.12E-4</v>
      </c>
      <c r="E221" s="82">
        <v>3214</v>
      </c>
      <c r="F221" s="5"/>
      <c r="G221" s="71">
        <v>2.5300000000000001E-3</v>
      </c>
      <c r="H221" s="83">
        <v>56744</v>
      </c>
      <c r="I221" s="7"/>
      <c r="J221" s="84">
        <v>59958</v>
      </c>
      <c r="K221" s="105">
        <v>9.7999999999999997E-3</v>
      </c>
      <c r="L221" s="85">
        <v>588</v>
      </c>
      <c r="M221" s="257">
        <f t="shared" si="10"/>
        <v>59370</v>
      </c>
      <c r="N221" s="88">
        <v>8994</v>
      </c>
      <c r="O221" s="87">
        <v>59136</v>
      </c>
      <c r="P221" s="281">
        <f t="shared" si="9"/>
        <v>822</v>
      </c>
      <c r="Q221" s="269">
        <f t="shared" si="11"/>
        <v>1.3900162337662338E-2</v>
      </c>
    </row>
    <row r="222" spans="1:17" ht="18">
      <c r="A222" s="79" t="s">
        <v>411</v>
      </c>
      <c r="B222" s="79" t="s">
        <v>478</v>
      </c>
      <c r="C222" s="80" t="s">
        <v>479</v>
      </c>
      <c r="D222" s="81">
        <v>2.447E-3</v>
      </c>
      <c r="E222" s="82">
        <v>9685</v>
      </c>
      <c r="F222" s="5"/>
      <c r="G222" s="71">
        <v>4.8199999999999996E-3</v>
      </c>
      <c r="H222" s="83">
        <v>108104</v>
      </c>
      <c r="I222" s="7"/>
      <c r="J222" s="84">
        <v>117789</v>
      </c>
      <c r="K222" s="105">
        <v>9.7999999999999997E-3</v>
      </c>
      <c r="L222" s="85">
        <v>1154</v>
      </c>
      <c r="M222" s="257">
        <f t="shared" si="10"/>
        <v>116635</v>
      </c>
      <c r="N222" s="88">
        <v>17668</v>
      </c>
      <c r="O222" s="87">
        <v>116507</v>
      </c>
      <c r="P222" s="281">
        <f t="shared" si="9"/>
        <v>1282</v>
      </c>
      <c r="Q222" s="269">
        <f t="shared" si="11"/>
        <v>1.1003630683134919E-2</v>
      </c>
    </row>
    <row r="223" spans="1:17" ht="18">
      <c r="A223" s="79" t="s">
        <v>411</v>
      </c>
      <c r="B223" s="79" t="s">
        <v>480</v>
      </c>
      <c r="C223" s="80" t="s">
        <v>481</v>
      </c>
      <c r="D223" s="81">
        <v>1.09E-3</v>
      </c>
      <c r="E223" s="82">
        <v>4314</v>
      </c>
      <c r="F223" s="5"/>
      <c r="G223" s="71">
        <v>1.33E-3</v>
      </c>
      <c r="H223" s="83">
        <v>29830</v>
      </c>
      <c r="I223" s="7"/>
      <c r="J223" s="84">
        <v>34144</v>
      </c>
      <c r="K223" s="105">
        <v>9.7999999999999997E-3</v>
      </c>
      <c r="L223" s="85">
        <v>335</v>
      </c>
      <c r="M223" s="257">
        <f t="shared" si="10"/>
        <v>33809</v>
      </c>
      <c r="N223" s="88">
        <v>5122</v>
      </c>
      <c r="O223" s="87">
        <v>36846</v>
      </c>
      <c r="P223" s="281">
        <f t="shared" si="9"/>
        <v>-2702</v>
      </c>
      <c r="Q223" s="269">
        <f t="shared" si="11"/>
        <v>-7.3332247733811001E-2</v>
      </c>
    </row>
    <row r="224" spans="1:17" ht="18">
      <c r="A224" s="79" t="s">
        <v>411</v>
      </c>
      <c r="B224" s="79" t="s">
        <v>482</v>
      </c>
      <c r="C224" s="80" t="s">
        <v>483</v>
      </c>
      <c r="D224" s="81">
        <v>1.3240000000000001E-3</v>
      </c>
      <c r="E224" s="82">
        <v>5240</v>
      </c>
      <c r="F224" s="5"/>
      <c r="G224" s="71">
        <v>1.526E-3</v>
      </c>
      <c r="H224" s="83">
        <v>34226</v>
      </c>
      <c r="I224" s="7"/>
      <c r="J224" s="84">
        <v>39466</v>
      </c>
      <c r="K224" s="105">
        <v>9.7999999999999997E-3</v>
      </c>
      <c r="L224" s="85">
        <v>387</v>
      </c>
      <c r="M224" s="257">
        <f t="shared" si="10"/>
        <v>39079</v>
      </c>
      <c r="N224" s="88">
        <v>5920</v>
      </c>
      <c r="O224" s="87">
        <v>40519</v>
      </c>
      <c r="P224" s="281">
        <f t="shared" si="9"/>
        <v>-1053</v>
      </c>
      <c r="Q224" s="269">
        <f t="shared" si="11"/>
        <v>-2.5987808188750957E-2</v>
      </c>
    </row>
    <row r="225" spans="1:17" ht="18">
      <c r="A225" s="79" t="s">
        <v>411</v>
      </c>
      <c r="B225" s="79" t="s">
        <v>484</v>
      </c>
      <c r="C225" s="80" t="s">
        <v>485</v>
      </c>
      <c r="D225" s="81">
        <v>1.3680000000000001E-3</v>
      </c>
      <c r="E225" s="82">
        <v>5415</v>
      </c>
      <c r="F225" s="5"/>
      <c r="G225" s="71">
        <v>2.0839999999999999E-3</v>
      </c>
      <c r="H225" s="83">
        <v>46741</v>
      </c>
      <c r="I225" s="7"/>
      <c r="J225" s="84">
        <v>52156</v>
      </c>
      <c r="K225" s="105">
        <v>9.7999999999999997E-3</v>
      </c>
      <c r="L225" s="85">
        <v>511</v>
      </c>
      <c r="M225" s="257">
        <f t="shared" si="10"/>
        <v>51645</v>
      </c>
      <c r="N225" s="88">
        <v>7823</v>
      </c>
      <c r="O225" s="87">
        <v>52469</v>
      </c>
      <c r="P225" s="281">
        <f t="shared" si="9"/>
        <v>-313</v>
      </c>
      <c r="Q225" s="269">
        <f t="shared" si="11"/>
        <v>-5.9654272046351176E-3</v>
      </c>
    </row>
    <row r="226" spans="1:17" ht="18">
      <c r="A226" s="79" t="s">
        <v>411</v>
      </c>
      <c r="B226" s="79" t="s">
        <v>486</v>
      </c>
      <c r="C226" s="80" t="s">
        <v>487</v>
      </c>
      <c r="D226" s="81">
        <v>2.2920000000000002E-3</v>
      </c>
      <c r="E226" s="82">
        <v>9072</v>
      </c>
      <c r="F226" s="5"/>
      <c r="G226" s="71">
        <v>5.4039999999999999E-3</v>
      </c>
      <c r="H226" s="83">
        <v>121203</v>
      </c>
      <c r="I226" s="7"/>
      <c r="J226" s="84">
        <v>130275</v>
      </c>
      <c r="K226" s="105">
        <v>9.7999999999999997E-3</v>
      </c>
      <c r="L226" s="85">
        <v>1277</v>
      </c>
      <c r="M226" s="257">
        <f t="shared" si="10"/>
        <v>128998</v>
      </c>
      <c r="N226" s="88">
        <v>19541</v>
      </c>
      <c r="O226" s="87">
        <v>131134</v>
      </c>
      <c r="P226" s="281">
        <f t="shared" si="9"/>
        <v>-859</v>
      </c>
      <c r="Q226" s="269">
        <f t="shared" si="11"/>
        <v>-6.5505513444263121E-3</v>
      </c>
    </row>
    <row r="227" spans="1:17" ht="18">
      <c r="A227" s="79" t="s">
        <v>411</v>
      </c>
      <c r="B227" s="79" t="s">
        <v>488</v>
      </c>
      <c r="C227" s="80" t="s">
        <v>489</v>
      </c>
      <c r="D227" s="81">
        <v>6.1520000000000004E-3</v>
      </c>
      <c r="E227" s="82">
        <v>24350</v>
      </c>
      <c r="F227" s="5"/>
      <c r="G227" s="71">
        <v>3.7620000000000002E-3</v>
      </c>
      <c r="H227" s="83">
        <v>84375</v>
      </c>
      <c r="I227" s="7"/>
      <c r="J227" s="84">
        <v>108725</v>
      </c>
      <c r="K227" s="105">
        <v>9.7999999999999997E-3</v>
      </c>
      <c r="L227" s="85">
        <v>1066</v>
      </c>
      <c r="M227" s="257">
        <f t="shared" si="10"/>
        <v>107659</v>
      </c>
      <c r="N227" s="88">
        <v>16309</v>
      </c>
      <c r="O227" s="87">
        <v>115078</v>
      </c>
      <c r="P227" s="281">
        <f t="shared" si="9"/>
        <v>-6353</v>
      </c>
      <c r="Q227" s="269">
        <f t="shared" si="11"/>
        <v>-5.5206034168129442E-2</v>
      </c>
    </row>
    <row r="228" spans="1:17" ht="18">
      <c r="A228" s="79" t="s">
        <v>411</v>
      </c>
      <c r="B228" s="79" t="s">
        <v>490</v>
      </c>
      <c r="C228" s="80" t="s">
        <v>491</v>
      </c>
      <c r="D228" s="81">
        <v>1.168E-3</v>
      </c>
      <c r="E228" s="82">
        <v>4623</v>
      </c>
      <c r="F228" s="5"/>
      <c r="G228" s="71">
        <v>1.2520000000000001E-3</v>
      </c>
      <c r="H228" s="83">
        <v>28080</v>
      </c>
      <c r="I228" s="7"/>
      <c r="J228" s="84">
        <v>32703</v>
      </c>
      <c r="K228" s="105">
        <v>9.7999999999999997E-3</v>
      </c>
      <c r="L228" s="85">
        <v>320</v>
      </c>
      <c r="M228" s="257">
        <f t="shared" si="10"/>
        <v>32383</v>
      </c>
      <c r="N228" s="88">
        <v>4905</v>
      </c>
      <c r="O228" s="87">
        <v>34548</v>
      </c>
      <c r="P228" s="281">
        <f t="shared" si="9"/>
        <v>-1845</v>
      </c>
      <c r="Q228" s="269">
        <f t="shared" si="11"/>
        <v>-5.3403959708232022E-2</v>
      </c>
    </row>
    <row r="229" spans="1:17" ht="18">
      <c r="A229" s="79" t="s">
        <v>411</v>
      </c>
      <c r="B229" s="79" t="s">
        <v>492</v>
      </c>
      <c r="C229" s="80" t="s">
        <v>493</v>
      </c>
      <c r="D229" s="81">
        <v>9.8999999999999999E-4</v>
      </c>
      <c r="E229" s="82">
        <v>3918</v>
      </c>
      <c r="F229" s="5"/>
      <c r="G229" s="71">
        <v>1.8680000000000001E-3</v>
      </c>
      <c r="H229" s="83">
        <v>41896</v>
      </c>
      <c r="I229" s="7"/>
      <c r="J229" s="84">
        <v>45814</v>
      </c>
      <c r="K229" s="105">
        <v>9.7999999999999997E-3</v>
      </c>
      <c r="L229" s="85">
        <v>449</v>
      </c>
      <c r="M229" s="257">
        <f t="shared" si="10"/>
        <v>45365</v>
      </c>
      <c r="N229" s="88">
        <v>6872</v>
      </c>
      <c r="O229" s="87">
        <v>49480</v>
      </c>
      <c r="P229" s="281">
        <f t="shared" si="9"/>
        <v>-3666</v>
      </c>
      <c r="Q229" s="269">
        <f t="shared" si="11"/>
        <v>-7.4090541632983023E-2</v>
      </c>
    </row>
    <row r="230" spans="1:17" ht="18">
      <c r="A230" s="79" t="s">
        <v>411</v>
      </c>
      <c r="B230" s="79" t="s">
        <v>494</v>
      </c>
      <c r="C230" s="80" t="s">
        <v>495</v>
      </c>
      <c r="D230" s="81">
        <v>3.3930000000000002E-3</v>
      </c>
      <c r="E230" s="82">
        <v>13429</v>
      </c>
      <c r="F230" s="5"/>
      <c r="G230" s="71">
        <v>2.4459999999999998E-3</v>
      </c>
      <c r="H230" s="83">
        <v>54860</v>
      </c>
      <c r="I230" s="7"/>
      <c r="J230" s="84">
        <v>68289</v>
      </c>
      <c r="K230" s="105">
        <v>9.7999999999999997E-3</v>
      </c>
      <c r="L230" s="85">
        <v>669</v>
      </c>
      <c r="M230" s="257">
        <f t="shared" si="10"/>
        <v>67620</v>
      </c>
      <c r="N230" s="88">
        <v>10243</v>
      </c>
      <c r="O230" s="87">
        <v>70057</v>
      </c>
      <c r="P230" s="281">
        <f t="shared" si="9"/>
        <v>-1768</v>
      </c>
      <c r="Q230" s="269">
        <f t="shared" si="11"/>
        <v>-2.5236593059936908E-2</v>
      </c>
    </row>
    <row r="231" spans="1:17" ht="18">
      <c r="A231" s="79" t="s">
        <v>411</v>
      </c>
      <c r="B231" s="79" t="s">
        <v>496</v>
      </c>
      <c r="C231" s="80" t="s">
        <v>497</v>
      </c>
      <c r="D231" s="81">
        <v>7.45E-4</v>
      </c>
      <c r="E231" s="82">
        <v>2949</v>
      </c>
      <c r="F231" s="5"/>
      <c r="G231" s="71">
        <v>1.0889999999999999E-3</v>
      </c>
      <c r="H231" s="83">
        <v>24424</v>
      </c>
      <c r="I231" s="7"/>
      <c r="J231" s="84">
        <v>27373</v>
      </c>
      <c r="K231" s="105">
        <v>9.7999999999999997E-3</v>
      </c>
      <c r="L231" s="85">
        <v>268</v>
      </c>
      <c r="M231" s="257">
        <f t="shared" si="10"/>
        <v>27105</v>
      </c>
      <c r="N231" s="88">
        <v>4106</v>
      </c>
      <c r="O231" s="87">
        <v>29476</v>
      </c>
      <c r="P231" s="281">
        <f t="shared" si="9"/>
        <v>-2103</v>
      </c>
      <c r="Q231" s="269">
        <f t="shared" si="11"/>
        <v>-7.1346179943004476E-2</v>
      </c>
    </row>
    <row r="232" spans="1:17" ht="18">
      <c r="A232" s="79" t="s">
        <v>411</v>
      </c>
      <c r="B232" s="79" t="s">
        <v>498</v>
      </c>
      <c r="C232" s="80" t="s">
        <v>499</v>
      </c>
      <c r="D232" s="81">
        <v>9.4000000000000004E-3</v>
      </c>
      <c r="E232" s="82">
        <v>37205</v>
      </c>
      <c r="F232" s="5"/>
      <c r="G232" s="71">
        <v>1.2477E-2</v>
      </c>
      <c r="H232" s="83">
        <v>279838</v>
      </c>
      <c r="I232" s="7"/>
      <c r="J232" s="84">
        <v>317043</v>
      </c>
      <c r="K232" s="105">
        <v>9.7999999999999997E-3</v>
      </c>
      <c r="L232" s="85">
        <v>3107</v>
      </c>
      <c r="M232" s="257">
        <f t="shared" si="10"/>
        <v>313936</v>
      </c>
      <c r="N232" s="88">
        <v>47556</v>
      </c>
      <c r="O232" s="87">
        <v>313632</v>
      </c>
      <c r="P232" s="281">
        <f t="shared" si="9"/>
        <v>3411</v>
      </c>
      <c r="Q232" s="269">
        <f t="shared" si="11"/>
        <v>1.0875803489439853E-2</v>
      </c>
    </row>
    <row r="233" spans="1:17" ht="18">
      <c r="A233" s="79" t="s">
        <v>411</v>
      </c>
      <c r="B233" s="79" t="s">
        <v>500</v>
      </c>
      <c r="C233" s="80" t="s">
        <v>501</v>
      </c>
      <c r="D233" s="81">
        <v>1.7129999999999999E-3</v>
      </c>
      <c r="E233" s="82">
        <v>6780</v>
      </c>
      <c r="F233" s="5"/>
      <c r="G233" s="71">
        <v>1.879E-3</v>
      </c>
      <c r="H233" s="83">
        <v>42143</v>
      </c>
      <c r="I233" s="7"/>
      <c r="J233" s="84">
        <v>48923</v>
      </c>
      <c r="K233" s="105">
        <v>9.7999999999999997E-3</v>
      </c>
      <c r="L233" s="85">
        <v>479</v>
      </c>
      <c r="M233" s="257">
        <f t="shared" si="10"/>
        <v>48444</v>
      </c>
      <c r="N233" s="88">
        <v>7338</v>
      </c>
      <c r="O233" s="87">
        <v>51513</v>
      </c>
      <c r="P233" s="281">
        <f t="shared" si="9"/>
        <v>-2590</v>
      </c>
      <c r="Q233" s="269">
        <f t="shared" si="11"/>
        <v>-5.0278570457942658E-2</v>
      </c>
    </row>
    <row r="234" spans="1:17" ht="18">
      <c r="A234" s="79" t="s">
        <v>411</v>
      </c>
      <c r="B234" s="79" t="s">
        <v>502</v>
      </c>
      <c r="C234" s="80" t="s">
        <v>503</v>
      </c>
      <c r="D234" s="81">
        <v>9.8999999999999999E-4</v>
      </c>
      <c r="E234" s="82">
        <v>3918</v>
      </c>
      <c r="F234" s="5"/>
      <c r="G234" s="71">
        <v>8.2600000000000002E-4</v>
      </c>
      <c r="H234" s="83">
        <v>18526</v>
      </c>
      <c r="I234" s="7"/>
      <c r="J234" s="84">
        <v>22444</v>
      </c>
      <c r="K234" s="105">
        <v>9.7999999999999997E-3</v>
      </c>
      <c r="L234" s="85">
        <v>220</v>
      </c>
      <c r="M234" s="257">
        <f t="shared" si="10"/>
        <v>22224</v>
      </c>
      <c r="N234" s="88">
        <v>3367</v>
      </c>
      <c r="O234" s="87">
        <v>22467</v>
      </c>
      <c r="P234" s="281">
        <f t="shared" si="9"/>
        <v>-23</v>
      </c>
      <c r="Q234" s="269">
        <f t="shared" si="11"/>
        <v>-1.023723683624872E-3</v>
      </c>
    </row>
    <row r="235" spans="1:17" ht="18">
      <c r="A235" s="79" t="s">
        <v>411</v>
      </c>
      <c r="B235" s="79" t="s">
        <v>504</v>
      </c>
      <c r="C235" s="80" t="s">
        <v>505</v>
      </c>
      <c r="D235" s="81">
        <v>5.6700000000000001E-4</v>
      </c>
      <c r="E235" s="82">
        <v>2244</v>
      </c>
      <c r="F235" s="5"/>
      <c r="G235" s="71">
        <v>6.9300000000000004E-4</v>
      </c>
      <c r="H235" s="83">
        <v>15543</v>
      </c>
      <c r="I235" s="7"/>
      <c r="J235" s="84">
        <v>17787</v>
      </c>
      <c r="K235" s="105">
        <v>9.7999999999999997E-3</v>
      </c>
      <c r="L235" s="85">
        <v>174</v>
      </c>
      <c r="M235" s="257">
        <f t="shared" si="10"/>
        <v>17613</v>
      </c>
      <c r="N235" s="88">
        <v>2668</v>
      </c>
      <c r="O235" s="87">
        <v>16626</v>
      </c>
      <c r="P235" s="281">
        <f t="shared" si="9"/>
        <v>1161</v>
      </c>
      <c r="Q235" s="269">
        <f t="shared" si="11"/>
        <v>6.9830386142186937E-2</v>
      </c>
    </row>
    <row r="236" spans="1:17" ht="18">
      <c r="A236" s="79" t="s">
        <v>411</v>
      </c>
      <c r="B236" s="79" t="s">
        <v>506</v>
      </c>
      <c r="C236" s="80" t="s">
        <v>507</v>
      </c>
      <c r="D236" s="81">
        <v>4.3270000000000001E-3</v>
      </c>
      <c r="E236" s="82">
        <v>17126</v>
      </c>
      <c r="F236" s="5"/>
      <c r="G236" s="71">
        <v>7.4929999999999997E-3</v>
      </c>
      <c r="H236" s="83">
        <v>168055</v>
      </c>
      <c r="I236" s="7"/>
      <c r="J236" s="84">
        <v>185181</v>
      </c>
      <c r="K236" s="105">
        <v>9.7999999999999997E-3</v>
      </c>
      <c r="L236" s="85">
        <v>1815</v>
      </c>
      <c r="M236" s="257">
        <f t="shared" si="10"/>
        <v>183366</v>
      </c>
      <c r="N236" s="88">
        <v>27777</v>
      </c>
      <c r="O236" s="87">
        <v>183656</v>
      </c>
      <c r="P236" s="281">
        <f t="shared" si="9"/>
        <v>1525</v>
      </c>
      <c r="Q236" s="269">
        <f t="shared" si="11"/>
        <v>8.3035675393126288E-3</v>
      </c>
    </row>
    <row r="237" spans="1:17" ht="18">
      <c r="A237" s="79" t="s">
        <v>411</v>
      </c>
      <c r="B237" s="79" t="s">
        <v>508</v>
      </c>
      <c r="C237" s="80" t="s">
        <v>509</v>
      </c>
      <c r="D237" s="81">
        <v>4.0000000000000002E-4</v>
      </c>
      <c r="E237" s="82">
        <v>1583</v>
      </c>
      <c r="F237" s="5"/>
      <c r="G237" s="71">
        <v>1.196E-3</v>
      </c>
      <c r="H237" s="83">
        <v>26824</v>
      </c>
      <c r="I237" s="7"/>
      <c r="J237" s="84">
        <v>28407</v>
      </c>
      <c r="K237" s="105">
        <v>9.7999999999999997E-3</v>
      </c>
      <c r="L237" s="85">
        <v>278</v>
      </c>
      <c r="M237" s="257">
        <f t="shared" si="10"/>
        <v>28129</v>
      </c>
      <c r="N237" s="88">
        <v>4261</v>
      </c>
      <c r="O237" s="87">
        <v>28985</v>
      </c>
      <c r="P237" s="281">
        <f t="shared" si="9"/>
        <v>-578</v>
      </c>
      <c r="Q237" s="269">
        <f t="shared" si="11"/>
        <v>-1.994134897360704E-2</v>
      </c>
    </row>
    <row r="238" spans="1:17" ht="18">
      <c r="A238" s="79" t="s">
        <v>411</v>
      </c>
      <c r="B238" s="79" t="s">
        <v>510</v>
      </c>
      <c r="C238" s="80" t="s">
        <v>511</v>
      </c>
      <c r="D238" s="81">
        <v>5.0390000000000001E-3</v>
      </c>
      <c r="E238" s="82">
        <v>19944</v>
      </c>
      <c r="F238" s="5"/>
      <c r="G238" s="71">
        <v>1.4560999999999999E-2</v>
      </c>
      <c r="H238" s="83">
        <v>326579</v>
      </c>
      <c r="I238" s="7"/>
      <c r="J238" s="84">
        <v>346523</v>
      </c>
      <c r="K238" s="105">
        <v>9.7999999999999997E-3</v>
      </c>
      <c r="L238" s="85">
        <v>3396</v>
      </c>
      <c r="M238" s="257">
        <f t="shared" si="10"/>
        <v>343127</v>
      </c>
      <c r="N238" s="88">
        <v>51978</v>
      </c>
      <c r="O238" s="87">
        <v>325845</v>
      </c>
      <c r="P238" s="281">
        <f t="shared" si="9"/>
        <v>20678</v>
      </c>
      <c r="Q238" s="269">
        <f t="shared" si="11"/>
        <v>6.3459620371649095E-2</v>
      </c>
    </row>
    <row r="239" spans="1:17" ht="18">
      <c r="A239" s="79" t="s">
        <v>411</v>
      </c>
      <c r="B239" s="79" t="s">
        <v>512</v>
      </c>
      <c r="C239" s="80" t="s">
        <v>513</v>
      </c>
      <c r="D239" s="81">
        <v>1.167E-2</v>
      </c>
      <c r="E239" s="82">
        <v>46190</v>
      </c>
      <c r="F239" s="5"/>
      <c r="G239" s="71">
        <v>2.1127E-2</v>
      </c>
      <c r="H239" s="83">
        <v>473843</v>
      </c>
      <c r="I239" s="7"/>
      <c r="J239" s="84">
        <v>520033</v>
      </c>
      <c r="K239" s="105">
        <v>9.7999999999999997E-3</v>
      </c>
      <c r="L239" s="85">
        <v>5096</v>
      </c>
      <c r="M239" s="257">
        <f t="shared" si="10"/>
        <v>514937</v>
      </c>
      <c r="N239" s="88">
        <v>78005</v>
      </c>
      <c r="O239" s="87">
        <v>516450</v>
      </c>
      <c r="P239" s="281">
        <f t="shared" si="9"/>
        <v>3583</v>
      </c>
      <c r="Q239" s="269">
        <f t="shared" si="11"/>
        <v>6.9377480879078326E-3</v>
      </c>
    </row>
    <row r="240" spans="1:17" ht="18">
      <c r="A240" s="79" t="s">
        <v>411</v>
      </c>
      <c r="B240" s="79" t="s">
        <v>514</v>
      </c>
      <c r="C240" s="80" t="s">
        <v>515</v>
      </c>
      <c r="D240" s="81">
        <v>3.349E-3</v>
      </c>
      <c r="E240" s="82">
        <v>13255</v>
      </c>
      <c r="F240" s="5"/>
      <c r="G240" s="71">
        <v>3.4280000000000001E-3</v>
      </c>
      <c r="H240" s="83">
        <v>76884</v>
      </c>
      <c r="I240" s="7"/>
      <c r="J240" s="84">
        <v>90139</v>
      </c>
      <c r="K240" s="105">
        <v>9.7999999999999997E-3</v>
      </c>
      <c r="L240" s="85">
        <v>883</v>
      </c>
      <c r="M240" s="257">
        <f t="shared" si="10"/>
        <v>89256</v>
      </c>
      <c r="N240" s="88">
        <v>13521</v>
      </c>
      <c r="O240" s="87">
        <v>89427</v>
      </c>
      <c r="P240" s="281">
        <f t="shared" si="9"/>
        <v>712</v>
      </c>
      <c r="Q240" s="269">
        <f t="shared" si="11"/>
        <v>7.9618012457087911E-3</v>
      </c>
    </row>
    <row r="241" spans="1:17" ht="18.75" thickBot="1">
      <c r="A241" s="90" t="s">
        <v>411</v>
      </c>
      <c r="B241" s="90" t="s">
        <v>516</v>
      </c>
      <c r="C241" s="91" t="s">
        <v>517</v>
      </c>
      <c r="D241" s="92">
        <v>8.5700000000000001E-4</v>
      </c>
      <c r="E241" s="93">
        <v>3392</v>
      </c>
      <c r="F241" s="94"/>
      <c r="G241" s="95">
        <v>1.7440000000000001E-3</v>
      </c>
      <c r="H241" s="96">
        <v>39115</v>
      </c>
      <c r="I241" s="7"/>
      <c r="J241" s="97">
        <v>42507</v>
      </c>
      <c r="K241" s="109">
        <v>9.7999999999999997E-3</v>
      </c>
      <c r="L241" s="99">
        <v>417</v>
      </c>
      <c r="M241" s="258">
        <f t="shared" si="10"/>
        <v>42090</v>
      </c>
      <c r="N241" s="102">
        <v>6376</v>
      </c>
      <c r="O241" s="101">
        <v>40767</v>
      </c>
      <c r="P241" s="282">
        <f t="shared" si="9"/>
        <v>1740</v>
      </c>
      <c r="Q241" s="269">
        <f t="shared" si="11"/>
        <v>4.2681580690264183E-2</v>
      </c>
    </row>
    <row r="242" spans="1:17" ht="18">
      <c r="A242" s="79" t="s">
        <v>518</v>
      </c>
      <c r="B242" s="79" t="s">
        <v>519</v>
      </c>
      <c r="C242" s="80" t="s">
        <v>520</v>
      </c>
      <c r="D242" s="81">
        <v>1.0009999999999999E-3</v>
      </c>
      <c r="E242" s="82">
        <v>3962</v>
      </c>
      <c r="F242" s="5"/>
      <c r="G242" s="103">
        <v>1.0759999999999999E-3</v>
      </c>
      <c r="H242" s="72">
        <v>24133</v>
      </c>
      <c r="I242" s="7"/>
      <c r="J242" s="73">
        <v>28095</v>
      </c>
      <c r="K242" s="104">
        <v>1.9400000000000001E-2</v>
      </c>
      <c r="L242" s="75">
        <v>545</v>
      </c>
      <c r="M242" s="256">
        <f t="shared" si="10"/>
        <v>27550</v>
      </c>
      <c r="N242" s="77">
        <v>4214</v>
      </c>
      <c r="O242" s="76">
        <v>27652</v>
      </c>
      <c r="P242" s="280">
        <f t="shared" si="9"/>
        <v>443</v>
      </c>
      <c r="Q242" s="269">
        <f t="shared" si="11"/>
        <v>1.6020541009691885E-2</v>
      </c>
    </row>
    <row r="243" spans="1:17" ht="18">
      <c r="A243" s="79" t="s">
        <v>518</v>
      </c>
      <c r="B243" s="79" t="s">
        <v>521</v>
      </c>
      <c r="C243" s="80" t="s">
        <v>522</v>
      </c>
      <c r="D243" s="81">
        <v>7.45E-4</v>
      </c>
      <c r="E243" s="82">
        <v>2949</v>
      </c>
      <c r="F243" s="5"/>
      <c r="G243" s="71">
        <v>4.7800000000000002E-4</v>
      </c>
      <c r="H243" s="83">
        <v>10721</v>
      </c>
      <c r="I243" s="7"/>
      <c r="J243" s="84">
        <v>13670</v>
      </c>
      <c r="K243" s="105">
        <v>1.9400000000000001E-2</v>
      </c>
      <c r="L243" s="85">
        <v>265</v>
      </c>
      <c r="M243" s="257">
        <f t="shared" si="10"/>
        <v>13405</v>
      </c>
      <c r="N243" s="88">
        <v>2051</v>
      </c>
      <c r="O243" s="87">
        <v>14322</v>
      </c>
      <c r="P243" s="281">
        <f t="shared" si="9"/>
        <v>-652</v>
      </c>
      <c r="Q243" s="269">
        <f t="shared" si="11"/>
        <v>-4.5524368105013265E-2</v>
      </c>
    </row>
    <row r="244" spans="1:17" ht="18">
      <c r="A244" s="79" t="s">
        <v>518</v>
      </c>
      <c r="B244" s="79" t="s">
        <v>523</v>
      </c>
      <c r="C244" s="80" t="s">
        <v>524</v>
      </c>
      <c r="D244" s="81">
        <v>3.3399999999999999E-4</v>
      </c>
      <c r="E244" s="82">
        <v>1322</v>
      </c>
      <c r="F244" s="5"/>
      <c r="G244" s="71">
        <v>7.2300000000000001E-4</v>
      </c>
      <c r="H244" s="83">
        <v>16216</v>
      </c>
      <c r="I244" s="7"/>
      <c r="J244" s="84">
        <v>17538</v>
      </c>
      <c r="K244" s="105">
        <v>1.9400000000000001E-2</v>
      </c>
      <c r="L244" s="85">
        <v>340</v>
      </c>
      <c r="M244" s="257">
        <f t="shared" si="10"/>
        <v>17198</v>
      </c>
      <c r="N244" s="88">
        <v>2631</v>
      </c>
      <c r="O244" s="87">
        <v>19315</v>
      </c>
      <c r="P244" s="281">
        <f t="shared" si="9"/>
        <v>-1777</v>
      </c>
      <c r="Q244" s="269">
        <f t="shared" si="11"/>
        <v>-9.2001035464664774E-2</v>
      </c>
    </row>
    <row r="245" spans="1:17" ht="18">
      <c r="A245" s="79" t="s">
        <v>518</v>
      </c>
      <c r="B245" s="79" t="s">
        <v>525</v>
      </c>
      <c r="C245" s="80" t="s">
        <v>526</v>
      </c>
      <c r="D245" s="81">
        <v>2.8899999999999998E-4</v>
      </c>
      <c r="E245" s="82">
        <v>1144</v>
      </c>
      <c r="F245" s="5"/>
      <c r="G245" s="71">
        <v>5.1400000000000003E-4</v>
      </c>
      <c r="H245" s="83">
        <v>11528</v>
      </c>
      <c r="I245" s="7"/>
      <c r="J245" s="84">
        <v>12672</v>
      </c>
      <c r="K245" s="105">
        <v>1.9400000000000001E-2</v>
      </c>
      <c r="L245" s="85">
        <v>246</v>
      </c>
      <c r="M245" s="257">
        <f t="shared" si="10"/>
        <v>12426</v>
      </c>
      <c r="N245" s="88">
        <v>1901</v>
      </c>
      <c r="O245" s="87">
        <v>14451</v>
      </c>
      <c r="P245" s="281">
        <f t="shared" si="9"/>
        <v>-1779</v>
      </c>
      <c r="Q245" s="269">
        <f t="shared" si="11"/>
        <v>-0.12310566742785967</v>
      </c>
    </row>
    <row r="246" spans="1:17" ht="18">
      <c r="A246" s="79" t="s">
        <v>518</v>
      </c>
      <c r="B246" s="79" t="s">
        <v>527</v>
      </c>
      <c r="C246" s="80" t="s">
        <v>528</v>
      </c>
      <c r="D246" s="81">
        <v>1.3129999999999999E-3</v>
      </c>
      <c r="E246" s="82">
        <v>5197</v>
      </c>
      <c r="F246" s="5"/>
      <c r="G246" s="71">
        <v>1.2689999999999999E-3</v>
      </c>
      <c r="H246" s="83">
        <v>28462</v>
      </c>
      <c r="I246" s="7"/>
      <c r="J246" s="84">
        <v>33659</v>
      </c>
      <c r="K246" s="105">
        <v>1.9400000000000001E-2</v>
      </c>
      <c r="L246" s="85">
        <v>653</v>
      </c>
      <c r="M246" s="257">
        <f t="shared" si="10"/>
        <v>33006</v>
      </c>
      <c r="N246" s="88">
        <v>5049</v>
      </c>
      <c r="O246" s="87">
        <v>34203</v>
      </c>
      <c r="P246" s="281">
        <f t="shared" si="9"/>
        <v>-544</v>
      </c>
      <c r="Q246" s="269">
        <f t="shared" si="11"/>
        <v>-1.5905037569803819E-2</v>
      </c>
    </row>
    <row r="247" spans="1:17" ht="18">
      <c r="A247" s="79" t="s">
        <v>518</v>
      </c>
      <c r="B247" s="79" t="s">
        <v>529</v>
      </c>
      <c r="C247" s="80" t="s">
        <v>530</v>
      </c>
      <c r="D247" s="81">
        <v>1.2130000000000001E-3</v>
      </c>
      <c r="E247" s="82">
        <v>4801</v>
      </c>
      <c r="F247" s="5"/>
      <c r="G247" s="71">
        <v>1.8240000000000001E-3</v>
      </c>
      <c r="H247" s="83">
        <v>40909</v>
      </c>
      <c r="I247" s="7"/>
      <c r="J247" s="84">
        <v>45710</v>
      </c>
      <c r="K247" s="105">
        <v>1.9400000000000001E-2</v>
      </c>
      <c r="L247" s="85">
        <v>887</v>
      </c>
      <c r="M247" s="257">
        <f t="shared" si="10"/>
        <v>44823</v>
      </c>
      <c r="N247" s="88">
        <v>6857</v>
      </c>
      <c r="O247" s="87">
        <v>45803</v>
      </c>
      <c r="P247" s="281">
        <f t="shared" si="9"/>
        <v>-93</v>
      </c>
      <c r="Q247" s="269">
        <f t="shared" si="11"/>
        <v>-2.0304346876842128E-3</v>
      </c>
    </row>
    <row r="248" spans="1:17" ht="18">
      <c r="A248" s="79" t="s">
        <v>518</v>
      </c>
      <c r="B248" s="79" t="s">
        <v>531</v>
      </c>
      <c r="C248" s="80" t="s">
        <v>532</v>
      </c>
      <c r="D248" s="81">
        <v>1.09E-3</v>
      </c>
      <c r="E248" s="82">
        <v>4314</v>
      </c>
      <c r="F248" s="5"/>
      <c r="G248" s="71">
        <v>1.5920000000000001E-3</v>
      </c>
      <c r="H248" s="83">
        <v>35706</v>
      </c>
      <c r="I248" s="7"/>
      <c r="J248" s="84">
        <v>40020</v>
      </c>
      <c r="K248" s="105">
        <v>1.9400000000000001E-2</v>
      </c>
      <c r="L248" s="85">
        <v>776</v>
      </c>
      <c r="M248" s="257">
        <f t="shared" si="10"/>
        <v>39244</v>
      </c>
      <c r="N248" s="88">
        <v>6003</v>
      </c>
      <c r="O248" s="87">
        <v>39729</v>
      </c>
      <c r="P248" s="281">
        <f t="shared" si="9"/>
        <v>291</v>
      </c>
      <c r="Q248" s="269">
        <f t="shared" si="11"/>
        <v>7.3246243298346293E-3</v>
      </c>
    </row>
    <row r="249" spans="1:17" ht="18">
      <c r="A249" s="79" t="s">
        <v>518</v>
      </c>
      <c r="B249" s="79" t="s">
        <v>533</v>
      </c>
      <c r="C249" s="80" t="s">
        <v>534</v>
      </c>
      <c r="D249" s="81">
        <v>8.4500000000000005E-4</v>
      </c>
      <c r="E249" s="82">
        <v>3345</v>
      </c>
      <c r="F249" s="5"/>
      <c r="G249" s="71">
        <v>6.2600000000000004E-4</v>
      </c>
      <c r="H249" s="83">
        <v>14040</v>
      </c>
      <c r="I249" s="7"/>
      <c r="J249" s="84">
        <v>17385</v>
      </c>
      <c r="K249" s="105">
        <v>1.9400000000000001E-2</v>
      </c>
      <c r="L249" s="85">
        <v>337</v>
      </c>
      <c r="M249" s="257">
        <f t="shared" si="10"/>
        <v>17048</v>
      </c>
      <c r="N249" s="88">
        <v>2608</v>
      </c>
      <c r="O249" s="87">
        <v>18310</v>
      </c>
      <c r="P249" s="281">
        <f t="shared" si="9"/>
        <v>-925</v>
      </c>
      <c r="Q249" s="269">
        <f t="shared" si="11"/>
        <v>-5.0518842162752597E-2</v>
      </c>
    </row>
    <row r="250" spans="1:17" ht="18">
      <c r="A250" s="79" t="s">
        <v>518</v>
      </c>
      <c r="B250" s="79" t="s">
        <v>535</v>
      </c>
      <c r="C250" s="80" t="s">
        <v>536</v>
      </c>
      <c r="D250" s="81">
        <v>1.869E-3</v>
      </c>
      <c r="E250" s="82">
        <v>7397</v>
      </c>
      <c r="F250" s="5"/>
      <c r="G250" s="71">
        <v>1.836E-3</v>
      </c>
      <c r="H250" s="83">
        <v>41178</v>
      </c>
      <c r="I250" s="7"/>
      <c r="J250" s="84">
        <v>48575</v>
      </c>
      <c r="K250" s="105">
        <v>1.9400000000000001E-2</v>
      </c>
      <c r="L250" s="85">
        <v>942</v>
      </c>
      <c r="M250" s="257">
        <f t="shared" si="10"/>
        <v>47633</v>
      </c>
      <c r="N250" s="88">
        <v>7286</v>
      </c>
      <c r="O250" s="87">
        <v>52296</v>
      </c>
      <c r="P250" s="281">
        <f t="shared" si="9"/>
        <v>-3721</v>
      </c>
      <c r="Q250" s="269">
        <f t="shared" si="11"/>
        <v>-7.1152669420223344E-2</v>
      </c>
    </row>
    <row r="251" spans="1:17" ht="18">
      <c r="A251" s="79" t="s">
        <v>518</v>
      </c>
      <c r="B251" s="79" t="s">
        <v>537</v>
      </c>
      <c r="C251" s="80" t="s">
        <v>538</v>
      </c>
      <c r="D251" s="81">
        <v>6.9639999999999997E-3</v>
      </c>
      <c r="E251" s="82">
        <v>27563</v>
      </c>
      <c r="F251" s="5"/>
      <c r="G251" s="71">
        <v>4.1949999999999999E-3</v>
      </c>
      <c r="H251" s="83">
        <v>94087</v>
      </c>
      <c r="I251" s="7"/>
      <c r="J251" s="84">
        <v>121650</v>
      </c>
      <c r="K251" s="105">
        <v>1.9400000000000001E-2</v>
      </c>
      <c r="L251" s="85">
        <v>2360</v>
      </c>
      <c r="M251" s="257">
        <f t="shared" si="10"/>
        <v>119290</v>
      </c>
      <c r="N251" s="88">
        <v>18248</v>
      </c>
      <c r="O251" s="87">
        <v>119217</v>
      </c>
      <c r="P251" s="281">
        <f t="shared" si="9"/>
        <v>2433</v>
      </c>
      <c r="Q251" s="269">
        <f t="shared" si="11"/>
        <v>2.0408163265306121E-2</v>
      </c>
    </row>
    <row r="252" spans="1:17" ht="18">
      <c r="A252" s="79" t="s">
        <v>518</v>
      </c>
      <c r="B252" s="79" t="s">
        <v>539</v>
      </c>
      <c r="C252" s="80" t="s">
        <v>540</v>
      </c>
      <c r="D252" s="81">
        <v>1.268E-3</v>
      </c>
      <c r="E252" s="82">
        <v>5019</v>
      </c>
      <c r="F252" s="5"/>
      <c r="G252" s="71">
        <v>8.7200000000000005E-4</v>
      </c>
      <c r="H252" s="83">
        <v>19557</v>
      </c>
      <c r="I252" s="7"/>
      <c r="J252" s="84">
        <v>24576</v>
      </c>
      <c r="K252" s="105">
        <v>1.9400000000000001E-2</v>
      </c>
      <c r="L252" s="85">
        <v>477</v>
      </c>
      <c r="M252" s="257">
        <f t="shared" si="10"/>
        <v>24099</v>
      </c>
      <c r="N252" s="88">
        <v>3686</v>
      </c>
      <c r="O252" s="87">
        <v>24523</v>
      </c>
      <c r="P252" s="281">
        <f t="shared" si="9"/>
        <v>53</v>
      </c>
      <c r="Q252" s="269">
        <f t="shared" si="11"/>
        <v>2.1612363903274479E-3</v>
      </c>
    </row>
    <row r="253" spans="1:17" ht="18">
      <c r="A253" s="79" t="s">
        <v>518</v>
      </c>
      <c r="B253" s="79" t="s">
        <v>541</v>
      </c>
      <c r="C253" s="80" t="s">
        <v>542</v>
      </c>
      <c r="D253" s="81">
        <v>5.9000000000000003E-4</v>
      </c>
      <c r="E253" s="82">
        <v>2335</v>
      </c>
      <c r="F253" s="5"/>
      <c r="G253" s="71">
        <v>8.7799999999999998E-4</v>
      </c>
      <c r="H253" s="83">
        <v>19692</v>
      </c>
      <c r="I253" s="7"/>
      <c r="J253" s="84">
        <v>22027</v>
      </c>
      <c r="K253" s="105">
        <v>1.9400000000000001E-2</v>
      </c>
      <c r="L253" s="85">
        <v>427</v>
      </c>
      <c r="M253" s="257">
        <f t="shared" si="10"/>
        <v>21600</v>
      </c>
      <c r="N253" s="88">
        <v>3304</v>
      </c>
      <c r="O253" s="87">
        <v>22020</v>
      </c>
      <c r="P253" s="281">
        <f t="shared" si="9"/>
        <v>7</v>
      </c>
      <c r="Q253" s="269">
        <f t="shared" si="11"/>
        <v>3.1789282470481378E-4</v>
      </c>
    </row>
    <row r="254" spans="1:17" ht="18">
      <c r="A254" s="79" t="s">
        <v>518</v>
      </c>
      <c r="B254" s="79" t="s">
        <v>543</v>
      </c>
      <c r="C254" s="80" t="s">
        <v>544</v>
      </c>
      <c r="D254" s="81">
        <v>8.34E-4</v>
      </c>
      <c r="E254" s="82">
        <v>3301</v>
      </c>
      <c r="F254" s="5"/>
      <c r="G254" s="71">
        <v>9.3400000000000004E-4</v>
      </c>
      <c r="H254" s="83">
        <v>20948</v>
      </c>
      <c r="I254" s="7"/>
      <c r="J254" s="84">
        <v>24249</v>
      </c>
      <c r="K254" s="105">
        <v>1.9400000000000001E-2</v>
      </c>
      <c r="L254" s="85">
        <v>470</v>
      </c>
      <c r="M254" s="257">
        <f t="shared" si="10"/>
        <v>23779</v>
      </c>
      <c r="N254" s="88">
        <v>3637</v>
      </c>
      <c r="O254" s="87">
        <v>25557</v>
      </c>
      <c r="P254" s="281">
        <f t="shared" si="9"/>
        <v>-1308</v>
      </c>
      <c r="Q254" s="269">
        <f t="shared" si="11"/>
        <v>-5.1179715929099659E-2</v>
      </c>
    </row>
    <row r="255" spans="1:17" ht="18">
      <c r="A255" s="79" t="s">
        <v>518</v>
      </c>
      <c r="B255" s="79" t="s">
        <v>545</v>
      </c>
      <c r="C255" s="80" t="s">
        <v>546</v>
      </c>
      <c r="D255" s="81">
        <v>1.4679999999999999E-3</v>
      </c>
      <c r="E255" s="82">
        <v>5810</v>
      </c>
      <c r="F255" s="5"/>
      <c r="G255" s="71">
        <v>1.4339999999999999E-3</v>
      </c>
      <c r="H255" s="83">
        <v>32162</v>
      </c>
      <c r="I255" s="7"/>
      <c r="J255" s="84">
        <v>37972</v>
      </c>
      <c r="K255" s="105">
        <v>1.9400000000000001E-2</v>
      </c>
      <c r="L255" s="85">
        <v>737</v>
      </c>
      <c r="M255" s="257">
        <f t="shared" si="10"/>
        <v>37235</v>
      </c>
      <c r="N255" s="88">
        <v>5696</v>
      </c>
      <c r="O255" s="87">
        <v>40607</v>
      </c>
      <c r="P255" s="281">
        <f t="shared" si="9"/>
        <v>-2635</v>
      </c>
      <c r="Q255" s="269">
        <f t="shared" si="11"/>
        <v>-6.4890289851503441E-2</v>
      </c>
    </row>
    <row r="256" spans="1:17" ht="18">
      <c r="A256" s="79" t="s">
        <v>518</v>
      </c>
      <c r="B256" s="79" t="s">
        <v>547</v>
      </c>
      <c r="C256" s="80" t="s">
        <v>548</v>
      </c>
      <c r="D256" s="81">
        <v>6.3400000000000001E-4</v>
      </c>
      <c r="E256" s="82">
        <v>2509</v>
      </c>
      <c r="F256" s="5"/>
      <c r="G256" s="71">
        <v>1.1230000000000001E-3</v>
      </c>
      <c r="H256" s="83">
        <v>25187</v>
      </c>
      <c r="I256" s="7"/>
      <c r="J256" s="84">
        <v>27696</v>
      </c>
      <c r="K256" s="105">
        <v>1.9400000000000001E-2</v>
      </c>
      <c r="L256" s="85">
        <v>537</v>
      </c>
      <c r="M256" s="257">
        <f t="shared" si="10"/>
        <v>27159</v>
      </c>
      <c r="N256" s="88">
        <v>4154</v>
      </c>
      <c r="O256" s="87">
        <v>28193</v>
      </c>
      <c r="P256" s="281">
        <f t="shared" si="9"/>
        <v>-497</v>
      </c>
      <c r="Q256" s="269">
        <f t="shared" si="11"/>
        <v>-1.7628489341325861E-2</v>
      </c>
    </row>
    <row r="257" spans="1:17" ht="18">
      <c r="A257" s="79" t="s">
        <v>518</v>
      </c>
      <c r="B257" s="79" t="s">
        <v>549</v>
      </c>
      <c r="C257" s="80" t="s">
        <v>550</v>
      </c>
      <c r="D257" s="81">
        <v>5.0100000000000003E-4</v>
      </c>
      <c r="E257" s="82">
        <v>1983</v>
      </c>
      <c r="F257" s="5"/>
      <c r="G257" s="71">
        <v>9.3400000000000004E-4</v>
      </c>
      <c r="H257" s="83">
        <v>20948</v>
      </c>
      <c r="I257" s="7"/>
      <c r="J257" s="84">
        <v>22931</v>
      </c>
      <c r="K257" s="105">
        <v>1.9400000000000001E-2</v>
      </c>
      <c r="L257" s="85">
        <v>445</v>
      </c>
      <c r="M257" s="257">
        <f t="shared" si="10"/>
        <v>22486</v>
      </c>
      <c r="N257" s="88">
        <v>3440</v>
      </c>
      <c r="O257" s="87">
        <v>23129</v>
      </c>
      <c r="P257" s="281">
        <f t="shared" si="9"/>
        <v>-198</v>
      </c>
      <c r="Q257" s="269">
        <f t="shared" si="11"/>
        <v>-8.5606813956504817E-3</v>
      </c>
    </row>
    <row r="258" spans="1:17" ht="18">
      <c r="A258" s="79" t="s">
        <v>518</v>
      </c>
      <c r="B258" s="79" t="s">
        <v>551</v>
      </c>
      <c r="C258" s="80" t="s">
        <v>552</v>
      </c>
      <c r="D258" s="81">
        <v>5.3399999999999997E-4</v>
      </c>
      <c r="E258" s="82">
        <v>2114</v>
      </c>
      <c r="F258" s="5"/>
      <c r="G258" s="71">
        <v>1.2979999999999999E-3</v>
      </c>
      <c r="H258" s="83">
        <v>29112</v>
      </c>
      <c r="I258" s="7"/>
      <c r="J258" s="84">
        <v>31226</v>
      </c>
      <c r="K258" s="105">
        <v>1.9400000000000001E-2</v>
      </c>
      <c r="L258" s="85">
        <v>606</v>
      </c>
      <c r="M258" s="257">
        <f t="shared" si="10"/>
        <v>30620</v>
      </c>
      <c r="N258" s="88">
        <v>4684</v>
      </c>
      <c r="O258" s="87">
        <v>30419</v>
      </c>
      <c r="P258" s="281">
        <f t="shared" si="9"/>
        <v>807</v>
      </c>
      <c r="Q258" s="269">
        <f t="shared" si="11"/>
        <v>2.6529471711759098E-2</v>
      </c>
    </row>
    <row r="259" spans="1:17" ht="18">
      <c r="A259" s="79" t="s">
        <v>518</v>
      </c>
      <c r="B259" s="79" t="s">
        <v>553</v>
      </c>
      <c r="C259" s="80" t="s">
        <v>554</v>
      </c>
      <c r="D259" s="81">
        <v>3.326E-3</v>
      </c>
      <c r="E259" s="82">
        <v>13164</v>
      </c>
      <c r="F259" s="5"/>
      <c r="G259" s="71">
        <v>4.9550000000000002E-3</v>
      </c>
      <c r="H259" s="83">
        <v>111132</v>
      </c>
      <c r="I259" s="7"/>
      <c r="J259" s="84">
        <v>124296</v>
      </c>
      <c r="K259" s="105">
        <v>1.9400000000000001E-2</v>
      </c>
      <c r="L259" s="85">
        <v>2411</v>
      </c>
      <c r="M259" s="257">
        <f t="shared" si="10"/>
        <v>121885</v>
      </c>
      <c r="N259" s="88">
        <v>18644</v>
      </c>
      <c r="O259" s="87">
        <v>127050</v>
      </c>
      <c r="P259" s="281">
        <f t="shared" si="9"/>
        <v>-2754</v>
      </c>
      <c r="Q259" s="269">
        <f t="shared" si="11"/>
        <v>-2.1676505312868948E-2</v>
      </c>
    </row>
    <row r="260" spans="1:17" ht="18">
      <c r="A260" s="79" t="s">
        <v>518</v>
      </c>
      <c r="B260" s="79" t="s">
        <v>555</v>
      </c>
      <c r="C260" s="80" t="s">
        <v>556</v>
      </c>
      <c r="D260" s="81">
        <v>8.7900000000000001E-4</v>
      </c>
      <c r="E260" s="82">
        <v>3479</v>
      </c>
      <c r="F260" s="5"/>
      <c r="G260" s="71">
        <v>1.031E-3</v>
      </c>
      <c r="H260" s="83">
        <v>23124</v>
      </c>
      <c r="I260" s="7"/>
      <c r="J260" s="84">
        <v>26603</v>
      </c>
      <c r="K260" s="105">
        <v>1.9400000000000001E-2</v>
      </c>
      <c r="L260" s="85">
        <v>516</v>
      </c>
      <c r="M260" s="257">
        <f t="shared" si="10"/>
        <v>26087</v>
      </c>
      <c r="N260" s="88">
        <v>3990</v>
      </c>
      <c r="O260" s="87">
        <v>27311</v>
      </c>
      <c r="P260" s="281">
        <f t="shared" si="9"/>
        <v>-708</v>
      </c>
      <c r="Q260" s="269">
        <f t="shared" si="11"/>
        <v>-2.5923620519204715E-2</v>
      </c>
    </row>
    <row r="261" spans="1:17" ht="18">
      <c r="A261" s="79" t="s">
        <v>518</v>
      </c>
      <c r="B261" s="79" t="s">
        <v>557</v>
      </c>
      <c r="C261" s="80" t="s">
        <v>558</v>
      </c>
      <c r="D261" s="81">
        <v>6.8999999999999997E-4</v>
      </c>
      <c r="E261" s="82">
        <v>2731</v>
      </c>
      <c r="F261" s="5"/>
      <c r="G261" s="71">
        <v>9.3000000000000005E-4</v>
      </c>
      <c r="H261" s="83">
        <v>20858</v>
      </c>
      <c r="I261" s="7"/>
      <c r="J261" s="84">
        <v>23589</v>
      </c>
      <c r="K261" s="105">
        <v>1.9400000000000001E-2</v>
      </c>
      <c r="L261" s="85">
        <v>458</v>
      </c>
      <c r="M261" s="257">
        <f t="shared" si="10"/>
        <v>23131</v>
      </c>
      <c r="N261" s="88">
        <v>3538</v>
      </c>
      <c r="O261" s="87">
        <v>24362</v>
      </c>
      <c r="P261" s="281">
        <f t="shared" si="9"/>
        <v>-773</v>
      </c>
      <c r="Q261" s="269">
        <f t="shared" si="11"/>
        <v>-3.1729743042443151E-2</v>
      </c>
    </row>
    <row r="262" spans="1:17" ht="18">
      <c r="A262" s="79" t="s">
        <v>518</v>
      </c>
      <c r="B262" s="79" t="s">
        <v>559</v>
      </c>
      <c r="C262" s="80" t="s">
        <v>560</v>
      </c>
      <c r="D262" s="81">
        <v>1.98E-3</v>
      </c>
      <c r="E262" s="82">
        <v>7837</v>
      </c>
      <c r="F262" s="5"/>
      <c r="G262" s="71">
        <v>3.7759999999999998E-3</v>
      </c>
      <c r="H262" s="83">
        <v>84689</v>
      </c>
      <c r="I262" s="7"/>
      <c r="J262" s="84">
        <v>92526</v>
      </c>
      <c r="K262" s="105">
        <v>1.9400000000000001E-2</v>
      </c>
      <c r="L262" s="85">
        <v>1795</v>
      </c>
      <c r="M262" s="257">
        <f t="shared" si="10"/>
        <v>90731</v>
      </c>
      <c r="N262" s="88">
        <v>13879</v>
      </c>
      <c r="O262" s="87">
        <v>92208</v>
      </c>
      <c r="P262" s="281">
        <f t="shared" si="9"/>
        <v>318</v>
      </c>
      <c r="Q262" s="269">
        <f t="shared" si="11"/>
        <v>3.4487246225923997E-3</v>
      </c>
    </row>
    <row r="263" spans="1:17" ht="18">
      <c r="A263" s="79" t="s">
        <v>518</v>
      </c>
      <c r="B263" s="79" t="s">
        <v>561</v>
      </c>
      <c r="C263" s="80" t="s">
        <v>562</v>
      </c>
      <c r="D263" s="81">
        <v>5.3399999999999997E-4</v>
      </c>
      <c r="E263" s="82">
        <v>2114</v>
      </c>
      <c r="F263" s="5"/>
      <c r="G263" s="71">
        <v>1.2310000000000001E-3</v>
      </c>
      <c r="H263" s="83">
        <v>27609</v>
      </c>
      <c r="I263" s="7"/>
      <c r="J263" s="84">
        <v>29723</v>
      </c>
      <c r="K263" s="105">
        <v>1.9400000000000001E-2</v>
      </c>
      <c r="L263" s="85">
        <v>577</v>
      </c>
      <c r="M263" s="257">
        <f t="shared" si="10"/>
        <v>29146</v>
      </c>
      <c r="N263" s="88">
        <v>4458</v>
      </c>
      <c r="O263" s="87">
        <v>30314</v>
      </c>
      <c r="P263" s="281">
        <f t="shared" si="9"/>
        <v>-591</v>
      </c>
      <c r="Q263" s="269">
        <f t="shared" si="11"/>
        <v>-1.9495942468826286E-2</v>
      </c>
    </row>
    <row r="264" spans="1:17" ht="18">
      <c r="A264" s="79" t="s">
        <v>518</v>
      </c>
      <c r="B264" s="79" t="s">
        <v>563</v>
      </c>
      <c r="C264" s="80" t="s">
        <v>564</v>
      </c>
      <c r="D264" s="81">
        <v>1.413E-3</v>
      </c>
      <c r="E264" s="82">
        <v>5593</v>
      </c>
      <c r="F264" s="5"/>
      <c r="G264" s="71">
        <v>1.9559999999999998E-3</v>
      </c>
      <c r="H264" s="83">
        <v>43870</v>
      </c>
      <c r="I264" s="7"/>
      <c r="J264" s="84">
        <v>49463</v>
      </c>
      <c r="K264" s="105">
        <v>1.9400000000000001E-2</v>
      </c>
      <c r="L264" s="85">
        <v>960</v>
      </c>
      <c r="M264" s="257">
        <f t="shared" si="10"/>
        <v>48503</v>
      </c>
      <c r="N264" s="88">
        <v>7419</v>
      </c>
      <c r="O264" s="87">
        <v>49032</v>
      </c>
      <c r="P264" s="281">
        <f t="shared" si="9"/>
        <v>431</v>
      </c>
      <c r="Q264" s="269">
        <f t="shared" si="11"/>
        <v>8.7901778430412789E-3</v>
      </c>
    </row>
    <row r="265" spans="1:17" ht="18">
      <c r="A265" s="79" t="s">
        <v>518</v>
      </c>
      <c r="B265" s="79" t="s">
        <v>565</v>
      </c>
      <c r="C265" s="80" t="s">
        <v>566</v>
      </c>
      <c r="D265" s="81">
        <v>7.0100000000000002E-4</v>
      </c>
      <c r="E265" s="82">
        <v>2775</v>
      </c>
      <c r="F265" s="5"/>
      <c r="G265" s="71">
        <v>6.1799999999999995E-4</v>
      </c>
      <c r="H265" s="83">
        <v>13861</v>
      </c>
      <c r="I265" s="7"/>
      <c r="J265" s="84">
        <v>16636</v>
      </c>
      <c r="K265" s="105">
        <v>1.9400000000000001E-2</v>
      </c>
      <c r="L265" s="85">
        <v>323</v>
      </c>
      <c r="M265" s="257">
        <f t="shared" si="10"/>
        <v>16313</v>
      </c>
      <c r="N265" s="88">
        <v>2495</v>
      </c>
      <c r="O265" s="87">
        <v>16783</v>
      </c>
      <c r="P265" s="281">
        <f t="shared" ref="P265:P328" si="12">+J265-O265</f>
        <v>-147</v>
      </c>
      <c r="Q265" s="269">
        <f t="shared" si="11"/>
        <v>-8.7588631353154971E-3</v>
      </c>
    </row>
    <row r="266" spans="1:17" ht="18">
      <c r="A266" s="79" t="s">
        <v>518</v>
      </c>
      <c r="B266" s="79" t="s">
        <v>567</v>
      </c>
      <c r="C266" s="80" t="s">
        <v>568</v>
      </c>
      <c r="D266" s="81">
        <v>1.913E-3</v>
      </c>
      <c r="E266" s="82">
        <v>7572</v>
      </c>
      <c r="F266" s="5"/>
      <c r="G266" s="71">
        <v>2.8029999999999999E-3</v>
      </c>
      <c r="H266" s="83">
        <v>62867</v>
      </c>
      <c r="I266" s="7"/>
      <c r="J266" s="84">
        <v>70439</v>
      </c>
      <c r="K266" s="105">
        <v>1.9400000000000001E-2</v>
      </c>
      <c r="L266" s="85">
        <v>1367</v>
      </c>
      <c r="M266" s="257">
        <f t="shared" ref="M266:M329" si="13">+J266-L266</f>
        <v>69072</v>
      </c>
      <c r="N266" s="88">
        <v>10566</v>
      </c>
      <c r="O266" s="87">
        <v>71650</v>
      </c>
      <c r="P266" s="281">
        <f t="shared" si="12"/>
        <v>-1211</v>
      </c>
      <c r="Q266" s="269">
        <f t="shared" ref="Q266:Q329" si="14">+P266/O266</f>
        <v>-1.6901605024424286E-2</v>
      </c>
    </row>
    <row r="267" spans="1:17" ht="18">
      <c r="A267" s="79" t="s">
        <v>518</v>
      </c>
      <c r="B267" s="79" t="s">
        <v>569</v>
      </c>
      <c r="C267" s="80" t="s">
        <v>570</v>
      </c>
      <c r="D267" s="81">
        <v>1.913E-3</v>
      </c>
      <c r="E267" s="82">
        <v>7572</v>
      </c>
      <c r="F267" s="5"/>
      <c r="G267" s="71">
        <v>2.4650000000000002E-3</v>
      </c>
      <c r="H267" s="83">
        <v>55286</v>
      </c>
      <c r="I267" s="7"/>
      <c r="J267" s="84">
        <v>62858</v>
      </c>
      <c r="K267" s="105">
        <v>1.9400000000000001E-2</v>
      </c>
      <c r="L267" s="85">
        <v>1219</v>
      </c>
      <c r="M267" s="257">
        <f t="shared" si="13"/>
        <v>61639</v>
      </c>
      <c r="N267" s="88">
        <v>9429</v>
      </c>
      <c r="O267" s="87">
        <v>63274</v>
      </c>
      <c r="P267" s="281">
        <f t="shared" si="12"/>
        <v>-416</v>
      </c>
      <c r="Q267" s="269">
        <f t="shared" si="14"/>
        <v>-6.5745803963713377E-3</v>
      </c>
    </row>
    <row r="268" spans="1:17" ht="18">
      <c r="A268" s="79" t="s">
        <v>518</v>
      </c>
      <c r="B268" s="79" t="s">
        <v>571</v>
      </c>
      <c r="C268" s="80" t="s">
        <v>572</v>
      </c>
      <c r="D268" s="81">
        <v>1.4239999999999999E-3</v>
      </c>
      <c r="E268" s="82">
        <v>5636</v>
      </c>
      <c r="F268" s="5"/>
      <c r="G268" s="71">
        <v>1.5280000000000001E-3</v>
      </c>
      <c r="H268" s="83">
        <v>34270</v>
      </c>
      <c r="I268" s="7"/>
      <c r="J268" s="84">
        <v>39906</v>
      </c>
      <c r="K268" s="105">
        <v>1.9400000000000001E-2</v>
      </c>
      <c r="L268" s="85">
        <v>774</v>
      </c>
      <c r="M268" s="257">
        <f t="shared" si="13"/>
        <v>39132</v>
      </c>
      <c r="N268" s="88">
        <v>5986</v>
      </c>
      <c r="O268" s="87">
        <v>41393</v>
      </c>
      <c r="P268" s="281">
        <f t="shared" si="12"/>
        <v>-1487</v>
      </c>
      <c r="Q268" s="269">
        <f t="shared" si="14"/>
        <v>-3.5923948493706663E-2</v>
      </c>
    </row>
    <row r="269" spans="1:17" ht="18">
      <c r="A269" s="79" t="s">
        <v>518</v>
      </c>
      <c r="B269" s="79" t="s">
        <v>573</v>
      </c>
      <c r="C269" s="80" t="s">
        <v>574</v>
      </c>
      <c r="D269" s="81">
        <v>1.7799999999999999E-3</v>
      </c>
      <c r="E269" s="82">
        <v>7045</v>
      </c>
      <c r="F269" s="5"/>
      <c r="G269" s="71">
        <v>3.16E-3</v>
      </c>
      <c r="H269" s="83">
        <v>70873</v>
      </c>
      <c r="I269" s="7"/>
      <c r="J269" s="84">
        <v>77918</v>
      </c>
      <c r="K269" s="105">
        <v>1.9400000000000001E-2</v>
      </c>
      <c r="L269" s="85">
        <v>1512</v>
      </c>
      <c r="M269" s="257">
        <f t="shared" si="13"/>
        <v>76406</v>
      </c>
      <c r="N269" s="88">
        <v>11688</v>
      </c>
      <c r="O269" s="87">
        <v>76550</v>
      </c>
      <c r="P269" s="281">
        <f t="shared" si="12"/>
        <v>1368</v>
      </c>
      <c r="Q269" s="269">
        <f t="shared" si="14"/>
        <v>1.7870672762900067E-2</v>
      </c>
    </row>
    <row r="270" spans="1:17" ht="18">
      <c r="A270" s="79" t="s">
        <v>518</v>
      </c>
      <c r="B270" s="79" t="s">
        <v>575</v>
      </c>
      <c r="C270" s="80" t="s">
        <v>576</v>
      </c>
      <c r="D270" s="81">
        <v>4.3865000000000001E-2</v>
      </c>
      <c r="E270" s="82">
        <v>173617</v>
      </c>
      <c r="F270" s="5"/>
      <c r="G270" s="71">
        <v>2.9881000000000001E-2</v>
      </c>
      <c r="H270" s="83">
        <v>670180</v>
      </c>
      <c r="I270" s="7"/>
      <c r="J270" s="84">
        <v>843797</v>
      </c>
      <c r="K270" s="105">
        <v>1.9400000000000001E-2</v>
      </c>
      <c r="L270" s="85">
        <v>16370</v>
      </c>
      <c r="M270" s="257">
        <f t="shared" si="13"/>
        <v>827427</v>
      </c>
      <c r="N270" s="88">
        <v>126570</v>
      </c>
      <c r="O270" s="87">
        <v>868915</v>
      </c>
      <c r="P270" s="281">
        <f t="shared" si="12"/>
        <v>-25118</v>
      </c>
      <c r="Q270" s="269">
        <f t="shared" si="14"/>
        <v>-2.8907315445124093E-2</v>
      </c>
    </row>
    <row r="271" spans="1:17" ht="18">
      <c r="A271" s="79" t="s">
        <v>518</v>
      </c>
      <c r="B271" s="79" t="s">
        <v>577</v>
      </c>
      <c r="C271" s="80" t="s">
        <v>578</v>
      </c>
      <c r="D271" s="81">
        <v>1.0349999999999999E-3</v>
      </c>
      <c r="E271" s="82">
        <v>4097</v>
      </c>
      <c r="F271" s="5"/>
      <c r="G271" s="71">
        <v>1.4710000000000001E-3</v>
      </c>
      <c r="H271" s="83">
        <v>32992</v>
      </c>
      <c r="I271" s="7"/>
      <c r="J271" s="84">
        <v>37089</v>
      </c>
      <c r="K271" s="105">
        <v>1.9400000000000001E-2</v>
      </c>
      <c r="L271" s="85">
        <v>720</v>
      </c>
      <c r="M271" s="257">
        <f t="shared" si="13"/>
        <v>36369</v>
      </c>
      <c r="N271" s="88">
        <v>5563</v>
      </c>
      <c r="O271" s="87">
        <v>36541</v>
      </c>
      <c r="P271" s="281">
        <f t="shared" si="12"/>
        <v>548</v>
      </c>
      <c r="Q271" s="269">
        <f t="shared" si="14"/>
        <v>1.4996852850223038E-2</v>
      </c>
    </row>
    <row r="272" spans="1:17" ht="18">
      <c r="A272" s="79" t="s">
        <v>518</v>
      </c>
      <c r="B272" s="79" t="s">
        <v>579</v>
      </c>
      <c r="C272" s="80" t="s">
        <v>580</v>
      </c>
      <c r="D272" s="81">
        <v>1.0679999999999999E-3</v>
      </c>
      <c r="E272" s="82">
        <v>4227</v>
      </c>
      <c r="F272" s="5"/>
      <c r="G272" s="71">
        <v>1.745E-3</v>
      </c>
      <c r="H272" s="83">
        <v>39137</v>
      </c>
      <c r="I272" s="7"/>
      <c r="J272" s="84">
        <v>43364</v>
      </c>
      <c r="K272" s="105">
        <v>1.9400000000000001E-2</v>
      </c>
      <c r="L272" s="85">
        <v>841</v>
      </c>
      <c r="M272" s="257">
        <f t="shared" si="13"/>
        <v>42523</v>
      </c>
      <c r="N272" s="88">
        <v>6505</v>
      </c>
      <c r="O272" s="87">
        <v>42396</v>
      </c>
      <c r="P272" s="281">
        <f t="shared" si="12"/>
        <v>968</v>
      </c>
      <c r="Q272" s="269">
        <f t="shared" si="14"/>
        <v>2.2832342673837155E-2</v>
      </c>
    </row>
    <row r="273" spans="1:17" ht="18">
      <c r="A273" s="79" t="s">
        <v>518</v>
      </c>
      <c r="B273" s="79" t="s">
        <v>581</v>
      </c>
      <c r="C273" s="80" t="s">
        <v>582</v>
      </c>
      <c r="D273" s="81">
        <v>1.635E-3</v>
      </c>
      <c r="E273" s="82">
        <v>6471</v>
      </c>
      <c r="F273" s="5"/>
      <c r="G273" s="71">
        <v>1.3649999999999999E-3</v>
      </c>
      <c r="H273" s="83">
        <v>30615</v>
      </c>
      <c r="I273" s="7"/>
      <c r="J273" s="84">
        <v>37086</v>
      </c>
      <c r="K273" s="105">
        <v>1.9400000000000001E-2</v>
      </c>
      <c r="L273" s="85">
        <v>719</v>
      </c>
      <c r="M273" s="257">
        <f t="shared" si="13"/>
        <v>36367</v>
      </c>
      <c r="N273" s="88">
        <v>5563</v>
      </c>
      <c r="O273" s="87">
        <v>36171</v>
      </c>
      <c r="P273" s="281">
        <f t="shared" si="12"/>
        <v>915</v>
      </c>
      <c r="Q273" s="269">
        <f t="shared" si="14"/>
        <v>2.5296508252467445E-2</v>
      </c>
    </row>
    <row r="274" spans="1:17" ht="18">
      <c r="A274" s="79" t="s">
        <v>518</v>
      </c>
      <c r="B274" s="79" t="s">
        <v>583</v>
      </c>
      <c r="C274" s="80" t="s">
        <v>584</v>
      </c>
      <c r="D274" s="81">
        <v>1.8240000000000001E-3</v>
      </c>
      <c r="E274" s="82">
        <v>7219</v>
      </c>
      <c r="F274" s="5"/>
      <c r="G274" s="71">
        <v>1.519E-3</v>
      </c>
      <c r="H274" s="83">
        <v>34069</v>
      </c>
      <c r="I274" s="7"/>
      <c r="J274" s="84">
        <v>41288</v>
      </c>
      <c r="K274" s="105">
        <v>1.9400000000000001E-2</v>
      </c>
      <c r="L274" s="85">
        <v>801</v>
      </c>
      <c r="M274" s="257">
        <f t="shared" si="13"/>
        <v>40487</v>
      </c>
      <c r="N274" s="88">
        <v>6193</v>
      </c>
      <c r="O274" s="87">
        <v>44466</v>
      </c>
      <c r="P274" s="281">
        <f t="shared" si="12"/>
        <v>-3178</v>
      </c>
      <c r="Q274" s="269">
        <f t="shared" si="14"/>
        <v>-7.1470336886609989E-2</v>
      </c>
    </row>
    <row r="275" spans="1:17" ht="18">
      <c r="A275" s="79" t="s">
        <v>518</v>
      </c>
      <c r="B275" s="79" t="s">
        <v>585</v>
      </c>
      <c r="C275" s="80" t="s">
        <v>586</v>
      </c>
      <c r="D275" s="81">
        <v>9.2299999999999999E-4</v>
      </c>
      <c r="E275" s="82">
        <v>3653</v>
      </c>
      <c r="F275" s="5"/>
      <c r="G275" s="71">
        <v>1.127E-3</v>
      </c>
      <c r="H275" s="83">
        <v>25277</v>
      </c>
      <c r="I275" s="7"/>
      <c r="J275" s="84">
        <v>28930</v>
      </c>
      <c r="K275" s="105">
        <v>1.9400000000000001E-2</v>
      </c>
      <c r="L275" s="85">
        <v>561</v>
      </c>
      <c r="M275" s="257">
        <f t="shared" si="13"/>
        <v>28369</v>
      </c>
      <c r="N275" s="88">
        <v>4340</v>
      </c>
      <c r="O275" s="87">
        <v>29306</v>
      </c>
      <c r="P275" s="281">
        <f t="shared" si="12"/>
        <v>-376</v>
      </c>
      <c r="Q275" s="269">
        <f t="shared" si="14"/>
        <v>-1.2830137173275098E-2</v>
      </c>
    </row>
    <row r="276" spans="1:17" ht="18">
      <c r="A276" s="79" t="s">
        <v>518</v>
      </c>
      <c r="B276" s="79" t="s">
        <v>587</v>
      </c>
      <c r="C276" s="80" t="s">
        <v>588</v>
      </c>
      <c r="D276" s="81">
        <v>7.2300000000000001E-4</v>
      </c>
      <c r="E276" s="82">
        <v>2862</v>
      </c>
      <c r="F276" s="5"/>
      <c r="G276" s="71">
        <v>3.6699999999999998E-4</v>
      </c>
      <c r="H276" s="83">
        <v>8231</v>
      </c>
      <c r="I276" s="7"/>
      <c r="J276" s="84">
        <v>11093</v>
      </c>
      <c r="K276" s="105">
        <v>1.9400000000000001E-2</v>
      </c>
      <c r="L276" s="85">
        <v>215</v>
      </c>
      <c r="M276" s="257">
        <f t="shared" si="13"/>
        <v>10878</v>
      </c>
      <c r="N276" s="88">
        <v>1664</v>
      </c>
      <c r="O276" s="87">
        <v>11008</v>
      </c>
      <c r="P276" s="281">
        <f t="shared" si="12"/>
        <v>85</v>
      </c>
      <c r="Q276" s="269">
        <f t="shared" si="14"/>
        <v>7.7216569767441859E-3</v>
      </c>
    </row>
    <row r="277" spans="1:17" ht="18.75" thickBot="1">
      <c r="A277" s="90" t="s">
        <v>518</v>
      </c>
      <c r="B277" s="90" t="s">
        <v>589</v>
      </c>
      <c r="C277" s="91" t="s">
        <v>590</v>
      </c>
      <c r="D277" s="92">
        <v>7.45E-4</v>
      </c>
      <c r="E277" s="93">
        <v>2949</v>
      </c>
      <c r="F277" s="94"/>
      <c r="G277" s="95">
        <v>1.1620000000000001E-3</v>
      </c>
      <c r="H277" s="96">
        <v>26062</v>
      </c>
      <c r="I277" s="7"/>
      <c r="J277" s="97">
        <v>29011</v>
      </c>
      <c r="K277" s="109">
        <v>1.9400000000000001E-2</v>
      </c>
      <c r="L277" s="99">
        <v>563</v>
      </c>
      <c r="M277" s="258">
        <f t="shared" si="13"/>
        <v>28448</v>
      </c>
      <c r="N277" s="102">
        <v>4352</v>
      </c>
      <c r="O277" s="101">
        <v>29342</v>
      </c>
      <c r="P277" s="282">
        <f t="shared" si="12"/>
        <v>-331</v>
      </c>
      <c r="Q277" s="269">
        <f t="shared" si="14"/>
        <v>-1.1280757957876083E-2</v>
      </c>
    </row>
    <row r="278" spans="1:17" ht="18">
      <c r="A278" s="79" t="s">
        <v>591</v>
      </c>
      <c r="B278" s="79" t="s">
        <v>592</v>
      </c>
      <c r="C278" s="80" t="s">
        <v>593</v>
      </c>
      <c r="D278" s="81">
        <v>3.382E-3</v>
      </c>
      <c r="E278" s="82">
        <v>13386</v>
      </c>
      <c r="F278" s="5"/>
      <c r="G278" s="103">
        <v>2.7759999999999998E-3</v>
      </c>
      <c r="H278" s="72">
        <v>62261</v>
      </c>
      <c r="I278" s="7"/>
      <c r="J278" s="73">
        <v>75647</v>
      </c>
      <c r="K278" s="104">
        <v>7.6E-3</v>
      </c>
      <c r="L278" s="75">
        <v>575</v>
      </c>
      <c r="M278" s="256">
        <f t="shared" si="13"/>
        <v>75072</v>
      </c>
      <c r="N278" s="77">
        <v>11347</v>
      </c>
      <c r="O278" s="76">
        <v>77362</v>
      </c>
      <c r="P278" s="280">
        <f t="shared" si="12"/>
        <v>-1715</v>
      </c>
      <c r="Q278" s="269">
        <f t="shared" si="14"/>
        <v>-2.2168506501900158E-2</v>
      </c>
    </row>
    <row r="279" spans="1:17" ht="18">
      <c r="A279" s="79" t="s">
        <v>591</v>
      </c>
      <c r="B279" s="79" t="s">
        <v>594</v>
      </c>
      <c r="C279" s="80" t="s">
        <v>595</v>
      </c>
      <c r="D279" s="81">
        <v>9.7900000000000005E-4</v>
      </c>
      <c r="E279" s="82">
        <v>3875</v>
      </c>
      <c r="F279" s="5"/>
      <c r="G279" s="71">
        <v>1.2310000000000001E-3</v>
      </c>
      <c r="H279" s="83">
        <v>27609</v>
      </c>
      <c r="I279" s="7"/>
      <c r="J279" s="84">
        <v>31484</v>
      </c>
      <c r="K279" s="105">
        <v>7.6E-3</v>
      </c>
      <c r="L279" s="85">
        <v>239</v>
      </c>
      <c r="M279" s="257">
        <f t="shared" si="13"/>
        <v>31245</v>
      </c>
      <c r="N279" s="88">
        <v>4723</v>
      </c>
      <c r="O279" s="87">
        <v>33618</v>
      </c>
      <c r="P279" s="281">
        <f t="shared" si="12"/>
        <v>-2134</v>
      </c>
      <c r="Q279" s="269">
        <f t="shared" si="14"/>
        <v>-6.3477898744720096E-2</v>
      </c>
    </row>
    <row r="280" spans="1:17" ht="18">
      <c r="A280" s="79" t="s">
        <v>591</v>
      </c>
      <c r="B280" s="79" t="s">
        <v>596</v>
      </c>
      <c r="C280" s="80" t="s">
        <v>597</v>
      </c>
      <c r="D280" s="81">
        <v>1.335E-3</v>
      </c>
      <c r="E280" s="82">
        <v>5284</v>
      </c>
      <c r="F280" s="5"/>
      <c r="G280" s="71">
        <v>1.0610000000000001E-3</v>
      </c>
      <c r="H280" s="83">
        <v>23796</v>
      </c>
      <c r="I280" s="7"/>
      <c r="J280" s="84">
        <v>29080</v>
      </c>
      <c r="K280" s="105">
        <v>7.6E-3</v>
      </c>
      <c r="L280" s="85">
        <v>221</v>
      </c>
      <c r="M280" s="257">
        <f t="shared" si="13"/>
        <v>28859</v>
      </c>
      <c r="N280" s="88">
        <v>4501</v>
      </c>
      <c r="O280" s="87">
        <v>29238</v>
      </c>
      <c r="P280" s="281">
        <f t="shared" si="12"/>
        <v>-158</v>
      </c>
      <c r="Q280" s="269">
        <f t="shared" si="14"/>
        <v>-5.4039263971543882E-3</v>
      </c>
    </row>
    <row r="281" spans="1:17" ht="18">
      <c r="A281" s="106" t="s">
        <v>591</v>
      </c>
      <c r="B281" s="106" t="s">
        <v>598</v>
      </c>
      <c r="C281" s="107" t="s">
        <v>599</v>
      </c>
      <c r="D281" s="81">
        <v>1.168E-3</v>
      </c>
      <c r="E281" s="82">
        <v>4623</v>
      </c>
      <c r="F281" s="5"/>
      <c r="G281" s="71">
        <v>9.3499999999999996E-4</v>
      </c>
      <c r="H281" s="83">
        <v>20970</v>
      </c>
      <c r="I281" s="7"/>
      <c r="J281" s="84">
        <v>25593</v>
      </c>
      <c r="K281" s="105">
        <v>7.6E-3</v>
      </c>
      <c r="L281" s="85">
        <v>195</v>
      </c>
      <c r="M281" s="257">
        <f t="shared" si="13"/>
        <v>25398</v>
      </c>
      <c r="N281" s="88">
        <v>3938</v>
      </c>
      <c r="O281" s="87">
        <v>25643</v>
      </c>
      <c r="P281" s="281">
        <f t="shared" si="12"/>
        <v>-50</v>
      </c>
      <c r="Q281" s="269">
        <f t="shared" si="14"/>
        <v>-1.9498498615606599E-3</v>
      </c>
    </row>
    <row r="282" spans="1:17" ht="18">
      <c r="A282" s="79" t="s">
        <v>591</v>
      </c>
      <c r="B282" s="79" t="s">
        <v>600</v>
      </c>
      <c r="C282" s="80" t="s">
        <v>601</v>
      </c>
      <c r="D282" s="81">
        <v>2.2139999999999998E-3</v>
      </c>
      <c r="E282" s="82">
        <v>8763</v>
      </c>
      <c r="F282" s="5"/>
      <c r="G282" s="71">
        <v>1.3259999999999999E-3</v>
      </c>
      <c r="H282" s="83">
        <v>29740</v>
      </c>
      <c r="I282" s="7"/>
      <c r="J282" s="84">
        <v>38503</v>
      </c>
      <c r="K282" s="105">
        <v>7.6E-3</v>
      </c>
      <c r="L282" s="85">
        <v>293</v>
      </c>
      <c r="M282" s="257">
        <f t="shared" si="13"/>
        <v>38210</v>
      </c>
      <c r="N282" s="88">
        <v>4791</v>
      </c>
      <c r="O282" s="87">
        <v>37956</v>
      </c>
      <c r="P282" s="281">
        <f t="shared" si="12"/>
        <v>547</v>
      </c>
      <c r="Q282" s="269">
        <f t="shared" si="14"/>
        <v>1.4411423753820212E-2</v>
      </c>
    </row>
    <row r="283" spans="1:17" ht="18">
      <c r="A283" s="79" t="s">
        <v>591</v>
      </c>
      <c r="B283" s="79" t="s">
        <v>602</v>
      </c>
      <c r="C283" s="80" t="s">
        <v>603</v>
      </c>
      <c r="D283" s="81">
        <v>2.2469999999999999E-3</v>
      </c>
      <c r="E283" s="82">
        <v>8894</v>
      </c>
      <c r="F283" s="5"/>
      <c r="G283" s="71">
        <v>2.0270000000000002E-3</v>
      </c>
      <c r="H283" s="83">
        <v>45462</v>
      </c>
      <c r="I283" s="7"/>
      <c r="J283" s="84">
        <v>54356</v>
      </c>
      <c r="K283" s="105">
        <v>7.6E-3</v>
      </c>
      <c r="L283" s="85">
        <v>413</v>
      </c>
      <c r="M283" s="257">
        <f t="shared" si="13"/>
        <v>53943</v>
      </c>
      <c r="N283" s="88">
        <v>7513</v>
      </c>
      <c r="O283" s="87">
        <v>54903</v>
      </c>
      <c r="P283" s="281">
        <f t="shared" si="12"/>
        <v>-547</v>
      </c>
      <c r="Q283" s="269">
        <f t="shared" si="14"/>
        <v>-9.9630256998706809E-3</v>
      </c>
    </row>
    <row r="284" spans="1:17" ht="18">
      <c r="A284" s="79" t="s">
        <v>591</v>
      </c>
      <c r="B284" s="79" t="s">
        <v>604</v>
      </c>
      <c r="C284" s="80" t="s">
        <v>605</v>
      </c>
      <c r="D284" s="81">
        <v>3.571E-3</v>
      </c>
      <c r="E284" s="82">
        <v>14134</v>
      </c>
      <c r="F284" s="5"/>
      <c r="G284" s="71">
        <v>2.7009999999999998E-3</v>
      </c>
      <c r="H284" s="83">
        <v>60579</v>
      </c>
      <c r="I284" s="7"/>
      <c r="J284" s="84">
        <v>74713</v>
      </c>
      <c r="K284" s="105">
        <v>7.6E-3</v>
      </c>
      <c r="L284" s="85">
        <v>568</v>
      </c>
      <c r="M284" s="257">
        <f t="shared" si="13"/>
        <v>74145</v>
      </c>
      <c r="N284" s="88">
        <v>9906</v>
      </c>
      <c r="O284" s="87">
        <v>75860</v>
      </c>
      <c r="P284" s="281">
        <f t="shared" si="12"/>
        <v>-1147</v>
      </c>
      <c r="Q284" s="269">
        <f t="shared" si="14"/>
        <v>-1.5119957817031373E-2</v>
      </c>
    </row>
    <row r="285" spans="1:17" ht="18">
      <c r="A285" s="79" t="s">
        <v>591</v>
      </c>
      <c r="B285" s="79" t="s">
        <v>606</v>
      </c>
      <c r="C285" s="80" t="s">
        <v>607</v>
      </c>
      <c r="D285" s="81">
        <v>1.8900000000000001E-4</v>
      </c>
      <c r="E285" s="82">
        <v>748</v>
      </c>
      <c r="F285" s="5"/>
      <c r="G285" s="71">
        <v>1.76E-4</v>
      </c>
      <c r="H285" s="83">
        <v>3947</v>
      </c>
      <c r="I285" s="7"/>
      <c r="J285" s="84">
        <v>4695</v>
      </c>
      <c r="K285" s="105">
        <v>7.6E-3</v>
      </c>
      <c r="L285" s="85">
        <v>36</v>
      </c>
      <c r="M285" s="257">
        <f t="shared" si="13"/>
        <v>4659</v>
      </c>
      <c r="N285" s="88">
        <v>1114</v>
      </c>
      <c r="O285" s="87">
        <v>4139</v>
      </c>
      <c r="P285" s="281">
        <f t="shared" si="12"/>
        <v>556</v>
      </c>
      <c r="Q285" s="269">
        <f t="shared" si="14"/>
        <v>0.13433196424257066</v>
      </c>
    </row>
    <row r="286" spans="1:17" ht="18">
      <c r="A286" s="79" t="s">
        <v>591</v>
      </c>
      <c r="B286" s="79" t="s">
        <v>608</v>
      </c>
      <c r="C286" s="80" t="s">
        <v>609</v>
      </c>
      <c r="D286" s="81">
        <v>1.2130000000000001E-3</v>
      </c>
      <c r="E286" s="82">
        <v>4801</v>
      </c>
      <c r="F286" s="5"/>
      <c r="G286" s="71">
        <v>8.8599999999999996E-4</v>
      </c>
      <c r="H286" s="83">
        <v>19871</v>
      </c>
      <c r="I286" s="7"/>
      <c r="J286" s="84">
        <v>24672</v>
      </c>
      <c r="K286" s="105">
        <v>7.6E-3</v>
      </c>
      <c r="L286" s="85">
        <v>188</v>
      </c>
      <c r="M286" s="257">
        <f t="shared" si="13"/>
        <v>24484</v>
      </c>
      <c r="N286" s="88">
        <v>3264</v>
      </c>
      <c r="O286" s="87">
        <v>25401</v>
      </c>
      <c r="P286" s="281">
        <f t="shared" si="12"/>
        <v>-729</v>
      </c>
      <c r="Q286" s="269">
        <f t="shared" si="14"/>
        <v>-2.8699657493799456E-2</v>
      </c>
    </row>
    <row r="287" spans="1:17" ht="18">
      <c r="A287" s="79" t="s">
        <v>591</v>
      </c>
      <c r="B287" s="79" t="s">
        <v>610</v>
      </c>
      <c r="C287" s="80" t="s">
        <v>611</v>
      </c>
      <c r="D287" s="81">
        <v>2.7712000000000001E-2</v>
      </c>
      <c r="E287" s="82">
        <v>109684</v>
      </c>
      <c r="F287" s="5"/>
      <c r="G287" s="71">
        <v>1.8744E-2</v>
      </c>
      <c r="H287" s="83">
        <v>420396</v>
      </c>
      <c r="I287" s="7"/>
      <c r="J287" s="84">
        <v>530080</v>
      </c>
      <c r="K287" s="105">
        <v>7.6E-3</v>
      </c>
      <c r="L287" s="85">
        <v>4029</v>
      </c>
      <c r="M287" s="257">
        <f t="shared" si="13"/>
        <v>526051</v>
      </c>
      <c r="N287" s="88">
        <v>64374</v>
      </c>
      <c r="O287" s="87">
        <v>549576</v>
      </c>
      <c r="P287" s="281">
        <f t="shared" si="12"/>
        <v>-19496</v>
      </c>
      <c r="Q287" s="269">
        <f t="shared" si="14"/>
        <v>-3.547462043466236E-2</v>
      </c>
    </row>
    <row r="288" spans="1:17" ht="18">
      <c r="A288" s="79" t="s">
        <v>591</v>
      </c>
      <c r="B288" s="79" t="s">
        <v>612</v>
      </c>
      <c r="C288" s="80" t="s">
        <v>613</v>
      </c>
      <c r="D288" s="81">
        <v>3.5040000000000002E-3</v>
      </c>
      <c r="E288" s="82">
        <v>13869</v>
      </c>
      <c r="F288" s="5"/>
      <c r="G288" s="71">
        <v>2.8700000000000002E-3</v>
      </c>
      <c r="H288" s="83">
        <v>64369</v>
      </c>
      <c r="I288" s="7"/>
      <c r="J288" s="84">
        <v>78238</v>
      </c>
      <c r="K288" s="105">
        <v>7.6E-3</v>
      </c>
      <c r="L288" s="85">
        <v>595</v>
      </c>
      <c r="M288" s="257">
        <f t="shared" si="13"/>
        <v>77643</v>
      </c>
      <c r="N288" s="88">
        <v>9755</v>
      </c>
      <c r="O288" s="87">
        <v>78943</v>
      </c>
      <c r="P288" s="281">
        <f t="shared" si="12"/>
        <v>-705</v>
      </c>
      <c r="Q288" s="269">
        <f t="shared" si="14"/>
        <v>-8.9304941540098558E-3</v>
      </c>
    </row>
    <row r="289" spans="1:27" ht="18">
      <c r="A289" s="79" t="s">
        <v>591</v>
      </c>
      <c r="B289" s="79" t="s">
        <v>614</v>
      </c>
      <c r="C289" s="80" t="s">
        <v>615</v>
      </c>
      <c r="D289" s="81">
        <v>2.1100000000000001E-4</v>
      </c>
      <c r="E289" s="82">
        <v>835</v>
      </c>
      <c r="F289" s="5"/>
      <c r="G289" s="71">
        <v>1.7100000000000001E-4</v>
      </c>
      <c r="H289" s="83">
        <v>3835</v>
      </c>
      <c r="I289" s="7"/>
      <c r="J289" s="84">
        <v>4670</v>
      </c>
      <c r="K289" s="105">
        <v>7.6E-3</v>
      </c>
      <c r="L289" s="85">
        <v>35</v>
      </c>
      <c r="M289" s="257">
        <f t="shared" si="13"/>
        <v>4635</v>
      </c>
      <c r="N289" s="88">
        <v>2511</v>
      </c>
      <c r="O289" s="87">
        <v>4726</v>
      </c>
      <c r="P289" s="281">
        <f t="shared" si="12"/>
        <v>-56</v>
      </c>
      <c r="Q289" s="269">
        <f t="shared" si="14"/>
        <v>-1.184934405416843E-2</v>
      </c>
    </row>
    <row r="290" spans="1:27" ht="18">
      <c r="A290" s="79" t="s">
        <v>591</v>
      </c>
      <c r="B290" s="79" t="s">
        <v>616</v>
      </c>
      <c r="C290" s="80" t="s">
        <v>617</v>
      </c>
      <c r="D290" s="81">
        <v>8.7900000000000001E-4</v>
      </c>
      <c r="E290" s="82">
        <v>3479</v>
      </c>
      <c r="F290" s="5"/>
      <c r="G290" s="71">
        <v>8.7000000000000001E-4</v>
      </c>
      <c r="H290" s="83">
        <v>19513</v>
      </c>
      <c r="I290" s="7"/>
      <c r="J290" s="84">
        <v>22992</v>
      </c>
      <c r="K290" s="105">
        <v>7.6E-3</v>
      </c>
      <c r="L290" s="85">
        <v>175</v>
      </c>
      <c r="M290" s="257">
        <f t="shared" si="13"/>
        <v>22817</v>
      </c>
      <c r="N290" s="88">
        <v>4261</v>
      </c>
      <c r="O290" s="87">
        <v>23714</v>
      </c>
      <c r="P290" s="281">
        <f t="shared" si="12"/>
        <v>-722</v>
      </c>
      <c r="Q290" s="269">
        <f t="shared" si="14"/>
        <v>-3.0446149953613898E-2</v>
      </c>
    </row>
    <row r="291" spans="1:27" ht="18">
      <c r="A291" s="79" t="s">
        <v>591</v>
      </c>
      <c r="B291" s="79" t="s">
        <v>618</v>
      </c>
      <c r="C291" s="80" t="s">
        <v>619</v>
      </c>
      <c r="D291" s="81">
        <v>1.09E-3</v>
      </c>
      <c r="E291" s="82">
        <v>4314</v>
      </c>
      <c r="F291" s="5"/>
      <c r="G291" s="71">
        <v>9.7000000000000005E-4</v>
      </c>
      <c r="H291" s="83">
        <v>21755</v>
      </c>
      <c r="I291" s="7"/>
      <c r="J291" s="84">
        <v>26069</v>
      </c>
      <c r="K291" s="105">
        <v>7.6E-3</v>
      </c>
      <c r="L291" s="85">
        <v>198</v>
      </c>
      <c r="M291" s="257">
        <f t="shared" si="13"/>
        <v>25871</v>
      </c>
      <c r="N291" s="88">
        <v>3983</v>
      </c>
      <c r="O291" s="87">
        <v>28410</v>
      </c>
      <c r="P291" s="281">
        <f t="shared" si="12"/>
        <v>-2341</v>
      </c>
      <c r="Q291" s="269">
        <f t="shared" si="14"/>
        <v>-8.2400563181978179E-2</v>
      </c>
    </row>
    <row r="292" spans="1:27" ht="18">
      <c r="A292" s="79" t="s">
        <v>591</v>
      </c>
      <c r="B292" s="79" t="s">
        <v>620</v>
      </c>
      <c r="C292" s="80" t="s">
        <v>621</v>
      </c>
      <c r="D292" s="81">
        <v>5.0100000000000003E-4</v>
      </c>
      <c r="E292" s="82">
        <v>1983</v>
      </c>
      <c r="F292" s="5"/>
      <c r="G292" s="71">
        <v>4.8500000000000003E-4</v>
      </c>
      <c r="H292" s="83">
        <v>10878</v>
      </c>
      <c r="I292" s="7"/>
      <c r="J292" s="84">
        <v>12861</v>
      </c>
      <c r="K292" s="105">
        <v>7.6E-3</v>
      </c>
      <c r="L292" s="85">
        <v>98</v>
      </c>
      <c r="M292" s="257">
        <f t="shared" si="13"/>
        <v>12763</v>
      </c>
      <c r="N292" s="88">
        <v>3752</v>
      </c>
      <c r="O292" s="87">
        <v>12888</v>
      </c>
      <c r="P292" s="281">
        <f t="shared" si="12"/>
        <v>-27</v>
      </c>
      <c r="Q292" s="269">
        <f t="shared" si="14"/>
        <v>-2.0949720670391061E-3</v>
      </c>
    </row>
    <row r="293" spans="1:27" ht="18">
      <c r="A293" s="79" t="s">
        <v>591</v>
      </c>
      <c r="B293" s="79" t="s">
        <v>622</v>
      </c>
      <c r="C293" s="80" t="s">
        <v>623</v>
      </c>
      <c r="D293" s="81">
        <v>4.8899999999999996E-4</v>
      </c>
      <c r="E293" s="82">
        <v>1935</v>
      </c>
      <c r="F293" s="5"/>
      <c r="G293" s="71">
        <v>4.7399999999999997E-4</v>
      </c>
      <c r="H293" s="83">
        <v>10631</v>
      </c>
      <c r="I293" s="7"/>
      <c r="J293" s="84">
        <v>12566</v>
      </c>
      <c r="K293" s="105">
        <v>7.6E-3</v>
      </c>
      <c r="L293" s="85">
        <v>96</v>
      </c>
      <c r="M293" s="257">
        <f t="shared" si="13"/>
        <v>12470</v>
      </c>
      <c r="N293" s="88">
        <v>1707</v>
      </c>
      <c r="O293" s="87">
        <v>12708</v>
      </c>
      <c r="P293" s="281">
        <f t="shared" si="12"/>
        <v>-142</v>
      </c>
      <c r="Q293" s="269">
        <f t="shared" si="14"/>
        <v>-1.1174063581995594E-2</v>
      </c>
    </row>
    <row r="294" spans="1:27" ht="18">
      <c r="A294" s="79" t="s">
        <v>591</v>
      </c>
      <c r="B294" s="79" t="s">
        <v>624</v>
      </c>
      <c r="C294" s="80" t="s">
        <v>625</v>
      </c>
      <c r="D294" s="81">
        <v>3.3399999999999999E-4</v>
      </c>
      <c r="E294" s="82">
        <v>1322</v>
      </c>
      <c r="F294" s="5"/>
      <c r="G294" s="71">
        <v>4.2900000000000002E-4</v>
      </c>
      <c r="H294" s="83">
        <v>9622</v>
      </c>
      <c r="I294" s="7"/>
      <c r="J294" s="84">
        <v>10944</v>
      </c>
      <c r="K294" s="105">
        <v>7.6E-3</v>
      </c>
      <c r="L294" s="85">
        <v>83</v>
      </c>
      <c r="M294" s="257">
        <f t="shared" si="13"/>
        <v>10861</v>
      </c>
      <c r="N294" s="88">
        <v>2163</v>
      </c>
      <c r="O294" s="87">
        <v>12679</v>
      </c>
      <c r="P294" s="281">
        <f t="shared" si="12"/>
        <v>-1735</v>
      </c>
      <c r="Q294" s="269">
        <f t="shared" si="14"/>
        <v>-0.13684044483003391</v>
      </c>
    </row>
    <row r="295" spans="1:27" ht="18">
      <c r="A295" s="79" t="s">
        <v>591</v>
      </c>
      <c r="B295" s="79" t="s">
        <v>626</v>
      </c>
      <c r="C295" s="80" t="s">
        <v>627</v>
      </c>
      <c r="D295" s="81">
        <v>8.6799999999999996E-4</v>
      </c>
      <c r="E295" s="82">
        <v>3436</v>
      </c>
      <c r="F295" s="5"/>
      <c r="G295" s="71">
        <v>8.3799999999999999E-4</v>
      </c>
      <c r="H295" s="83">
        <v>18795</v>
      </c>
      <c r="I295" s="7"/>
      <c r="J295" s="84">
        <v>22231</v>
      </c>
      <c r="K295" s="105">
        <v>7.6E-3</v>
      </c>
      <c r="L295" s="85">
        <v>169</v>
      </c>
      <c r="M295" s="257">
        <f t="shared" si="13"/>
        <v>22062</v>
      </c>
      <c r="N295" s="88">
        <v>19272</v>
      </c>
      <c r="O295" s="87">
        <v>22891</v>
      </c>
      <c r="P295" s="281">
        <f t="shared" si="12"/>
        <v>-660</v>
      </c>
      <c r="Q295" s="269">
        <f t="shared" si="14"/>
        <v>-2.8832292167227293E-2</v>
      </c>
    </row>
    <row r="296" spans="1:27" ht="18">
      <c r="A296" s="79" t="s">
        <v>591</v>
      </c>
      <c r="B296" s="79" t="s">
        <v>628</v>
      </c>
      <c r="C296" s="80" t="s">
        <v>629</v>
      </c>
      <c r="D296" s="81">
        <v>3.9379999999999997E-3</v>
      </c>
      <c r="E296" s="82">
        <v>15587</v>
      </c>
      <c r="F296" s="5"/>
      <c r="G296" s="71">
        <v>4.1980000000000003E-3</v>
      </c>
      <c r="H296" s="83">
        <v>94154</v>
      </c>
      <c r="I296" s="7"/>
      <c r="J296" s="84">
        <v>109741</v>
      </c>
      <c r="K296" s="105">
        <v>7.6E-3</v>
      </c>
      <c r="L296" s="85">
        <v>834</v>
      </c>
      <c r="M296" s="257">
        <f t="shared" si="13"/>
        <v>108907</v>
      </c>
      <c r="N296" s="88">
        <v>16203</v>
      </c>
      <c r="O296" s="87">
        <v>109949</v>
      </c>
      <c r="P296" s="281">
        <f t="shared" si="12"/>
        <v>-208</v>
      </c>
      <c r="Q296" s="269">
        <f t="shared" si="14"/>
        <v>-1.8917861917798252E-3</v>
      </c>
    </row>
    <row r="297" spans="1:27" ht="18">
      <c r="A297" s="79" t="s">
        <v>591</v>
      </c>
      <c r="B297" s="79" t="s">
        <v>630</v>
      </c>
      <c r="C297" s="80" t="s">
        <v>631</v>
      </c>
      <c r="D297" s="81">
        <v>1.4239999999999999E-3</v>
      </c>
      <c r="E297" s="82">
        <v>5636</v>
      </c>
      <c r="F297" s="5"/>
      <c r="G297" s="71">
        <v>1.3420000000000001E-3</v>
      </c>
      <c r="H297" s="83">
        <v>30099</v>
      </c>
      <c r="I297" s="7"/>
      <c r="J297" s="84">
        <v>35735</v>
      </c>
      <c r="K297" s="105">
        <v>7.6E-3</v>
      </c>
      <c r="L297" s="85">
        <v>272</v>
      </c>
      <c r="M297" s="257">
        <f t="shared" si="13"/>
        <v>35463</v>
      </c>
      <c r="N297" s="88">
        <v>6034</v>
      </c>
      <c r="O297" s="87">
        <v>37833</v>
      </c>
      <c r="P297" s="281">
        <f t="shared" si="12"/>
        <v>-2098</v>
      </c>
      <c r="Q297" s="269">
        <f t="shared" si="14"/>
        <v>-5.5454233076943409E-2</v>
      </c>
    </row>
    <row r="298" spans="1:27" ht="18">
      <c r="A298" s="79" t="s">
        <v>591</v>
      </c>
      <c r="B298" s="79" t="s">
        <v>632</v>
      </c>
      <c r="C298" s="80" t="s">
        <v>633</v>
      </c>
      <c r="D298" s="81">
        <v>1.0790000000000001E-3</v>
      </c>
      <c r="E298" s="82">
        <v>4271</v>
      </c>
      <c r="F298" s="5"/>
      <c r="G298" s="71">
        <v>1.1800000000000001E-3</v>
      </c>
      <c r="H298" s="83">
        <v>26465</v>
      </c>
      <c r="I298" s="7"/>
      <c r="J298" s="84">
        <v>30736</v>
      </c>
      <c r="K298" s="105">
        <v>7.6E-3</v>
      </c>
      <c r="L298" s="85">
        <v>234</v>
      </c>
      <c r="M298" s="257">
        <f t="shared" si="13"/>
        <v>30502</v>
      </c>
      <c r="N298" s="88">
        <v>4095</v>
      </c>
      <c r="O298" s="87">
        <v>32921</v>
      </c>
      <c r="P298" s="281">
        <f t="shared" si="12"/>
        <v>-2185</v>
      </c>
      <c r="Q298" s="269">
        <f t="shared" si="14"/>
        <v>-6.6371009386106128E-2</v>
      </c>
    </row>
    <row r="299" spans="1:27" ht="18">
      <c r="A299" s="79" t="s">
        <v>591</v>
      </c>
      <c r="B299" s="79" t="s">
        <v>634</v>
      </c>
      <c r="C299" s="80" t="s">
        <v>635</v>
      </c>
      <c r="D299" s="81">
        <v>7.5600000000000005E-4</v>
      </c>
      <c r="E299" s="82">
        <v>2992</v>
      </c>
      <c r="F299" s="5"/>
      <c r="G299" s="71">
        <v>5.0600000000000005E-4</v>
      </c>
      <c r="H299" s="83">
        <v>11349</v>
      </c>
      <c r="I299" s="7"/>
      <c r="J299" s="84">
        <v>14341</v>
      </c>
      <c r="K299" s="105">
        <v>7.6E-3</v>
      </c>
      <c r="L299" s="85">
        <v>109</v>
      </c>
      <c r="M299" s="257">
        <f t="shared" si="13"/>
        <v>14232</v>
      </c>
      <c r="N299" s="88">
        <v>2224</v>
      </c>
      <c r="O299" s="87">
        <v>14754</v>
      </c>
      <c r="P299" s="281">
        <f t="shared" si="12"/>
        <v>-413</v>
      </c>
      <c r="Q299" s="269">
        <f t="shared" si="14"/>
        <v>-2.7992408838281146E-2</v>
      </c>
    </row>
    <row r="300" spans="1:27" ht="18">
      <c r="A300" s="79" t="s">
        <v>591</v>
      </c>
      <c r="B300" s="79" t="s">
        <v>636</v>
      </c>
      <c r="C300" s="80" t="s">
        <v>637</v>
      </c>
      <c r="D300" s="81">
        <v>2.6809999999999998E-3</v>
      </c>
      <c r="E300" s="82">
        <v>10611</v>
      </c>
      <c r="F300" s="5"/>
      <c r="G300" s="71">
        <v>3.117E-3</v>
      </c>
      <c r="H300" s="83">
        <v>69909</v>
      </c>
      <c r="I300" s="7"/>
      <c r="J300" s="84">
        <v>80520</v>
      </c>
      <c r="K300" s="105">
        <v>7.6E-3</v>
      </c>
      <c r="L300" s="85">
        <v>612</v>
      </c>
      <c r="M300" s="257">
        <f t="shared" si="13"/>
        <v>79908</v>
      </c>
      <c r="N300" s="88">
        <v>11133</v>
      </c>
      <c r="O300" s="87">
        <v>80503</v>
      </c>
      <c r="P300" s="281">
        <f t="shared" si="12"/>
        <v>17</v>
      </c>
      <c r="Q300" s="269">
        <f t="shared" si="14"/>
        <v>2.1117225445014471E-4</v>
      </c>
    </row>
    <row r="301" spans="1:27" ht="18">
      <c r="A301" s="106" t="s">
        <v>591</v>
      </c>
      <c r="B301" s="106" t="s">
        <v>638</v>
      </c>
      <c r="C301" s="107" t="s">
        <v>639</v>
      </c>
      <c r="D301" s="81">
        <v>1.379E-3</v>
      </c>
      <c r="E301" s="82">
        <v>5458</v>
      </c>
      <c r="F301" s="5"/>
      <c r="G301" s="71">
        <v>1.524E-3</v>
      </c>
      <c r="H301" s="83">
        <v>34181</v>
      </c>
      <c r="I301" s="7"/>
      <c r="J301" s="84">
        <v>39639</v>
      </c>
      <c r="K301" s="105">
        <v>7.6E-3</v>
      </c>
      <c r="L301" s="85">
        <v>301</v>
      </c>
      <c r="M301" s="257">
        <f t="shared" si="13"/>
        <v>39338</v>
      </c>
      <c r="N301" s="88">
        <v>5425</v>
      </c>
      <c r="O301" s="87">
        <v>41877</v>
      </c>
      <c r="P301" s="281">
        <f t="shared" si="12"/>
        <v>-2238</v>
      </c>
      <c r="Q301" s="269">
        <f t="shared" si="14"/>
        <v>-5.3442223654989615E-2</v>
      </c>
      <c r="W301">
        <v>4014</v>
      </c>
      <c r="X301" t="s">
        <v>640</v>
      </c>
      <c r="Y301">
        <v>1991</v>
      </c>
      <c r="Z301">
        <v>17346</v>
      </c>
      <c r="AA301">
        <v>19337</v>
      </c>
    </row>
    <row r="302" spans="1:27" ht="18">
      <c r="A302" s="79" t="s">
        <v>591</v>
      </c>
      <c r="B302" s="79" t="s">
        <v>641</v>
      </c>
      <c r="C302" s="80" t="s">
        <v>642</v>
      </c>
      <c r="D302" s="81">
        <v>1.023E-3</v>
      </c>
      <c r="E302" s="82">
        <v>4049</v>
      </c>
      <c r="F302" s="5"/>
      <c r="G302" s="71">
        <v>6.9300000000000004E-4</v>
      </c>
      <c r="H302" s="83">
        <v>15543</v>
      </c>
      <c r="I302" s="7"/>
      <c r="J302" s="84">
        <v>19592</v>
      </c>
      <c r="K302" s="105">
        <v>7.6E-3</v>
      </c>
      <c r="L302" s="85">
        <v>149</v>
      </c>
      <c r="M302" s="257">
        <f t="shared" si="13"/>
        <v>19443</v>
      </c>
      <c r="N302" s="88">
        <v>2840</v>
      </c>
      <c r="O302" s="87">
        <v>18920</v>
      </c>
      <c r="P302" s="281">
        <f t="shared" si="12"/>
        <v>672</v>
      </c>
      <c r="Q302" s="269">
        <f t="shared" si="14"/>
        <v>3.5517970401691329E-2</v>
      </c>
    </row>
    <row r="303" spans="1:27" ht="18">
      <c r="A303" s="79" t="s">
        <v>591</v>
      </c>
      <c r="B303" s="79" t="s">
        <v>643</v>
      </c>
      <c r="C303" s="80" t="s">
        <v>644</v>
      </c>
      <c r="D303" s="81">
        <v>1.2570000000000001E-3</v>
      </c>
      <c r="E303" s="82">
        <v>4975</v>
      </c>
      <c r="F303" s="5"/>
      <c r="G303" s="71">
        <v>7.5799999999999999E-4</v>
      </c>
      <c r="H303" s="83">
        <v>17001</v>
      </c>
      <c r="I303" s="7"/>
      <c r="J303" s="84">
        <v>21976</v>
      </c>
      <c r="K303" s="105">
        <v>7.6E-3</v>
      </c>
      <c r="L303" s="85">
        <v>167</v>
      </c>
      <c r="M303" s="257">
        <f t="shared" si="13"/>
        <v>21809</v>
      </c>
      <c r="N303" s="88">
        <v>2874</v>
      </c>
      <c r="O303" s="87">
        <v>21730</v>
      </c>
      <c r="P303" s="281">
        <f t="shared" si="12"/>
        <v>246</v>
      </c>
      <c r="Q303" s="269">
        <f t="shared" si="14"/>
        <v>1.1320754716981131E-2</v>
      </c>
    </row>
    <row r="304" spans="1:27" ht="18">
      <c r="A304" s="79" t="s">
        <v>591</v>
      </c>
      <c r="B304" s="79" t="s">
        <v>645</v>
      </c>
      <c r="C304" s="80" t="s">
        <v>646</v>
      </c>
      <c r="D304" s="81">
        <v>7.4200000000000004E-3</v>
      </c>
      <c r="E304" s="82">
        <v>29368</v>
      </c>
      <c r="F304" s="5"/>
      <c r="G304" s="71">
        <v>5.5160000000000001E-3</v>
      </c>
      <c r="H304" s="83">
        <v>123715</v>
      </c>
      <c r="I304" s="7"/>
      <c r="J304" s="84">
        <v>153083</v>
      </c>
      <c r="K304" s="105">
        <v>7.6E-3</v>
      </c>
      <c r="L304" s="85">
        <v>1163</v>
      </c>
      <c r="M304" s="257">
        <f t="shared" si="13"/>
        <v>151920</v>
      </c>
      <c r="N304" s="88">
        <v>18848</v>
      </c>
      <c r="O304" s="87">
        <v>154656</v>
      </c>
      <c r="P304" s="281">
        <f t="shared" si="12"/>
        <v>-1573</v>
      </c>
      <c r="Q304" s="269">
        <f t="shared" si="14"/>
        <v>-1.0170960066211463E-2</v>
      </c>
    </row>
    <row r="305" spans="1:17" ht="18">
      <c r="A305" s="79" t="s">
        <v>591</v>
      </c>
      <c r="B305" s="79" t="s">
        <v>647</v>
      </c>
      <c r="C305" s="80" t="s">
        <v>648</v>
      </c>
      <c r="D305" s="81">
        <v>1.0460000000000001E-3</v>
      </c>
      <c r="E305" s="82">
        <v>4140</v>
      </c>
      <c r="F305" s="5"/>
      <c r="G305" s="71">
        <v>1.2030000000000001E-3</v>
      </c>
      <c r="H305" s="83">
        <v>26981</v>
      </c>
      <c r="I305" s="7"/>
      <c r="J305" s="84">
        <v>31121</v>
      </c>
      <c r="K305" s="105">
        <v>7.6E-3</v>
      </c>
      <c r="L305" s="85">
        <v>237</v>
      </c>
      <c r="M305" s="257">
        <f t="shared" si="13"/>
        <v>30884</v>
      </c>
      <c r="N305" s="88">
        <v>4245</v>
      </c>
      <c r="O305" s="87">
        <v>32579</v>
      </c>
      <c r="P305" s="281">
        <f t="shared" si="12"/>
        <v>-1458</v>
      </c>
      <c r="Q305" s="269">
        <f t="shared" si="14"/>
        <v>-4.4752754842076185E-2</v>
      </c>
    </row>
    <row r="306" spans="1:17" ht="18">
      <c r="A306" s="106" t="s">
        <v>591</v>
      </c>
      <c r="B306" s="106" t="s">
        <v>649</v>
      </c>
      <c r="C306" s="107" t="s">
        <v>650</v>
      </c>
      <c r="D306" s="81">
        <v>1.335E-3</v>
      </c>
      <c r="E306" s="82">
        <v>5284</v>
      </c>
      <c r="F306" s="114"/>
      <c r="G306" s="71">
        <v>1.0809999999999999E-3</v>
      </c>
      <c r="H306" s="83">
        <v>24245</v>
      </c>
      <c r="I306" s="7"/>
      <c r="J306" s="84">
        <v>29529</v>
      </c>
      <c r="K306" s="105">
        <v>7.6E-3</v>
      </c>
      <c r="L306" s="85">
        <v>224</v>
      </c>
      <c r="M306" s="257">
        <f t="shared" si="13"/>
        <v>29305</v>
      </c>
      <c r="N306" s="88">
        <v>4152</v>
      </c>
      <c r="O306" s="87">
        <v>31132</v>
      </c>
      <c r="P306" s="281">
        <f t="shared" si="12"/>
        <v>-1603</v>
      </c>
      <c r="Q306" s="269">
        <f t="shared" si="14"/>
        <v>-5.1490427855582679E-2</v>
      </c>
    </row>
    <row r="307" spans="1:17" ht="18">
      <c r="A307" s="67" t="s">
        <v>591</v>
      </c>
      <c r="B307" s="67" t="s">
        <v>651</v>
      </c>
      <c r="C307" s="68" t="s">
        <v>652</v>
      </c>
      <c r="D307" s="69">
        <v>1.5690000000000001E-3</v>
      </c>
      <c r="E307" s="70">
        <v>6210</v>
      </c>
      <c r="F307" s="5"/>
      <c r="G307" s="103">
        <v>1.727E-3</v>
      </c>
      <c r="H307" s="72">
        <v>38734</v>
      </c>
      <c r="I307" s="7"/>
      <c r="J307" s="73">
        <v>44944</v>
      </c>
      <c r="K307" s="104">
        <v>7.6E-3</v>
      </c>
      <c r="L307" s="75">
        <v>342</v>
      </c>
      <c r="M307" s="256">
        <f t="shared" si="13"/>
        <v>44602</v>
      </c>
      <c r="N307" s="77">
        <v>8148</v>
      </c>
      <c r="O307" s="76">
        <v>47391</v>
      </c>
      <c r="P307" s="280">
        <f t="shared" si="12"/>
        <v>-2447</v>
      </c>
      <c r="Q307" s="269">
        <f t="shared" si="14"/>
        <v>-5.1634276550399864E-2</v>
      </c>
    </row>
    <row r="308" spans="1:17" ht="18">
      <c r="A308" s="79" t="s">
        <v>591</v>
      </c>
      <c r="B308" s="79" t="s">
        <v>653</v>
      </c>
      <c r="C308" s="80" t="s">
        <v>654</v>
      </c>
      <c r="D308" s="81">
        <v>5.5599999999999996E-4</v>
      </c>
      <c r="E308" s="82">
        <v>2201</v>
      </c>
      <c r="F308" s="5"/>
      <c r="G308" s="71">
        <v>4.8200000000000001E-4</v>
      </c>
      <c r="H308" s="83">
        <v>10810</v>
      </c>
      <c r="I308" s="7"/>
      <c r="J308" s="84">
        <v>13011</v>
      </c>
      <c r="K308" s="105">
        <v>7.6E-3</v>
      </c>
      <c r="L308" s="85">
        <v>99</v>
      </c>
      <c r="M308" s="257">
        <f t="shared" si="13"/>
        <v>12912</v>
      </c>
      <c r="N308" s="88">
        <v>1813</v>
      </c>
      <c r="O308" s="87">
        <v>13502</v>
      </c>
      <c r="P308" s="281">
        <f t="shared" si="12"/>
        <v>-491</v>
      </c>
      <c r="Q308" s="269">
        <f t="shared" si="14"/>
        <v>-3.6364982965486597E-2</v>
      </c>
    </row>
    <row r="309" spans="1:17" ht="18">
      <c r="A309" s="79" t="s">
        <v>591</v>
      </c>
      <c r="B309" s="79" t="s">
        <v>655</v>
      </c>
      <c r="C309" s="80" t="s">
        <v>656</v>
      </c>
      <c r="D309" s="81">
        <v>1.379E-3</v>
      </c>
      <c r="E309" s="82">
        <v>5458</v>
      </c>
      <c r="F309" s="5"/>
      <c r="G309" s="71">
        <v>1.1839999999999999E-3</v>
      </c>
      <c r="H309" s="72">
        <v>26555</v>
      </c>
      <c r="I309" s="7"/>
      <c r="J309" s="73">
        <v>32013</v>
      </c>
      <c r="K309" s="104">
        <v>7.6E-3</v>
      </c>
      <c r="L309" s="75">
        <v>243</v>
      </c>
      <c r="M309" s="256">
        <f t="shared" si="13"/>
        <v>31770</v>
      </c>
      <c r="N309" s="77">
        <v>4168</v>
      </c>
      <c r="O309" s="76">
        <v>33881</v>
      </c>
      <c r="P309" s="280">
        <f t="shared" si="12"/>
        <v>-1868</v>
      </c>
      <c r="Q309" s="269">
        <f t="shared" si="14"/>
        <v>-5.5134145981523566E-2</v>
      </c>
    </row>
    <row r="310" spans="1:17" ht="18">
      <c r="A310" s="79" t="s">
        <v>591</v>
      </c>
      <c r="B310" s="79" t="s">
        <v>657</v>
      </c>
      <c r="C310" s="80" t="s">
        <v>658</v>
      </c>
      <c r="D310" s="81">
        <v>8.7900000000000001E-4</v>
      </c>
      <c r="E310" s="82">
        <v>3479</v>
      </c>
      <c r="F310" s="5"/>
      <c r="G310" s="71">
        <v>5.5000000000000003E-4</v>
      </c>
      <c r="H310" s="83">
        <v>12336</v>
      </c>
      <c r="I310" s="7"/>
      <c r="J310" s="84">
        <v>15815</v>
      </c>
      <c r="K310" s="105">
        <v>7.6E-3</v>
      </c>
      <c r="L310" s="85">
        <v>120</v>
      </c>
      <c r="M310" s="257">
        <f t="shared" si="13"/>
        <v>15695</v>
      </c>
      <c r="N310" s="88">
        <v>2385</v>
      </c>
      <c r="O310" s="87">
        <v>17109</v>
      </c>
      <c r="P310" s="281">
        <f t="shared" si="12"/>
        <v>-1294</v>
      </c>
      <c r="Q310" s="269">
        <f t="shared" si="14"/>
        <v>-7.5632707931498039E-2</v>
      </c>
    </row>
    <row r="311" spans="1:17" ht="18">
      <c r="A311" s="79" t="s">
        <v>591</v>
      </c>
      <c r="B311" s="79" t="s">
        <v>659</v>
      </c>
      <c r="C311" s="80" t="s">
        <v>660</v>
      </c>
      <c r="D311" s="81">
        <v>4.7800000000000002E-4</v>
      </c>
      <c r="E311" s="82">
        <v>1892</v>
      </c>
      <c r="F311" s="5"/>
      <c r="G311" s="71">
        <v>4.1599999999999997E-4</v>
      </c>
      <c r="H311" s="83">
        <v>9330</v>
      </c>
      <c r="I311" s="7"/>
      <c r="J311" s="84">
        <v>11222</v>
      </c>
      <c r="K311" s="105">
        <v>7.6E-3</v>
      </c>
      <c r="L311" s="85">
        <v>85</v>
      </c>
      <c r="M311" s="257">
        <f t="shared" si="13"/>
        <v>11137</v>
      </c>
      <c r="N311" s="88">
        <v>1776</v>
      </c>
      <c r="O311" s="87">
        <v>11154</v>
      </c>
      <c r="P311" s="281">
        <f t="shared" si="12"/>
        <v>68</v>
      </c>
      <c r="Q311" s="269">
        <f t="shared" si="14"/>
        <v>6.096467634929173E-3</v>
      </c>
    </row>
    <row r="312" spans="1:17" ht="18">
      <c r="A312" s="79" t="s">
        <v>591</v>
      </c>
      <c r="B312" s="79" t="s">
        <v>661</v>
      </c>
      <c r="C312" s="80" t="s">
        <v>662</v>
      </c>
      <c r="D312" s="81">
        <v>1.6699999999999999E-4</v>
      </c>
      <c r="E312" s="82">
        <v>661</v>
      </c>
      <c r="F312" s="5"/>
      <c r="G312" s="71">
        <v>1.95E-4</v>
      </c>
      <c r="H312" s="83">
        <v>4374</v>
      </c>
      <c r="I312" s="7"/>
      <c r="J312" s="84">
        <v>5035</v>
      </c>
      <c r="K312" s="105">
        <v>7.6E-3</v>
      </c>
      <c r="L312" s="85">
        <v>38</v>
      </c>
      <c r="M312" s="257">
        <f t="shared" si="13"/>
        <v>4997</v>
      </c>
      <c r="N312" s="88">
        <v>1211</v>
      </c>
      <c r="O312" s="87">
        <v>4534</v>
      </c>
      <c r="P312" s="281">
        <f t="shared" si="12"/>
        <v>501</v>
      </c>
      <c r="Q312" s="269">
        <f t="shared" si="14"/>
        <v>0.11049845610939568</v>
      </c>
    </row>
    <row r="313" spans="1:17" ht="18">
      <c r="A313" s="79" t="s">
        <v>591</v>
      </c>
      <c r="B313" s="79" t="s">
        <v>663</v>
      </c>
      <c r="C313" s="80" t="s">
        <v>664</v>
      </c>
      <c r="D313" s="81">
        <v>3.2599999999999999E-3</v>
      </c>
      <c r="E313" s="82">
        <v>12903</v>
      </c>
      <c r="F313" s="5"/>
      <c r="G313" s="71">
        <v>2.3960000000000001E-3</v>
      </c>
      <c r="H313" s="83">
        <v>53738</v>
      </c>
      <c r="I313" s="7"/>
      <c r="J313" s="84">
        <v>66641</v>
      </c>
      <c r="K313" s="105">
        <v>7.6E-3</v>
      </c>
      <c r="L313" s="85">
        <v>506</v>
      </c>
      <c r="M313" s="257">
        <f t="shared" si="13"/>
        <v>66135</v>
      </c>
      <c r="N313" s="88">
        <v>8279</v>
      </c>
      <c r="O313" s="87">
        <v>68548</v>
      </c>
      <c r="P313" s="281">
        <f t="shared" si="12"/>
        <v>-1907</v>
      </c>
      <c r="Q313" s="269">
        <f t="shared" si="14"/>
        <v>-2.781992180661726E-2</v>
      </c>
    </row>
    <row r="314" spans="1:17" ht="18">
      <c r="A314" s="79" t="s">
        <v>591</v>
      </c>
      <c r="B314" s="79" t="s">
        <v>665</v>
      </c>
      <c r="C314" s="80" t="s">
        <v>666</v>
      </c>
      <c r="D314" s="81">
        <v>1.2130000000000001E-3</v>
      </c>
      <c r="E314" s="82">
        <v>4801</v>
      </c>
      <c r="F314" s="5"/>
      <c r="G314" s="71">
        <v>1.3110000000000001E-3</v>
      </c>
      <c r="H314" s="83">
        <v>29404</v>
      </c>
      <c r="I314" s="7"/>
      <c r="J314" s="84">
        <v>34205</v>
      </c>
      <c r="K314" s="105">
        <v>7.6E-3</v>
      </c>
      <c r="L314" s="85">
        <v>260</v>
      </c>
      <c r="M314" s="257">
        <f t="shared" si="13"/>
        <v>33945</v>
      </c>
      <c r="N314" s="88">
        <v>5256</v>
      </c>
      <c r="O314" s="87">
        <v>34487</v>
      </c>
      <c r="P314" s="281">
        <f t="shared" si="12"/>
        <v>-282</v>
      </c>
      <c r="Q314" s="269">
        <f t="shared" si="14"/>
        <v>-8.1769942297097459E-3</v>
      </c>
    </row>
    <row r="315" spans="1:17" ht="18">
      <c r="A315" s="79" t="s">
        <v>591</v>
      </c>
      <c r="B315" s="79" t="s">
        <v>667</v>
      </c>
      <c r="C315" s="80" t="s">
        <v>668</v>
      </c>
      <c r="D315" s="81">
        <v>2.5590000000000001E-3</v>
      </c>
      <c r="E315" s="82">
        <v>10129</v>
      </c>
      <c r="F315" s="5"/>
      <c r="G315" s="71">
        <v>2.0699999999999998E-3</v>
      </c>
      <c r="H315" s="83">
        <v>46427</v>
      </c>
      <c r="I315" s="7"/>
      <c r="J315" s="84">
        <v>56556</v>
      </c>
      <c r="K315" s="105">
        <v>7.6E-3</v>
      </c>
      <c r="L315" s="85">
        <v>430</v>
      </c>
      <c r="M315" s="257">
        <f t="shared" si="13"/>
        <v>56126</v>
      </c>
      <c r="N315" s="88">
        <v>7605</v>
      </c>
      <c r="O315" s="87">
        <v>56018</v>
      </c>
      <c r="P315" s="281">
        <f t="shared" si="12"/>
        <v>538</v>
      </c>
      <c r="Q315" s="269">
        <f t="shared" si="14"/>
        <v>9.6040558391945439E-3</v>
      </c>
    </row>
    <row r="316" spans="1:17" ht="18">
      <c r="A316" s="79" t="s">
        <v>591</v>
      </c>
      <c r="B316" s="79" t="s">
        <v>669</v>
      </c>
      <c r="C316" s="80" t="s">
        <v>670</v>
      </c>
      <c r="D316" s="81">
        <v>8.5700000000000001E-4</v>
      </c>
      <c r="E316" s="82">
        <v>3392</v>
      </c>
      <c r="F316" s="5"/>
      <c r="G316" s="71">
        <v>6.9399999999999996E-4</v>
      </c>
      <c r="H316" s="83">
        <v>15565</v>
      </c>
      <c r="I316" s="7"/>
      <c r="J316" s="84">
        <v>18957</v>
      </c>
      <c r="K316" s="105">
        <v>7.6E-3</v>
      </c>
      <c r="L316" s="85">
        <v>144</v>
      </c>
      <c r="M316" s="257">
        <f t="shared" si="13"/>
        <v>18813</v>
      </c>
      <c r="N316" s="88">
        <v>2784</v>
      </c>
      <c r="O316" s="87">
        <v>20390</v>
      </c>
      <c r="P316" s="281">
        <f t="shared" si="12"/>
        <v>-1433</v>
      </c>
      <c r="Q316" s="269">
        <f t="shared" si="14"/>
        <v>-7.0279548798430597E-2</v>
      </c>
    </row>
    <row r="317" spans="1:17" ht="18">
      <c r="A317" s="79" t="s">
        <v>591</v>
      </c>
      <c r="B317" s="79" t="s">
        <v>671</v>
      </c>
      <c r="C317" s="80" t="s">
        <v>672</v>
      </c>
      <c r="D317" s="81">
        <v>5.4500000000000002E-4</v>
      </c>
      <c r="E317" s="82">
        <v>2157</v>
      </c>
      <c r="F317" s="5"/>
      <c r="G317" s="71">
        <v>4.2299999999999998E-4</v>
      </c>
      <c r="H317" s="83">
        <v>9487</v>
      </c>
      <c r="I317" s="7"/>
      <c r="J317" s="84">
        <v>11644</v>
      </c>
      <c r="K317" s="105">
        <v>7.6E-3</v>
      </c>
      <c r="L317" s="85">
        <v>88</v>
      </c>
      <c r="M317" s="257">
        <f t="shared" si="13"/>
        <v>11556</v>
      </c>
      <c r="N317" s="88">
        <v>3015</v>
      </c>
      <c r="O317" s="87">
        <v>12630</v>
      </c>
      <c r="P317" s="281">
        <f t="shared" si="12"/>
        <v>-986</v>
      </c>
      <c r="Q317" s="269">
        <f t="shared" si="14"/>
        <v>-7.8068091844813933E-2</v>
      </c>
    </row>
    <row r="318" spans="1:17" ht="18">
      <c r="A318" s="79" t="s">
        <v>591</v>
      </c>
      <c r="B318" s="79" t="s">
        <v>673</v>
      </c>
      <c r="C318" s="80" t="s">
        <v>674</v>
      </c>
      <c r="D318" s="81">
        <v>3.2299999999999999E-4</v>
      </c>
      <c r="E318" s="82">
        <v>1278</v>
      </c>
      <c r="F318" s="5"/>
      <c r="G318" s="71">
        <v>3.8999999999999999E-4</v>
      </c>
      <c r="H318" s="83">
        <v>8747</v>
      </c>
      <c r="I318" s="7"/>
      <c r="J318" s="84">
        <v>10025</v>
      </c>
      <c r="K318" s="105">
        <v>7.6E-3</v>
      </c>
      <c r="L318" s="85">
        <v>76</v>
      </c>
      <c r="M318" s="257">
        <f t="shared" si="13"/>
        <v>9949</v>
      </c>
      <c r="N318" s="88">
        <v>1754</v>
      </c>
      <c r="O318" s="87">
        <v>10020</v>
      </c>
      <c r="P318" s="281">
        <f t="shared" si="12"/>
        <v>5</v>
      </c>
      <c r="Q318" s="269">
        <f t="shared" si="14"/>
        <v>4.9900199600798399E-4</v>
      </c>
    </row>
    <row r="319" spans="1:17" ht="18">
      <c r="A319" s="79" t="s">
        <v>591</v>
      </c>
      <c r="B319" s="79" t="s">
        <v>675</v>
      </c>
      <c r="C319" s="80" t="s">
        <v>676</v>
      </c>
      <c r="D319" s="81">
        <v>3.1100000000000002E-4</v>
      </c>
      <c r="E319" s="82">
        <v>1231</v>
      </c>
      <c r="F319" s="5"/>
      <c r="G319" s="71">
        <v>1.271E-3</v>
      </c>
      <c r="H319" s="83">
        <v>28506</v>
      </c>
      <c r="I319" s="7"/>
      <c r="J319" s="84">
        <v>29737</v>
      </c>
      <c r="K319" s="105">
        <v>7.6E-3</v>
      </c>
      <c r="L319" s="85">
        <v>226</v>
      </c>
      <c r="M319" s="257">
        <f t="shared" si="13"/>
        <v>29511</v>
      </c>
      <c r="N319" s="88">
        <v>5095</v>
      </c>
      <c r="O319" s="87">
        <v>30080</v>
      </c>
      <c r="P319" s="281">
        <f t="shared" si="12"/>
        <v>-343</v>
      </c>
      <c r="Q319" s="269">
        <f t="shared" si="14"/>
        <v>-1.1402925531914894E-2</v>
      </c>
    </row>
    <row r="320" spans="1:17" ht="18">
      <c r="A320" s="79" t="s">
        <v>591</v>
      </c>
      <c r="B320" s="79" t="s">
        <v>677</v>
      </c>
      <c r="C320" s="80" t="s">
        <v>678</v>
      </c>
      <c r="D320" s="81">
        <v>9.01E-4</v>
      </c>
      <c r="E320" s="82">
        <v>3566</v>
      </c>
      <c r="F320" s="5"/>
      <c r="G320" s="71">
        <v>1.3749999999999999E-3</v>
      </c>
      <c r="H320" s="83">
        <v>30839</v>
      </c>
      <c r="I320" s="7"/>
      <c r="J320" s="84">
        <v>34405</v>
      </c>
      <c r="K320" s="105">
        <v>7.6E-3</v>
      </c>
      <c r="L320" s="85">
        <v>261</v>
      </c>
      <c r="M320" s="257">
        <f t="shared" si="13"/>
        <v>34144</v>
      </c>
      <c r="N320" s="88">
        <v>5233</v>
      </c>
      <c r="O320" s="87">
        <v>35717</v>
      </c>
      <c r="P320" s="281">
        <f t="shared" si="12"/>
        <v>-1312</v>
      </c>
      <c r="Q320" s="269">
        <f t="shared" si="14"/>
        <v>-3.6733208276171013E-2</v>
      </c>
    </row>
    <row r="321" spans="1:17" ht="18">
      <c r="A321" s="79" t="s">
        <v>591</v>
      </c>
      <c r="B321" s="79" t="s">
        <v>679</v>
      </c>
      <c r="C321" s="80" t="s">
        <v>680</v>
      </c>
      <c r="D321" s="81">
        <v>6.3400000000000001E-4</v>
      </c>
      <c r="E321" s="82">
        <v>2509</v>
      </c>
      <c r="F321" s="5"/>
      <c r="G321" s="71">
        <v>1.544E-3</v>
      </c>
      <c r="H321" s="83">
        <v>34629</v>
      </c>
      <c r="I321" s="7"/>
      <c r="J321" s="84">
        <v>37138</v>
      </c>
      <c r="K321" s="105">
        <v>7.6E-3</v>
      </c>
      <c r="L321" s="85">
        <v>282</v>
      </c>
      <c r="M321" s="257">
        <f t="shared" si="13"/>
        <v>36856</v>
      </c>
      <c r="N321" s="88">
        <v>5941</v>
      </c>
      <c r="O321" s="87">
        <v>39533</v>
      </c>
      <c r="P321" s="281">
        <f t="shared" si="12"/>
        <v>-2395</v>
      </c>
      <c r="Q321" s="269">
        <f t="shared" si="14"/>
        <v>-6.0582298333038222E-2</v>
      </c>
    </row>
    <row r="322" spans="1:17" ht="18">
      <c r="A322" s="79" t="s">
        <v>591</v>
      </c>
      <c r="B322" s="79" t="s">
        <v>681</v>
      </c>
      <c r="C322" s="80" t="s">
        <v>682</v>
      </c>
      <c r="D322" s="81">
        <v>9.3400000000000004E-4</v>
      </c>
      <c r="E322" s="82">
        <v>3697</v>
      </c>
      <c r="F322" s="5"/>
      <c r="G322" s="71">
        <v>7.1900000000000002E-4</v>
      </c>
      <c r="H322" s="83">
        <v>16126</v>
      </c>
      <c r="I322" s="7"/>
      <c r="J322" s="84">
        <v>19823</v>
      </c>
      <c r="K322" s="105">
        <v>7.6E-3</v>
      </c>
      <c r="L322" s="85">
        <v>151</v>
      </c>
      <c r="M322" s="257">
        <f t="shared" si="13"/>
        <v>19672</v>
      </c>
      <c r="N322" s="88">
        <v>2881</v>
      </c>
      <c r="O322" s="87">
        <v>21054</v>
      </c>
      <c r="P322" s="281">
        <f t="shared" si="12"/>
        <v>-1231</v>
      </c>
      <c r="Q322" s="269">
        <f t="shared" si="14"/>
        <v>-5.8468699534530252E-2</v>
      </c>
    </row>
    <row r="323" spans="1:17" ht="18">
      <c r="A323" s="79" t="s">
        <v>591</v>
      </c>
      <c r="B323" s="79" t="s">
        <v>683</v>
      </c>
      <c r="C323" s="80" t="s">
        <v>684</v>
      </c>
      <c r="D323" s="81">
        <v>3.6699999999999998E-4</v>
      </c>
      <c r="E323" s="82">
        <v>1453</v>
      </c>
      <c r="F323" s="5"/>
      <c r="G323" s="71">
        <v>4.1599999999999997E-4</v>
      </c>
      <c r="H323" s="83">
        <v>9330</v>
      </c>
      <c r="I323" s="7"/>
      <c r="J323" s="84">
        <v>10783</v>
      </c>
      <c r="K323" s="105">
        <v>7.6E-3</v>
      </c>
      <c r="L323" s="85">
        <v>82</v>
      </c>
      <c r="M323" s="257">
        <f t="shared" si="13"/>
        <v>10701</v>
      </c>
      <c r="N323" s="88">
        <v>5805</v>
      </c>
      <c r="O323" s="87">
        <v>11455</v>
      </c>
      <c r="P323" s="281">
        <f t="shared" si="12"/>
        <v>-672</v>
      </c>
      <c r="Q323" s="269">
        <f t="shared" si="14"/>
        <v>-5.8664338716717591E-2</v>
      </c>
    </row>
    <row r="324" spans="1:17" ht="18">
      <c r="A324" s="79" t="s">
        <v>591</v>
      </c>
      <c r="B324" s="79" t="s">
        <v>685</v>
      </c>
      <c r="C324" s="80" t="s">
        <v>686</v>
      </c>
      <c r="D324" s="81">
        <v>7.45E-4</v>
      </c>
      <c r="E324" s="82">
        <v>2949</v>
      </c>
      <c r="F324" s="5"/>
      <c r="G324" s="71">
        <v>9.1E-4</v>
      </c>
      <c r="H324" s="83">
        <v>20410</v>
      </c>
      <c r="I324" s="7"/>
      <c r="J324" s="84">
        <v>23359</v>
      </c>
      <c r="K324" s="105">
        <v>7.6E-3</v>
      </c>
      <c r="L324" s="85">
        <v>178</v>
      </c>
      <c r="M324" s="257">
        <f t="shared" si="13"/>
        <v>23181</v>
      </c>
      <c r="N324" s="88">
        <v>3683</v>
      </c>
      <c r="O324" s="87">
        <v>25312</v>
      </c>
      <c r="P324" s="281">
        <f t="shared" si="12"/>
        <v>-1953</v>
      </c>
      <c r="Q324" s="269">
        <f t="shared" si="14"/>
        <v>-7.7157079646017701E-2</v>
      </c>
    </row>
    <row r="325" spans="1:17" ht="18.75" thickBot="1">
      <c r="A325" s="90" t="s">
        <v>591</v>
      </c>
      <c r="B325" s="90" t="s">
        <v>687</v>
      </c>
      <c r="C325" s="91" t="s">
        <v>688</v>
      </c>
      <c r="D325" s="92">
        <v>7.7899999999999996E-4</v>
      </c>
      <c r="E325" s="93">
        <v>3083</v>
      </c>
      <c r="F325" s="94"/>
      <c r="G325" s="95">
        <v>8.6700000000000004E-4</v>
      </c>
      <c r="H325" s="96">
        <v>19445</v>
      </c>
      <c r="I325" s="7"/>
      <c r="J325" s="97">
        <v>22528</v>
      </c>
      <c r="K325" s="109">
        <v>7.6E-3</v>
      </c>
      <c r="L325" s="99">
        <v>171</v>
      </c>
      <c r="M325" s="258">
        <f t="shared" si="13"/>
        <v>22357</v>
      </c>
      <c r="N325" s="102">
        <v>3709</v>
      </c>
      <c r="O325" s="101">
        <v>22267</v>
      </c>
      <c r="P325" s="282">
        <f t="shared" si="12"/>
        <v>261</v>
      </c>
      <c r="Q325" s="269">
        <f t="shared" si="14"/>
        <v>1.1721381416445862E-2</v>
      </c>
    </row>
    <row r="326" spans="1:17" ht="18">
      <c r="A326" s="79" t="s">
        <v>689</v>
      </c>
      <c r="B326" s="79" t="s">
        <v>690</v>
      </c>
      <c r="C326" s="80" t="s">
        <v>691</v>
      </c>
      <c r="D326" s="81">
        <v>2.581E-3</v>
      </c>
      <c r="E326" s="82">
        <v>10216</v>
      </c>
      <c r="F326" s="5"/>
      <c r="G326" s="103">
        <v>2.3609999999999998E-3</v>
      </c>
      <c r="H326" s="83">
        <v>52953</v>
      </c>
      <c r="I326" s="7"/>
      <c r="J326" s="84">
        <v>63169</v>
      </c>
      <c r="K326" s="105">
        <v>8.6E-3</v>
      </c>
      <c r="L326" s="85">
        <v>543</v>
      </c>
      <c r="M326" s="257">
        <f t="shared" si="13"/>
        <v>62626</v>
      </c>
      <c r="N326" s="88">
        <v>9475</v>
      </c>
      <c r="O326" s="87">
        <v>62068</v>
      </c>
      <c r="P326" s="281">
        <f t="shared" si="12"/>
        <v>1101</v>
      </c>
      <c r="Q326" s="269">
        <f t="shared" si="14"/>
        <v>1.7738609267255269E-2</v>
      </c>
    </row>
    <row r="327" spans="1:17" ht="18">
      <c r="A327" s="79" t="s">
        <v>689</v>
      </c>
      <c r="B327" s="79" t="s">
        <v>692</v>
      </c>
      <c r="C327" s="80" t="s">
        <v>693</v>
      </c>
      <c r="D327" s="81">
        <v>1.8240000000000001E-3</v>
      </c>
      <c r="E327" s="82">
        <v>7219</v>
      </c>
      <c r="F327" s="5"/>
      <c r="G327" s="71">
        <v>1.333E-3</v>
      </c>
      <c r="H327" s="83">
        <v>29897</v>
      </c>
      <c r="I327" s="7"/>
      <c r="J327" s="84">
        <v>37116</v>
      </c>
      <c r="K327" s="105">
        <v>8.6E-3</v>
      </c>
      <c r="L327" s="85">
        <v>319</v>
      </c>
      <c r="M327" s="257">
        <f t="shared" si="13"/>
        <v>36797</v>
      </c>
      <c r="N327" s="88">
        <v>5567</v>
      </c>
      <c r="O327" s="87">
        <v>39120</v>
      </c>
      <c r="P327" s="281">
        <f t="shared" si="12"/>
        <v>-2004</v>
      </c>
      <c r="Q327" s="269">
        <f t="shared" si="14"/>
        <v>-5.1226993865030677E-2</v>
      </c>
    </row>
    <row r="328" spans="1:17" ht="18">
      <c r="A328" s="79" t="s">
        <v>689</v>
      </c>
      <c r="B328" s="79" t="s">
        <v>694</v>
      </c>
      <c r="C328" s="80" t="s">
        <v>695</v>
      </c>
      <c r="D328" s="81">
        <v>1.2916E-2</v>
      </c>
      <c r="E328" s="82">
        <v>51121</v>
      </c>
      <c r="F328" s="5"/>
      <c r="G328" s="71">
        <v>9.4750000000000008E-3</v>
      </c>
      <c r="H328" s="83">
        <v>212508</v>
      </c>
      <c r="I328" s="7"/>
      <c r="J328" s="84">
        <v>263629</v>
      </c>
      <c r="K328" s="105">
        <v>8.6E-3</v>
      </c>
      <c r="L328" s="85">
        <v>2267</v>
      </c>
      <c r="M328" s="257">
        <f t="shared" si="13"/>
        <v>261362</v>
      </c>
      <c r="N328" s="88">
        <v>39544</v>
      </c>
      <c r="O328" s="87">
        <v>267153</v>
      </c>
      <c r="P328" s="281">
        <f t="shared" si="12"/>
        <v>-3524</v>
      </c>
      <c r="Q328" s="269">
        <f t="shared" si="14"/>
        <v>-1.3190943017671522E-2</v>
      </c>
    </row>
    <row r="329" spans="1:17" ht="18">
      <c r="A329" s="79" t="s">
        <v>689</v>
      </c>
      <c r="B329" s="79" t="s">
        <v>696</v>
      </c>
      <c r="C329" s="80" t="s">
        <v>697</v>
      </c>
      <c r="D329" s="81">
        <v>1.6689999999999999E-3</v>
      </c>
      <c r="E329" s="82">
        <v>6606</v>
      </c>
      <c r="F329" s="5"/>
      <c r="G329" s="71">
        <v>1.2149999999999999E-3</v>
      </c>
      <c r="H329" s="83">
        <v>27250</v>
      </c>
      <c r="I329" s="7"/>
      <c r="J329" s="84">
        <v>33856</v>
      </c>
      <c r="K329" s="105">
        <v>8.6E-3</v>
      </c>
      <c r="L329" s="85">
        <v>291</v>
      </c>
      <c r="M329" s="257">
        <f t="shared" si="13"/>
        <v>33565</v>
      </c>
      <c r="N329" s="88">
        <v>5078</v>
      </c>
      <c r="O329" s="87">
        <v>33953</v>
      </c>
      <c r="P329" s="281">
        <f t="shared" ref="P329:P392" si="15">+J329-O329</f>
        <v>-97</v>
      </c>
      <c r="Q329" s="269">
        <f t="shared" si="14"/>
        <v>-2.8568904073277765E-3</v>
      </c>
    </row>
    <row r="330" spans="1:17" ht="18">
      <c r="A330" s="79" t="s">
        <v>689</v>
      </c>
      <c r="B330" s="79" t="s">
        <v>698</v>
      </c>
      <c r="C330" s="80" t="s">
        <v>699</v>
      </c>
      <c r="D330" s="81">
        <v>3.1710000000000002E-3</v>
      </c>
      <c r="E330" s="82">
        <v>12551</v>
      </c>
      <c r="F330" s="5"/>
      <c r="G330" s="71">
        <v>2.8E-3</v>
      </c>
      <c r="H330" s="83">
        <v>62799</v>
      </c>
      <c r="I330" s="7"/>
      <c r="J330" s="84">
        <v>75350</v>
      </c>
      <c r="K330" s="105">
        <v>8.6E-3</v>
      </c>
      <c r="L330" s="85">
        <v>648</v>
      </c>
      <c r="M330" s="257">
        <f t="shared" ref="M330:M359" si="16">+J330-L330</f>
        <v>74702</v>
      </c>
      <c r="N330" s="88">
        <v>11303</v>
      </c>
      <c r="O330" s="87">
        <v>81318</v>
      </c>
      <c r="P330" s="281">
        <f t="shared" si="15"/>
        <v>-5968</v>
      </c>
      <c r="Q330" s="269">
        <f t="shared" ref="Q330:Q360" si="17">+P330/O330</f>
        <v>-7.3390885166875724E-2</v>
      </c>
    </row>
    <row r="331" spans="1:17" ht="18">
      <c r="A331" s="79" t="s">
        <v>689</v>
      </c>
      <c r="B331" s="79" t="s">
        <v>700</v>
      </c>
      <c r="C331" s="80" t="s">
        <v>701</v>
      </c>
      <c r="D331" s="81">
        <v>1.6800000000000001E-3</v>
      </c>
      <c r="E331" s="82">
        <v>6649</v>
      </c>
      <c r="F331" s="5"/>
      <c r="G331" s="71">
        <v>1.702E-3</v>
      </c>
      <c r="H331" s="83">
        <v>38173</v>
      </c>
      <c r="I331" s="7"/>
      <c r="J331" s="84">
        <v>44822</v>
      </c>
      <c r="K331" s="105">
        <v>8.6E-3</v>
      </c>
      <c r="L331" s="85">
        <v>385</v>
      </c>
      <c r="M331" s="257">
        <f t="shared" si="16"/>
        <v>44437</v>
      </c>
      <c r="N331" s="88">
        <v>6723</v>
      </c>
      <c r="O331" s="87">
        <v>46516</v>
      </c>
      <c r="P331" s="281">
        <f t="shared" si="15"/>
        <v>-1694</v>
      </c>
      <c r="Q331" s="269">
        <f t="shared" si="17"/>
        <v>-3.6417576747785708E-2</v>
      </c>
    </row>
    <row r="332" spans="1:17" ht="18">
      <c r="A332" s="79" t="s">
        <v>689</v>
      </c>
      <c r="B332" s="79" t="s">
        <v>702</v>
      </c>
      <c r="C332" s="80" t="s">
        <v>703</v>
      </c>
      <c r="D332" s="81">
        <v>4.0049999999999999E-3</v>
      </c>
      <c r="E332" s="82">
        <v>15852</v>
      </c>
      <c r="F332" s="5"/>
      <c r="G332" s="71">
        <v>2.8040000000000001E-3</v>
      </c>
      <c r="H332" s="83">
        <v>62889</v>
      </c>
      <c r="I332" s="7"/>
      <c r="J332" s="84">
        <v>78741</v>
      </c>
      <c r="K332" s="105">
        <v>8.6E-3</v>
      </c>
      <c r="L332" s="85">
        <v>677</v>
      </c>
      <c r="M332" s="257">
        <f t="shared" si="16"/>
        <v>78064</v>
      </c>
      <c r="N332" s="88">
        <v>11811</v>
      </c>
      <c r="O332" s="87">
        <v>82283</v>
      </c>
      <c r="P332" s="281">
        <f t="shared" si="15"/>
        <v>-3542</v>
      </c>
      <c r="Q332" s="269">
        <f t="shared" si="17"/>
        <v>-4.304655882746132E-2</v>
      </c>
    </row>
    <row r="333" spans="1:17" ht="18">
      <c r="A333" s="79" t="s">
        <v>689</v>
      </c>
      <c r="B333" s="79" t="s">
        <v>704</v>
      </c>
      <c r="C333" s="80" t="s">
        <v>705</v>
      </c>
      <c r="D333" s="81">
        <v>8.6799999999999996E-4</v>
      </c>
      <c r="E333" s="82">
        <v>3436</v>
      </c>
      <c r="F333" s="5"/>
      <c r="G333" s="71">
        <v>9.4300000000000004E-4</v>
      </c>
      <c r="H333" s="83">
        <v>21150</v>
      </c>
      <c r="I333" s="7"/>
      <c r="J333" s="84">
        <v>24586</v>
      </c>
      <c r="K333" s="105">
        <v>8.6E-3</v>
      </c>
      <c r="L333" s="85">
        <v>211</v>
      </c>
      <c r="M333" s="257">
        <f t="shared" si="16"/>
        <v>24375</v>
      </c>
      <c r="N333" s="88">
        <v>3688</v>
      </c>
      <c r="O333" s="87">
        <v>25500</v>
      </c>
      <c r="P333" s="281">
        <f t="shared" si="15"/>
        <v>-914</v>
      </c>
      <c r="Q333" s="269">
        <f t="shared" si="17"/>
        <v>-3.5843137254901958E-2</v>
      </c>
    </row>
    <row r="334" spans="1:17" ht="18">
      <c r="A334" s="79" t="s">
        <v>689</v>
      </c>
      <c r="B334" s="79" t="s">
        <v>706</v>
      </c>
      <c r="C334" s="80" t="s">
        <v>707</v>
      </c>
      <c r="D334" s="81">
        <v>2.7030000000000001E-3</v>
      </c>
      <c r="E334" s="82">
        <v>10698</v>
      </c>
      <c r="F334" s="5"/>
      <c r="G334" s="71">
        <v>2.3340000000000001E-3</v>
      </c>
      <c r="H334" s="83">
        <v>52348</v>
      </c>
      <c r="I334" s="7"/>
      <c r="J334" s="84">
        <v>63046</v>
      </c>
      <c r="K334" s="105">
        <v>8.6E-3</v>
      </c>
      <c r="L334" s="85">
        <v>542</v>
      </c>
      <c r="M334" s="257">
        <f t="shared" si="16"/>
        <v>62504</v>
      </c>
      <c r="N334" s="88">
        <v>9457</v>
      </c>
      <c r="O334" s="87">
        <v>62587</v>
      </c>
      <c r="P334" s="281">
        <f t="shared" si="15"/>
        <v>459</v>
      </c>
      <c r="Q334" s="269">
        <f t="shared" si="17"/>
        <v>7.3337913624235062E-3</v>
      </c>
    </row>
    <row r="335" spans="1:17" ht="18">
      <c r="A335" s="79" t="s">
        <v>689</v>
      </c>
      <c r="B335" s="79" t="s">
        <v>708</v>
      </c>
      <c r="C335" s="80" t="s">
        <v>709</v>
      </c>
      <c r="D335" s="81">
        <v>3.8379999999999998E-3</v>
      </c>
      <c r="E335" s="82">
        <v>15191</v>
      </c>
      <c r="F335" s="5"/>
      <c r="G335" s="71">
        <v>3.7030000000000001E-3</v>
      </c>
      <c r="H335" s="83">
        <v>83052</v>
      </c>
      <c r="I335" s="7"/>
      <c r="J335" s="84">
        <v>98243</v>
      </c>
      <c r="K335" s="105">
        <v>8.6E-3</v>
      </c>
      <c r="L335" s="85">
        <v>845</v>
      </c>
      <c r="M335" s="257">
        <f t="shared" si="16"/>
        <v>97398</v>
      </c>
      <c r="N335" s="88">
        <v>14736</v>
      </c>
      <c r="O335" s="87">
        <v>101008</v>
      </c>
      <c r="P335" s="281">
        <f t="shared" si="15"/>
        <v>-2765</v>
      </c>
      <c r="Q335" s="269">
        <f t="shared" si="17"/>
        <v>-2.7374069380643119E-2</v>
      </c>
    </row>
    <row r="336" spans="1:17" ht="18">
      <c r="A336" s="79" t="s">
        <v>689</v>
      </c>
      <c r="B336" s="79" t="s">
        <v>710</v>
      </c>
      <c r="C336" s="80" t="s">
        <v>711</v>
      </c>
      <c r="D336" s="81">
        <v>5.306E-3</v>
      </c>
      <c r="E336" s="82">
        <v>21001</v>
      </c>
      <c r="F336" s="5"/>
      <c r="G336" s="71">
        <v>5.084E-3</v>
      </c>
      <c r="H336" s="83">
        <v>114026</v>
      </c>
      <c r="I336" s="7"/>
      <c r="J336" s="84">
        <v>135027</v>
      </c>
      <c r="K336" s="105">
        <v>8.6E-3</v>
      </c>
      <c r="L336" s="85">
        <v>1161</v>
      </c>
      <c r="M336" s="257">
        <f t="shared" si="16"/>
        <v>133866</v>
      </c>
      <c r="N336" s="88">
        <v>20254</v>
      </c>
      <c r="O336" s="87">
        <v>140579</v>
      </c>
      <c r="P336" s="281">
        <f t="shared" si="15"/>
        <v>-5552</v>
      </c>
      <c r="Q336" s="269">
        <f t="shared" si="17"/>
        <v>-3.9493807752224726E-2</v>
      </c>
    </row>
    <row r="337" spans="1:17" ht="18">
      <c r="A337" s="79" t="s">
        <v>689</v>
      </c>
      <c r="B337" s="79" t="s">
        <v>712</v>
      </c>
      <c r="C337" s="80" t="s">
        <v>713</v>
      </c>
      <c r="D337" s="81">
        <v>6.2299999999999996E-4</v>
      </c>
      <c r="E337" s="82">
        <v>2466</v>
      </c>
      <c r="F337" s="5"/>
      <c r="G337" s="71">
        <v>3.8499999999999998E-4</v>
      </c>
      <c r="H337" s="83">
        <v>8635</v>
      </c>
      <c r="I337" s="7"/>
      <c r="J337" s="84">
        <v>11101</v>
      </c>
      <c r="K337" s="105">
        <v>8.6E-3</v>
      </c>
      <c r="L337" s="85">
        <v>95</v>
      </c>
      <c r="M337" s="257">
        <f t="shared" si="16"/>
        <v>11006</v>
      </c>
      <c r="N337" s="88">
        <v>1665</v>
      </c>
      <c r="O337" s="87">
        <v>11441</v>
      </c>
      <c r="P337" s="281">
        <f t="shared" si="15"/>
        <v>-340</v>
      </c>
      <c r="Q337" s="269">
        <f t="shared" si="17"/>
        <v>-2.9717682020802376E-2</v>
      </c>
    </row>
    <row r="338" spans="1:17" ht="18">
      <c r="A338" s="79" t="s">
        <v>689</v>
      </c>
      <c r="B338" s="79" t="s">
        <v>714</v>
      </c>
      <c r="C338" s="80" t="s">
        <v>715</v>
      </c>
      <c r="D338" s="81">
        <v>9.4600000000000001E-4</v>
      </c>
      <c r="E338" s="82">
        <v>3744</v>
      </c>
      <c r="F338" s="5"/>
      <c r="G338" s="71">
        <v>7.2900000000000005E-4</v>
      </c>
      <c r="H338" s="83">
        <v>16350</v>
      </c>
      <c r="I338" s="7"/>
      <c r="J338" s="84">
        <v>20094</v>
      </c>
      <c r="K338" s="105">
        <v>8.6E-3</v>
      </c>
      <c r="L338" s="85">
        <v>173</v>
      </c>
      <c r="M338" s="257">
        <f t="shared" si="16"/>
        <v>19921</v>
      </c>
      <c r="N338" s="88">
        <v>3014</v>
      </c>
      <c r="O338" s="87">
        <v>21759</v>
      </c>
      <c r="P338" s="281">
        <f t="shared" si="15"/>
        <v>-1665</v>
      </c>
      <c r="Q338" s="269">
        <f t="shared" si="17"/>
        <v>-7.6520060664552594E-2</v>
      </c>
    </row>
    <row r="339" spans="1:17" ht="18">
      <c r="A339" s="79" t="s">
        <v>689</v>
      </c>
      <c r="B339" s="79" t="s">
        <v>716</v>
      </c>
      <c r="C339" s="80" t="s">
        <v>717</v>
      </c>
      <c r="D339" s="81">
        <v>5.8739999999999999E-3</v>
      </c>
      <c r="E339" s="82">
        <v>23249</v>
      </c>
      <c r="F339" s="5"/>
      <c r="G339" s="71">
        <v>4.0829999999999998E-3</v>
      </c>
      <c r="H339" s="83">
        <v>91575</v>
      </c>
      <c r="I339" s="7"/>
      <c r="J339" s="84">
        <v>114824</v>
      </c>
      <c r="K339" s="105">
        <v>8.6E-3</v>
      </c>
      <c r="L339" s="85">
        <v>987</v>
      </c>
      <c r="M339" s="257">
        <f t="shared" si="16"/>
        <v>113837</v>
      </c>
      <c r="N339" s="88">
        <v>17224</v>
      </c>
      <c r="O339" s="87">
        <v>121113</v>
      </c>
      <c r="P339" s="281">
        <f t="shared" si="15"/>
        <v>-6289</v>
      </c>
      <c r="Q339" s="269">
        <f t="shared" si="17"/>
        <v>-5.1926713069612676E-2</v>
      </c>
    </row>
    <row r="340" spans="1:17" ht="18">
      <c r="A340" s="79" t="s">
        <v>689</v>
      </c>
      <c r="B340" s="79" t="s">
        <v>718</v>
      </c>
      <c r="C340" s="80" t="s">
        <v>719</v>
      </c>
      <c r="D340" s="81">
        <v>4.2299999999999998E-4</v>
      </c>
      <c r="E340" s="82">
        <v>1674</v>
      </c>
      <c r="F340" s="5"/>
      <c r="G340" s="71">
        <v>6.4800000000000003E-4</v>
      </c>
      <c r="H340" s="83">
        <v>14534</v>
      </c>
      <c r="I340" s="7"/>
      <c r="J340" s="84">
        <v>16208</v>
      </c>
      <c r="K340" s="105">
        <v>8.6E-3</v>
      </c>
      <c r="L340" s="85">
        <v>139</v>
      </c>
      <c r="M340" s="257">
        <f t="shared" si="16"/>
        <v>16069</v>
      </c>
      <c r="N340" s="88">
        <v>2431</v>
      </c>
      <c r="O340" s="87">
        <v>16550</v>
      </c>
      <c r="P340" s="281">
        <f t="shared" si="15"/>
        <v>-342</v>
      </c>
      <c r="Q340" s="269">
        <f t="shared" si="17"/>
        <v>-2.0664652567975832E-2</v>
      </c>
    </row>
    <row r="341" spans="1:17" ht="18">
      <c r="A341" s="79" t="s">
        <v>689</v>
      </c>
      <c r="B341" s="79" t="s">
        <v>720</v>
      </c>
      <c r="C341" s="80" t="s">
        <v>721</v>
      </c>
      <c r="D341" s="81">
        <v>1.268E-3</v>
      </c>
      <c r="E341" s="82">
        <v>5019</v>
      </c>
      <c r="F341" s="5"/>
      <c r="G341" s="71">
        <v>1.6149999999999999E-3</v>
      </c>
      <c r="H341" s="83">
        <v>36222</v>
      </c>
      <c r="I341" s="7"/>
      <c r="J341" s="84">
        <v>41241</v>
      </c>
      <c r="K341" s="105">
        <v>8.6E-3</v>
      </c>
      <c r="L341" s="85">
        <v>355</v>
      </c>
      <c r="M341" s="257">
        <f t="shared" si="16"/>
        <v>40886</v>
      </c>
      <c r="N341" s="88">
        <v>6186</v>
      </c>
      <c r="O341" s="87">
        <v>42571</v>
      </c>
      <c r="P341" s="281">
        <f t="shared" si="15"/>
        <v>-1330</v>
      </c>
      <c r="Q341" s="269">
        <f t="shared" si="17"/>
        <v>-3.1241925254281083E-2</v>
      </c>
    </row>
    <row r="342" spans="1:17" ht="18">
      <c r="A342" s="79" t="s">
        <v>689</v>
      </c>
      <c r="B342" s="79" t="s">
        <v>722</v>
      </c>
      <c r="C342" s="80" t="s">
        <v>723</v>
      </c>
      <c r="D342" s="81">
        <v>1.1900000000000001E-3</v>
      </c>
      <c r="E342" s="82">
        <v>4710</v>
      </c>
      <c r="F342" s="5"/>
      <c r="G342" s="71">
        <v>6.8099999999999996E-4</v>
      </c>
      <c r="H342" s="83">
        <v>15274</v>
      </c>
      <c r="I342" s="7"/>
      <c r="J342" s="84">
        <v>19984</v>
      </c>
      <c r="K342" s="105">
        <v>8.6E-3</v>
      </c>
      <c r="L342" s="85">
        <v>172</v>
      </c>
      <c r="M342" s="257">
        <f t="shared" si="16"/>
        <v>19812</v>
      </c>
      <c r="N342" s="88">
        <v>2998</v>
      </c>
      <c r="O342" s="87">
        <v>18980</v>
      </c>
      <c r="P342" s="281">
        <f t="shared" si="15"/>
        <v>1004</v>
      </c>
      <c r="Q342" s="269">
        <f t="shared" si="17"/>
        <v>5.2897787144362489E-2</v>
      </c>
    </row>
    <row r="343" spans="1:17" ht="18">
      <c r="A343" s="79" t="s">
        <v>689</v>
      </c>
      <c r="B343" s="79" t="s">
        <v>724</v>
      </c>
      <c r="C343" s="80" t="s">
        <v>725</v>
      </c>
      <c r="D343" s="81">
        <v>5.5599999999999996E-4</v>
      </c>
      <c r="E343" s="82">
        <v>2201</v>
      </c>
      <c r="F343" s="5"/>
      <c r="G343" s="71">
        <v>4.2700000000000002E-4</v>
      </c>
      <c r="H343" s="83">
        <v>9577</v>
      </c>
      <c r="I343" s="7"/>
      <c r="J343" s="84">
        <v>11778</v>
      </c>
      <c r="K343" s="105">
        <v>8.6E-3</v>
      </c>
      <c r="L343" s="85">
        <v>101</v>
      </c>
      <c r="M343" s="257">
        <f t="shared" si="16"/>
        <v>11677</v>
      </c>
      <c r="N343" s="88">
        <v>1767</v>
      </c>
      <c r="O343" s="87">
        <v>11698</v>
      </c>
      <c r="P343" s="281">
        <f t="shared" si="15"/>
        <v>80</v>
      </c>
      <c r="Q343" s="269">
        <f t="shared" si="17"/>
        <v>6.8387758591212169E-3</v>
      </c>
    </row>
    <row r="344" spans="1:17" ht="18">
      <c r="A344" s="79" t="s">
        <v>689</v>
      </c>
      <c r="B344" s="79" t="s">
        <v>726</v>
      </c>
      <c r="C344" s="80" t="s">
        <v>727</v>
      </c>
      <c r="D344" s="81">
        <v>4.6700000000000002E-4</v>
      </c>
      <c r="E344" s="82">
        <v>1848</v>
      </c>
      <c r="F344" s="5"/>
      <c r="G344" s="71">
        <v>4.0200000000000001E-4</v>
      </c>
      <c r="H344" s="83">
        <v>9016</v>
      </c>
      <c r="I344" s="7"/>
      <c r="J344" s="84">
        <v>10864</v>
      </c>
      <c r="K344" s="105">
        <v>8.6E-3</v>
      </c>
      <c r="L344" s="85">
        <v>93</v>
      </c>
      <c r="M344" s="257">
        <f t="shared" si="16"/>
        <v>10771</v>
      </c>
      <c r="N344" s="88">
        <v>1630</v>
      </c>
      <c r="O344" s="87">
        <v>11394</v>
      </c>
      <c r="P344" s="281">
        <f t="shared" si="15"/>
        <v>-530</v>
      </c>
      <c r="Q344" s="269">
        <f t="shared" si="17"/>
        <v>-4.6515710022819026E-2</v>
      </c>
    </row>
    <row r="345" spans="1:17" ht="18">
      <c r="A345" s="79" t="s">
        <v>689</v>
      </c>
      <c r="B345" s="79" t="s">
        <v>728</v>
      </c>
      <c r="C345" s="80" t="s">
        <v>729</v>
      </c>
      <c r="D345" s="81">
        <v>4.895E-3</v>
      </c>
      <c r="E345" s="82">
        <v>19374</v>
      </c>
      <c r="F345" s="5"/>
      <c r="G345" s="71">
        <v>4.1130000000000003E-3</v>
      </c>
      <c r="H345" s="83">
        <v>92248</v>
      </c>
      <c r="I345" s="7"/>
      <c r="J345" s="84">
        <v>111622</v>
      </c>
      <c r="K345" s="105">
        <v>8.6E-3</v>
      </c>
      <c r="L345" s="85">
        <v>960</v>
      </c>
      <c r="M345" s="257">
        <f t="shared" si="16"/>
        <v>110662</v>
      </c>
      <c r="N345" s="88">
        <v>16743</v>
      </c>
      <c r="O345" s="87">
        <v>114550</v>
      </c>
      <c r="P345" s="281">
        <f t="shared" si="15"/>
        <v>-2928</v>
      </c>
      <c r="Q345" s="269">
        <f t="shared" si="17"/>
        <v>-2.5560890440855522E-2</v>
      </c>
    </row>
    <row r="346" spans="1:17" ht="18">
      <c r="A346" s="79" t="s">
        <v>689</v>
      </c>
      <c r="B346" s="79" t="s">
        <v>730</v>
      </c>
      <c r="C346" s="80" t="s">
        <v>731</v>
      </c>
      <c r="D346" s="81">
        <v>1.1460000000000001E-3</v>
      </c>
      <c r="E346" s="82">
        <v>4536</v>
      </c>
      <c r="F346" s="5"/>
      <c r="G346" s="71">
        <v>1.0709999999999999E-3</v>
      </c>
      <c r="H346" s="83">
        <v>24021</v>
      </c>
      <c r="I346" s="7"/>
      <c r="J346" s="84">
        <v>28557</v>
      </c>
      <c r="K346" s="105">
        <v>8.6E-3</v>
      </c>
      <c r="L346" s="85">
        <v>246</v>
      </c>
      <c r="M346" s="257">
        <f t="shared" si="16"/>
        <v>28311</v>
      </c>
      <c r="N346" s="88">
        <v>4284</v>
      </c>
      <c r="O346" s="87">
        <v>28950</v>
      </c>
      <c r="P346" s="281">
        <f t="shared" si="15"/>
        <v>-393</v>
      </c>
      <c r="Q346" s="269">
        <f t="shared" si="17"/>
        <v>-1.3575129533678756E-2</v>
      </c>
    </row>
    <row r="347" spans="1:17" ht="18">
      <c r="A347" s="79" t="s">
        <v>689</v>
      </c>
      <c r="B347" s="79" t="s">
        <v>732</v>
      </c>
      <c r="C347" s="80" t="s">
        <v>733</v>
      </c>
      <c r="D347" s="81">
        <v>1.09E-3</v>
      </c>
      <c r="E347" s="82">
        <v>4314</v>
      </c>
      <c r="F347" s="5"/>
      <c r="G347" s="71">
        <v>1.129E-3</v>
      </c>
      <c r="H347" s="83">
        <v>25322</v>
      </c>
      <c r="I347" s="7"/>
      <c r="J347" s="84">
        <v>29636</v>
      </c>
      <c r="K347" s="105">
        <v>8.6E-3</v>
      </c>
      <c r="L347" s="85">
        <v>255</v>
      </c>
      <c r="M347" s="257">
        <f t="shared" si="16"/>
        <v>29381</v>
      </c>
      <c r="N347" s="88">
        <v>4445</v>
      </c>
      <c r="O347" s="87">
        <v>29726</v>
      </c>
      <c r="P347" s="281">
        <f t="shared" si="15"/>
        <v>-90</v>
      </c>
      <c r="Q347" s="269">
        <f t="shared" si="17"/>
        <v>-3.0276525600484426E-3</v>
      </c>
    </row>
    <row r="348" spans="1:17" ht="18">
      <c r="A348" s="79" t="s">
        <v>689</v>
      </c>
      <c r="B348" s="79" t="s">
        <v>734</v>
      </c>
      <c r="C348" s="80" t="s">
        <v>735</v>
      </c>
      <c r="D348" s="81">
        <v>6.0740000000000004E-3</v>
      </c>
      <c r="E348" s="82">
        <v>24041</v>
      </c>
      <c r="F348" s="5"/>
      <c r="G348" s="71">
        <v>5.0639999999999999E-3</v>
      </c>
      <c r="H348" s="83">
        <v>113577</v>
      </c>
      <c r="I348" s="7"/>
      <c r="J348" s="84">
        <v>137618</v>
      </c>
      <c r="K348" s="105">
        <v>8.6E-3</v>
      </c>
      <c r="L348" s="85">
        <v>1184</v>
      </c>
      <c r="M348" s="257">
        <f t="shared" si="16"/>
        <v>136434</v>
      </c>
      <c r="N348" s="88">
        <v>20643</v>
      </c>
      <c r="O348" s="87">
        <v>140520</v>
      </c>
      <c r="P348" s="281">
        <f t="shared" si="15"/>
        <v>-2902</v>
      </c>
      <c r="Q348" s="269">
        <f t="shared" si="17"/>
        <v>-2.0651864503273554E-2</v>
      </c>
    </row>
    <row r="349" spans="1:17" ht="18">
      <c r="A349" s="79" t="s">
        <v>689</v>
      </c>
      <c r="B349" s="79" t="s">
        <v>736</v>
      </c>
      <c r="C349" s="80" t="s">
        <v>737</v>
      </c>
      <c r="D349" s="81">
        <v>1.2838E-2</v>
      </c>
      <c r="E349" s="82">
        <v>50813</v>
      </c>
      <c r="F349" s="5"/>
      <c r="G349" s="71">
        <v>9.0690000000000007E-3</v>
      </c>
      <c r="H349" s="83">
        <v>203402</v>
      </c>
      <c r="I349" s="7"/>
      <c r="J349" s="84">
        <v>254215</v>
      </c>
      <c r="K349" s="105">
        <v>8.6E-3</v>
      </c>
      <c r="L349" s="85">
        <v>2186</v>
      </c>
      <c r="M349" s="257">
        <f t="shared" si="16"/>
        <v>252029</v>
      </c>
      <c r="N349" s="88">
        <v>38132</v>
      </c>
      <c r="O349" s="87">
        <v>251928</v>
      </c>
      <c r="P349" s="281">
        <f t="shared" si="15"/>
        <v>2287</v>
      </c>
      <c r="Q349" s="269">
        <f t="shared" si="17"/>
        <v>9.0779905369788201E-3</v>
      </c>
    </row>
    <row r="350" spans="1:17" ht="18">
      <c r="A350" s="79" t="s">
        <v>689</v>
      </c>
      <c r="B350" s="79" t="s">
        <v>738</v>
      </c>
      <c r="C350" s="80" t="s">
        <v>739</v>
      </c>
      <c r="D350" s="81">
        <v>1.268E-3</v>
      </c>
      <c r="E350" s="82">
        <v>5019</v>
      </c>
      <c r="F350" s="5"/>
      <c r="G350" s="71">
        <v>1.2819999999999999E-3</v>
      </c>
      <c r="H350" s="83">
        <v>28753</v>
      </c>
      <c r="I350" s="7"/>
      <c r="J350" s="84">
        <v>33772</v>
      </c>
      <c r="K350" s="105">
        <v>8.6E-3</v>
      </c>
      <c r="L350" s="85">
        <v>290</v>
      </c>
      <c r="M350" s="257">
        <f t="shared" si="16"/>
        <v>33482</v>
      </c>
      <c r="N350" s="88">
        <v>5066</v>
      </c>
      <c r="O350" s="87">
        <v>36342</v>
      </c>
      <c r="P350" s="281">
        <f t="shared" si="15"/>
        <v>-2570</v>
      </c>
      <c r="Q350" s="269">
        <f t="shared" si="17"/>
        <v>-7.0717076660613068E-2</v>
      </c>
    </row>
    <row r="351" spans="1:17" ht="18">
      <c r="A351" s="79" t="s">
        <v>689</v>
      </c>
      <c r="B351" s="79" t="s">
        <v>740</v>
      </c>
      <c r="C351" s="80" t="s">
        <v>741</v>
      </c>
      <c r="D351" s="81">
        <v>7.2300000000000001E-4</v>
      </c>
      <c r="E351" s="82">
        <v>2862</v>
      </c>
      <c r="F351" s="5"/>
      <c r="G351" s="71">
        <v>4.5300000000000001E-4</v>
      </c>
      <c r="H351" s="83">
        <v>10160</v>
      </c>
      <c r="I351" s="7"/>
      <c r="J351" s="84">
        <v>13022</v>
      </c>
      <c r="K351" s="105">
        <v>8.6E-3</v>
      </c>
      <c r="L351" s="85">
        <v>112</v>
      </c>
      <c r="M351" s="257">
        <f t="shared" si="16"/>
        <v>12910</v>
      </c>
      <c r="N351" s="88">
        <v>1953</v>
      </c>
      <c r="O351" s="87">
        <v>13056</v>
      </c>
      <c r="P351" s="281">
        <f t="shared" si="15"/>
        <v>-34</v>
      </c>
      <c r="Q351" s="269">
        <f t="shared" si="17"/>
        <v>-2.6041666666666665E-3</v>
      </c>
    </row>
    <row r="352" spans="1:17" ht="18">
      <c r="A352" s="79" t="s">
        <v>689</v>
      </c>
      <c r="B352" s="79" t="s">
        <v>742</v>
      </c>
      <c r="C352" s="80" t="s">
        <v>743</v>
      </c>
      <c r="D352" s="81">
        <v>9.5699999999999995E-4</v>
      </c>
      <c r="E352" s="82">
        <v>3788</v>
      </c>
      <c r="F352" s="5"/>
      <c r="G352" s="71">
        <v>1.1329999999999999E-3</v>
      </c>
      <c r="H352" s="83">
        <v>25411</v>
      </c>
      <c r="I352" s="7"/>
      <c r="J352" s="84">
        <v>29199</v>
      </c>
      <c r="K352" s="105">
        <v>8.6E-3</v>
      </c>
      <c r="L352" s="85">
        <v>251</v>
      </c>
      <c r="M352" s="257">
        <f t="shared" si="16"/>
        <v>28948</v>
      </c>
      <c r="N352" s="88">
        <v>4380</v>
      </c>
      <c r="O352" s="87">
        <v>29699</v>
      </c>
      <c r="P352" s="281">
        <f t="shared" si="15"/>
        <v>-500</v>
      </c>
      <c r="Q352" s="269">
        <f t="shared" si="17"/>
        <v>-1.6835583689686521E-2</v>
      </c>
    </row>
    <row r="353" spans="1:21" ht="18">
      <c r="A353" s="79" t="s">
        <v>689</v>
      </c>
      <c r="B353" s="79" t="s">
        <v>744</v>
      </c>
      <c r="C353" s="80" t="s">
        <v>745</v>
      </c>
      <c r="D353" s="81">
        <v>6.6699999999999995E-4</v>
      </c>
      <c r="E353" s="82">
        <v>2640</v>
      </c>
      <c r="F353" s="5"/>
      <c r="G353" s="71">
        <v>5.6599999999999999E-4</v>
      </c>
      <c r="H353" s="83">
        <v>12694</v>
      </c>
      <c r="I353" s="7"/>
      <c r="J353" s="84">
        <v>15334</v>
      </c>
      <c r="K353" s="105">
        <v>8.6E-3</v>
      </c>
      <c r="L353" s="85">
        <v>132</v>
      </c>
      <c r="M353" s="257">
        <f t="shared" si="16"/>
        <v>15202</v>
      </c>
      <c r="N353" s="88">
        <v>2300</v>
      </c>
      <c r="O353" s="87">
        <v>15756</v>
      </c>
      <c r="P353" s="281">
        <f t="shared" si="15"/>
        <v>-422</v>
      </c>
      <c r="Q353" s="269">
        <f t="shared" si="17"/>
        <v>-2.6783447575526784E-2</v>
      </c>
    </row>
    <row r="354" spans="1:21" ht="18">
      <c r="A354" s="79" t="s">
        <v>689</v>
      </c>
      <c r="B354" s="79" t="s">
        <v>746</v>
      </c>
      <c r="C354" s="80" t="s">
        <v>747</v>
      </c>
      <c r="D354" s="81">
        <v>1.6130000000000001E-3</v>
      </c>
      <c r="E354" s="82">
        <v>6384</v>
      </c>
      <c r="F354" s="5"/>
      <c r="G354" s="71">
        <v>1.4040000000000001E-3</v>
      </c>
      <c r="H354" s="83">
        <v>31489</v>
      </c>
      <c r="I354" s="7"/>
      <c r="J354" s="84">
        <v>37873</v>
      </c>
      <c r="K354" s="105">
        <v>8.6E-3</v>
      </c>
      <c r="L354" s="85">
        <v>326</v>
      </c>
      <c r="M354" s="257">
        <f t="shared" si="16"/>
        <v>37547</v>
      </c>
      <c r="N354" s="88">
        <v>5681</v>
      </c>
      <c r="O354" s="87">
        <v>39675</v>
      </c>
      <c r="P354" s="281">
        <f t="shared" si="15"/>
        <v>-1802</v>
      </c>
      <c r="Q354" s="269">
        <f t="shared" si="17"/>
        <v>-4.5419029615626966E-2</v>
      </c>
    </row>
    <row r="355" spans="1:21" ht="18">
      <c r="A355" s="79" t="s">
        <v>689</v>
      </c>
      <c r="B355" s="79" t="s">
        <v>748</v>
      </c>
      <c r="C355" s="80" t="s">
        <v>749</v>
      </c>
      <c r="D355" s="81">
        <v>9.8999999999999999E-4</v>
      </c>
      <c r="E355" s="82">
        <v>3918</v>
      </c>
      <c r="F355" s="5"/>
      <c r="G355" s="71">
        <v>1.034E-3</v>
      </c>
      <c r="H355" s="83">
        <v>23191</v>
      </c>
      <c r="I355" s="7"/>
      <c r="J355" s="84">
        <v>27109</v>
      </c>
      <c r="K355" s="105">
        <v>8.6E-3</v>
      </c>
      <c r="L355" s="85">
        <v>233</v>
      </c>
      <c r="M355" s="257">
        <f t="shared" si="16"/>
        <v>26876</v>
      </c>
      <c r="N355" s="88">
        <v>4066</v>
      </c>
      <c r="O355" s="87">
        <v>27743</v>
      </c>
      <c r="P355" s="281">
        <f t="shared" si="15"/>
        <v>-634</v>
      </c>
      <c r="Q355" s="269">
        <f t="shared" si="17"/>
        <v>-2.2852611469559889E-2</v>
      </c>
    </row>
    <row r="356" spans="1:21" ht="18">
      <c r="A356" s="79" t="s">
        <v>689</v>
      </c>
      <c r="B356" s="79" t="s">
        <v>750</v>
      </c>
      <c r="C356" s="80" t="s">
        <v>751</v>
      </c>
      <c r="D356" s="81">
        <v>2.0249999999999999E-3</v>
      </c>
      <c r="E356" s="82">
        <v>8015</v>
      </c>
      <c r="F356" s="5"/>
      <c r="G356" s="71">
        <v>1.506E-3</v>
      </c>
      <c r="H356" s="83">
        <v>33777</v>
      </c>
      <c r="I356" s="7"/>
      <c r="J356" s="84">
        <v>41792</v>
      </c>
      <c r="K356" s="105">
        <v>8.6E-3</v>
      </c>
      <c r="L356" s="85">
        <v>359</v>
      </c>
      <c r="M356" s="257">
        <f t="shared" si="16"/>
        <v>41433</v>
      </c>
      <c r="N356" s="88">
        <v>6269</v>
      </c>
      <c r="O356" s="87">
        <v>41600</v>
      </c>
      <c r="P356" s="281">
        <f t="shared" si="15"/>
        <v>192</v>
      </c>
      <c r="Q356" s="269">
        <f t="shared" si="17"/>
        <v>4.6153846153846158E-3</v>
      </c>
    </row>
    <row r="357" spans="1:21" ht="18">
      <c r="A357" s="106" t="s">
        <v>689</v>
      </c>
      <c r="B357" s="106" t="s">
        <v>752</v>
      </c>
      <c r="C357" s="107" t="s">
        <v>753</v>
      </c>
      <c r="D357" s="81">
        <v>1.48E-3</v>
      </c>
      <c r="E357" s="82">
        <v>5858</v>
      </c>
      <c r="F357" s="5"/>
      <c r="G357" s="71">
        <v>1.165E-3</v>
      </c>
      <c r="H357" s="83">
        <v>26129</v>
      </c>
      <c r="I357" s="7"/>
      <c r="J357" s="84">
        <v>31987</v>
      </c>
      <c r="K357" s="105">
        <v>8.6E-3</v>
      </c>
      <c r="L357" s="85">
        <v>275</v>
      </c>
      <c r="M357" s="257">
        <f t="shared" si="16"/>
        <v>31712</v>
      </c>
      <c r="N357" s="88">
        <v>4798</v>
      </c>
      <c r="O357" s="87">
        <v>33337</v>
      </c>
      <c r="P357" s="281">
        <f t="shared" si="15"/>
        <v>-1350</v>
      </c>
      <c r="Q357" s="269">
        <f t="shared" si="17"/>
        <v>-4.04955454899961E-2</v>
      </c>
    </row>
    <row r="358" spans="1:21" ht="18">
      <c r="A358" s="79" t="s">
        <v>689</v>
      </c>
      <c r="B358" s="79" t="s">
        <v>754</v>
      </c>
      <c r="C358" s="80" t="s">
        <v>755</v>
      </c>
      <c r="D358" s="81">
        <v>1.735E-3</v>
      </c>
      <c r="E358" s="82">
        <v>6867</v>
      </c>
      <c r="F358" s="5"/>
      <c r="G358" s="71">
        <v>8.9800000000000004E-4</v>
      </c>
      <c r="H358" s="83">
        <v>20141</v>
      </c>
      <c r="I358" s="7"/>
      <c r="J358" s="84">
        <v>27008</v>
      </c>
      <c r="K358" s="105">
        <v>8.6E-3</v>
      </c>
      <c r="L358" s="85">
        <v>232</v>
      </c>
      <c r="M358" s="257">
        <f t="shared" si="16"/>
        <v>26776</v>
      </c>
      <c r="N358" s="88">
        <v>4051</v>
      </c>
      <c r="O358" s="87">
        <v>28247</v>
      </c>
      <c r="P358" s="281">
        <f t="shared" si="15"/>
        <v>-1239</v>
      </c>
      <c r="Q358" s="269">
        <f t="shared" si="17"/>
        <v>-4.3863065104258858E-2</v>
      </c>
    </row>
    <row r="359" spans="1:21" ht="18.75" thickBot="1">
      <c r="A359" s="90" t="s">
        <v>689</v>
      </c>
      <c r="B359" s="90" t="s">
        <v>756</v>
      </c>
      <c r="C359" s="91" t="s">
        <v>757</v>
      </c>
      <c r="D359" s="81">
        <v>9.2299999999999999E-4</v>
      </c>
      <c r="E359" s="82">
        <v>3653</v>
      </c>
      <c r="F359" s="5"/>
      <c r="G359" s="95">
        <v>7.54E-4</v>
      </c>
      <c r="H359" s="96">
        <v>16911</v>
      </c>
      <c r="I359" s="7"/>
      <c r="J359" s="97">
        <v>20564</v>
      </c>
      <c r="K359" s="109">
        <v>8.6E-3</v>
      </c>
      <c r="L359" s="99">
        <v>177</v>
      </c>
      <c r="M359" s="258">
        <f t="shared" si="16"/>
        <v>20387</v>
      </c>
      <c r="N359" s="102">
        <v>3085</v>
      </c>
      <c r="O359" s="101">
        <v>20733</v>
      </c>
      <c r="P359" s="282">
        <f t="shared" si="15"/>
        <v>-169</v>
      </c>
      <c r="Q359" s="271">
        <f t="shared" si="17"/>
        <v>-8.151256451068345E-3</v>
      </c>
    </row>
    <row r="360" spans="1:21" ht="13.5" thickBot="1">
      <c r="A360" s="115">
        <v>20</v>
      </c>
      <c r="B360" s="116">
        <v>9199</v>
      </c>
      <c r="C360" s="115" t="s">
        <v>758</v>
      </c>
      <c r="D360" s="117">
        <f>SUM(D9:D359)</f>
        <v>0.99690600000000051</v>
      </c>
      <c r="E360" s="118">
        <f>SUM(E9:E359)</f>
        <v>3945746</v>
      </c>
      <c r="F360" s="5"/>
      <c r="G360" s="119">
        <f>SUM(G9:G359)</f>
        <v>0.99871799999999977</v>
      </c>
      <c r="H360" s="120">
        <f>SUM(H9:H359)</f>
        <v>22399552</v>
      </c>
      <c r="I360" s="7"/>
      <c r="J360" s="121">
        <f>SUM(J9:J359)</f>
        <v>26345298</v>
      </c>
      <c r="K360" s="122"/>
      <c r="L360" s="123">
        <f>SUM(L9:L359)</f>
        <v>321770</v>
      </c>
      <c r="M360" s="124">
        <f>SUM(M9:M359)</f>
        <v>26023528</v>
      </c>
      <c r="N360" s="125">
        <f t="shared" ref="N360" si="18">SUM(N9:N359)</f>
        <v>3951801</v>
      </c>
      <c r="O360" s="126">
        <f>SUM(O9:O359)</f>
        <v>26749452</v>
      </c>
      <c r="P360" s="283">
        <f>SUM(P9:P359)</f>
        <v>-404154</v>
      </c>
      <c r="Q360" s="272">
        <f t="shared" si="17"/>
        <v>-1.5108870267697447E-2</v>
      </c>
      <c r="U360" s="127" t="e">
        <f>+#REF!-O360</f>
        <v>#REF!</v>
      </c>
    </row>
    <row r="361" spans="1:21" hidden="1">
      <c r="A361" s="128"/>
      <c r="B361" s="129"/>
      <c r="C361" s="128"/>
      <c r="D361" s="130"/>
      <c r="E361" s="131"/>
      <c r="F361" s="5"/>
      <c r="G361" s="103"/>
      <c r="H361" s="132"/>
      <c r="I361" s="7"/>
      <c r="J361" s="133"/>
    </row>
    <row r="362" spans="1:21" hidden="1">
      <c r="A362" s="134">
        <v>21</v>
      </c>
      <c r="B362" s="134">
        <v>9501</v>
      </c>
      <c r="C362" s="135" t="s">
        <v>536</v>
      </c>
      <c r="D362" s="81">
        <v>3.3000000000000003E-5</v>
      </c>
      <c r="E362" s="136">
        <v>131</v>
      </c>
      <c r="F362" s="5"/>
      <c r="G362" s="71">
        <v>1.4E-5</v>
      </c>
      <c r="H362" s="137">
        <v>314</v>
      </c>
      <c r="I362" s="7"/>
      <c r="J362" s="84">
        <f t="shared" ref="J362:J369" si="19">+H362+E362</f>
        <v>445</v>
      </c>
      <c r="K362" s="262"/>
      <c r="L362" s="262"/>
      <c r="M362" s="86">
        <f t="shared" ref="M362:M369" si="20">+J362-L362</f>
        <v>445</v>
      </c>
      <c r="N362" s="138">
        <v>0</v>
      </c>
      <c r="O362" s="87">
        <v>575</v>
      </c>
      <c r="P362" s="139">
        <f t="shared" ref="P362:P369" si="21">+J362-O362</f>
        <v>-130</v>
      </c>
      <c r="Q362" s="78">
        <f t="shared" ref="Q362:Q369" si="22">+P362/O362</f>
        <v>-0.22608695652173913</v>
      </c>
    </row>
    <row r="363" spans="1:21" hidden="1">
      <c r="A363" s="134">
        <v>21</v>
      </c>
      <c r="B363" s="134">
        <v>9502</v>
      </c>
      <c r="C363" s="135" t="s">
        <v>159</v>
      </c>
      <c r="D363" s="81">
        <v>2.03E-4</v>
      </c>
      <c r="E363" s="136">
        <v>803</v>
      </c>
      <c r="F363" s="5"/>
      <c r="G363" s="71">
        <v>8.5000000000000006E-5</v>
      </c>
      <c r="H363" s="137">
        <v>1906</v>
      </c>
      <c r="I363" s="7"/>
      <c r="J363" s="84">
        <f t="shared" si="19"/>
        <v>2709</v>
      </c>
      <c r="K363" s="262"/>
      <c r="L363" s="262"/>
      <c r="M363" s="86">
        <f t="shared" si="20"/>
        <v>2709</v>
      </c>
      <c r="N363" s="138">
        <v>0</v>
      </c>
      <c r="O363" s="87">
        <v>2937</v>
      </c>
      <c r="P363" s="139">
        <f t="shared" si="21"/>
        <v>-228</v>
      </c>
      <c r="Q363" s="78">
        <f t="shared" si="22"/>
        <v>-7.7630234933605727E-2</v>
      </c>
    </row>
    <row r="364" spans="1:21" hidden="1">
      <c r="A364" s="134">
        <v>21</v>
      </c>
      <c r="B364" s="134">
        <v>9503</v>
      </c>
      <c r="C364" s="135" t="s">
        <v>759</v>
      </c>
      <c r="D364" s="81">
        <v>6.7599999999999995E-4</v>
      </c>
      <c r="E364" s="136">
        <v>2676</v>
      </c>
      <c r="F364" s="5"/>
      <c r="G364" s="71">
        <v>2.8200000000000002E-4</v>
      </c>
      <c r="H364" s="137">
        <v>6325</v>
      </c>
      <c r="I364" s="7"/>
      <c r="J364" s="84">
        <f t="shared" si="19"/>
        <v>9001</v>
      </c>
      <c r="K364" s="262"/>
      <c r="L364" s="262"/>
      <c r="M364" s="86">
        <f t="shared" si="20"/>
        <v>9001</v>
      </c>
      <c r="N364" s="138">
        <v>0</v>
      </c>
      <c r="O364" s="87">
        <v>10151</v>
      </c>
      <c r="P364" s="139">
        <f t="shared" si="21"/>
        <v>-1150</v>
      </c>
      <c r="Q364" s="78">
        <f t="shared" si="22"/>
        <v>-0.11328933110038419</v>
      </c>
    </row>
    <row r="365" spans="1:21" hidden="1">
      <c r="A365" s="134">
        <v>21</v>
      </c>
      <c r="B365" s="134">
        <v>9504</v>
      </c>
      <c r="C365" s="135" t="s">
        <v>760</v>
      </c>
      <c r="D365" s="81">
        <v>3.5E-4</v>
      </c>
      <c r="E365" s="136">
        <v>1385</v>
      </c>
      <c r="F365" s="5"/>
      <c r="G365" s="71">
        <v>1.46E-4</v>
      </c>
      <c r="H365" s="137">
        <v>3275</v>
      </c>
      <c r="I365" s="7"/>
      <c r="J365" s="84">
        <f t="shared" si="19"/>
        <v>4660</v>
      </c>
      <c r="K365" s="262"/>
      <c r="L365" s="262"/>
      <c r="M365" s="86">
        <f t="shared" si="20"/>
        <v>4660</v>
      </c>
      <c r="N365" s="138">
        <v>0</v>
      </c>
      <c r="O365" s="140">
        <f>4661</f>
        <v>4661</v>
      </c>
      <c r="P365" s="139">
        <f t="shared" si="21"/>
        <v>-1</v>
      </c>
      <c r="Q365" s="78">
        <f t="shared" si="22"/>
        <v>-2.1454623471358077E-4</v>
      </c>
    </row>
    <row r="366" spans="1:21" hidden="1">
      <c r="A366" s="134">
        <v>22</v>
      </c>
      <c r="B366" s="134">
        <v>9521</v>
      </c>
      <c r="C366" s="135" t="s">
        <v>761</v>
      </c>
      <c r="D366" s="81">
        <v>4.6999999999999997E-5</v>
      </c>
      <c r="E366" s="136">
        <v>186</v>
      </c>
      <c r="F366" s="5"/>
      <c r="G366" s="71">
        <v>2.0000000000000002E-5</v>
      </c>
      <c r="H366" s="137">
        <v>449</v>
      </c>
      <c r="I366" s="7"/>
      <c r="J366" s="84">
        <f t="shared" si="19"/>
        <v>635</v>
      </c>
      <c r="K366" s="262"/>
      <c r="L366" s="262"/>
      <c r="M366" s="86">
        <f t="shared" si="20"/>
        <v>635</v>
      </c>
      <c r="N366" s="138">
        <v>0</v>
      </c>
      <c r="O366" s="87">
        <v>1149</v>
      </c>
      <c r="P366" s="139">
        <f t="shared" si="21"/>
        <v>-514</v>
      </c>
      <c r="Q366" s="78">
        <f t="shared" si="22"/>
        <v>-0.44734551784160137</v>
      </c>
    </row>
    <row r="367" spans="1:21" hidden="1">
      <c r="A367" s="134">
        <v>22</v>
      </c>
      <c r="B367" s="134">
        <v>9522</v>
      </c>
      <c r="C367" s="135" t="s">
        <v>762</v>
      </c>
      <c r="D367" s="81">
        <v>5.8600000000000004E-4</v>
      </c>
      <c r="E367" s="136">
        <v>2319</v>
      </c>
      <c r="F367" s="5"/>
      <c r="G367" s="71">
        <v>2.4399999999999999E-4</v>
      </c>
      <c r="H367" s="137">
        <v>5473</v>
      </c>
      <c r="I367" s="7"/>
      <c r="J367" s="84">
        <f t="shared" si="19"/>
        <v>7792</v>
      </c>
      <c r="K367" s="262"/>
      <c r="L367" s="262"/>
      <c r="M367" s="86">
        <f t="shared" si="20"/>
        <v>7792</v>
      </c>
      <c r="N367" s="138">
        <v>0</v>
      </c>
      <c r="O367" s="87">
        <v>5682</v>
      </c>
      <c r="P367" s="139">
        <f t="shared" si="21"/>
        <v>2110</v>
      </c>
      <c r="Q367" s="78">
        <f t="shared" si="22"/>
        <v>0.37134811686026048</v>
      </c>
    </row>
    <row r="368" spans="1:21" hidden="1">
      <c r="A368" s="134">
        <v>22</v>
      </c>
      <c r="B368" s="134">
        <v>9523</v>
      </c>
      <c r="C368" s="135" t="s">
        <v>763</v>
      </c>
      <c r="D368" s="81">
        <v>4.3000000000000002E-5</v>
      </c>
      <c r="E368" s="136">
        <v>170</v>
      </c>
      <c r="F368" s="5"/>
      <c r="G368" s="71">
        <v>1.8E-5</v>
      </c>
      <c r="H368" s="137">
        <v>404</v>
      </c>
      <c r="I368" s="7"/>
      <c r="J368" s="84">
        <f t="shared" si="19"/>
        <v>574</v>
      </c>
      <c r="K368" s="262"/>
      <c r="L368" s="262"/>
      <c r="M368" s="86">
        <f t="shared" si="20"/>
        <v>574</v>
      </c>
      <c r="N368" s="138">
        <v>0</v>
      </c>
      <c r="O368" s="140">
        <f>575</f>
        <v>575</v>
      </c>
      <c r="P368" s="139">
        <f t="shared" si="21"/>
        <v>-1</v>
      </c>
      <c r="Q368" s="78">
        <f t="shared" si="22"/>
        <v>-1.7391304347826088E-3</v>
      </c>
    </row>
    <row r="369" spans="1:17" ht="13.5" hidden="1" thickBot="1">
      <c r="A369" s="141">
        <v>23</v>
      </c>
      <c r="B369" s="141">
        <v>9531</v>
      </c>
      <c r="C369" s="142" t="s">
        <v>764</v>
      </c>
      <c r="D369" s="92">
        <v>1.1479999999999999E-3</v>
      </c>
      <c r="E369" s="143">
        <v>4544</v>
      </c>
      <c r="F369" s="94"/>
      <c r="G369" s="95">
        <v>4.7899999999999999E-4</v>
      </c>
      <c r="H369" s="144">
        <v>10743</v>
      </c>
      <c r="I369" s="7"/>
      <c r="J369" s="97">
        <f t="shared" si="19"/>
        <v>15287</v>
      </c>
      <c r="K369" s="263"/>
      <c r="L369" s="263"/>
      <c r="M369" s="100">
        <f t="shared" si="20"/>
        <v>15287</v>
      </c>
      <c r="N369" s="145">
        <v>0</v>
      </c>
      <c r="O369" s="101">
        <v>16153</v>
      </c>
      <c r="P369" s="146">
        <f t="shared" si="21"/>
        <v>-866</v>
      </c>
      <c r="Q369" s="78">
        <f t="shared" si="22"/>
        <v>-5.3612332074537236E-2</v>
      </c>
    </row>
    <row r="370" spans="1:17" ht="13.5" hidden="1" thickBot="1">
      <c r="A370" s="147"/>
      <c r="B370" s="148"/>
      <c r="C370" s="149"/>
      <c r="D370" s="150"/>
      <c r="E370" s="151"/>
      <c r="F370" s="5"/>
      <c r="G370" s="152"/>
      <c r="H370" s="153"/>
      <c r="I370" s="7"/>
      <c r="J370" s="154"/>
      <c r="K370" s="155"/>
      <c r="L370" s="156"/>
      <c r="M370" s="157"/>
      <c r="N370" s="155"/>
      <c r="O370" s="155"/>
      <c r="P370" s="155"/>
    </row>
    <row r="371" spans="1:17" ht="13.5" hidden="1" thickBot="1">
      <c r="A371" s="158">
        <v>23</v>
      </c>
      <c r="B371" s="159">
        <v>9599</v>
      </c>
      <c r="C371" s="159" t="s">
        <v>765</v>
      </c>
      <c r="D371" s="160">
        <f>SUM(D362:D370)</f>
        <v>3.0860000000000002E-3</v>
      </c>
      <c r="E371" s="161">
        <f>SUM(E362:E369)</f>
        <v>12214</v>
      </c>
      <c r="F371" s="5"/>
      <c r="G371" s="119">
        <f>SUM(G362:G370)</f>
        <v>1.2880000000000001E-3</v>
      </c>
      <c r="H371" s="162">
        <f>SUM(H362:H370)</f>
        <v>28889</v>
      </c>
      <c r="I371" s="7"/>
      <c r="J371" s="163">
        <f>SUM(J362:J370)</f>
        <v>41103</v>
      </c>
      <c r="K371" s="164">
        <f t="shared" ref="K371:M371" si="23">SUM(K362:K370)</f>
        <v>0</v>
      </c>
      <c r="L371" s="165">
        <f t="shared" si="23"/>
        <v>0</v>
      </c>
      <c r="M371" s="166">
        <f t="shared" si="23"/>
        <v>41103</v>
      </c>
      <c r="N371" s="164">
        <f>SUM(N362:N369)</f>
        <v>0</v>
      </c>
      <c r="O371" s="164">
        <f>SUM(O362:O370)</f>
        <v>41883</v>
      </c>
      <c r="P371" s="164">
        <f>SUM(P362:P370)</f>
        <v>-780</v>
      </c>
      <c r="Q371" s="78">
        <f>+P371/O371</f>
        <v>-1.8623307785975218E-2</v>
      </c>
    </row>
    <row r="372" spans="1:17" ht="13.5" hidden="1" thickBot="1">
      <c r="A372" s="167"/>
      <c r="B372" s="168"/>
      <c r="C372" s="168"/>
      <c r="D372" s="169"/>
      <c r="E372" s="170"/>
      <c r="F372" s="5"/>
      <c r="G372" s="119"/>
      <c r="H372" s="171"/>
      <c r="I372" s="7"/>
      <c r="J372" s="172"/>
      <c r="K372" s="173"/>
      <c r="L372" s="174"/>
      <c r="M372" s="175"/>
      <c r="N372" s="173"/>
      <c r="O372" s="173"/>
      <c r="P372" s="176"/>
    </row>
    <row r="373" spans="1:17" ht="13.5" hidden="1" thickBot="1">
      <c r="A373" s="158">
        <v>24</v>
      </c>
      <c r="B373" s="159">
        <v>9999</v>
      </c>
      <c r="C373" s="159" t="s">
        <v>766</v>
      </c>
      <c r="D373" s="177">
        <f>+D371+D360</f>
        <v>0.99999200000000055</v>
      </c>
      <c r="E373" s="161">
        <f>+E371+E360</f>
        <v>3957960</v>
      </c>
      <c r="F373" s="5"/>
      <c r="G373" s="178">
        <f>+G371+G360</f>
        <v>1.0000059999999997</v>
      </c>
      <c r="H373" s="162">
        <f>+H371+H360</f>
        <v>22428441</v>
      </c>
      <c r="I373" s="7"/>
      <c r="J373" s="163">
        <f>+J371+J360</f>
        <v>26386401</v>
      </c>
      <c r="K373" s="164"/>
      <c r="L373" s="165">
        <f t="shared" ref="L373:P373" si="24">+L371+L360</f>
        <v>321770</v>
      </c>
      <c r="M373" s="166">
        <f t="shared" si="24"/>
        <v>26064631</v>
      </c>
      <c r="N373" s="164">
        <f t="shared" si="24"/>
        <v>3951801</v>
      </c>
      <c r="O373" s="164">
        <f t="shared" si="24"/>
        <v>26791335</v>
      </c>
      <c r="P373" s="164">
        <f t="shared" si="24"/>
        <v>-404934</v>
      </c>
      <c r="Q373" s="78">
        <f>+P373/O373</f>
        <v>-1.5114364401773932E-2</v>
      </c>
    </row>
    <row r="374" spans="1:17" hidden="1">
      <c r="D374" s="89"/>
      <c r="E374" s="179"/>
      <c r="G374" s="103"/>
      <c r="H374" s="132"/>
      <c r="I374" s="7"/>
      <c r="J374" s="133"/>
      <c r="L374" s="180"/>
      <c r="M374" s="181"/>
      <c r="O374" s="182">
        <f>+[1]Sheet1!F370</f>
        <v>26791335</v>
      </c>
    </row>
    <row r="375" spans="1:17" hidden="1">
      <c r="C375" s="261" t="s">
        <v>806</v>
      </c>
      <c r="D375" s="89"/>
      <c r="E375" s="179"/>
      <c r="G375" s="71"/>
      <c r="H375" s="132"/>
      <c r="I375" s="7"/>
      <c r="J375" s="133"/>
      <c r="L375" s="180"/>
      <c r="M375" s="181"/>
      <c r="O375" s="127">
        <f>+O374-O373</f>
        <v>0</v>
      </c>
    </row>
    <row r="376" spans="1:17" hidden="1">
      <c r="A376" s="79"/>
      <c r="B376" s="79" t="s">
        <v>767</v>
      </c>
      <c r="C376" s="183" t="s">
        <v>768</v>
      </c>
      <c r="D376" s="81">
        <v>5.7735000000000009E-2</v>
      </c>
      <c r="E376" s="82">
        <f>SUM(E9:E32)</f>
        <v>228514</v>
      </c>
      <c r="F376" s="5">
        <v>0</v>
      </c>
      <c r="G376" s="71">
        <v>6.7264000000000018E-2</v>
      </c>
      <c r="H376" s="184">
        <f>SUM(H9:H32)</f>
        <v>1508616</v>
      </c>
      <c r="I376" s="7"/>
      <c r="J376" s="185">
        <f>+E376+H376</f>
        <v>1737130</v>
      </c>
      <c r="K376" s="186">
        <v>1.8100000000000002E-2</v>
      </c>
      <c r="L376" s="85">
        <f>SUM(L9:L32)</f>
        <v>31441</v>
      </c>
      <c r="M376" s="187">
        <f>SUM(M9:M32)</f>
        <v>1705689</v>
      </c>
      <c r="N376" s="188">
        <f t="shared" ref="N376:P384" si="25">SUM(N9:N32)</f>
        <v>260569</v>
      </c>
      <c r="O376" s="188">
        <f t="shared" si="25"/>
        <v>1790336</v>
      </c>
      <c r="P376" s="188">
        <f t="shared" si="25"/>
        <v>-53206</v>
      </c>
      <c r="Q376" s="78">
        <f t="shared" ref="Q376:Q384" si="26">+P376/O376</f>
        <v>-2.9718443912204191E-2</v>
      </c>
    </row>
    <row r="377" spans="1:17" hidden="1">
      <c r="A377" s="79"/>
      <c r="B377" s="79" t="s">
        <v>769</v>
      </c>
      <c r="C377" s="183" t="s">
        <v>770</v>
      </c>
      <c r="D377" s="81">
        <v>0.13645599999999997</v>
      </c>
      <c r="E377" s="82">
        <f>SUM(E33:E89)</f>
        <v>540096</v>
      </c>
      <c r="F377" s="5">
        <v>0</v>
      </c>
      <c r="G377" s="71">
        <v>0.130023</v>
      </c>
      <c r="H377" s="184">
        <f>SUM(H33:H89)</f>
        <v>2916193</v>
      </c>
      <c r="I377" s="7"/>
      <c r="J377" s="185">
        <f t="shared" ref="J377:J384" si="27">+E377+H377</f>
        <v>3456289</v>
      </c>
      <c r="K377" s="186">
        <v>1.3100000000000001E-2</v>
      </c>
      <c r="L377" s="85">
        <f>SUM(L33:L89)</f>
        <v>45276</v>
      </c>
      <c r="M377" s="187">
        <f>SUM(M33:M89)</f>
        <v>3411013</v>
      </c>
      <c r="N377" s="188">
        <f t="shared" si="25"/>
        <v>254950</v>
      </c>
      <c r="O377" s="188">
        <f t="shared" ref="O377:P377" si="28">SUM(O33:O89)</f>
        <v>3499885</v>
      </c>
      <c r="P377" s="188">
        <f t="shared" si="28"/>
        <v>-43596</v>
      </c>
      <c r="Q377" s="78">
        <f t="shared" si="26"/>
        <v>-1.2456409282019267E-2</v>
      </c>
    </row>
    <row r="378" spans="1:17" hidden="1">
      <c r="A378" s="79"/>
      <c r="B378" s="79" t="s">
        <v>771</v>
      </c>
      <c r="C378" s="183" t="s">
        <v>772</v>
      </c>
      <c r="D378" s="81">
        <v>6.8392999999999995E-2</v>
      </c>
      <c r="E378" s="82">
        <f>SUM(E90:E134)</f>
        <v>270698</v>
      </c>
      <c r="F378" s="5">
        <v>0</v>
      </c>
      <c r="G378" s="71">
        <v>6.3945000000000002E-2</v>
      </c>
      <c r="H378" s="184">
        <f>SUM(H90:H134)</f>
        <v>1434180</v>
      </c>
      <c r="I378" s="7"/>
      <c r="J378" s="185">
        <f t="shared" si="27"/>
        <v>1704878</v>
      </c>
      <c r="K378" s="186">
        <v>2.2800000000000001E-2</v>
      </c>
      <c r="L378" s="85">
        <f>SUM(L90:L134)</f>
        <v>38872</v>
      </c>
      <c r="M378" s="187">
        <f>SUM(M90:M134)</f>
        <v>1666006</v>
      </c>
      <c r="N378" s="188">
        <f t="shared" si="25"/>
        <v>253554</v>
      </c>
      <c r="O378" s="188">
        <f t="shared" ref="O378:P378" si="29">SUM(O90:O134)</f>
        <v>1735888</v>
      </c>
      <c r="P378" s="188">
        <f t="shared" si="29"/>
        <v>-31010</v>
      </c>
      <c r="Q378" s="78">
        <f t="shared" si="26"/>
        <v>-1.786405574553197E-2</v>
      </c>
    </row>
    <row r="379" spans="1:17" hidden="1">
      <c r="A379" s="79"/>
      <c r="B379" s="79" t="s">
        <v>773</v>
      </c>
      <c r="C379" s="183" t="s">
        <v>774</v>
      </c>
      <c r="D379" s="81">
        <v>0.11062300000000001</v>
      </c>
      <c r="E379" s="82">
        <f>SUM(E135:E156)</f>
        <v>437845</v>
      </c>
      <c r="F379" s="5">
        <v>0</v>
      </c>
      <c r="G379" s="71">
        <v>9.938000000000001E-2</v>
      </c>
      <c r="H379" s="184">
        <f>SUM(H135:H156)</f>
        <v>2228924</v>
      </c>
      <c r="I379" s="7"/>
      <c r="J379" s="185">
        <f t="shared" si="27"/>
        <v>2666769</v>
      </c>
      <c r="K379" s="186">
        <v>8.2000000000000007E-3</v>
      </c>
      <c r="L379" s="85">
        <f>SUM(L135:L156)</f>
        <v>21868</v>
      </c>
      <c r="M379" s="187">
        <f>SUM(M135:M156)</f>
        <v>2644901</v>
      </c>
      <c r="N379" s="188">
        <f t="shared" si="25"/>
        <v>246333</v>
      </c>
      <c r="O379" s="188">
        <f t="shared" ref="O379:P379" si="30">SUM(O135:O156)</f>
        <v>2713957</v>
      </c>
      <c r="P379" s="188">
        <f t="shared" si="30"/>
        <v>-47188</v>
      </c>
      <c r="Q379" s="78">
        <f t="shared" si="26"/>
        <v>-1.7387158307961403E-2</v>
      </c>
    </row>
    <row r="380" spans="1:17" hidden="1">
      <c r="A380" s="79"/>
      <c r="B380" s="79" t="s">
        <v>775</v>
      </c>
      <c r="C380" s="183" t="s">
        <v>776</v>
      </c>
      <c r="D380" s="81">
        <v>0.11179400000000002</v>
      </c>
      <c r="E380" s="82">
        <f>SUM(E157:E188)</f>
        <v>442480</v>
      </c>
      <c r="F380" s="5">
        <v>0</v>
      </c>
      <c r="G380" s="71">
        <v>0.13890899999999998</v>
      </c>
      <c r="H380" s="184">
        <f>SUM(H157:H188)</f>
        <v>3115493</v>
      </c>
      <c r="I380" s="7"/>
      <c r="J380" s="185">
        <f t="shared" si="27"/>
        <v>3557973</v>
      </c>
      <c r="K380" s="186">
        <v>1.1299999999999999E-2</v>
      </c>
      <c r="L380" s="85">
        <f>SUM(L157:L188)</f>
        <v>40206</v>
      </c>
      <c r="M380" s="187">
        <f>SUM(M157:M188)</f>
        <v>3517767</v>
      </c>
      <c r="N380" s="188">
        <f t="shared" si="25"/>
        <v>157801</v>
      </c>
      <c r="O380" s="188">
        <f t="shared" ref="O380:P380" si="31">SUM(O157:O188)</f>
        <v>3599607</v>
      </c>
      <c r="P380" s="188">
        <f t="shared" si="31"/>
        <v>-41634</v>
      </c>
      <c r="Q380" s="78">
        <f t="shared" si="26"/>
        <v>-1.1566262650339328E-2</v>
      </c>
    </row>
    <row r="381" spans="1:17" hidden="1">
      <c r="A381" s="79"/>
      <c r="B381" s="79" t="s">
        <v>777</v>
      </c>
      <c r="C381" s="183" t="s">
        <v>778</v>
      </c>
      <c r="D381" s="81">
        <v>0.23802999999999996</v>
      </c>
      <c r="E381" s="82">
        <f>SUM(E189:E241)</f>
        <v>942117</v>
      </c>
      <c r="F381" s="5">
        <v>0</v>
      </c>
      <c r="G381" s="71">
        <v>0.26210800000000001</v>
      </c>
      <c r="H381" s="184">
        <f>SUM(H189:H241)</f>
        <v>5878641</v>
      </c>
      <c r="I381" s="7"/>
      <c r="J381" s="185">
        <f t="shared" si="27"/>
        <v>6820758</v>
      </c>
      <c r="K381" s="186">
        <v>9.7999999999999997E-3</v>
      </c>
      <c r="L381" s="85">
        <f>SUM(L189:L241)</f>
        <v>66843</v>
      </c>
      <c r="M381" s="187">
        <f>SUM(M189:M241)</f>
        <v>6753915</v>
      </c>
      <c r="N381" s="188">
        <f t="shared" si="25"/>
        <v>159182</v>
      </c>
      <c r="O381" s="188">
        <f t="shared" ref="O381:P381" si="32">SUM(O189:O241)</f>
        <v>6859917</v>
      </c>
      <c r="P381" s="188">
        <f t="shared" si="32"/>
        <v>-39159</v>
      </c>
      <c r="Q381" s="78">
        <f t="shared" si="26"/>
        <v>-5.7083781042831863E-3</v>
      </c>
    </row>
    <row r="382" spans="1:17" hidden="1">
      <c r="A382" s="79"/>
      <c r="B382" s="79" t="s">
        <v>779</v>
      </c>
      <c r="C382" s="183" t="s">
        <v>780</v>
      </c>
      <c r="D382" s="81">
        <v>8.9862999999999998E-2</v>
      </c>
      <c r="E382" s="82">
        <f>SUM(E242:E277)</f>
        <v>355678</v>
      </c>
      <c r="F382" s="5">
        <v>0</v>
      </c>
      <c r="G382" s="71">
        <v>8.4696000000000021E-2</v>
      </c>
      <c r="H382" s="184">
        <f>SUM(H242:H277)</f>
        <v>1899588</v>
      </c>
      <c r="I382" s="7"/>
      <c r="J382" s="185">
        <f t="shared" si="27"/>
        <v>2255266</v>
      </c>
      <c r="K382" s="186">
        <v>1.9400000000000001E-2</v>
      </c>
      <c r="L382" s="85">
        <f>SUM(L242:L277)</f>
        <v>43752</v>
      </c>
      <c r="M382" s="187">
        <f>SUM(M242:M277)</f>
        <v>2211514</v>
      </c>
      <c r="N382" s="188">
        <f t="shared" si="25"/>
        <v>161149</v>
      </c>
      <c r="O382" s="188">
        <f t="shared" ref="O382:P382" si="33">SUM(O242:O277)</f>
        <v>2297818</v>
      </c>
      <c r="P382" s="188">
        <f t="shared" si="33"/>
        <v>-42552</v>
      </c>
      <c r="Q382" s="78">
        <f t="shared" si="26"/>
        <v>-1.8518437926763564E-2</v>
      </c>
    </row>
    <row r="383" spans="1:17" hidden="1">
      <c r="A383" s="79"/>
      <c r="B383" s="79" t="s">
        <v>781</v>
      </c>
      <c r="C383" s="183" t="s">
        <v>782</v>
      </c>
      <c r="D383" s="81">
        <v>9.3680000000000013E-2</v>
      </c>
      <c r="E383" s="82">
        <f>SUM(E278:E325)</f>
        <v>370785</v>
      </c>
      <c r="F383" s="5">
        <v>0</v>
      </c>
      <c r="G383" s="71">
        <v>7.9028000000000015E-2</v>
      </c>
      <c r="H383" s="184">
        <f>SUM(H278:H325)</f>
        <v>1772463</v>
      </c>
      <c r="I383" s="7"/>
      <c r="J383" s="185">
        <f t="shared" si="27"/>
        <v>2143248</v>
      </c>
      <c r="K383" s="186">
        <v>7.6E-3</v>
      </c>
      <c r="L383" s="85">
        <f>SUM(L278:L325)</f>
        <v>16290</v>
      </c>
      <c r="M383" s="187">
        <f>SUM(M278:M325)</f>
        <v>2126958</v>
      </c>
      <c r="N383" s="188">
        <f t="shared" si="25"/>
        <v>164237</v>
      </c>
      <c r="O383" s="188">
        <f t="shared" ref="O383:P383" si="34">SUM(O278:O325)</f>
        <v>2202591</v>
      </c>
      <c r="P383" s="188">
        <f t="shared" si="34"/>
        <v>-59343</v>
      </c>
      <c r="Q383" s="78">
        <f t="shared" si="26"/>
        <v>-2.6942360156742673E-2</v>
      </c>
    </row>
    <row r="384" spans="1:17" ht="13.5" hidden="1" thickBot="1">
      <c r="A384" s="90"/>
      <c r="B384" s="90" t="s">
        <v>783</v>
      </c>
      <c r="C384" s="189" t="s">
        <v>784</v>
      </c>
      <c r="D384" s="92">
        <v>9.033200000000001E-2</v>
      </c>
      <c r="E384" s="93">
        <f>SUM(E326:E359)</f>
        <v>357533</v>
      </c>
      <c r="F384" s="94">
        <v>0</v>
      </c>
      <c r="G384" s="95">
        <v>7.3364999999999986E-2</v>
      </c>
      <c r="H384" s="190">
        <f>SUM(H326:H359)</f>
        <v>1645454</v>
      </c>
      <c r="I384" s="7"/>
      <c r="J384" s="191">
        <f t="shared" si="27"/>
        <v>2002987</v>
      </c>
      <c r="K384" s="192">
        <v>8.6E-3</v>
      </c>
      <c r="L384" s="99">
        <f>SUM(L326:L359)</f>
        <v>17222</v>
      </c>
      <c r="M384" s="193">
        <f>SUM(M326:M359)</f>
        <v>1985765</v>
      </c>
      <c r="N384" s="194">
        <f t="shared" si="25"/>
        <v>162991</v>
      </c>
      <c r="O384" s="194">
        <f t="shared" ref="O384:P384" si="35">SUM(O326:O359)</f>
        <v>2049453</v>
      </c>
      <c r="P384" s="194">
        <f t="shared" si="35"/>
        <v>-46466</v>
      </c>
      <c r="Q384" s="78">
        <f t="shared" si="26"/>
        <v>-2.2672391120947884E-2</v>
      </c>
    </row>
    <row r="385" spans="1:17" ht="13.5" hidden="1" thickBot="1">
      <c r="D385" s="89"/>
      <c r="E385" s="179"/>
      <c r="G385" s="152"/>
      <c r="H385" s="195"/>
      <c r="I385" s="7"/>
      <c r="J385" s="196"/>
      <c r="K385" s="197"/>
      <c r="L385" s="198"/>
      <c r="M385" s="199"/>
      <c r="N385" s="197"/>
      <c r="O385" s="197"/>
      <c r="P385" s="197"/>
    </row>
    <row r="386" spans="1:17" ht="13.5" hidden="1" thickBot="1">
      <c r="A386" s="115"/>
      <c r="B386" s="116">
        <v>9199</v>
      </c>
      <c r="C386" s="115" t="s">
        <v>785</v>
      </c>
      <c r="D386" s="117">
        <f>SUM(D376:D385)</f>
        <v>0.99690599999999996</v>
      </c>
      <c r="E386" s="118">
        <f>SUM(E376:E384)</f>
        <v>3945746</v>
      </c>
      <c r="F386" s="94">
        <v>0</v>
      </c>
      <c r="G386" s="200">
        <f>SUM(G376:G384)</f>
        <v>0.99871799999999999</v>
      </c>
      <c r="H386" s="201">
        <f>SUM(H376:H385)</f>
        <v>22399552</v>
      </c>
      <c r="I386" s="7"/>
      <c r="J386" s="202">
        <f>SUM(J376:J385)</f>
        <v>26345298</v>
      </c>
      <c r="K386" s="203"/>
      <c r="L386" s="204">
        <f t="shared" ref="L386:P386" si="36">SUM(L376:L384)</f>
        <v>321770</v>
      </c>
      <c r="M386" s="205">
        <f t="shared" si="36"/>
        <v>26023528</v>
      </c>
      <c r="N386" s="203">
        <f t="shared" si="36"/>
        <v>1820766</v>
      </c>
      <c r="O386" s="203">
        <f t="shared" si="36"/>
        <v>26749452</v>
      </c>
      <c r="P386" s="203">
        <f t="shared" si="36"/>
        <v>-404154</v>
      </c>
      <c r="Q386" s="78">
        <f t="shared" ref="Q386" si="37">+P386/O386</f>
        <v>-1.5108870267697447E-2</v>
      </c>
    </row>
    <row r="387" spans="1:17" hidden="1">
      <c r="D387" s="89"/>
      <c r="E387" s="179"/>
      <c r="G387" s="103"/>
      <c r="H387" s="132"/>
      <c r="I387" s="7"/>
      <c r="J387" s="133"/>
      <c r="L387" s="180"/>
      <c r="M387" s="181"/>
    </row>
    <row r="388" spans="1:17" hidden="1">
      <c r="A388" s="134">
        <v>21</v>
      </c>
      <c r="B388" s="134">
        <v>9501</v>
      </c>
      <c r="C388" s="135" t="s">
        <v>536</v>
      </c>
      <c r="D388" s="81">
        <v>3.3000000000000003E-5</v>
      </c>
      <c r="E388" s="206">
        <v>131</v>
      </c>
      <c r="G388" s="71">
        <v>1.4E-5</v>
      </c>
      <c r="H388" s="207">
        <v>314</v>
      </c>
      <c r="I388" s="7"/>
      <c r="J388" s="185">
        <f t="shared" ref="J388:J395" si="38">+E388+H388</f>
        <v>445</v>
      </c>
      <c r="K388" s="208"/>
      <c r="L388" s="209"/>
      <c r="M388" s="86">
        <f t="shared" ref="M388:M395" si="39">+J388-L388</f>
        <v>445</v>
      </c>
      <c r="N388" s="208"/>
      <c r="O388" s="208">
        <f>+O362</f>
        <v>575</v>
      </c>
      <c r="P388" s="208">
        <f>+P362</f>
        <v>-130</v>
      </c>
    </row>
    <row r="389" spans="1:17" hidden="1">
      <c r="A389" s="134">
        <v>21</v>
      </c>
      <c r="B389" s="134">
        <v>9502</v>
      </c>
      <c r="C389" s="135" t="s">
        <v>159</v>
      </c>
      <c r="D389" s="81">
        <v>2.03E-4</v>
      </c>
      <c r="E389" s="206">
        <v>803</v>
      </c>
      <c r="G389" s="71">
        <v>8.5000000000000006E-5</v>
      </c>
      <c r="H389" s="207">
        <v>1906</v>
      </c>
      <c r="I389" s="7"/>
      <c r="J389" s="185">
        <f t="shared" si="38"/>
        <v>2709</v>
      </c>
      <c r="K389" s="208"/>
      <c r="L389" s="209"/>
      <c r="M389" s="86">
        <f t="shared" si="39"/>
        <v>2709</v>
      </c>
      <c r="N389" s="208"/>
      <c r="O389" s="208">
        <f t="shared" ref="O389:P395" si="40">+O363</f>
        <v>2937</v>
      </c>
      <c r="P389" s="208">
        <f t="shared" si="40"/>
        <v>-228</v>
      </c>
    </row>
    <row r="390" spans="1:17" hidden="1">
      <c r="A390" s="134">
        <v>21</v>
      </c>
      <c r="B390" s="134">
        <v>9503</v>
      </c>
      <c r="C390" s="135" t="s">
        <v>759</v>
      </c>
      <c r="D390" s="81">
        <v>6.7599999999999995E-4</v>
      </c>
      <c r="E390" s="206">
        <v>2676</v>
      </c>
      <c r="G390" s="71">
        <v>2.8200000000000002E-4</v>
      </c>
      <c r="H390" s="207">
        <v>6325</v>
      </c>
      <c r="I390" s="7"/>
      <c r="J390" s="185">
        <f t="shared" si="38"/>
        <v>9001</v>
      </c>
      <c r="K390" s="208"/>
      <c r="L390" s="209"/>
      <c r="M390" s="86">
        <f t="shared" si="39"/>
        <v>9001</v>
      </c>
      <c r="N390" s="208"/>
      <c r="O390" s="208">
        <f t="shared" si="40"/>
        <v>10151</v>
      </c>
      <c r="P390" s="208">
        <f t="shared" si="40"/>
        <v>-1150</v>
      </c>
    </row>
    <row r="391" spans="1:17" hidden="1">
      <c r="A391" s="134">
        <v>21</v>
      </c>
      <c r="B391" s="134">
        <v>9504</v>
      </c>
      <c r="C391" s="135" t="s">
        <v>760</v>
      </c>
      <c r="D391" s="81">
        <v>3.5E-4</v>
      </c>
      <c r="E391" s="206">
        <v>1385</v>
      </c>
      <c r="G391" s="71">
        <v>1.46E-4</v>
      </c>
      <c r="H391" s="207">
        <v>3275</v>
      </c>
      <c r="I391" s="7"/>
      <c r="J391" s="185">
        <f t="shared" si="38"/>
        <v>4660</v>
      </c>
      <c r="K391" s="208"/>
      <c r="L391" s="209"/>
      <c r="M391" s="86">
        <f t="shared" si="39"/>
        <v>4660</v>
      </c>
      <c r="N391" s="208"/>
      <c r="O391" s="208">
        <f t="shared" si="40"/>
        <v>4661</v>
      </c>
      <c r="P391" s="208">
        <f t="shared" si="40"/>
        <v>-1</v>
      </c>
    </row>
    <row r="392" spans="1:17" hidden="1">
      <c r="A392" s="134">
        <v>22</v>
      </c>
      <c r="B392" s="134">
        <v>9521</v>
      </c>
      <c r="C392" s="135" t="s">
        <v>761</v>
      </c>
      <c r="D392" s="81">
        <v>4.6999999999999997E-5</v>
      </c>
      <c r="E392" s="206">
        <v>186</v>
      </c>
      <c r="G392" s="71">
        <v>2.0000000000000002E-5</v>
      </c>
      <c r="H392" s="207">
        <v>449</v>
      </c>
      <c r="I392" s="7"/>
      <c r="J392" s="185">
        <f t="shared" si="38"/>
        <v>635</v>
      </c>
      <c r="K392" s="208"/>
      <c r="L392" s="209"/>
      <c r="M392" s="86">
        <f t="shared" si="39"/>
        <v>635</v>
      </c>
      <c r="N392" s="208"/>
      <c r="O392" s="208">
        <f t="shared" si="40"/>
        <v>1149</v>
      </c>
      <c r="P392" s="208">
        <f t="shared" si="40"/>
        <v>-514</v>
      </c>
    </row>
    <row r="393" spans="1:17" hidden="1">
      <c r="A393" s="134">
        <v>22</v>
      </c>
      <c r="B393" s="134">
        <v>9522</v>
      </c>
      <c r="C393" s="135" t="s">
        <v>762</v>
      </c>
      <c r="D393" s="81">
        <v>5.8600000000000004E-4</v>
      </c>
      <c r="E393" s="206">
        <v>2319</v>
      </c>
      <c r="G393" s="71">
        <v>2.4399999999999999E-4</v>
      </c>
      <c r="H393" s="207">
        <v>5473</v>
      </c>
      <c r="I393" s="7"/>
      <c r="J393" s="185">
        <f t="shared" si="38"/>
        <v>7792</v>
      </c>
      <c r="K393" s="208"/>
      <c r="L393" s="209"/>
      <c r="M393" s="86">
        <f t="shared" si="39"/>
        <v>7792</v>
      </c>
      <c r="N393" s="208"/>
      <c r="O393" s="208">
        <f t="shared" si="40"/>
        <v>5682</v>
      </c>
      <c r="P393" s="208">
        <f t="shared" si="40"/>
        <v>2110</v>
      </c>
    </row>
    <row r="394" spans="1:17" hidden="1">
      <c r="A394" s="134">
        <v>22</v>
      </c>
      <c r="B394" s="134">
        <v>9523</v>
      </c>
      <c r="C394" s="135" t="s">
        <v>763</v>
      </c>
      <c r="D394" s="81">
        <v>4.3000000000000002E-5</v>
      </c>
      <c r="E394" s="206">
        <v>170</v>
      </c>
      <c r="G394" s="71">
        <v>1.8E-5</v>
      </c>
      <c r="H394" s="207">
        <v>404</v>
      </c>
      <c r="I394" s="7"/>
      <c r="J394" s="185">
        <f t="shared" si="38"/>
        <v>574</v>
      </c>
      <c r="K394" s="208"/>
      <c r="L394" s="209"/>
      <c r="M394" s="86">
        <f t="shared" si="39"/>
        <v>574</v>
      </c>
      <c r="N394" s="208"/>
      <c r="O394" s="208">
        <f t="shared" si="40"/>
        <v>575</v>
      </c>
      <c r="P394" s="208">
        <f t="shared" si="40"/>
        <v>-1</v>
      </c>
    </row>
    <row r="395" spans="1:17" hidden="1">
      <c r="A395" s="134">
        <v>23</v>
      </c>
      <c r="B395" s="134">
        <v>9531</v>
      </c>
      <c r="C395" s="135" t="s">
        <v>764</v>
      </c>
      <c r="D395" s="81">
        <v>1.1479999999999999E-3</v>
      </c>
      <c r="E395" s="206">
        <v>4544</v>
      </c>
      <c r="G395" s="71">
        <v>4.7899999999999999E-4</v>
      </c>
      <c r="H395" s="207">
        <v>10743</v>
      </c>
      <c r="I395" s="7"/>
      <c r="J395" s="185">
        <f t="shared" si="38"/>
        <v>15287</v>
      </c>
      <c r="K395" s="208"/>
      <c r="L395" s="209"/>
      <c r="M395" s="86">
        <f t="shared" si="39"/>
        <v>15287</v>
      </c>
      <c r="N395" s="208"/>
      <c r="O395" s="208">
        <f t="shared" si="40"/>
        <v>16153</v>
      </c>
      <c r="P395" s="208">
        <f t="shared" si="40"/>
        <v>-866</v>
      </c>
    </row>
    <row r="396" spans="1:17" ht="13.5" hidden="1" thickBot="1">
      <c r="D396" s="89"/>
      <c r="E396" s="179"/>
      <c r="G396" s="95"/>
      <c r="H396" s="210"/>
      <c r="I396" s="7"/>
      <c r="J396" s="211"/>
      <c r="K396" s="212"/>
      <c r="L396" s="213"/>
      <c r="M396" s="214"/>
      <c r="N396" s="212"/>
      <c r="O396" s="212"/>
      <c r="P396" s="212"/>
    </row>
    <row r="397" spans="1:17" ht="13.5" hidden="1" thickBot="1">
      <c r="A397" s="158">
        <v>23</v>
      </c>
      <c r="B397" s="159">
        <v>9599</v>
      </c>
      <c r="C397" s="159" t="s">
        <v>765</v>
      </c>
      <c r="D397" s="160">
        <f>SUM(D388:D396)</f>
        <v>3.0860000000000002E-3</v>
      </c>
      <c r="E397" s="161">
        <f>SUM(E388:E395)</f>
        <v>12214</v>
      </c>
      <c r="F397" s="94"/>
      <c r="G397" s="152">
        <f>SUM(G388:G396)</f>
        <v>1.2880000000000001E-3</v>
      </c>
      <c r="H397" s="215">
        <f>SUM(H388:H395)</f>
        <v>28889</v>
      </c>
      <c r="I397" s="7"/>
      <c r="J397" s="216">
        <f>SUM(J388:J396)</f>
        <v>41103</v>
      </c>
      <c r="K397" s="217"/>
      <c r="L397" s="218"/>
      <c r="M397" s="219">
        <f>SUM(M388:M396)</f>
        <v>41103</v>
      </c>
      <c r="N397" s="217"/>
      <c r="O397" s="217">
        <f>SUM(O388:O396)</f>
        <v>41883</v>
      </c>
      <c r="P397" s="217">
        <f>SUM(P388:P396)</f>
        <v>-780</v>
      </c>
    </row>
    <row r="398" spans="1:17" hidden="1">
      <c r="D398" s="89"/>
      <c r="E398" s="179"/>
      <c r="G398" s="103"/>
      <c r="H398" s="220"/>
      <c r="I398" s="7"/>
      <c r="J398" s="221"/>
      <c r="K398" s="222"/>
      <c r="L398" s="223"/>
      <c r="M398" s="224"/>
      <c r="N398" s="222"/>
      <c r="O398" s="222"/>
      <c r="P398" s="222"/>
    </row>
    <row r="399" spans="1:17" ht="13.5" hidden="1" thickBot="1">
      <c r="A399" s="158">
        <v>24</v>
      </c>
      <c r="B399" s="159">
        <v>9999</v>
      </c>
      <c r="C399" s="159" t="s">
        <v>766</v>
      </c>
      <c r="D399" s="177">
        <f>+D397+D386</f>
        <v>0.99999199999999999</v>
      </c>
      <c r="E399" s="161">
        <f>+E397+E386</f>
        <v>3957960</v>
      </c>
      <c r="F399" s="5"/>
      <c r="G399" s="225">
        <f>+G397+G386</f>
        <v>1.000006</v>
      </c>
      <c r="H399" s="83">
        <f>+H397+H386</f>
        <v>22428441</v>
      </c>
      <c r="I399" s="7"/>
      <c r="J399" s="226">
        <f>+J397+J386</f>
        <v>26386401</v>
      </c>
      <c r="K399" s="227"/>
      <c r="L399" s="228">
        <f>+L397+L386</f>
        <v>321770</v>
      </c>
      <c r="M399" s="86">
        <f>+M397+M386</f>
        <v>26064631</v>
      </c>
      <c r="N399" s="227"/>
      <c r="O399" s="227">
        <f>+O397+O386</f>
        <v>26791335</v>
      </c>
      <c r="P399" s="227">
        <f>+P397+P386</f>
        <v>-404934</v>
      </c>
    </row>
    <row r="400" spans="1:17" hidden="1">
      <c r="A400" s="229"/>
      <c r="B400" s="229"/>
      <c r="C400" s="229"/>
      <c r="D400" s="230"/>
      <c r="E400" s="231"/>
      <c r="F400" s="229"/>
      <c r="G400" s="229"/>
      <c r="H400" s="232"/>
      <c r="I400" s="232"/>
      <c r="J400" s="232"/>
      <c r="K400" s="232"/>
      <c r="L400" s="232"/>
      <c r="M400" s="232"/>
      <c r="N400" s="232"/>
      <c r="O400" s="232"/>
      <c r="P400" s="232"/>
    </row>
    <row r="401" spans="1:16" ht="13.5" hidden="1" thickBot="1">
      <c r="A401" s="158">
        <v>24</v>
      </c>
      <c r="B401" s="159">
        <v>9999</v>
      </c>
      <c r="C401" s="159" t="s">
        <v>786</v>
      </c>
      <c r="D401" s="177">
        <v>1</v>
      </c>
      <c r="E401" s="161">
        <v>3957960</v>
      </c>
      <c r="F401" s="5"/>
      <c r="G401" s="225">
        <v>1</v>
      </c>
      <c r="H401" s="83">
        <v>22428411</v>
      </c>
      <c r="I401" s="7"/>
      <c r="J401" s="226">
        <v>26386401</v>
      </c>
      <c r="K401" s="227"/>
      <c r="L401" s="228">
        <v>321768</v>
      </c>
      <c r="M401" s="233">
        <f>+J401-L401</f>
        <v>26064633</v>
      </c>
      <c r="N401" s="227"/>
      <c r="O401" s="227">
        <v>26791335</v>
      </c>
      <c r="P401" s="227">
        <f>+J401-O401</f>
        <v>-404934</v>
      </c>
    </row>
    <row r="402" spans="1:16">
      <c r="E402" s="234"/>
    </row>
    <row r="403" spans="1:16">
      <c r="E403" s="2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Narrative 2011-12 LEA Awards</vt:lpstr>
      <vt:lpstr>2011-12 Part B LEA awards</vt:lpstr>
    </vt:vector>
  </TitlesOfParts>
  <Company>Iowa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jlee</dc:creator>
  <cp:lastModifiedBy>jlee</cp:lastModifiedBy>
  <dcterms:created xsi:type="dcterms:W3CDTF">2011-08-29T19:21:27Z</dcterms:created>
  <dcterms:modified xsi:type="dcterms:W3CDTF">2011-09-07T14:32:22Z</dcterms:modified>
</cp:coreProperties>
</file>