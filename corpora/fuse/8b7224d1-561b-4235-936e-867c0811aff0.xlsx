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5.1" sheetId="1" r:id="rId1"/>
  </sheets>
  <externalReferences>
    <externalReference r:id="rId2"/>
    <externalReference r:id="rId3"/>
  </externalReferences>
  <definedNames>
    <definedName name="_xlnm.Print_Area" localSheetId="0">'Table 5.1'!$A$3:$L$62</definedName>
  </definedNames>
  <calcPr calcId="145621"/>
</workbook>
</file>

<file path=xl/calcChain.xml><?xml version="1.0" encoding="utf-8"?>
<calcChain xmlns="http://schemas.openxmlformats.org/spreadsheetml/2006/main">
  <c r="I61" i="1" l="1"/>
  <c r="E34" i="1"/>
  <c r="D34" i="1"/>
  <c r="C34" i="1"/>
  <c r="B34" i="1"/>
  <c r="E33" i="1"/>
  <c r="D33" i="1"/>
  <c r="C33" i="1"/>
  <c r="B33" i="1"/>
  <c r="F32" i="1"/>
  <c r="E32" i="1"/>
  <c r="D32" i="1"/>
  <c r="C32" i="1"/>
  <c r="B32" i="1"/>
  <c r="F31" i="1"/>
  <c r="E31" i="1"/>
  <c r="E36" i="1" s="1"/>
  <c r="D31" i="1"/>
  <c r="D36" i="1" s="1"/>
  <c r="C31" i="1"/>
  <c r="C36" i="1" s="1"/>
  <c r="B31" i="1"/>
  <c r="B36" i="1" s="1"/>
  <c r="E25" i="1"/>
  <c r="D25" i="1"/>
  <c r="C25" i="1"/>
  <c r="B25" i="1"/>
  <c r="E24" i="1"/>
  <c r="D24" i="1"/>
  <c r="C24" i="1"/>
  <c r="B24" i="1"/>
  <c r="F23" i="1"/>
  <c r="E23" i="1"/>
  <c r="D23" i="1"/>
  <c r="C23" i="1"/>
  <c r="B23" i="1"/>
  <c r="F22" i="1"/>
  <c r="E22" i="1"/>
  <c r="E27" i="1" s="1"/>
  <c r="D22" i="1"/>
  <c r="D27" i="1" s="1"/>
  <c r="C22" i="1"/>
  <c r="C27" i="1" s="1"/>
  <c r="B22" i="1"/>
  <c r="B27" i="1" s="1"/>
</calcChain>
</file>

<file path=xl/sharedStrings.xml><?xml version="1.0" encoding="utf-8"?>
<sst xmlns="http://schemas.openxmlformats.org/spreadsheetml/2006/main" count="27" uniqueCount="22">
  <si>
    <t>Monthly Statistical Bulletin</t>
  </si>
  <si>
    <t>5.1 Business interest rates</t>
  </si>
  <si>
    <t>Month</t>
  </si>
  <si>
    <t>2008–09</t>
  </si>
  <si>
    <t>2009–10</t>
  </si>
  <si>
    <t>2010–11</t>
  </si>
  <si>
    <t>2011–12</t>
  </si>
  <si>
    <t>2012–13</t>
  </si>
  <si>
    <t>Large business interest rate (a) (b) – per cent</t>
  </si>
  <si>
    <t>September</t>
  </si>
  <si>
    <t>December</t>
  </si>
  <si>
    <t>March</t>
  </si>
  <si>
    <t>June</t>
  </si>
  <si>
    <t>Annual average</t>
  </si>
  <si>
    <t>Small business interest rate (a) (c) – per cent</t>
  </si>
  <si>
    <t xml:space="preserve">(a) The data are weighted average rates, which are calculated from outstanding credit </t>
  </si>
  <si>
    <t xml:space="preserve">      facilities held by businesses at different interest rates with different maturities.</t>
  </si>
  <si>
    <t>(b) A large business loan is defined as being $2 million or more.</t>
  </si>
  <si>
    <t>(c) A small business loan is defined as being less than $2 million.</t>
  </si>
  <si>
    <t>Source: RBA website statistical table F5</t>
  </si>
  <si>
    <r>
      <t xml:space="preserve">             </t>
    </r>
    <r>
      <rPr>
        <i/>
        <sz val="8"/>
        <rFont val="Times New Roman"/>
        <family val="1"/>
      </rPr>
      <t/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</si>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</sst>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sz val="7.5"/>
      <color indexed="18"/>
      <name val="Arial"/>
      <family val="2"/>
    </font>
    <font>
      <i/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2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1" xfId="0" applyNumberFormat="1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9" fillId="0" borderId="0" xfId="0" applyFont="1" applyAlignment="1">
      <alignment horizontal="left"/>
    </xf>
    <xf numFmtId="16" fontId="10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2" fillId="0" borderId="0" xfId="0" quotePrefix="1" applyFont="1"/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1" quotePrefix="1" applyFont="1" applyAlignment="1" applyProtection="1">
      <alignment horizontal="left"/>
    </xf>
    <xf numFmtId="0" fontId="14" fillId="0" borderId="0" xfId="1" applyFont="1" applyAlignment="1" applyProtection="1"/>
    <xf numFmtId="0" fontId="8" fillId="0" borderId="0" xfId="0" applyFont="1" applyBorder="1"/>
    <xf numFmtId="2" fontId="8" fillId="0" borderId="0" xfId="0" applyNumberFormat="1" applyFont="1" applyBorder="1"/>
    <xf numFmtId="0" fontId="4" fillId="0" borderId="0" xfId="0" applyFont="1" applyBorder="1"/>
    <xf numFmtId="0" fontId="16" fillId="0" borderId="0" xfId="0" applyFont="1" applyAlignment="1">
      <alignment horizontal="left"/>
    </xf>
    <xf numFmtId="164" fontId="12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990061416020268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689655172414109"/>
          <c:w val="0.84577319888156599"/>
          <c:h val="0.7482758620689971"/>
        </c:manualLayout>
      </c:layout>
      <c:lineChart>
        <c:grouping val="standard"/>
        <c:varyColors val="0"/>
        <c:ser>
          <c:idx val="1"/>
          <c:order val="0"/>
          <c:tx>
            <c:strRef>
              <c:f>'[1]Data 5.1'!$D$1</c:f>
              <c:strCache>
                <c:ptCount val="1"/>
                <c:pt idx="0">
                  <c:v>Small business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5.1'!$A$22:$A$42</c:f>
              <c:strCache>
                <c:ptCount val="21"/>
                <c:pt idx="0">
                  <c:v>Jun 07</c:v>
                </c:pt>
                <c:pt idx="1">
                  <c:v>Sep 07</c:v>
                </c:pt>
                <c:pt idx="2">
                  <c:v>Dec 07</c:v>
                </c:pt>
                <c:pt idx="3">
                  <c:v>Mar 08</c:v>
                </c:pt>
                <c:pt idx="4">
                  <c:v>Jun 08</c:v>
                </c:pt>
                <c:pt idx="5">
                  <c:v>Sep 08</c:v>
                </c:pt>
                <c:pt idx="6">
                  <c:v>Dec 08</c:v>
                </c:pt>
                <c:pt idx="7">
                  <c:v>Mar 09</c:v>
                </c:pt>
                <c:pt idx="8">
                  <c:v>Jun 09</c:v>
                </c:pt>
                <c:pt idx="9">
                  <c:v>Sep-09</c:v>
                </c:pt>
                <c:pt idx="10">
                  <c:v>Dec-09</c:v>
                </c:pt>
                <c:pt idx="11">
                  <c:v>Mar-10</c:v>
                </c:pt>
                <c:pt idx="12">
                  <c:v>Jun 10</c:v>
                </c:pt>
                <c:pt idx="13">
                  <c:v>Sep-10</c:v>
                </c:pt>
                <c:pt idx="14">
                  <c:v>Dec-10</c:v>
                </c:pt>
                <c:pt idx="15">
                  <c:v>Mar-11</c:v>
                </c:pt>
                <c:pt idx="16">
                  <c:v>Jun 11</c:v>
                </c:pt>
                <c:pt idx="17">
                  <c:v>Sep-11</c:v>
                </c:pt>
                <c:pt idx="18">
                  <c:v>Dec-11</c:v>
                </c:pt>
                <c:pt idx="19">
                  <c:v>Mar-12</c:v>
                </c:pt>
                <c:pt idx="20">
                  <c:v>Jun 12</c:v>
                </c:pt>
              </c:strCache>
            </c:strRef>
          </c:cat>
          <c:val>
            <c:numRef>
              <c:f>'[1]Data 5.1'!$D$22:$D$42</c:f>
              <c:numCache>
                <c:formatCode>0.00</c:formatCode>
                <c:ptCount val="21"/>
                <c:pt idx="0">
                  <c:v>8.6</c:v>
                </c:pt>
                <c:pt idx="1">
                  <c:v>8.8000000000000007</c:v>
                </c:pt>
                <c:pt idx="2">
                  <c:v>9.1</c:v>
                </c:pt>
                <c:pt idx="3">
                  <c:v>9.7000000000000011</c:v>
                </c:pt>
                <c:pt idx="4">
                  <c:v>10</c:v>
                </c:pt>
                <c:pt idx="5">
                  <c:v>10.100000000000001</c:v>
                </c:pt>
                <c:pt idx="6">
                  <c:v>8.4</c:v>
                </c:pt>
                <c:pt idx="7">
                  <c:v>7.2</c:v>
                </c:pt>
                <c:pt idx="8">
                  <c:v>7.15</c:v>
                </c:pt>
                <c:pt idx="9">
                  <c:v>7.1000000000000005</c:v>
                </c:pt>
                <c:pt idx="10">
                  <c:v>7.7</c:v>
                </c:pt>
                <c:pt idx="11">
                  <c:v>8.0500000000000007</c:v>
                </c:pt>
                <c:pt idx="12">
                  <c:v>8.25</c:v>
                </c:pt>
                <c:pt idx="13">
                  <c:v>8.25</c:v>
                </c:pt>
                <c:pt idx="14">
                  <c:v>8.6</c:v>
                </c:pt>
                <c:pt idx="15">
                  <c:v>8.5500000000000007</c:v>
                </c:pt>
                <c:pt idx="16">
                  <c:v>8.5500000000000007</c:v>
                </c:pt>
                <c:pt idx="17">
                  <c:v>8.5</c:v>
                </c:pt>
                <c:pt idx="18">
                  <c:v>8.15</c:v>
                </c:pt>
                <c:pt idx="19">
                  <c:v>8.1999999999999993</c:v>
                </c:pt>
                <c:pt idx="20">
                  <c:v>7.75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'[1]Data 5.1'!$B$1</c:f>
              <c:strCache>
                <c:ptCount val="1"/>
                <c:pt idx="0">
                  <c:v>Large business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5.1'!$A$22:$A$42</c:f>
              <c:strCache>
                <c:ptCount val="21"/>
                <c:pt idx="0">
                  <c:v>Jun 07</c:v>
                </c:pt>
                <c:pt idx="1">
                  <c:v>Sep 07</c:v>
                </c:pt>
                <c:pt idx="2">
                  <c:v>Dec 07</c:v>
                </c:pt>
                <c:pt idx="3">
                  <c:v>Mar 08</c:v>
                </c:pt>
                <c:pt idx="4">
                  <c:v>Jun 08</c:v>
                </c:pt>
                <c:pt idx="5">
                  <c:v>Sep 08</c:v>
                </c:pt>
                <c:pt idx="6">
                  <c:v>Dec 08</c:v>
                </c:pt>
                <c:pt idx="7">
                  <c:v>Mar 09</c:v>
                </c:pt>
                <c:pt idx="8">
                  <c:v>Jun 09</c:v>
                </c:pt>
                <c:pt idx="9">
                  <c:v>Sep-09</c:v>
                </c:pt>
                <c:pt idx="10">
                  <c:v>Dec-09</c:v>
                </c:pt>
                <c:pt idx="11">
                  <c:v>Mar-10</c:v>
                </c:pt>
                <c:pt idx="12">
                  <c:v>Jun 10</c:v>
                </c:pt>
                <c:pt idx="13">
                  <c:v>Sep-10</c:v>
                </c:pt>
                <c:pt idx="14">
                  <c:v>Dec-10</c:v>
                </c:pt>
                <c:pt idx="15">
                  <c:v>Mar-11</c:v>
                </c:pt>
                <c:pt idx="16">
                  <c:v>Jun 11</c:v>
                </c:pt>
                <c:pt idx="17">
                  <c:v>Sep-11</c:v>
                </c:pt>
                <c:pt idx="18">
                  <c:v>Dec-11</c:v>
                </c:pt>
                <c:pt idx="19">
                  <c:v>Mar-12</c:v>
                </c:pt>
                <c:pt idx="20">
                  <c:v>Jun 12</c:v>
                </c:pt>
              </c:strCache>
            </c:strRef>
          </c:cat>
          <c:val>
            <c:numRef>
              <c:f>'[1]Data 5.1'!$B$22:$B$42</c:f>
              <c:numCache>
                <c:formatCode>0.00</c:formatCode>
                <c:ptCount val="21"/>
                <c:pt idx="0">
                  <c:v>7.0500000000000007</c:v>
                </c:pt>
                <c:pt idx="1">
                  <c:v>7.3500000000000005</c:v>
                </c:pt>
                <c:pt idx="2">
                  <c:v>7.6000000000000005</c:v>
                </c:pt>
                <c:pt idx="3">
                  <c:v>8</c:v>
                </c:pt>
                <c:pt idx="4">
                  <c:v>8.1</c:v>
                </c:pt>
                <c:pt idx="5">
                  <c:v>8.1</c:v>
                </c:pt>
                <c:pt idx="6">
                  <c:v>6.3000000000000007</c:v>
                </c:pt>
                <c:pt idx="7">
                  <c:v>5.3500000000000005</c:v>
                </c:pt>
                <c:pt idx="8">
                  <c:v>5.3500000000000005</c:v>
                </c:pt>
                <c:pt idx="9">
                  <c:v>5.45</c:v>
                </c:pt>
                <c:pt idx="10">
                  <c:v>6</c:v>
                </c:pt>
                <c:pt idx="11">
                  <c:v>6.2</c:v>
                </c:pt>
                <c:pt idx="12">
                  <c:v>6.4</c:v>
                </c:pt>
                <c:pt idx="13">
                  <c:v>6.4</c:v>
                </c:pt>
                <c:pt idx="14">
                  <c:v>6.65</c:v>
                </c:pt>
                <c:pt idx="15">
                  <c:v>6.6000000000000005</c:v>
                </c:pt>
                <c:pt idx="16">
                  <c:v>6.5500000000000007</c:v>
                </c:pt>
                <c:pt idx="17">
                  <c:v>6.45</c:v>
                </c:pt>
                <c:pt idx="18">
                  <c:v>6.25</c:v>
                </c:pt>
                <c:pt idx="19">
                  <c:v>6.2</c:v>
                </c:pt>
                <c:pt idx="20">
                  <c:v>5.7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37120"/>
        <c:axId val="74038656"/>
      </c:lineChart>
      <c:catAx>
        <c:axId val="7403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4038656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74038656"/>
        <c:scaling>
          <c:orientation val="minMax"/>
          <c:max val="11"/>
          <c:min val="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403712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6606136391759954"/>
          <c:y val="0.14516865603813658"/>
          <c:w val="0.35572132887855518"/>
          <c:h val="0.16469695704998005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104775</xdr:rowOff>
    </xdr:from>
    <xdr:to>
      <xdr:col>6</xdr:col>
      <xdr:colOff>9525</xdr:colOff>
      <xdr:row>17</xdr:row>
      <xdr:rowOff>133350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0</xdr:rowOff>
        </xdr:from>
        <xdr:to>
          <xdr:col>11</xdr:col>
          <xdr:colOff>19050</xdr:colOff>
          <xdr:row>57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MSB%20Chapter%2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ME6\DPS-Publishing\MSB%20Monthly%20Statistical%20Bulletin\May13\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>
        <row r="1">
          <cell r="B1" t="str">
            <v>Large business rate</v>
          </cell>
          <cell r="D1" t="str">
            <v>Small business rate</v>
          </cell>
        </row>
        <row r="22">
          <cell r="A22">
            <v>39234</v>
          </cell>
          <cell r="B22">
            <v>7.0500000000000007</v>
          </cell>
          <cell r="D22">
            <v>8.6</v>
          </cell>
        </row>
        <row r="23">
          <cell r="A23">
            <v>39326</v>
          </cell>
          <cell r="B23">
            <v>7.3500000000000005</v>
          </cell>
          <cell r="D23">
            <v>8.8000000000000007</v>
          </cell>
        </row>
        <row r="24">
          <cell r="A24">
            <v>39417</v>
          </cell>
          <cell r="B24">
            <v>7.6000000000000005</v>
          </cell>
          <cell r="D24">
            <v>9.1</v>
          </cell>
        </row>
        <row r="25">
          <cell r="A25">
            <v>39508</v>
          </cell>
          <cell r="B25">
            <v>8</v>
          </cell>
          <cell r="D25">
            <v>9.7000000000000011</v>
          </cell>
        </row>
        <row r="26">
          <cell r="A26">
            <v>39600</v>
          </cell>
          <cell r="B26">
            <v>8.1</v>
          </cell>
          <cell r="D26">
            <v>10</v>
          </cell>
        </row>
        <row r="27">
          <cell r="A27">
            <v>39692</v>
          </cell>
          <cell r="B27">
            <v>8.1</v>
          </cell>
          <cell r="D27">
            <v>10.100000000000001</v>
          </cell>
        </row>
        <row r="28">
          <cell r="A28">
            <v>39783</v>
          </cell>
          <cell r="B28">
            <v>6.3000000000000007</v>
          </cell>
          <cell r="D28">
            <v>8.4</v>
          </cell>
        </row>
        <row r="29">
          <cell r="A29">
            <v>39873</v>
          </cell>
          <cell r="B29">
            <v>5.3500000000000005</v>
          </cell>
          <cell r="D29">
            <v>7.2</v>
          </cell>
        </row>
        <row r="30">
          <cell r="A30">
            <v>39965</v>
          </cell>
          <cell r="B30">
            <v>5.3500000000000005</v>
          </cell>
          <cell r="D30">
            <v>7.15</v>
          </cell>
        </row>
        <row r="31">
          <cell r="A31">
            <v>40057</v>
          </cell>
          <cell r="B31">
            <v>5.45</v>
          </cell>
          <cell r="D31">
            <v>7.1000000000000005</v>
          </cell>
        </row>
        <row r="32">
          <cell r="A32">
            <v>40148</v>
          </cell>
          <cell r="B32">
            <v>6</v>
          </cell>
          <cell r="D32">
            <v>7.7</v>
          </cell>
        </row>
        <row r="33">
          <cell r="A33">
            <v>40238</v>
          </cell>
          <cell r="B33">
            <v>6.2</v>
          </cell>
          <cell r="D33">
            <v>8.0500000000000007</v>
          </cell>
        </row>
        <row r="34">
          <cell r="A34" t="str">
            <v>Jun 10</v>
          </cell>
          <cell r="B34">
            <v>6.4</v>
          </cell>
          <cell r="D34">
            <v>8.25</v>
          </cell>
        </row>
        <row r="35">
          <cell r="A35">
            <v>40422</v>
          </cell>
          <cell r="B35">
            <v>6.4</v>
          </cell>
          <cell r="D35">
            <v>8.25</v>
          </cell>
        </row>
        <row r="36">
          <cell r="A36">
            <v>40513</v>
          </cell>
          <cell r="B36">
            <v>6.65</v>
          </cell>
          <cell r="D36">
            <v>8.6</v>
          </cell>
        </row>
        <row r="37">
          <cell r="A37">
            <v>40603</v>
          </cell>
          <cell r="B37">
            <v>6.6000000000000005</v>
          </cell>
          <cell r="D37">
            <v>8.5500000000000007</v>
          </cell>
        </row>
        <row r="38">
          <cell r="A38" t="str">
            <v>Jun 11</v>
          </cell>
          <cell r="B38">
            <v>6.5500000000000007</v>
          </cell>
          <cell r="D38">
            <v>8.5500000000000007</v>
          </cell>
        </row>
        <row r="39">
          <cell r="A39">
            <v>40787</v>
          </cell>
          <cell r="B39">
            <v>6.45</v>
          </cell>
          <cell r="D39">
            <v>8.5</v>
          </cell>
        </row>
        <row r="40">
          <cell r="A40">
            <v>40878</v>
          </cell>
          <cell r="B40">
            <v>6.25</v>
          </cell>
          <cell r="D40">
            <v>8.15</v>
          </cell>
        </row>
        <row r="41">
          <cell r="A41">
            <v>40969</v>
          </cell>
          <cell r="B41">
            <v>6.2</v>
          </cell>
          <cell r="D41">
            <v>8.1999999999999993</v>
          </cell>
        </row>
        <row r="42">
          <cell r="A42" t="str">
            <v>Jun 12</v>
          </cell>
          <cell r="B42">
            <v>5.7</v>
          </cell>
          <cell r="D42">
            <v>7.75</v>
          </cell>
        </row>
        <row r="43">
          <cell r="B43">
            <v>5.65</v>
          </cell>
          <cell r="D43">
            <v>7.7</v>
          </cell>
        </row>
        <row r="44">
          <cell r="B44">
            <v>5.25</v>
          </cell>
          <cell r="D44">
            <v>7.2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a Average Large Business Var"/>
      <sheetName val="5.1b Average Small Business Var"/>
      <sheetName val="5.1 Graph"/>
      <sheetName val="5.1 Raw data"/>
    </sheetNames>
    <sheetDataSet>
      <sheetData sheetId="0">
        <row r="45">
          <cell r="B45">
            <v>41396</v>
          </cell>
        </row>
      </sheetData>
      <sheetData sheetId="1" refreshError="1"/>
      <sheetData sheetId="2" refreshError="1"/>
      <sheetData sheetId="3">
        <row r="221">
          <cell r="B221">
            <v>7.75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PublicationsAndResearch/Bulletin/2008/index.html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5"/>
  <sheetViews>
    <sheetView tabSelected="1" zoomScaleNormal="100" workbookViewId="0">
      <selection activeCell="D46" sqref="D46"/>
    </sheetView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7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s="12" customFormat="1" ht="19.899999999999999" customHeight="1" x14ac:dyDescent="0.2">
      <c r="A20" s="10" t="s">
        <v>8</v>
      </c>
      <c r="B20" s="11"/>
      <c r="C20" s="11"/>
      <c r="D20" s="11"/>
      <c r="E20" s="11"/>
      <c r="F20" s="11"/>
      <c r="H20" s="13"/>
    </row>
    <row r="21" spans="1:14" ht="3" customHeight="1" x14ac:dyDescent="0.2">
      <c r="A21" s="14"/>
      <c r="B21" s="15"/>
      <c r="C21" s="15"/>
      <c r="D21" s="15"/>
      <c r="E21" s="15"/>
      <c r="F21" s="15"/>
      <c r="H21" s="6"/>
    </row>
    <row r="22" spans="1:14" ht="13.9" customHeight="1" x14ac:dyDescent="0.2">
      <c r="A22" s="16" t="s">
        <v>9</v>
      </c>
      <c r="B22" s="17">
        <f>IF('[1]Data 5.1'!B27=0," ",'[1]Data 5.1'!B27)</f>
        <v>8.1</v>
      </c>
      <c r="C22" s="17">
        <f>IF('[1]Data 5.1'!B31=0," ",'[1]Data 5.1'!B31)</f>
        <v>5.45</v>
      </c>
      <c r="D22" s="17">
        <f>IF('[1]Data 5.1'!B35=0," ",'[1]Data 5.1'!B35)</f>
        <v>6.4</v>
      </c>
      <c r="E22" s="17">
        <f>IF('[1]Data 5.1'!B39=0," ",'[1]Data 5.1'!B39)</f>
        <v>6.45</v>
      </c>
      <c r="F22" s="17">
        <f>IF('[1]Data 5.1'!B43=0," ",'[1]Data 5.1'!B43)</f>
        <v>5.65</v>
      </c>
      <c r="H22" s="6"/>
      <c r="N22" s="7"/>
    </row>
    <row r="23" spans="1:14" ht="10.5" customHeight="1" x14ac:dyDescent="0.2">
      <c r="A23" s="16" t="s">
        <v>10</v>
      </c>
      <c r="B23" s="17">
        <f>IF('[1]Data 5.1'!B28=0," ",'[1]Data 5.1'!B28)</f>
        <v>6.3000000000000007</v>
      </c>
      <c r="C23" s="17">
        <f>IF('[1]Data 5.1'!B32=0," ",'[1]Data 5.1'!B32)</f>
        <v>6</v>
      </c>
      <c r="D23" s="17">
        <f>IF('[1]Data 5.1'!B36=0," ",'[1]Data 5.1'!B36)</f>
        <v>6.65</v>
      </c>
      <c r="E23" s="17">
        <f>IF('[1]Data 5.1'!B40=0," ",'[1]Data 5.1'!B40)</f>
        <v>6.25</v>
      </c>
      <c r="F23" s="17">
        <f>IF('[1]Data 5.1'!B44=0," ",'[1]Data 5.1'!B44)</f>
        <v>5.25</v>
      </c>
      <c r="H23" s="6"/>
    </row>
    <row r="24" spans="1:14" ht="10.5" customHeight="1" x14ac:dyDescent="0.2">
      <c r="A24" s="16" t="s">
        <v>11</v>
      </c>
      <c r="B24" s="17">
        <f>IF('[1]Data 5.1'!B29=0," ",'[1]Data 5.1'!B29)</f>
        <v>5.3500000000000005</v>
      </c>
      <c r="C24" s="17">
        <f>IF('[1]Data 5.1'!B33=0," ",'[1]Data 5.1'!B33)</f>
        <v>6.2</v>
      </c>
      <c r="D24" s="17">
        <f>IF('[1]Data 5.1'!B37=0," ",'[1]Data 5.1'!B37)</f>
        <v>6.6000000000000005</v>
      </c>
      <c r="E24" s="17">
        <f>IF('[1]Data 5.1'!B41=0," ",'[1]Data 5.1'!B41)</f>
        <v>6.2</v>
      </c>
      <c r="H24" s="6"/>
    </row>
    <row r="25" spans="1:14" ht="10.5" customHeight="1" x14ac:dyDescent="0.2">
      <c r="A25" s="16" t="s">
        <v>12</v>
      </c>
      <c r="B25" s="17">
        <f>IF('[1]Data 5.1'!B30=0," ",'[1]Data 5.1'!B30)</f>
        <v>5.3500000000000005</v>
      </c>
      <c r="C25" s="17">
        <f>IF('[1]Data 5.1'!B34=0," ",'[1]Data 5.1'!B34)</f>
        <v>6.4</v>
      </c>
      <c r="D25" s="17">
        <f>IF('[1]Data 5.1'!B38=0," ",'[1]Data 5.1'!B38)</f>
        <v>6.5500000000000007</v>
      </c>
      <c r="E25" s="17">
        <f>IF('[1]Data 5.1'!B42=0," ",'[1]Data 5.1'!B42)</f>
        <v>5.7</v>
      </c>
      <c r="H25" s="6"/>
    </row>
    <row r="26" spans="1:14" ht="10.5" customHeight="1" x14ac:dyDescent="0.2">
      <c r="A26" s="16"/>
      <c r="B26" s="17"/>
      <c r="H26" s="6"/>
    </row>
    <row r="27" spans="1:14" ht="10.5" customHeight="1" x14ac:dyDescent="0.2">
      <c r="A27" s="16" t="s">
        <v>13</v>
      </c>
      <c r="B27" s="17">
        <f>AVERAGE(B22:B25)</f>
        <v>6.2750000000000004</v>
      </c>
      <c r="C27" s="17">
        <f>AVERAGE(C22:C25)</f>
        <v>6.0124999999999993</v>
      </c>
      <c r="D27" s="17">
        <f>AVERAGE(D22:D25)</f>
        <v>6.5500000000000007</v>
      </c>
      <c r="E27" s="17">
        <f>AVERAGE(E22:E25)</f>
        <v>6.1499999999999995</v>
      </c>
      <c r="F27" s="17"/>
      <c r="H27" s="6"/>
      <c r="N27" s="7"/>
    </row>
    <row r="28" spans="1:14" ht="10.5" customHeight="1" x14ac:dyDescent="0.2">
      <c r="A28" s="18"/>
      <c r="B28" s="19"/>
      <c r="C28" s="19"/>
      <c r="D28" s="19"/>
      <c r="E28" s="19"/>
      <c r="F28" s="19"/>
      <c r="H28" s="6"/>
    </row>
    <row r="29" spans="1:14" ht="19.5" customHeight="1" x14ac:dyDescent="0.2">
      <c r="A29" s="10" t="s">
        <v>14</v>
      </c>
      <c r="B29" s="20"/>
      <c r="C29" s="20"/>
      <c r="D29" s="20"/>
      <c r="E29" s="20"/>
      <c r="F29" s="20"/>
      <c r="H29" s="6"/>
    </row>
    <row r="30" spans="1:14" ht="3" customHeight="1" x14ac:dyDescent="0.2">
      <c r="A30" s="21"/>
      <c r="B30" s="20"/>
      <c r="C30" s="20"/>
      <c r="D30" s="20"/>
      <c r="E30" s="20"/>
      <c r="F30" s="20"/>
      <c r="H30" s="6"/>
    </row>
    <row r="31" spans="1:14" ht="13.5" customHeight="1" x14ac:dyDescent="0.2">
      <c r="A31" s="16" t="s">
        <v>9</v>
      </c>
      <c r="B31" s="17">
        <f>IF('[1]Data 5.1'!D27=0," ",'[1]Data 5.1'!D27)</f>
        <v>10.100000000000001</v>
      </c>
      <c r="C31" s="17">
        <f>IF('[1]Data 5.1'!D31=0," ",'[1]Data 5.1'!D31)</f>
        <v>7.1000000000000005</v>
      </c>
      <c r="D31" s="17">
        <f>IF('[1]Data 5.1'!D35=0," ",'[1]Data 5.1'!D35)</f>
        <v>8.25</v>
      </c>
      <c r="E31" s="17">
        <f>IF('[1]Data 5.1'!D39=0," ",'[1]Data 5.1'!D39)</f>
        <v>8.5</v>
      </c>
      <c r="F31" s="17">
        <f>IF('[1]Data 5.1'!D43=0," ",'[1]Data 5.1'!D43)</f>
        <v>7.7</v>
      </c>
      <c r="H31" s="6"/>
    </row>
    <row r="32" spans="1:14" ht="11.1" customHeight="1" x14ac:dyDescent="0.2">
      <c r="A32" s="16" t="s">
        <v>10</v>
      </c>
      <c r="B32" s="17">
        <f>IF('[1]Data 5.1'!D28=0," ",'[1]Data 5.1'!D28)</f>
        <v>8.4</v>
      </c>
      <c r="C32" s="17">
        <f>IF('[1]Data 5.1'!D32=0," ",'[1]Data 5.1'!D32)</f>
        <v>7.7</v>
      </c>
      <c r="D32" s="17">
        <f>IF('[1]Data 5.1'!D36=0," ",'[1]Data 5.1'!D36)</f>
        <v>8.6</v>
      </c>
      <c r="E32" s="17">
        <f>IF('[1]Data 5.1'!D40=0," ",'[1]Data 5.1'!D40)</f>
        <v>8.15</v>
      </c>
      <c r="F32" s="17">
        <f>IF('[1]Data 5.1'!D44=0," ",'[1]Data 5.1'!D44)</f>
        <v>7.2</v>
      </c>
      <c r="H32" s="6"/>
    </row>
    <row r="33" spans="1:19" ht="11.1" customHeight="1" x14ac:dyDescent="0.2">
      <c r="A33" s="16" t="s">
        <v>11</v>
      </c>
      <c r="B33" s="17">
        <f>IF('[1]Data 5.1'!D29=0," ",'[1]Data 5.1'!D29)</f>
        <v>7.2</v>
      </c>
      <c r="C33" s="17">
        <f>IF('[1]Data 5.1'!D33=0," ",'[1]Data 5.1'!D33)</f>
        <v>8.0500000000000007</v>
      </c>
      <c r="D33" s="17">
        <f>IF('[1]Data 5.1'!D37=0," ",'[1]Data 5.1'!D37)</f>
        <v>8.5500000000000007</v>
      </c>
      <c r="E33" s="17">
        <f>IF('[1]Data 5.1'!D41=0," ",'[1]Data 5.1'!D41)</f>
        <v>8.1999999999999993</v>
      </c>
      <c r="H33" s="6"/>
    </row>
    <row r="34" spans="1:19" ht="11.1" customHeight="1" x14ac:dyDescent="0.2">
      <c r="A34" s="16" t="s">
        <v>12</v>
      </c>
      <c r="B34" s="17">
        <f>IF('[1]Data 5.1'!D30=0," ",'[1]Data 5.1'!D30)</f>
        <v>7.15</v>
      </c>
      <c r="C34" s="17">
        <f>IF('[1]Data 5.1'!D34=0," ",'[1]Data 5.1'!D34)</f>
        <v>8.25</v>
      </c>
      <c r="D34" s="17">
        <f>IF('[1]Data 5.1'!D38=0," ",'[1]Data 5.1'!D38)</f>
        <v>8.5500000000000007</v>
      </c>
      <c r="E34" s="17">
        <f>IF('[1]Data 5.1'!D42=0," ",'[1]Data 5.1'!D42)</f>
        <v>7.75</v>
      </c>
      <c r="H34" s="6"/>
    </row>
    <row r="35" spans="1:19" ht="10.5" customHeight="1" x14ac:dyDescent="0.2">
      <c r="A35" s="16"/>
      <c r="B35" s="17"/>
      <c r="H35" s="6"/>
    </row>
    <row r="36" spans="1:19" ht="10.5" customHeight="1" x14ac:dyDescent="0.2">
      <c r="A36" s="16" t="s">
        <v>13</v>
      </c>
      <c r="B36" s="17">
        <f>AVERAGE(B31:B34)</f>
        <v>8.2125000000000004</v>
      </c>
      <c r="C36" s="17">
        <f>AVERAGE(C31:C34)</f>
        <v>7.7750000000000004</v>
      </c>
      <c r="D36" s="17">
        <f>AVERAGE(D31:D34)</f>
        <v>8.4875000000000007</v>
      </c>
      <c r="E36" s="17">
        <f>AVERAGE(E31:E34)</f>
        <v>8.1499999999999986</v>
      </c>
      <c r="H36" s="6"/>
      <c r="N36" s="7"/>
    </row>
    <row r="37" spans="1:19" ht="10.5" customHeight="1" x14ac:dyDescent="0.2">
      <c r="A37" s="22"/>
      <c r="B37" s="19"/>
      <c r="C37" s="19"/>
      <c r="D37" s="19"/>
      <c r="E37" s="19"/>
      <c r="F37" s="19"/>
      <c r="H37" s="6"/>
      <c r="N37" s="7"/>
      <c r="O37" s="7"/>
      <c r="P37" s="7"/>
      <c r="Q37" s="7"/>
      <c r="R37" s="7"/>
      <c r="S37" s="7"/>
    </row>
    <row r="38" spans="1:19" ht="7.5" customHeight="1" x14ac:dyDescent="0.2">
      <c r="A38" s="23"/>
      <c r="H38" s="6"/>
    </row>
    <row r="39" spans="1:19" ht="10.5" customHeight="1" x14ac:dyDescent="0.2">
      <c r="A39" s="24" t="s">
        <v>15</v>
      </c>
      <c r="H39" s="6"/>
    </row>
    <row r="40" spans="1:19" ht="10.5" customHeight="1" x14ac:dyDescent="0.2">
      <c r="A40" s="25" t="s">
        <v>16</v>
      </c>
      <c r="H40" s="6"/>
    </row>
    <row r="41" spans="1:19" ht="10.5" customHeight="1" x14ac:dyDescent="0.2">
      <c r="A41" s="26" t="s">
        <v>17</v>
      </c>
      <c r="H41" s="6"/>
    </row>
    <row r="42" spans="1:19" ht="10.5" customHeight="1" x14ac:dyDescent="0.2">
      <c r="A42" s="27" t="s">
        <v>18</v>
      </c>
      <c r="H42" s="6"/>
    </row>
    <row r="43" spans="1:19" ht="10.5" customHeight="1" x14ac:dyDescent="0.2">
      <c r="H43" s="6"/>
    </row>
    <row r="44" spans="1:19" ht="10.5" customHeight="1" x14ac:dyDescent="0.2">
      <c r="A44" s="28" t="s">
        <v>19</v>
      </c>
      <c r="B44" s="29"/>
      <c r="C44" s="17"/>
      <c r="D44" s="17"/>
      <c r="E44" s="17"/>
      <c r="F44" s="17"/>
      <c r="H44" s="6"/>
    </row>
    <row r="45" spans="1:19" ht="11.1" customHeight="1" x14ac:dyDescent="0.2">
      <c r="A45" s="27"/>
      <c r="B45" s="17"/>
      <c r="C45" s="17"/>
      <c r="D45" s="17"/>
      <c r="E45" s="17"/>
      <c r="F45" s="17"/>
      <c r="H45" s="6"/>
    </row>
    <row r="46" spans="1:19" ht="13.9" customHeight="1" x14ac:dyDescent="0.2">
      <c r="A46" s="16"/>
      <c r="B46" s="17"/>
      <c r="C46" s="17"/>
      <c r="D46" s="17"/>
      <c r="E46" s="17"/>
      <c r="F46" s="17"/>
      <c r="H46" s="6"/>
    </row>
    <row r="47" spans="1:19" ht="11.1" customHeight="1" x14ac:dyDescent="0.2">
      <c r="A47" s="16"/>
      <c r="B47" s="17"/>
      <c r="C47" s="17"/>
      <c r="D47" s="17"/>
      <c r="E47" s="17"/>
      <c r="F47" s="17"/>
      <c r="H47" s="6"/>
    </row>
    <row r="48" spans="1:19" ht="11.1" customHeight="1" x14ac:dyDescent="0.2">
      <c r="A48" s="30"/>
      <c r="B48" s="31"/>
      <c r="C48" s="31"/>
      <c r="D48" s="31"/>
      <c r="E48" s="31"/>
      <c r="F48" s="31"/>
      <c r="H48" s="6"/>
    </row>
    <row r="49" spans="1:10" ht="10.5" customHeight="1" x14ac:dyDescent="0.2">
      <c r="A49" s="30"/>
      <c r="B49" s="30"/>
      <c r="C49" s="30"/>
      <c r="D49" s="30"/>
      <c r="E49" s="32"/>
      <c r="F49" s="32"/>
      <c r="H49" s="6"/>
    </row>
    <row r="50" spans="1:10" ht="10.5" customHeight="1" x14ac:dyDescent="0.2">
      <c r="B50" s="30"/>
      <c r="C50" s="30"/>
      <c r="D50" s="30"/>
      <c r="E50" s="30"/>
      <c r="F50" s="32"/>
      <c r="H50" s="6"/>
    </row>
    <row r="51" spans="1:10" ht="10.5" customHeight="1" x14ac:dyDescent="0.2"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B54" s="5"/>
      <c r="C54" s="5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</row>
    <row r="56" spans="1:10" ht="11.1" customHeight="1" x14ac:dyDescent="0.2">
      <c r="A56" s="26" t="s">
        <v>20</v>
      </c>
      <c r="B56" s="5"/>
      <c r="C56" s="5"/>
      <c r="D56" s="5"/>
      <c r="E56" s="5"/>
      <c r="F56" s="5"/>
      <c r="H56" s="6"/>
    </row>
    <row r="57" spans="1:10" ht="11.1" customHeight="1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</row>
    <row r="59" spans="1:10" x14ac:dyDescent="0.2">
      <c r="A59" s="5"/>
      <c r="B59" s="5"/>
      <c r="C59" s="5"/>
      <c r="D59" s="5"/>
      <c r="E59" s="5"/>
      <c r="F59" s="5"/>
      <c r="H59" s="6"/>
    </row>
    <row r="60" spans="1:10" x14ac:dyDescent="0.2">
      <c r="A60" s="5"/>
      <c r="B60" s="5"/>
      <c r="C60" s="5"/>
      <c r="D60" s="5"/>
      <c r="E60" s="5"/>
      <c r="F60" s="5"/>
      <c r="H60" s="6"/>
      <c r="I60" s="33" t="s">
        <v>21</v>
      </c>
    </row>
    <row r="61" spans="1:10" x14ac:dyDescent="0.2">
      <c r="A61" s="5"/>
      <c r="B61" s="5"/>
      <c r="C61" s="5"/>
      <c r="D61" s="5"/>
      <c r="E61" s="5"/>
      <c r="F61" s="5"/>
      <c r="H61" s="6"/>
      <c r="I61" s="34">
        <f>'[2]5.1a Average Large Business Var'!$B$45</f>
        <v>41396</v>
      </c>
      <c r="J61" s="3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</sheetData>
  <mergeCells count="1">
    <mergeCell ref="I61:J61"/>
  </mergeCells>
  <hyperlinks>
    <hyperlink ref="A44" r:id="rId1" display="Source: RBA, Bulletin"/>
    <hyperlink ref="A44:B44" r:id="rId2" display="Source: RBA, Bulletin"/>
    <hyperlink ref="A1" r:id="rId3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24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4</xdr:row>
                <xdr:rowOff>0</xdr:rowOff>
              </from>
              <to>
                <xdr:col>11</xdr:col>
                <xdr:colOff>19050</xdr:colOff>
                <xdr:row>57</xdr:row>
                <xdr:rowOff>38100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5.1</vt:lpstr>
      <vt:lpstr>'Table 5.1'!Print_Area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2013-05-02T23:08:20Z</dcterms:created>
  <dcterms:modified xsi:type="dcterms:W3CDTF">2013-05-02T23:08:33Z</dcterms:modified>
</cp:coreProperties>
</file>