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60" windowWidth="13275" windowHeight="7005" tabRatio="638" firstSheet="3" activeTab="5"/>
  </bookViews>
  <sheets>
    <sheet name="Population" sheetId="5" r:id="rId1"/>
    <sheet name="Population Footnotes" sheetId="11" r:id="rId2"/>
    <sheet name="Age" sheetId="1" r:id="rId3"/>
    <sheet name="RaceHispanic" sheetId="6" r:id="rId4"/>
    <sheet name="RaceHispanic Footnotes" sheetId="9" r:id="rId5"/>
    <sheet name="HHs" sheetId="2" r:id="rId6"/>
    <sheet name="HH Footnotes" sheetId="8" r:id="rId7"/>
    <sheet name="Families" sheetId="7" r:id="rId8"/>
    <sheet name="Family Footnotes" sheetId="3" r:id="rId9"/>
    <sheet name="Tenure" sheetId="4" r:id="rId10"/>
    <sheet name="Tenure Footnotes" sheetId="10" r:id="rId11"/>
  </sheets>
  <calcPr calcId="125725"/>
</workbook>
</file>

<file path=xl/calcChain.xml><?xml version="1.0" encoding="utf-8"?>
<calcChain xmlns="http://schemas.openxmlformats.org/spreadsheetml/2006/main">
  <c r="F34" i="2"/>
</calcChain>
</file>

<file path=xl/sharedStrings.xml><?xml version="1.0" encoding="utf-8"?>
<sst xmlns="http://schemas.openxmlformats.org/spreadsheetml/2006/main" count="84" uniqueCount="68">
  <si>
    <t>Total Pop</t>
  </si>
  <si>
    <t>85+</t>
  </si>
  <si>
    <t>Source: U. S. Census, SF 1 Data File, 2010.</t>
  </si>
  <si>
    <t>2.00</t>
  </si>
  <si>
    <t>Citywide</t>
  </si>
  <si>
    <t>2.10</t>
  </si>
  <si>
    <t>Roommates</t>
  </si>
  <si>
    <t>Single Person Living Alone 65 &amp; Older</t>
  </si>
  <si>
    <t>Single Person Living Alone Under 65</t>
  </si>
  <si>
    <t>All Other Families</t>
  </si>
  <si>
    <t>All Families(1)</t>
  </si>
  <si>
    <t>Average Household Size</t>
  </si>
  <si>
    <t>Tract Number</t>
  </si>
  <si>
    <t>65+</t>
  </si>
  <si>
    <t>1.  A family household includes a householder and one or more other people living in the same household who are related to the householder by birth, marriage or adoption. Nonfamily households consist of a single person living alone or two or more persons occupying a housing unit who are not related by birth, marriage or adoption.</t>
  </si>
  <si>
    <t>Married Couples w/ Own Children(2)</t>
  </si>
  <si>
    <t>Single Parent Households w/ Own Children(2)</t>
  </si>
  <si>
    <t>3.  Unmarried couples include a person who is not related to the householder, who shares living quarters, and who has a close personal relationship with the householder.  Unmarried couples can be of the opposite sex or the same sex.</t>
  </si>
  <si>
    <t>Total Population</t>
  </si>
  <si>
    <t>White(1)</t>
  </si>
  <si>
    <t>Black(1)</t>
  </si>
  <si>
    <t>Asian/Pacific Islander(1)</t>
  </si>
  <si>
    <t>All Others(2)</t>
  </si>
  <si>
    <t>Hispanic Origin(3)</t>
  </si>
  <si>
    <t>2. Includes persons who selected only the Native American or Alaskan Native category, persons who selected only the "Other" racial category, and persons who selected two or more racial categories.</t>
  </si>
  <si>
    <t>3. Hispanic origin is determined independant or race or ancestry; persons of Hispanic origin can be of any race.</t>
  </si>
  <si>
    <t>Occupied</t>
  </si>
  <si>
    <t>Owned</t>
  </si>
  <si>
    <t>Rented</t>
  </si>
  <si>
    <t>Housing Units</t>
  </si>
  <si>
    <t>Units per Acre</t>
  </si>
  <si>
    <t>Population per Acre</t>
  </si>
  <si>
    <t>Under 5</t>
  </si>
  <si>
    <t xml:space="preserve">5 to 17 </t>
  </si>
  <si>
    <t>18 to 24</t>
  </si>
  <si>
    <t>25 to 34</t>
  </si>
  <si>
    <t>35 to 44</t>
  </si>
  <si>
    <t>45 to 54</t>
  </si>
  <si>
    <t>55 to 64</t>
  </si>
  <si>
    <t>65 to 74</t>
  </si>
  <si>
    <t>75 to 84</t>
  </si>
  <si>
    <t>1  Includes persons who selected a single racial category when answering the 2010 Census.</t>
  </si>
  <si>
    <t>All Households(1)</t>
  </si>
  <si>
    <t>All Families(2)</t>
  </si>
  <si>
    <t>All Non-Family Households(3)</t>
  </si>
  <si>
    <t>Unmarried Couples(4)</t>
  </si>
  <si>
    <t>2.  A family household includes a householder and one or more other people living in the same household who are related to the householder by birth, marriage or adoption.</t>
  </si>
  <si>
    <t>3.  Nonfamily households consist of a single person living alone or two or more persons occupying a housing unit who are not related by birth, marriage or adoption.</t>
  </si>
  <si>
    <t>4.  Unmarried couples include a person who is not related to the householder, who shares living quarters, and who has a close personal relationship with the householder.  Unmarried couples can be of the opposite sex or the same sex.</t>
  </si>
  <si>
    <t>HHs w/ Children as % All HHs(5)</t>
  </si>
  <si>
    <t>Married Couples -  w/o Own Children(2)</t>
  </si>
  <si>
    <t>All Non-Family HHs(3)</t>
  </si>
  <si>
    <t>HHs w/ Children as % All HHs(4)</t>
  </si>
  <si>
    <t>4. Multiply figure by 100 for pecentage.</t>
  </si>
  <si>
    <t>1. Multiply byb100 for percentage</t>
  </si>
  <si>
    <t>2. Vacant units include those for sale or rent, under contract for occupancy, or subject to intermittent or seasonal use.</t>
  </si>
  <si>
    <t>Household Population(1)</t>
  </si>
  <si>
    <t>Group Quarters Population(2)</t>
  </si>
  <si>
    <t>Housing Units Per Acre</t>
  </si>
  <si>
    <t xml:space="preserve">1. The household population includes all of the people who occupy a housing unit. A housing unit is a house, an apartment, a mobile home, a group of rooms, or a single room occupied (or if vacant, intended for occupancy) as separate living quarters. Separate living quarters are those in which the occupants live separately from any other people in the building and that have direct access from the outside of the building or through a common hall. The occupants may be a single family, one person living alone, two or more families living together, or any other group of related or unrelated people who share living quarters. </t>
  </si>
  <si>
    <t>2. The group quarters population includes all people not living in households. A group quarters is a place where people live or stay, in a group living arrangement, that is owned or managed by an entity or organization providing housing and/or services for the residents.  Two general categories of people in group quarters are recognized: (1) the institutionalized population and (2) the noninstitutionalized population, including College Dormitories.</t>
  </si>
  <si>
    <t>Average Family Size</t>
  </si>
  <si>
    <t>2.  Note that these figures refer to households including children who are related by birth, a stepchild, or an adoped child of the householder.  Other family and non-family households may include children as members of the household.</t>
  </si>
  <si>
    <t>Owner Occupancy Rate(1)</t>
  </si>
  <si>
    <t>Renter Occupancy Rate(1)</t>
  </si>
  <si>
    <t>Vacancy Rate(1)</t>
  </si>
  <si>
    <t>Vacant(2)</t>
  </si>
  <si>
    <t>Under 18</t>
  </si>
</sst>
</file>

<file path=xl/styles.xml><?xml version="1.0" encoding="utf-8"?>
<styleSheet xmlns="http://schemas.openxmlformats.org/spreadsheetml/2006/main">
  <numFmts count="1">
    <numFmt numFmtId="164" formatCode="0.0%"/>
  </numFmts>
  <fonts count="9">
    <font>
      <sz val="10"/>
      <color indexed="8"/>
      <name val="Arial"/>
    </font>
    <font>
      <sz val="10"/>
      <color theme="1"/>
      <name val="Arial"/>
      <family val="2"/>
    </font>
    <font>
      <sz val="8"/>
      <color indexed="8"/>
      <name val="Arial"/>
      <family val="2"/>
    </font>
    <font>
      <b/>
      <sz val="8"/>
      <color indexed="8"/>
      <name val="Arial"/>
      <family val="2"/>
    </font>
    <font>
      <b/>
      <sz val="10"/>
      <color indexed="8"/>
      <name val="Arial"/>
      <family val="2"/>
    </font>
    <font>
      <sz val="8"/>
      <color theme="1"/>
      <name val="Arial"/>
      <family val="2"/>
    </font>
    <font>
      <b/>
      <sz val="8"/>
      <color theme="1"/>
      <name val="Arial"/>
      <family val="2"/>
    </font>
    <font>
      <sz val="10"/>
      <color indexed="8"/>
      <name val="Arial"/>
      <family val="2"/>
    </font>
    <font>
      <sz val="8"/>
      <color indexed="8"/>
      <name val="Arial"/>
      <family val="2"/>
    </font>
  </fonts>
  <fills count="2">
    <fill>
      <patternFill patternType="none"/>
    </fill>
    <fill>
      <patternFill patternType="gray125"/>
    </fill>
  </fills>
  <borders count="4">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s>
  <cellStyleXfs count="5">
    <xf numFmtId="0" fontId="0" fillId="0" borderId="0"/>
    <xf numFmtId="0" fontId="1" fillId="0" borderId="0"/>
    <xf numFmtId="0" fontId="7" fillId="0" borderId="0"/>
    <xf numFmtId="0" fontId="7" fillId="0" borderId="0"/>
    <xf numFmtId="0" fontId="7" fillId="0" borderId="0"/>
  </cellStyleXfs>
  <cellXfs count="56">
    <xf numFmtId="0" fontId="0" fillId="0" borderId="0" xfId="0"/>
    <xf numFmtId="0" fontId="4" fillId="0" borderId="0" xfId="0" applyFont="1" applyFill="1" applyBorder="1"/>
    <xf numFmtId="3" fontId="2" fillId="0" borderId="0" xfId="0" applyNumberFormat="1" applyFont="1" applyFill="1" applyBorder="1" applyAlignment="1">
      <alignment horizontal="right" wrapText="1"/>
    </xf>
    <xf numFmtId="0" fontId="0" fillId="0" borderId="0" xfId="0" applyFill="1" applyBorder="1"/>
    <xf numFmtId="3" fontId="0" fillId="0" borderId="0" xfId="0" applyNumberFormat="1" applyFill="1" applyBorder="1"/>
    <xf numFmtId="0" fontId="5" fillId="0" borderId="0" xfId="1" applyFont="1" applyAlignment="1">
      <alignment wrapText="1"/>
    </xf>
    <xf numFmtId="0" fontId="5" fillId="0" borderId="0" xfId="1" applyFont="1" applyAlignment="1">
      <alignment horizontal="right" wrapText="1" readingOrder="1"/>
    </xf>
    <xf numFmtId="49" fontId="5" fillId="0" borderId="0" xfId="1" applyNumberFormat="1" applyFont="1" applyAlignment="1">
      <alignment horizontal="right" wrapText="1"/>
    </xf>
    <xf numFmtId="0" fontId="5" fillId="0" borderId="0" xfId="1" applyFont="1"/>
    <xf numFmtId="3" fontId="5" fillId="0" borderId="0" xfId="1" applyNumberFormat="1" applyFont="1" applyAlignment="1">
      <alignment horizontal="right" wrapText="1" readingOrder="1"/>
    </xf>
    <xf numFmtId="3" fontId="5" fillId="0" borderId="0" xfId="1" applyNumberFormat="1" applyFont="1" applyAlignment="1">
      <alignment wrapText="1"/>
    </xf>
    <xf numFmtId="0" fontId="5" fillId="0" borderId="0" xfId="1" applyFont="1" applyAlignment="1">
      <alignment wrapText="1"/>
    </xf>
    <xf numFmtId="49" fontId="5" fillId="0" borderId="0" xfId="1" applyNumberFormat="1" applyFont="1" applyAlignment="1">
      <alignment horizontal="right"/>
    </xf>
    <xf numFmtId="0" fontId="6" fillId="0" borderId="0" xfId="1" applyFont="1" applyAlignment="1">
      <alignment horizontal="center" wrapText="1"/>
    </xf>
    <xf numFmtId="49" fontId="6" fillId="0" borderId="0" xfId="1" applyNumberFormat="1" applyFont="1" applyAlignment="1">
      <alignment horizontal="center" wrapText="1"/>
    </xf>
    <xf numFmtId="164" fontId="6" fillId="0" borderId="0" xfId="1" applyNumberFormat="1" applyFont="1" applyAlignment="1">
      <alignment horizontal="center" wrapText="1"/>
    </xf>
    <xf numFmtId="164" fontId="5" fillId="0" borderId="0" xfId="1" applyNumberFormat="1" applyFont="1" applyAlignment="1">
      <alignment horizontal="right" wrapText="1" readingOrder="1"/>
    </xf>
    <xf numFmtId="164" fontId="5" fillId="0" borderId="0" xfId="1" applyNumberFormat="1" applyFont="1" applyAlignment="1">
      <alignment wrapText="1"/>
    </xf>
    <xf numFmtId="164" fontId="5" fillId="0" borderId="0" xfId="1" applyNumberFormat="1" applyFont="1"/>
    <xf numFmtId="3" fontId="8" fillId="0" borderId="0" xfId="3" applyNumberFormat="1" applyFont="1" applyFill="1" applyBorder="1" applyAlignment="1">
      <alignment horizontal="right" wrapText="1"/>
    </xf>
    <xf numFmtId="3" fontId="0" fillId="0" borderId="0" xfId="0" applyNumberFormat="1"/>
    <xf numFmtId="3" fontId="5" fillId="0" borderId="0" xfId="0" applyNumberFormat="1" applyFont="1" applyFill="1" applyBorder="1"/>
    <xf numFmtId="3" fontId="3" fillId="0" borderId="0" xfId="3" applyNumberFormat="1" applyFont="1" applyFill="1" applyBorder="1" applyAlignment="1">
      <alignment horizontal="center"/>
    </xf>
    <xf numFmtId="0" fontId="4" fillId="0" borderId="0" xfId="0" applyFont="1"/>
    <xf numFmtId="3" fontId="3" fillId="0" borderId="0" xfId="2" applyNumberFormat="1" applyFont="1" applyFill="1" applyBorder="1" applyAlignment="1">
      <alignment horizontal="center"/>
    </xf>
    <xf numFmtId="3" fontId="8" fillId="0" borderId="0" xfId="2" applyNumberFormat="1" applyFont="1" applyFill="1" applyBorder="1" applyAlignment="1">
      <alignment horizontal="right" wrapText="1"/>
    </xf>
    <xf numFmtId="164" fontId="8" fillId="0" borderId="2" xfId="4" applyNumberFormat="1" applyFont="1" applyFill="1" applyBorder="1" applyAlignment="1">
      <alignment horizontal="right" wrapText="1"/>
    </xf>
    <xf numFmtId="164" fontId="0" fillId="0" borderId="0" xfId="0" applyNumberFormat="1"/>
    <xf numFmtId="3" fontId="8" fillId="0" borderId="2" xfId="4" applyNumberFormat="1" applyFont="1" applyFill="1" applyBorder="1" applyAlignment="1">
      <alignment horizontal="right" wrapText="1"/>
    </xf>
    <xf numFmtId="0" fontId="2" fillId="0" borderId="2" xfId="0" applyFont="1" applyFill="1" applyBorder="1" applyAlignment="1">
      <alignment horizontal="right" wrapText="1"/>
    </xf>
    <xf numFmtId="0" fontId="0" fillId="0" borderId="0" xfId="0" applyFill="1"/>
    <xf numFmtId="0" fontId="3" fillId="0" borderId="1" xfId="0" applyFont="1" applyFill="1" applyBorder="1" applyAlignment="1">
      <alignment horizontal="center"/>
    </xf>
    <xf numFmtId="0" fontId="8" fillId="0" borderId="0" xfId="0" applyFont="1" applyAlignment="1">
      <alignment wrapText="1"/>
    </xf>
    <xf numFmtId="0" fontId="8" fillId="0" borderId="0" xfId="0" applyFont="1"/>
    <xf numFmtId="49" fontId="3" fillId="0" borderId="0" xfId="0" applyNumberFormat="1" applyFont="1" applyFill="1" applyBorder="1" applyAlignment="1">
      <alignment horizontal="center"/>
    </xf>
    <xf numFmtId="49" fontId="3" fillId="0" borderId="1" xfId="0" applyNumberFormat="1" applyFont="1" applyFill="1" applyBorder="1" applyAlignment="1">
      <alignment horizontal="center"/>
    </xf>
    <xf numFmtId="49" fontId="3" fillId="0" borderId="0" xfId="0" quotePrefix="1" applyNumberFormat="1" applyFont="1" applyFill="1" applyBorder="1" applyAlignment="1">
      <alignment horizontal="center"/>
    </xf>
    <xf numFmtId="49" fontId="4" fillId="0" borderId="0" xfId="0" applyNumberFormat="1" applyFont="1" applyFill="1" applyBorder="1"/>
    <xf numFmtId="0" fontId="2" fillId="0" borderId="0" xfId="0" applyFont="1" applyAlignment="1">
      <alignment wrapText="1"/>
    </xf>
    <xf numFmtId="49" fontId="6" fillId="0" borderId="0" xfId="1" applyNumberFormat="1" applyFont="1" applyAlignment="1">
      <alignment wrapText="1"/>
    </xf>
    <xf numFmtId="49" fontId="6" fillId="0" borderId="0" xfId="1" applyNumberFormat="1" applyFont="1"/>
    <xf numFmtId="49" fontId="5" fillId="0" borderId="0" xfId="1" applyNumberFormat="1" applyFont="1" applyAlignment="1">
      <alignment wrapText="1"/>
    </xf>
    <xf numFmtId="49" fontId="5" fillId="0" borderId="0" xfId="1" applyNumberFormat="1" applyFont="1"/>
    <xf numFmtId="49" fontId="6" fillId="0" borderId="0" xfId="1" applyNumberFormat="1" applyFont="1" applyFill="1" applyBorder="1" applyAlignment="1">
      <alignment horizontal="center" wrapText="1"/>
    </xf>
    <xf numFmtId="49" fontId="5" fillId="0" borderId="0" xfId="1" applyNumberFormat="1" applyFont="1" applyFill="1" applyBorder="1" applyAlignment="1">
      <alignment wrapText="1"/>
    </xf>
    <xf numFmtId="49" fontId="5" fillId="0" borderId="0" xfId="1" applyNumberFormat="1" applyFont="1" applyFill="1" applyBorder="1"/>
    <xf numFmtId="0" fontId="2" fillId="0" borderId="3" xfId="0" applyFont="1" applyFill="1" applyBorder="1" applyAlignment="1">
      <alignment horizontal="right" wrapText="1"/>
    </xf>
    <xf numFmtId="2" fontId="6" fillId="0" borderId="0" xfId="1" applyNumberFormat="1" applyFont="1" applyAlignment="1">
      <alignment horizontal="center" wrapText="1"/>
    </xf>
    <xf numFmtId="2" fontId="5" fillId="0" borderId="0" xfId="1" applyNumberFormat="1" applyFont="1" applyAlignment="1">
      <alignment horizontal="right" wrapText="1" readingOrder="1"/>
    </xf>
    <xf numFmtId="2" fontId="5" fillId="0" borderId="0" xfId="1" applyNumberFormat="1" applyFont="1" applyAlignment="1">
      <alignment wrapText="1"/>
    </xf>
    <xf numFmtId="2" fontId="5" fillId="0" borderId="0" xfId="1" applyNumberFormat="1" applyFont="1"/>
    <xf numFmtId="164" fontId="3" fillId="0" borderId="1" xfId="0" applyNumberFormat="1" applyFont="1" applyFill="1" applyBorder="1" applyAlignment="1">
      <alignment horizontal="center"/>
    </xf>
    <xf numFmtId="0" fontId="2" fillId="0" borderId="0" xfId="0" applyFont="1"/>
    <xf numFmtId="0" fontId="5" fillId="0" borderId="0" xfId="1" applyFont="1" applyAlignment="1">
      <alignment wrapText="1"/>
    </xf>
    <xf numFmtId="0" fontId="2" fillId="0" borderId="0" xfId="0" applyFont="1" applyAlignment="1">
      <alignment horizontal="left"/>
    </xf>
    <xf numFmtId="0" fontId="8" fillId="0" borderId="0" xfId="0" applyFont="1" applyAlignment="1">
      <alignment horizontal="left"/>
    </xf>
  </cellXfs>
  <cellStyles count="5">
    <cellStyle name="Normal" xfId="0" builtinId="0"/>
    <cellStyle name="Normal 2" xfId="1"/>
    <cellStyle name="Normal_Hispanic" xfId="3"/>
    <cellStyle name="Normal_Sheet2" xfId="2"/>
    <cellStyle name="Normal_Tenure"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G34"/>
  <sheetViews>
    <sheetView workbookViewId="0">
      <pane xSplit="1" ySplit="1" topLeftCell="B2" activePane="bottomRight" state="frozen"/>
      <selection pane="topRight" activeCell="B1" sqref="B1"/>
      <selection pane="bottomLeft" activeCell="A2" sqref="A2"/>
      <selection pane="bottomRight" sqref="A1:A1048576"/>
    </sheetView>
  </sheetViews>
  <sheetFormatPr defaultRowHeight="12.75"/>
  <cols>
    <col min="1" max="1" width="11.85546875" style="8" customWidth="1"/>
    <col min="2" max="2" width="13.7109375" style="4" bestFit="1" customWidth="1"/>
    <col min="3" max="3" width="20.42578125" style="4" bestFit="1" customWidth="1"/>
    <col min="4" max="4" width="24.42578125" style="4" bestFit="1" customWidth="1"/>
    <col min="5" max="5" width="16.7109375" style="30" bestFit="1" customWidth="1"/>
    <col min="6" max="6" width="11.85546875" style="20" bestFit="1" customWidth="1"/>
    <col min="7" max="7" width="19.42578125" style="30" bestFit="1" customWidth="1"/>
  </cols>
  <sheetData>
    <row r="1" spans="1:7" s="23" customFormat="1">
      <c r="A1" s="13" t="s">
        <v>12</v>
      </c>
      <c r="B1" s="34" t="s">
        <v>18</v>
      </c>
      <c r="C1" s="34" t="s">
        <v>56</v>
      </c>
      <c r="D1" s="34" t="s">
        <v>57</v>
      </c>
      <c r="E1" s="35" t="s">
        <v>31</v>
      </c>
      <c r="F1" s="31" t="s">
        <v>29</v>
      </c>
      <c r="G1" s="31" t="s">
        <v>58</v>
      </c>
    </row>
    <row r="2" spans="1:7">
      <c r="A2" s="11">
        <v>3521.01</v>
      </c>
      <c r="B2" s="2">
        <v>1654</v>
      </c>
      <c r="C2" s="2">
        <v>1638</v>
      </c>
      <c r="D2" s="2">
        <v>16</v>
      </c>
      <c r="E2" s="29">
        <v>17</v>
      </c>
      <c r="F2" s="28">
        <v>1292</v>
      </c>
      <c r="G2" s="29">
        <v>13</v>
      </c>
    </row>
    <row r="3" spans="1:7">
      <c r="A3" s="11">
        <v>3521.02</v>
      </c>
      <c r="B3" s="2">
        <v>2277</v>
      </c>
      <c r="C3" s="2">
        <v>2251</v>
      </c>
      <c r="D3" s="2">
        <v>26</v>
      </c>
      <c r="E3" s="29">
        <v>23</v>
      </c>
      <c r="F3" s="28">
        <v>1431</v>
      </c>
      <c r="G3" s="29">
        <v>14</v>
      </c>
    </row>
    <row r="4" spans="1:7">
      <c r="A4" s="11">
        <v>3522</v>
      </c>
      <c r="B4" s="2">
        <v>1849</v>
      </c>
      <c r="C4" s="2">
        <v>1847</v>
      </c>
      <c r="D4" s="2">
        <v>2</v>
      </c>
      <c r="E4" s="29">
        <v>51</v>
      </c>
      <c r="F4" s="28">
        <v>1145</v>
      </c>
      <c r="G4" s="29">
        <v>31</v>
      </c>
    </row>
    <row r="5" spans="1:7">
      <c r="A5" s="11">
        <v>3523</v>
      </c>
      <c r="B5" s="2">
        <v>3450</v>
      </c>
      <c r="C5" s="2">
        <v>3440</v>
      </c>
      <c r="D5" s="2">
        <v>10</v>
      </c>
      <c r="E5" s="29">
        <v>23</v>
      </c>
      <c r="F5" s="28">
        <v>2069</v>
      </c>
      <c r="G5" s="29">
        <v>14</v>
      </c>
    </row>
    <row r="6" spans="1:7">
      <c r="A6" s="11">
        <v>3524</v>
      </c>
      <c r="B6" s="2">
        <v>2126</v>
      </c>
      <c r="C6" s="2">
        <v>2126</v>
      </c>
      <c r="D6" s="2">
        <v>0</v>
      </c>
      <c r="E6" s="29">
        <v>18</v>
      </c>
      <c r="F6" s="28">
        <v>818</v>
      </c>
      <c r="G6" s="29">
        <v>7</v>
      </c>
    </row>
    <row r="7" spans="1:7">
      <c r="A7" s="11">
        <v>3525</v>
      </c>
      <c r="B7" s="2">
        <v>2894</v>
      </c>
      <c r="C7" s="2">
        <v>2857</v>
      </c>
      <c r="D7" s="2">
        <v>37</v>
      </c>
      <c r="E7" s="29">
        <v>57</v>
      </c>
      <c r="F7" s="28">
        <v>1267</v>
      </c>
      <c r="G7" s="29">
        <v>25</v>
      </c>
    </row>
    <row r="8" spans="1:7">
      <c r="A8" s="11">
        <v>3526</v>
      </c>
      <c r="B8" s="2">
        <v>2378</v>
      </c>
      <c r="C8" s="2">
        <v>2369</v>
      </c>
      <c r="D8" s="2">
        <v>9</v>
      </c>
      <c r="E8" s="29">
        <v>40</v>
      </c>
      <c r="F8" s="28">
        <v>1055</v>
      </c>
      <c r="G8" s="29">
        <v>18</v>
      </c>
    </row>
    <row r="9" spans="1:7">
      <c r="A9" s="11">
        <v>3527</v>
      </c>
      <c r="B9" s="2">
        <v>2057</v>
      </c>
      <c r="C9" s="2">
        <v>2057</v>
      </c>
      <c r="D9" s="2">
        <v>0</v>
      </c>
      <c r="E9" s="29">
        <v>52</v>
      </c>
      <c r="F9" s="28">
        <v>1016</v>
      </c>
      <c r="G9" s="29">
        <v>26</v>
      </c>
    </row>
    <row r="10" spans="1:7">
      <c r="A10" s="11">
        <v>3528</v>
      </c>
      <c r="B10" s="2">
        <v>2115</v>
      </c>
      <c r="C10" s="2">
        <v>2076</v>
      </c>
      <c r="D10" s="2">
        <v>39</v>
      </c>
      <c r="E10" s="29">
        <v>53</v>
      </c>
      <c r="F10" s="28">
        <v>955</v>
      </c>
      <c r="G10" s="29">
        <v>24</v>
      </c>
    </row>
    <row r="11" spans="1:7">
      <c r="A11" s="11">
        <v>3529</v>
      </c>
      <c r="B11" s="2">
        <v>2646</v>
      </c>
      <c r="C11" s="2">
        <v>2636</v>
      </c>
      <c r="D11" s="2">
        <v>10</v>
      </c>
      <c r="E11" s="29">
        <v>36</v>
      </c>
      <c r="F11" s="28">
        <v>1415</v>
      </c>
      <c r="G11" s="29">
        <v>19</v>
      </c>
    </row>
    <row r="12" spans="1:7">
      <c r="A12" s="11">
        <v>3530</v>
      </c>
      <c r="B12" s="2">
        <v>3584</v>
      </c>
      <c r="C12" s="2">
        <v>3514</v>
      </c>
      <c r="D12" s="2">
        <v>70</v>
      </c>
      <c r="E12" s="29">
        <v>43</v>
      </c>
      <c r="F12" s="28">
        <v>2001</v>
      </c>
      <c r="G12" s="29">
        <v>24</v>
      </c>
    </row>
    <row r="13" spans="1:7">
      <c r="A13" s="11">
        <v>3531.01</v>
      </c>
      <c r="B13" s="2">
        <v>2460</v>
      </c>
      <c r="C13" s="2">
        <v>2043</v>
      </c>
      <c r="D13" s="2">
        <v>417</v>
      </c>
      <c r="E13" s="29">
        <v>24</v>
      </c>
      <c r="F13" s="28">
        <v>1035</v>
      </c>
      <c r="G13" s="29">
        <v>10</v>
      </c>
    </row>
    <row r="14" spans="1:7">
      <c r="A14" s="11">
        <v>3531.02</v>
      </c>
      <c r="B14" s="2">
        <v>5040</v>
      </c>
      <c r="C14" s="2">
        <v>605</v>
      </c>
      <c r="D14" s="2">
        <v>4435</v>
      </c>
      <c r="E14" s="29">
        <v>23</v>
      </c>
      <c r="F14" s="28">
        <v>327</v>
      </c>
      <c r="G14" s="29">
        <v>1</v>
      </c>
    </row>
    <row r="15" spans="1:7">
      <c r="A15" s="11">
        <v>3532</v>
      </c>
      <c r="B15" s="2">
        <v>4897</v>
      </c>
      <c r="C15" s="2">
        <v>3304</v>
      </c>
      <c r="D15" s="2">
        <v>1593</v>
      </c>
      <c r="E15" s="29">
        <v>39</v>
      </c>
      <c r="F15" s="28">
        <v>1701</v>
      </c>
      <c r="G15" s="29">
        <v>13</v>
      </c>
    </row>
    <row r="16" spans="1:7">
      <c r="A16" s="11">
        <v>3533</v>
      </c>
      <c r="B16" s="2">
        <v>3471</v>
      </c>
      <c r="C16" s="2">
        <v>3445</v>
      </c>
      <c r="D16" s="2">
        <v>26</v>
      </c>
      <c r="E16" s="29">
        <v>30</v>
      </c>
      <c r="F16" s="28">
        <v>1771</v>
      </c>
      <c r="G16" s="29">
        <v>15</v>
      </c>
    </row>
    <row r="17" spans="1:7">
      <c r="A17" s="11">
        <v>3534</v>
      </c>
      <c r="B17" s="2">
        <v>2848</v>
      </c>
      <c r="C17" s="2">
        <v>2848</v>
      </c>
      <c r="D17" s="2">
        <v>0</v>
      </c>
      <c r="E17" s="29">
        <v>39</v>
      </c>
      <c r="F17" s="28">
        <v>1298</v>
      </c>
      <c r="G17" s="29">
        <v>18</v>
      </c>
    </row>
    <row r="18" spans="1:7">
      <c r="A18" s="11">
        <v>3535</v>
      </c>
      <c r="B18" s="2">
        <v>2602</v>
      </c>
      <c r="C18" s="2">
        <v>2602</v>
      </c>
      <c r="D18" s="2">
        <v>0</v>
      </c>
      <c r="E18" s="29">
        <v>50</v>
      </c>
      <c r="F18" s="28">
        <v>1330</v>
      </c>
      <c r="G18" s="29">
        <v>26</v>
      </c>
    </row>
    <row r="19" spans="1:7">
      <c r="A19" s="11">
        <v>3536</v>
      </c>
      <c r="B19" s="2">
        <v>4551</v>
      </c>
      <c r="C19" s="2">
        <v>2912</v>
      </c>
      <c r="D19" s="2">
        <v>1639</v>
      </c>
      <c r="E19" s="29">
        <v>25</v>
      </c>
      <c r="F19" s="28">
        <v>1568</v>
      </c>
      <c r="G19" s="29">
        <v>9</v>
      </c>
    </row>
    <row r="20" spans="1:7">
      <c r="A20" s="11">
        <v>3537</v>
      </c>
      <c r="B20" s="2">
        <v>5365</v>
      </c>
      <c r="C20" s="2">
        <v>3061</v>
      </c>
      <c r="D20" s="2">
        <v>2304</v>
      </c>
      <c r="E20" s="29">
        <v>40</v>
      </c>
      <c r="F20" s="28">
        <v>1956</v>
      </c>
      <c r="G20" s="29">
        <v>14</v>
      </c>
    </row>
    <row r="21" spans="1:7">
      <c r="A21" s="11">
        <v>3538</v>
      </c>
      <c r="B21" s="2">
        <v>4702</v>
      </c>
      <c r="C21" s="2">
        <v>4596</v>
      </c>
      <c r="D21" s="2">
        <v>106</v>
      </c>
      <c r="E21" s="29">
        <v>62</v>
      </c>
      <c r="F21" s="28">
        <v>2947</v>
      </c>
      <c r="G21" s="29">
        <v>39</v>
      </c>
    </row>
    <row r="22" spans="1:7">
      <c r="A22" s="11">
        <v>3539</v>
      </c>
      <c r="B22" s="2">
        <v>7090</v>
      </c>
      <c r="C22" s="2">
        <v>2595</v>
      </c>
      <c r="D22" s="2">
        <v>4495</v>
      </c>
      <c r="E22" s="29">
        <v>89</v>
      </c>
      <c r="F22" s="28">
        <v>1519</v>
      </c>
      <c r="G22" s="29">
        <v>19</v>
      </c>
    </row>
    <row r="23" spans="1:7">
      <c r="A23" s="11">
        <v>3540</v>
      </c>
      <c r="B23" s="2">
        <v>4366</v>
      </c>
      <c r="C23" s="2">
        <v>3201</v>
      </c>
      <c r="D23" s="2">
        <v>1165</v>
      </c>
      <c r="E23" s="29">
        <v>38</v>
      </c>
      <c r="F23" s="28">
        <v>2089</v>
      </c>
      <c r="G23" s="29">
        <v>18</v>
      </c>
    </row>
    <row r="24" spans="1:7">
      <c r="A24" s="11">
        <v>3541</v>
      </c>
      <c r="B24" s="2">
        <v>2907</v>
      </c>
      <c r="C24" s="2">
        <v>2577</v>
      </c>
      <c r="D24" s="2">
        <v>330</v>
      </c>
      <c r="E24" s="29">
        <v>20</v>
      </c>
      <c r="F24" s="28">
        <v>1717</v>
      </c>
      <c r="G24" s="29">
        <v>12</v>
      </c>
    </row>
    <row r="25" spans="1:7">
      <c r="A25" s="11">
        <v>3542</v>
      </c>
      <c r="B25" s="2">
        <v>2907</v>
      </c>
      <c r="C25" s="2">
        <v>2896</v>
      </c>
      <c r="D25" s="2">
        <v>11</v>
      </c>
      <c r="E25" s="29">
        <v>7</v>
      </c>
      <c r="F25" s="28">
        <v>1404</v>
      </c>
      <c r="G25" s="29">
        <v>4</v>
      </c>
    </row>
    <row r="26" spans="1:7">
      <c r="A26" s="11">
        <v>3543</v>
      </c>
      <c r="B26" s="2">
        <v>3346</v>
      </c>
      <c r="C26" s="2">
        <v>3253</v>
      </c>
      <c r="D26" s="2">
        <v>93</v>
      </c>
      <c r="E26" s="29">
        <v>11</v>
      </c>
      <c r="F26" s="28">
        <v>1651</v>
      </c>
      <c r="G26" s="29">
        <v>5</v>
      </c>
    </row>
    <row r="27" spans="1:7">
      <c r="A27" s="11">
        <v>3544</v>
      </c>
      <c r="B27" s="2">
        <v>1647</v>
      </c>
      <c r="C27" s="2">
        <v>1643</v>
      </c>
      <c r="D27" s="2">
        <v>4</v>
      </c>
      <c r="E27" s="29">
        <v>23</v>
      </c>
      <c r="F27" s="28">
        <v>802</v>
      </c>
      <c r="G27" s="29">
        <v>11</v>
      </c>
    </row>
    <row r="28" spans="1:7">
      <c r="A28" s="11">
        <v>3545</v>
      </c>
      <c r="B28" s="2">
        <v>2236</v>
      </c>
      <c r="C28" s="2">
        <v>2236</v>
      </c>
      <c r="D28" s="2">
        <v>0</v>
      </c>
      <c r="E28" s="29">
        <v>23</v>
      </c>
      <c r="F28" s="28">
        <v>1291</v>
      </c>
      <c r="G28" s="29">
        <v>13</v>
      </c>
    </row>
    <row r="29" spans="1:7">
      <c r="A29" s="11">
        <v>3546</v>
      </c>
      <c r="B29" s="2">
        <v>4538</v>
      </c>
      <c r="C29" s="2">
        <v>4389</v>
      </c>
      <c r="D29" s="2">
        <v>149</v>
      </c>
      <c r="E29" s="29">
        <v>12</v>
      </c>
      <c r="F29" s="28">
        <v>2192</v>
      </c>
      <c r="G29" s="29">
        <v>6</v>
      </c>
    </row>
    <row r="30" spans="1:7">
      <c r="A30" s="11">
        <v>3547</v>
      </c>
      <c r="B30" s="2">
        <v>2509</v>
      </c>
      <c r="C30" s="2">
        <v>2468</v>
      </c>
      <c r="D30" s="2">
        <v>41</v>
      </c>
      <c r="E30" s="29">
        <v>29</v>
      </c>
      <c r="F30" s="28">
        <v>1207</v>
      </c>
      <c r="G30" s="29">
        <v>14</v>
      </c>
    </row>
    <row r="31" spans="1:7">
      <c r="A31" s="11">
        <v>3548</v>
      </c>
      <c r="B31" s="2">
        <v>1903</v>
      </c>
      <c r="C31" s="2">
        <v>1888</v>
      </c>
      <c r="D31" s="2">
        <v>15</v>
      </c>
      <c r="E31" s="29">
        <v>25</v>
      </c>
      <c r="F31" s="28">
        <v>977</v>
      </c>
      <c r="G31" s="29">
        <v>13</v>
      </c>
    </row>
    <row r="32" spans="1:7">
      <c r="A32" s="11">
        <v>3549</v>
      </c>
      <c r="B32" s="2">
        <v>6058</v>
      </c>
      <c r="C32" s="2">
        <v>6040</v>
      </c>
      <c r="D32" s="2">
        <v>18</v>
      </c>
      <c r="E32" s="29">
        <v>20</v>
      </c>
      <c r="F32" s="28">
        <v>2632</v>
      </c>
      <c r="G32" s="29">
        <v>9</v>
      </c>
    </row>
    <row r="33" spans="1:7">
      <c r="A33" s="11">
        <v>3550</v>
      </c>
      <c r="B33" s="2">
        <v>2689</v>
      </c>
      <c r="C33" s="2">
        <v>2647</v>
      </c>
      <c r="D33" s="2">
        <v>42</v>
      </c>
      <c r="E33" s="29">
        <v>24</v>
      </c>
      <c r="F33" s="28">
        <v>1413</v>
      </c>
      <c r="G33" s="29">
        <v>12</v>
      </c>
    </row>
    <row r="34" spans="1:7">
      <c r="A34" s="11" t="s">
        <v>4</v>
      </c>
      <c r="B34" s="2">
        <v>105162</v>
      </c>
      <c r="C34" s="2">
        <v>88060</v>
      </c>
      <c r="D34" s="2">
        <v>17102</v>
      </c>
      <c r="E34" s="46">
        <v>26</v>
      </c>
      <c r="F34" s="28">
        <v>47291</v>
      </c>
      <c r="G34" s="46">
        <v>12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M4"/>
  <sheetViews>
    <sheetView zoomScaleNormal="100" workbookViewId="0">
      <selection activeCell="A11" sqref="A11"/>
    </sheetView>
  </sheetViews>
  <sheetFormatPr defaultRowHeight="11.25"/>
  <cols>
    <col min="1" max="1" width="100.42578125" style="52" customWidth="1"/>
    <col min="2" max="16384" width="9.140625" style="52"/>
  </cols>
  <sheetData>
    <row r="1" spans="1:13" ht="56.25">
      <c r="A1" s="38" t="s">
        <v>59</v>
      </c>
    </row>
    <row r="2" spans="1:13" ht="45">
      <c r="A2" s="38" t="s">
        <v>60</v>
      </c>
    </row>
    <row r="4" spans="1:13">
      <c r="A4" s="53" t="s">
        <v>2</v>
      </c>
      <c r="B4" s="53"/>
      <c r="C4" s="53"/>
      <c r="D4" s="53"/>
      <c r="E4" s="53"/>
      <c r="F4" s="53"/>
      <c r="G4" s="53"/>
      <c r="H4" s="53"/>
      <c r="I4" s="53"/>
      <c r="J4" s="53"/>
      <c r="K4" s="53"/>
      <c r="L4" s="53"/>
      <c r="M4" s="53"/>
    </row>
  </sheetData>
  <mergeCells count="1">
    <mergeCell ref="A4:M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N34"/>
  <sheetViews>
    <sheetView zoomScaleNormal="100" zoomScaleSheetLayoutView="32768" workbookViewId="0">
      <pane xSplit="1" ySplit="1" topLeftCell="B2" activePane="bottomRight" state="frozen"/>
      <selection pane="topRight" activeCell="B1" sqref="B1"/>
      <selection pane="bottomLeft" activeCell="A2" sqref="A2"/>
      <selection pane="bottomRight" activeCell="M1" sqref="M1:M1048576"/>
    </sheetView>
  </sheetViews>
  <sheetFormatPr defaultRowHeight="12.75"/>
  <cols>
    <col min="1" max="1" width="11.85546875" style="42" customWidth="1"/>
    <col min="2" max="14" width="9" style="4" customWidth="1"/>
    <col min="15" max="16384" width="9.140625" style="3"/>
  </cols>
  <sheetData>
    <row r="1" spans="1:14" s="37" customFormat="1" ht="12" customHeight="1">
      <c r="A1" s="14" t="s">
        <v>12</v>
      </c>
      <c r="B1" s="34" t="s">
        <v>0</v>
      </c>
      <c r="C1" s="36" t="s">
        <v>32</v>
      </c>
      <c r="D1" s="34" t="s">
        <v>33</v>
      </c>
      <c r="E1" s="34" t="s">
        <v>34</v>
      </c>
      <c r="F1" s="34" t="s">
        <v>35</v>
      </c>
      <c r="G1" s="34" t="s">
        <v>36</v>
      </c>
      <c r="H1" s="34" t="s">
        <v>37</v>
      </c>
      <c r="I1" s="34" t="s">
        <v>38</v>
      </c>
      <c r="J1" s="34" t="s">
        <v>39</v>
      </c>
      <c r="K1" s="34" t="s">
        <v>40</v>
      </c>
      <c r="L1" s="34" t="s">
        <v>1</v>
      </c>
      <c r="M1" s="34" t="s">
        <v>67</v>
      </c>
      <c r="N1" s="34" t="s">
        <v>13</v>
      </c>
    </row>
    <row r="2" spans="1:14" ht="12" customHeight="1">
      <c r="A2" s="41">
        <v>3521.01</v>
      </c>
      <c r="B2" s="2">
        <v>1654</v>
      </c>
      <c r="C2" s="2">
        <v>68</v>
      </c>
      <c r="D2" s="2">
        <v>55</v>
      </c>
      <c r="E2" s="2">
        <v>363</v>
      </c>
      <c r="F2" s="2">
        <v>688</v>
      </c>
      <c r="G2" s="2">
        <v>238</v>
      </c>
      <c r="H2" s="2">
        <v>109</v>
      </c>
      <c r="I2" s="2">
        <v>90</v>
      </c>
      <c r="J2" s="2">
        <v>32</v>
      </c>
      <c r="K2" s="2">
        <v>9</v>
      </c>
      <c r="L2" s="2">
        <v>2</v>
      </c>
      <c r="M2" s="2">
        <v>123</v>
      </c>
      <c r="N2" s="2">
        <v>43</v>
      </c>
    </row>
    <row r="3" spans="1:14" ht="12" customHeight="1">
      <c r="A3" s="41">
        <v>3521.02</v>
      </c>
      <c r="B3" s="2">
        <v>2277</v>
      </c>
      <c r="C3" s="2">
        <v>87</v>
      </c>
      <c r="D3" s="2">
        <v>84</v>
      </c>
      <c r="E3" s="2">
        <v>289</v>
      </c>
      <c r="F3" s="2">
        <v>639</v>
      </c>
      <c r="G3" s="2">
        <v>300</v>
      </c>
      <c r="H3" s="2">
        <v>266</v>
      </c>
      <c r="I3" s="2">
        <v>271</v>
      </c>
      <c r="J3" s="2">
        <v>166</v>
      </c>
      <c r="K3" s="2">
        <v>125</v>
      </c>
      <c r="L3" s="2">
        <v>50</v>
      </c>
      <c r="M3" s="2">
        <v>171</v>
      </c>
      <c r="N3" s="2">
        <v>341</v>
      </c>
    </row>
    <row r="4" spans="1:14" ht="12" customHeight="1">
      <c r="A4" s="41">
        <v>3522</v>
      </c>
      <c r="B4" s="2">
        <v>1849</v>
      </c>
      <c r="C4" s="2">
        <v>67</v>
      </c>
      <c r="D4" s="2">
        <v>118</v>
      </c>
      <c r="E4" s="2">
        <v>167</v>
      </c>
      <c r="F4" s="2">
        <v>477</v>
      </c>
      <c r="G4" s="2">
        <v>225</v>
      </c>
      <c r="H4" s="2">
        <v>198</v>
      </c>
      <c r="I4" s="2">
        <v>215</v>
      </c>
      <c r="J4" s="2">
        <v>175</v>
      </c>
      <c r="K4" s="2">
        <v>150</v>
      </c>
      <c r="L4" s="2">
        <v>57</v>
      </c>
      <c r="M4" s="2">
        <v>185</v>
      </c>
      <c r="N4" s="2">
        <v>382</v>
      </c>
    </row>
    <row r="5" spans="1:14" ht="12" customHeight="1">
      <c r="A5" s="41">
        <v>3523</v>
      </c>
      <c r="B5" s="2">
        <v>3450</v>
      </c>
      <c r="C5" s="2">
        <v>213</v>
      </c>
      <c r="D5" s="2">
        <v>180</v>
      </c>
      <c r="E5" s="2">
        <v>423</v>
      </c>
      <c r="F5" s="2">
        <v>1346</v>
      </c>
      <c r="G5" s="2">
        <v>562</v>
      </c>
      <c r="H5" s="2">
        <v>320</v>
      </c>
      <c r="I5" s="2">
        <v>213</v>
      </c>
      <c r="J5" s="2">
        <v>101</v>
      </c>
      <c r="K5" s="2">
        <v>61</v>
      </c>
      <c r="L5" s="2">
        <v>31</v>
      </c>
      <c r="M5" s="2">
        <v>393</v>
      </c>
      <c r="N5" s="2">
        <v>193</v>
      </c>
    </row>
    <row r="6" spans="1:14" ht="12" customHeight="1">
      <c r="A6" s="41">
        <v>3524</v>
      </c>
      <c r="B6" s="2">
        <v>2126</v>
      </c>
      <c r="C6" s="2">
        <v>178</v>
      </c>
      <c r="D6" s="2">
        <v>386</v>
      </c>
      <c r="E6" s="2">
        <v>289</v>
      </c>
      <c r="F6" s="2">
        <v>432</v>
      </c>
      <c r="G6" s="2">
        <v>292</v>
      </c>
      <c r="H6" s="2">
        <v>242</v>
      </c>
      <c r="I6" s="2">
        <v>177</v>
      </c>
      <c r="J6" s="2">
        <v>84</v>
      </c>
      <c r="K6" s="2">
        <v>35</v>
      </c>
      <c r="L6" s="2">
        <v>11</v>
      </c>
      <c r="M6" s="2">
        <v>564</v>
      </c>
      <c r="N6" s="2">
        <v>130</v>
      </c>
    </row>
    <row r="7" spans="1:14" ht="12" customHeight="1">
      <c r="A7" s="41">
        <v>3525</v>
      </c>
      <c r="B7" s="2">
        <v>2894</v>
      </c>
      <c r="C7" s="2">
        <v>119</v>
      </c>
      <c r="D7" s="2">
        <v>293</v>
      </c>
      <c r="E7" s="2">
        <v>432</v>
      </c>
      <c r="F7" s="2">
        <v>975</v>
      </c>
      <c r="G7" s="2">
        <v>388</v>
      </c>
      <c r="H7" s="2">
        <v>286</v>
      </c>
      <c r="I7" s="2">
        <v>237</v>
      </c>
      <c r="J7" s="2">
        <v>102</v>
      </c>
      <c r="K7" s="2">
        <v>43</v>
      </c>
      <c r="L7" s="2">
        <v>19</v>
      </c>
      <c r="M7" s="2">
        <v>412</v>
      </c>
      <c r="N7" s="2">
        <v>164</v>
      </c>
    </row>
    <row r="8" spans="1:14" ht="12" customHeight="1">
      <c r="A8" s="41">
        <v>3526</v>
      </c>
      <c r="B8" s="2">
        <v>2378</v>
      </c>
      <c r="C8" s="2">
        <v>107</v>
      </c>
      <c r="D8" s="2">
        <v>219</v>
      </c>
      <c r="E8" s="2">
        <v>345</v>
      </c>
      <c r="F8" s="2">
        <v>793</v>
      </c>
      <c r="G8" s="2">
        <v>296</v>
      </c>
      <c r="H8" s="2">
        <v>224</v>
      </c>
      <c r="I8" s="2">
        <v>184</v>
      </c>
      <c r="J8" s="2">
        <v>104</v>
      </c>
      <c r="K8" s="2">
        <v>78</v>
      </c>
      <c r="L8" s="2">
        <v>28</v>
      </c>
      <c r="M8" s="2">
        <v>326</v>
      </c>
      <c r="N8" s="2">
        <v>210</v>
      </c>
    </row>
    <row r="9" spans="1:14" ht="12" customHeight="1">
      <c r="A9" s="41">
        <v>3527</v>
      </c>
      <c r="B9" s="2">
        <v>2057</v>
      </c>
      <c r="C9" s="2">
        <v>93</v>
      </c>
      <c r="D9" s="2">
        <v>241</v>
      </c>
      <c r="E9" s="2">
        <v>265</v>
      </c>
      <c r="F9" s="2">
        <v>515</v>
      </c>
      <c r="G9" s="2">
        <v>285</v>
      </c>
      <c r="H9" s="2">
        <v>241</v>
      </c>
      <c r="I9" s="2">
        <v>204</v>
      </c>
      <c r="J9" s="2">
        <v>107</v>
      </c>
      <c r="K9" s="2">
        <v>80</v>
      </c>
      <c r="L9" s="2">
        <v>26</v>
      </c>
      <c r="M9" s="2">
        <v>334</v>
      </c>
      <c r="N9" s="2">
        <v>213</v>
      </c>
    </row>
    <row r="10" spans="1:14" ht="12" customHeight="1">
      <c r="A10" s="41">
        <v>3528</v>
      </c>
      <c r="B10" s="2">
        <v>2115</v>
      </c>
      <c r="C10" s="2">
        <v>93</v>
      </c>
      <c r="D10" s="2">
        <v>170</v>
      </c>
      <c r="E10" s="2">
        <v>290</v>
      </c>
      <c r="F10" s="2">
        <v>685</v>
      </c>
      <c r="G10" s="2">
        <v>292</v>
      </c>
      <c r="H10" s="2">
        <v>224</v>
      </c>
      <c r="I10" s="2">
        <v>197</v>
      </c>
      <c r="J10" s="2">
        <v>99</v>
      </c>
      <c r="K10" s="2">
        <v>46</v>
      </c>
      <c r="L10" s="2">
        <v>19</v>
      </c>
      <c r="M10" s="2">
        <v>263</v>
      </c>
      <c r="N10" s="2">
        <v>164</v>
      </c>
    </row>
    <row r="11" spans="1:14" ht="12" customHeight="1">
      <c r="A11" s="41">
        <v>3529</v>
      </c>
      <c r="B11" s="2">
        <v>2646</v>
      </c>
      <c r="C11" s="2">
        <v>127</v>
      </c>
      <c r="D11" s="2">
        <v>150</v>
      </c>
      <c r="E11" s="2">
        <v>210</v>
      </c>
      <c r="F11" s="2">
        <v>899</v>
      </c>
      <c r="G11" s="2">
        <v>420</v>
      </c>
      <c r="H11" s="2">
        <v>267</v>
      </c>
      <c r="I11" s="2">
        <v>339</v>
      </c>
      <c r="J11" s="2">
        <v>150</v>
      </c>
      <c r="K11" s="2">
        <v>61</v>
      </c>
      <c r="L11" s="2">
        <v>23</v>
      </c>
      <c r="M11" s="2">
        <v>277</v>
      </c>
      <c r="N11" s="2">
        <v>234</v>
      </c>
    </row>
    <row r="12" spans="1:14" ht="12" customHeight="1">
      <c r="A12" s="41">
        <v>3530</v>
      </c>
      <c r="B12" s="2">
        <v>3584</v>
      </c>
      <c r="C12" s="2">
        <v>164</v>
      </c>
      <c r="D12" s="2">
        <v>221</v>
      </c>
      <c r="E12" s="2">
        <v>366</v>
      </c>
      <c r="F12" s="2">
        <v>1249</v>
      </c>
      <c r="G12" s="2">
        <v>463</v>
      </c>
      <c r="H12" s="2">
        <v>324</v>
      </c>
      <c r="I12" s="2">
        <v>339</v>
      </c>
      <c r="J12" s="2">
        <v>268</v>
      </c>
      <c r="K12" s="2">
        <v>137</v>
      </c>
      <c r="L12" s="2">
        <v>53</v>
      </c>
      <c r="M12" s="2">
        <v>385</v>
      </c>
      <c r="N12" s="2">
        <v>458</v>
      </c>
    </row>
    <row r="13" spans="1:14" ht="12" customHeight="1">
      <c r="A13" s="41">
        <v>3531.01</v>
      </c>
      <c r="B13" s="2">
        <v>2460</v>
      </c>
      <c r="C13" s="2">
        <v>83</v>
      </c>
      <c r="D13" s="2">
        <v>139</v>
      </c>
      <c r="E13" s="2">
        <v>782</v>
      </c>
      <c r="F13" s="2">
        <v>854</v>
      </c>
      <c r="G13" s="2">
        <v>252</v>
      </c>
      <c r="H13" s="2">
        <v>152</v>
      </c>
      <c r="I13" s="2">
        <v>120</v>
      </c>
      <c r="J13" s="2">
        <v>51</v>
      </c>
      <c r="K13" s="2">
        <v>19</v>
      </c>
      <c r="L13" s="2">
        <v>8</v>
      </c>
      <c r="M13" s="2">
        <v>222</v>
      </c>
      <c r="N13" s="2">
        <v>78</v>
      </c>
    </row>
    <row r="14" spans="1:14" ht="12" customHeight="1">
      <c r="A14" s="41">
        <v>3531.02</v>
      </c>
      <c r="B14" s="2">
        <v>5040</v>
      </c>
      <c r="C14" s="2">
        <v>50</v>
      </c>
      <c r="D14" s="2">
        <v>59</v>
      </c>
      <c r="E14" s="2">
        <v>3494</v>
      </c>
      <c r="F14" s="2">
        <v>1213</v>
      </c>
      <c r="G14" s="2">
        <v>118</v>
      </c>
      <c r="H14" s="2">
        <v>25</v>
      </c>
      <c r="I14" s="2">
        <v>39</v>
      </c>
      <c r="J14" s="2">
        <v>21</v>
      </c>
      <c r="K14" s="2">
        <v>12</v>
      </c>
      <c r="L14" s="2">
        <v>9</v>
      </c>
      <c r="M14" s="2">
        <v>109</v>
      </c>
      <c r="N14" s="2">
        <v>42</v>
      </c>
    </row>
    <row r="15" spans="1:14" ht="12" customHeight="1">
      <c r="A15" s="41">
        <v>3532</v>
      </c>
      <c r="B15" s="2">
        <v>4897</v>
      </c>
      <c r="C15" s="2">
        <v>186</v>
      </c>
      <c r="D15" s="2">
        <v>252</v>
      </c>
      <c r="E15" s="2">
        <v>1141</v>
      </c>
      <c r="F15" s="2">
        <v>1730</v>
      </c>
      <c r="G15" s="2">
        <v>573</v>
      </c>
      <c r="H15" s="2">
        <v>342</v>
      </c>
      <c r="I15" s="2">
        <v>374</v>
      </c>
      <c r="J15" s="2">
        <v>183</v>
      </c>
      <c r="K15" s="2">
        <v>95</v>
      </c>
      <c r="L15" s="2">
        <v>21</v>
      </c>
      <c r="M15" s="2">
        <v>438</v>
      </c>
      <c r="N15" s="2">
        <v>299</v>
      </c>
    </row>
    <row r="16" spans="1:14" ht="12" customHeight="1">
      <c r="A16" s="41">
        <v>3533</v>
      </c>
      <c r="B16" s="2">
        <v>3471</v>
      </c>
      <c r="C16" s="2">
        <v>168</v>
      </c>
      <c r="D16" s="2">
        <v>296</v>
      </c>
      <c r="E16" s="2">
        <v>317</v>
      </c>
      <c r="F16" s="2">
        <v>1062</v>
      </c>
      <c r="G16" s="2">
        <v>525</v>
      </c>
      <c r="H16" s="2">
        <v>409</v>
      </c>
      <c r="I16" s="2">
        <v>398</v>
      </c>
      <c r="J16" s="2">
        <v>181</v>
      </c>
      <c r="K16" s="2">
        <v>85</v>
      </c>
      <c r="L16" s="2">
        <v>30</v>
      </c>
      <c r="M16" s="2">
        <v>464</v>
      </c>
      <c r="N16" s="2">
        <v>296</v>
      </c>
    </row>
    <row r="17" spans="1:14" ht="12" customHeight="1">
      <c r="A17" s="41">
        <v>3534</v>
      </c>
      <c r="B17" s="2">
        <v>2848</v>
      </c>
      <c r="C17" s="2">
        <v>199</v>
      </c>
      <c r="D17" s="2">
        <v>321</v>
      </c>
      <c r="E17" s="2">
        <v>327</v>
      </c>
      <c r="F17" s="2">
        <v>799</v>
      </c>
      <c r="G17" s="2">
        <v>428</v>
      </c>
      <c r="H17" s="2">
        <v>308</v>
      </c>
      <c r="I17" s="2">
        <v>261</v>
      </c>
      <c r="J17" s="2">
        <v>129</v>
      </c>
      <c r="K17" s="2">
        <v>51</v>
      </c>
      <c r="L17" s="2">
        <v>25</v>
      </c>
      <c r="M17" s="2">
        <v>520</v>
      </c>
      <c r="N17" s="2">
        <v>205</v>
      </c>
    </row>
    <row r="18" spans="1:14" ht="12" customHeight="1">
      <c r="A18" s="41">
        <v>3535</v>
      </c>
      <c r="B18" s="2">
        <v>2602</v>
      </c>
      <c r="C18" s="2">
        <v>127</v>
      </c>
      <c r="D18" s="2">
        <v>205</v>
      </c>
      <c r="E18" s="2">
        <v>296</v>
      </c>
      <c r="F18" s="2">
        <v>831</v>
      </c>
      <c r="G18" s="2">
        <v>314</v>
      </c>
      <c r="H18" s="2">
        <v>265</v>
      </c>
      <c r="I18" s="2">
        <v>284</v>
      </c>
      <c r="J18" s="2">
        <v>164</v>
      </c>
      <c r="K18" s="2">
        <v>81</v>
      </c>
      <c r="L18" s="2">
        <v>35</v>
      </c>
      <c r="M18" s="2">
        <v>332</v>
      </c>
      <c r="N18" s="2">
        <v>280</v>
      </c>
    </row>
    <row r="19" spans="1:14" ht="12" customHeight="1">
      <c r="A19" s="41">
        <v>3536</v>
      </c>
      <c r="B19" s="2">
        <v>4551</v>
      </c>
      <c r="C19" s="2">
        <v>129</v>
      </c>
      <c r="D19" s="2">
        <v>220</v>
      </c>
      <c r="E19" s="2">
        <v>1563</v>
      </c>
      <c r="F19" s="2">
        <v>1302</v>
      </c>
      <c r="G19" s="2">
        <v>416</v>
      </c>
      <c r="H19" s="2">
        <v>295</v>
      </c>
      <c r="I19" s="2">
        <v>343</v>
      </c>
      <c r="J19" s="2">
        <v>190</v>
      </c>
      <c r="K19" s="2">
        <v>71</v>
      </c>
      <c r="L19" s="2">
        <v>22</v>
      </c>
      <c r="M19" s="2">
        <v>349</v>
      </c>
      <c r="N19" s="2">
        <v>283</v>
      </c>
    </row>
    <row r="20" spans="1:14" ht="12" customHeight="1">
      <c r="A20" s="41">
        <v>3537</v>
      </c>
      <c r="B20" s="2">
        <v>5365</v>
      </c>
      <c r="C20" s="2">
        <v>107</v>
      </c>
      <c r="D20" s="2">
        <v>137</v>
      </c>
      <c r="E20" s="2">
        <v>2445</v>
      </c>
      <c r="F20" s="2">
        <v>1421</v>
      </c>
      <c r="G20" s="2">
        <v>364</v>
      </c>
      <c r="H20" s="2">
        <v>279</v>
      </c>
      <c r="I20" s="2">
        <v>249</v>
      </c>
      <c r="J20" s="2">
        <v>175</v>
      </c>
      <c r="K20" s="2">
        <v>105</v>
      </c>
      <c r="L20" s="2">
        <v>83</v>
      </c>
      <c r="M20" s="2">
        <v>244</v>
      </c>
      <c r="N20" s="2">
        <v>363</v>
      </c>
    </row>
    <row r="21" spans="1:14" ht="12" customHeight="1">
      <c r="A21" s="41">
        <v>3538</v>
      </c>
      <c r="B21" s="2">
        <v>4702</v>
      </c>
      <c r="C21" s="2">
        <v>140</v>
      </c>
      <c r="D21" s="2">
        <v>144</v>
      </c>
      <c r="E21" s="2">
        <v>538</v>
      </c>
      <c r="F21" s="2">
        <v>2018</v>
      </c>
      <c r="G21" s="2">
        <v>591</v>
      </c>
      <c r="H21" s="2">
        <v>408</v>
      </c>
      <c r="I21" s="2">
        <v>424</v>
      </c>
      <c r="J21" s="2">
        <v>243</v>
      </c>
      <c r="K21" s="2">
        <v>137</v>
      </c>
      <c r="L21" s="2">
        <v>59</v>
      </c>
      <c r="M21" s="2">
        <v>284</v>
      </c>
      <c r="N21" s="2">
        <v>439</v>
      </c>
    </row>
    <row r="22" spans="1:14" ht="12" customHeight="1">
      <c r="A22" s="41">
        <v>3539</v>
      </c>
      <c r="B22" s="2">
        <v>7090</v>
      </c>
      <c r="C22" s="2">
        <v>179</v>
      </c>
      <c r="D22" s="2">
        <v>139</v>
      </c>
      <c r="E22" s="2">
        <v>3688</v>
      </c>
      <c r="F22" s="2">
        <v>2199</v>
      </c>
      <c r="G22" s="2">
        <v>497</v>
      </c>
      <c r="H22" s="2">
        <v>145</v>
      </c>
      <c r="I22" s="2">
        <v>99</v>
      </c>
      <c r="J22" s="2">
        <v>89</v>
      </c>
      <c r="K22" s="2">
        <v>36</v>
      </c>
      <c r="L22" s="2">
        <v>19</v>
      </c>
      <c r="M22" s="2">
        <v>318</v>
      </c>
      <c r="N22" s="2">
        <v>144</v>
      </c>
    </row>
    <row r="23" spans="1:14" ht="12" customHeight="1">
      <c r="A23" s="41">
        <v>3540</v>
      </c>
      <c r="B23" s="2">
        <v>4366</v>
      </c>
      <c r="C23" s="2">
        <v>98</v>
      </c>
      <c r="D23" s="2">
        <v>151</v>
      </c>
      <c r="E23" s="2">
        <v>1352</v>
      </c>
      <c r="F23" s="2">
        <v>1156</v>
      </c>
      <c r="G23" s="2">
        <v>427</v>
      </c>
      <c r="H23" s="2">
        <v>339</v>
      </c>
      <c r="I23" s="2">
        <v>392</v>
      </c>
      <c r="J23" s="2">
        <v>275</v>
      </c>
      <c r="K23" s="2">
        <v>133</v>
      </c>
      <c r="L23" s="2">
        <v>43</v>
      </c>
      <c r="M23" s="2">
        <v>249</v>
      </c>
      <c r="N23" s="2">
        <v>451</v>
      </c>
    </row>
    <row r="24" spans="1:14" ht="12" customHeight="1">
      <c r="A24" s="41">
        <v>3541</v>
      </c>
      <c r="B24" s="2">
        <v>2907</v>
      </c>
      <c r="C24" s="2">
        <v>77</v>
      </c>
      <c r="D24" s="2">
        <v>114</v>
      </c>
      <c r="E24" s="2">
        <v>438</v>
      </c>
      <c r="F24" s="2">
        <v>768</v>
      </c>
      <c r="G24" s="2">
        <v>271</v>
      </c>
      <c r="H24" s="2">
        <v>221</v>
      </c>
      <c r="I24" s="2">
        <v>366</v>
      </c>
      <c r="J24" s="2">
        <v>344</v>
      </c>
      <c r="K24" s="2">
        <v>237</v>
      </c>
      <c r="L24" s="2">
        <v>71</v>
      </c>
      <c r="M24" s="2">
        <v>191</v>
      </c>
      <c r="N24" s="2">
        <v>652</v>
      </c>
    </row>
    <row r="25" spans="1:14" ht="12" customHeight="1">
      <c r="A25" s="41">
        <v>3542</v>
      </c>
      <c r="B25" s="2">
        <v>2907</v>
      </c>
      <c r="C25" s="2">
        <v>153</v>
      </c>
      <c r="D25" s="2">
        <v>412</v>
      </c>
      <c r="E25" s="2">
        <v>122</v>
      </c>
      <c r="F25" s="2">
        <v>314</v>
      </c>
      <c r="G25" s="2">
        <v>321</v>
      </c>
      <c r="H25" s="2">
        <v>392</v>
      </c>
      <c r="I25" s="2">
        <v>518</v>
      </c>
      <c r="J25" s="2">
        <v>389</v>
      </c>
      <c r="K25" s="2">
        <v>189</v>
      </c>
      <c r="L25" s="2">
        <v>97</v>
      </c>
      <c r="M25" s="2">
        <v>565</v>
      </c>
      <c r="N25" s="2">
        <v>675</v>
      </c>
    </row>
    <row r="26" spans="1:14" ht="12" customHeight="1">
      <c r="A26" s="41">
        <v>3543</v>
      </c>
      <c r="B26" s="2">
        <v>3346</v>
      </c>
      <c r="C26" s="2">
        <v>215</v>
      </c>
      <c r="D26" s="2">
        <v>415</v>
      </c>
      <c r="E26" s="2">
        <v>223</v>
      </c>
      <c r="F26" s="2">
        <v>620</v>
      </c>
      <c r="G26" s="2">
        <v>547</v>
      </c>
      <c r="H26" s="2">
        <v>395</v>
      </c>
      <c r="I26" s="2">
        <v>377</v>
      </c>
      <c r="J26" s="2">
        <v>215</v>
      </c>
      <c r="K26" s="2">
        <v>189</v>
      </c>
      <c r="L26" s="2">
        <v>150</v>
      </c>
      <c r="M26" s="2">
        <v>630</v>
      </c>
      <c r="N26" s="2">
        <v>554</v>
      </c>
    </row>
    <row r="27" spans="1:14" ht="12" customHeight="1">
      <c r="A27" s="41">
        <v>3544</v>
      </c>
      <c r="B27" s="2">
        <v>1647</v>
      </c>
      <c r="C27" s="2">
        <v>100</v>
      </c>
      <c r="D27" s="2">
        <v>200</v>
      </c>
      <c r="E27" s="2">
        <v>92</v>
      </c>
      <c r="F27" s="2">
        <v>310</v>
      </c>
      <c r="G27" s="2">
        <v>238</v>
      </c>
      <c r="H27" s="2">
        <v>238</v>
      </c>
      <c r="I27" s="2">
        <v>244</v>
      </c>
      <c r="J27" s="2">
        <v>143</v>
      </c>
      <c r="K27" s="2">
        <v>56</v>
      </c>
      <c r="L27" s="2">
        <v>26</v>
      </c>
      <c r="M27" s="2">
        <v>300</v>
      </c>
      <c r="N27" s="2">
        <v>225</v>
      </c>
    </row>
    <row r="28" spans="1:14" ht="12" customHeight="1">
      <c r="A28" s="41">
        <v>3545</v>
      </c>
      <c r="B28" s="2">
        <v>2236</v>
      </c>
      <c r="C28" s="2">
        <v>94</v>
      </c>
      <c r="D28" s="2">
        <v>138</v>
      </c>
      <c r="E28" s="2">
        <v>188</v>
      </c>
      <c r="F28" s="2">
        <v>625</v>
      </c>
      <c r="G28" s="2">
        <v>297</v>
      </c>
      <c r="H28" s="2">
        <v>239</v>
      </c>
      <c r="I28" s="2">
        <v>301</v>
      </c>
      <c r="J28" s="2">
        <v>222</v>
      </c>
      <c r="K28" s="2">
        <v>98</v>
      </c>
      <c r="L28" s="2">
        <v>34</v>
      </c>
      <c r="M28" s="2">
        <v>232</v>
      </c>
      <c r="N28" s="2">
        <v>354</v>
      </c>
    </row>
    <row r="29" spans="1:14" ht="12" customHeight="1">
      <c r="A29" s="41">
        <v>3546</v>
      </c>
      <c r="B29" s="2">
        <v>4538</v>
      </c>
      <c r="C29" s="2">
        <v>330</v>
      </c>
      <c r="D29" s="2">
        <v>579</v>
      </c>
      <c r="E29" s="2">
        <v>277</v>
      </c>
      <c r="F29" s="2">
        <v>978</v>
      </c>
      <c r="G29" s="2">
        <v>658</v>
      </c>
      <c r="H29" s="2">
        <v>558</v>
      </c>
      <c r="I29" s="2">
        <v>494</v>
      </c>
      <c r="J29" s="2">
        <v>281</v>
      </c>
      <c r="K29" s="2">
        <v>200</v>
      </c>
      <c r="L29" s="2">
        <v>183</v>
      </c>
      <c r="M29" s="2">
        <v>909</v>
      </c>
      <c r="N29" s="2">
        <v>664</v>
      </c>
    </row>
    <row r="30" spans="1:14" ht="12" customHeight="1">
      <c r="A30" s="41">
        <v>3547</v>
      </c>
      <c r="B30" s="2">
        <v>2509</v>
      </c>
      <c r="C30" s="2">
        <v>116</v>
      </c>
      <c r="D30" s="2">
        <v>208</v>
      </c>
      <c r="E30" s="2">
        <v>248</v>
      </c>
      <c r="F30" s="2">
        <v>733</v>
      </c>
      <c r="G30" s="2">
        <v>353</v>
      </c>
      <c r="H30" s="2">
        <v>277</v>
      </c>
      <c r="I30" s="2">
        <v>265</v>
      </c>
      <c r="J30" s="2">
        <v>165</v>
      </c>
      <c r="K30" s="2">
        <v>107</v>
      </c>
      <c r="L30" s="2">
        <v>37</v>
      </c>
      <c r="M30" s="2">
        <v>324</v>
      </c>
      <c r="N30" s="2">
        <v>309</v>
      </c>
    </row>
    <row r="31" spans="1:14" ht="12" customHeight="1">
      <c r="A31" s="41">
        <v>3548</v>
      </c>
      <c r="B31" s="2">
        <v>1903</v>
      </c>
      <c r="C31" s="2">
        <v>81</v>
      </c>
      <c r="D31" s="2">
        <v>143</v>
      </c>
      <c r="E31" s="2">
        <v>172</v>
      </c>
      <c r="F31" s="2">
        <v>573</v>
      </c>
      <c r="G31" s="2">
        <v>266</v>
      </c>
      <c r="H31" s="2">
        <v>227</v>
      </c>
      <c r="I31" s="2">
        <v>244</v>
      </c>
      <c r="J31" s="2">
        <v>106</v>
      </c>
      <c r="K31" s="2">
        <v>66</v>
      </c>
      <c r="L31" s="2">
        <v>25</v>
      </c>
      <c r="M31" s="2">
        <v>224</v>
      </c>
      <c r="N31" s="2">
        <v>197</v>
      </c>
    </row>
    <row r="32" spans="1:14" ht="12" customHeight="1">
      <c r="A32" s="41">
        <v>3549</v>
      </c>
      <c r="B32" s="2">
        <v>6058</v>
      </c>
      <c r="C32" s="2">
        <v>461</v>
      </c>
      <c r="D32" s="2">
        <v>844</v>
      </c>
      <c r="E32" s="2">
        <v>540</v>
      </c>
      <c r="F32" s="2">
        <v>1260</v>
      </c>
      <c r="G32" s="2">
        <v>945</v>
      </c>
      <c r="H32" s="2">
        <v>818</v>
      </c>
      <c r="I32" s="2">
        <v>656</v>
      </c>
      <c r="J32" s="2">
        <v>331</v>
      </c>
      <c r="K32" s="2">
        <v>153</v>
      </c>
      <c r="L32" s="2">
        <v>50</v>
      </c>
      <c r="M32" s="2">
        <v>1305</v>
      </c>
      <c r="N32" s="2">
        <v>534</v>
      </c>
    </row>
    <row r="33" spans="1:14" ht="12" customHeight="1">
      <c r="A33" s="41">
        <v>3550</v>
      </c>
      <c r="B33" s="2">
        <v>2689</v>
      </c>
      <c r="C33" s="2">
        <v>117</v>
      </c>
      <c r="D33" s="2">
        <v>269</v>
      </c>
      <c r="E33" s="2">
        <v>173</v>
      </c>
      <c r="F33" s="2">
        <v>702</v>
      </c>
      <c r="G33" s="2">
        <v>381</v>
      </c>
      <c r="H33" s="2">
        <v>305</v>
      </c>
      <c r="I33" s="2">
        <v>330</v>
      </c>
      <c r="J33" s="2">
        <v>211</v>
      </c>
      <c r="K33" s="2">
        <v>142</v>
      </c>
      <c r="L33" s="2">
        <v>59</v>
      </c>
      <c r="M33" s="2">
        <v>386</v>
      </c>
      <c r="N33" s="2">
        <v>412</v>
      </c>
    </row>
    <row r="34" spans="1:14" ht="12" customHeight="1">
      <c r="A34" s="41" t="s">
        <v>4</v>
      </c>
      <c r="B34" s="2">
        <v>105162</v>
      </c>
      <c r="C34" s="2">
        <v>4526</v>
      </c>
      <c r="D34" s="2">
        <v>7502</v>
      </c>
      <c r="E34" s="2">
        <v>21855</v>
      </c>
      <c r="F34" s="2">
        <v>30166</v>
      </c>
      <c r="G34" s="2">
        <v>12543</v>
      </c>
      <c r="H34" s="2">
        <v>9338</v>
      </c>
      <c r="I34" s="2">
        <v>9244</v>
      </c>
      <c r="J34" s="2">
        <v>5496</v>
      </c>
      <c r="K34" s="2">
        <v>3087</v>
      </c>
      <c r="L34" s="2">
        <v>1405</v>
      </c>
      <c r="M34" s="2">
        <v>12028</v>
      </c>
      <c r="N34" s="2">
        <v>9988</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dimension ref="A1:G34"/>
  <sheetViews>
    <sheetView workbookViewId="0">
      <pane xSplit="1" ySplit="1" topLeftCell="B23" activePane="bottomRight" state="frozen"/>
      <selection pane="topRight" activeCell="B1" sqref="B1"/>
      <selection pane="bottomLeft" activeCell="A2" sqref="A2"/>
      <selection pane="bottomRight" activeCell="G1" sqref="G1:G1048576"/>
    </sheetView>
  </sheetViews>
  <sheetFormatPr defaultRowHeight="12.75" customHeight="1"/>
  <cols>
    <col min="1" max="1" width="11.85546875" style="45" customWidth="1"/>
    <col min="2" max="2" width="13.7109375" style="21" bestFit="1" customWidth="1"/>
    <col min="3" max="4" width="9.42578125" style="21" customWidth="1"/>
    <col min="5" max="5" width="20" style="21" bestFit="1" customWidth="1"/>
    <col min="6" max="6" width="10.85546875" style="21" bestFit="1" customWidth="1"/>
    <col min="7" max="7" width="14.85546875" style="4" bestFit="1" customWidth="1"/>
    <col min="8" max="16384" width="9.140625" style="3"/>
  </cols>
  <sheetData>
    <row r="1" spans="1:7" s="1" customFormat="1">
      <c r="A1" s="43" t="s">
        <v>12</v>
      </c>
      <c r="B1" s="24" t="s">
        <v>18</v>
      </c>
      <c r="C1" s="24" t="s">
        <v>19</v>
      </c>
      <c r="D1" s="24" t="s">
        <v>20</v>
      </c>
      <c r="E1" s="24" t="s">
        <v>21</v>
      </c>
      <c r="F1" s="24" t="s">
        <v>22</v>
      </c>
      <c r="G1" s="22" t="s">
        <v>23</v>
      </c>
    </row>
    <row r="2" spans="1:7">
      <c r="A2" s="44">
        <v>3521.01</v>
      </c>
      <c r="B2" s="25">
        <v>1654</v>
      </c>
      <c r="C2" s="25">
        <v>1073</v>
      </c>
      <c r="D2" s="25">
        <v>107</v>
      </c>
      <c r="E2" s="25">
        <v>373</v>
      </c>
      <c r="F2" s="25">
        <v>101</v>
      </c>
      <c r="G2" s="19">
        <v>232</v>
      </c>
    </row>
    <row r="3" spans="1:7">
      <c r="A3" s="44">
        <v>3521.02</v>
      </c>
      <c r="B3" s="25">
        <v>2277</v>
      </c>
      <c r="C3" s="25">
        <v>1745</v>
      </c>
      <c r="D3" s="25">
        <v>93</v>
      </c>
      <c r="E3" s="25">
        <v>324</v>
      </c>
      <c r="F3" s="25">
        <v>115</v>
      </c>
      <c r="G3" s="19">
        <v>127</v>
      </c>
    </row>
    <row r="4" spans="1:7">
      <c r="A4" s="44">
        <v>3522</v>
      </c>
      <c r="B4" s="25">
        <v>1849</v>
      </c>
      <c r="C4" s="25">
        <v>1251</v>
      </c>
      <c r="D4" s="25">
        <v>190</v>
      </c>
      <c r="E4" s="25">
        <v>259</v>
      </c>
      <c r="F4" s="25">
        <v>149</v>
      </c>
      <c r="G4" s="19">
        <v>190</v>
      </c>
    </row>
    <row r="5" spans="1:7">
      <c r="A5" s="44">
        <v>3523</v>
      </c>
      <c r="B5" s="25">
        <v>3450</v>
      </c>
      <c r="C5" s="25">
        <v>2325</v>
      </c>
      <c r="D5" s="25">
        <v>256</v>
      </c>
      <c r="E5" s="25">
        <v>642</v>
      </c>
      <c r="F5" s="25">
        <v>227</v>
      </c>
      <c r="G5" s="19">
        <v>346</v>
      </c>
    </row>
    <row r="6" spans="1:7">
      <c r="A6" s="44">
        <v>3524</v>
      </c>
      <c r="B6" s="25">
        <v>2126</v>
      </c>
      <c r="C6" s="25">
        <v>701</v>
      </c>
      <c r="D6" s="25">
        <v>876</v>
      </c>
      <c r="E6" s="25">
        <v>265</v>
      </c>
      <c r="F6" s="25">
        <v>284</v>
      </c>
      <c r="G6" s="19">
        <v>350</v>
      </c>
    </row>
    <row r="7" spans="1:7">
      <c r="A7" s="44">
        <v>3525</v>
      </c>
      <c r="B7" s="25">
        <v>2894</v>
      </c>
      <c r="C7" s="25">
        <v>1710</v>
      </c>
      <c r="D7" s="25">
        <v>606</v>
      </c>
      <c r="E7" s="25">
        <v>311</v>
      </c>
      <c r="F7" s="25">
        <v>267</v>
      </c>
      <c r="G7" s="19">
        <v>284</v>
      </c>
    </row>
    <row r="8" spans="1:7">
      <c r="A8" s="44">
        <v>3526</v>
      </c>
      <c r="B8" s="25">
        <v>2378</v>
      </c>
      <c r="C8" s="25">
        <v>1624</v>
      </c>
      <c r="D8" s="25">
        <v>277</v>
      </c>
      <c r="E8" s="25">
        <v>247</v>
      </c>
      <c r="F8" s="25">
        <v>230</v>
      </c>
      <c r="G8" s="19">
        <v>265</v>
      </c>
    </row>
    <row r="9" spans="1:7">
      <c r="A9" s="44">
        <v>3527</v>
      </c>
      <c r="B9" s="25">
        <v>2057</v>
      </c>
      <c r="C9" s="25">
        <v>1258</v>
      </c>
      <c r="D9" s="25">
        <v>453</v>
      </c>
      <c r="E9" s="25">
        <v>139</v>
      </c>
      <c r="F9" s="25">
        <v>207</v>
      </c>
      <c r="G9" s="19">
        <v>228</v>
      </c>
    </row>
    <row r="10" spans="1:7">
      <c r="A10" s="44">
        <v>3528</v>
      </c>
      <c r="B10" s="25">
        <v>2115</v>
      </c>
      <c r="C10" s="25">
        <v>1508</v>
      </c>
      <c r="D10" s="25">
        <v>230</v>
      </c>
      <c r="E10" s="25">
        <v>166</v>
      </c>
      <c r="F10" s="25">
        <v>211</v>
      </c>
      <c r="G10" s="19">
        <v>214</v>
      </c>
    </row>
    <row r="11" spans="1:7">
      <c r="A11" s="44">
        <v>3529</v>
      </c>
      <c r="B11" s="25">
        <v>2646</v>
      </c>
      <c r="C11" s="25">
        <v>2141</v>
      </c>
      <c r="D11" s="25">
        <v>145</v>
      </c>
      <c r="E11" s="25">
        <v>251</v>
      </c>
      <c r="F11" s="25">
        <v>109</v>
      </c>
      <c r="G11" s="19">
        <v>138</v>
      </c>
    </row>
    <row r="12" spans="1:7">
      <c r="A12" s="44">
        <v>3530</v>
      </c>
      <c r="B12" s="25">
        <v>3584</v>
      </c>
      <c r="C12" s="25">
        <v>2336</v>
      </c>
      <c r="D12" s="25">
        <v>428</v>
      </c>
      <c r="E12" s="25">
        <v>561</v>
      </c>
      <c r="F12" s="25">
        <v>259</v>
      </c>
      <c r="G12" s="19">
        <v>313</v>
      </c>
    </row>
    <row r="13" spans="1:7">
      <c r="A13" s="44">
        <v>3531.01</v>
      </c>
      <c r="B13" s="25">
        <v>2460</v>
      </c>
      <c r="C13" s="25">
        <v>1452</v>
      </c>
      <c r="D13" s="25">
        <v>379</v>
      </c>
      <c r="E13" s="25">
        <v>380</v>
      </c>
      <c r="F13" s="25">
        <v>249</v>
      </c>
      <c r="G13" s="19">
        <v>266</v>
      </c>
    </row>
    <row r="14" spans="1:7">
      <c r="A14" s="44">
        <v>3531.02</v>
      </c>
      <c r="B14" s="25">
        <v>5040</v>
      </c>
      <c r="C14" s="25">
        <v>2501</v>
      </c>
      <c r="D14" s="25">
        <v>289</v>
      </c>
      <c r="E14" s="25">
        <v>1846</v>
      </c>
      <c r="F14" s="25">
        <v>404</v>
      </c>
      <c r="G14" s="19">
        <v>561</v>
      </c>
    </row>
    <row r="15" spans="1:7">
      <c r="A15" s="44">
        <v>3532</v>
      </c>
      <c r="B15" s="25">
        <v>4897</v>
      </c>
      <c r="C15" s="25">
        <v>3065</v>
      </c>
      <c r="D15" s="25">
        <v>489</v>
      </c>
      <c r="E15" s="25">
        <v>1059</v>
      </c>
      <c r="F15" s="25">
        <v>284</v>
      </c>
      <c r="G15" s="19">
        <v>361</v>
      </c>
    </row>
    <row r="16" spans="1:7">
      <c r="A16" s="44">
        <v>3533</v>
      </c>
      <c r="B16" s="25">
        <v>3471</v>
      </c>
      <c r="C16" s="25">
        <v>2711</v>
      </c>
      <c r="D16" s="25">
        <v>294</v>
      </c>
      <c r="E16" s="25">
        <v>261</v>
      </c>
      <c r="F16" s="25">
        <v>205</v>
      </c>
      <c r="G16" s="19">
        <v>170</v>
      </c>
    </row>
    <row r="17" spans="1:7">
      <c r="A17" s="44">
        <v>3534</v>
      </c>
      <c r="B17" s="25">
        <v>2848</v>
      </c>
      <c r="C17" s="25">
        <v>1436</v>
      </c>
      <c r="D17" s="25">
        <v>825</v>
      </c>
      <c r="E17" s="25">
        <v>323</v>
      </c>
      <c r="F17" s="25">
        <v>264</v>
      </c>
      <c r="G17" s="19">
        <v>241</v>
      </c>
    </row>
    <row r="18" spans="1:7">
      <c r="A18" s="44">
        <v>3535</v>
      </c>
      <c r="B18" s="25">
        <v>2602</v>
      </c>
      <c r="C18" s="25">
        <v>1635</v>
      </c>
      <c r="D18" s="25">
        <v>525</v>
      </c>
      <c r="E18" s="25">
        <v>285</v>
      </c>
      <c r="F18" s="25">
        <v>157</v>
      </c>
      <c r="G18" s="19">
        <v>175</v>
      </c>
    </row>
    <row r="19" spans="1:7">
      <c r="A19" s="44">
        <v>3536</v>
      </c>
      <c r="B19" s="25">
        <v>4551</v>
      </c>
      <c r="C19" s="25">
        <v>3473</v>
      </c>
      <c r="D19" s="25">
        <v>242</v>
      </c>
      <c r="E19" s="25">
        <v>592</v>
      </c>
      <c r="F19" s="25">
        <v>244</v>
      </c>
      <c r="G19" s="19">
        <v>246</v>
      </c>
    </row>
    <row r="20" spans="1:7">
      <c r="A20" s="44">
        <v>3537</v>
      </c>
      <c r="B20" s="25">
        <v>5365</v>
      </c>
      <c r="C20" s="25">
        <v>3745</v>
      </c>
      <c r="D20" s="25">
        <v>242</v>
      </c>
      <c r="E20" s="25">
        <v>1007</v>
      </c>
      <c r="F20" s="25">
        <v>371</v>
      </c>
      <c r="G20" s="19">
        <v>354</v>
      </c>
    </row>
    <row r="21" spans="1:7">
      <c r="A21" s="44">
        <v>3538</v>
      </c>
      <c r="B21" s="25">
        <v>4702</v>
      </c>
      <c r="C21" s="25">
        <v>3509</v>
      </c>
      <c r="D21" s="25">
        <v>247</v>
      </c>
      <c r="E21" s="25">
        <v>757</v>
      </c>
      <c r="F21" s="25">
        <v>189</v>
      </c>
      <c r="G21" s="19">
        <v>257</v>
      </c>
    </row>
    <row r="22" spans="1:7">
      <c r="A22" s="44">
        <v>3539</v>
      </c>
      <c r="B22" s="25">
        <v>7090</v>
      </c>
      <c r="C22" s="25">
        <v>4189</v>
      </c>
      <c r="D22" s="25">
        <v>523</v>
      </c>
      <c r="E22" s="25">
        <v>1896</v>
      </c>
      <c r="F22" s="25">
        <v>482</v>
      </c>
      <c r="G22" s="19">
        <v>578</v>
      </c>
    </row>
    <row r="23" spans="1:7">
      <c r="A23" s="44">
        <v>3540</v>
      </c>
      <c r="B23" s="25">
        <v>4366</v>
      </c>
      <c r="C23" s="25">
        <v>3382</v>
      </c>
      <c r="D23" s="25">
        <v>154</v>
      </c>
      <c r="E23" s="25">
        <v>635</v>
      </c>
      <c r="F23" s="25">
        <v>195</v>
      </c>
      <c r="G23" s="19">
        <v>264</v>
      </c>
    </row>
    <row r="24" spans="1:7">
      <c r="A24" s="44">
        <v>3541</v>
      </c>
      <c r="B24" s="25">
        <v>2907</v>
      </c>
      <c r="C24" s="25">
        <v>2437</v>
      </c>
      <c r="D24" s="25">
        <v>104</v>
      </c>
      <c r="E24" s="25">
        <v>259</v>
      </c>
      <c r="F24" s="25">
        <v>107</v>
      </c>
      <c r="G24" s="19">
        <v>147</v>
      </c>
    </row>
    <row r="25" spans="1:7">
      <c r="A25" s="44">
        <v>3542</v>
      </c>
      <c r="B25" s="25">
        <v>2907</v>
      </c>
      <c r="C25" s="25">
        <v>2620</v>
      </c>
      <c r="D25" s="25">
        <v>54</v>
      </c>
      <c r="E25" s="25">
        <v>124</v>
      </c>
      <c r="F25" s="25">
        <v>109</v>
      </c>
      <c r="G25" s="19">
        <v>95</v>
      </c>
    </row>
    <row r="26" spans="1:7">
      <c r="A26" s="44">
        <v>3543</v>
      </c>
      <c r="B26" s="25">
        <v>3346</v>
      </c>
      <c r="C26" s="25">
        <v>2348</v>
      </c>
      <c r="D26" s="25">
        <v>487</v>
      </c>
      <c r="E26" s="25">
        <v>280</v>
      </c>
      <c r="F26" s="25">
        <v>231</v>
      </c>
      <c r="G26" s="19">
        <v>246</v>
      </c>
    </row>
    <row r="27" spans="1:7">
      <c r="A27" s="44">
        <v>3544</v>
      </c>
      <c r="B27" s="25">
        <v>1647</v>
      </c>
      <c r="C27" s="25">
        <v>1382</v>
      </c>
      <c r="D27" s="25">
        <v>92</v>
      </c>
      <c r="E27" s="25">
        <v>84</v>
      </c>
      <c r="F27" s="25">
        <v>89</v>
      </c>
      <c r="G27" s="19">
        <v>67</v>
      </c>
    </row>
    <row r="28" spans="1:7">
      <c r="A28" s="44">
        <v>3545</v>
      </c>
      <c r="B28" s="25">
        <v>2236</v>
      </c>
      <c r="C28" s="25">
        <v>1881</v>
      </c>
      <c r="D28" s="25">
        <v>77</v>
      </c>
      <c r="E28" s="25">
        <v>212</v>
      </c>
      <c r="F28" s="25">
        <v>66</v>
      </c>
      <c r="G28" s="19">
        <v>112</v>
      </c>
    </row>
    <row r="29" spans="1:7">
      <c r="A29" s="44">
        <v>3546</v>
      </c>
      <c r="B29" s="25">
        <v>4538</v>
      </c>
      <c r="C29" s="25">
        <v>2702</v>
      </c>
      <c r="D29" s="25">
        <v>1098</v>
      </c>
      <c r="E29" s="25">
        <v>490</v>
      </c>
      <c r="F29" s="25">
        <v>248</v>
      </c>
      <c r="G29" s="19">
        <v>234</v>
      </c>
    </row>
    <row r="30" spans="1:7">
      <c r="A30" s="44">
        <v>3547</v>
      </c>
      <c r="B30" s="25">
        <v>2509</v>
      </c>
      <c r="C30" s="25">
        <v>2013</v>
      </c>
      <c r="D30" s="25">
        <v>152</v>
      </c>
      <c r="E30" s="25">
        <v>221</v>
      </c>
      <c r="F30" s="25">
        <v>123</v>
      </c>
      <c r="G30" s="19">
        <v>106</v>
      </c>
    </row>
    <row r="31" spans="1:7">
      <c r="A31" s="44">
        <v>3548</v>
      </c>
      <c r="B31" s="25">
        <v>1903</v>
      </c>
      <c r="C31" s="25">
        <v>1598</v>
      </c>
      <c r="D31" s="25">
        <v>84</v>
      </c>
      <c r="E31" s="25">
        <v>136</v>
      </c>
      <c r="F31" s="25">
        <v>85</v>
      </c>
      <c r="G31" s="19">
        <v>76</v>
      </c>
    </row>
    <row r="32" spans="1:7">
      <c r="A32" s="44">
        <v>3549</v>
      </c>
      <c r="B32" s="25">
        <v>6058</v>
      </c>
      <c r="C32" s="25">
        <v>2327</v>
      </c>
      <c r="D32" s="25">
        <v>1916</v>
      </c>
      <c r="E32" s="25">
        <v>1251</v>
      </c>
      <c r="F32" s="25">
        <v>564</v>
      </c>
      <c r="G32" s="19">
        <v>563</v>
      </c>
    </row>
    <row r="33" spans="1:7">
      <c r="A33" s="44">
        <v>3550</v>
      </c>
      <c r="B33" s="25">
        <v>2689</v>
      </c>
      <c r="C33" s="25">
        <v>1928</v>
      </c>
      <c r="D33" s="25">
        <v>319</v>
      </c>
      <c r="E33" s="25">
        <v>281</v>
      </c>
      <c r="F33" s="25">
        <v>161</v>
      </c>
      <c r="G33" s="19">
        <v>168</v>
      </c>
    </row>
    <row r="34" spans="1:7">
      <c r="A34" s="44" t="s">
        <v>4</v>
      </c>
      <c r="B34" s="21">
        <v>105162</v>
      </c>
      <c r="C34" s="21">
        <v>70006</v>
      </c>
      <c r="D34" s="21">
        <v>12253</v>
      </c>
      <c r="E34" s="21">
        <v>15917</v>
      </c>
      <c r="F34" s="21">
        <v>6986</v>
      </c>
      <c r="G34" s="19">
        <v>7974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5"/>
  <sheetViews>
    <sheetView workbookViewId="0">
      <selection activeCell="A5" sqref="A5:M5"/>
    </sheetView>
  </sheetViews>
  <sheetFormatPr defaultRowHeight="11.25"/>
  <cols>
    <col min="1" max="1" width="109.7109375" style="32" customWidth="1"/>
    <col min="2" max="16384" width="9.140625" style="33"/>
  </cols>
  <sheetData>
    <row r="1" spans="1:13">
      <c r="A1" s="38" t="s">
        <v>41</v>
      </c>
    </row>
    <row r="2" spans="1:13" ht="22.5">
      <c r="A2" s="38" t="s">
        <v>24</v>
      </c>
    </row>
    <row r="3" spans="1:13">
      <c r="A3" s="38" t="s">
        <v>25</v>
      </c>
    </row>
    <row r="5" spans="1:13">
      <c r="A5" s="53" t="s">
        <v>2</v>
      </c>
      <c r="B5" s="53"/>
      <c r="C5" s="53"/>
      <c r="D5" s="53"/>
      <c r="E5" s="53"/>
      <c r="F5" s="53"/>
      <c r="G5" s="53"/>
      <c r="H5" s="53"/>
      <c r="I5" s="53"/>
      <c r="J5" s="53"/>
      <c r="K5" s="53"/>
      <c r="L5" s="53"/>
      <c r="M5" s="53"/>
    </row>
  </sheetData>
  <mergeCells count="1">
    <mergeCell ref="A5:M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4"/>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defaultRowHeight="11.25"/>
  <cols>
    <col min="1" max="1" width="11.85546875" style="40" customWidth="1"/>
    <col min="2" max="2" width="11.85546875" style="8" customWidth="1"/>
    <col min="3" max="3" width="11.85546875" style="12" customWidth="1"/>
    <col min="4" max="4" width="11.85546875" style="8" customWidth="1"/>
    <col min="5" max="5" width="12.42578125" style="8" customWidth="1"/>
    <col min="6" max="9" width="11.85546875" style="8" customWidth="1"/>
    <col min="10" max="10" width="11.85546875" style="18" customWidth="1"/>
    <col min="11" max="16384" width="9.140625" style="8"/>
  </cols>
  <sheetData>
    <row r="1" spans="1:10" s="13" customFormat="1" ht="45">
      <c r="A1" s="14" t="s">
        <v>12</v>
      </c>
      <c r="B1" s="13" t="s">
        <v>42</v>
      </c>
      <c r="C1" s="14" t="s">
        <v>11</v>
      </c>
      <c r="D1" s="13" t="s">
        <v>43</v>
      </c>
      <c r="E1" s="13" t="s">
        <v>44</v>
      </c>
      <c r="F1" s="13" t="s">
        <v>45</v>
      </c>
      <c r="G1" s="13" t="s">
        <v>8</v>
      </c>
      <c r="H1" s="13" t="s">
        <v>7</v>
      </c>
      <c r="I1" s="13" t="s">
        <v>6</v>
      </c>
      <c r="J1" s="15" t="s">
        <v>49</v>
      </c>
    </row>
    <row r="2" spans="1:10">
      <c r="A2" s="39">
        <v>3521.01</v>
      </c>
      <c r="B2" s="6">
        <v>969</v>
      </c>
      <c r="C2" s="7">
        <v>1.69</v>
      </c>
      <c r="D2" s="6">
        <v>339</v>
      </c>
      <c r="E2" s="6">
        <v>630</v>
      </c>
      <c r="F2" s="6">
        <v>70</v>
      </c>
      <c r="G2" s="6">
        <v>444</v>
      </c>
      <c r="H2" s="6">
        <v>15</v>
      </c>
      <c r="I2" s="6">
        <v>171</v>
      </c>
      <c r="J2" s="16">
        <v>9.7000000000000003E-2</v>
      </c>
    </row>
    <row r="3" spans="1:10">
      <c r="A3" s="39">
        <v>3521.02</v>
      </c>
      <c r="B3" s="9">
        <v>1232</v>
      </c>
      <c r="C3" s="7">
        <v>1.83</v>
      </c>
      <c r="D3" s="6">
        <v>463</v>
      </c>
      <c r="E3" s="6">
        <v>769</v>
      </c>
      <c r="F3" s="6">
        <v>115</v>
      </c>
      <c r="G3" s="6">
        <v>412</v>
      </c>
      <c r="H3" s="6">
        <v>132</v>
      </c>
      <c r="I3" s="6">
        <v>225</v>
      </c>
      <c r="J3" s="16">
        <v>0.10100000000000001</v>
      </c>
    </row>
    <row r="4" spans="1:10">
      <c r="A4" s="39">
        <v>3522</v>
      </c>
      <c r="B4" s="9">
        <v>1073</v>
      </c>
      <c r="C4" s="7">
        <v>1.72</v>
      </c>
      <c r="D4" s="6">
        <v>316</v>
      </c>
      <c r="E4" s="6">
        <v>757</v>
      </c>
      <c r="F4" s="6">
        <v>56</v>
      </c>
      <c r="G4" s="6">
        <v>345</v>
      </c>
      <c r="H4" s="6">
        <v>256</v>
      </c>
      <c r="I4" s="6">
        <v>156</v>
      </c>
      <c r="J4" s="16">
        <v>0.11600000000000001</v>
      </c>
    </row>
    <row r="5" spans="1:10">
      <c r="A5" s="39">
        <v>3523</v>
      </c>
      <c r="B5" s="9">
        <v>1775</v>
      </c>
      <c r="C5" s="7">
        <v>1.94</v>
      </c>
      <c r="D5" s="6">
        <v>689</v>
      </c>
      <c r="E5" s="9">
        <v>1086</v>
      </c>
      <c r="F5" s="6">
        <v>185</v>
      </c>
      <c r="G5" s="6">
        <v>617</v>
      </c>
      <c r="H5" s="6">
        <v>65</v>
      </c>
      <c r="I5" s="6">
        <v>404</v>
      </c>
      <c r="J5" s="16">
        <v>0.152</v>
      </c>
    </row>
    <row r="6" spans="1:10">
      <c r="A6" s="39">
        <v>3524</v>
      </c>
      <c r="B6" s="6">
        <v>791</v>
      </c>
      <c r="C6" s="7">
        <v>2.69</v>
      </c>
      <c r="D6" s="6">
        <v>490</v>
      </c>
      <c r="E6" s="6">
        <v>301</v>
      </c>
      <c r="F6" s="6">
        <v>42</v>
      </c>
      <c r="G6" s="6">
        <v>155</v>
      </c>
      <c r="H6" s="6">
        <v>36</v>
      </c>
      <c r="I6" s="6">
        <v>110</v>
      </c>
      <c r="J6" s="16">
        <v>0.39100000000000001</v>
      </c>
    </row>
    <row r="7" spans="1:10">
      <c r="A7" s="39">
        <v>3525</v>
      </c>
      <c r="B7" s="9">
        <v>1207</v>
      </c>
      <c r="C7" s="7">
        <v>2.37</v>
      </c>
      <c r="D7" s="6">
        <v>458</v>
      </c>
      <c r="E7" s="6">
        <v>749</v>
      </c>
      <c r="F7" s="6">
        <v>131</v>
      </c>
      <c r="G7" s="6">
        <v>281</v>
      </c>
      <c r="H7" s="6">
        <v>69</v>
      </c>
      <c r="I7" s="6">
        <v>399</v>
      </c>
      <c r="J7" s="16">
        <v>0.186</v>
      </c>
    </row>
    <row r="8" spans="1:10">
      <c r="A8" s="39">
        <v>3526</v>
      </c>
      <c r="B8" s="9">
        <v>1017</v>
      </c>
      <c r="C8" s="7">
        <v>2.33</v>
      </c>
      <c r="D8" s="6">
        <v>480</v>
      </c>
      <c r="E8" s="6">
        <v>537</v>
      </c>
      <c r="F8" s="6">
        <v>76</v>
      </c>
      <c r="G8" s="6">
        <v>214</v>
      </c>
      <c r="H8" s="6">
        <v>64</v>
      </c>
      <c r="I8" s="6">
        <v>259</v>
      </c>
      <c r="J8" s="16">
        <v>0.187</v>
      </c>
    </row>
    <row r="9" spans="1:10">
      <c r="A9" s="39">
        <v>3527</v>
      </c>
      <c r="B9" s="6">
        <v>977</v>
      </c>
      <c r="C9" s="7">
        <v>2.11</v>
      </c>
      <c r="D9" s="6">
        <v>413</v>
      </c>
      <c r="E9" s="6">
        <v>564</v>
      </c>
      <c r="F9" s="6">
        <v>66</v>
      </c>
      <c r="G9" s="6">
        <v>265</v>
      </c>
      <c r="H9" s="6">
        <v>111</v>
      </c>
      <c r="I9" s="6">
        <v>188</v>
      </c>
      <c r="J9" s="16">
        <v>0.23300000000000001</v>
      </c>
    </row>
    <row r="10" spans="1:10">
      <c r="A10" s="39">
        <v>3528</v>
      </c>
      <c r="B10" s="6">
        <v>899</v>
      </c>
      <c r="C10" s="7">
        <v>2.31</v>
      </c>
      <c r="D10" s="6">
        <v>393</v>
      </c>
      <c r="E10" s="6">
        <v>506</v>
      </c>
      <c r="F10" s="6">
        <v>101</v>
      </c>
      <c r="G10" s="6">
        <v>192</v>
      </c>
      <c r="H10" s="6">
        <v>51</v>
      </c>
      <c r="I10" s="6">
        <v>263</v>
      </c>
      <c r="J10" s="16">
        <v>0.17499999999999999</v>
      </c>
    </row>
    <row r="11" spans="1:10">
      <c r="A11" s="39">
        <v>3529</v>
      </c>
      <c r="B11" s="9">
        <v>1333</v>
      </c>
      <c r="C11" s="7">
        <v>1.98</v>
      </c>
      <c r="D11" s="6">
        <v>511</v>
      </c>
      <c r="E11" s="6">
        <v>822</v>
      </c>
      <c r="F11" s="6">
        <v>132</v>
      </c>
      <c r="G11" s="6">
        <v>436</v>
      </c>
      <c r="H11" s="6">
        <v>96</v>
      </c>
      <c r="I11" s="6">
        <v>290</v>
      </c>
      <c r="J11" s="16">
        <v>0.14000000000000001</v>
      </c>
    </row>
    <row r="12" spans="1:10">
      <c r="A12" s="39">
        <v>3530</v>
      </c>
      <c r="B12" s="9">
        <v>1906</v>
      </c>
      <c r="C12" s="7">
        <v>1.84</v>
      </c>
      <c r="D12" s="6">
        <v>567</v>
      </c>
      <c r="E12" s="9">
        <v>1339</v>
      </c>
      <c r="F12" s="6">
        <v>177</v>
      </c>
      <c r="G12" s="6">
        <v>630</v>
      </c>
      <c r="H12" s="6">
        <v>276</v>
      </c>
      <c r="I12" s="6">
        <v>433</v>
      </c>
      <c r="J12" s="16">
        <v>0.12</v>
      </c>
    </row>
    <row r="13" spans="1:10">
      <c r="A13" s="39">
        <v>3531.01</v>
      </c>
      <c r="B13" s="6">
        <v>962</v>
      </c>
      <c r="C13" s="7">
        <v>2.12</v>
      </c>
      <c r="D13" s="6">
        <v>258</v>
      </c>
      <c r="E13" s="6">
        <v>704</v>
      </c>
      <c r="F13" s="6">
        <v>86</v>
      </c>
      <c r="G13" s="6">
        <v>344</v>
      </c>
      <c r="H13" s="6">
        <v>33</v>
      </c>
      <c r="I13" s="6">
        <v>327</v>
      </c>
      <c r="J13" s="16">
        <v>0.123</v>
      </c>
    </row>
    <row r="14" spans="1:10">
      <c r="A14" s="39">
        <v>3531.02</v>
      </c>
      <c r="B14" s="6">
        <v>313</v>
      </c>
      <c r="C14" s="7">
        <v>1.93</v>
      </c>
      <c r="D14" s="6">
        <v>108</v>
      </c>
      <c r="E14" s="6">
        <v>205</v>
      </c>
      <c r="F14" s="6">
        <v>21</v>
      </c>
      <c r="G14" s="6">
        <v>90</v>
      </c>
      <c r="H14" s="6">
        <v>25</v>
      </c>
      <c r="I14" s="6">
        <v>90</v>
      </c>
      <c r="J14" s="16">
        <v>0.105</v>
      </c>
    </row>
    <row r="15" spans="1:10">
      <c r="A15" s="39">
        <v>3532</v>
      </c>
      <c r="B15" s="9">
        <v>1612</v>
      </c>
      <c r="C15" s="7">
        <v>2.0499999999999998</v>
      </c>
      <c r="D15" s="6">
        <v>624</v>
      </c>
      <c r="E15" s="6">
        <v>988</v>
      </c>
      <c r="F15" s="6">
        <v>162</v>
      </c>
      <c r="G15" s="6">
        <v>445</v>
      </c>
      <c r="H15" s="6">
        <v>150</v>
      </c>
      <c r="I15" s="6">
        <v>393</v>
      </c>
      <c r="J15" s="16">
        <v>0.17399999999999999</v>
      </c>
    </row>
    <row r="16" spans="1:10">
      <c r="A16" s="39">
        <v>3533</v>
      </c>
      <c r="B16" s="9">
        <v>1620</v>
      </c>
      <c r="C16" s="7">
        <v>2.13</v>
      </c>
      <c r="D16" s="6">
        <v>688</v>
      </c>
      <c r="E16" s="6">
        <v>932</v>
      </c>
      <c r="F16" s="6">
        <v>173</v>
      </c>
      <c r="G16" s="6">
        <v>441</v>
      </c>
      <c r="H16" s="6">
        <v>113</v>
      </c>
      <c r="I16" s="6">
        <v>378</v>
      </c>
      <c r="J16" s="16">
        <v>0.188</v>
      </c>
    </row>
    <row r="17" spans="1:10">
      <c r="A17" s="39">
        <v>3534</v>
      </c>
      <c r="B17" s="9">
        <v>1235</v>
      </c>
      <c r="C17" s="7">
        <v>2.31</v>
      </c>
      <c r="D17" s="6">
        <v>594</v>
      </c>
      <c r="E17" s="6">
        <v>641</v>
      </c>
      <c r="F17" s="6">
        <v>86</v>
      </c>
      <c r="G17" s="6">
        <v>326</v>
      </c>
      <c r="H17" s="6">
        <v>75</v>
      </c>
      <c r="I17" s="6">
        <v>240</v>
      </c>
      <c r="J17" s="16">
        <v>0.25600000000000001</v>
      </c>
    </row>
    <row r="18" spans="1:10">
      <c r="A18" s="39">
        <v>3535</v>
      </c>
      <c r="B18" s="9">
        <v>1271</v>
      </c>
      <c r="C18" s="7">
        <v>2.0499999999999998</v>
      </c>
      <c r="D18" s="6">
        <v>465</v>
      </c>
      <c r="E18" s="6">
        <v>806</v>
      </c>
      <c r="F18" s="6">
        <v>124</v>
      </c>
      <c r="G18" s="6">
        <v>328</v>
      </c>
      <c r="H18" s="6">
        <v>153</v>
      </c>
      <c r="I18" s="6">
        <v>325</v>
      </c>
      <c r="J18" s="16">
        <v>0.16500000000000001</v>
      </c>
    </row>
    <row r="19" spans="1:10">
      <c r="A19" s="39">
        <v>3536</v>
      </c>
      <c r="B19" s="9">
        <v>1486</v>
      </c>
      <c r="C19" s="7">
        <v>1.96</v>
      </c>
      <c r="D19" s="6">
        <v>579</v>
      </c>
      <c r="E19" s="6">
        <v>907</v>
      </c>
      <c r="F19" s="6">
        <v>137</v>
      </c>
      <c r="G19" s="6">
        <v>507</v>
      </c>
      <c r="H19" s="6">
        <v>86</v>
      </c>
      <c r="I19" s="6">
        <v>314</v>
      </c>
      <c r="J19" s="16">
        <v>0.151</v>
      </c>
    </row>
    <row r="20" spans="1:10">
      <c r="A20" s="39">
        <v>3537</v>
      </c>
      <c r="B20" s="9">
        <v>1837</v>
      </c>
      <c r="C20" s="7">
        <v>1.67</v>
      </c>
      <c r="D20" s="6">
        <v>497</v>
      </c>
      <c r="E20" s="9">
        <v>1340</v>
      </c>
      <c r="F20" s="6">
        <v>144</v>
      </c>
      <c r="G20" s="9">
        <v>808</v>
      </c>
      <c r="H20" s="6">
        <v>194</v>
      </c>
      <c r="I20" s="6">
        <v>338</v>
      </c>
      <c r="J20" s="16">
        <v>8.6999999999999994E-2</v>
      </c>
    </row>
    <row r="21" spans="1:10">
      <c r="A21" s="39">
        <v>3538</v>
      </c>
      <c r="B21" s="9">
        <v>2738</v>
      </c>
      <c r="C21" s="7">
        <v>1.68</v>
      </c>
      <c r="D21" s="6">
        <v>715</v>
      </c>
      <c r="E21" s="9">
        <v>2023</v>
      </c>
      <c r="F21" s="6">
        <v>264</v>
      </c>
      <c r="G21" s="9">
        <v>1196</v>
      </c>
      <c r="H21" s="6">
        <v>176</v>
      </c>
      <c r="I21" s="6">
        <v>651</v>
      </c>
      <c r="J21" s="16">
        <v>7.3999999999999996E-2</v>
      </c>
    </row>
    <row r="22" spans="1:10">
      <c r="A22" s="39">
        <v>3539</v>
      </c>
      <c r="B22" s="9">
        <v>1453</v>
      </c>
      <c r="C22" s="7">
        <v>1.79</v>
      </c>
      <c r="D22" s="6">
        <v>422</v>
      </c>
      <c r="E22" s="9">
        <v>1031</v>
      </c>
      <c r="F22" s="6">
        <v>90</v>
      </c>
      <c r="G22" s="6">
        <v>622</v>
      </c>
      <c r="H22" s="6">
        <v>92</v>
      </c>
      <c r="I22" s="6">
        <v>317</v>
      </c>
      <c r="J22" s="16">
        <v>0.13800000000000001</v>
      </c>
    </row>
    <row r="23" spans="1:10">
      <c r="A23" s="39">
        <v>3540</v>
      </c>
      <c r="B23" s="9">
        <v>1962</v>
      </c>
      <c r="C23" s="7">
        <v>1.63</v>
      </c>
      <c r="D23" s="6">
        <v>508</v>
      </c>
      <c r="E23" s="9">
        <v>1454</v>
      </c>
      <c r="F23" s="6">
        <v>181</v>
      </c>
      <c r="G23" s="9">
        <v>866</v>
      </c>
      <c r="H23" s="6">
        <v>198</v>
      </c>
      <c r="I23" s="6">
        <v>390</v>
      </c>
      <c r="J23" s="16">
        <v>8.2000000000000003E-2</v>
      </c>
    </row>
    <row r="24" spans="1:10">
      <c r="A24" s="39">
        <v>3541</v>
      </c>
      <c r="B24" s="9">
        <v>1521</v>
      </c>
      <c r="C24" s="7">
        <v>1.69</v>
      </c>
      <c r="D24" s="6">
        <v>517</v>
      </c>
      <c r="E24" s="9">
        <v>1004</v>
      </c>
      <c r="F24" s="6">
        <v>118</v>
      </c>
      <c r="G24" s="6">
        <v>506</v>
      </c>
      <c r="H24" s="6">
        <v>264</v>
      </c>
      <c r="I24" s="6">
        <v>234</v>
      </c>
      <c r="J24" s="16">
        <v>0.08</v>
      </c>
    </row>
    <row r="25" spans="1:10">
      <c r="A25" s="39">
        <v>3542</v>
      </c>
      <c r="B25" s="9">
        <v>1291</v>
      </c>
      <c r="C25" s="7">
        <v>2.2400000000000002</v>
      </c>
      <c r="D25" s="6">
        <v>766</v>
      </c>
      <c r="E25" s="6">
        <v>525</v>
      </c>
      <c r="F25" s="6">
        <v>80</v>
      </c>
      <c r="G25" s="6">
        <v>178</v>
      </c>
      <c r="H25" s="6">
        <v>239</v>
      </c>
      <c r="I25" s="6">
        <v>108</v>
      </c>
      <c r="J25" s="16">
        <v>0.249</v>
      </c>
    </row>
    <row r="26" spans="1:10">
      <c r="A26" s="39">
        <v>3543</v>
      </c>
      <c r="B26" s="9">
        <v>1551</v>
      </c>
      <c r="C26" s="7" t="s">
        <v>5</v>
      </c>
      <c r="D26" s="6">
        <v>745</v>
      </c>
      <c r="E26" s="6">
        <v>806</v>
      </c>
      <c r="F26" s="6">
        <v>102</v>
      </c>
      <c r="G26" s="6">
        <v>389</v>
      </c>
      <c r="H26" s="6">
        <v>229</v>
      </c>
      <c r="I26" s="6">
        <v>188</v>
      </c>
      <c r="J26" s="16">
        <v>0.23300000000000001</v>
      </c>
    </row>
    <row r="27" spans="1:10">
      <c r="A27" s="39">
        <v>3544</v>
      </c>
      <c r="B27" s="6">
        <v>759</v>
      </c>
      <c r="C27" s="7">
        <v>2.16</v>
      </c>
      <c r="D27" s="6">
        <v>387</v>
      </c>
      <c r="E27" s="6">
        <v>372</v>
      </c>
      <c r="F27" s="6">
        <v>68</v>
      </c>
      <c r="G27" s="6">
        <v>176</v>
      </c>
      <c r="H27" s="6">
        <v>89</v>
      </c>
      <c r="I27" s="6">
        <v>107</v>
      </c>
      <c r="J27" s="16">
        <v>0.25600000000000001</v>
      </c>
    </row>
    <row r="28" spans="1:10">
      <c r="A28" s="39">
        <v>3545</v>
      </c>
      <c r="B28" s="9">
        <v>1218</v>
      </c>
      <c r="C28" s="7">
        <v>1.84</v>
      </c>
      <c r="D28" s="6">
        <v>462</v>
      </c>
      <c r="E28" s="6">
        <v>756</v>
      </c>
      <c r="F28" s="6">
        <v>110</v>
      </c>
      <c r="G28" s="6">
        <v>419</v>
      </c>
      <c r="H28" s="6">
        <v>127</v>
      </c>
      <c r="I28" s="6">
        <v>210</v>
      </c>
      <c r="J28" s="16">
        <v>0.13100000000000001</v>
      </c>
    </row>
    <row r="29" spans="1:10">
      <c r="A29" s="39">
        <v>3546</v>
      </c>
      <c r="B29" s="9">
        <v>2078</v>
      </c>
      <c r="C29" s="7">
        <v>2.11</v>
      </c>
      <c r="D29" s="9">
        <v>1018</v>
      </c>
      <c r="E29" s="9">
        <v>1060</v>
      </c>
      <c r="F29" s="6">
        <v>146</v>
      </c>
      <c r="G29" s="6">
        <v>596</v>
      </c>
      <c r="H29" s="6">
        <v>250</v>
      </c>
      <c r="I29" s="6">
        <v>214</v>
      </c>
      <c r="J29" s="16">
        <v>0.26500000000000001</v>
      </c>
    </row>
    <row r="30" spans="1:10">
      <c r="A30" s="39">
        <v>3547</v>
      </c>
      <c r="B30" s="9">
        <v>1145</v>
      </c>
      <c r="C30" s="7">
        <v>2.16</v>
      </c>
      <c r="D30" s="6">
        <v>495</v>
      </c>
      <c r="E30" s="6">
        <v>650</v>
      </c>
      <c r="F30" s="6">
        <v>104</v>
      </c>
      <c r="G30" s="6">
        <v>254</v>
      </c>
      <c r="H30" s="6">
        <v>122</v>
      </c>
      <c r="I30" s="6">
        <v>274</v>
      </c>
      <c r="J30" s="16">
        <v>0.17499999999999999</v>
      </c>
    </row>
    <row r="31" spans="1:10">
      <c r="A31" s="39">
        <v>3548</v>
      </c>
      <c r="B31" s="6">
        <v>913</v>
      </c>
      <c r="C31" s="7">
        <v>2.0699999999999998</v>
      </c>
      <c r="D31" s="6">
        <v>415</v>
      </c>
      <c r="E31" s="6">
        <v>498</v>
      </c>
      <c r="F31" s="6">
        <v>89</v>
      </c>
      <c r="G31" s="6">
        <v>238</v>
      </c>
      <c r="H31" s="6">
        <v>64</v>
      </c>
      <c r="I31" s="6">
        <v>196</v>
      </c>
      <c r="J31" s="16">
        <v>0.16600000000000001</v>
      </c>
    </row>
    <row r="32" spans="1:10">
      <c r="A32" s="39">
        <v>3549</v>
      </c>
      <c r="B32" s="9">
        <v>2552</v>
      </c>
      <c r="C32" s="7">
        <v>2.37</v>
      </c>
      <c r="D32" s="9">
        <v>1481</v>
      </c>
      <c r="E32" s="9">
        <v>1071</v>
      </c>
      <c r="F32" s="6">
        <v>184</v>
      </c>
      <c r="G32" s="6">
        <v>619</v>
      </c>
      <c r="H32" s="6">
        <v>173</v>
      </c>
      <c r="I32" s="6">
        <v>279</v>
      </c>
      <c r="J32" s="16">
        <v>0.30599999999999999</v>
      </c>
    </row>
    <row r="33" spans="1:10">
      <c r="A33" s="39">
        <v>3550</v>
      </c>
      <c r="B33" s="9">
        <v>1336</v>
      </c>
      <c r="C33" s="7">
        <v>1.98</v>
      </c>
      <c r="D33" s="6">
        <v>557</v>
      </c>
      <c r="E33" s="6">
        <v>779</v>
      </c>
      <c r="F33" s="6">
        <v>114</v>
      </c>
      <c r="G33" s="6">
        <v>352</v>
      </c>
      <c r="H33" s="6">
        <v>219</v>
      </c>
      <c r="I33" s="6">
        <v>208</v>
      </c>
      <c r="J33" s="16">
        <v>0.17699999999999999</v>
      </c>
    </row>
    <row r="34" spans="1:10">
      <c r="A34" s="39" t="s">
        <v>4</v>
      </c>
      <c r="B34" s="10">
        <v>44032</v>
      </c>
      <c r="C34" s="7" t="s">
        <v>3</v>
      </c>
      <c r="D34" s="10">
        <v>17420</v>
      </c>
      <c r="E34" s="10">
        <v>26612</v>
      </c>
      <c r="F34" s="5">
        <f>SUM(F2:F33)</f>
        <v>3734</v>
      </c>
      <c r="G34" s="10">
        <v>13691</v>
      </c>
      <c r="H34" s="10">
        <v>4242</v>
      </c>
      <c r="I34" s="10">
        <v>8679</v>
      </c>
      <c r="J34" s="17">
        <v>0.16900000000000001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dimension ref="A1:M6"/>
  <sheetViews>
    <sheetView workbookViewId="0">
      <selection activeCell="A4" sqref="A4:M4"/>
    </sheetView>
  </sheetViews>
  <sheetFormatPr defaultRowHeight="12.75"/>
  <sheetData>
    <row r="1" spans="1:13">
      <c r="A1" s="53"/>
      <c r="B1" s="53"/>
      <c r="C1" s="53"/>
      <c r="D1" s="53"/>
      <c r="E1" s="53"/>
      <c r="F1" s="53"/>
      <c r="G1" s="53"/>
      <c r="H1" s="53"/>
      <c r="I1" s="53"/>
      <c r="J1" s="53"/>
      <c r="K1" s="53"/>
      <c r="L1" s="53"/>
      <c r="M1" s="53"/>
    </row>
    <row r="2" spans="1:13" s="8" customFormat="1" ht="30" customHeight="1">
      <c r="A2" s="53" t="s">
        <v>46</v>
      </c>
      <c r="B2" s="53"/>
      <c r="C2" s="53"/>
      <c r="D2" s="53"/>
      <c r="E2" s="53"/>
      <c r="F2" s="53"/>
      <c r="G2" s="53"/>
      <c r="H2" s="53"/>
      <c r="I2" s="53"/>
      <c r="J2" s="53"/>
      <c r="K2" s="53"/>
      <c r="L2" s="53"/>
      <c r="M2" s="53"/>
    </row>
    <row r="3" spans="1:13" s="8" customFormat="1" ht="30" customHeight="1">
      <c r="A3" s="53" t="s">
        <v>47</v>
      </c>
      <c r="B3" s="53"/>
      <c r="C3" s="53"/>
      <c r="D3" s="53"/>
      <c r="E3" s="53"/>
      <c r="F3" s="53"/>
      <c r="G3" s="53"/>
      <c r="H3" s="53"/>
      <c r="I3" s="53"/>
      <c r="J3" s="53"/>
      <c r="K3" s="53"/>
      <c r="L3" s="53"/>
      <c r="M3" s="53"/>
    </row>
    <row r="4" spans="1:13" s="8" customFormat="1" ht="30" customHeight="1">
      <c r="A4" s="53" t="s">
        <v>48</v>
      </c>
      <c r="B4" s="53"/>
      <c r="C4" s="53"/>
      <c r="D4" s="53"/>
      <c r="E4" s="53"/>
      <c r="F4" s="53"/>
      <c r="G4" s="53"/>
      <c r="H4" s="53"/>
      <c r="I4" s="53"/>
      <c r="J4" s="53"/>
      <c r="K4" s="53"/>
      <c r="L4" s="53"/>
      <c r="M4" s="53"/>
    </row>
    <row r="5" spans="1:13" s="8" customFormat="1" ht="11.25">
      <c r="A5" s="53"/>
      <c r="B5" s="53"/>
      <c r="C5" s="53"/>
      <c r="D5" s="53"/>
      <c r="E5" s="53"/>
      <c r="F5" s="53"/>
      <c r="G5" s="53"/>
      <c r="H5" s="53"/>
      <c r="I5" s="53"/>
      <c r="J5" s="53"/>
      <c r="K5" s="53"/>
      <c r="L5" s="53"/>
      <c r="M5" s="53"/>
    </row>
    <row r="6" spans="1:13" s="8" customFormat="1" ht="15" customHeight="1">
      <c r="A6" s="53" t="s">
        <v>2</v>
      </c>
      <c r="B6" s="53"/>
      <c r="C6" s="53"/>
      <c r="D6" s="53"/>
      <c r="E6" s="53"/>
      <c r="F6" s="53"/>
      <c r="G6" s="53"/>
      <c r="H6" s="53"/>
      <c r="I6" s="53"/>
      <c r="J6" s="53"/>
      <c r="K6" s="53"/>
      <c r="L6" s="53"/>
      <c r="M6" s="53"/>
    </row>
  </sheetData>
  <mergeCells count="6">
    <mergeCell ref="A6:M6"/>
    <mergeCell ref="A1:M1"/>
    <mergeCell ref="A2:M2"/>
    <mergeCell ref="A3:M3"/>
    <mergeCell ref="A4:M4"/>
    <mergeCell ref="A5:M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34"/>
  <sheetViews>
    <sheetView workbookViewId="0">
      <pane xSplit="1" ySplit="1" topLeftCell="B2" activePane="bottomRight" state="frozen"/>
      <selection pane="topRight" activeCell="B1" sqref="B1"/>
      <selection pane="bottomLeft" activeCell="A2" sqref="A2"/>
      <selection pane="bottomRight" activeCell="C2" sqref="C2"/>
    </sheetView>
  </sheetViews>
  <sheetFormatPr defaultRowHeight="11.25"/>
  <cols>
    <col min="1" max="1" width="11.85546875" style="40" customWidth="1"/>
    <col min="2" max="2" width="11.85546875" style="8" customWidth="1"/>
    <col min="3" max="3" width="11.85546875" style="50" customWidth="1"/>
    <col min="4" max="7" width="11.85546875" style="8" customWidth="1"/>
    <col min="8" max="8" width="12.42578125" style="8" customWidth="1"/>
    <col min="9" max="9" width="11.85546875" style="18" customWidth="1"/>
    <col min="10" max="16384" width="9.140625" style="8"/>
  </cols>
  <sheetData>
    <row r="1" spans="1:9" s="13" customFormat="1" ht="45">
      <c r="A1" s="14" t="s">
        <v>12</v>
      </c>
      <c r="B1" s="13" t="s">
        <v>10</v>
      </c>
      <c r="C1" s="47" t="s">
        <v>61</v>
      </c>
      <c r="D1" s="13" t="s">
        <v>15</v>
      </c>
      <c r="E1" s="13" t="s">
        <v>16</v>
      </c>
      <c r="F1" s="13" t="s">
        <v>50</v>
      </c>
      <c r="G1" s="13" t="s">
        <v>9</v>
      </c>
      <c r="H1" s="13" t="s">
        <v>51</v>
      </c>
      <c r="I1" s="15" t="s">
        <v>52</v>
      </c>
    </row>
    <row r="2" spans="1:9">
      <c r="A2" s="39">
        <v>3521.01</v>
      </c>
      <c r="B2" s="6">
        <v>339</v>
      </c>
      <c r="C2" s="48">
        <v>2.37</v>
      </c>
      <c r="D2" s="6">
        <v>58</v>
      </c>
      <c r="E2" s="6">
        <v>27</v>
      </c>
      <c r="F2" s="6">
        <v>181</v>
      </c>
      <c r="G2" s="6">
        <v>73</v>
      </c>
      <c r="H2" s="6">
        <v>630</v>
      </c>
      <c r="I2" s="16">
        <v>9.7000000000000003E-2</v>
      </c>
    </row>
    <row r="3" spans="1:9">
      <c r="A3" s="39">
        <v>3521.02</v>
      </c>
      <c r="B3" s="6">
        <v>463</v>
      </c>
      <c r="C3" s="48">
        <v>2.46</v>
      </c>
      <c r="D3" s="6">
        <v>94</v>
      </c>
      <c r="E3" s="6">
        <v>24</v>
      </c>
      <c r="F3" s="6">
        <v>273</v>
      </c>
      <c r="G3" s="6">
        <v>72</v>
      </c>
      <c r="H3" s="6">
        <v>769</v>
      </c>
      <c r="I3" s="16">
        <v>0.10100000000000001</v>
      </c>
    </row>
    <row r="4" spans="1:9">
      <c r="A4" s="39">
        <v>3522</v>
      </c>
      <c r="B4" s="6">
        <v>316</v>
      </c>
      <c r="C4" s="48">
        <v>2.72</v>
      </c>
      <c r="D4" s="6">
        <v>74</v>
      </c>
      <c r="E4" s="6">
        <v>40</v>
      </c>
      <c r="F4" s="6">
        <v>153</v>
      </c>
      <c r="G4" s="6">
        <v>49</v>
      </c>
      <c r="H4" s="6">
        <v>757</v>
      </c>
      <c r="I4" s="16">
        <v>0.11600000000000001</v>
      </c>
    </row>
    <row r="5" spans="1:9">
      <c r="A5" s="39">
        <v>3523</v>
      </c>
      <c r="B5" s="6">
        <v>689</v>
      </c>
      <c r="C5" s="48">
        <v>2.61</v>
      </c>
      <c r="D5" s="6">
        <v>180</v>
      </c>
      <c r="E5" s="6">
        <v>76</v>
      </c>
      <c r="F5" s="6">
        <v>342</v>
      </c>
      <c r="G5" s="6">
        <v>91</v>
      </c>
      <c r="H5" s="9">
        <v>1086</v>
      </c>
      <c r="I5" s="16">
        <v>0.152</v>
      </c>
    </row>
    <row r="6" spans="1:9">
      <c r="A6" s="39">
        <v>3524</v>
      </c>
      <c r="B6" s="6">
        <v>490</v>
      </c>
      <c r="C6" s="48">
        <v>3.3</v>
      </c>
      <c r="D6" s="6">
        <v>104</v>
      </c>
      <c r="E6" s="6">
        <v>162</v>
      </c>
      <c r="F6" s="6">
        <v>109</v>
      </c>
      <c r="G6" s="6">
        <v>115</v>
      </c>
      <c r="H6" s="6">
        <v>301</v>
      </c>
      <c r="I6" s="16">
        <v>0.39100000000000001</v>
      </c>
    </row>
    <row r="7" spans="1:9">
      <c r="A7" s="39">
        <v>3525</v>
      </c>
      <c r="B7" s="6">
        <v>458</v>
      </c>
      <c r="C7" s="48">
        <v>3.06</v>
      </c>
      <c r="D7" s="6">
        <v>113</v>
      </c>
      <c r="E7" s="6">
        <v>90</v>
      </c>
      <c r="F7" s="6">
        <v>171</v>
      </c>
      <c r="G7" s="6">
        <v>84</v>
      </c>
      <c r="H7" s="6">
        <v>749</v>
      </c>
      <c r="I7" s="16">
        <v>0.186</v>
      </c>
    </row>
    <row r="8" spans="1:9">
      <c r="A8" s="39">
        <v>3526</v>
      </c>
      <c r="B8" s="6">
        <v>480</v>
      </c>
      <c r="C8" s="48">
        <v>2.85</v>
      </c>
      <c r="D8" s="6">
        <v>95</v>
      </c>
      <c r="E8" s="6">
        <v>77</v>
      </c>
      <c r="F8" s="6">
        <v>213</v>
      </c>
      <c r="G8" s="6">
        <v>95</v>
      </c>
      <c r="H8" s="6">
        <v>537</v>
      </c>
      <c r="I8" s="16">
        <v>0.187</v>
      </c>
    </row>
    <row r="9" spans="1:9">
      <c r="A9" s="39">
        <v>3527</v>
      </c>
      <c r="B9" s="6">
        <v>413</v>
      </c>
      <c r="C9" s="48">
        <v>2.85</v>
      </c>
      <c r="D9" s="6">
        <v>90</v>
      </c>
      <c r="E9" s="6">
        <v>113</v>
      </c>
      <c r="F9" s="6">
        <v>119</v>
      </c>
      <c r="G9" s="6">
        <v>91</v>
      </c>
      <c r="H9" s="6">
        <v>564</v>
      </c>
      <c r="I9" s="16">
        <v>0.23300000000000001</v>
      </c>
    </row>
    <row r="10" spans="1:9">
      <c r="A10" s="39">
        <v>3528</v>
      </c>
      <c r="B10" s="6">
        <v>393</v>
      </c>
      <c r="C10" s="48">
        <v>2.87</v>
      </c>
      <c r="D10" s="6">
        <v>85</v>
      </c>
      <c r="E10" s="6">
        <v>57</v>
      </c>
      <c r="F10" s="6">
        <v>173</v>
      </c>
      <c r="G10" s="6">
        <v>78</v>
      </c>
      <c r="H10" s="6">
        <v>506</v>
      </c>
      <c r="I10" s="16">
        <v>0.17499999999999999</v>
      </c>
    </row>
    <row r="11" spans="1:9">
      <c r="A11" s="39">
        <v>3529</v>
      </c>
      <c r="B11" s="6">
        <v>511</v>
      </c>
      <c r="C11" s="48">
        <v>2.61</v>
      </c>
      <c r="D11" s="6">
        <v>139</v>
      </c>
      <c r="E11" s="6">
        <v>41</v>
      </c>
      <c r="F11" s="6">
        <v>278</v>
      </c>
      <c r="G11" s="6">
        <v>53</v>
      </c>
      <c r="H11" s="6">
        <v>822</v>
      </c>
      <c r="I11" s="16">
        <v>0.14000000000000001</v>
      </c>
    </row>
    <row r="12" spans="1:9">
      <c r="A12" s="39">
        <v>3530</v>
      </c>
      <c r="B12" s="6">
        <v>567</v>
      </c>
      <c r="C12" s="48">
        <v>2.66</v>
      </c>
      <c r="D12" s="6">
        <v>133</v>
      </c>
      <c r="E12" s="6">
        <v>88</v>
      </c>
      <c r="F12" s="6">
        <v>274</v>
      </c>
      <c r="G12" s="6">
        <v>72</v>
      </c>
      <c r="H12" s="9">
        <v>1339</v>
      </c>
      <c r="I12" s="16">
        <v>0.12</v>
      </c>
    </row>
    <row r="13" spans="1:9">
      <c r="A13" s="39">
        <v>3531.01</v>
      </c>
      <c r="B13" s="6">
        <v>258</v>
      </c>
      <c r="C13" s="48">
        <v>2.86</v>
      </c>
      <c r="D13" s="6">
        <v>52</v>
      </c>
      <c r="E13" s="6">
        <v>62</v>
      </c>
      <c r="F13" s="6">
        <v>86</v>
      </c>
      <c r="G13" s="6">
        <v>58</v>
      </c>
      <c r="H13" s="6">
        <v>704</v>
      </c>
      <c r="I13" s="16">
        <v>0.123</v>
      </c>
    </row>
    <row r="14" spans="1:9">
      <c r="A14" s="39">
        <v>3531.02</v>
      </c>
      <c r="B14" s="6">
        <v>108</v>
      </c>
      <c r="C14" s="48">
        <v>2.46</v>
      </c>
      <c r="D14" s="6">
        <v>28</v>
      </c>
      <c r="E14" s="6">
        <v>4</v>
      </c>
      <c r="F14" s="6">
        <v>65</v>
      </c>
      <c r="G14" s="6">
        <v>11</v>
      </c>
      <c r="H14" s="6">
        <v>205</v>
      </c>
      <c r="I14" s="16">
        <v>0.105</v>
      </c>
    </row>
    <row r="15" spans="1:9">
      <c r="A15" s="39">
        <v>3532</v>
      </c>
      <c r="B15" s="6">
        <v>624</v>
      </c>
      <c r="C15" s="48">
        <v>2.72</v>
      </c>
      <c r="D15" s="6">
        <v>161</v>
      </c>
      <c r="E15" s="6">
        <v>99</v>
      </c>
      <c r="F15" s="6">
        <v>280</v>
      </c>
      <c r="G15" s="6">
        <v>84</v>
      </c>
      <c r="H15" s="6">
        <v>988</v>
      </c>
      <c r="I15" s="16">
        <v>0.17399999999999999</v>
      </c>
    </row>
    <row r="16" spans="1:9">
      <c r="A16" s="39">
        <v>3533</v>
      </c>
      <c r="B16" s="6">
        <v>688</v>
      </c>
      <c r="C16" s="48">
        <v>2.73</v>
      </c>
      <c r="D16" s="6">
        <v>205</v>
      </c>
      <c r="E16" s="6">
        <v>89</v>
      </c>
      <c r="F16" s="6">
        <v>325</v>
      </c>
      <c r="G16" s="6">
        <v>69</v>
      </c>
      <c r="H16" s="6">
        <v>932</v>
      </c>
      <c r="I16" s="16">
        <v>0.188</v>
      </c>
    </row>
    <row r="17" spans="1:9">
      <c r="A17" s="39">
        <v>3534</v>
      </c>
      <c r="B17" s="6">
        <v>594</v>
      </c>
      <c r="C17" s="48">
        <v>2.96</v>
      </c>
      <c r="D17" s="6">
        <v>194</v>
      </c>
      <c r="E17" s="6">
        <v>101</v>
      </c>
      <c r="F17" s="6">
        <v>189</v>
      </c>
      <c r="G17" s="6">
        <v>110</v>
      </c>
      <c r="H17" s="6">
        <v>641</v>
      </c>
      <c r="I17" s="16">
        <v>0.25600000000000001</v>
      </c>
    </row>
    <row r="18" spans="1:9">
      <c r="A18" s="39">
        <v>3535</v>
      </c>
      <c r="B18" s="6">
        <v>465</v>
      </c>
      <c r="C18" s="48">
        <v>2.85</v>
      </c>
      <c r="D18" s="6">
        <v>124</v>
      </c>
      <c r="E18" s="6">
        <v>69</v>
      </c>
      <c r="F18" s="6">
        <v>192</v>
      </c>
      <c r="G18" s="6">
        <v>80</v>
      </c>
      <c r="H18" s="6">
        <v>806</v>
      </c>
      <c r="I18" s="16">
        <v>0.16500000000000001</v>
      </c>
    </row>
    <row r="19" spans="1:9">
      <c r="A19" s="39">
        <v>3536</v>
      </c>
      <c r="B19" s="6">
        <v>579</v>
      </c>
      <c r="C19" s="48">
        <v>2.61</v>
      </c>
      <c r="D19" s="6">
        <v>159</v>
      </c>
      <c r="E19" s="6">
        <v>59</v>
      </c>
      <c r="F19" s="6">
        <v>322</v>
      </c>
      <c r="G19" s="6">
        <v>39</v>
      </c>
      <c r="H19" s="6">
        <v>907</v>
      </c>
      <c r="I19" s="16">
        <v>0.151</v>
      </c>
    </row>
    <row r="20" spans="1:9">
      <c r="A20" s="39">
        <v>3537</v>
      </c>
      <c r="B20" s="6">
        <v>497</v>
      </c>
      <c r="C20" s="48">
        <v>2.4700000000000002</v>
      </c>
      <c r="D20" s="6">
        <v>121</v>
      </c>
      <c r="E20" s="6">
        <v>35</v>
      </c>
      <c r="F20" s="6">
        <v>304</v>
      </c>
      <c r="G20" s="6">
        <v>37</v>
      </c>
      <c r="H20" s="9">
        <v>1340</v>
      </c>
      <c r="I20" s="16">
        <v>8.6999999999999994E-2</v>
      </c>
    </row>
    <row r="21" spans="1:9">
      <c r="A21" s="39">
        <v>3538</v>
      </c>
      <c r="B21" s="6">
        <v>715</v>
      </c>
      <c r="C21" s="48">
        <v>2.42</v>
      </c>
      <c r="D21" s="6">
        <v>151</v>
      </c>
      <c r="E21" s="6">
        <v>45</v>
      </c>
      <c r="F21" s="6">
        <v>461</v>
      </c>
      <c r="G21" s="6">
        <v>58</v>
      </c>
      <c r="H21" s="9">
        <v>2023</v>
      </c>
      <c r="I21" s="16">
        <v>7.3999999999999996E-2</v>
      </c>
    </row>
    <row r="22" spans="1:9">
      <c r="A22" s="39">
        <v>3539</v>
      </c>
      <c r="B22" s="6">
        <v>422</v>
      </c>
      <c r="C22" s="48">
        <v>2.66</v>
      </c>
      <c r="D22" s="6">
        <v>155</v>
      </c>
      <c r="E22" s="6">
        <v>43</v>
      </c>
      <c r="F22" s="6">
        <v>198</v>
      </c>
      <c r="G22" s="6">
        <v>26</v>
      </c>
      <c r="H22" s="9">
        <v>1031</v>
      </c>
      <c r="I22" s="16">
        <v>0.13800000000000001</v>
      </c>
    </row>
    <row r="23" spans="1:9">
      <c r="A23" s="39">
        <v>3540</v>
      </c>
      <c r="B23" s="6">
        <v>508</v>
      </c>
      <c r="C23" s="48">
        <v>2.48</v>
      </c>
      <c r="D23" s="6">
        <v>109</v>
      </c>
      <c r="E23" s="6">
        <v>39</v>
      </c>
      <c r="F23" s="6">
        <v>322</v>
      </c>
      <c r="G23" s="6">
        <v>38</v>
      </c>
      <c r="H23" s="9">
        <v>1454</v>
      </c>
      <c r="I23" s="16">
        <v>8.2000000000000003E-2</v>
      </c>
    </row>
    <row r="24" spans="1:9">
      <c r="A24" s="39">
        <v>3541</v>
      </c>
      <c r="B24" s="6">
        <v>517</v>
      </c>
      <c r="C24" s="48">
        <v>2.41</v>
      </c>
      <c r="D24" s="6">
        <v>92</v>
      </c>
      <c r="E24" s="6">
        <v>25</v>
      </c>
      <c r="F24" s="6">
        <v>361</v>
      </c>
      <c r="G24" s="6">
        <v>39</v>
      </c>
      <c r="H24" s="9">
        <v>1004</v>
      </c>
      <c r="I24" s="16">
        <v>0.08</v>
      </c>
    </row>
    <row r="25" spans="1:9">
      <c r="A25" s="39">
        <v>3542</v>
      </c>
      <c r="B25" s="6">
        <v>766</v>
      </c>
      <c r="C25" s="48">
        <v>2.81</v>
      </c>
      <c r="D25" s="6">
        <v>259</v>
      </c>
      <c r="E25" s="6">
        <v>53</v>
      </c>
      <c r="F25" s="6">
        <v>399</v>
      </c>
      <c r="G25" s="6">
        <v>55</v>
      </c>
      <c r="H25" s="6">
        <v>525</v>
      </c>
      <c r="I25" s="16">
        <v>0.249</v>
      </c>
    </row>
    <row r="26" spans="1:9">
      <c r="A26" s="39">
        <v>3543</v>
      </c>
      <c r="B26" s="6">
        <v>745</v>
      </c>
      <c r="C26" s="48">
        <v>2.9</v>
      </c>
      <c r="D26" s="6">
        <v>217</v>
      </c>
      <c r="E26" s="6">
        <v>120</v>
      </c>
      <c r="F26" s="6">
        <v>287</v>
      </c>
      <c r="G26" s="6">
        <v>121</v>
      </c>
      <c r="H26" s="6">
        <v>806</v>
      </c>
      <c r="I26" s="16">
        <v>0.23300000000000001</v>
      </c>
    </row>
    <row r="27" spans="1:9">
      <c r="A27" s="39">
        <v>3544</v>
      </c>
      <c r="B27" s="6">
        <v>387</v>
      </c>
      <c r="C27" s="48">
        <v>2.8</v>
      </c>
      <c r="D27" s="6">
        <v>141</v>
      </c>
      <c r="E27" s="6">
        <v>46</v>
      </c>
      <c r="F27" s="6">
        <v>162</v>
      </c>
      <c r="G27" s="6">
        <v>38</v>
      </c>
      <c r="H27" s="6">
        <v>372</v>
      </c>
      <c r="I27" s="16">
        <v>0.25600000000000001</v>
      </c>
    </row>
    <row r="28" spans="1:9">
      <c r="A28" s="39">
        <v>3545</v>
      </c>
      <c r="B28" s="6">
        <v>462</v>
      </c>
      <c r="C28" s="48">
        <v>2.5299999999999998</v>
      </c>
      <c r="D28" s="6">
        <v>127</v>
      </c>
      <c r="E28" s="6">
        <v>33</v>
      </c>
      <c r="F28" s="6">
        <v>272</v>
      </c>
      <c r="G28" s="6">
        <v>30</v>
      </c>
      <c r="H28" s="6">
        <v>756</v>
      </c>
      <c r="I28" s="16">
        <v>0.13100000000000001</v>
      </c>
    </row>
    <row r="29" spans="1:9">
      <c r="A29" s="39">
        <v>3546</v>
      </c>
      <c r="B29" s="9">
        <v>1018</v>
      </c>
      <c r="C29" s="48">
        <v>2.97</v>
      </c>
      <c r="D29" s="6">
        <v>354</v>
      </c>
      <c r="E29" s="6">
        <v>170</v>
      </c>
      <c r="F29" s="6">
        <v>355</v>
      </c>
      <c r="G29" s="6">
        <v>139</v>
      </c>
      <c r="H29" s="9">
        <v>1060</v>
      </c>
      <c r="I29" s="16">
        <v>0.26500000000000001</v>
      </c>
    </row>
    <row r="30" spans="1:9">
      <c r="A30" s="39">
        <v>3547</v>
      </c>
      <c r="B30" s="6">
        <v>495</v>
      </c>
      <c r="C30" s="48">
        <v>2.71</v>
      </c>
      <c r="D30" s="6">
        <v>155</v>
      </c>
      <c r="E30" s="6">
        <v>38</v>
      </c>
      <c r="F30" s="6">
        <v>235</v>
      </c>
      <c r="G30" s="6">
        <v>67</v>
      </c>
      <c r="H30" s="6">
        <v>650</v>
      </c>
      <c r="I30" s="16">
        <v>0.17499999999999999</v>
      </c>
    </row>
    <row r="31" spans="1:9">
      <c r="A31" s="39">
        <v>3548</v>
      </c>
      <c r="B31" s="6">
        <v>415</v>
      </c>
      <c r="C31" s="48">
        <v>2.64</v>
      </c>
      <c r="D31" s="6">
        <v>112</v>
      </c>
      <c r="E31" s="6">
        <v>35</v>
      </c>
      <c r="F31" s="6">
        <v>217</v>
      </c>
      <c r="G31" s="6">
        <v>51</v>
      </c>
      <c r="H31" s="6">
        <v>498</v>
      </c>
      <c r="I31" s="16">
        <v>0.16600000000000001</v>
      </c>
    </row>
    <row r="32" spans="1:9">
      <c r="A32" s="39">
        <v>3549</v>
      </c>
      <c r="B32" s="9">
        <v>1481</v>
      </c>
      <c r="C32" s="48">
        <v>3.04</v>
      </c>
      <c r="D32" s="6">
        <v>436</v>
      </c>
      <c r="E32" s="6">
        <v>278</v>
      </c>
      <c r="F32" s="6">
        <v>475</v>
      </c>
      <c r="G32" s="6">
        <v>292</v>
      </c>
      <c r="H32" s="9">
        <v>1071</v>
      </c>
      <c r="I32" s="16">
        <v>0.30599999999999999</v>
      </c>
    </row>
    <row r="33" spans="1:9">
      <c r="A33" s="39">
        <v>3550</v>
      </c>
      <c r="B33" s="6">
        <v>557</v>
      </c>
      <c r="C33" s="48">
        <v>2.8</v>
      </c>
      <c r="D33" s="6">
        <v>159</v>
      </c>
      <c r="E33" s="6">
        <v>58</v>
      </c>
      <c r="F33" s="6">
        <v>253</v>
      </c>
      <c r="G33" s="6">
        <v>87</v>
      </c>
      <c r="H33" s="6">
        <v>779</v>
      </c>
      <c r="I33" s="16">
        <v>0.17699999999999999</v>
      </c>
    </row>
    <row r="34" spans="1:9">
      <c r="A34" s="39" t="s">
        <v>4</v>
      </c>
      <c r="B34" s="10">
        <v>17420</v>
      </c>
      <c r="C34" s="49">
        <v>2.76</v>
      </c>
      <c r="D34" s="10">
        <v>4676</v>
      </c>
      <c r="E34" s="10">
        <v>2296</v>
      </c>
      <c r="F34" s="10">
        <v>8046</v>
      </c>
      <c r="G34" s="10">
        <v>2402</v>
      </c>
      <c r="H34" s="10">
        <v>26612</v>
      </c>
      <c r="I34" s="17">
        <v>0.16900000000000001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6"/>
  <sheetViews>
    <sheetView workbookViewId="0">
      <selection activeCell="A3" sqref="A3:M3"/>
    </sheetView>
  </sheetViews>
  <sheetFormatPr defaultRowHeight="12.75"/>
  <sheetData>
    <row r="1" spans="1:13" s="8" customFormat="1" ht="30" customHeight="1">
      <c r="A1" s="53" t="s">
        <v>14</v>
      </c>
      <c r="B1" s="53"/>
      <c r="C1" s="53"/>
      <c r="D1" s="53"/>
      <c r="E1" s="53"/>
      <c r="F1" s="53"/>
      <c r="G1" s="53"/>
      <c r="H1" s="53"/>
      <c r="I1" s="53"/>
      <c r="J1" s="53"/>
      <c r="K1" s="53"/>
      <c r="L1" s="53"/>
      <c r="M1" s="53"/>
    </row>
    <row r="2" spans="1:13" s="8" customFormat="1" ht="30" customHeight="1">
      <c r="A2" s="53" t="s">
        <v>62</v>
      </c>
      <c r="B2" s="53"/>
      <c r="C2" s="53"/>
      <c r="D2" s="53"/>
      <c r="E2" s="53"/>
      <c r="F2" s="53"/>
      <c r="G2" s="53"/>
      <c r="H2" s="53"/>
      <c r="I2" s="53"/>
      <c r="J2" s="53"/>
      <c r="K2" s="53"/>
      <c r="L2" s="53"/>
      <c r="M2" s="53"/>
    </row>
    <row r="3" spans="1:13" s="8" customFormat="1" ht="26.25" customHeight="1">
      <c r="A3" s="53" t="s">
        <v>17</v>
      </c>
      <c r="B3" s="53"/>
      <c r="C3" s="53"/>
      <c r="D3" s="53"/>
      <c r="E3" s="53"/>
      <c r="F3" s="53"/>
      <c r="G3" s="53"/>
      <c r="H3" s="53"/>
      <c r="I3" s="53"/>
      <c r="J3" s="53"/>
      <c r="K3" s="53"/>
      <c r="L3" s="53"/>
      <c r="M3" s="53"/>
    </row>
    <row r="4" spans="1:13" s="8" customFormat="1" ht="26.25" customHeight="1">
      <c r="A4" s="53" t="s">
        <v>53</v>
      </c>
      <c r="B4" s="53"/>
      <c r="C4" s="53"/>
      <c r="D4" s="53"/>
      <c r="E4" s="53"/>
      <c r="F4" s="53"/>
      <c r="G4" s="53"/>
      <c r="H4" s="53"/>
      <c r="I4" s="53"/>
      <c r="J4" s="53"/>
      <c r="K4" s="53"/>
      <c r="L4" s="53"/>
      <c r="M4" s="53"/>
    </row>
    <row r="5" spans="1:13" s="8" customFormat="1" ht="15" customHeight="1">
      <c r="A5" s="53"/>
      <c r="B5" s="53"/>
      <c r="C5" s="53"/>
      <c r="D5" s="53"/>
      <c r="E5" s="53"/>
      <c r="F5" s="53"/>
      <c r="G5" s="53"/>
      <c r="H5" s="53"/>
      <c r="I5" s="53"/>
      <c r="J5" s="53"/>
      <c r="K5" s="53"/>
      <c r="L5" s="53"/>
      <c r="M5" s="53"/>
    </row>
    <row r="6" spans="1:13">
      <c r="A6" s="53" t="s">
        <v>2</v>
      </c>
      <c r="B6" s="53"/>
      <c r="C6" s="53"/>
      <c r="D6" s="53"/>
      <c r="E6" s="53"/>
      <c r="F6" s="53"/>
      <c r="G6" s="53"/>
      <c r="H6" s="53"/>
      <c r="I6" s="53"/>
      <c r="J6" s="53"/>
      <c r="K6" s="53"/>
      <c r="L6" s="53"/>
      <c r="M6" s="53"/>
    </row>
  </sheetData>
  <mergeCells count="6">
    <mergeCell ref="A2:M2"/>
    <mergeCell ref="A5:M5"/>
    <mergeCell ref="A6:M6"/>
    <mergeCell ref="A1:M1"/>
    <mergeCell ref="A3:M3"/>
    <mergeCell ref="A4:M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34"/>
  <sheetViews>
    <sheetView workbookViewId="0">
      <pane xSplit="1" ySplit="1" topLeftCell="B2" activePane="bottomRight" state="frozen"/>
      <selection pane="topRight" activeCell="B1" sqref="B1"/>
      <selection pane="bottomLeft" activeCell="A2" sqref="A2"/>
      <selection pane="bottomRight" activeCell="F1" sqref="F1:F1048576"/>
    </sheetView>
  </sheetViews>
  <sheetFormatPr defaultRowHeight="12.75"/>
  <cols>
    <col min="1" max="1" width="11.85546875" style="42" customWidth="1"/>
    <col min="2" max="2" width="11.85546875" style="20" bestFit="1" customWidth="1"/>
    <col min="3" max="3" width="13.85546875" style="30" bestFit="1" customWidth="1"/>
    <col min="4" max="5" width="9.140625" style="20"/>
    <col min="6" max="6" width="22.140625" style="27" bestFit="1" customWidth="1"/>
    <col min="7" max="7" width="10.28515625" style="20" customWidth="1"/>
    <col min="8" max="8" width="22.140625" style="27" bestFit="1" customWidth="1"/>
    <col min="9" max="9" width="10.28515625" style="20" customWidth="1"/>
    <col min="10" max="10" width="13.85546875" style="27" bestFit="1" customWidth="1"/>
  </cols>
  <sheetData>
    <row r="1" spans="1:10" s="31" customFormat="1" ht="11.25">
      <c r="A1" s="31" t="s">
        <v>12</v>
      </c>
      <c r="B1" s="31" t="s">
        <v>29</v>
      </c>
      <c r="C1" s="31" t="s">
        <v>30</v>
      </c>
      <c r="D1" s="31" t="s">
        <v>26</v>
      </c>
      <c r="E1" s="31" t="s">
        <v>27</v>
      </c>
      <c r="F1" s="51" t="s">
        <v>63</v>
      </c>
      <c r="G1" s="31" t="s">
        <v>28</v>
      </c>
      <c r="H1" s="51" t="s">
        <v>64</v>
      </c>
      <c r="I1" s="31" t="s">
        <v>66</v>
      </c>
      <c r="J1" s="51" t="s">
        <v>65</v>
      </c>
    </row>
    <row r="2" spans="1:10">
      <c r="A2" s="41">
        <v>3521.01</v>
      </c>
      <c r="B2" s="28">
        <v>1292</v>
      </c>
      <c r="C2" s="29">
        <v>13</v>
      </c>
      <c r="D2" s="28">
        <v>969</v>
      </c>
      <c r="E2" s="28">
        <v>356</v>
      </c>
      <c r="F2" s="26">
        <v>0.36699999999999999</v>
      </c>
      <c r="G2" s="28">
        <v>613</v>
      </c>
      <c r="H2" s="26">
        <v>0.63300000000000001</v>
      </c>
      <c r="I2" s="28">
        <v>323</v>
      </c>
      <c r="J2" s="26">
        <v>0.25</v>
      </c>
    </row>
    <row r="3" spans="1:10">
      <c r="A3" s="41">
        <v>3521.02</v>
      </c>
      <c r="B3" s="28">
        <v>1431</v>
      </c>
      <c r="C3" s="29">
        <v>14</v>
      </c>
      <c r="D3" s="28">
        <v>1232</v>
      </c>
      <c r="E3" s="28">
        <v>674</v>
      </c>
      <c r="F3" s="26">
        <v>0.54700000000000004</v>
      </c>
      <c r="G3" s="28">
        <v>558</v>
      </c>
      <c r="H3" s="26">
        <v>0.45300000000000001</v>
      </c>
      <c r="I3" s="28">
        <v>199</v>
      </c>
      <c r="J3" s="26">
        <v>0.13900000000000001</v>
      </c>
    </row>
    <row r="4" spans="1:10">
      <c r="A4" s="41">
        <v>3522</v>
      </c>
      <c r="B4" s="28">
        <v>1145</v>
      </c>
      <c r="C4" s="29">
        <v>31</v>
      </c>
      <c r="D4" s="28">
        <v>1073</v>
      </c>
      <c r="E4" s="28">
        <v>276</v>
      </c>
      <c r="F4" s="26">
        <v>0.25700000000000001</v>
      </c>
      <c r="G4" s="28">
        <v>797</v>
      </c>
      <c r="H4" s="26">
        <v>0.74299999999999999</v>
      </c>
      <c r="I4" s="28">
        <v>72</v>
      </c>
      <c r="J4" s="26">
        <v>6.3E-2</v>
      </c>
    </row>
    <row r="5" spans="1:10">
      <c r="A5" s="41">
        <v>3523</v>
      </c>
      <c r="B5" s="28">
        <v>2069</v>
      </c>
      <c r="C5" s="29">
        <v>14</v>
      </c>
      <c r="D5" s="28">
        <v>1775</v>
      </c>
      <c r="E5" s="28">
        <v>313</v>
      </c>
      <c r="F5" s="26">
        <v>0.17599999999999999</v>
      </c>
      <c r="G5" s="28">
        <v>1462</v>
      </c>
      <c r="H5" s="26">
        <v>0.82399999999999995</v>
      </c>
      <c r="I5" s="28">
        <v>294</v>
      </c>
      <c r="J5" s="26">
        <v>0.14199999999999999</v>
      </c>
    </row>
    <row r="6" spans="1:10">
      <c r="A6" s="41">
        <v>3524</v>
      </c>
      <c r="B6" s="28">
        <v>818</v>
      </c>
      <c r="C6" s="29">
        <v>7</v>
      </c>
      <c r="D6" s="28">
        <v>791</v>
      </c>
      <c r="E6" s="28">
        <v>147</v>
      </c>
      <c r="F6" s="26">
        <v>0.186</v>
      </c>
      <c r="G6" s="28">
        <v>644</v>
      </c>
      <c r="H6" s="26">
        <v>0.81399999999999995</v>
      </c>
      <c r="I6" s="28">
        <v>27</v>
      </c>
      <c r="J6" s="26">
        <v>3.3000000000000002E-2</v>
      </c>
    </row>
    <row r="7" spans="1:10">
      <c r="A7" s="41">
        <v>3525</v>
      </c>
      <c r="B7" s="28">
        <v>1267</v>
      </c>
      <c r="C7" s="29">
        <v>25</v>
      </c>
      <c r="D7" s="28">
        <v>1207</v>
      </c>
      <c r="E7" s="28">
        <v>391</v>
      </c>
      <c r="F7" s="26">
        <v>0.32400000000000001</v>
      </c>
      <c r="G7" s="28">
        <v>816</v>
      </c>
      <c r="H7" s="26">
        <v>0.67600000000000005</v>
      </c>
      <c r="I7" s="28">
        <v>60</v>
      </c>
      <c r="J7" s="26">
        <v>4.7E-2</v>
      </c>
    </row>
    <row r="8" spans="1:10">
      <c r="A8" s="41">
        <v>3526</v>
      </c>
      <c r="B8" s="28">
        <v>1055</v>
      </c>
      <c r="C8" s="29">
        <v>18</v>
      </c>
      <c r="D8" s="28">
        <v>1017</v>
      </c>
      <c r="E8" s="28">
        <v>302</v>
      </c>
      <c r="F8" s="26">
        <v>0.29699999999999999</v>
      </c>
      <c r="G8" s="28">
        <v>715</v>
      </c>
      <c r="H8" s="26">
        <v>0.70299999999999996</v>
      </c>
      <c r="I8" s="28">
        <v>38</v>
      </c>
      <c r="J8" s="26">
        <v>3.5999999999999997E-2</v>
      </c>
    </row>
    <row r="9" spans="1:10">
      <c r="A9" s="41">
        <v>3527</v>
      </c>
      <c r="B9" s="28">
        <v>1016</v>
      </c>
      <c r="C9" s="29">
        <v>26</v>
      </c>
      <c r="D9" s="28">
        <v>977</v>
      </c>
      <c r="E9" s="28">
        <v>201</v>
      </c>
      <c r="F9" s="26">
        <v>0.20599999999999999</v>
      </c>
      <c r="G9" s="28">
        <v>776</v>
      </c>
      <c r="H9" s="26">
        <v>0.79400000000000004</v>
      </c>
      <c r="I9" s="28">
        <v>39</v>
      </c>
      <c r="J9" s="26">
        <v>3.7999999999999999E-2</v>
      </c>
    </row>
    <row r="10" spans="1:10">
      <c r="A10" s="41">
        <v>3528</v>
      </c>
      <c r="B10" s="28">
        <v>955</v>
      </c>
      <c r="C10" s="29">
        <v>24</v>
      </c>
      <c r="D10" s="28">
        <v>899</v>
      </c>
      <c r="E10" s="28">
        <v>306</v>
      </c>
      <c r="F10" s="26">
        <v>0.34</v>
      </c>
      <c r="G10" s="28">
        <v>593</v>
      </c>
      <c r="H10" s="26">
        <v>0.66</v>
      </c>
      <c r="I10" s="28">
        <v>56</v>
      </c>
      <c r="J10" s="26">
        <v>5.8999999999999997E-2</v>
      </c>
    </row>
    <row r="11" spans="1:10">
      <c r="A11" s="41">
        <v>3529</v>
      </c>
      <c r="B11" s="28">
        <v>1415</v>
      </c>
      <c r="C11" s="29">
        <v>19</v>
      </c>
      <c r="D11" s="28">
        <v>1333</v>
      </c>
      <c r="E11" s="28">
        <v>640</v>
      </c>
      <c r="F11" s="26">
        <v>0.48</v>
      </c>
      <c r="G11" s="28">
        <v>693</v>
      </c>
      <c r="H11" s="26">
        <v>0.52</v>
      </c>
      <c r="I11" s="28">
        <v>82</v>
      </c>
      <c r="J11" s="26">
        <v>5.8000000000000003E-2</v>
      </c>
    </row>
    <row r="12" spans="1:10">
      <c r="A12" s="41">
        <v>3530</v>
      </c>
      <c r="B12" s="28">
        <v>2001</v>
      </c>
      <c r="C12" s="29">
        <v>24</v>
      </c>
      <c r="D12" s="28">
        <v>1906</v>
      </c>
      <c r="E12" s="28">
        <v>452</v>
      </c>
      <c r="F12" s="26">
        <v>0.23699999999999999</v>
      </c>
      <c r="G12" s="28">
        <v>1454</v>
      </c>
      <c r="H12" s="26">
        <v>0.76300000000000001</v>
      </c>
      <c r="I12" s="28">
        <v>95</v>
      </c>
      <c r="J12" s="26">
        <v>4.7E-2</v>
      </c>
    </row>
    <row r="13" spans="1:10">
      <c r="A13" s="41">
        <v>3531.01</v>
      </c>
      <c r="B13" s="28">
        <v>1035</v>
      </c>
      <c r="C13" s="29">
        <v>10</v>
      </c>
      <c r="D13" s="28">
        <v>962</v>
      </c>
      <c r="E13" s="28">
        <v>101</v>
      </c>
      <c r="F13" s="26">
        <v>0.105</v>
      </c>
      <c r="G13" s="28">
        <v>861</v>
      </c>
      <c r="H13" s="26">
        <v>0.89500000000000002</v>
      </c>
      <c r="I13" s="28">
        <v>73</v>
      </c>
      <c r="J13" s="26">
        <v>7.0999999999999994E-2</v>
      </c>
    </row>
    <row r="14" spans="1:10">
      <c r="A14" s="41">
        <v>3531.02</v>
      </c>
      <c r="B14" s="28">
        <v>327</v>
      </c>
      <c r="C14" s="29">
        <v>1</v>
      </c>
      <c r="D14" s="28">
        <v>313</v>
      </c>
      <c r="E14" s="28">
        <v>0</v>
      </c>
      <c r="F14" s="26">
        <v>0</v>
      </c>
      <c r="G14" s="28">
        <v>313</v>
      </c>
      <c r="H14" s="26">
        <v>1</v>
      </c>
      <c r="I14" s="28">
        <v>14</v>
      </c>
      <c r="J14" s="26">
        <v>4.2999999999999997E-2</v>
      </c>
    </row>
    <row r="15" spans="1:10">
      <c r="A15" s="41">
        <v>3532</v>
      </c>
      <c r="B15" s="28">
        <v>1701</v>
      </c>
      <c r="C15" s="29">
        <v>13</v>
      </c>
      <c r="D15" s="28">
        <v>1612</v>
      </c>
      <c r="E15" s="28">
        <v>574</v>
      </c>
      <c r="F15" s="26">
        <v>0.35599999999999998</v>
      </c>
      <c r="G15" s="28">
        <v>1038</v>
      </c>
      <c r="H15" s="26">
        <v>0.64400000000000002</v>
      </c>
      <c r="I15" s="28">
        <v>89</v>
      </c>
      <c r="J15" s="26">
        <v>5.1999999999999998E-2</v>
      </c>
    </row>
    <row r="16" spans="1:10">
      <c r="A16" s="41">
        <v>3533</v>
      </c>
      <c r="B16" s="28">
        <v>1771</v>
      </c>
      <c r="C16" s="29">
        <v>15</v>
      </c>
      <c r="D16" s="28">
        <v>1620</v>
      </c>
      <c r="E16" s="28">
        <v>695</v>
      </c>
      <c r="F16" s="26">
        <v>0.42899999999999999</v>
      </c>
      <c r="G16" s="28">
        <v>925</v>
      </c>
      <c r="H16" s="26">
        <v>0.57099999999999995</v>
      </c>
      <c r="I16" s="28">
        <v>151</v>
      </c>
      <c r="J16" s="26">
        <v>8.5000000000000006E-2</v>
      </c>
    </row>
    <row r="17" spans="1:10">
      <c r="A17" s="41">
        <v>3534</v>
      </c>
      <c r="B17" s="28">
        <v>1298</v>
      </c>
      <c r="C17" s="29">
        <v>18</v>
      </c>
      <c r="D17" s="28">
        <v>1235</v>
      </c>
      <c r="E17" s="28">
        <v>472</v>
      </c>
      <c r="F17" s="26">
        <v>0.38200000000000001</v>
      </c>
      <c r="G17" s="28">
        <v>763</v>
      </c>
      <c r="H17" s="26">
        <v>0.61799999999999999</v>
      </c>
      <c r="I17" s="28">
        <v>63</v>
      </c>
      <c r="J17" s="26">
        <v>4.9000000000000002E-2</v>
      </c>
    </row>
    <row r="18" spans="1:10">
      <c r="A18" s="41">
        <v>3535</v>
      </c>
      <c r="B18" s="28">
        <v>1330</v>
      </c>
      <c r="C18" s="29">
        <v>26</v>
      </c>
      <c r="D18" s="28">
        <v>1271</v>
      </c>
      <c r="E18" s="28">
        <v>401</v>
      </c>
      <c r="F18" s="26">
        <v>0.315</v>
      </c>
      <c r="G18" s="28">
        <v>870</v>
      </c>
      <c r="H18" s="26">
        <v>0.68500000000000005</v>
      </c>
      <c r="I18" s="28">
        <v>59</v>
      </c>
      <c r="J18" s="26">
        <v>4.3999999999999997E-2</v>
      </c>
    </row>
    <row r="19" spans="1:10">
      <c r="A19" s="41">
        <v>3536</v>
      </c>
      <c r="B19" s="28">
        <v>1568</v>
      </c>
      <c r="C19" s="29">
        <v>9</v>
      </c>
      <c r="D19" s="28">
        <v>1486</v>
      </c>
      <c r="E19" s="28">
        <v>499</v>
      </c>
      <c r="F19" s="26">
        <v>0.33600000000000002</v>
      </c>
      <c r="G19" s="28">
        <v>987</v>
      </c>
      <c r="H19" s="26">
        <v>0.66400000000000003</v>
      </c>
      <c r="I19" s="28">
        <v>82</v>
      </c>
      <c r="J19" s="26">
        <v>5.1999999999999998E-2</v>
      </c>
    </row>
    <row r="20" spans="1:10">
      <c r="A20" s="41">
        <v>3537</v>
      </c>
      <c r="B20" s="28">
        <v>1956</v>
      </c>
      <c r="C20" s="29">
        <v>14</v>
      </c>
      <c r="D20" s="28">
        <v>1837</v>
      </c>
      <c r="E20" s="28">
        <v>424</v>
      </c>
      <c r="F20" s="26">
        <v>0.23100000000000001</v>
      </c>
      <c r="G20" s="28">
        <v>1413</v>
      </c>
      <c r="H20" s="26">
        <v>0.76900000000000002</v>
      </c>
      <c r="I20" s="28">
        <v>119</v>
      </c>
      <c r="J20" s="26">
        <v>6.0999999999999999E-2</v>
      </c>
    </row>
    <row r="21" spans="1:10">
      <c r="A21" s="41">
        <v>3538</v>
      </c>
      <c r="B21" s="28">
        <v>2947</v>
      </c>
      <c r="C21" s="29">
        <v>39</v>
      </c>
      <c r="D21" s="28">
        <v>2738</v>
      </c>
      <c r="E21" s="28">
        <v>847</v>
      </c>
      <c r="F21" s="26">
        <v>0.309</v>
      </c>
      <c r="G21" s="28">
        <v>1891</v>
      </c>
      <c r="H21" s="26">
        <v>0.69099999999999995</v>
      </c>
      <c r="I21" s="28">
        <v>209</v>
      </c>
      <c r="J21" s="26">
        <v>7.0999999999999994E-2</v>
      </c>
    </row>
    <row r="22" spans="1:10">
      <c r="A22" s="41">
        <v>3539</v>
      </c>
      <c r="B22" s="28">
        <v>1519</v>
      </c>
      <c r="C22" s="29">
        <v>19</v>
      </c>
      <c r="D22" s="28">
        <v>1453</v>
      </c>
      <c r="E22" s="28">
        <v>104</v>
      </c>
      <c r="F22" s="26">
        <v>7.1999999999999995E-2</v>
      </c>
      <c r="G22" s="28">
        <v>1349</v>
      </c>
      <c r="H22" s="26">
        <v>0.92800000000000005</v>
      </c>
      <c r="I22" s="28">
        <v>66</v>
      </c>
      <c r="J22" s="26">
        <v>4.2999999999999997E-2</v>
      </c>
    </row>
    <row r="23" spans="1:10">
      <c r="A23" s="41">
        <v>3540</v>
      </c>
      <c r="B23" s="28">
        <v>2089</v>
      </c>
      <c r="C23" s="29">
        <v>18</v>
      </c>
      <c r="D23" s="28">
        <v>1962</v>
      </c>
      <c r="E23" s="28">
        <v>655</v>
      </c>
      <c r="F23" s="26">
        <v>0.33400000000000002</v>
      </c>
      <c r="G23" s="28">
        <v>1307</v>
      </c>
      <c r="H23" s="26">
        <v>0.66600000000000004</v>
      </c>
      <c r="I23" s="28">
        <v>127</v>
      </c>
      <c r="J23" s="26">
        <v>6.0999999999999999E-2</v>
      </c>
    </row>
    <row r="24" spans="1:10">
      <c r="A24" s="41">
        <v>3541</v>
      </c>
      <c r="B24" s="28">
        <v>1717</v>
      </c>
      <c r="C24" s="29">
        <v>12</v>
      </c>
      <c r="D24" s="28">
        <v>1521</v>
      </c>
      <c r="E24" s="28">
        <v>736</v>
      </c>
      <c r="F24" s="26">
        <v>0.48399999999999999</v>
      </c>
      <c r="G24" s="28">
        <v>785</v>
      </c>
      <c r="H24" s="26">
        <v>0.51600000000000001</v>
      </c>
      <c r="I24" s="28">
        <v>196</v>
      </c>
      <c r="J24" s="26">
        <v>0.114</v>
      </c>
    </row>
    <row r="25" spans="1:10">
      <c r="A25" s="41">
        <v>3542</v>
      </c>
      <c r="B25" s="28">
        <v>1404</v>
      </c>
      <c r="C25" s="29">
        <v>4</v>
      </c>
      <c r="D25" s="28">
        <v>1291</v>
      </c>
      <c r="E25" s="28">
        <v>899</v>
      </c>
      <c r="F25" s="26">
        <v>0.69599999999999995</v>
      </c>
      <c r="G25" s="28">
        <v>392</v>
      </c>
      <c r="H25" s="26">
        <v>0.30399999999999999</v>
      </c>
      <c r="I25" s="28">
        <v>113</v>
      </c>
      <c r="J25" s="26">
        <v>0.08</v>
      </c>
    </row>
    <row r="26" spans="1:10">
      <c r="A26" s="41">
        <v>3543</v>
      </c>
      <c r="B26" s="28">
        <v>1651</v>
      </c>
      <c r="C26" s="29">
        <v>5</v>
      </c>
      <c r="D26" s="28">
        <v>1551</v>
      </c>
      <c r="E26" s="28">
        <v>639</v>
      </c>
      <c r="F26" s="26">
        <v>0.41199999999999998</v>
      </c>
      <c r="G26" s="28">
        <v>912</v>
      </c>
      <c r="H26" s="26">
        <v>0.58799999999999997</v>
      </c>
      <c r="I26" s="28">
        <v>100</v>
      </c>
      <c r="J26" s="26">
        <v>6.0999999999999999E-2</v>
      </c>
    </row>
    <row r="27" spans="1:10">
      <c r="A27" s="41">
        <v>3544</v>
      </c>
      <c r="B27" s="28">
        <v>802</v>
      </c>
      <c r="C27" s="29">
        <v>11</v>
      </c>
      <c r="D27" s="28">
        <v>759</v>
      </c>
      <c r="E27" s="28">
        <v>434</v>
      </c>
      <c r="F27" s="26">
        <v>0.57199999999999995</v>
      </c>
      <c r="G27" s="28">
        <v>325</v>
      </c>
      <c r="H27" s="26">
        <v>0.42799999999999999</v>
      </c>
      <c r="I27" s="28">
        <v>43</v>
      </c>
      <c r="J27" s="26">
        <v>5.3999999999999999E-2</v>
      </c>
    </row>
    <row r="28" spans="1:10">
      <c r="A28" s="41">
        <v>3545</v>
      </c>
      <c r="B28" s="28">
        <v>1291</v>
      </c>
      <c r="C28" s="29">
        <v>13</v>
      </c>
      <c r="D28" s="28">
        <v>1218</v>
      </c>
      <c r="E28" s="28">
        <v>522</v>
      </c>
      <c r="F28" s="26">
        <v>0.42899999999999999</v>
      </c>
      <c r="G28" s="28">
        <v>696</v>
      </c>
      <c r="H28" s="26">
        <v>0.57099999999999995</v>
      </c>
      <c r="I28" s="28">
        <v>73</v>
      </c>
      <c r="J28" s="26">
        <v>5.7000000000000002E-2</v>
      </c>
    </row>
    <row r="29" spans="1:10">
      <c r="A29" s="41">
        <v>3546</v>
      </c>
      <c r="B29" s="28">
        <v>2192</v>
      </c>
      <c r="C29" s="29">
        <v>6</v>
      </c>
      <c r="D29" s="28">
        <v>2078</v>
      </c>
      <c r="E29" s="28">
        <v>804</v>
      </c>
      <c r="F29" s="26">
        <v>0.38700000000000001</v>
      </c>
      <c r="G29" s="28">
        <v>1274</v>
      </c>
      <c r="H29" s="26">
        <v>0.61299999999999999</v>
      </c>
      <c r="I29" s="28">
        <v>114</v>
      </c>
      <c r="J29" s="26">
        <v>5.1999999999999998E-2</v>
      </c>
    </row>
    <row r="30" spans="1:10">
      <c r="A30" s="41">
        <v>3547</v>
      </c>
      <c r="B30" s="28">
        <v>1207</v>
      </c>
      <c r="C30" s="29">
        <v>14</v>
      </c>
      <c r="D30" s="28">
        <v>1145</v>
      </c>
      <c r="E30" s="28">
        <v>585</v>
      </c>
      <c r="F30" s="26">
        <v>0.51100000000000001</v>
      </c>
      <c r="G30" s="28">
        <v>560</v>
      </c>
      <c r="H30" s="26">
        <v>0.48899999999999999</v>
      </c>
      <c r="I30" s="28">
        <v>62</v>
      </c>
      <c r="J30" s="26">
        <v>5.0999999999999997E-2</v>
      </c>
    </row>
    <row r="31" spans="1:10">
      <c r="A31" s="41">
        <v>3548</v>
      </c>
      <c r="B31" s="28">
        <v>977</v>
      </c>
      <c r="C31" s="29">
        <v>13</v>
      </c>
      <c r="D31" s="28">
        <v>913</v>
      </c>
      <c r="E31" s="28">
        <v>475</v>
      </c>
      <c r="F31" s="26">
        <v>0.52</v>
      </c>
      <c r="G31" s="28">
        <v>438</v>
      </c>
      <c r="H31" s="26">
        <v>0.48</v>
      </c>
      <c r="I31" s="28">
        <v>64</v>
      </c>
      <c r="J31" s="26">
        <v>6.6000000000000003E-2</v>
      </c>
    </row>
    <row r="32" spans="1:10">
      <c r="A32" s="41">
        <v>3549</v>
      </c>
      <c r="B32" s="28">
        <v>2632</v>
      </c>
      <c r="C32" s="29">
        <v>9</v>
      </c>
      <c r="D32" s="28">
        <v>2552</v>
      </c>
      <c r="E32" s="28">
        <v>722</v>
      </c>
      <c r="F32" s="26">
        <v>0.28299999999999997</v>
      </c>
      <c r="G32" s="28">
        <v>1830</v>
      </c>
      <c r="H32" s="26">
        <v>0.71699999999999997</v>
      </c>
      <c r="I32" s="28">
        <v>80</v>
      </c>
      <c r="J32" s="26">
        <v>0.03</v>
      </c>
    </row>
    <row r="33" spans="1:10">
      <c r="A33" s="41">
        <v>3550</v>
      </c>
      <c r="B33" s="28">
        <v>1413</v>
      </c>
      <c r="C33" s="29">
        <v>12</v>
      </c>
      <c r="D33" s="28">
        <v>1336</v>
      </c>
      <c r="E33" s="28">
        <v>589</v>
      </c>
      <c r="F33" s="26">
        <v>0.441</v>
      </c>
      <c r="G33" s="28">
        <v>747</v>
      </c>
      <c r="H33" s="26">
        <v>0.55900000000000005</v>
      </c>
      <c r="I33" s="28">
        <v>77</v>
      </c>
      <c r="J33" s="26">
        <v>5.3999999999999999E-2</v>
      </c>
    </row>
    <row r="34" spans="1:10">
      <c r="A34" s="41" t="s">
        <v>4</v>
      </c>
      <c r="B34" s="28">
        <v>47291</v>
      </c>
      <c r="C34" s="46">
        <v>12</v>
      </c>
      <c r="D34" s="28">
        <v>44032</v>
      </c>
      <c r="E34" s="28">
        <v>15235</v>
      </c>
      <c r="F34" s="26">
        <v>0.34599999999999997</v>
      </c>
      <c r="G34" s="28">
        <v>28797</v>
      </c>
      <c r="H34" s="26">
        <v>0.65400000000000003</v>
      </c>
      <c r="I34" s="28">
        <v>3259</v>
      </c>
      <c r="J34" s="26">
        <v>6.9000000000000006E-2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4"/>
  <sheetViews>
    <sheetView workbookViewId="0">
      <selection activeCell="A2" sqref="A2:J2"/>
    </sheetView>
  </sheetViews>
  <sheetFormatPr defaultRowHeight="12.75"/>
  <sheetData>
    <row r="1" spans="1:13">
      <c r="A1" s="55" t="s">
        <v>54</v>
      </c>
      <c r="B1" s="55"/>
      <c r="C1" s="55"/>
      <c r="D1" s="55"/>
      <c r="E1" s="55"/>
      <c r="F1" s="55"/>
      <c r="G1" s="55"/>
      <c r="H1" s="55"/>
      <c r="I1" s="55"/>
      <c r="J1" s="55"/>
    </row>
    <row r="2" spans="1:13">
      <c r="A2" s="54" t="s">
        <v>55</v>
      </c>
      <c r="B2" s="55"/>
      <c r="C2" s="55"/>
      <c r="D2" s="55"/>
      <c r="E2" s="55"/>
      <c r="F2" s="55"/>
      <c r="G2" s="55"/>
      <c r="H2" s="55"/>
      <c r="I2" s="55"/>
      <c r="J2" s="55"/>
    </row>
    <row r="4" spans="1:13">
      <c r="A4" s="53" t="s">
        <v>2</v>
      </c>
      <c r="B4" s="53"/>
      <c r="C4" s="53"/>
      <c r="D4" s="53"/>
      <c r="E4" s="53"/>
      <c r="F4" s="53"/>
      <c r="G4" s="53"/>
      <c r="H4" s="53"/>
      <c r="I4" s="53"/>
      <c r="J4" s="53"/>
      <c r="K4" s="53"/>
      <c r="L4" s="53"/>
      <c r="M4" s="53"/>
    </row>
  </sheetData>
  <mergeCells count="3">
    <mergeCell ref="A4:M4"/>
    <mergeCell ref="A2:J2"/>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Population</vt:lpstr>
      <vt:lpstr>Population Footnotes</vt:lpstr>
      <vt:lpstr>Age</vt:lpstr>
      <vt:lpstr>RaceHispanic</vt:lpstr>
      <vt:lpstr>RaceHispanic Footnotes</vt:lpstr>
      <vt:lpstr>HHs</vt:lpstr>
      <vt:lpstr>HH Footnotes</vt:lpstr>
      <vt:lpstr>Families</vt:lpstr>
      <vt:lpstr>Family Footnotes</vt:lpstr>
      <vt:lpstr>Tenure</vt:lpstr>
      <vt:lpstr>Tenure Footnotes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ccook2</cp:lastModifiedBy>
  <dcterms:created xsi:type="dcterms:W3CDTF">2012-04-04T19:08:43Z</dcterms:created>
  <dcterms:modified xsi:type="dcterms:W3CDTF">2012-06-15T14:23:15Z</dcterms:modified>
</cp:coreProperties>
</file>