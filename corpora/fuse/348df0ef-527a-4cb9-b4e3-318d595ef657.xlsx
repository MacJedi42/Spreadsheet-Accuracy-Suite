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36" yWindow="372" windowWidth="11868" windowHeight="8988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E4" i="1"/>
  <c r="D4" i="1"/>
  <c r="C4" i="1"/>
  <c r="B4" i="1"/>
  <c r="A4" i="1"/>
  <c r="O616" i="1"/>
  <c r="N616" i="1"/>
  <c r="M616" i="1"/>
  <c r="L616" i="1"/>
  <c r="K616" i="1"/>
  <c r="J616" i="1"/>
  <c r="O615" i="1" l="1"/>
  <c r="N615" i="1"/>
  <c r="M615" i="1"/>
  <c r="L615" i="1"/>
  <c r="K615" i="1"/>
  <c r="J615" i="1"/>
  <c r="O614" i="1" l="1"/>
  <c r="N614" i="1"/>
  <c r="M614" i="1"/>
  <c r="L614" i="1"/>
  <c r="K614" i="1"/>
  <c r="J614" i="1"/>
  <c r="O613" i="1" l="1"/>
  <c r="N613" i="1"/>
  <c r="M613" i="1"/>
  <c r="L613" i="1"/>
  <c r="K613" i="1"/>
  <c r="J613" i="1"/>
  <c r="O612" i="1" l="1"/>
  <c r="N612" i="1"/>
  <c r="M612" i="1"/>
  <c r="L612" i="1"/>
  <c r="K612" i="1"/>
  <c r="J612" i="1"/>
  <c r="O611" i="1" l="1"/>
  <c r="N611" i="1"/>
  <c r="M611" i="1"/>
  <c r="L611" i="1"/>
  <c r="K611" i="1"/>
  <c r="J611" i="1"/>
  <c r="O610" i="1" l="1"/>
  <c r="N610" i="1"/>
  <c r="M610" i="1"/>
  <c r="L610" i="1"/>
  <c r="K610" i="1"/>
  <c r="J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O603" i="1" l="1"/>
  <c r="N603" i="1"/>
  <c r="M603" i="1"/>
  <c r="L603" i="1"/>
  <c r="K603" i="1"/>
  <c r="J603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O600" i="1"/>
  <c r="N600" i="1"/>
  <c r="M600" i="1"/>
  <c r="L600" i="1"/>
  <c r="K600" i="1"/>
  <c r="J600" i="1"/>
  <c r="O599" i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<sst xmlns="http://schemas.openxmlformats.org/spreadsheetml/2006/main" count="76" uniqueCount="33">
  <si>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</si>
  <si>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</si>
  <si>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</si>
  <si>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</si>
  <si>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</si>
  <si>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</si>
  <si>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</si>
  <si>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</si>
  <si>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</si>
  <si>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</si>
  <si>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</si>
  <si>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</si>
  <si>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</si>
  <si>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</si>
  <si>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</si>
  <si>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</si>
  <si>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</si>
  <si>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</si>
  <si>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</si>
  <si>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</si>
  <si>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</si>
  <si>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</si>
  <si>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</si>
  <si>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</si>
  <si>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</si>
  <si>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</si>
  <si>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Unit</t>
  </si>
  <si>
    <t>Shuttle</t>
  </si>
  <si>
    <t>Monthly Averaged Tariffs
 with Fuel Surcharges</t>
  </si>
  <si>
    <t>Unit Train</t>
  </si>
  <si>
    <t>Secondary</t>
  </si>
  <si>
    <t>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</si>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</sst>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16"/>
  <sheetViews>
    <sheetView defaultGridColor="0" colorId="22" zoomScaleNormal="100" workbookViewId="0">
      <pane xSplit="1" ySplit="7" topLeftCell="B613" activePane="bottomRight" state="frozen"/>
      <selection pane="topRight" activeCell="B1" sqref="B1"/>
      <selection pane="bottomLeft" activeCell="A8" sqref="A8"/>
      <selection pane="bottomRight" activeCell="F622" sqref="F622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179687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4.36328125" style="1" bestFit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81640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  <c r="Q3" s="4" t="s">
        <v>3</v>
      </c>
    </row>
    <row r="4" spans="1:26" ht="15" customHeight="1" x14ac:dyDescent="0.3">
      <c r="A4" s="54">
        <f>(A616)</f>
        <v>41745</v>
      </c>
      <c r="B4" s="53">
        <f t="shared" ref="B4:G4" si="0">J616</f>
        <v>265.23489932885906</v>
      </c>
      <c r="C4" s="53">
        <f t="shared" si="0"/>
        <v>294.58304139771735</v>
      </c>
      <c r="D4" s="53">
        <f t="shared" si="0"/>
        <v>269.96064341748598</v>
      </c>
      <c r="E4" s="53">
        <f t="shared" si="0"/>
        <v>213.33333333333334</v>
      </c>
      <c r="F4" s="53">
        <f t="shared" si="0"/>
        <v>223.61359570661898</v>
      </c>
      <c r="G4" s="53">
        <f t="shared" si="0"/>
        <v>191.48936170212767</v>
      </c>
    </row>
    <row r="5" spans="1:26" s="32" customFormat="1" ht="15.6" customHeight="1" x14ac:dyDescent="0.3">
      <c r="A5" s="28"/>
      <c r="B5" s="8">
        <f t="shared" ref="B5:G5" si="1">(B616-B615)/(B615)</f>
        <v>-1.7681232634503957E-3</v>
      </c>
      <c r="C5" s="8">
        <f t="shared" si="1"/>
        <v>-0.24528301886792453</v>
      </c>
      <c r="D5" s="8">
        <f t="shared" si="1"/>
        <v>-0.34057408844065168</v>
      </c>
      <c r="E5" s="8">
        <f t="shared" si="1"/>
        <v>3.783783783783784E-2</v>
      </c>
      <c r="F5" s="8">
        <f t="shared" si="1"/>
        <v>0</v>
      </c>
      <c r="G5" s="8">
        <f t="shared" si="1"/>
        <v>0</v>
      </c>
      <c r="H5" s="29"/>
      <c r="I5" s="29"/>
      <c r="J5" s="29"/>
      <c r="K5" s="29">
        <v>-0.115</v>
      </c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71" t="s">
        <v>28</v>
      </c>
      <c r="Z5" s="172"/>
    </row>
    <row r="6" spans="1:26" x14ac:dyDescent="0.3">
      <c r="A6" s="1" t="s">
        <v>4</v>
      </c>
      <c r="B6" s="19" t="s">
        <v>5</v>
      </c>
      <c r="C6" s="2" t="s">
        <v>30</v>
      </c>
      <c r="D6" s="2" t="s">
        <v>30</v>
      </c>
      <c r="E6" s="2" t="s">
        <v>22</v>
      </c>
      <c r="F6" s="19" t="s">
        <v>6</v>
      </c>
      <c r="I6" s="1" t="s">
        <v>7</v>
      </c>
      <c r="Q6" s="9" t="s">
        <v>8</v>
      </c>
      <c r="Y6" s="172"/>
      <c r="Z6" s="172"/>
    </row>
    <row r="7" spans="1:26" x14ac:dyDescent="0.3">
      <c r="A7" s="1" t="s">
        <v>9</v>
      </c>
      <c r="B7" s="19" t="s">
        <v>10</v>
      </c>
      <c r="C7" s="2" t="s">
        <v>26</v>
      </c>
      <c r="D7" s="2" t="s">
        <v>27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26</v>
      </c>
      <c r="S7" s="4" t="s">
        <v>27</v>
      </c>
      <c r="T7" s="4" t="s">
        <v>17</v>
      </c>
      <c r="U7" s="4" t="s">
        <v>13</v>
      </c>
      <c r="V7" s="3" t="s">
        <v>14</v>
      </c>
      <c r="Y7" s="4" t="s">
        <v>26</v>
      </c>
      <c r="Z7" s="4" t="s">
        <v>27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70" t="s">
        <v>25</v>
      </c>
      <c r="G236" s="170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3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95" customHeight="1" x14ac:dyDescent="0.3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3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3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3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3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3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3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3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3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3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3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3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3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3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3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3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3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3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3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3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73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3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3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3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3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3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3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3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82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3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3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4"/>
        <v>261.07382550335575</v>
      </c>
      <c r="K569" s="11">
        <f t="shared" si="139"/>
        <v>233.55864752387672</v>
      </c>
      <c r="L569" s="11">
        <f t="shared" si="139"/>
        <v>204.71740628819424</v>
      </c>
      <c r="M569" s="27">
        <f t="shared" si="142"/>
        <v>151.66666666666666</v>
      </c>
      <c r="N569" s="27">
        <f t="shared" si="142"/>
        <v>199.01610017889089</v>
      </c>
      <c r="O569" s="27">
        <f t="shared" si="142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3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617" si="143">(1+(B570-Q570)/Q570)*100</f>
        <v>260.40268456375838</v>
      </c>
      <c r="K570" s="11">
        <f t="shared" si="139"/>
        <v>233.55864752387672</v>
      </c>
      <c r="L570" s="11">
        <f t="shared" si="139"/>
        <v>205.35890216763102</v>
      </c>
      <c r="M570" s="27">
        <f t="shared" si="142"/>
        <v>172.22222222222223</v>
      </c>
      <c r="N570" s="27">
        <f t="shared" si="142"/>
        <v>201.25223613595705</v>
      </c>
      <c r="O570" s="27">
        <f t="shared" si="142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3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3"/>
        <v>259.66442953020135</v>
      </c>
      <c r="K571" s="11">
        <f t="shared" si="139"/>
        <v>236.34115952626894</v>
      </c>
      <c r="L571" s="11">
        <f t="shared" si="139"/>
        <v>209.60628014832275</v>
      </c>
      <c r="M571" s="27">
        <f t="shared" si="142"/>
        <v>175</v>
      </c>
      <c r="N571" s="27">
        <f t="shared" si="142"/>
        <v>196.77996422182468</v>
      </c>
      <c r="O571" s="27">
        <f t="shared" si="142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3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3"/>
        <v>258.32214765100667</v>
      </c>
      <c r="K572" s="11">
        <f t="shared" si="139"/>
        <v>235.98320095096116</v>
      </c>
      <c r="L572" s="11">
        <f t="shared" si="139"/>
        <v>209.07170024879213</v>
      </c>
      <c r="M572" s="27">
        <f t="shared" si="142"/>
        <v>162.77777777777777</v>
      </c>
      <c r="N572" s="27">
        <f t="shared" si="142"/>
        <v>196.77996422182468</v>
      </c>
      <c r="O572" s="27">
        <f t="shared" si="142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3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3"/>
        <v>257.78523489932883</v>
      </c>
      <c r="K573" s="11">
        <f t="shared" si="139"/>
        <v>235.98320095096116</v>
      </c>
      <c r="L573" s="11">
        <f t="shared" si="139"/>
        <v>214.95207914362902</v>
      </c>
      <c r="M573" s="27">
        <f t="shared" si="142"/>
        <v>163.88888888888889</v>
      </c>
      <c r="N573" s="27">
        <f t="shared" si="142"/>
        <v>203.48837209302326</v>
      </c>
      <c r="O573" s="27">
        <f t="shared" si="142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3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3"/>
        <v>257.58389261744964</v>
      </c>
      <c r="K574" s="11">
        <f t="shared" ref="K574:L589" si="144">(C574+Y574)/R574*100</f>
        <v>236.20348315115058</v>
      </c>
      <c r="L574" s="11">
        <f t="shared" si="144"/>
        <v>207.72455890197494</v>
      </c>
      <c r="M574" s="27">
        <f t="shared" si="142"/>
        <v>179.44444444444443</v>
      </c>
      <c r="N574" s="27">
        <f t="shared" si="142"/>
        <v>205.72450805008947</v>
      </c>
      <c r="O574" s="27">
        <f t="shared" si="142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3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3"/>
        <v>256.17449664429535</v>
      </c>
      <c r="K575" s="11">
        <f t="shared" si="144"/>
        <v>234.15483695101429</v>
      </c>
      <c r="L575" s="11">
        <f t="shared" si="144"/>
        <v>204.72548688541244</v>
      </c>
      <c r="M575" s="27">
        <f t="shared" si="142"/>
        <v>170.55555555555557</v>
      </c>
      <c r="N575" s="27">
        <f t="shared" si="142"/>
        <v>205.72450805008947</v>
      </c>
      <c r="O575" s="27">
        <f t="shared" si="142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3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3"/>
        <v>256.91275167785233</v>
      </c>
      <c r="K576" s="11">
        <f t="shared" si="144"/>
        <v>233.9620900258486</v>
      </c>
      <c r="L576" s="11">
        <f t="shared" si="144"/>
        <v>201.47524109626622</v>
      </c>
      <c r="M576" s="27">
        <f t="shared" si="142"/>
        <v>160</v>
      </c>
      <c r="N576" s="27">
        <f t="shared" si="142"/>
        <v>203.48837209302326</v>
      </c>
      <c r="O576" s="27">
        <f t="shared" si="142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3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3"/>
        <v>259.53020134228188</v>
      </c>
      <c r="K577" s="11">
        <f t="shared" si="144"/>
        <v>233.9620900258486</v>
      </c>
      <c r="L577" s="11">
        <f t="shared" si="144"/>
        <v>203.65632708635118</v>
      </c>
      <c r="M577" s="27">
        <f t="shared" si="142"/>
        <v>156.66666666666666</v>
      </c>
      <c r="N577" s="27">
        <f t="shared" si="142"/>
        <v>203.48837209302326</v>
      </c>
      <c r="O577" s="27">
        <f t="shared" si="142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3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3"/>
        <v>261.94630872483219</v>
      </c>
      <c r="K578" s="11">
        <f t="shared" si="144"/>
        <v>233.93455475082493</v>
      </c>
      <c r="L578" s="11">
        <f t="shared" si="144"/>
        <v>201.68907305607848</v>
      </c>
      <c r="M578" s="27">
        <f t="shared" si="142"/>
        <v>147.22222222222223</v>
      </c>
      <c r="N578" s="27">
        <f t="shared" si="142"/>
        <v>207.96064400715562</v>
      </c>
      <c r="O578" s="27">
        <f t="shared" si="142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3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3"/>
        <v>262.75167785234902</v>
      </c>
      <c r="K579" s="11">
        <f t="shared" si="144"/>
        <v>234.15483695101429</v>
      </c>
      <c r="L579" s="11">
        <f t="shared" si="144"/>
        <v>202.0312041917781</v>
      </c>
      <c r="M579" s="27">
        <f t="shared" si="142"/>
        <v>143.33333333333334</v>
      </c>
      <c r="N579" s="27">
        <f t="shared" si="142"/>
        <v>205.72450805008947</v>
      </c>
      <c r="O579" s="27">
        <f t="shared" si="142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3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3"/>
        <v>262.34899328859058</v>
      </c>
      <c r="K580" s="11">
        <f t="shared" si="144"/>
        <v>234.28709032617806</v>
      </c>
      <c r="L580" s="11">
        <f t="shared" si="144"/>
        <v>205.40121838704647</v>
      </c>
      <c r="M580" s="27">
        <f t="shared" si="142"/>
        <v>158.33333333333334</v>
      </c>
      <c r="N580" s="27">
        <f t="shared" si="142"/>
        <v>207.96064400715562</v>
      </c>
      <c r="O580" s="27">
        <f t="shared" si="142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3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3"/>
        <v>261.47651006711408</v>
      </c>
      <c r="K581" s="11">
        <f t="shared" si="144"/>
        <v>234.28709032617806</v>
      </c>
      <c r="L581" s="11">
        <f t="shared" si="144"/>
        <v>205.46536797499019</v>
      </c>
      <c r="M581" s="27">
        <f t="shared" si="142"/>
        <v>195.55555555555557</v>
      </c>
      <c r="N581" s="27">
        <f t="shared" si="142"/>
        <v>203.48837209302326</v>
      </c>
      <c r="O581" s="27">
        <f t="shared" si="142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3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3"/>
        <v>261.744966442953</v>
      </c>
      <c r="K582" s="11">
        <f t="shared" si="144"/>
        <v>234.28709032617806</v>
      </c>
      <c r="L582" s="11">
        <f t="shared" si="144"/>
        <v>205.87164869863344</v>
      </c>
      <c r="M582" s="27">
        <f t="shared" si="142"/>
        <v>197.22222222222223</v>
      </c>
      <c r="N582" s="27">
        <f t="shared" si="142"/>
        <v>201.25223613595705</v>
      </c>
      <c r="O582" s="27">
        <f t="shared" si="142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3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3"/>
        <v>262.6174496644295</v>
      </c>
      <c r="K583" s="11">
        <f t="shared" si="144"/>
        <v>237.37104112882946</v>
      </c>
      <c r="L583" s="11">
        <f t="shared" si="144"/>
        <v>209.93445593506621</v>
      </c>
      <c r="M583" s="27">
        <f t="shared" ref="M583:O598" si="145">(1+(E583-T582)/T582)*100</f>
        <v>217.7777777777778</v>
      </c>
      <c r="N583" s="27">
        <f t="shared" si="145"/>
        <v>201.25223613595705</v>
      </c>
      <c r="O583" s="27">
        <f t="shared" si="145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3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3"/>
        <v>267.18120805369125</v>
      </c>
      <c r="K584" s="11">
        <f t="shared" si="144"/>
        <v>244.17188015962643</v>
      </c>
      <c r="L584" s="11">
        <f t="shared" si="144"/>
        <v>216.56840116490881</v>
      </c>
      <c r="M584" s="27">
        <f t="shared" si="145"/>
        <v>236.11111111111111</v>
      </c>
      <c r="N584" s="27">
        <f t="shared" si="145"/>
        <v>203.48837209302326</v>
      </c>
      <c r="O584" s="27">
        <f t="shared" si="145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3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3"/>
        <v>267.18120805369125</v>
      </c>
      <c r="K585" s="11">
        <f t="shared" si="144"/>
        <v>236.81996172830563</v>
      </c>
      <c r="L585" s="11">
        <f t="shared" si="144"/>
        <v>216.93191549658962</v>
      </c>
      <c r="M585" s="27">
        <f t="shared" si="145"/>
        <v>251.66666666666666</v>
      </c>
      <c r="N585" s="27">
        <f t="shared" si="145"/>
        <v>212.43291592128801</v>
      </c>
      <c r="O585" s="27">
        <f t="shared" si="145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3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3"/>
        <v>266.71140939597313</v>
      </c>
      <c r="K586" s="11">
        <f t="shared" si="144"/>
        <v>251.63393969104192</v>
      </c>
      <c r="L586" s="11">
        <f t="shared" si="144"/>
        <v>214.79359589846717</v>
      </c>
      <c r="M586" s="27">
        <f t="shared" si="145"/>
        <v>305.55555555555554</v>
      </c>
      <c r="N586" s="27">
        <f t="shared" si="145"/>
        <v>225.84973166368516</v>
      </c>
      <c r="O586" s="27">
        <f t="shared" si="145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3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3"/>
        <v>265.50335570469798</v>
      </c>
      <c r="K587" s="11">
        <f t="shared" si="144"/>
        <v>240.26187110626483</v>
      </c>
      <c r="L587" s="11">
        <f t="shared" si="144"/>
        <v>234.57305218110031</v>
      </c>
      <c r="M587" s="27">
        <f t="shared" si="145"/>
        <v>310</v>
      </c>
      <c r="N587" s="27">
        <f t="shared" si="145"/>
        <v>232.55813953488374</v>
      </c>
      <c r="O587" s="27">
        <f t="shared" si="145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3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3"/>
        <v>263.02013422818794</v>
      </c>
      <c r="K588" s="11">
        <f t="shared" si="144"/>
        <v>239.1216542074595</v>
      </c>
      <c r="L588" s="11">
        <f t="shared" si="144"/>
        <v>257.7210595982242</v>
      </c>
      <c r="M588" s="27">
        <f t="shared" si="145"/>
        <v>330.55555555555554</v>
      </c>
      <c r="N588" s="27">
        <f t="shared" si="145"/>
        <v>259.391771019678</v>
      </c>
      <c r="O588" s="27">
        <f t="shared" si="145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3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3"/>
        <v>261.54362416107386</v>
      </c>
      <c r="K589" s="11">
        <f>(C589+Y589)/R589*100</f>
        <v>262.52663797758191</v>
      </c>
      <c r="L589" s="11">
        <f t="shared" si="144"/>
        <v>257.7210595982242</v>
      </c>
      <c r="M589" s="27">
        <f t="shared" si="145"/>
        <v>305.55555555555554</v>
      </c>
      <c r="N589" s="27">
        <f t="shared" si="145"/>
        <v>252.6833631484794</v>
      </c>
      <c r="O589" s="27">
        <f t="shared" si="145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3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3"/>
        <v>260.80536912751677</v>
      </c>
      <c r="K590" s="11">
        <f t="shared" ref="K590:L605" si="146">(C590+Y590)/R590*100</f>
        <v>256.11091889706603</v>
      </c>
      <c r="L590" s="11">
        <f t="shared" si="146"/>
        <v>258.61915382943567</v>
      </c>
      <c r="M590" s="27">
        <f t="shared" si="145"/>
        <v>347.22222222222223</v>
      </c>
      <c r="N590" s="27">
        <f t="shared" si="145"/>
        <v>257.15563506261179</v>
      </c>
      <c r="O590" s="27">
        <f t="shared" si="145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3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3"/>
        <v>260.80536912751677</v>
      </c>
      <c r="K591" s="11">
        <f t="shared" si="146"/>
        <v>252.88929171929624</v>
      </c>
      <c r="L591" s="11">
        <f t="shared" si="146"/>
        <v>251.84068070338731</v>
      </c>
      <c r="M591" s="27">
        <f t="shared" si="145"/>
        <v>356.11111111111109</v>
      </c>
      <c r="N591" s="27">
        <f t="shared" si="145"/>
        <v>248.21109123434707</v>
      </c>
      <c r="O591" s="27">
        <f t="shared" si="145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3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3"/>
        <v>259.73154362416108</v>
      </c>
      <c r="K592" s="11">
        <f t="shared" si="146"/>
        <v>262.0585383021795</v>
      </c>
      <c r="L592" s="11">
        <f t="shared" si="146"/>
        <v>261.46311889493859</v>
      </c>
      <c r="M592" s="27">
        <f t="shared" si="145"/>
        <v>343.33333333333331</v>
      </c>
      <c r="N592" s="27">
        <f t="shared" si="145"/>
        <v>245.97495527728083</v>
      </c>
      <c r="O592" s="27">
        <f t="shared" si="145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3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3"/>
        <v>258.85906040268452</v>
      </c>
      <c r="K593" s="11">
        <f t="shared" si="146"/>
        <v>289.53437336242678</v>
      </c>
      <c r="L593" s="11">
        <f t="shared" si="146"/>
        <v>287.56036422767505</v>
      </c>
      <c r="M593" s="27">
        <f t="shared" si="145"/>
        <v>323.88888888888891</v>
      </c>
      <c r="N593" s="27">
        <f t="shared" si="145"/>
        <v>243.7388193202147</v>
      </c>
      <c r="O593" s="27">
        <f t="shared" si="145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3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3"/>
        <v>257.18120805369125</v>
      </c>
      <c r="K594" s="11">
        <f t="shared" si="146"/>
        <v>268.4148174192693</v>
      </c>
      <c r="L594" s="11">
        <f t="shared" si="146"/>
        <v>263.14075441711606</v>
      </c>
      <c r="M594" s="27">
        <f t="shared" si="145"/>
        <v>384.44444444444446</v>
      </c>
      <c r="N594" s="27">
        <f t="shared" si="145"/>
        <v>243.7388193202147</v>
      </c>
      <c r="O594" s="27">
        <f t="shared" si="145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3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3"/>
        <v>256.51006711409394</v>
      </c>
      <c r="K595" s="11">
        <f t="shared" si="146"/>
        <v>262.9077624145346</v>
      </c>
      <c r="L595" s="11">
        <f t="shared" si="146"/>
        <v>236.41175944058475</v>
      </c>
      <c r="M595" s="27">
        <f t="shared" si="145"/>
        <v>361.11111111111114</v>
      </c>
      <c r="N595" s="27">
        <f t="shared" si="145"/>
        <v>237.03041144901613</v>
      </c>
      <c r="O595" s="27">
        <f t="shared" si="145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3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3"/>
        <v>257.98657718120808</v>
      </c>
      <c r="K596" s="11">
        <f t="shared" si="146"/>
        <v>249.14012490269789</v>
      </c>
      <c r="L596" s="11">
        <f t="shared" si="146"/>
        <v>237.92996635525171</v>
      </c>
      <c r="M596" s="27">
        <f t="shared" si="145"/>
        <v>294.44444444444446</v>
      </c>
      <c r="N596" s="27">
        <f t="shared" si="145"/>
        <v>237.03041144901613</v>
      </c>
      <c r="O596" s="27">
        <f t="shared" si="145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3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3"/>
        <v>260.60402684563758</v>
      </c>
      <c r="K597" s="11">
        <f t="shared" si="146"/>
        <v>248.59308883992753</v>
      </c>
      <c r="L597" s="11">
        <f t="shared" si="146"/>
        <v>242.20858631070351</v>
      </c>
      <c r="M597" s="27">
        <f t="shared" si="145"/>
        <v>301.11111111111109</v>
      </c>
      <c r="N597" s="27">
        <f t="shared" si="145"/>
        <v>243.7388193202147</v>
      </c>
      <c r="O597" s="27">
        <f t="shared" si="145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3">
      <c r="A598" s="61">
        <v>41619</v>
      </c>
      <c r="B598" s="155">
        <v>3.879</v>
      </c>
      <c r="C598" s="2">
        <v>487.5</v>
      </c>
      <c r="D598" s="2">
        <v>1562.5</v>
      </c>
      <c r="E598" s="2">
        <v>538</v>
      </c>
      <c r="F598" s="155">
        <v>57</v>
      </c>
      <c r="G598" s="155">
        <v>30.5</v>
      </c>
      <c r="I598" s="10">
        <v>41619</v>
      </c>
      <c r="J598" s="27">
        <f t="shared" si="143"/>
        <v>260.33557046979865</v>
      </c>
      <c r="K598" s="11">
        <f t="shared" si="146"/>
        <v>265.80263572972342</v>
      </c>
      <c r="L598" s="11">
        <f t="shared" si="146"/>
        <v>280.69833907690855</v>
      </c>
      <c r="M598" s="27">
        <f t="shared" si="145"/>
        <v>298.88888888888891</v>
      </c>
      <c r="N598" s="27">
        <f t="shared" si="145"/>
        <v>254.91949910554564</v>
      </c>
      <c r="O598" s="27">
        <f t="shared" si="145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84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3">
      <c r="A599" s="61">
        <v>41626</v>
      </c>
      <c r="B599" s="156">
        <v>3.87</v>
      </c>
      <c r="C599" s="2">
        <v>594</v>
      </c>
      <c r="D599" s="2">
        <v>1950</v>
      </c>
      <c r="E599" s="2">
        <v>577</v>
      </c>
      <c r="F599" s="156">
        <v>59.5</v>
      </c>
      <c r="G599" s="156">
        <v>31.5</v>
      </c>
      <c r="I599" s="10">
        <v>41626</v>
      </c>
      <c r="J599" s="27">
        <f t="shared" si="143"/>
        <v>259.73154362416108</v>
      </c>
      <c r="K599" s="11">
        <f t="shared" si="146"/>
        <v>271.66764930976586</v>
      </c>
      <c r="L599" s="11">
        <f t="shared" si="146"/>
        <v>297.27031596235798</v>
      </c>
      <c r="M599" s="27">
        <f t="shared" ref="M599:O614" si="147">(1+(E599-T598)/T598)*100</f>
        <v>320.55555555555554</v>
      </c>
      <c r="N599" s="27">
        <f t="shared" si="147"/>
        <v>266.10017889087658</v>
      </c>
      <c r="O599" s="27">
        <f t="shared" si="147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84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3">
      <c r="A600" s="61">
        <v>41633</v>
      </c>
      <c r="B600" s="156">
        <v>3.87</v>
      </c>
      <c r="C600" s="2">
        <v>650</v>
      </c>
      <c r="D600" s="2">
        <v>1700</v>
      </c>
      <c r="E600" s="2">
        <v>590</v>
      </c>
      <c r="F600" s="156">
        <v>58</v>
      </c>
      <c r="G600" s="156">
        <v>29.5</v>
      </c>
      <c r="I600" s="10">
        <v>41633</v>
      </c>
      <c r="J600" s="27">
        <f t="shared" si="143"/>
        <v>259.73154362416108</v>
      </c>
      <c r="K600" s="11">
        <f t="shared" si="146"/>
        <v>274.75160011241729</v>
      </c>
      <c r="L600" s="11">
        <f t="shared" si="146"/>
        <v>286.5787179717455</v>
      </c>
      <c r="M600" s="27">
        <f t="shared" si="147"/>
        <v>327.77777777777777</v>
      </c>
      <c r="N600" s="27">
        <f t="shared" si="147"/>
        <v>259.391771019678</v>
      </c>
      <c r="O600" s="27">
        <f t="shared" si="147"/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84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3">
      <c r="A601" s="61">
        <v>41640</v>
      </c>
      <c r="B601" s="156">
        <v>3.9</v>
      </c>
      <c r="C601" s="2">
        <v>650</v>
      </c>
      <c r="D601" s="2">
        <v>1731</v>
      </c>
      <c r="E601" s="2">
        <v>587</v>
      </c>
      <c r="F601" s="156">
        <v>58</v>
      </c>
      <c r="G601" s="156">
        <v>29.5</v>
      </c>
      <c r="I601" s="10">
        <v>41640</v>
      </c>
      <c r="J601" s="27">
        <f t="shared" si="143"/>
        <v>261.744966442953</v>
      </c>
      <c r="K601" s="11">
        <f t="shared" si="146"/>
        <v>274.24694808403342</v>
      </c>
      <c r="L601" s="11">
        <f t="shared" si="146"/>
        <v>287.29600039946507</v>
      </c>
      <c r="M601" s="27">
        <f t="shared" si="147"/>
        <v>326.11111111111109</v>
      </c>
      <c r="N601" s="27">
        <f t="shared" si="147"/>
        <v>259.391771019678</v>
      </c>
      <c r="O601" s="27">
        <f t="shared" si="147"/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84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3">
      <c r="A602" s="61">
        <v>41647</v>
      </c>
      <c r="B602" s="156">
        <v>3.91</v>
      </c>
      <c r="C602" s="2">
        <v>400</v>
      </c>
      <c r="D602" s="2">
        <v>1679</v>
      </c>
      <c r="E602" s="2">
        <v>568</v>
      </c>
      <c r="F602" s="156">
        <v>58</v>
      </c>
      <c r="G602" s="156">
        <v>29.5</v>
      </c>
      <c r="I602" s="10">
        <v>41647</v>
      </c>
      <c r="J602" s="27">
        <f t="shared" si="143"/>
        <v>262.41610738255031</v>
      </c>
      <c r="K602" s="27">
        <f t="shared" si="146"/>
        <v>260.47931057219677</v>
      </c>
      <c r="L602" s="27">
        <f t="shared" si="146"/>
        <v>285.07214801741765</v>
      </c>
      <c r="M602" s="27">
        <f t="shared" si="147"/>
        <v>315.55555555555554</v>
      </c>
      <c r="N602" s="27">
        <f t="shared" si="147"/>
        <v>259.391771019678</v>
      </c>
      <c r="O602" s="27">
        <f t="shared" si="147"/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84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3">
      <c r="A603" s="61">
        <v>41654</v>
      </c>
      <c r="B603" s="156">
        <v>3.8860000000000001</v>
      </c>
      <c r="C603" s="2" t="s">
        <v>19</v>
      </c>
      <c r="D603" s="2">
        <v>2000</v>
      </c>
      <c r="E603" s="2">
        <v>560</v>
      </c>
      <c r="F603" s="156">
        <v>57</v>
      </c>
      <c r="G603" s="156">
        <v>28.5</v>
      </c>
      <c r="I603" s="10">
        <v>41654</v>
      </c>
      <c r="J603" s="27">
        <f t="shared" si="143"/>
        <v>260.80536912751677</v>
      </c>
      <c r="K603" s="27">
        <f t="shared" si="146"/>
        <v>238.45109055325801</v>
      </c>
      <c r="L603" s="27">
        <f t="shared" si="146"/>
        <v>298.80015983736416</v>
      </c>
      <c r="M603" s="27">
        <f t="shared" si="147"/>
        <v>311.11111111111114</v>
      </c>
      <c r="N603" s="27">
        <f t="shared" si="147"/>
        <v>254.91949910554564</v>
      </c>
      <c r="O603" s="27">
        <f t="shared" si="147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84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3">
      <c r="A604" s="61">
        <v>41661</v>
      </c>
      <c r="B604" s="157">
        <v>3.8730000000000002</v>
      </c>
      <c r="C604" s="2">
        <v>975</v>
      </c>
      <c r="D604" s="2">
        <v>1737.5</v>
      </c>
      <c r="E604" s="2">
        <v>555</v>
      </c>
      <c r="F604" s="157">
        <v>56.5</v>
      </c>
      <c r="G604" s="157">
        <v>28</v>
      </c>
      <c r="I604" s="10">
        <v>41661</v>
      </c>
      <c r="J604" s="27">
        <f t="shared" si="143"/>
        <v>259.93288590604027</v>
      </c>
      <c r="K604" s="27">
        <f t="shared" si="146"/>
        <v>292.14487684942117</v>
      </c>
      <c r="L604" s="27">
        <f t="shared" si="146"/>
        <v>287.573981947221</v>
      </c>
      <c r="M604" s="27">
        <f t="shared" si="147"/>
        <v>308.33333333333337</v>
      </c>
      <c r="N604" s="27">
        <f t="shared" si="147"/>
        <v>252.6833631484794</v>
      </c>
      <c r="O604" s="27">
        <f t="shared" si="147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84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3">
      <c r="A605" s="61">
        <v>41668</v>
      </c>
      <c r="B605" s="158">
        <v>3.9039999999999999</v>
      </c>
      <c r="C605" s="2">
        <v>1000</v>
      </c>
      <c r="D605" s="2">
        <v>1194</v>
      </c>
      <c r="E605" s="2">
        <v>590</v>
      </c>
      <c r="F605" s="158">
        <v>56.5</v>
      </c>
      <c r="G605" s="158">
        <v>28</v>
      </c>
      <c r="I605" s="10">
        <v>41668</v>
      </c>
      <c r="J605" s="27">
        <f t="shared" si="143"/>
        <v>262.01342281879192</v>
      </c>
      <c r="K605" s="27">
        <f t="shared" si="146"/>
        <v>293.52164060060483</v>
      </c>
      <c r="L605" s="27">
        <f t="shared" si="146"/>
        <v>264.33044791562941</v>
      </c>
      <c r="M605" s="27">
        <f t="shared" si="147"/>
        <v>327.77777777777777</v>
      </c>
      <c r="N605" s="27">
        <f t="shared" si="147"/>
        <v>252.6833631484794</v>
      </c>
      <c r="O605" s="27">
        <f t="shared" si="147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84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3">
      <c r="A606" s="61">
        <v>41675</v>
      </c>
      <c r="B606" s="159">
        <v>3.9510000000000001</v>
      </c>
      <c r="C606" s="2">
        <v>800</v>
      </c>
      <c r="D606" s="2">
        <v>1146</v>
      </c>
      <c r="E606" s="2" t="s">
        <v>19</v>
      </c>
      <c r="F606" s="159">
        <v>56.5</v>
      </c>
      <c r="G606" s="159">
        <v>28</v>
      </c>
      <c r="I606" s="10">
        <v>41675</v>
      </c>
      <c r="J606" s="27">
        <f t="shared" si="143"/>
        <v>265.16778523489933</v>
      </c>
      <c r="K606" s="27">
        <f t="shared" ref="K606:L617" si="148">(C606+Y606)/R606*100</f>
        <v>283.08464386958161</v>
      </c>
      <c r="L606" s="27">
        <f t="shared" si="148"/>
        <v>262.88613682454815</v>
      </c>
      <c r="M606" s="37" t="s">
        <v>19</v>
      </c>
      <c r="N606" s="27">
        <f t="shared" si="147"/>
        <v>252.6833631484794</v>
      </c>
      <c r="O606" s="27">
        <f t="shared" si="147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84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3">
      <c r="A607" s="61">
        <v>41682</v>
      </c>
      <c r="B607" s="160">
        <v>3.9769999999999999</v>
      </c>
      <c r="C607" s="2">
        <v>900</v>
      </c>
      <c r="D607" s="2">
        <v>1850</v>
      </c>
      <c r="E607" s="2">
        <v>587</v>
      </c>
      <c r="F607" s="160">
        <v>55.5</v>
      </c>
      <c r="G607" s="160">
        <v>28</v>
      </c>
      <c r="I607" s="10">
        <v>41682</v>
      </c>
      <c r="J607" s="27">
        <f t="shared" si="143"/>
        <v>266.91275167785238</v>
      </c>
      <c r="K607" s="27">
        <f t="shared" si="148"/>
        <v>288.59169887431631</v>
      </c>
      <c r="L607" s="27">
        <f t="shared" si="148"/>
        <v>292.99367676611297</v>
      </c>
      <c r="M607" s="27">
        <f t="shared" ref="M607:O617" si="149">(1+(E607-T606)/T606)*100</f>
        <v>326.11111111111109</v>
      </c>
      <c r="N607" s="27">
        <f t="shared" si="147"/>
        <v>248.21109123434707</v>
      </c>
      <c r="O607" s="27">
        <f t="shared" si="147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84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3">
      <c r="A608" s="61">
        <v>41689</v>
      </c>
      <c r="B608" s="161">
        <v>3.9889999999999999</v>
      </c>
      <c r="C608" s="2" t="s">
        <v>19</v>
      </c>
      <c r="D608" s="2">
        <v>1350</v>
      </c>
      <c r="E608" s="2">
        <v>600</v>
      </c>
      <c r="F608" s="161">
        <v>52</v>
      </c>
      <c r="G608" s="161">
        <v>27</v>
      </c>
      <c r="I608" s="10">
        <v>41689</v>
      </c>
      <c r="J608" s="27">
        <f t="shared" si="143"/>
        <v>267.7181208053691</v>
      </c>
      <c r="K608" s="27">
        <f t="shared" si="148"/>
        <v>239.02820383170419</v>
      </c>
      <c r="L608" s="27">
        <f t="shared" si="148"/>
        <v>271.61048078488795</v>
      </c>
      <c r="M608" s="27">
        <f t="shared" si="149"/>
        <v>333.33333333333337</v>
      </c>
      <c r="N608" s="27">
        <f t="shared" si="147"/>
        <v>232.55813953488374</v>
      </c>
      <c r="O608" s="27">
        <f t="shared" si="147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84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3">
      <c r="A609" s="61">
        <v>41696</v>
      </c>
      <c r="B609" s="162">
        <v>4.0170000000000003</v>
      </c>
      <c r="C609" s="2" t="s">
        <v>19</v>
      </c>
      <c r="D609" s="2">
        <v>1712.5</v>
      </c>
      <c r="E609" s="2">
        <v>592</v>
      </c>
      <c r="F609" s="162">
        <v>53</v>
      </c>
      <c r="G609" s="162">
        <v>28</v>
      </c>
      <c r="I609" s="10">
        <v>41696</v>
      </c>
      <c r="J609" s="27">
        <f t="shared" si="143"/>
        <v>269.59731543624162</v>
      </c>
      <c r="K609" s="27">
        <f t="shared" si="148"/>
        <v>239.02820383170419</v>
      </c>
      <c r="L609" s="27">
        <f t="shared" si="148"/>
        <v>287.11329787127607</v>
      </c>
      <c r="M609" s="27">
        <f t="shared" si="149"/>
        <v>328.88888888888886</v>
      </c>
      <c r="N609" s="27">
        <f t="shared" si="147"/>
        <v>237.03041144901613</v>
      </c>
      <c r="O609" s="27">
        <f t="shared" si="147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84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3">
      <c r="A610" s="61">
        <v>41703</v>
      </c>
      <c r="B610" s="163">
        <v>4.016</v>
      </c>
      <c r="C610" s="2">
        <v>1125</v>
      </c>
      <c r="D610" s="2">
        <v>1733.5</v>
      </c>
      <c r="E610" s="2">
        <v>620</v>
      </c>
      <c r="F610" s="163">
        <v>53</v>
      </c>
      <c r="G610" s="163">
        <v>28</v>
      </c>
      <c r="I610" s="10">
        <v>41703</v>
      </c>
      <c r="J610" s="27">
        <f t="shared" si="143"/>
        <v>269.53020134228188</v>
      </c>
      <c r="K610" s="27">
        <f t="shared" si="148"/>
        <v>300.72861479342606</v>
      </c>
      <c r="L610" s="27">
        <f t="shared" si="148"/>
        <v>288.01139210248755</v>
      </c>
      <c r="M610" s="27">
        <f t="shared" si="149"/>
        <v>344.44444444444446</v>
      </c>
      <c r="N610" s="27">
        <f t="shared" si="147"/>
        <v>237.03041144901613</v>
      </c>
      <c r="O610" s="27">
        <f t="shared" si="147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84">
        <v>14.1</v>
      </c>
      <c r="X610" s="61">
        <v>41703</v>
      </c>
      <c r="Y610" s="68">
        <v>4335.7882894736849</v>
      </c>
      <c r="Z610" s="68">
        <v>5001.0263157894751</v>
      </c>
    </row>
    <row r="611" spans="1:26" x14ac:dyDescent="0.3">
      <c r="A611" s="61">
        <v>41710</v>
      </c>
      <c r="B611" s="164">
        <v>4.0209999999999999</v>
      </c>
      <c r="C611" s="2">
        <v>1200</v>
      </c>
      <c r="D611" s="2">
        <v>2687.5</v>
      </c>
      <c r="E611" s="2">
        <v>625</v>
      </c>
      <c r="F611" s="164">
        <v>52</v>
      </c>
      <c r="G611" s="164">
        <v>28</v>
      </c>
      <c r="I611" s="10">
        <v>41710</v>
      </c>
      <c r="J611" s="27">
        <f t="shared" si="143"/>
        <v>269.86577181208054</v>
      </c>
      <c r="K611" s="27">
        <f t="shared" si="148"/>
        <v>304.85890604697704</v>
      </c>
      <c r="L611" s="27">
        <f t="shared" si="148"/>
        <v>328.81053003466491</v>
      </c>
      <c r="M611" s="27">
        <f t="shared" si="149"/>
        <v>347.22222222222223</v>
      </c>
      <c r="N611" s="27">
        <f t="shared" si="147"/>
        <v>232.55813953488374</v>
      </c>
      <c r="O611" s="27">
        <f t="shared" si="147"/>
        <v>198.58156028368796</v>
      </c>
      <c r="Q611" s="4">
        <v>1.49</v>
      </c>
      <c r="R611" s="4">
        <v>1815.8525729999999</v>
      </c>
      <c r="S611" s="4">
        <v>2338.2847000000002</v>
      </c>
      <c r="T611" s="4">
        <v>180</v>
      </c>
      <c r="U611" s="4">
        <v>22.36</v>
      </c>
      <c r="V611" s="84">
        <v>14.1</v>
      </c>
      <c r="X611" s="61">
        <v>41710</v>
      </c>
      <c r="Y611" s="68">
        <v>4335.7882894736849</v>
      </c>
      <c r="Z611" s="68">
        <v>5001.0263157894751</v>
      </c>
    </row>
    <row r="612" spans="1:26" x14ac:dyDescent="0.3">
      <c r="A612" s="61">
        <v>41717</v>
      </c>
      <c r="B612" s="165">
        <v>4.0030000000000001</v>
      </c>
      <c r="C612" s="2">
        <v>1500</v>
      </c>
      <c r="D612" s="2">
        <v>3837.5</v>
      </c>
      <c r="E612" s="2">
        <v>578</v>
      </c>
      <c r="F612" s="165">
        <v>53</v>
      </c>
      <c r="G612" s="165">
        <v>30</v>
      </c>
      <c r="I612" s="10">
        <v>41717</v>
      </c>
      <c r="J612" s="27">
        <f t="shared" si="143"/>
        <v>268.65771812080538</v>
      </c>
      <c r="K612" s="27">
        <f t="shared" si="148"/>
        <v>321.38007106118107</v>
      </c>
      <c r="L612" s="27">
        <f t="shared" si="148"/>
        <v>377.99188079148252</v>
      </c>
      <c r="M612" s="27">
        <f t="shared" si="149"/>
        <v>321.11111111111114</v>
      </c>
      <c r="N612" s="27">
        <f t="shared" si="147"/>
        <v>237.03041144901613</v>
      </c>
      <c r="O612" s="27">
        <f t="shared" si="147"/>
        <v>212.7659574468085</v>
      </c>
      <c r="Q612" s="4">
        <v>1.49</v>
      </c>
      <c r="R612" s="4">
        <v>1815.8525729999999</v>
      </c>
      <c r="S612" s="4">
        <v>2338.2847000000002</v>
      </c>
      <c r="T612" s="4">
        <v>180</v>
      </c>
      <c r="U612" s="4">
        <v>22.36</v>
      </c>
      <c r="V612" s="84">
        <v>14.1</v>
      </c>
      <c r="X612" s="61">
        <v>41717</v>
      </c>
      <c r="Y612" s="68">
        <v>4335.7882894736849</v>
      </c>
      <c r="Z612" s="68">
        <v>5001.0263157894751</v>
      </c>
    </row>
    <row r="613" spans="1:26" x14ac:dyDescent="0.3">
      <c r="A613" s="61">
        <v>41724</v>
      </c>
      <c r="B613" s="166">
        <v>3.988</v>
      </c>
      <c r="C613" s="2">
        <v>1875</v>
      </c>
      <c r="D613" s="2">
        <v>2158.5</v>
      </c>
      <c r="E613" s="2">
        <v>469</v>
      </c>
      <c r="F613" s="166">
        <v>53</v>
      </c>
      <c r="G613" s="166">
        <v>29</v>
      </c>
      <c r="I613" s="10">
        <v>41724</v>
      </c>
      <c r="J613" s="27">
        <f t="shared" si="143"/>
        <v>267.65100671140942</v>
      </c>
      <c r="K613" s="27">
        <f t="shared" si="148"/>
        <v>342.03152732893614</v>
      </c>
      <c r="L613" s="27">
        <f t="shared" si="148"/>
        <v>306.18710868652886</v>
      </c>
      <c r="M613" s="27">
        <f t="shared" si="149"/>
        <v>260.55555555555554</v>
      </c>
      <c r="N613" s="27">
        <f t="shared" si="147"/>
        <v>237.03041144901613</v>
      </c>
      <c r="O613" s="27">
        <f t="shared" si="147"/>
        <v>205.67375886524823</v>
      </c>
      <c r="Q613" s="4">
        <v>1.49</v>
      </c>
      <c r="R613" s="4">
        <v>1815.8525729999999</v>
      </c>
      <c r="S613" s="4">
        <v>2338.2847000000002</v>
      </c>
      <c r="T613" s="4">
        <v>180</v>
      </c>
      <c r="U613" s="4">
        <v>22.36</v>
      </c>
      <c r="V613" s="84">
        <v>14.1</v>
      </c>
      <c r="X613" s="61">
        <v>41724</v>
      </c>
      <c r="Y613" s="68">
        <v>4335.7882894736849</v>
      </c>
      <c r="Z613" s="68">
        <v>5001.0263157894751</v>
      </c>
    </row>
    <row r="614" spans="1:26" x14ac:dyDescent="0.3">
      <c r="A614" s="61">
        <v>41731</v>
      </c>
      <c r="B614" s="167">
        <v>3.9750000000000001</v>
      </c>
      <c r="C614" s="2">
        <v>1875</v>
      </c>
      <c r="D614" s="2">
        <v>2537.5</v>
      </c>
      <c r="E614" s="2">
        <v>416</v>
      </c>
      <c r="F614" s="167">
        <v>51.5</v>
      </c>
      <c r="G614" s="167">
        <v>28</v>
      </c>
      <c r="I614" s="10">
        <v>41731</v>
      </c>
      <c r="J614" s="27">
        <f t="shared" si="143"/>
        <v>266.77852348993292</v>
      </c>
      <c r="K614" s="27">
        <f t="shared" si="148"/>
        <v>342.76977268914578</v>
      </c>
      <c r="L614" s="27">
        <f>(D614+Z614)/S614*100</f>
        <v>323.95321327007923</v>
      </c>
      <c r="M614" s="27">
        <f t="shared" si="149"/>
        <v>231.11111111111109</v>
      </c>
      <c r="N614" s="27">
        <f t="shared" si="147"/>
        <v>230.32200357781755</v>
      </c>
      <c r="O614" s="27">
        <f t="shared" si="147"/>
        <v>198.58156028368796</v>
      </c>
      <c r="Q614" s="4">
        <v>1.49</v>
      </c>
      <c r="R614" s="4">
        <v>1815.8525729999999</v>
      </c>
      <c r="S614" s="4">
        <v>2338.2847000000002</v>
      </c>
      <c r="T614" s="4">
        <v>180</v>
      </c>
      <c r="U614" s="4">
        <v>22.36</v>
      </c>
      <c r="V614" s="84">
        <v>14.1</v>
      </c>
      <c r="X614" s="61">
        <v>41731</v>
      </c>
      <c r="Y614" s="68">
        <v>4349.193736842105</v>
      </c>
      <c r="Z614" s="68">
        <v>5037.4484210526325</v>
      </c>
    </row>
    <row r="615" spans="1:26" x14ac:dyDescent="0.3">
      <c r="A615" s="61">
        <v>41738</v>
      </c>
      <c r="B615" s="168">
        <v>3.9590000000000001</v>
      </c>
      <c r="C615" s="2">
        <v>1325</v>
      </c>
      <c r="D615" s="2">
        <v>1933.5</v>
      </c>
      <c r="E615" s="2">
        <v>370</v>
      </c>
      <c r="F615" s="168">
        <v>50</v>
      </c>
      <c r="G615" s="168">
        <v>27</v>
      </c>
      <c r="I615" s="10">
        <v>41738</v>
      </c>
      <c r="J615" s="27">
        <f t="shared" si="143"/>
        <v>265.70469798657717</v>
      </c>
      <c r="K615" s="27">
        <f t="shared" si="148"/>
        <v>312.48097016310504</v>
      </c>
      <c r="L615" s="27">
        <f>(D615+Z615)/S615*100</f>
        <v>298.12231252475937</v>
      </c>
      <c r="M615" s="27">
        <f t="shared" si="149"/>
        <v>205.55555555555554</v>
      </c>
      <c r="N615" s="27">
        <f t="shared" si="149"/>
        <v>223.61359570661898</v>
      </c>
      <c r="O615" s="27">
        <f t="shared" si="149"/>
        <v>191.48936170212767</v>
      </c>
      <c r="Q615" s="4">
        <v>1.49</v>
      </c>
      <c r="R615" s="4">
        <v>1815.8525729999999</v>
      </c>
      <c r="S615" s="4">
        <v>2338.2847000000002</v>
      </c>
      <c r="T615" s="4">
        <v>180</v>
      </c>
      <c r="U615" s="4">
        <v>22.36</v>
      </c>
      <c r="V615" s="84">
        <v>14.1</v>
      </c>
      <c r="X615" s="61">
        <v>41738</v>
      </c>
      <c r="Y615" s="68">
        <v>4349.193736842105</v>
      </c>
      <c r="Z615" s="68">
        <v>5037.4484210526325</v>
      </c>
    </row>
    <row r="616" spans="1:26" x14ac:dyDescent="0.3">
      <c r="A616" s="61">
        <v>41745</v>
      </c>
      <c r="B616" s="169">
        <v>3.952</v>
      </c>
      <c r="C616" s="2">
        <v>1000</v>
      </c>
      <c r="D616" s="2">
        <v>1275</v>
      </c>
      <c r="E616" s="2">
        <v>384</v>
      </c>
      <c r="F616" s="169">
        <v>50</v>
      </c>
      <c r="G616" s="169">
        <v>27</v>
      </c>
      <c r="I616" s="10">
        <v>41745</v>
      </c>
      <c r="J616" s="27">
        <f t="shared" si="143"/>
        <v>265.23489932885906</v>
      </c>
      <c r="K616" s="27">
        <f t="shared" si="148"/>
        <v>294.58304139771735</v>
      </c>
      <c r="L616" s="27">
        <f>(D616+Z616)/S616*100</f>
        <v>269.96064341748598</v>
      </c>
      <c r="M616" s="27">
        <f t="shared" si="149"/>
        <v>213.33333333333334</v>
      </c>
      <c r="N616" s="27">
        <f t="shared" si="149"/>
        <v>223.61359570661898</v>
      </c>
      <c r="O616" s="27">
        <f t="shared" si="149"/>
        <v>191.48936170212767</v>
      </c>
      <c r="Q616" s="4">
        <v>1.49</v>
      </c>
      <c r="R616" s="4">
        <v>1815.8525729999999</v>
      </c>
      <c r="S616" s="4">
        <v>2338.2847000000002</v>
      </c>
      <c r="T616" s="4">
        <v>180</v>
      </c>
      <c r="U616" s="4">
        <v>22.36</v>
      </c>
      <c r="V616" s="84">
        <v>14.1</v>
      </c>
      <c r="X616" s="61">
        <v>41745</v>
      </c>
      <c r="Y616" s="68">
        <v>4349.193736842105</v>
      </c>
      <c r="Z616" s="68">
        <v>5037.4484210526325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5"/>
  <cols>
    <col min="1" max="1" width="2.90625" customWidth="1"/>
    <col min="2" max="2" width="20.81640625" customWidth="1"/>
    <col min="3" max="8" width="10.81640625" customWidth="1"/>
    <col min="9" max="9" width="12.1796875" customWidth="1"/>
    <col min="10" max="10" width="2.5429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5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5">
      <c r="A3" s="47"/>
      <c r="B3" s="40"/>
      <c r="C3" s="41" t="s">
        <v>16</v>
      </c>
      <c r="D3" s="174" t="s">
        <v>11</v>
      </c>
      <c r="E3" s="174"/>
      <c r="F3" s="41" t="s">
        <v>17</v>
      </c>
      <c r="G3" s="42" t="s">
        <v>6</v>
      </c>
      <c r="H3" s="42"/>
      <c r="I3" s="22"/>
      <c r="J3" s="47"/>
    </row>
    <row r="4" spans="1:10" x14ac:dyDescent="0.25">
      <c r="A4" s="47"/>
      <c r="B4" s="43" t="s">
        <v>21</v>
      </c>
      <c r="C4" s="52"/>
      <c r="D4" s="41" t="s">
        <v>29</v>
      </c>
      <c r="E4" s="41" t="s">
        <v>27</v>
      </c>
      <c r="F4" s="44"/>
      <c r="G4" s="45" t="s">
        <v>13</v>
      </c>
      <c r="H4" s="45" t="s">
        <v>18</v>
      </c>
      <c r="I4" s="22"/>
      <c r="J4" s="47"/>
    </row>
    <row r="5" spans="1:10" x14ac:dyDescent="0.25">
      <c r="A5" s="47"/>
      <c r="B5" s="36">
        <f>Data!A4</f>
        <v>41745</v>
      </c>
      <c r="C5" s="51">
        <f>Data!B4</f>
        <v>265.23489932885906</v>
      </c>
      <c r="D5" s="51">
        <f>Data!C4</f>
        <v>294.58304139771735</v>
      </c>
      <c r="E5" s="51">
        <f>Data!D4</f>
        <v>269.96064341748598</v>
      </c>
      <c r="F5" s="51">
        <f>Data!E4</f>
        <v>213.33333333333334</v>
      </c>
      <c r="G5" s="51">
        <f>Data!F4</f>
        <v>223.61359570661898</v>
      </c>
      <c r="H5" s="51">
        <f>Data!G4</f>
        <v>191.48936170212767</v>
      </c>
      <c r="I5" s="22"/>
      <c r="J5" s="47"/>
    </row>
    <row r="6" spans="1:10" ht="9" customHeight="1" x14ac:dyDescent="0.25">
      <c r="A6" s="47"/>
      <c r="B6" s="25"/>
      <c r="C6" s="26">
        <f>Data!B5</f>
        <v>-1.7681232634503957E-3</v>
      </c>
      <c r="D6" s="26">
        <f>Data!C5</f>
        <v>-0.24528301886792453</v>
      </c>
      <c r="E6" s="26"/>
      <c r="F6" s="26">
        <f>Data!E5</f>
        <v>3.783783783783784E-2</v>
      </c>
      <c r="G6" s="26">
        <f>Data!F5</f>
        <v>0</v>
      </c>
      <c r="H6" s="26">
        <f>Data!G5</f>
        <v>0</v>
      </c>
      <c r="I6" s="22"/>
      <c r="J6" s="47"/>
    </row>
    <row r="7" spans="1:10" ht="12" customHeight="1" x14ac:dyDescent="0.25">
      <c r="A7" s="47"/>
      <c r="B7" s="49">
        <f>Data!A615</f>
        <v>41738</v>
      </c>
      <c r="C7" s="50">
        <f>Data!J615</f>
        <v>265.70469798657717</v>
      </c>
      <c r="D7" s="50">
        <f>Data!K615</f>
        <v>312.48097016310504</v>
      </c>
      <c r="E7" s="50">
        <f>Data!L615</f>
        <v>298.12231252475937</v>
      </c>
      <c r="F7" s="50">
        <f>Data!M615</f>
        <v>205.55555555555554</v>
      </c>
      <c r="G7" s="50">
        <f>Data!N615</f>
        <v>223.61359570661898</v>
      </c>
      <c r="H7" s="50">
        <f>Data!O615</f>
        <v>191.48936170212767</v>
      </c>
      <c r="I7" s="22"/>
      <c r="J7" s="47"/>
    </row>
    <row r="8" spans="1:10" x14ac:dyDescent="0.25">
      <c r="A8" s="47"/>
      <c r="B8" s="46" t="s">
        <v>32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5">
      <c r="A9" s="47"/>
      <c r="B9" s="21" t="s">
        <v>31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5">
      <c r="A10" s="47"/>
      <c r="B10" s="173"/>
      <c r="C10" s="173"/>
      <c r="D10" s="173"/>
      <c r="E10" s="173"/>
      <c r="F10" s="173"/>
      <c r="G10" s="173"/>
      <c r="H10" s="173"/>
      <c r="I10" s="22"/>
      <c r="J10" s="47"/>
    </row>
    <row r="11" spans="1:10" ht="9.75" customHeight="1" x14ac:dyDescent="0.25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5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2010-12-15T17:27:58Z</cp:lastPrinted>
  <dcterms:created xsi:type="dcterms:W3CDTF">2003-11-24T15:34:41Z</dcterms:created>
  <dcterms:modified xsi:type="dcterms:W3CDTF">2014-04-16T13:56:10Z</dcterms:modified>
</cp:coreProperties>
</file>