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 firstSheet="5" activeTab="8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BA16" i="1" l="1"/>
  <c r="BA14" i="1"/>
  <c r="BA10" i="1"/>
  <c r="BA9" i="1"/>
  <c r="BA17" i="1"/>
  <c r="BA7" i="1"/>
  <c r="BA6" i="1"/>
  <c r="BA4" i="1"/>
  <c r="BA3" i="1"/>
  <c r="AZ17" i="1" l="1"/>
  <c r="AZ16" i="1"/>
  <c r="AZ14" i="1"/>
  <c r="AZ12" i="1"/>
  <c r="AZ10" i="1"/>
  <c r="AZ9" i="1"/>
  <c r="AZ7" i="1"/>
  <c r="AZ6" i="1"/>
  <c r="AZ4" i="1"/>
  <c r="AZ3" i="1"/>
  <c r="AY17" i="1" l="1"/>
  <c r="AY16" i="1"/>
  <c r="AY14" i="1"/>
  <c r="AY9" i="1"/>
  <c r="AY10" i="1" s="1"/>
  <c r="AY7" i="1"/>
  <c r="AY6" i="1"/>
  <c r="AY4" i="1"/>
  <c r="AY3" i="1"/>
  <c r="AX17" i="1" l="1"/>
  <c r="AX16" i="1"/>
  <c r="AX14" i="1"/>
  <c r="AX10" i="1"/>
  <c r="AX9" i="1"/>
  <c r="AX12" i="1"/>
  <c r="AX7" i="1"/>
  <c r="AX6" i="1"/>
  <c r="AX4" i="1"/>
  <c r="AX3" i="1"/>
  <c r="AW17" i="1" l="1"/>
  <c r="AW16" i="1"/>
  <c r="AW14" i="1"/>
  <c r="AW12" i="1"/>
  <c r="AW9" i="1"/>
  <c r="AW10" i="1" s="1"/>
  <c r="AW7" i="1"/>
  <c r="AW6" i="1"/>
  <c r="AW4" i="1"/>
  <c r="AW3" i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7" i="1"/>
  <c r="AS6" i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C6" i="1"/>
  <c r="C7" i="1" s="1"/>
  <c r="R7" i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<sst xmlns="http://schemas.openxmlformats.org/spreadsheetml/2006/main" count="64" uniqueCount="17">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</sst>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Data!$D$1:$BA$1</c:f>
              <c:numCache>
                <c:formatCode>mmm\-yy</c:formatCode>
                <c:ptCount val="50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  <c:pt idx="48">
                  <c:v>40817</c:v>
                </c:pt>
                <c:pt idx="49">
                  <c:v>40848</c:v>
                </c:pt>
              </c:numCache>
            </c:numRef>
          </c:cat>
          <c:val>
            <c:numRef>
              <c:f>Data!$D$8:$BA$8</c:f>
              <c:numCache>
                <c:formatCode>General</c:formatCode>
                <c:ptCount val="50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1444</c:v>
                </c:pt>
                <c:pt idx="48">
                  <c:v>1449</c:v>
                </c:pt>
                <c:pt idx="49">
                  <c:v>1471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93524352"/>
        <c:axId val="93525888"/>
        <c:axId val="0"/>
      </c:bar3DChart>
      <c:dateAx>
        <c:axId val="935243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93525888"/>
        <c:crosses val="autoZero"/>
        <c:auto val="1"/>
        <c:lblOffset val="100"/>
        <c:baseTimeUnit val="months"/>
      </c:dateAx>
      <c:valAx>
        <c:axId val="935258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3524352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Data!$B$1:$BA$1</c:f>
              <c:numCache>
                <c:formatCode>mmm\-yy</c:formatCode>
                <c:ptCount val="5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</c:numCache>
            </c:numRef>
          </c:cat>
          <c:val>
            <c:numRef>
              <c:f>Data!$B$2:$BA$2</c:f>
              <c:numCache>
                <c:formatCode>General</c:formatCode>
                <c:ptCount val="52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546752"/>
        <c:axId val="40112128"/>
        <c:axId val="0"/>
      </c:bar3DChart>
      <c:dateAx>
        <c:axId val="935467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40112128"/>
        <c:crosses val="autoZero"/>
        <c:auto val="1"/>
        <c:lblOffset val="100"/>
        <c:baseTimeUnit val="months"/>
      </c:dateAx>
      <c:valAx>
        <c:axId val="401121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3546752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Data!$B$1:$BA$1</c:f>
              <c:numCache>
                <c:formatCode>mmm\-yy</c:formatCode>
                <c:ptCount val="5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</c:numCache>
            </c:numRef>
          </c:cat>
          <c:val>
            <c:numRef>
              <c:f>Data!$B$5:$BA$5</c:f>
              <c:numCache>
                <c:formatCode>General</c:formatCode>
                <c:ptCount val="52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  <c:pt idx="50">
                  <c:v>996910</c:v>
                </c:pt>
                <c:pt idx="51">
                  <c:v>1039389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21728"/>
        <c:axId val="40523264"/>
      </c:lineChart>
      <c:dateAx>
        <c:axId val="4052172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40523264"/>
        <c:crosses val="autoZero"/>
        <c:auto val="1"/>
        <c:lblOffset val="100"/>
        <c:baseTimeUnit val="months"/>
      </c:dateAx>
      <c:valAx>
        <c:axId val="405232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05217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Data!$B$1:$BA$1</c:f>
              <c:numCache>
                <c:formatCode>mmm\-yy</c:formatCode>
                <c:ptCount val="5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</c:numCache>
            </c:numRef>
          </c:cat>
          <c:val>
            <c:numRef>
              <c:f>Data!$B$6:$BA$6</c:f>
              <c:numCache>
                <c:formatCode>General</c:formatCode>
                <c:ptCount val="52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  <c:pt idx="50">
                  <c:v>45803</c:v>
                </c:pt>
                <c:pt idx="51">
                  <c:v>42479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548224"/>
        <c:axId val="40549760"/>
        <c:axId val="0"/>
      </c:bar3DChart>
      <c:dateAx>
        <c:axId val="405482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40549760"/>
        <c:crosses val="autoZero"/>
        <c:auto val="1"/>
        <c:lblOffset val="100"/>
        <c:baseTimeUnit val="months"/>
      </c:dateAx>
      <c:valAx>
        <c:axId val="405497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0548224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Data!$B$1:$BA$1</c:f>
              <c:numCache>
                <c:formatCode>mmm\-yy</c:formatCode>
                <c:ptCount val="5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</c:numCache>
            </c:numRef>
          </c:cat>
          <c:val>
            <c:numRef>
              <c:f>Data!$B$2:$BA$2</c:f>
              <c:numCache>
                <c:formatCode>General</c:formatCode>
                <c:ptCount val="52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</c:numCache>
            </c:numRef>
          </c:val>
          <c:smooth val="0"/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Data!$B$1:$BA$1</c:f>
              <c:numCache>
                <c:formatCode>mmm\-yy</c:formatCode>
                <c:ptCount val="5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</c:numCache>
            </c:numRef>
          </c:cat>
          <c:val>
            <c:numRef>
              <c:f>Data!$B$8:$BA$8</c:f>
              <c:numCache>
                <c:formatCode>General</c:formatCode>
                <c:ptCount val="52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1444</c:v>
                </c:pt>
                <c:pt idx="50">
                  <c:v>1449</c:v>
                </c:pt>
                <c:pt idx="51">
                  <c:v>1471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70176"/>
        <c:axId val="40371712"/>
      </c:lineChart>
      <c:dateAx>
        <c:axId val="403701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40371712"/>
        <c:crosses val="autoZero"/>
        <c:auto val="1"/>
        <c:lblOffset val="100"/>
        <c:baseTimeUnit val="months"/>
      </c:dateAx>
      <c:valAx>
        <c:axId val="403717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0370176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Data!$B$1:$BA$1</c:f>
              <c:numCache>
                <c:formatCode>mmm\-yy</c:formatCode>
                <c:ptCount val="5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</c:numCache>
            </c:numRef>
          </c:cat>
          <c:val>
            <c:numRef>
              <c:f>Data!$B$14:$BA$14</c:f>
              <c:numCache>
                <c:formatCode>0%</c:formatCode>
                <c:ptCount val="52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  <c:pt idx="50">
                  <c:v>0.22426548298456986</c:v>
                </c:pt>
                <c:pt idx="51">
                  <c:v>0.22164948453608246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27520"/>
        <c:axId val="40429056"/>
      </c:lineChart>
      <c:dateAx>
        <c:axId val="40427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40429056"/>
        <c:crosses val="autoZero"/>
        <c:auto val="1"/>
        <c:lblOffset val="100"/>
        <c:baseTimeUnit val="months"/>
      </c:dateAx>
      <c:valAx>
        <c:axId val="40429056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0427520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Data!$B$1:$BA$1</c:f>
              <c:numCache>
                <c:formatCode>mmm\-yy</c:formatCode>
                <c:ptCount val="5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</c:numCache>
            </c:numRef>
          </c:cat>
          <c:val>
            <c:numRef>
              <c:f>Data!$B$16:$BA$16</c:f>
              <c:numCache>
                <c:formatCode>0.0%</c:formatCode>
                <c:ptCount val="52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  <c:pt idx="50">
                  <c:v>0.47262641562427904</c:v>
                </c:pt>
                <c:pt idx="51">
                  <c:v>0.47373023959268379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61824"/>
        <c:axId val="35329152"/>
      </c:lineChart>
      <c:dateAx>
        <c:axId val="352618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5329152"/>
        <c:crosses val="autoZero"/>
        <c:auto val="1"/>
        <c:lblOffset val="100"/>
        <c:baseTimeUnit val="months"/>
      </c:dateAx>
      <c:valAx>
        <c:axId val="35329152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526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Data!$B$1:$BA$1</c:f>
              <c:numCache>
                <c:formatCode>mmm\-yy</c:formatCode>
                <c:ptCount val="5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</c:numCache>
            </c:numRef>
          </c:cat>
          <c:val>
            <c:numRef>
              <c:f>Data!$B$17:$BA$17</c:f>
              <c:numCache>
                <c:formatCode>0.0</c:formatCode>
                <c:ptCount val="52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  <c:pt idx="50">
                  <c:v>210.71866413020504</c:v>
                </c:pt>
                <c:pt idx="51">
                  <c:v>214.30701030927835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58208"/>
        <c:axId val="35359744"/>
      </c:lineChart>
      <c:dateAx>
        <c:axId val="353582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5359744"/>
        <c:crosses val="autoZero"/>
        <c:auto val="1"/>
        <c:lblOffset val="100"/>
        <c:baseTimeUnit val="months"/>
      </c:dateAx>
      <c:valAx>
        <c:axId val="3535974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3535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tabSelected="1" zoomScale="84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3214" cy="62819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zoomScale="70" zoomScaleNormal="70" workbookViewId="0">
      <pane xSplit="1" ySplit="1" topLeftCell="AH2" activePane="bottomRight" state="frozen"/>
      <selection pane="topRight" activeCell="B1" sqref="B1"/>
      <selection pane="bottomLeft" activeCell="A2" sqref="A2"/>
      <selection pane="bottomRight" activeCell="AY19" sqref="AY19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  <col min="52" max="52" width="10.7109375" customWidth="1"/>
    <col min="53" max="53" width="11.42578125" customWidth="1"/>
  </cols>
  <sheetData>
    <row r="1" spans="1:54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</row>
    <row r="2" spans="1:54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  <c r="AZ2" s="10">
        <v>4731</v>
      </c>
      <c r="BA2" s="10">
        <v>4850</v>
      </c>
    </row>
    <row r="3" spans="1:54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BA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  <c r="AZ3" s="11">
        <f t="shared" si="0"/>
        <v>38</v>
      </c>
      <c r="BA3" s="11">
        <f t="shared" si="0"/>
        <v>119</v>
      </c>
    </row>
    <row r="4" spans="1:54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BA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  <c r="AZ4" s="12">
        <f t="shared" si="15"/>
        <v>8.0971659919028341E-3</v>
      </c>
      <c r="BA4" s="12">
        <f t="shared" si="15"/>
        <v>2.5153244557176074E-2</v>
      </c>
    </row>
    <row r="5" spans="1:54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  <c r="AZ5" s="10">
        <v>996910</v>
      </c>
      <c r="BA5" s="10">
        <v>1039389</v>
      </c>
    </row>
    <row r="6" spans="1:54" ht="35.25" thickBot="1" x14ac:dyDescent="0.3">
      <c r="A6" s="20" t="s">
        <v>4</v>
      </c>
      <c r="B6" s="7"/>
      <c r="C6" s="7">
        <f>C5-B5</f>
        <v>1628</v>
      </c>
      <c r="D6" s="7">
        <f t="shared" ref="D6:BA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  <c r="AZ6" s="7">
        <f t="shared" si="16"/>
        <v>45803</v>
      </c>
      <c r="BA6" s="7">
        <f t="shared" si="16"/>
        <v>42479</v>
      </c>
    </row>
    <row r="7" spans="1:54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BA7" si="17">D6/C5</f>
        <v>0.29577887937509389</v>
      </c>
      <c r="E7" s="12">
        <f t="shared" si="17"/>
        <v>0.20623695803385114</v>
      </c>
      <c r="F7" s="12">
        <f t="shared" si="17"/>
        <v>0.15367611725132149</v>
      </c>
      <c r="G7" s="12">
        <f t="shared" si="17"/>
        <v>0.15794735088303899</v>
      </c>
      <c r="H7" s="12">
        <f t="shared" si="17"/>
        <v>0.14503597122302159</v>
      </c>
      <c r="I7" s="12">
        <f t="shared" si="17"/>
        <v>0.15895953757225434</v>
      </c>
      <c r="J7" s="12">
        <f t="shared" si="17"/>
        <v>0.15683617044345657</v>
      </c>
      <c r="K7" s="12">
        <f t="shared" si="17"/>
        <v>0.17446928159707578</v>
      </c>
      <c r="L7" s="12">
        <f t="shared" si="17"/>
        <v>0.1583672492219296</v>
      </c>
      <c r="M7" s="12">
        <f t="shared" si="17"/>
        <v>0.15424890634149702</v>
      </c>
      <c r="N7" s="12">
        <f t="shared" si="17"/>
        <v>0.10826942015577905</v>
      </c>
      <c r="O7" s="12">
        <f t="shared" si="17"/>
        <v>0.10827476640547164</v>
      </c>
      <c r="P7" s="12">
        <f t="shared" si="17"/>
        <v>0.10889741969969387</v>
      </c>
      <c r="Q7" s="12">
        <f t="shared" si="17"/>
        <v>0.1004820333041192</v>
      </c>
      <c r="R7" s="12">
        <f t="shared" si="17"/>
        <v>7.330864492493927E-2</v>
      </c>
      <c r="S7" s="12">
        <f t="shared" si="17"/>
        <v>7.7057208577576614E-2</v>
      </c>
      <c r="T7" s="12">
        <f t="shared" si="17"/>
        <v>7.1905893699838103E-2</v>
      </c>
      <c r="U7" s="12">
        <f t="shared" si="17"/>
        <v>0.10159551392258624</v>
      </c>
      <c r="V7" s="12">
        <f t="shared" si="17"/>
        <v>0.10420070011668611</v>
      </c>
      <c r="W7" s="12">
        <f t="shared" si="17"/>
        <v>9.2901299799218004E-2</v>
      </c>
      <c r="X7" s="12">
        <f t="shared" si="17"/>
        <v>8.3517652320001939E-2</v>
      </c>
      <c r="Y7" s="12">
        <f t="shared" si="17"/>
        <v>9.6199538188673356E-2</v>
      </c>
      <c r="Z7" s="12">
        <f t="shared" si="17"/>
        <v>9.3099693704144657E-2</v>
      </c>
      <c r="AA7" s="12">
        <f t="shared" si="17"/>
        <v>0.10043753490970024</v>
      </c>
      <c r="AB7" s="12">
        <f t="shared" si="17"/>
        <v>0.13026926883739817</v>
      </c>
      <c r="AC7" s="12">
        <f t="shared" si="17"/>
        <v>0.11370576612178912</v>
      </c>
      <c r="AD7" s="12">
        <f t="shared" si="17"/>
        <v>8.4509408602150532E-2</v>
      </c>
      <c r="AE7" s="12">
        <f t="shared" si="17"/>
        <v>4.8371804802478699E-2</v>
      </c>
      <c r="AF7" s="12">
        <f t="shared" si="17"/>
        <v>0.10084465749700025</v>
      </c>
      <c r="AG7" s="12">
        <f t="shared" si="17"/>
        <v>0.10036404248236167</v>
      </c>
      <c r="AH7" s="12">
        <f t="shared" si="17"/>
        <v>8.2294787590150978E-2</v>
      </c>
      <c r="AI7" s="12">
        <f t="shared" si="17"/>
        <v>7.1443063314081665E-2</v>
      </c>
      <c r="AJ7" s="12">
        <f t="shared" si="17"/>
        <v>9.7262723810726079E-2</v>
      </c>
      <c r="AK7" s="12">
        <f t="shared" si="17"/>
        <v>6.4971870577813229E-2</v>
      </c>
      <c r="AL7" s="12">
        <f t="shared" si="17"/>
        <v>8.8166769295033143E-2</v>
      </c>
      <c r="AM7" s="12">
        <f t="shared" si="17"/>
        <v>0.12216688452438076</v>
      </c>
      <c r="AN7" s="12">
        <f t="shared" si="17"/>
        <v>0.11602113818261173</v>
      </c>
      <c r="AO7" s="12">
        <f t="shared" si="17"/>
        <v>0.11619654110901188</v>
      </c>
      <c r="AP7" s="12">
        <f t="shared" si="17"/>
        <v>8.4037413089846816E-2</v>
      </c>
      <c r="AQ7" s="12">
        <f t="shared" si="17"/>
        <v>7.7160102900519306E-2</v>
      </c>
      <c r="AR7" s="12">
        <f t="shared" si="17"/>
        <v>8.7945082726644239E-2</v>
      </c>
      <c r="AS7" s="12">
        <f t="shared" si="17"/>
        <v>0.10919069004714607</v>
      </c>
      <c r="AT7" s="12">
        <f t="shared" si="17"/>
        <v>0.10342139527069595</v>
      </c>
      <c r="AU7" s="12">
        <f t="shared" si="17"/>
        <v>0.10584606202343541</v>
      </c>
      <c r="AV7" s="12">
        <f t="shared" si="17"/>
        <v>7.0166404608551267E-2</v>
      </c>
      <c r="AW7" s="12">
        <f t="shared" si="17"/>
        <v>8.2271917906914516E-2</v>
      </c>
      <c r="AX7" s="12">
        <f t="shared" si="17"/>
        <v>5.9530843034625081E-2</v>
      </c>
      <c r="AY7" s="12">
        <f t="shared" si="17"/>
        <v>6.7114033719702593E-2</v>
      </c>
      <c r="AZ7" s="12">
        <f t="shared" si="17"/>
        <v>4.8157567970796136E-2</v>
      </c>
      <c r="BA7" s="12">
        <f t="shared" si="17"/>
        <v>4.2610666960909212E-2</v>
      </c>
    </row>
    <row r="8" spans="1:54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1444</v>
      </c>
      <c r="AZ8" s="10">
        <v>1449</v>
      </c>
      <c r="BA8" s="10">
        <v>1471</v>
      </c>
    </row>
    <row r="9" spans="1:54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BA9" si="18">H8-G8</f>
        <v>13</v>
      </c>
      <c r="I9" s="8">
        <f t="shared" si="18"/>
        <v>5</v>
      </c>
      <c r="J9" s="8">
        <f t="shared" si="18"/>
        <v>35</v>
      </c>
      <c r="K9" s="8">
        <f t="shared" si="18"/>
        <v>30</v>
      </c>
      <c r="L9" s="8">
        <f t="shared" si="18"/>
        <v>0</v>
      </c>
      <c r="M9" s="8">
        <f t="shared" si="18"/>
        <v>5</v>
      </c>
      <c r="N9" s="8">
        <f t="shared" si="18"/>
        <v>7</v>
      </c>
      <c r="O9" s="8">
        <f t="shared" si="18"/>
        <v>10</v>
      </c>
      <c r="P9" s="8">
        <f t="shared" si="18"/>
        <v>7</v>
      </c>
      <c r="Q9" s="8">
        <f t="shared" si="18"/>
        <v>14</v>
      </c>
      <c r="R9" s="8">
        <f t="shared" si="18"/>
        <v>23</v>
      </c>
      <c r="S9" s="8">
        <f t="shared" si="18"/>
        <v>34</v>
      </c>
      <c r="T9" s="8">
        <f t="shared" si="18"/>
        <v>24</v>
      </c>
      <c r="U9" s="8">
        <f t="shared" si="18"/>
        <v>36</v>
      </c>
      <c r="V9" s="8">
        <f t="shared" si="18"/>
        <v>44</v>
      </c>
      <c r="W9" s="8">
        <f t="shared" si="18"/>
        <v>61</v>
      </c>
      <c r="X9" s="8">
        <f t="shared" si="18"/>
        <v>86</v>
      </c>
      <c r="Y9" s="8">
        <f t="shared" si="18"/>
        <v>73</v>
      </c>
      <c r="Z9" s="8">
        <f t="shared" si="18"/>
        <v>61</v>
      </c>
      <c r="AA9" s="8">
        <f t="shared" si="18"/>
        <v>53</v>
      </c>
      <c r="AB9" s="8">
        <f t="shared" si="18"/>
        <v>26</v>
      </c>
      <c r="AC9" s="8">
        <f t="shared" si="18"/>
        <v>58</v>
      </c>
      <c r="AD9" s="8">
        <f t="shared" si="18"/>
        <v>33</v>
      </c>
      <c r="AE9" s="8">
        <f t="shared" si="18"/>
        <v>37</v>
      </c>
      <c r="AF9" s="8">
        <f t="shared" si="18"/>
        <v>32</v>
      </c>
      <c r="AG9" s="8">
        <f t="shared" si="18"/>
        <v>14</v>
      </c>
      <c r="AH9" s="8">
        <f t="shared" si="18"/>
        <v>32</v>
      </c>
      <c r="AI9" s="8">
        <f t="shared" si="18"/>
        <v>61</v>
      </c>
      <c r="AJ9" s="8">
        <f t="shared" si="18"/>
        <v>40</v>
      </c>
      <c r="AK9" s="8">
        <f t="shared" si="18"/>
        <v>18</v>
      </c>
      <c r="AL9" s="8">
        <f t="shared" si="18"/>
        <v>24</v>
      </c>
      <c r="AM9" s="8">
        <f t="shared" si="18"/>
        <v>21</v>
      </c>
      <c r="AN9" s="8">
        <f t="shared" si="18"/>
        <v>7</v>
      </c>
      <c r="AO9" s="8">
        <f t="shared" si="18"/>
        <v>20</v>
      </c>
      <c r="AP9" s="8">
        <f t="shared" si="18"/>
        <v>33</v>
      </c>
      <c r="AQ9" s="8">
        <f t="shared" si="18"/>
        <v>11</v>
      </c>
      <c r="AR9" s="8">
        <f t="shared" si="18"/>
        <v>15</v>
      </c>
      <c r="AS9" s="8">
        <f t="shared" si="18"/>
        <v>-4</v>
      </c>
      <c r="AT9" s="8">
        <f t="shared" si="18"/>
        <v>65</v>
      </c>
      <c r="AU9" s="8">
        <f t="shared" si="18"/>
        <v>48</v>
      </c>
      <c r="AV9" s="8">
        <f t="shared" si="18"/>
        <v>20</v>
      </c>
      <c r="AW9" s="8">
        <f t="shared" si="18"/>
        <v>42</v>
      </c>
      <c r="AX9" s="8">
        <f t="shared" si="18"/>
        <v>22</v>
      </c>
      <c r="AY9" s="8">
        <f t="shared" si="18"/>
        <v>5</v>
      </c>
      <c r="AZ9" s="8">
        <f t="shared" si="18"/>
        <v>5</v>
      </c>
      <c r="BA9" s="8">
        <f t="shared" si="18"/>
        <v>22</v>
      </c>
    </row>
    <row r="10" spans="1:54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BA10" si="19">H9/G8</f>
        <v>9.0909090909090912E-2</v>
      </c>
      <c r="I10" s="13">
        <f t="shared" si="19"/>
        <v>3.2051282051282048E-2</v>
      </c>
      <c r="J10" s="13">
        <f t="shared" si="19"/>
        <v>0.21739130434782608</v>
      </c>
      <c r="K10" s="13">
        <f t="shared" si="19"/>
        <v>0.15306122448979592</v>
      </c>
      <c r="L10" s="13">
        <f t="shared" si="19"/>
        <v>0</v>
      </c>
      <c r="M10" s="13">
        <f t="shared" si="19"/>
        <v>2.2123893805309734E-2</v>
      </c>
      <c r="N10" s="13">
        <f t="shared" si="19"/>
        <v>3.0303030303030304E-2</v>
      </c>
      <c r="O10" s="13">
        <f t="shared" si="19"/>
        <v>4.2016806722689079E-2</v>
      </c>
      <c r="P10" s="13">
        <f t="shared" ref="P10" si="20">P9/O8</f>
        <v>2.8225806451612902E-2</v>
      </c>
      <c r="Q10" s="13">
        <f t="shared" ref="Q10" si="21">Q9/P8</f>
        <v>5.4901960784313725E-2</v>
      </c>
      <c r="R10" s="13">
        <f t="shared" si="19"/>
        <v>8.5501858736059477E-2</v>
      </c>
      <c r="S10" s="13">
        <f t="shared" si="19"/>
        <v>0.11643835616438356</v>
      </c>
      <c r="T10" s="13">
        <f t="shared" si="19"/>
        <v>7.3619631901840496E-2</v>
      </c>
      <c r="U10" s="13">
        <f t="shared" si="19"/>
        <v>0.10285714285714286</v>
      </c>
      <c r="V10" s="13">
        <f t="shared" si="19"/>
        <v>0.11398963730569948</v>
      </c>
      <c r="W10" s="13">
        <f t="shared" si="19"/>
        <v>0.14186046511627906</v>
      </c>
      <c r="X10" s="13">
        <f t="shared" si="19"/>
        <v>0.17515274949083504</v>
      </c>
      <c r="Y10" s="13">
        <f t="shared" si="19"/>
        <v>0.1265164644714038</v>
      </c>
      <c r="Z10" s="13">
        <f t="shared" si="19"/>
        <v>9.3846153846153843E-2</v>
      </c>
      <c r="AA10" s="13">
        <f t="shared" si="19"/>
        <v>7.4542897327707455E-2</v>
      </c>
      <c r="AB10" s="13">
        <f t="shared" si="19"/>
        <v>3.4031413612565446E-2</v>
      </c>
      <c r="AC10" s="13">
        <f t="shared" si="19"/>
        <v>7.3417721518987344E-2</v>
      </c>
      <c r="AD10" s="13">
        <f t="shared" si="19"/>
        <v>3.891509433962264E-2</v>
      </c>
      <c r="AE10" s="13">
        <f t="shared" si="19"/>
        <v>4.1997729852440407E-2</v>
      </c>
      <c r="AF10" s="13">
        <f t="shared" si="19"/>
        <v>3.4858387799564274E-2</v>
      </c>
      <c r="AG10" s="13">
        <f t="shared" si="19"/>
        <v>1.4736842105263158E-2</v>
      </c>
      <c r="AH10" s="13">
        <f t="shared" si="19"/>
        <v>3.3195020746887967E-2</v>
      </c>
      <c r="AI10" s="13">
        <f t="shared" si="19"/>
        <v>6.1244979919678713E-2</v>
      </c>
      <c r="AJ10" s="13">
        <f t="shared" si="19"/>
        <v>3.7842951750236518E-2</v>
      </c>
      <c r="AK10" s="13">
        <f t="shared" si="19"/>
        <v>1.6408386508659983E-2</v>
      </c>
      <c r="AL10" s="13">
        <f t="shared" si="19"/>
        <v>2.1524663677130046E-2</v>
      </c>
      <c r="AM10" s="13">
        <f t="shared" si="19"/>
        <v>1.8437225636523266E-2</v>
      </c>
      <c r="AN10" s="13">
        <f t="shared" si="19"/>
        <v>6.0344827586206896E-3</v>
      </c>
      <c r="AO10" s="13">
        <f t="shared" si="19"/>
        <v>1.713796058269066E-2</v>
      </c>
      <c r="AP10" s="13">
        <f t="shared" si="19"/>
        <v>2.780117944397641E-2</v>
      </c>
      <c r="AQ10" s="13">
        <f t="shared" si="19"/>
        <v>9.0163934426229515E-3</v>
      </c>
      <c r="AR10" s="13">
        <f t="shared" si="19"/>
        <v>1.2185215272136474E-2</v>
      </c>
      <c r="AS10" s="13">
        <f t="shared" si="19"/>
        <v>-3.2102728731942215E-3</v>
      </c>
      <c r="AT10" s="13">
        <f t="shared" si="19"/>
        <v>5.2334943639291469E-2</v>
      </c>
      <c r="AU10" s="13">
        <f t="shared" si="19"/>
        <v>3.6725325172149964E-2</v>
      </c>
      <c r="AV10" s="13">
        <f t="shared" si="19"/>
        <v>1.4760147601476014E-2</v>
      </c>
      <c r="AW10" s="13">
        <f t="shared" si="19"/>
        <v>3.0545454545454546E-2</v>
      </c>
      <c r="AX10" s="13">
        <f t="shared" si="19"/>
        <v>1.5525758645024701E-2</v>
      </c>
      <c r="AY10" s="13">
        <f t="shared" si="19"/>
        <v>3.4746351633078527E-3</v>
      </c>
      <c r="AZ10" s="13">
        <f t="shared" si="19"/>
        <v>3.4626038781163434E-3</v>
      </c>
      <c r="BA10" s="13">
        <f t="shared" si="19"/>
        <v>1.518288474810214E-2</v>
      </c>
    </row>
    <row r="11" spans="1:54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  <c r="AZ11" s="16">
        <v>142</v>
      </c>
      <c r="BA11" s="16">
        <v>142</v>
      </c>
    </row>
    <row r="12" spans="1:54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2">T11-S11</f>
        <v>12</v>
      </c>
      <c r="U12" s="15">
        <f t="shared" si="22"/>
        <v>4</v>
      </c>
      <c r="V12" s="15">
        <f t="shared" si="22"/>
        <v>6</v>
      </c>
      <c r="W12" s="15">
        <f t="shared" si="22"/>
        <v>7</v>
      </c>
      <c r="X12" s="15">
        <f t="shared" si="22"/>
        <v>9</v>
      </c>
      <c r="Y12" s="15">
        <f t="shared" si="22"/>
        <v>2</v>
      </c>
      <c r="Z12" s="15">
        <f t="shared" si="22"/>
        <v>2</v>
      </c>
      <c r="AA12" s="15">
        <f t="shared" si="22"/>
        <v>4</v>
      </c>
      <c r="AB12" s="15">
        <f t="shared" si="22"/>
        <v>2</v>
      </c>
      <c r="AC12" s="15">
        <f t="shared" si="22"/>
        <v>31</v>
      </c>
      <c r="AD12" s="15">
        <f t="shared" si="22"/>
        <v>1</v>
      </c>
      <c r="AE12" s="15">
        <f t="shared" si="22"/>
        <v>2</v>
      </c>
      <c r="AF12" s="15">
        <f t="shared" si="22"/>
        <v>2</v>
      </c>
      <c r="AG12" s="15">
        <f>AG11-AF11</f>
        <v>0</v>
      </c>
      <c r="AH12" s="15">
        <f t="shared" si="22"/>
        <v>0</v>
      </c>
      <c r="AI12" s="15">
        <f>AI11-AH11</f>
        <v>0</v>
      </c>
      <c r="AJ12" s="15">
        <f>AJ11-AI11</f>
        <v>0</v>
      </c>
      <c r="AK12" s="15">
        <f t="shared" ref="AK12" si="23">AK11-AJ11</f>
        <v>0</v>
      </c>
      <c r="AL12" s="15">
        <f>AL11-AK11</f>
        <v>3</v>
      </c>
      <c r="AM12" s="15">
        <f>AM11-AL11</f>
        <v>3</v>
      </c>
      <c r="AN12" s="15">
        <f t="shared" ref="AN12" si="24">AN11-AM11</f>
        <v>-2</v>
      </c>
      <c r="AO12" s="15">
        <f>AO11-AN11</f>
        <v>0</v>
      </c>
      <c r="AP12" s="15">
        <f>AP11-AO11</f>
        <v>0</v>
      </c>
      <c r="AQ12" s="15">
        <f t="shared" ref="AQ12" si="25">AQ11-AP11</f>
        <v>0</v>
      </c>
      <c r="AR12" s="15">
        <f t="shared" ref="AR12:AZ12" si="26">AR11-AQ11</f>
        <v>0</v>
      </c>
      <c r="AS12" s="15">
        <f t="shared" si="26"/>
        <v>0</v>
      </c>
      <c r="AT12" s="15">
        <f t="shared" si="26"/>
        <v>6</v>
      </c>
      <c r="AU12" s="15">
        <f t="shared" si="26"/>
        <v>2</v>
      </c>
      <c r="AV12" s="15">
        <f t="shared" si="26"/>
        <v>1</v>
      </c>
      <c r="AW12" s="15">
        <f t="shared" si="26"/>
        <v>1</v>
      </c>
      <c r="AX12" s="15">
        <f t="shared" si="26"/>
        <v>1</v>
      </c>
      <c r="AY12" s="5">
        <v>0</v>
      </c>
      <c r="AZ12" s="15">
        <f t="shared" si="26"/>
        <v>0</v>
      </c>
      <c r="BA12" s="5">
        <v>1</v>
      </c>
    </row>
    <row r="13" spans="1:54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7">
        <v>1058</v>
      </c>
      <c r="AZ13" s="27">
        <v>1061</v>
      </c>
      <c r="BA13" s="27">
        <v>1075</v>
      </c>
    </row>
    <row r="14" spans="1:54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BA14" si="27">C13/C2</f>
        <v>0.39215686274509803</v>
      </c>
      <c r="D14" s="13">
        <f t="shared" si="27"/>
        <v>0.38650306748466257</v>
      </c>
      <c r="E14" s="13">
        <f t="shared" si="27"/>
        <v>0.31840796019900497</v>
      </c>
      <c r="F14" s="13">
        <f t="shared" si="27"/>
        <v>0.34562211981566821</v>
      </c>
      <c r="G14" s="13">
        <f t="shared" si="27"/>
        <v>0.32608695652173914</v>
      </c>
      <c r="H14" s="13">
        <f t="shared" si="27"/>
        <v>0.31666666666666665</v>
      </c>
      <c r="I14" s="13">
        <f t="shared" si="27"/>
        <v>0.30555555555555558</v>
      </c>
      <c r="J14" s="13">
        <f t="shared" si="27"/>
        <v>0.32752613240418116</v>
      </c>
      <c r="K14" s="13">
        <f t="shared" si="27"/>
        <v>0.42900302114803623</v>
      </c>
      <c r="L14" s="13">
        <f t="shared" si="27"/>
        <v>0.45722713864306785</v>
      </c>
      <c r="M14" s="13">
        <f t="shared" si="27"/>
        <v>0.45402298850574713</v>
      </c>
      <c r="N14" s="13">
        <f t="shared" si="27"/>
        <v>0.44383561643835617</v>
      </c>
      <c r="O14" s="13">
        <f t="shared" si="27"/>
        <v>0.44210526315789472</v>
      </c>
      <c r="P14" s="13">
        <f t="shared" si="27"/>
        <v>0.4357682619647355</v>
      </c>
      <c r="Q14" s="13">
        <f t="shared" si="27"/>
        <v>0.4</v>
      </c>
      <c r="R14" s="13">
        <f t="shared" si="27"/>
        <v>0.43458980044345896</v>
      </c>
      <c r="S14" s="13">
        <f t="shared" si="27"/>
        <v>0.43434343434343436</v>
      </c>
      <c r="T14" s="13">
        <f t="shared" si="27"/>
        <v>0.35714285714285715</v>
      </c>
      <c r="U14" s="13">
        <f t="shared" si="27"/>
        <v>0.25154004106776179</v>
      </c>
      <c r="V14" s="13">
        <f t="shared" si="27"/>
        <v>0.27881040892193309</v>
      </c>
      <c r="W14" s="13">
        <f t="shared" si="27"/>
        <v>0.23071271124173401</v>
      </c>
      <c r="X14" s="13">
        <f t="shared" si="27"/>
        <v>0.20931758530183728</v>
      </c>
      <c r="Y14" s="13">
        <f t="shared" si="27"/>
        <v>0.21791907514450867</v>
      </c>
      <c r="Z14" s="13">
        <f t="shared" si="27"/>
        <v>0.21727609962904079</v>
      </c>
      <c r="AA14" s="13">
        <f t="shared" si="27"/>
        <v>0.19844179651695693</v>
      </c>
      <c r="AB14" s="13">
        <f t="shared" si="27"/>
        <v>0.18080446037435285</v>
      </c>
      <c r="AC14" s="13">
        <f t="shared" si="27"/>
        <v>0.21139776665383134</v>
      </c>
      <c r="AD14" s="13">
        <f t="shared" si="27"/>
        <v>0.19965337954939341</v>
      </c>
      <c r="AE14" s="13">
        <f t="shared" si="27"/>
        <v>0.20483980913428765</v>
      </c>
      <c r="AF14" s="13">
        <f t="shared" si="27"/>
        <v>0.20194805194805196</v>
      </c>
      <c r="AG14" s="13">
        <f t="shared" si="27"/>
        <v>0.20292156240076215</v>
      </c>
      <c r="AH14" s="13">
        <f t="shared" si="27"/>
        <v>0.20036155468514613</v>
      </c>
      <c r="AI14" s="13">
        <f t="shared" si="27"/>
        <v>0.21119446047316792</v>
      </c>
      <c r="AJ14" s="13">
        <f t="shared" si="27"/>
        <v>0.21554869492001122</v>
      </c>
      <c r="AK14" s="13">
        <f t="shared" si="27"/>
        <v>0.21874133629054615</v>
      </c>
      <c r="AL14" s="13">
        <f t="shared" si="27"/>
        <v>0.21661237785016288</v>
      </c>
      <c r="AM14" s="13">
        <f t="shared" si="27"/>
        <v>0.21671991480298189</v>
      </c>
      <c r="AN14" s="13">
        <f t="shared" si="27"/>
        <v>0.21395106715252474</v>
      </c>
      <c r="AO14" s="13">
        <f t="shared" si="27"/>
        <v>0.21209858103061988</v>
      </c>
      <c r="AP14" s="13">
        <f t="shared" si="27"/>
        <v>0.21386285150468673</v>
      </c>
      <c r="AQ14" s="13">
        <f t="shared" si="27"/>
        <v>0.21021093000958774</v>
      </c>
      <c r="AR14" s="13">
        <f t="shared" si="27"/>
        <v>0.20803005400328717</v>
      </c>
      <c r="AS14" s="13">
        <f t="shared" si="27"/>
        <v>0.20807091205971542</v>
      </c>
      <c r="AT14" s="13">
        <f t="shared" si="27"/>
        <v>0.21573604060913706</v>
      </c>
      <c r="AU14" s="13">
        <f t="shared" si="27"/>
        <v>0.22100558659217878</v>
      </c>
      <c r="AV14" s="13">
        <f t="shared" si="27"/>
        <v>0.22234513274336284</v>
      </c>
      <c r="AW14" s="13">
        <f t="shared" si="27"/>
        <v>0.2217873450750163</v>
      </c>
      <c r="AX14" s="13">
        <f t="shared" si="27"/>
        <v>0.22586872586872586</v>
      </c>
      <c r="AY14" s="13">
        <f t="shared" si="27"/>
        <v>0.225442147879821</v>
      </c>
      <c r="AZ14" s="13">
        <f t="shared" si="27"/>
        <v>0.22426548298456986</v>
      </c>
      <c r="BA14" s="13">
        <f t="shared" si="27"/>
        <v>0.22164948453608246</v>
      </c>
    </row>
    <row r="15" spans="1:54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  <c r="AZ15" s="10">
        <v>471166</v>
      </c>
      <c r="BA15" s="10">
        <v>492390</v>
      </c>
    </row>
    <row r="16" spans="1:54" ht="52.5" thickBot="1" x14ac:dyDescent="0.3">
      <c r="A16" s="23" t="s">
        <v>14</v>
      </c>
      <c r="B16" s="18">
        <f>B15/B5</f>
        <v>0.73056273613044342</v>
      </c>
      <c r="C16" s="18">
        <f t="shared" ref="C16:BA16" si="28">C15/C5</f>
        <v>0.72359921886735767</v>
      </c>
      <c r="D16" s="18">
        <f t="shared" si="28"/>
        <v>0.71319267331323899</v>
      </c>
      <c r="E16" s="18">
        <f t="shared" si="28"/>
        <v>0.70370014416146087</v>
      </c>
      <c r="F16" s="18">
        <f t="shared" si="28"/>
        <v>0.68760413195601466</v>
      </c>
      <c r="G16" s="18">
        <f t="shared" si="28"/>
        <v>0.66266187050359715</v>
      </c>
      <c r="H16" s="18">
        <f t="shared" si="28"/>
        <v>0.65330485046494091</v>
      </c>
      <c r="I16" s="18">
        <f t="shared" si="28"/>
        <v>0.64192778922259564</v>
      </c>
      <c r="J16" s="18">
        <f t="shared" si="28"/>
        <v>0.63423778058953095</v>
      </c>
      <c r="K16" s="18">
        <f t="shared" si="28"/>
        <v>0.63386800734179238</v>
      </c>
      <c r="L16" s="18">
        <f t="shared" si="28"/>
        <v>0.63738762013020567</v>
      </c>
      <c r="M16" s="18">
        <f t="shared" si="28"/>
        <v>0.63908203766152372</v>
      </c>
      <c r="N16" s="18">
        <f t="shared" si="28"/>
        <v>0.62490238845356383</v>
      </c>
      <c r="O16" s="18">
        <f t="shared" si="28"/>
        <v>0.62221196365226683</v>
      </c>
      <c r="P16" s="18">
        <f t="shared" si="28"/>
        <v>0.61906222611744088</v>
      </c>
      <c r="Q16" s="18">
        <f t="shared" si="28"/>
        <v>0.61523911918130048</v>
      </c>
      <c r="R16" s="18">
        <f t="shared" si="28"/>
        <v>0.61159753654374116</v>
      </c>
      <c r="S16" s="18">
        <f t="shared" si="28"/>
        <v>0.60974475560607622</v>
      </c>
      <c r="T16" s="18">
        <f t="shared" si="28"/>
        <v>0.60304963285505409</v>
      </c>
      <c r="U16" s="18">
        <f t="shared" si="28"/>
        <v>0.59084014002333718</v>
      </c>
      <c r="V16" s="18">
        <f t="shared" si="28"/>
        <v>0.5773406953397443</v>
      </c>
      <c r="W16" s="18">
        <f t="shared" si="28"/>
        <v>0.57033733396183084</v>
      </c>
      <c r="X16" s="18">
        <f t="shared" si="28"/>
        <v>0.56122346536972789</v>
      </c>
      <c r="Y16" s="18">
        <f t="shared" si="28"/>
        <v>0.55101708540668148</v>
      </c>
      <c r="Z16" s="18">
        <f t="shared" si="28"/>
        <v>0.53059020666542545</v>
      </c>
      <c r="AA16" s="18">
        <f t="shared" si="28"/>
        <v>0.51201685150876841</v>
      </c>
      <c r="AB16" s="18">
        <f t="shared" si="28"/>
        <v>0.49081641817855221</v>
      </c>
      <c r="AC16" s="18">
        <f t="shared" si="28"/>
        <v>0.48336693548387094</v>
      </c>
      <c r="AD16" s="18">
        <f t="shared" si="28"/>
        <v>0.47247714949651431</v>
      </c>
      <c r="AE16" s="18">
        <f t="shared" si="28"/>
        <v>0.47025966272808412</v>
      </c>
      <c r="AF16" s="18">
        <f t="shared" si="28"/>
        <v>0.45355505202908042</v>
      </c>
      <c r="AG16" s="18">
        <f t="shared" si="28"/>
        <v>0.43936584461338773</v>
      </c>
      <c r="AH16" s="18">
        <f t="shared" si="28"/>
        <v>0.43702180803339963</v>
      </c>
      <c r="AI16" s="18">
        <f t="shared" si="28"/>
        <v>0.43940331166235352</v>
      </c>
      <c r="AJ16" s="18">
        <f t="shared" si="28"/>
        <v>0.43177800190980942</v>
      </c>
      <c r="AK16" s="18">
        <f t="shared" si="28"/>
        <v>0.42751736579990707</v>
      </c>
      <c r="AL16" s="18">
        <f t="shared" si="28"/>
        <v>0.42457765938084285</v>
      </c>
      <c r="AM16" s="18">
        <f t="shared" si="28"/>
        <v>0.42419390036036353</v>
      </c>
      <c r="AN16" s="18">
        <f t="shared" si="28"/>
        <v>0.42839778567559356</v>
      </c>
      <c r="AO16" s="18">
        <f t="shared" si="28"/>
        <v>0.42885855039664411</v>
      </c>
      <c r="AP16" s="18">
        <f t="shared" si="28"/>
        <v>0.42667246100830281</v>
      </c>
      <c r="AQ16" s="18">
        <f t="shared" si="28"/>
        <v>0.42724089763629469</v>
      </c>
      <c r="AR16" s="18">
        <f t="shared" si="28"/>
        <v>0.42651361273130461</v>
      </c>
      <c r="AS16" s="18">
        <f t="shared" si="28"/>
        <v>0.42747532445713804</v>
      </c>
      <c r="AT16" s="18">
        <f t="shared" si="28"/>
        <v>0.43706454481229751</v>
      </c>
      <c r="AU16" s="18">
        <f t="shared" si="28"/>
        <v>0.45222373062445098</v>
      </c>
      <c r="AV16" s="18">
        <f t="shared" si="28"/>
        <v>0.45837064369377717</v>
      </c>
      <c r="AW16" s="18">
        <f t="shared" si="28"/>
        <v>0.46654763192587828</v>
      </c>
      <c r="AX16" s="18">
        <f t="shared" si="28"/>
        <v>0.46927539776660543</v>
      </c>
      <c r="AY16" s="18">
        <f t="shared" si="28"/>
        <v>0.4714285564084798</v>
      </c>
      <c r="AZ16" s="18">
        <f t="shared" si="28"/>
        <v>0.47262641562427904</v>
      </c>
      <c r="BA16" s="18">
        <f t="shared" si="28"/>
        <v>0.47373023959268379</v>
      </c>
    </row>
    <row r="17" spans="1:53" s="2" customFormat="1" ht="35.25" thickBot="1" x14ac:dyDescent="0.3">
      <c r="A17" s="25" t="s">
        <v>16</v>
      </c>
      <c r="B17" s="19">
        <f>B5/B2</f>
        <v>33.526666666666664</v>
      </c>
      <c r="C17" s="19">
        <f t="shared" ref="C17:BA17" si="29">C5/C2</f>
        <v>43.509803921568626</v>
      </c>
      <c r="D17" s="19">
        <f t="shared" si="29"/>
        <v>52.920245398773005</v>
      </c>
      <c r="E17" s="19">
        <f t="shared" si="29"/>
        <v>51.766169154228855</v>
      </c>
      <c r="F17" s="19">
        <f t="shared" si="29"/>
        <v>55.317972350230413</v>
      </c>
      <c r="G17" s="19">
        <f t="shared" si="29"/>
        <v>60.434782608695649</v>
      </c>
      <c r="H17" s="19">
        <f t="shared" si="29"/>
        <v>66.316666666666663</v>
      </c>
      <c r="I17" s="19">
        <f t="shared" si="29"/>
        <v>73.198412698412696</v>
      </c>
      <c r="J17" s="19">
        <f t="shared" si="29"/>
        <v>74.351916376306619</v>
      </c>
      <c r="K17" s="19">
        <f t="shared" si="29"/>
        <v>75.716012084592151</v>
      </c>
      <c r="L17" s="19">
        <f t="shared" si="29"/>
        <v>85.637168141592923</v>
      </c>
      <c r="M17" s="19">
        <f t="shared" si="29"/>
        <v>96.290229885057471</v>
      </c>
      <c r="N17" s="19">
        <f t="shared" si="29"/>
        <v>101.74520547945205</v>
      </c>
      <c r="O17" s="19">
        <f t="shared" si="29"/>
        <v>108.31052631578947</v>
      </c>
      <c r="P17" s="19">
        <f t="shared" si="29"/>
        <v>114.96221662468514</v>
      </c>
      <c r="Q17" s="19">
        <f t="shared" si="29"/>
        <v>111.61333333333333</v>
      </c>
      <c r="R17" s="19">
        <f t="shared" si="29"/>
        <v>119.52993348115299</v>
      </c>
      <c r="S17" s="19">
        <f t="shared" si="29"/>
        <v>117.2969696969697</v>
      </c>
      <c r="T17" s="19">
        <f t="shared" si="29"/>
        <v>96.641304347826093</v>
      </c>
      <c r="U17" s="19">
        <f t="shared" si="29"/>
        <v>70.390143737166326</v>
      </c>
      <c r="V17" s="19">
        <f t="shared" si="29"/>
        <v>70.356877323420079</v>
      </c>
      <c r="W17" s="19">
        <f t="shared" si="29"/>
        <v>60.791329904481998</v>
      </c>
      <c r="X17" s="19">
        <f t="shared" si="29"/>
        <v>58.823490813648291</v>
      </c>
      <c r="Y17" s="19">
        <f t="shared" si="29"/>
        <v>56.804046242774568</v>
      </c>
      <c r="Z17" s="19">
        <f t="shared" si="29"/>
        <v>56.926338102808693</v>
      </c>
      <c r="AA17" s="19">
        <f t="shared" si="29"/>
        <v>54.17461044912924</v>
      </c>
      <c r="AB17" s="19">
        <f t="shared" si="29"/>
        <v>53.209080047789726</v>
      </c>
      <c r="AC17" s="19">
        <f t="shared" si="29"/>
        <v>57.296881016557563</v>
      </c>
      <c r="AD17" s="19">
        <f t="shared" si="29"/>
        <v>55.935875216637783</v>
      </c>
      <c r="AE17" s="19">
        <f t="shared" si="29"/>
        <v>57.662235855487388</v>
      </c>
      <c r="AF17" s="19">
        <f t="shared" si="29"/>
        <v>60.468181818181819</v>
      </c>
      <c r="AG17" s="19">
        <f t="shared" si="29"/>
        <v>65.079072721498889</v>
      </c>
      <c r="AH17" s="19">
        <f t="shared" si="29"/>
        <v>66.827056342271774</v>
      </c>
      <c r="AI17" s="19">
        <f t="shared" si="29"/>
        <v>68.564627813040971</v>
      </c>
      <c r="AJ17" s="19">
        <f t="shared" si="29"/>
        <v>73.185237159696882</v>
      </c>
      <c r="AK17" s="19">
        <f t="shared" si="29"/>
        <v>76.989464929304134</v>
      </c>
      <c r="AL17" s="19">
        <f t="shared" si="29"/>
        <v>82.026330076004342</v>
      </c>
      <c r="AM17" s="19">
        <f t="shared" si="29"/>
        <v>90.282747603833869</v>
      </c>
      <c r="AN17" s="19">
        <f t="shared" si="29"/>
        <v>98.502082248828728</v>
      </c>
      <c r="AO17" s="19">
        <f t="shared" si="29"/>
        <v>105.15782922579039</v>
      </c>
      <c r="AP17" s="19">
        <f t="shared" si="29"/>
        <v>112.95461272816971</v>
      </c>
      <c r="AQ17" s="19">
        <f t="shared" si="29"/>
        <v>118.22890699904123</v>
      </c>
      <c r="AR17" s="19">
        <f t="shared" si="29"/>
        <v>125.99906081239727</v>
      </c>
      <c r="AS17" s="19">
        <f t="shared" si="29"/>
        <v>138.84418007930955</v>
      </c>
      <c r="AT17" s="19">
        <f t="shared" si="29"/>
        <v>151.54222427318874</v>
      </c>
      <c r="AU17" s="19">
        <f t="shared" si="29"/>
        <v>162.30212290502794</v>
      </c>
      <c r="AV17" s="19">
        <f t="shared" si="29"/>
        <v>171.96106194690265</v>
      </c>
      <c r="AW17" s="19">
        <f t="shared" si="29"/>
        <v>182.91171993911721</v>
      </c>
      <c r="AX17" s="19">
        <f t="shared" si="29"/>
        <v>191.18168168168168</v>
      </c>
      <c r="AY17" s="19">
        <f t="shared" si="29"/>
        <v>202.66503302791392</v>
      </c>
      <c r="AZ17" s="19">
        <f t="shared" si="29"/>
        <v>210.71866413020504</v>
      </c>
      <c r="BA17" s="19">
        <f t="shared" si="29"/>
        <v>214.30701030927835</v>
      </c>
    </row>
    <row r="25" spans="1:53" x14ac:dyDescent="0.25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2011-12-01T21:07:47Z</dcterms:modified>
</cp:coreProperties>
</file>