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0225"/>
  <workbookPr autoCompressPictures="0"/>
  <bookViews>
    <workbookView xWindow="0" yWindow="0" windowWidth="43600" windowHeight="25600" tabRatio="476"/>
  </bookViews>
  <sheets>
    <sheet name="Document Control Information" sheetId="15" r:id="rId1"/>
    <sheet name="Priority Task Identification" sheetId="12" r:id="rId2"/>
    <sheet name="OMAT TBRA" sheetId="14" r:id="rId3"/>
    <sheet name="Safe Design Information" sheetId="13" r:id="rId4"/>
    <sheet name="DPRefs" sheetId="11" r:id="rId5"/>
    <sheet name="A&amp;W@H" sheetId="2" r:id="rId6"/>
    <sheet name="Tires" sheetId="3" r:id="rId7"/>
    <sheet name="ExpHE" sheetId="6" r:id="rId8"/>
    <sheet name="Fire" sheetId="5" r:id="rId9"/>
    <sheet name="MOC" sheetId="8" r:id="rId10"/>
    <sheet name="HIF" sheetId="7" r:id="rId11"/>
    <sheet name="ManTasks" sheetId="9" r:id="rId12"/>
    <sheet name="CSRWA" sheetId="4" r:id="rId13"/>
  </sheets>
  <externalReferences>
    <externalReference r:id="rId14"/>
  </externalReferences>
  <definedNames>
    <definedName name="Consequence">'[1]Appendix 1 - Names'!$D$3:$H$3</definedName>
    <definedName name="Frequency">'[1]Appendix 1 - Names'!$C$4:$C$10</definedName>
    <definedName name="Matrix">'[1]Appendix 1 - Names'!$D$4:$H$10</definedName>
    <definedName name="_xlnm.Print_Titles" localSheetId="5">'A&amp;W@H'!$A:$A,'A&amp;W@H'!$1:$1</definedName>
    <definedName name="_xlnm.Print_Titles" localSheetId="12">CSRWA!$A:$A,CSRWA!$1:$1</definedName>
    <definedName name="_xlnm.Print_Titles" localSheetId="7">ExpHE!$A:$A,ExpHE!$1:$1</definedName>
    <definedName name="_xlnm.Print_Titles" localSheetId="8">Fire!$A:$A,Fire!$1:$1</definedName>
    <definedName name="_xlnm.Print_Titles" localSheetId="10">HIF!$A:$A,HIF!$1:$1</definedName>
    <definedName name="_xlnm.Print_Titles" localSheetId="11">ManTasks!$A:$A,ManTasks!$1:$1</definedName>
    <definedName name="_xlnm.Print_Titles" localSheetId="9">MOC!$A:$A,MOC!$1:$1</definedName>
    <definedName name="_xlnm.Print_Titles" localSheetId="6">Tires!$A:$A,Tires!$1:$1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C499" i="14" l="1"/>
  <c r="G500" i="14"/>
  <c r="AC498" i="14"/>
  <c r="G499" i="14"/>
  <c r="AC497" i="14"/>
  <c r="G498" i="14"/>
  <c r="AC496" i="14"/>
  <c r="G497" i="14"/>
  <c r="AC495" i="14"/>
  <c r="G496" i="14"/>
  <c r="AC494" i="14"/>
  <c r="G495" i="14"/>
  <c r="AC493" i="14"/>
  <c r="G494" i="14"/>
  <c r="AC492" i="14"/>
  <c r="G493" i="14"/>
  <c r="AC491" i="14"/>
  <c r="G492" i="14"/>
  <c r="AC490" i="14"/>
  <c r="G491" i="14"/>
  <c r="AC489" i="14"/>
  <c r="G490" i="14"/>
  <c r="AC488" i="14"/>
  <c r="G489" i="14"/>
  <c r="AC487" i="14"/>
  <c r="G488" i="14"/>
  <c r="AC486" i="14"/>
  <c r="G487" i="14"/>
  <c r="AC485" i="14"/>
  <c r="G486" i="14"/>
  <c r="AC484" i="14"/>
  <c r="G485" i="14"/>
  <c r="AC483" i="14"/>
  <c r="G484" i="14"/>
  <c r="AC482" i="14"/>
  <c r="G483" i="14"/>
  <c r="AI482" i="14"/>
  <c r="A32" i="14"/>
  <c r="A57" i="14"/>
  <c r="A82" i="14"/>
  <c r="A107" i="14"/>
  <c r="A132" i="14"/>
  <c r="A157" i="14"/>
  <c r="A182" i="14"/>
  <c r="A207" i="14"/>
  <c r="A232" i="14"/>
  <c r="A257" i="14"/>
  <c r="A282" i="14"/>
  <c r="A307" i="14"/>
  <c r="A332" i="14"/>
  <c r="A357" i="14"/>
  <c r="A382" i="14"/>
  <c r="A407" i="14"/>
  <c r="A432" i="14"/>
  <c r="A457" i="14"/>
  <c r="A482" i="14"/>
  <c r="AC474" i="14"/>
  <c r="G475" i="14"/>
  <c r="AC473" i="14"/>
  <c r="G474" i="14"/>
  <c r="AC472" i="14"/>
  <c r="G473" i="14"/>
  <c r="AC471" i="14"/>
  <c r="G472" i="14"/>
  <c r="AC470" i="14"/>
  <c r="G471" i="14"/>
  <c r="AC469" i="14"/>
  <c r="G470" i="14"/>
  <c r="AC468" i="14"/>
  <c r="G469" i="14"/>
  <c r="AC467" i="14"/>
  <c r="G468" i="14"/>
  <c r="AC466" i="14"/>
  <c r="G467" i="14"/>
  <c r="AC465" i="14"/>
  <c r="G466" i="14"/>
  <c r="AC464" i="14"/>
  <c r="G465" i="14"/>
  <c r="AC463" i="14"/>
  <c r="G464" i="14"/>
  <c r="AC462" i="14"/>
  <c r="G463" i="14"/>
  <c r="AC461" i="14"/>
  <c r="G462" i="14"/>
  <c r="AC460" i="14"/>
  <c r="G461" i="14"/>
  <c r="AC459" i="14"/>
  <c r="G460" i="14"/>
  <c r="AC458" i="14"/>
  <c r="G459" i="14"/>
  <c r="AC457" i="14"/>
  <c r="G458" i="14"/>
  <c r="AI457" i="14"/>
  <c r="AC449" i="14"/>
  <c r="G450" i="14"/>
  <c r="AC448" i="14"/>
  <c r="G449" i="14"/>
  <c r="AC447" i="14"/>
  <c r="G448" i="14"/>
  <c r="AC446" i="14"/>
  <c r="G447" i="14"/>
  <c r="AC445" i="14"/>
  <c r="G446" i="14"/>
  <c r="AC444" i="14"/>
  <c r="G445" i="14"/>
  <c r="AC443" i="14"/>
  <c r="G444" i="14"/>
  <c r="AC442" i="14"/>
  <c r="G443" i="14"/>
  <c r="AC441" i="14"/>
  <c r="G442" i="14"/>
  <c r="AC440" i="14"/>
  <c r="G441" i="14"/>
  <c r="AC439" i="14"/>
  <c r="G440" i="14"/>
  <c r="AC438" i="14"/>
  <c r="G439" i="14"/>
  <c r="AC437" i="14"/>
  <c r="G438" i="14"/>
  <c r="AC436" i="14"/>
  <c r="G437" i="14"/>
  <c r="AC435" i="14"/>
  <c r="G436" i="14"/>
  <c r="AC434" i="14"/>
  <c r="G435" i="14"/>
  <c r="AC433" i="14"/>
  <c r="G434" i="14"/>
  <c r="AC432" i="14"/>
  <c r="G433" i="14"/>
  <c r="AI432" i="14"/>
  <c r="AC424" i="14"/>
  <c r="G425" i="14"/>
  <c r="AC423" i="14"/>
  <c r="G424" i="14"/>
  <c r="AC422" i="14"/>
  <c r="G423" i="14"/>
  <c r="AC421" i="14"/>
  <c r="G422" i="14"/>
  <c r="AC420" i="14"/>
  <c r="G421" i="14"/>
  <c r="AC419" i="14"/>
  <c r="G420" i="14"/>
  <c r="AC418" i="14"/>
  <c r="G419" i="14"/>
  <c r="AC417" i="14"/>
  <c r="G418" i="14"/>
  <c r="AC416" i="14"/>
  <c r="G417" i="14"/>
  <c r="AC415" i="14"/>
  <c r="G416" i="14"/>
  <c r="AC414" i="14"/>
  <c r="G415" i="14"/>
  <c r="AC413" i="14"/>
  <c r="G414" i="14"/>
  <c r="AC412" i="14"/>
  <c r="G413" i="14"/>
  <c r="AC411" i="14"/>
  <c r="G412" i="14"/>
  <c r="AC410" i="14"/>
  <c r="G411" i="14"/>
  <c r="AC409" i="14"/>
  <c r="G410" i="14"/>
  <c r="AC408" i="14"/>
  <c r="G409" i="14"/>
  <c r="AC407" i="14"/>
  <c r="G408" i="14"/>
  <c r="AI407" i="14"/>
  <c r="AC399" i="14"/>
  <c r="G400" i="14"/>
  <c r="AC398" i="14"/>
  <c r="G399" i="14"/>
  <c r="AC397" i="14"/>
  <c r="G398" i="14"/>
  <c r="AC396" i="14"/>
  <c r="G397" i="14"/>
  <c r="AC395" i="14"/>
  <c r="G396" i="14"/>
  <c r="AC394" i="14"/>
  <c r="G395" i="14"/>
  <c r="AC393" i="14"/>
  <c r="G394" i="14"/>
  <c r="AC392" i="14"/>
  <c r="G393" i="14"/>
  <c r="AC391" i="14"/>
  <c r="G392" i="14"/>
  <c r="AC390" i="14"/>
  <c r="G391" i="14"/>
  <c r="AC389" i="14"/>
  <c r="G390" i="14"/>
  <c r="AC388" i="14"/>
  <c r="G389" i="14"/>
  <c r="AC387" i="14"/>
  <c r="G388" i="14"/>
  <c r="AC386" i="14"/>
  <c r="G387" i="14"/>
  <c r="AC385" i="14"/>
  <c r="G386" i="14"/>
  <c r="AC384" i="14"/>
  <c r="G385" i="14"/>
  <c r="AC383" i="14"/>
  <c r="G384" i="14"/>
  <c r="AC382" i="14"/>
  <c r="G383" i="14"/>
  <c r="AI382" i="14"/>
  <c r="AC374" i="14"/>
  <c r="G375" i="14"/>
  <c r="AC373" i="14"/>
  <c r="G374" i="14"/>
  <c r="AC372" i="14"/>
  <c r="G373" i="14"/>
  <c r="AC371" i="14"/>
  <c r="G372" i="14"/>
  <c r="AC370" i="14"/>
  <c r="G371" i="14"/>
  <c r="AC369" i="14"/>
  <c r="G370" i="14"/>
  <c r="AC368" i="14"/>
  <c r="G369" i="14"/>
  <c r="AC367" i="14"/>
  <c r="G368" i="14"/>
  <c r="AC366" i="14"/>
  <c r="G367" i="14"/>
  <c r="AC365" i="14"/>
  <c r="G366" i="14"/>
  <c r="AC364" i="14"/>
  <c r="G365" i="14"/>
  <c r="AC363" i="14"/>
  <c r="G364" i="14"/>
  <c r="AC362" i="14"/>
  <c r="G363" i="14"/>
  <c r="AC361" i="14"/>
  <c r="G362" i="14"/>
  <c r="AC360" i="14"/>
  <c r="G361" i="14"/>
  <c r="AC359" i="14"/>
  <c r="G360" i="14"/>
  <c r="AC358" i="14"/>
  <c r="G359" i="14"/>
  <c r="AC357" i="14"/>
  <c r="G358" i="14"/>
  <c r="AI357" i="14"/>
  <c r="AC349" i="14"/>
  <c r="G350" i="14"/>
  <c r="AC348" i="14"/>
  <c r="G349" i="14"/>
  <c r="AC347" i="14"/>
  <c r="G348" i="14"/>
  <c r="AC346" i="14"/>
  <c r="G347" i="14"/>
  <c r="AC345" i="14"/>
  <c r="G346" i="14"/>
  <c r="AC344" i="14"/>
  <c r="G345" i="14"/>
  <c r="AC343" i="14"/>
  <c r="G344" i="14"/>
  <c r="AC342" i="14"/>
  <c r="G343" i="14"/>
  <c r="AC341" i="14"/>
  <c r="G342" i="14"/>
  <c r="AC340" i="14"/>
  <c r="G341" i="14"/>
  <c r="AC339" i="14"/>
  <c r="G340" i="14"/>
  <c r="AC338" i="14"/>
  <c r="G339" i="14"/>
  <c r="AC337" i="14"/>
  <c r="G338" i="14"/>
  <c r="AC336" i="14"/>
  <c r="G337" i="14"/>
  <c r="AC335" i="14"/>
  <c r="G336" i="14"/>
  <c r="AC334" i="14"/>
  <c r="G335" i="14"/>
  <c r="AC333" i="14"/>
  <c r="G334" i="14"/>
  <c r="AC332" i="14"/>
  <c r="G333" i="14"/>
  <c r="AI332" i="14"/>
  <c r="AC182" i="14"/>
  <c r="G183" i="14"/>
  <c r="AI182" i="14"/>
  <c r="AC183" i="14"/>
  <c r="G184" i="14"/>
  <c r="AC184" i="14"/>
  <c r="G185" i="14"/>
  <c r="AC185" i="14"/>
  <c r="G186" i="14"/>
  <c r="AC186" i="14"/>
  <c r="G187" i="14"/>
  <c r="AC187" i="14"/>
  <c r="G188" i="14"/>
  <c r="AC188" i="14"/>
  <c r="G189" i="14"/>
  <c r="AC189" i="14"/>
  <c r="G190" i="14"/>
  <c r="AC190" i="14"/>
  <c r="G191" i="14"/>
  <c r="AC191" i="14"/>
  <c r="G192" i="14"/>
  <c r="AC192" i="14"/>
  <c r="G193" i="14"/>
  <c r="AC193" i="14"/>
  <c r="G194" i="14"/>
  <c r="AC194" i="14"/>
  <c r="G195" i="14"/>
  <c r="AC195" i="14"/>
  <c r="G196" i="14"/>
  <c r="AC196" i="14"/>
  <c r="G197" i="14"/>
  <c r="AC197" i="14"/>
  <c r="G198" i="14"/>
  <c r="AC198" i="14"/>
  <c r="G199" i="14"/>
  <c r="AC199" i="14"/>
  <c r="G200" i="14"/>
  <c r="AC207" i="14"/>
  <c r="G208" i="14"/>
  <c r="AI207" i="14"/>
  <c r="AC208" i="14"/>
  <c r="G209" i="14"/>
  <c r="AC209" i="14"/>
  <c r="G210" i="14"/>
  <c r="AC210" i="14"/>
  <c r="G211" i="14"/>
  <c r="AC211" i="14"/>
  <c r="G212" i="14"/>
  <c r="AC212" i="14"/>
  <c r="G213" i="14"/>
  <c r="AC213" i="14"/>
  <c r="G214" i="14"/>
  <c r="AC214" i="14"/>
  <c r="G215" i="14"/>
  <c r="AC215" i="14"/>
  <c r="G216" i="14"/>
  <c r="AC216" i="14"/>
  <c r="G217" i="14"/>
  <c r="AC217" i="14"/>
  <c r="G218" i="14"/>
  <c r="AC218" i="14"/>
  <c r="G219" i="14"/>
  <c r="AC219" i="14"/>
  <c r="G220" i="14"/>
  <c r="AC220" i="14"/>
  <c r="G221" i="14"/>
  <c r="AC221" i="14"/>
  <c r="G222" i="14"/>
  <c r="AC222" i="14"/>
  <c r="G223" i="14"/>
  <c r="AC223" i="14"/>
  <c r="G224" i="14"/>
  <c r="AC224" i="14"/>
  <c r="G225" i="14"/>
  <c r="AC232" i="14"/>
  <c r="G233" i="14"/>
  <c r="AI232" i="14"/>
  <c r="AC233" i="14"/>
  <c r="G234" i="14"/>
  <c r="AC234" i="14"/>
  <c r="G235" i="14"/>
  <c r="AC235" i="14"/>
  <c r="G236" i="14"/>
  <c r="AC236" i="14"/>
  <c r="G237" i="14"/>
  <c r="AC237" i="14"/>
  <c r="G238" i="14"/>
  <c r="AC238" i="14"/>
  <c r="G239" i="14"/>
  <c r="AC239" i="14"/>
  <c r="G240" i="14"/>
  <c r="AC240" i="14"/>
  <c r="G241" i="14"/>
  <c r="AC241" i="14"/>
  <c r="G242" i="14"/>
  <c r="AC242" i="14"/>
  <c r="G243" i="14"/>
  <c r="AC243" i="14"/>
  <c r="G244" i="14"/>
  <c r="AC244" i="14"/>
  <c r="G245" i="14"/>
  <c r="AC245" i="14"/>
  <c r="G246" i="14"/>
  <c r="AC246" i="14"/>
  <c r="G247" i="14"/>
  <c r="AC247" i="14"/>
  <c r="G248" i="14"/>
  <c r="AC248" i="14"/>
  <c r="G249" i="14"/>
  <c r="AC249" i="14"/>
  <c r="G250" i="14"/>
  <c r="AC257" i="14"/>
  <c r="G258" i="14"/>
  <c r="AI257" i="14"/>
  <c r="AC258" i="14"/>
  <c r="G259" i="14"/>
  <c r="AC259" i="14"/>
  <c r="G260" i="14"/>
  <c r="AC260" i="14"/>
  <c r="G261" i="14"/>
  <c r="AC261" i="14"/>
  <c r="G262" i="14"/>
  <c r="AC262" i="14"/>
  <c r="G263" i="14"/>
  <c r="AC263" i="14"/>
  <c r="G264" i="14"/>
  <c r="AC264" i="14"/>
  <c r="G265" i="14"/>
  <c r="AC265" i="14"/>
  <c r="G266" i="14"/>
  <c r="AC266" i="14"/>
  <c r="G267" i="14"/>
  <c r="AC267" i="14"/>
  <c r="G268" i="14"/>
  <c r="AC268" i="14"/>
  <c r="G269" i="14"/>
  <c r="AC269" i="14"/>
  <c r="G270" i="14"/>
  <c r="AC270" i="14"/>
  <c r="G271" i="14"/>
  <c r="AC271" i="14"/>
  <c r="G272" i="14"/>
  <c r="AC272" i="14"/>
  <c r="G273" i="14"/>
  <c r="AC273" i="14"/>
  <c r="G274" i="14"/>
  <c r="AC274" i="14"/>
  <c r="G275" i="14"/>
  <c r="AC282" i="14"/>
  <c r="G283" i="14"/>
  <c r="AI282" i="14"/>
  <c r="AC283" i="14"/>
  <c r="G284" i="14"/>
  <c r="AC284" i="14"/>
  <c r="G285" i="14"/>
  <c r="AC285" i="14"/>
  <c r="G286" i="14"/>
  <c r="AC286" i="14"/>
  <c r="G287" i="14"/>
  <c r="AC287" i="14"/>
  <c r="G288" i="14"/>
  <c r="AC288" i="14"/>
  <c r="G289" i="14"/>
  <c r="AC289" i="14"/>
  <c r="G290" i="14"/>
  <c r="AC290" i="14"/>
  <c r="G291" i="14"/>
  <c r="AC291" i="14"/>
  <c r="G292" i="14"/>
  <c r="AC292" i="14"/>
  <c r="G293" i="14"/>
  <c r="AC293" i="14"/>
  <c r="G294" i="14"/>
  <c r="AC294" i="14"/>
  <c r="G295" i="14"/>
  <c r="AC295" i="14"/>
  <c r="G296" i="14"/>
  <c r="AC296" i="14"/>
  <c r="G297" i="14"/>
  <c r="AC297" i="14"/>
  <c r="G298" i="14"/>
  <c r="AC298" i="14"/>
  <c r="G299" i="14"/>
  <c r="AC299" i="14"/>
  <c r="G300" i="14"/>
  <c r="AC307" i="14"/>
  <c r="G308" i="14"/>
  <c r="AI307" i="14"/>
  <c r="AC308" i="14"/>
  <c r="G309" i="14"/>
  <c r="AC309" i="14"/>
  <c r="G310" i="14"/>
  <c r="AC310" i="14"/>
  <c r="G311" i="14"/>
  <c r="AC311" i="14"/>
  <c r="G312" i="14"/>
  <c r="AC312" i="14"/>
  <c r="G313" i="14"/>
  <c r="AC313" i="14"/>
  <c r="G314" i="14"/>
  <c r="AC314" i="14"/>
  <c r="G315" i="14"/>
  <c r="AC315" i="14"/>
  <c r="G316" i="14"/>
  <c r="AC316" i="14"/>
  <c r="G317" i="14"/>
  <c r="AC317" i="14"/>
  <c r="G318" i="14"/>
  <c r="AC318" i="14"/>
  <c r="G319" i="14"/>
  <c r="AC319" i="14"/>
  <c r="G320" i="14"/>
  <c r="AC320" i="14"/>
  <c r="G321" i="14"/>
  <c r="AC321" i="14"/>
  <c r="G322" i="14"/>
  <c r="AC322" i="14"/>
  <c r="G323" i="14"/>
  <c r="AC323" i="14"/>
  <c r="G324" i="14"/>
  <c r="AC324" i="14"/>
  <c r="G325" i="14"/>
  <c r="AC107" i="14"/>
  <c r="G108" i="14"/>
  <c r="AI107" i="14"/>
  <c r="AC108" i="14"/>
  <c r="G109" i="14"/>
  <c r="AC109" i="14"/>
  <c r="G110" i="14"/>
  <c r="AC110" i="14"/>
  <c r="G111" i="14"/>
  <c r="AC111" i="14"/>
  <c r="G112" i="14"/>
  <c r="AC112" i="14"/>
  <c r="G113" i="14"/>
  <c r="AC113" i="14"/>
  <c r="G114" i="14"/>
  <c r="AC114" i="14"/>
  <c r="G115" i="14"/>
  <c r="AC115" i="14"/>
  <c r="G116" i="14"/>
  <c r="AC116" i="14"/>
  <c r="G117" i="14"/>
  <c r="AC117" i="14"/>
  <c r="G118" i="14"/>
  <c r="AC118" i="14"/>
  <c r="G119" i="14"/>
  <c r="AC119" i="14"/>
  <c r="G120" i="14"/>
  <c r="AC120" i="14"/>
  <c r="G121" i="14"/>
  <c r="AC121" i="14"/>
  <c r="G122" i="14"/>
  <c r="AC122" i="14"/>
  <c r="G123" i="14"/>
  <c r="AC123" i="14"/>
  <c r="G124" i="14"/>
  <c r="AC124" i="14"/>
  <c r="G125" i="14"/>
  <c r="AC132" i="14"/>
  <c r="G133" i="14"/>
  <c r="AI132" i="14"/>
  <c r="AC133" i="14"/>
  <c r="G134" i="14"/>
  <c r="AC134" i="14"/>
  <c r="G135" i="14"/>
  <c r="AC135" i="14"/>
  <c r="G136" i="14"/>
  <c r="AC136" i="14"/>
  <c r="G137" i="14"/>
  <c r="AC137" i="14"/>
  <c r="G138" i="14"/>
  <c r="AC138" i="14"/>
  <c r="G139" i="14"/>
  <c r="AC139" i="14"/>
  <c r="G140" i="14"/>
  <c r="AC140" i="14"/>
  <c r="G141" i="14"/>
  <c r="AC141" i="14"/>
  <c r="G142" i="14"/>
  <c r="AC142" i="14"/>
  <c r="G143" i="14"/>
  <c r="AC143" i="14"/>
  <c r="G144" i="14"/>
  <c r="AC144" i="14"/>
  <c r="G145" i="14"/>
  <c r="AC145" i="14"/>
  <c r="G146" i="14"/>
  <c r="AC146" i="14"/>
  <c r="G147" i="14"/>
  <c r="AC147" i="14"/>
  <c r="G148" i="14"/>
  <c r="AC148" i="14"/>
  <c r="G149" i="14"/>
  <c r="AC149" i="14"/>
  <c r="G150" i="14"/>
  <c r="AC157" i="14"/>
  <c r="G158" i="14"/>
  <c r="AI157" i="14"/>
  <c r="AC158" i="14"/>
  <c r="G159" i="14"/>
  <c r="AC159" i="14"/>
  <c r="G160" i="14"/>
  <c r="AC160" i="14"/>
  <c r="G161" i="14"/>
  <c r="AC161" i="14"/>
  <c r="G162" i="14"/>
  <c r="AC162" i="14"/>
  <c r="G163" i="14"/>
  <c r="AC163" i="14"/>
  <c r="G164" i="14"/>
  <c r="AC164" i="14"/>
  <c r="G165" i="14"/>
  <c r="AC165" i="14"/>
  <c r="G166" i="14"/>
  <c r="AC166" i="14"/>
  <c r="G167" i="14"/>
  <c r="AC167" i="14"/>
  <c r="G168" i="14"/>
  <c r="AC168" i="14"/>
  <c r="G169" i="14"/>
  <c r="AC169" i="14"/>
  <c r="G170" i="14"/>
  <c r="AC170" i="14"/>
  <c r="G171" i="14"/>
  <c r="AC171" i="14"/>
  <c r="G172" i="14"/>
  <c r="AC172" i="14"/>
  <c r="G173" i="14"/>
  <c r="AC173" i="14"/>
  <c r="G174" i="14"/>
  <c r="AC174" i="14"/>
  <c r="G175" i="14"/>
  <c r="AC99" i="14"/>
  <c r="G100" i="14"/>
  <c r="AC98" i="14"/>
  <c r="G99" i="14"/>
  <c r="AC97" i="14"/>
  <c r="G98" i="14"/>
  <c r="AC96" i="14"/>
  <c r="G97" i="14"/>
  <c r="AC95" i="14"/>
  <c r="G96" i="14"/>
  <c r="AC94" i="14"/>
  <c r="G95" i="14"/>
  <c r="AC93" i="14"/>
  <c r="G94" i="14"/>
  <c r="AC92" i="14"/>
  <c r="G93" i="14"/>
  <c r="AC91" i="14"/>
  <c r="G92" i="14"/>
  <c r="AC90" i="14"/>
  <c r="G91" i="14"/>
  <c r="AC89" i="14"/>
  <c r="G90" i="14"/>
  <c r="AC88" i="14"/>
  <c r="G89" i="14"/>
  <c r="AC87" i="14"/>
  <c r="G88" i="14"/>
  <c r="AC86" i="14"/>
  <c r="G87" i="14"/>
  <c r="AC85" i="14"/>
  <c r="G86" i="14"/>
  <c r="AC84" i="14"/>
  <c r="G85" i="14"/>
  <c r="AC83" i="14"/>
  <c r="G84" i="14"/>
  <c r="AC82" i="14"/>
  <c r="G83" i="14"/>
  <c r="AI82" i="14"/>
  <c r="AC74" i="14"/>
  <c r="G75" i="14"/>
  <c r="AC73" i="14"/>
  <c r="G74" i="14"/>
  <c r="AC72" i="14"/>
  <c r="G73" i="14"/>
  <c r="AC71" i="14"/>
  <c r="G72" i="14"/>
  <c r="AC70" i="14"/>
  <c r="G71" i="14"/>
  <c r="AC69" i="14"/>
  <c r="G70" i="14"/>
  <c r="AC68" i="14"/>
  <c r="G69" i="14"/>
  <c r="AC67" i="14"/>
  <c r="G68" i="14"/>
  <c r="AC66" i="14"/>
  <c r="G67" i="14"/>
  <c r="AC65" i="14"/>
  <c r="G66" i="14"/>
  <c r="AC64" i="14"/>
  <c r="G65" i="14"/>
  <c r="AC63" i="14"/>
  <c r="G64" i="14"/>
  <c r="AC62" i="14"/>
  <c r="G63" i="14"/>
  <c r="AC61" i="14"/>
  <c r="G62" i="14"/>
  <c r="AC60" i="14"/>
  <c r="G61" i="14"/>
  <c r="AC59" i="14"/>
  <c r="G60" i="14"/>
  <c r="AC58" i="14"/>
  <c r="G59" i="14"/>
  <c r="AC57" i="14"/>
  <c r="G58" i="14"/>
  <c r="AI57" i="14"/>
  <c r="AC49" i="14"/>
  <c r="G50" i="14"/>
  <c r="AC48" i="14"/>
  <c r="G49" i="14"/>
  <c r="AC47" i="14"/>
  <c r="G48" i="14"/>
  <c r="AC46" i="14"/>
  <c r="G47" i="14"/>
  <c r="AC45" i="14"/>
  <c r="G46" i="14"/>
  <c r="AC44" i="14"/>
  <c r="G45" i="14"/>
  <c r="AC43" i="14"/>
  <c r="G44" i="14"/>
  <c r="AC42" i="14"/>
  <c r="G43" i="14"/>
  <c r="AC41" i="14"/>
  <c r="G42" i="14"/>
  <c r="AC40" i="14"/>
  <c r="G41" i="14"/>
  <c r="AC39" i="14"/>
  <c r="G40" i="14"/>
  <c r="AC38" i="14"/>
  <c r="G39" i="14"/>
  <c r="AC37" i="14"/>
  <c r="G38" i="14"/>
  <c r="AC36" i="14"/>
  <c r="G37" i="14"/>
  <c r="AC35" i="14"/>
  <c r="G36" i="14"/>
  <c r="AC34" i="14"/>
  <c r="G35" i="14"/>
  <c r="AC33" i="14"/>
  <c r="G34" i="14"/>
  <c r="AC32" i="14"/>
  <c r="G33" i="14"/>
  <c r="AI32" i="14"/>
  <c r="AC24" i="14"/>
  <c r="G25" i="14"/>
  <c r="AC23" i="14"/>
  <c r="G24" i="14"/>
  <c r="AC22" i="14"/>
  <c r="G23" i="14"/>
  <c r="AC21" i="14"/>
  <c r="G22" i="14"/>
  <c r="AC20" i="14"/>
  <c r="G21" i="14"/>
  <c r="AC19" i="14"/>
  <c r="G20" i="14"/>
  <c r="AC18" i="14"/>
  <c r="G19" i="14"/>
  <c r="AC17" i="14"/>
  <c r="G18" i="14"/>
  <c r="AC16" i="14"/>
  <c r="G17" i="14"/>
  <c r="AC15" i="14"/>
  <c r="G16" i="14"/>
  <c r="AC14" i="14"/>
  <c r="G15" i="14"/>
  <c r="AC13" i="14"/>
  <c r="G14" i="14"/>
  <c r="AC12" i="14"/>
  <c r="G13" i="14"/>
  <c r="AC11" i="14"/>
  <c r="G12" i="14"/>
  <c r="AC10" i="14"/>
  <c r="G11" i="14"/>
  <c r="AC9" i="14"/>
  <c r="G10" i="14"/>
  <c r="AC8" i="14"/>
  <c r="G9" i="14"/>
  <c r="AC7" i="14"/>
  <c r="G8" i="14"/>
  <c r="AU115" i="12"/>
  <c r="AT115" i="12"/>
  <c r="AS115" i="12"/>
  <c r="AR115" i="12"/>
  <c r="AQ115" i="12"/>
  <c r="AP115" i="12"/>
  <c r="AO115" i="12"/>
  <c r="AN115" i="12"/>
  <c r="AM115" i="12"/>
  <c r="AL115" i="12"/>
  <c r="AK115" i="12"/>
  <c r="AJ115" i="12"/>
  <c r="AI115" i="12"/>
  <c r="AH115" i="12"/>
  <c r="AG115" i="12"/>
  <c r="AF115" i="12"/>
  <c r="AE115" i="12"/>
  <c r="AD115" i="12"/>
  <c r="AC115" i="12"/>
  <c r="AB115" i="12"/>
  <c r="AU114" i="12"/>
  <c r="AT114" i="12"/>
  <c r="AS114" i="12"/>
  <c r="AR114" i="12"/>
  <c r="AQ114" i="12"/>
  <c r="AP114" i="12"/>
  <c r="AO114" i="12"/>
  <c r="AN114" i="12"/>
  <c r="AM114" i="12"/>
  <c r="AL114" i="12"/>
  <c r="AK114" i="12"/>
  <c r="AJ114" i="12"/>
  <c r="AI114" i="12"/>
  <c r="AH114" i="12"/>
  <c r="AG114" i="12"/>
  <c r="AF114" i="12"/>
  <c r="AE114" i="12"/>
  <c r="AD114" i="12"/>
  <c r="AC114" i="12"/>
  <c r="AB114" i="12"/>
  <c r="AU113" i="12"/>
  <c r="AT113" i="12"/>
  <c r="AS113" i="12"/>
  <c r="AR113" i="12"/>
  <c r="AQ113" i="12"/>
  <c r="AP113" i="12"/>
  <c r="AO113" i="12"/>
  <c r="AN113" i="12"/>
  <c r="AM113" i="12"/>
  <c r="AL113" i="12"/>
  <c r="AK113" i="12"/>
  <c r="AJ113" i="12"/>
  <c r="AI113" i="12"/>
  <c r="AH113" i="12"/>
  <c r="AG113" i="12"/>
  <c r="AF113" i="12"/>
  <c r="AE113" i="12"/>
  <c r="AD113" i="12"/>
  <c r="AC113" i="12"/>
  <c r="AB113" i="12"/>
  <c r="AU112" i="12"/>
  <c r="AT112" i="12"/>
  <c r="AS112" i="12"/>
  <c r="AR112" i="12"/>
  <c r="AQ112" i="12"/>
  <c r="AP112" i="12"/>
  <c r="AO112" i="12"/>
  <c r="AN112" i="12"/>
  <c r="AM112" i="12"/>
  <c r="AL112" i="12"/>
  <c r="AK112" i="12"/>
  <c r="AJ112" i="12"/>
  <c r="AI112" i="12"/>
  <c r="AH112" i="12"/>
  <c r="AG112" i="12"/>
  <c r="AF112" i="12"/>
  <c r="AE112" i="12"/>
  <c r="AD112" i="12"/>
  <c r="AC112" i="12"/>
  <c r="AB112" i="12"/>
  <c r="AU111" i="12"/>
  <c r="AT111" i="12"/>
  <c r="AS111" i="12"/>
  <c r="AR111" i="12"/>
  <c r="AQ111" i="12"/>
  <c r="AP111" i="12"/>
  <c r="AO111" i="12"/>
  <c r="AN111" i="12"/>
  <c r="AM111" i="12"/>
  <c r="AL111" i="12"/>
  <c r="AK111" i="12"/>
  <c r="AJ111" i="12"/>
  <c r="AI111" i="12"/>
  <c r="AH111" i="12"/>
  <c r="AG111" i="12"/>
  <c r="AF111" i="12"/>
  <c r="AE111" i="12"/>
  <c r="AD111" i="12"/>
  <c r="AC111" i="12"/>
  <c r="AB111" i="12"/>
  <c r="AU110" i="12"/>
  <c r="AT110" i="12"/>
  <c r="AS110" i="12"/>
  <c r="AR110" i="12"/>
  <c r="AQ110" i="12"/>
  <c r="AP110" i="12"/>
  <c r="AO110" i="12"/>
  <c r="AN110" i="12"/>
  <c r="AM110" i="12"/>
  <c r="AL110" i="12"/>
  <c r="AK110" i="12"/>
  <c r="AJ110" i="12"/>
  <c r="AI110" i="12"/>
  <c r="AH110" i="12"/>
  <c r="AG110" i="12"/>
  <c r="AF110" i="12"/>
  <c r="AE110" i="12"/>
  <c r="AD110" i="12"/>
  <c r="AC110" i="12"/>
  <c r="AB110" i="12"/>
  <c r="AU109" i="12"/>
  <c r="AT109" i="12"/>
  <c r="AS109" i="12"/>
  <c r="AR109" i="12"/>
  <c r="AQ109" i="12"/>
  <c r="AP109" i="12"/>
  <c r="AO109" i="12"/>
  <c r="AN109" i="12"/>
  <c r="AM109" i="12"/>
  <c r="AL109" i="12"/>
  <c r="AK109" i="12"/>
  <c r="AJ109" i="12"/>
  <c r="AI109" i="12"/>
  <c r="AH109" i="12"/>
  <c r="AG109" i="12"/>
  <c r="AF109" i="12"/>
  <c r="AE109" i="12"/>
  <c r="AD109" i="12"/>
  <c r="AC109" i="12"/>
  <c r="AB109" i="12"/>
  <c r="AU108" i="12"/>
  <c r="AT108" i="12"/>
  <c r="AS108" i="12"/>
  <c r="AR108" i="12"/>
  <c r="AQ108" i="12"/>
  <c r="AP108" i="12"/>
  <c r="AO108" i="12"/>
  <c r="AN108" i="12"/>
  <c r="AM108" i="12"/>
  <c r="AL108" i="12"/>
  <c r="AK108" i="12"/>
  <c r="AJ108" i="12"/>
  <c r="AI108" i="12"/>
  <c r="AH108" i="12"/>
  <c r="AG108" i="12"/>
  <c r="AF108" i="12"/>
  <c r="AE108" i="12"/>
  <c r="AD108" i="12"/>
  <c r="AC108" i="12"/>
  <c r="AB108" i="12"/>
  <c r="AU107" i="12"/>
  <c r="AT107" i="12"/>
  <c r="AS107" i="12"/>
  <c r="AR107" i="12"/>
  <c r="AQ107" i="12"/>
  <c r="AP107" i="12"/>
  <c r="AO107" i="12"/>
  <c r="AN107" i="12"/>
  <c r="AM107" i="12"/>
  <c r="AL107" i="12"/>
  <c r="AK107" i="12"/>
  <c r="AJ107" i="12"/>
  <c r="AI107" i="12"/>
  <c r="AH107" i="12"/>
  <c r="AG107" i="12"/>
  <c r="AF107" i="12"/>
  <c r="AE107" i="12"/>
  <c r="AD107" i="12"/>
  <c r="AC107" i="12"/>
  <c r="AB107" i="12"/>
  <c r="AU106" i="12"/>
  <c r="AT106" i="12"/>
  <c r="AS106" i="12"/>
  <c r="AR106" i="12"/>
  <c r="AQ106" i="12"/>
  <c r="AP106" i="12"/>
  <c r="AO106" i="12"/>
  <c r="AN106" i="12"/>
  <c r="AM106" i="12"/>
  <c r="AL106" i="12"/>
  <c r="AK106" i="12"/>
  <c r="AJ106" i="12"/>
  <c r="AI106" i="12"/>
  <c r="AH106" i="12"/>
  <c r="AG106" i="12"/>
  <c r="AF106" i="12"/>
  <c r="AE106" i="12"/>
  <c r="AD106" i="12"/>
  <c r="AC106" i="12"/>
  <c r="AB106" i="12"/>
  <c r="AU105" i="12"/>
  <c r="AT105" i="12"/>
  <c r="AS105" i="12"/>
  <c r="AR105" i="12"/>
  <c r="AQ105" i="12"/>
  <c r="AP105" i="12"/>
  <c r="AO105" i="12"/>
  <c r="AN105" i="12"/>
  <c r="AM105" i="12"/>
  <c r="AL105" i="12"/>
  <c r="AK105" i="12"/>
  <c r="AJ105" i="12"/>
  <c r="AI105" i="12"/>
  <c r="AH105" i="12"/>
  <c r="AG105" i="12"/>
  <c r="AF105" i="12"/>
  <c r="AE105" i="12"/>
  <c r="AD105" i="12"/>
  <c r="AC105" i="12"/>
  <c r="AB105" i="12"/>
  <c r="AU104" i="12"/>
  <c r="AT104" i="12"/>
  <c r="AS104" i="12"/>
  <c r="AR104" i="12"/>
  <c r="AQ104" i="12"/>
  <c r="AP104" i="12"/>
  <c r="AO104" i="12"/>
  <c r="AN104" i="12"/>
  <c r="AM104" i="12"/>
  <c r="AL104" i="12"/>
  <c r="AK104" i="12"/>
  <c r="AJ104" i="12"/>
  <c r="AI104" i="12"/>
  <c r="AH104" i="12"/>
  <c r="AG104" i="12"/>
  <c r="AF104" i="12"/>
  <c r="AE104" i="12"/>
  <c r="AD104" i="12"/>
  <c r="AC104" i="12"/>
  <c r="AB104" i="12"/>
  <c r="AU103" i="12"/>
  <c r="AT103" i="12"/>
  <c r="AS103" i="12"/>
  <c r="AR103" i="12"/>
  <c r="AQ103" i="12"/>
  <c r="AP103" i="12"/>
  <c r="AO103" i="12"/>
  <c r="AN103" i="12"/>
  <c r="AM103" i="12"/>
  <c r="AL103" i="12"/>
  <c r="AK103" i="12"/>
  <c r="AJ103" i="12"/>
  <c r="AI103" i="12"/>
  <c r="AH103" i="12"/>
  <c r="AG103" i="12"/>
  <c r="AF103" i="12"/>
  <c r="AE103" i="12"/>
  <c r="AD103" i="12"/>
  <c r="AC103" i="12"/>
  <c r="AB103" i="12"/>
  <c r="AU102" i="12"/>
  <c r="AT102" i="12"/>
  <c r="AS102" i="12"/>
  <c r="AR102" i="12"/>
  <c r="AQ102" i="12"/>
  <c r="AP102" i="12"/>
  <c r="AO102" i="12"/>
  <c r="AN102" i="12"/>
  <c r="AM102" i="12"/>
  <c r="AL102" i="12"/>
  <c r="AK102" i="12"/>
  <c r="AJ102" i="12"/>
  <c r="AI102" i="12"/>
  <c r="AH102" i="12"/>
  <c r="AG102" i="12"/>
  <c r="AF102" i="12"/>
  <c r="AE102" i="12"/>
  <c r="AD102" i="12"/>
  <c r="AC102" i="12"/>
  <c r="AB102" i="12"/>
  <c r="AU101" i="12"/>
  <c r="AT101" i="12"/>
  <c r="AS101" i="12"/>
  <c r="AR101" i="12"/>
  <c r="AQ101" i="12"/>
  <c r="AP101" i="12"/>
  <c r="AO101" i="12"/>
  <c r="AN101" i="12"/>
  <c r="AM101" i="12"/>
  <c r="AL101" i="12"/>
  <c r="AK101" i="12"/>
  <c r="AJ101" i="12"/>
  <c r="AI101" i="12"/>
  <c r="AH101" i="12"/>
  <c r="AG101" i="12"/>
  <c r="AF101" i="12"/>
  <c r="AE101" i="12"/>
  <c r="AD101" i="12"/>
  <c r="AC101" i="12"/>
  <c r="AB101" i="12"/>
  <c r="AU100" i="12"/>
  <c r="AT100" i="12"/>
  <c r="AS100" i="12"/>
  <c r="AR100" i="12"/>
  <c r="AQ100" i="12"/>
  <c r="AP100" i="12"/>
  <c r="AO100" i="12"/>
  <c r="AN100" i="12"/>
  <c r="AM100" i="12"/>
  <c r="AL100" i="12"/>
  <c r="AK100" i="12"/>
  <c r="AJ100" i="12"/>
  <c r="AI100" i="12"/>
  <c r="AH100" i="12"/>
  <c r="AG100" i="12"/>
  <c r="AF100" i="12"/>
  <c r="AE100" i="12"/>
  <c r="AD100" i="12"/>
  <c r="AC100" i="12"/>
  <c r="AB100" i="12"/>
  <c r="AU99" i="12"/>
  <c r="AT99" i="12"/>
  <c r="AS99" i="12"/>
  <c r="AR99" i="12"/>
  <c r="AQ99" i="12"/>
  <c r="AP99" i="12"/>
  <c r="AO99" i="12"/>
  <c r="AN99" i="12"/>
  <c r="AM99" i="12"/>
  <c r="AL99" i="12"/>
  <c r="AK99" i="12"/>
  <c r="AJ99" i="12"/>
  <c r="AI99" i="12"/>
  <c r="AH99" i="12"/>
  <c r="AG99" i="12"/>
  <c r="AF99" i="12"/>
  <c r="AE99" i="12"/>
  <c r="AD99" i="12"/>
  <c r="AC99" i="12"/>
  <c r="AB99" i="12"/>
  <c r="AU98" i="12"/>
  <c r="AT98" i="12"/>
  <c r="AS98" i="12"/>
  <c r="AR98" i="12"/>
  <c r="AQ98" i="12"/>
  <c r="AP98" i="12"/>
  <c r="AO98" i="12"/>
  <c r="AN98" i="12"/>
  <c r="AM98" i="12"/>
  <c r="AL98" i="12"/>
  <c r="AK98" i="12"/>
  <c r="AJ98" i="12"/>
  <c r="AI98" i="12"/>
  <c r="AH98" i="12"/>
  <c r="AG98" i="12"/>
  <c r="AF98" i="12"/>
  <c r="AE98" i="12"/>
  <c r="AD98" i="12"/>
  <c r="AC98" i="12"/>
  <c r="AB98" i="12"/>
  <c r="AU97" i="12"/>
  <c r="AT97" i="12"/>
  <c r="AS97" i="12"/>
  <c r="AR97" i="12"/>
  <c r="AQ97" i="12"/>
  <c r="AP97" i="12"/>
  <c r="AO97" i="12"/>
  <c r="AN97" i="12"/>
  <c r="AM97" i="12"/>
  <c r="AL97" i="12"/>
  <c r="AK97" i="12"/>
  <c r="AJ97" i="12"/>
  <c r="AI97" i="12"/>
  <c r="AH97" i="12"/>
  <c r="AG97" i="12"/>
  <c r="AF97" i="12"/>
  <c r="AE97" i="12"/>
  <c r="AD97" i="12"/>
  <c r="AC97" i="12"/>
  <c r="AB97" i="12"/>
  <c r="AU96" i="12"/>
  <c r="AT96" i="12"/>
  <c r="AS96" i="12"/>
  <c r="AR96" i="12"/>
  <c r="AQ96" i="12"/>
  <c r="AP96" i="12"/>
  <c r="AO96" i="12"/>
  <c r="AN96" i="12"/>
  <c r="AM96" i="12"/>
  <c r="AL96" i="12"/>
  <c r="AK96" i="12"/>
  <c r="AJ96" i="12"/>
  <c r="AI96" i="12"/>
  <c r="AH96" i="12"/>
  <c r="AG96" i="12"/>
  <c r="AF96" i="12"/>
  <c r="AE96" i="12"/>
  <c r="AD96" i="12"/>
  <c r="AC96" i="12"/>
  <c r="AB96" i="12"/>
  <c r="AU95" i="12"/>
  <c r="AT95" i="12"/>
  <c r="AS95" i="12"/>
  <c r="AR95" i="12"/>
  <c r="AQ95" i="12"/>
  <c r="AP95" i="12"/>
  <c r="AO95" i="12"/>
  <c r="AN95" i="12"/>
  <c r="AM95" i="12"/>
  <c r="AL95" i="12"/>
  <c r="AK95" i="12"/>
  <c r="AJ95" i="12"/>
  <c r="AI95" i="12"/>
  <c r="AH95" i="12"/>
  <c r="AG95" i="12"/>
  <c r="AF95" i="12"/>
  <c r="AE95" i="12"/>
  <c r="AD95" i="12"/>
  <c r="AC95" i="12"/>
  <c r="AB95" i="12"/>
  <c r="AU94" i="12"/>
  <c r="AT94" i="12"/>
  <c r="AS94" i="12"/>
  <c r="AR94" i="12"/>
  <c r="AQ94" i="12"/>
  <c r="AP94" i="12"/>
  <c r="AO94" i="12"/>
  <c r="AN94" i="12"/>
  <c r="AM94" i="12"/>
  <c r="AL94" i="12"/>
  <c r="AK94" i="12"/>
  <c r="AJ94" i="12"/>
  <c r="AI94" i="12"/>
  <c r="AH94" i="12"/>
  <c r="AG94" i="12"/>
  <c r="AF94" i="12"/>
  <c r="AE94" i="12"/>
  <c r="AD94" i="12"/>
  <c r="AC94" i="12"/>
  <c r="AB94" i="12"/>
  <c r="AU93" i="12"/>
  <c r="AT93" i="12"/>
  <c r="AS93" i="12"/>
  <c r="AR93" i="12"/>
  <c r="AQ93" i="12"/>
  <c r="AP93" i="12"/>
  <c r="AO93" i="12"/>
  <c r="AN93" i="12"/>
  <c r="AM93" i="12"/>
  <c r="AL93" i="12"/>
  <c r="AK93" i="12"/>
  <c r="AJ93" i="12"/>
  <c r="AI93" i="12"/>
  <c r="AH93" i="12"/>
  <c r="AG93" i="12"/>
  <c r="AF93" i="12"/>
  <c r="AE93" i="12"/>
  <c r="AD93" i="12"/>
  <c r="AC93" i="12"/>
  <c r="AB93" i="12"/>
  <c r="AU92" i="12"/>
  <c r="AT92" i="12"/>
  <c r="AS92" i="12"/>
  <c r="AR92" i="12"/>
  <c r="AQ92" i="12"/>
  <c r="AP92" i="12"/>
  <c r="AO92" i="12"/>
  <c r="AN92" i="12"/>
  <c r="AM92" i="12"/>
  <c r="AL92" i="12"/>
  <c r="AK92" i="12"/>
  <c r="AJ92" i="12"/>
  <c r="AI92" i="12"/>
  <c r="AH92" i="12"/>
  <c r="AG92" i="12"/>
  <c r="AF92" i="12"/>
  <c r="AE92" i="12"/>
  <c r="AD92" i="12"/>
  <c r="AC92" i="12"/>
  <c r="AB92" i="12"/>
  <c r="AU91" i="12"/>
  <c r="AT91" i="12"/>
  <c r="AS91" i="12"/>
  <c r="AR91" i="12"/>
  <c r="AQ91" i="12"/>
  <c r="AP91" i="12"/>
  <c r="AO91" i="12"/>
  <c r="AN91" i="12"/>
  <c r="AM91" i="12"/>
  <c r="AL91" i="12"/>
  <c r="AK91" i="12"/>
  <c r="AJ91" i="12"/>
  <c r="AI91" i="12"/>
  <c r="AH91" i="12"/>
  <c r="AG91" i="12"/>
  <c r="AF91" i="12"/>
  <c r="AE91" i="12"/>
  <c r="AD91" i="12"/>
  <c r="AC91" i="12"/>
  <c r="AB91" i="12"/>
  <c r="AU90" i="12"/>
  <c r="AT90" i="12"/>
  <c r="AS90" i="12"/>
  <c r="AR90" i="12"/>
  <c r="AQ90" i="12"/>
  <c r="AP90" i="12"/>
  <c r="AO90" i="12"/>
  <c r="AN90" i="12"/>
  <c r="AM90" i="12"/>
  <c r="AL90" i="12"/>
  <c r="AK90" i="12"/>
  <c r="AJ90" i="12"/>
  <c r="AI90" i="12"/>
  <c r="AH90" i="12"/>
  <c r="AG90" i="12"/>
  <c r="AF90" i="12"/>
  <c r="AE90" i="12"/>
  <c r="AD90" i="12"/>
  <c r="AC90" i="12"/>
  <c r="AB90" i="12"/>
  <c r="AU89" i="12"/>
  <c r="AT89" i="12"/>
  <c r="AS89" i="12"/>
  <c r="AR89" i="12"/>
  <c r="AQ89" i="12"/>
  <c r="AP89" i="12"/>
  <c r="AO89" i="12"/>
  <c r="AN89" i="12"/>
  <c r="AM89" i="12"/>
  <c r="AL89" i="12"/>
  <c r="AK89" i="12"/>
  <c r="AJ89" i="12"/>
  <c r="AI89" i="12"/>
  <c r="AH89" i="12"/>
  <c r="AG89" i="12"/>
  <c r="AF89" i="12"/>
  <c r="AE89" i="12"/>
  <c r="AD89" i="12"/>
  <c r="AC89" i="12"/>
  <c r="AB89" i="12"/>
  <c r="AU88" i="12"/>
  <c r="AT88" i="12"/>
  <c r="AS88" i="12"/>
  <c r="AR88" i="12"/>
  <c r="AQ88" i="12"/>
  <c r="AP88" i="12"/>
  <c r="AO88" i="12"/>
  <c r="AN88" i="12"/>
  <c r="AM88" i="12"/>
  <c r="AL88" i="12"/>
  <c r="AK88" i="12"/>
  <c r="AJ88" i="12"/>
  <c r="AI88" i="12"/>
  <c r="AH88" i="12"/>
  <c r="AG88" i="12"/>
  <c r="AF88" i="12"/>
  <c r="AE88" i="12"/>
  <c r="AD88" i="12"/>
  <c r="AC88" i="12"/>
  <c r="AB88" i="12"/>
  <c r="AU87" i="12"/>
  <c r="AT87" i="12"/>
  <c r="AS87" i="12"/>
  <c r="AR87" i="12"/>
  <c r="AQ87" i="12"/>
  <c r="AP87" i="12"/>
  <c r="AO87" i="12"/>
  <c r="AN87" i="12"/>
  <c r="AM87" i="12"/>
  <c r="AL87" i="12"/>
  <c r="AK87" i="12"/>
  <c r="AJ87" i="12"/>
  <c r="AI87" i="12"/>
  <c r="AH87" i="12"/>
  <c r="AG87" i="12"/>
  <c r="AF87" i="12"/>
  <c r="AE87" i="12"/>
  <c r="AD87" i="12"/>
  <c r="AC87" i="12"/>
  <c r="AB87" i="12"/>
  <c r="AU86" i="12"/>
  <c r="AT86" i="12"/>
  <c r="AS86" i="12"/>
  <c r="AR86" i="12"/>
  <c r="AQ86" i="12"/>
  <c r="AP86" i="12"/>
  <c r="AO86" i="12"/>
  <c r="AN86" i="12"/>
  <c r="AM86" i="12"/>
  <c r="AL86" i="12"/>
  <c r="AK86" i="12"/>
  <c r="AJ86" i="12"/>
  <c r="AI86" i="12"/>
  <c r="AH86" i="12"/>
  <c r="AG86" i="12"/>
  <c r="AF86" i="12"/>
  <c r="AE86" i="12"/>
  <c r="AD86" i="12"/>
  <c r="AC86" i="12"/>
  <c r="AB86" i="12"/>
  <c r="AU85" i="12"/>
  <c r="AT85" i="12"/>
  <c r="AS85" i="12"/>
  <c r="AR85" i="12"/>
  <c r="AQ85" i="12"/>
  <c r="AP85" i="12"/>
  <c r="AO85" i="12"/>
  <c r="AN85" i="12"/>
  <c r="AM85" i="12"/>
  <c r="AL85" i="12"/>
  <c r="AK85" i="12"/>
  <c r="AJ85" i="12"/>
  <c r="AI85" i="12"/>
  <c r="AH85" i="12"/>
  <c r="AG85" i="12"/>
  <c r="AF85" i="12"/>
  <c r="AE85" i="12"/>
  <c r="AD85" i="12"/>
  <c r="AC85" i="12"/>
  <c r="AB85" i="12"/>
  <c r="AU84" i="12"/>
  <c r="AT84" i="12"/>
  <c r="AS84" i="12"/>
  <c r="AR84" i="12"/>
  <c r="AQ84" i="12"/>
  <c r="AP84" i="12"/>
  <c r="AO84" i="12"/>
  <c r="AN84" i="12"/>
  <c r="AM84" i="12"/>
  <c r="AL84" i="12"/>
  <c r="AK84" i="12"/>
  <c r="AJ84" i="12"/>
  <c r="AI84" i="12"/>
  <c r="AH84" i="12"/>
  <c r="AG84" i="12"/>
  <c r="AF84" i="12"/>
  <c r="AE84" i="12"/>
  <c r="AD84" i="12"/>
  <c r="AC84" i="12"/>
  <c r="AB84" i="12"/>
  <c r="AU83" i="12"/>
  <c r="AT83" i="12"/>
  <c r="AS83" i="12"/>
  <c r="AR83" i="12"/>
  <c r="AQ83" i="12"/>
  <c r="AP83" i="12"/>
  <c r="AO83" i="12"/>
  <c r="AN83" i="12"/>
  <c r="AM83" i="12"/>
  <c r="AL83" i="12"/>
  <c r="AK83" i="12"/>
  <c r="AJ83" i="12"/>
  <c r="AI83" i="12"/>
  <c r="AH83" i="12"/>
  <c r="AG83" i="12"/>
  <c r="AF83" i="12"/>
  <c r="AE83" i="12"/>
  <c r="AD83" i="12"/>
  <c r="AC83" i="12"/>
  <c r="AB83" i="12"/>
  <c r="AU82" i="12"/>
  <c r="AT82" i="12"/>
  <c r="AS82" i="12"/>
  <c r="AR82" i="12"/>
  <c r="AQ82" i="12"/>
  <c r="AP82" i="12"/>
  <c r="AO82" i="12"/>
  <c r="AN82" i="12"/>
  <c r="AM82" i="12"/>
  <c r="AL82" i="12"/>
  <c r="AK82" i="12"/>
  <c r="AJ82" i="12"/>
  <c r="AI82" i="12"/>
  <c r="AH82" i="12"/>
  <c r="AG82" i="12"/>
  <c r="AF82" i="12"/>
  <c r="AE82" i="12"/>
  <c r="AD82" i="12"/>
  <c r="AC82" i="12"/>
  <c r="AB82" i="12"/>
  <c r="AU81" i="12"/>
  <c r="AT81" i="12"/>
  <c r="AS81" i="12"/>
  <c r="AR81" i="12"/>
  <c r="AQ81" i="12"/>
  <c r="AP81" i="12"/>
  <c r="AO81" i="12"/>
  <c r="AN81" i="12"/>
  <c r="AM81" i="12"/>
  <c r="AL81" i="12"/>
  <c r="AK81" i="12"/>
  <c r="AJ81" i="12"/>
  <c r="AI81" i="12"/>
  <c r="AH81" i="12"/>
  <c r="AG81" i="12"/>
  <c r="AF81" i="12"/>
  <c r="AE81" i="12"/>
  <c r="AD81" i="12"/>
  <c r="AC81" i="12"/>
  <c r="AB81" i="12"/>
  <c r="AU80" i="12"/>
  <c r="AT80" i="12"/>
  <c r="AS80" i="12"/>
  <c r="AR80" i="12"/>
  <c r="AQ80" i="12"/>
  <c r="AP80" i="12"/>
  <c r="AO80" i="12"/>
  <c r="AN80" i="12"/>
  <c r="AM80" i="12"/>
  <c r="AL80" i="12"/>
  <c r="AK80" i="12"/>
  <c r="AJ80" i="12"/>
  <c r="AI80" i="12"/>
  <c r="AH80" i="12"/>
  <c r="AG80" i="12"/>
  <c r="AF80" i="12"/>
  <c r="AE80" i="12"/>
  <c r="AD80" i="12"/>
  <c r="AC80" i="12"/>
  <c r="AB80" i="12"/>
  <c r="AU79" i="12"/>
  <c r="AT79" i="12"/>
  <c r="AS79" i="12"/>
  <c r="AR79" i="12"/>
  <c r="AQ79" i="12"/>
  <c r="AP79" i="12"/>
  <c r="AO79" i="12"/>
  <c r="AN79" i="12"/>
  <c r="AM79" i="12"/>
  <c r="AL79" i="12"/>
  <c r="AK79" i="12"/>
  <c r="AJ79" i="12"/>
  <c r="AI79" i="12"/>
  <c r="AH79" i="12"/>
  <c r="AG79" i="12"/>
  <c r="AF79" i="12"/>
  <c r="AE79" i="12"/>
  <c r="AD79" i="12"/>
  <c r="AC79" i="12"/>
  <c r="AB79" i="12"/>
  <c r="AU78" i="12"/>
  <c r="AT78" i="12"/>
  <c r="AS78" i="12"/>
  <c r="AR78" i="12"/>
  <c r="AQ78" i="12"/>
  <c r="AP78" i="12"/>
  <c r="AO78" i="12"/>
  <c r="AN78" i="12"/>
  <c r="AM78" i="12"/>
  <c r="AL78" i="12"/>
  <c r="AK78" i="12"/>
  <c r="AJ78" i="12"/>
  <c r="AI78" i="12"/>
  <c r="AH78" i="12"/>
  <c r="AG78" i="12"/>
  <c r="AF78" i="12"/>
  <c r="AE78" i="12"/>
  <c r="AD78" i="12"/>
  <c r="AC78" i="12"/>
  <c r="AB78" i="12"/>
  <c r="AU77" i="12"/>
  <c r="AT77" i="12"/>
  <c r="AS77" i="12"/>
  <c r="AR77" i="12"/>
  <c r="AQ77" i="12"/>
  <c r="AP77" i="12"/>
  <c r="AO77" i="12"/>
  <c r="AN77" i="12"/>
  <c r="AM77" i="12"/>
  <c r="AL77" i="12"/>
  <c r="AK77" i="12"/>
  <c r="AJ77" i="12"/>
  <c r="AI77" i="12"/>
  <c r="AH77" i="12"/>
  <c r="AG77" i="12"/>
  <c r="AF77" i="12"/>
  <c r="AE77" i="12"/>
  <c r="AD77" i="12"/>
  <c r="AC77" i="12"/>
  <c r="AB77" i="12"/>
  <c r="AU76" i="12"/>
  <c r="AT76" i="12"/>
  <c r="AS76" i="12"/>
  <c r="AR76" i="12"/>
  <c r="AQ76" i="12"/>
  <c r="AP76" i="12"/>
  <c r="AO76" i="12"/>
  <c r="AN76" i="12"/>
  <c r="AM76" i="12"/>
  <c r="AL76" i="12"/>
  <c r="AK76" i="12"/>
  <c r="AJ76" i="12"/>
  <c r="AI76" i="12"/>
  <c r="AH76" i="12"/>
  <c r="AG76" i="12"/>
  <c r="AF76" i="12"/>
  <c r="AE76" i="12"/>
  <c r="AD76" i="12"/>
  <c r="AC76" i="12"/>
  <c r="AB76" i="12"/>
  <c r="AU75" i="12"/>
  <c r="AT75" i="12"/>
  <c r="AS75" i="12"/>
  <c r="AR75" i="12"/>
  <c r="AQ75" i="12"/>
  <c r="AP75" i="12"/>
  <c r="AO75" i="12"/>
  <c r="AN75" i="12"/>
  <c r="AM75" i="12"/>
  <c r="AL75" i="12"/>
  <c r="AK75" i="12"/>
  <c r="AJ75" i="12"/>
  <c r="AI75" i="12"/>
  <c r="AH75" i="12"/>
  <c r="AG75" i="12"/>
  <c r="AF75" i="12"/>
  <c r="AE75" i="12"/>
  <c r="AD75" i="12"/>
  <c r="AC75" i="12"/>
  <c r="AB75" i="12"/>
  <c r="AU74" i="12"/>
  <c r="AT74" i="12"/>
  <c r="AS74" i="12"/>
  <c r="AR74" i="12"/>
  <c r="AQ74" i="12"/>
  <c r="AP74" i="12"/>
  <c r="AO74" i="12"/>
  <c r="AN74" i="12"/>
  <c r="AM74" i="12"/>
  <c r="AL74" i="12"/>
  <c r="AK74" i="12"/>
  <c r="AJ74" i="12"/>
  <c r="AI74" i="12"/>
  <c r="AH74" i="12"/>
  <c r="AG74" i="12"/>
  <c r="AF74" i="12"/>
  <c r="AE74" i="12"/>
  <c r="AD74" i="12"/>
  <c r="AC74" i="12"/>
  <c r="AB74" i="12"/>
  <c r="AU73" i="12"/>
  <c r="AT73" i="12"/>
  <c r="AS73" i="12"/>
  <c r="AR73" i="12"/>
  <c r="AQ73" i="12"/>
  <c r="AP73" i="12"/>
  <c r="AO73" i="12"/>
  <c r="AN73" i="12"/>
  <c r="AM73" i="12"/>
  <c r="AL73" i="12"/>
  <c r="AK73" i="12"/>
  <c r="AJ73" i="12"/>
  <c r="AI73" i="12"/>
  <c r="AH73" i="12"/>
  <c r="AG73" i="12"/>
  <c r="AF73" i="12"/>
  <c r="AE73" i="12"/>
  <c r="AD73" i="12"/>
  <c r="AC73" i="12"/>
  <c r="AB73" i="12"/>
  <c r="AU72" i="12"/>
  <c r="AT72" i="12"/>
  <c r="AS72" i="12"/>
  <c r="AR72" i="12"/>
  <c r="AQ72" i="12"/>
  <c r="AP72" i="12"/>
  <c r="AO72" i="12"/>
  <c r="AN72" i="12"/>
  <c r="AM72" i="12"/>
  <c r="AL72" i="12"/>
  <c r="AK72" i="12"/>
  <c r="AJ72" i="12"/>
  <c r="AI72" i="12"/>
  <c r="AH72" i="12"/>
  <c r="AG72" i="12"/>
  <c r="AF72" i="12"/>
  <c r="AE72" i="12"/>
  <c r="AD72" i="12"/>
  <c r="AC72" i="12"/>
  <c r="AB72" i="12"/>
  <c r="AU71" i="12"/>
  <c r="AT71" i="12"/>
  <c r="AS71" i="12"/>
  <c r="AR71" i="12"/>
  <c r="AQ71" i="12"/>
  <c r="AP71" i="12"/>
  <c r="AO71" i="12"/>
  <c r="AN71" i="12"/>
  <c r="AM71" i="12"/>
  <c r="AL71" i="12"/>
  <c r="AK71" i="12"/>
  <c r="AJ71" i="12"/>
  <c r="AI71" i="12"/>
  <c r="AH71" i="12"/>
  <c r="AG71" i="12"/>
  <c r="AF71" i="12"/>
  <c r="AE71" i="12"/>
  <c r="AD71" i="12"/>
  <c r="AC71" i="12"/>
  <c r="AB71" i="12"/>
  <c r="AU70" i="12"/>
  <c r="AT70" i="12"/>
  <c r="AS70" i="12"/>
  <c r="AR70" i="12"/>
  <c r="AQ70" i="12"/>
  <c r="AP70" i="12"/>
  <c r="AO70" i="12"/>
  <c r="AN70" i="12"/>
  <c r="AM70" i="12"/>
  <c r="AL70" i="12"/>
  <c r="AK70" i="12"/>
  <c r="AJ70" i="12"/>
  <c r="AI70" i="12"/>
  <c r="AH70" i="12"/>
  <c r="AG70" i="12"/>
  <c r="AF70" i="12"/>
  <c r="AE70" i="12"/>
  <c r="AD70" i="12"/>
  <c r="AC70" i="12"/>
  <c r="AB70" i="12"/>
  <c r="AU69" i="12"/>
  <c r="AT69" i="12"/>
  <c r="AS69" i="12"/>
  <c r="AR69" i="12"/>
  <c r="AQ69" i="12"/>
  <c r="AP69" i="12"/>
  <c r="AO69" i="12"/>
  <c r="AN69" i="12"/>
  <c r="AM69" i="12"/>
  <c r="AL69" i="12"/>
  <c r="AK69" i="12"/>
  <c r="AJ69" i="12"/>
  <c r="AI69" i="12"/>
  <c r="AH69" i="12"/>
  <c r="AG69" i="12"/>
  <c r="AF69" i="12"/>
  <c r="AE69" i="12"/>
  <c r="AD69" i="12"/>
  <c r="AC69" i="12"/>
  <c r="AB69" i="12"/>
  <c r="AU68" i="12"/>
  <c r="AT68" i="12"/>
  <c r="AS68" i="12"/>
  <c r="AR68" i="12"/>
  <c r="AQ68" i="12"/>
  <c r="AP68" i="12"/>
  <c r="AO68" i="12"/>
  <c r="AN68" i="12"/>
  <c r="AM68" i="12"/>
  <c r="AL68" i="12"/>
  <c r="AK68" i="12"/>
  <c r="AJ68" i="12"/>
  <c r="AI68" i="12"/>
  <c r="AH68" i="12"/>
  <c r="AG68" i="12"/>
  <c r="AF68" i="12"/>
  <c r="AE68" i="12"/>
  <c r="AD68" i="12"/>
  <c r="AC68" i="12"/>
  <c r="AB68" i="12"/>
  <c r="AU67" i="12"/>
  <c r="AT67" i="12"/>
  <c r="AS67" i="12"/>
  <c r="AR67" i="12"/>
  <c r="AQ67" i="12"/>
  <c r="AP67" i="12"/>
  <c r="AO67" i="12"/>
  <c r="AN67" i="12"/>
  <c r="AM67" i="12"/>
  <c r="AL67" i="12"/>
  <c r="AK67" i="12"/>
  <c r="AJ67" i="12"/>
  <c r="AI67" i="12"/>
  <c r="AH67" i="12"/>
  <c r="AG67" i="12"/>
  <c r="AF67" i="12"/>
  <c r="AE67" i="12"/>
  <c r="AD67" i="12"/>
  <c r="AC67" i="12"/>
  <c r="AB67" i="12"/>
  <c r="AU66" i="12"/>
  <c r="AT66" i="12"/>
  <c r="AS66" i="12"/>
  <c r="AR66" i="12"/>
  <c r="AQ66" i="12"/>
  <c r="AP66" i="12"/>
  <c r="AO66" i="12"/>
  <c r="AN66" i="12"/>
  <c r="AM66" i="12"/>
  <c r="AL66" i="12"/>
  <c r="AK66" i="12"/>
  <c r="AJ66" i="12"/>
  <c r="AI66" i="12"/>
  <c r="AH66" i="12"/>
  <c r="AG66" i="12"/>
  <c r="AF66" i="12"/>
  <c r="AE66" i="12"/>
  <c r="AD66" i="12"/>
  <c r="AC66" i="12"/>
  <c r="AB66" i="12"/>
  <c r="AU65" i="12"/>
  <c r="AT65" i="12"/>
  <c r="AS65" i="12"/>
  <c r="AR65" i="12"/>
  <c r="AQ65" i="12"/>
  <c r="AP65" i="12"/>
  <c r="AO65" i="12"/>
  <c r="AN65" i="12"/>
  <c r="AM65" i="12"/>
  <c r="AL65" i="12"/>
  <c r="AK65" i="12"/>
  <c r="AJ65" i="12"/>
  <c r="AI65" i="12"/>
  <c r="AH65" i="12"/>
  <c r="AG65" i="12"/>
  <c r="AF65" i="12"/>
  <c r="AE65" i="12"/>
  <c r="AD65" i="12"/>
  <c r="AC65" i="12"/>
  <c r="AB65" i="12"/>
  <c r="AU64" i="12"/>
  <c r="AT64" i="12"/>
  <c r="AS64" i="12"/>
  <c r="AR64" i="12"/>
  <c r="AQ64" i="12"/>
  <c r="AP64" i="12"/>
  <c r="AO64" i="12"/>
  <c r="AN64" i="12"/>
  <c r="AM64" i="12"/>
  <c r="AL64" i="12"/>
  <c r="AK64" i="12"/>
  <c r="AJ64" i="12"/>
  <c r="AI64" i="12"/>
  <c r="AH64" i="12"/>
  <c r="AG64" i="12"/>
  <c r="AF64" i="12"/>
  <c r="AE64" i="12"/>
  <c r="AD64" i="12"/>
  <c r="AC64" i="12"/>
  <c r="AB64" i="12"/>
  <c r="AU63" i="12"/>
  <c r="AT63" i="12"/>
  <c r="AS63" i="12"/>
  <c r="AR63" i="12"/>
  <c r="AQ63" i="12"/>
  <c r="AP63" i="12"/>
  <c r="AO63" i="12"/>
  <c r="AN63" i="12"/>
  <c r="AM63" i="12"/>
  <c r="AL63" i="12"/>
  <c r="AK63" i="12"/>
  <c r="AJ63" i="12"/>
  <c r="AI63" i="12"/>
  <c r="AH63" i="12"/>
  <c r="AG63" i="12"/>
  <c r="AF63" i="12"/>
  <c r="AE63" i="12"/>
  <c r="AD63" i="12"/>
  <c r="AC63" i="12"/>
  <c r="AB63" i="12"/>
  <c r="AU62" i="12"/>
  <c r="AT62" i="12"/>
  <c r="AS62" i="12"/>
  <c r="AR62" i="12"/>
  <c r="AQ62" i="12"/>
  <c r="AP62" i="12"/>
  <c r="AO62" i="12"/>
  <c r="AN62" i="12"/>
  <c r="AM62" i="12"/>
  <c r="AL62" i="12"/>
  <c r="AK62" i="12"/>
  <c r="AJ62" i="12"/>
  <c r="AI62" i="12"/>
  <c r="AH62" i="12"/>
  <c r="AG62" i="12"/>
  <c r="AF62" i="12"/>
  <c r="AE62" i="12"/>
  <c r="AD62" i="12"/>
  <c r="AC62" i="12"/>
  <c r="AB62" i="12"/>
  <c r="AU61" i="12"/>
  <c r="AT61" i="12"/>
  <c r="AS61" i="12"/>
  <c r="AR61" i="12"/>
  <c r="AQ61" i="12"/>
  <c r="AP61" i="12"/>
  <c r="AO61" i="12"/>
  <c r="AN61" i="12"/>
  <c r="AM61" i="12"/>
  <c r="AL61" i="12"/>
  <c r="AK61" i="12"/>
  <c r="AJ61" i="12"/>
  <c r="AI61" i="12"/>
  <c r="AH61" i="12"/>
  <c r="AG61" i="12"/>
  <c r="AF61" i="12"/>
  <c r="AE61" i="12"/>
  <c r="AD61" i="12"/>
  <c r="AC61" i="12"/>
  <c r="AB61" i="12"/>
  <c r="AU60" i="12"/>
  <c r="AT60" i="12"/>
  <c r="AS60" i="12"/>
  <c r="AR60" i="12"/>
  <c r="AQ60" i="12"/>
  <c r="AP60" i="12"/>
  <c r="AO60" i="12"/>
  <c r="AN60" i="12"/>
  <c r="AM60" i="12"/>
  <c r="AL60" i="12"/>
  <c r="AK60" i="12"/>
  <c r="AJ60" i="12"/>
  <c r="AI60" i="12"/>
  <c r="AH60" i="12"/>
  <c r="AG60" i="12"/>
  <c r="AF60" i="12"/>
  <c r="AE60" i="12"/>
  <c r="AD60" i="12"/>
  <c r="AC60" i="12"/>
  <c r="AB60" i="12"/>
  <c r="AU59" i="12"/>
  <c r="AT59" i="12"/>
  <c r="AS59" i="12"/>
  <c r="AR59" i="12"/>
  <c r="AQ59" i="12"/>
  <c r="AP59" i="12"/>
  <c r="AO59" i="12"/>
  <c r="AN59" i="12"/>
  <c r="AM59" i="12"/>
  <c r="AL59" i="12"/>
  <c r="AK59" i="12"/>
  <c r="AJ59" i="12"/>
  <c r="AI59" i="12"/>
  <c r="AH59" i="12"/>
  <c r="AG59" i="12"/>
  <c r="AF59" i="12"/>
  <c r="AE59" i="12"/>
  <c r="AD59" i="12"/>
  <c r="AC59" i="12"/>
  <c r="AB59" i="12"/>
  <c r="AU58" i="12"/>
  <c r="AT58" i="12"/>
  <c r="AS58" i="12"/>
  <c r="AR58" i="12"/>
  <c r="AQ58" i="12"/>
  <c r="AP58" i="12"/>
  <c r="AO58" i="12"/>
  <c r="AN58" i="12"/>
  <c r="AM58" i="12"/>
  <c r="AL58" i="12"/>
  <c r="AK58" i="12"/>
  <c r="AJ58" i="12"/>
  <c r="AI58" i="12"/>
  <c r="AH58" i="12"/>
  <c r="AG58" i="12"/>
  <c r="AF58" i="12"/>
  <c r="AE58" i="12"/>
  <c r="AD58" i="12"/>
  <c r="AC58" i="12"/>
  <c r="AB58" i="12"/>
  <c r="AU57" i="12"/>
  <c r="AT57" i="12"/>
  <c r="AS57" i="12"/>
  <c r="AR57" i="12"/>
  <c r="AQ57" i="12"/>
  <c r="AP57" i="12"/>
  <c r="AO57" i="12"/>
  <c r="AN57" i="12"/>
  <c r="AM57" i="12"/>
  <c r="AL57" i="12"/>
  <c r="AK57" i="12"/>
  <c r="AJ57" i="12"/>
  <c r="AI57" i="12"/>
  <c r="AH57" i="12"/>
  <c r="AG57" i="12"/>
  <c r="AF57" i="12"/>
  <c r="AE57" i="12"/>
  <c r="AD57" i="12"/>
  <c r="AC57" i="12"/>
  <c r="AB57" i="12"/>
  <c r="AU56" i="12"/>
  <c r="AT56" i="12"/>
  <c r="AS56" i="12"/>
  <c r="AR56" i="12"/>
  <c r="AQ56" i="12"/>
  <c r="AP56" i="12"/>
  <c r="AO56" i="12"/>
  <c r="AN56" i="12"/>
  <c r="AM56" i="12"/>
  <c r="AL56" i="12"/>
  <c r="AK56" i="12"/>
  <c r="AJ56" i="12"/>
  <c r="AI56" i="12"/>
  <c r="AH56" i="12"/>
  <c r="AG56" i="12"/>
  <c r="AF56" i="12"/>
  <c r="AE56" i="12"/>
  <c r="AD56" i="12"/>
  <c r="AC56" i="12"/>
  <c r="AB56" i="12"/>
  <c r="AU55" i="12"/>
  <c r="AT55" i="12"/>
  <c r="AS55" i="12"/>
  <c r="AR55" i="12"/>
  <c r="AQ55" i="12"/>
  <c r="AP55" i="12"/>
  <c r="AO55" i="12"/>
  <c r="AN55" i="12"/>
  <c r="AM55" i="12"/>
  <c r="AL55" i="12"/>
  <c r="AK55" i="12"/>
  <c r="AJ55" i="12"/>
  <c r="AI55" i="12"/>
  <c r="AH55" i="12"/>
  <c r="AG55" i="12"/>
  <c r="AF55" i="12"/>
  <c r="AE55" i="12"/>
  <c r="AD55" i="12"/>
  <c r="AC55" i="12"/>
  <c r="AB55" i="12"/>
  <c r="AU54" i="12"/>
  <c r="AT54" i="12"/>
  <c r="AS54" i="12"/>
  <c r="AR54" i="12"/>
  <c r="AQ54" i="12"/>
  <c r="AP54" i="12"/>
  <c r="AO54" i="12"/>
  <c r="AN54" i="12"/>
  <c r="AM54" i="12"/>
  <c r="AL54" i="12"/>
  <c r="AK54" i="12"/>
  <c r="AJ54" i="12"/>
  <c r="AI54" i="12"/>
  <c r="AH54" i="12"/>
  <c r="AG54" i="12"/>
  <c r="AF54" i="12"/>
  <c r="AE54" i="12"/>
  <c r="AD54" i="12"/>
  <c r="AC54" i="12"/>
  <c r="AB54" i="12"/>
  <c r="AU53" i="12"/>
  <c r="AT53" i="12"/>
  <c r="AS53" i="12"/>
  <c r="AR53" i="12"/>
  <c r="AQ53" i="12"/>
  <c r="AP53" i="12"/>
  <c r="AO53" i="12"/>
  <c r="AN53" i="12"/>
  <c r="AM53" i="12"/>
  <c r="AL53" i="12"/>
  <c r="AK53" i="12"/>
  <c r="AJ53" i="12"/>
  <c r="AI53" i="12"/>
  <c r="AH53" i="12"/>
  <c r="AG53" i="12"/>
  <c r="AF53" i="12"/>
  <c r="AE53" i="12"/>
  <c r="AD53" i="12"/>
  <c r="AC53" i="12"/>
  <c r="AB53" i="12"/>
  <c r="AU52" i="12"/>
  <c r="AT52" i="12"/>
  <c r="AS52" i="12"/>
  <c r="AR52" i="12"/>
  <c r="AQ52" i="12"/>
  <c r="AP52" i="12"/>
  <c r="AO52" i="12"/>
  <c r="AN52" i="12"/>
  <c r="AM52" i="12"/>
  <c r="AL52" i="12"/>
  <c r="AK52" i="12"/>
  <c r="AJ52" i="12"/>
  <c r="AI52" i="12"/>
  <c r="AH52" i="12"/>
  <c r="AG52" i="12"/>
  <c r="AF52" i="12"/>
  <c r="AE52" i="12"/>
  <c r="AD52" i="12"/>
  <c r="AC52" i="12"/>
  <c r="AB52" i="12"/>
  <c r="AU51" i="12"/>
  <c r="AT51" i="12"/>
  <c r="AS51" i="12"/>
  <c r="AR51" i="12"/>
  <c r="AQ51" i="12"/>
  <c r="AP51" i="12"/>
  <c r="AO51" i="12"/>
  <c r="AN51" i="12"/>
  <c r="AM51" i="12"/>
  <c r="AL51" i="12"/>
  <c r="AK51" i="12"/>
  <c r="AJ51" i="12"/>
  <c r="AI51" i="12"/>
  <c r="AH51" i="12"/>
  <c r="AG51" i="12"/>
  <c r="AF51" i="12"/>
  <c r="AE51" i="12"/>
  <c r="AD51" i="12"/>
  <c r="AC51" i="12"/>
  <c r="AB51" i="12"/>
  <c r="AU50" i="12"/>
  <c r="AT50" i="12"/>
  <c r="AS50" i="12"/>
  <c r="AR50" i="12"/>
  <c r="AQ50" i="12"/>
  <c r="AP50" i="12"/>
  <c r="AO50" i="12"/>
  <c r="AN50" i="12"/>
  <c r="AM50" i="12"/>
  <c r="AL50" i="12"/>
  <c r="AK50" i="12"/>
  <c r="AJ50" i="12"/>
  <c r="AI50" i="12"/>
  <c r="AH50" i="12"/>
  <c r="AG50" i="12"/>
  <c r="AF50" i="12"/>
  <c r="AE50" i="12"/>
  <c r="AD50" i="12"/>
  <c r="AC50" i="12"/>
  <c r="AB50" i="12"/>
  <c r="AU49" i="12"/>
  <c r="AT49" i="12"/>
  <c r="AS49" i="12"/>
  <c r="AR49" i="12"/>
  <c r="AQ49" i="12"/>
  <c r="AP49" i="12"/>
  <c r="AO49" i="12"/>
  <c r="AN49" i="12"/>
  <c r="AM49" i="12"/>
  <c r="AL49" i="12"/>
  <c r="AK49" i="12"/>
  <c r="AJ49" i="12"/>
  <c r="AI49" i="12"/>
  <c r="AH49" i="12"/>
  <c r="AG49" i="12"/>
  <c r="AF49" i="12"/>
  <c r="AE49" i="12"/>
  <c r="AD49" i="12"/>
  <c r="AC49" i="12"/>
  <c r="AB49" i="12"/>
  <c r="AU48" i="12"/>
  <c r="AT48" i="12"/>
  <c r="AS48" i="12"/>
  <c r="AR48" i="12"/>
  <c r="AQ48" i="12"/>
  <c r="AP48" i="12"/>
  <c r="AO48" i="12"/>
  <c r="AN48" i="12"/>
  <c r="AM48" i="12"/>
  <c r="AL48" i="12"/>
  <c r="AK48" i="12"/>
  <c r="AJ48" i="12"/>
  <c r="AI48" i="12"/>
  <c r="AH48" i="12"/>
  <c r="AG48" i="12"/>
  <c r="AF48" i="12"/>
  <c r="AE48" i="12"/>
  <c r="AD48" i="12"/>
  <c r="AC48" i="12"/>
  <c r="AB48" i="12"/>
  <c r="AU47" i="12"/>
  <c r="AT47" i="12"/>
  <c r="AS47" i="12"/>
  <c r="AR47" i="12"/>
  <c r="AQ47" i="12"/>
  <c r="AP47" i="12"/>
  <c r="AO47" i="12"/>
  <c r="AN47" i="12"/>
  <c r="AM47" i="12"/>
  <c r="AL47" i="12"/>
  <c r="AK47" i="12"/>
  <c r="AJ47" i="12"/>
  <c r="AI47" i="12"/>
  <c r="AH47" i="12"/>
  <c r="AG47" i="12"/>
  <c r="AF47" i="12"/>
  <c r="AE47" i="12"/>
  <c r="AD47" i="12"/>
  <c r="AC47" i="12"/>
  <c r="AB47" i="12"/>
  <c r="AU46" i="12"/>
  <c r="AT46" i="12"/>
  <c r="AS46" i="12"/>
  <c r="AR46" i="12"/>
  <c r="AQ46" i="12"/>
  <c r="AP46" i="12"/>
  <c r="AO46" i="12"/>
  <c r="AN46" i="12"/>
  <c r="AM46" i="12"/>
  <c r="AL46" i="12"/>
  <c r="AK46" i="12"/>
  <c r="AJ46" i="12"/>
  <c r="AI46" i="12"/>
  <c r="AH46" i="12"/>
  <c r="AG46" i="12"/>
  <c r="AF46" i="12"/>
  <c r="AE46" i="12"/>
  <c r="AD46" i="12"/>
  <c r="AC46" i="12"/>
  <c r="AB46" i="12"/>
  <c r="AU45" i="12"/>
  <c r="AT45" i="12"/>
  <c r="AS45" i="12"/>
  <c r="AR45" i="12"/>
  <c r="AQ45" i="12"/>
  <c r="AP45" i="12"/>
  <c r="AO45" i="12"/>
  <c r="AN45" i="12"/>
  <c r="AM45" i="12"/>
  <c r="AL45" i="12"/>
  <c r="AK45" i="12"/>
  <c r="AJ45" i="12"/>
  <c r="AI45" i="12"/>
  <c r="AH45" i="12"/>
  <c r="AG45" i="12"/>
  <c r="AF45" i="12"/>
  <c r="AE45" i="12"/>
  <c r="AD45" i="12"/>
  <c r="AC45" i="12"/>
  <c r="AB45" i="12"/>
  <c r="AU44" i="12"/>
  <c r="AT44" i="12"/>
  <c r="AS44" i="12"/>
  <c r="AR44" i="12"/>
  <c r="AQ44" i="12"/>
  <c r="AP44" i="12"/>
  <c r="AO44" i="12"/>
  <c r="AN44" i="12"/>
  <c r="AM44" i="12"/>
  <c r="AL44" i="12"/>
  <c r="AK44" i="12"/>
  <c r="AJ44" i="12"/>
  <c r="AI44" i="12"/>
  <c r="AH44" i="12"/>
  <c r="AG44" i="12"/>
  <c r="AF44" i="12"/>
  <c r="AE44" i="12"/>
  <c r="AD44" i="12"/>
  <c r="AC44" i="12"/>
  <c r="AB44" i="12"/>
  <c r="AU43" i="12"/>
  <c r="AT43" i="12"/>
  <c r="AS43" i="12"/>
  <c r="AR43" i="12"/>
  <c r="AQ43" i="12"/>
  <c r="AP43" i="12"/>
  <c r="AO43" i="12"/>
  <c r="AN43" i="12"/>
  <c r="AM43" i="12"/>
  <c r="AL43" i="12"/>
  <c r="AK43" i="12"/>
  <c r="AJ43" i="12"/>
  <c r="AI43" i="12"/>
  <c r="AH43" i="12"/>
  <c r="AG43" i="12"/>
  <c r="AF43" i="12"/>
  <c r="AE43" i="12"/>
  <c r="AD43" i="12"/>
  <c r="AC43" i="12"/>
  <c r="AB43" i="12"/>
  <c r="AU42" i="12"/>
  <c r="AT42" i="12"/>
  <c r="AS42" i="12"/>
  <c r="AR42" i="12"/>
  <c r="AQ42" i="12"/>
  <c r="AP42" i="12"/>
  <c r="AO42" i="12"/>
  <c r="AN42" i="12"/>
  <c r="AM42" i="12"/>
  <c r="AL42" i="12"/>
  <c r="AK42" i="12"/>
  <c r="AJ42" i="12"/>
  <c r="AI42" i="12"/>
  <c r="AH42" i="12"/>
  <c r="AG42" i="12"/>
  <c r="AF42" i="12"/>
  <c r="AE42" i="12"/>
  <c r="AD42" i="12"/>
  <c r="AC42" i="12"/>
  <c r="AB42" i="12"/>
  <c r="AU41" i="12"/>
  <c r="AT41" i="12"/>
  <c r="AS41" i="12"/>
  <c r="AR41" i="12"/>
  <c r="AQ41" i="12"/>
  <c r="AP41" i="12"/>
  <c r="AO41" i="12"/>
  <c r="AN41" i="12"/>
  <c r="AM41" i="12"/>
  <c r="AL41" i="12"/>
  <c r="AK41" i="12"/>
  <c r="AJ41" i="12"/>
  <c r="AI41" i="12"/>
  <c r="AH41" i="12"/>
  <c r="AG41" i="12"/>
  <c r="AF41" i="12"/>
  <c r="AE41" i="12"/>
  <c r="AD41" i="12"/>
  <c r="AC41" i="12"/>
  <c r="AB41" i="12"/>
  <c r="AU40" i="12"/>
  <c r="AT40" i="12"/>
  <c r="AS40" i="12"/>
  <c r="AR40" i="12"/>
  <c r="AQ40" i="12"/>
  <c r="AP40" i="12"/>
  <c r="AO40" i="12"/>
  <c r="AN40" i="12"/>
  <c r="AM40" i="12"/>
  <c r="AL40" i="12"/>
  <c r="AK40" i="12"/>
  <c r="AJ40" i="12"/>
  <c r="AI40" i="12"/>
  <c r="AH40" i="12"/>
  <c r="AG40" i="12"/>
  <c r="AF40" i="12"/>
  <c r="AE40" i="12"/>
  <c r="AD40" i="12"/>
  <c r="AC40" i="12"/>
  <c r="AB40" i="12"/>
  <c r="AU39" i="12"/>
  <c r="AT39" i="12"/>
  <c r="AS39" i="12"/>
  <c r="AR39" i="12"/>
  <c r="AQ39" i="12"/>
  <c r="AP39" i="12"/>
  <c r="AO39" i="12"/>
  <c r="AN39" i="12"/>
  <c r="AM39" i="12"/>
  <c r="AL39" i="12"/>
  <c r="AK39" i="12"/>
  <c r="AJ39" i="12"/>
  <c r="AI39" i="12"/>
  <c r="AH39" i="12"/>
  <c r="AG39" i="12"/>
  <c r="AF39" i="12"/>
  <c r="AE39" i="12"/>
  <c r="AD39" i="12"/>
  <c r="AC39" i="12"/>
  <c r="AB39" i="12"/>
  <c r="AU38" i="12"/>
  <c r="AT38" i="12"/>
  <c r="AS38" i="12"/>
  <c r="AR38" i="12"/>
  <c r="AQ38" i="12"/>
  <c r="AP38" i="12"/>
  <c r="AO38" i="12"/>
  <c r="AN38" i="12"/>
  <c r="AM38" i="12"/>
  <c r="AL38" i="12"/>
  <c r="AK38" i="12"/>
  <c r="AJ38" i="12"/>
  <c r="AI38" i="12"/>
  <c r="AH38" i="12"/>
  <c r="AG38" i="12"/>
  <c r="AF38" i="12"/>
  <c r="AE38" i="12"/>
  <c r="AD38" i="12"/>
  <c r="AC38" i="12"/>
  <c r="AB38" i="12"/>
  <c r="AU37" i="12"/>
  <c r="AT37" i="12"/>
  <c r="AS37" i="12"/>
  <c r="AR37" i="12"/>
  <c r="AQ37" i="12"/>
  <c r="AP37" i="12"/>
  <c r="AO37" i="12"/>
  <c r="AN37" i="12"/>
  <c r="AM37" i="12"/>
  <c r="AL37" i="12"/>
  <c r="AK37" i="12"/>
  <c r="AJ37" i="12"/>
  <c r="AI37" i="12"/>
  <c r="AH37" i="12"/>
  <c r="AG37" i="12"/>
  <c r="AF37" i="12"/>
  <c r="AE37" i="12"/>
  <c r="AD37" i="12"/>
  <c r="AC37" i="12"/>
  <c r="AB37" i="12"/>
  <c r="AU36" i="12"/>
  <c r="AT36" i="12"/>
  <c r="AS36" i="12"/>
  <c r="AR36" i="12"/>
  <c r="AQ36" i="12"/>
  <c r="AP36" i="12"/>
  <c r="AO36" i="12"/>
  <c r="AN36" i="12"/>
  <c r="AM36" i="12"/>
  <c r="AL36" i="12"/>
  <c r="AK36" i="12"/>
  <c r="AJ36" i="12"/>
  <c r="AI36" i="12"/>
  <c r="AH36" i="12"/>
  <c r="AG36" i="12"/>
  <c r="AF36" i="12"/>
  <c r="AE36" i="12"/>
  <c r="AD36" i="12"/>
  <c r="AC36" i="12"/>
  <c r="AB36" i="12"/>
  <c r="AU35" i="12"/>
  <c r="AT35" i="12"/>
  <c r="AS35" i="12"/>
  <c r="AR35" i="12"/>
  <c r="AQ35" i="12"/>
  <c r="AP35" i="12"/>
  <c r="AO35" i="12"/>
  <c r="AN35" i="12"/>
  <c r="AM35" i="12"/>
  <c r="AL35" i="12"/>
  <c r="AK35" i="12"/>
  <c r="AJ35" i="12"/>
  <c r="AI35" i="12"/>
  <c r="AH35" i="12"/>
  <c r="AG35" i="12"/>
  <c r="AF35" i="12"/>
  <c r="AE35" i="12"/>
  <c r="AD35" i="12"/>
  <c r="AC35" i="12"/>
  <c r="AB35" i="12"/>
  <c r="AU34" i="12"/>
  <c r="AT34" i="12"/>
  <c r="AS34" i="12"/>
  <c r="AR34" i="12"/>
  <c r="AQ34" i="12"/>
  <c r="AP34" i="12"/>
  <c r="AO34" i="12"/>
  <c r="AN34" i="12"/>
  <c r="AM34" i="12"/>
  <c r="AL34" i="12"/>
  <c r="AK34" i="12"/>
  <c r="AJ34" i="12"/>
  <c r="AI34" i="12"/>
  <c r="AH34" i="12"/>
  <c r="AG34" i="12"/>
  <c r="AF34" i="12"/>
  <c r="AE34" i="12"/>
  <c r="AD34" i="12"/>
  <c r="AC34" i="12"/>
  <c r="AB34" i="12"/>
  <c r="AU33" i="12"/>
  <c r="AT33" i="12"/>
  <c r="AS33" i="12"/>
  <c r="AR33" i="12"/>
  <c r="AQ33" i="12"/>
  <c r="AP33" i="12"/>
  <c r="AO33" i="12"/>
  <c r="AN33" i="12"/>
  <c r="AM33" i="12"/>
  <c r="AL33" i="12"/>
  <c r="AK33" i="12"/>
  <c r="AJ33" i="12"/>
  <c r="AI33" i="12"/>
  <c r="AH33" i="12"/>
  <c r="AG33" i="12"/>
  <c r="AF33" i="12"/>
  <c r="AE33" i="12"/>
  <c r="AD33" i="12"/>
  <c r="AC33" i="12"/>
  <c r="AB33" i="12"/>
  <c r="AU32" i="12"/>
  <c r="AT32" i="12"/>
  <c r="AS32" i="12"/>
  <c r="AR32" i="12"/>
  <c r="AQ32" i="12"/>
  <c r="AP32" i="12"/>
  <c r="AO32" i="12"/>
  <c r="AN32" i="12"/>
  <c r="AM32" i="12"/>
  <c r="AL32" i="12"/>
  <c r="AK32" i="12"/>
  <c r="AJ32" i="12"/>
  <c r="AI32" i="12"/>
  <c r="AH32" i="12"/>
  <c r="AG32" i="12"/>
  <c r="AF32" i="12"/>
  <c r="AE32" i="12"/>
  <c r="AD32" i="12"/>
  <c r="AC32" i="12"/>
  <c r="AB32" i="12"/>
  <c r="AU31" i="12"/>
  <c r="AT31" i="12"/>
  <c r="AS31" i="12"/>
  <c r="AR31" i="12"/>
  <c r="AQ31" i="12"/>
  <c r="AP31" i="12"/>
  <c r="AO31" i="12"/>
  <c r="AN31" i="12"/>
  <c r="AM31" i="12"/>
  <c r="AL31" i="12"/>
  <c r="AK31" i="12"/>
  <c r="AJ31" i="12"/>
  <c r="AI31" i="12"/>
  <c r="AH31" i="12"/>
  <c r="AG31" i="12"/>
  <c r="AF31" i="12"/>
  <c r="AE31" i="12"/>
  <c r="AD31" i="12"/>
  <c r="AC31" i="12"/>
  <c r="AB31" i="12"/>
  <c r="AU30" i="12"/>
  <c r="AT30" i="12"/>
  <c r="AS30" i="12"/>
  <c r="AR30" i="12"/>
  <c r="AQ30" i="12"/>
  <c r="AP30" i="12"/>
  <c r="AO30" i="12"/>
  <c r="AN30" i="12"/>
  <c r="AM30" i="12"/>
  <c r="AL30" i="12"/>
  <c r="AK30" i="12"/>
  <c r="AJ30" i="12"/>
  <c r="AI30" i="12"/>
  <c r="AH30" i="12"/>
  <c r="AG30" i="12"/>
  <c r="AF30" i="12"/>
  <c r="AE30" i="12"/>
  <c r="AD30" i="12"/>
  <c r="AC30" i="12"/>
  <c r="AB30" i="12"/>
  <c r="AU29" i="12"/>
  <c r="AT29" i="12"/>
  <c r="AS29" i="12"/>
  <c r="AR29" i="12"/>
  <c r="AQ29" i="12"/>
  <c r="AP29" i="12"/>
  <c r="AO29" i="12"/>
  <c r="AN29" i="12"/>
  <c r="AM29" i="12"/>
  <c r="AL29" i="12"/>
  <c r="AK29" i="12"/>
  <c r="AJ29" i="12"/>
  <c r="AI29" i="12"/>
  <c r="AH29" i="12"/>
  <c r="AG29" i="12"/>
  <c r="AF29" i="12"/>
  <c r="AE29" i="12"/>
  <c r="AD29" i="12"/>
  <c r="AC29" i="12"/>
  <c r="AB29" i="12"/>
  <c r="AU28" i="12"/>
  <c r="AT28" i="12"/>
  <c r="AS28" i="12"/>
  <c r="AR28" i="12"/>
  <c r="AQ28" i="12"/>
  <c r="AP28" i="12"/>
  <c r="AO28" i="12"/>
  <c r="AN28" i="12"/>
  <c r="AM28" i="12"/>
  <c r="AL28" i="12"/>
  <c r="AK28" i="12"/>
  <c r="AJ28" i="12"/>
  <c r="AI28" i="12"/>
  <c r="AH28" i="12"/>
  <c r="AG28" i="12"/>
  <c r="AF28" i="12"/>
  <c r="AE28" i="12"/>
  <c r="AD28" i="12"/>
  <c r="AC28" i="12"/>
  <c r="AB28" i="12"/>
  <c r="AU27" i="12"/>
  <c r="AT27" i="12"/>
  <c r="AS27" i="12"/>
  <c r="AR27" i="12"/>
  <c r="AQ27" i="12"/>
  <c r="AP27" i="12"/>
  <c r="AO27" i="12"/>
  <c r="AN27" i="12"/>
  <c r="AM27" i="12"/>
  <c r="AL27" i="12"/>
  <c r="AK27" i="12"/>
  <c r="AJ27" i="12"/>
  <c r="AI27" i="12"/>
  <c r="AH27" i="12"/>
  <c r="AG27" i="12"/>
  <c r="AF27" i="12"/>
  <c r="AE27" i="12"/>
  <c r="AD27" i="12"/>
  <c r="AC27" i="12"/>
  <c r="AB27" i="12"/>
  <c r="AU26" i="12"/>
  <c r="AT26" i="12"/>
  <c r="AS26" i="12"/>
  <c r="AR26" i="12"/>
  <c r="AQ26" i="12"/>
  <c r="AP26" i="12"/>
  <c r="AO26" i="12"/>
  <c r="AN26" i="12"/>
  <c r="AM26" i="12"/>
  <c r="AL26" i="12"/>
  <c r="AK26" i="12"/>
  <c r="AJ26" i="12"/>
  <c r="AI26" i="12"/>
  <c r="AH26" i="12"/>
  <c r="AG26" i="12"/>
  <c r="AF26" i="12"/>
  <c r="AE26" i="12"/>
  <c r="AD26" i="12"/>
  <c r="AC26" i="12"/>
  <c r="AB26" i="12"/>
  <c r="AU25" i="12"/>
  <c r="AT25" i="12"/>
  <c r="AS25" i="12"/>
  <c r="AR25" i="12"/>
  <c r="AQ25" i="12"/>
  <c r="AP25" i="12"/>
  <c r="AO25" i="12"/>
  <c r="AN25" i="12"/>
  <c r="AM25" i="12"/>
  <c r="AL25" i="12"/>
  <c r="AK25" i="12"/>
  <c r="AJ25" i="12"/>
  <c r="AI25" i="12"/>
  <c r="AH25" i="12"/>
  <c r="AG25" i="12"/>
  <c r="AF25" i="12"/>
  <c r="AE25" i="12"/>
  <c r="AD25" i="12"/>
  <c r="AC25" i="12"/>
  <c r="AB25" i="12"/>
  <c r="AU24" i="12"/>
  <c r="AT24" i="12"/>
  <c r="AS24" i="12"/>
  <c r="AR24" i="12"/>
  <c r="AQ24" i="12"/>
  <c r="AP24" i="12"/>
  <c r="AO24" i="12"/>
  <c r="AN24" i="12"/>
  <c r="AM24" i="12"/>
  <c r="AL24" i="12"/>
  <c r="AK24" i="12"/>
  <c r="AJ24" i="12"/>
  <c r="AI24" i="12"/>
  <c r="AH24" i="12"/>
  <c r="AG24" i="12"/>
  <c r="AF24" i="12"/>
  <c r="AE24" i="12"/>
  <c r="AD24" i="12"/>
  <c r="AC24" i="12"/>
  <c r="AB24" i="12"/>
  <c r="AU23" i="12"/>
  <c r="AT23" i="12"/>
  <c r="AS23" i="12"/>
  <c r="AR23" i="12"/>
  <c r="AQ23" i="12"/>
  <c r="AP23" i="12"/>
  <c r="AO23" i="12"/>
  <c r="AN23" i="12"/>
  <c r="AM23" i="12"/>
  <c r="AL23" i="12"/>
  <c r="AK23" i="12"/>
  <c r="AJ23" i="12"/>
  <c r="AI23" i="12"/>
  <c r="AH23" i="12"/>
  <c r="AG23" i="12"/>
  <c r="AF23" i="12"/>
  <c r="AE23" i="12"/>
  <c r="AD23" i="12"/>
  <c r="AC23" i="12"/>
  <c r="AB23" i="12"/>
  <c r="AU22" i="12"/>
  <c r="AT22" i="12"/>
  <c r="AS22" i="12"/>
  <c r="AR22" i="12"/>
  <c r="AQ22" i="12"/>
  <c r="AP22" i="12"/>
  <c r="AO22" i="12"/>
  <c r="AN22" i="12"/>
  <c r="AM22" i="12"/>
  <c r="AL22" i="12"/>
  <c r="AK22" i="12"/>
  <c r="AJ22" i="12"/>
  <c r="AI22" i="12"/>
  <c r="AH22" i="12"/>
  <c r="AG22" i="12"/>
  <c r="AF22" i="12"/>
  <c r="AE22" i="12"/>
  <c r="AD22" i="12"/>
  <c r="AC22" i="12"/>
  <c r="AB22" i="12"/>
  <c r="AU21" i="12"/>
  <c r="AT21" i="12"/>
  <c r="AS21" i="12"/>
  <c r="AR21" i="12"/>
  <c r="AQ21" i="12"/>
  <c r="AP21" i="12"/>
  <c r="AO21" i="12"/>
  <c r="AN21" i="12"/>
  <c r="AM21" i="12"/>
  <c r="AL21" i="12"/>
  <c r="AK21" i="12"/>
  <c r="AJ21" i="12"/>
  <c r="AI21" i="12"/>
  <c r="AH21" i="12"/>
  <c r="AG21" i="12"/>
  <c r="AF21" i="12"/>
  <c r="AE21" i="12"/>
  <c r="AD21" i="12"/>
  <c r="AC21" i="12"/>
  <c r="AB21" i="12"/>
  <c r="AU20" i="12"/>
  <c r="AT20" i="12"/>
  <c r="AS20" i="12"/>
  <c r="AR20" i="12"/>
  <c r="AQ20" i="12"/>
  <c r="AP20" i="12"/>
  <c r="AO20" i="12"/>
  <c r="AN20" i="12"/>
  <c r="AM20" i="12"/>
  <c r="AL20" i="12"/>
  <c r="AK20" i="12"/>
  <c r="AJ20" i="12"/>
  <c r="AI20" i="12"/>
  <c r="AH20" i="12"/>
  <c r="AG20" i="12"/>
  <c r="AF20" i="12"/>
  <c r="AE20" i="12"/>
  <c r="AD20" i="12"/>
  <c r="AC20" i="12"/>
  <c r="AB20" i="12"/>
  <c r="AU19" i="12"/>
  <c r="AT19" i="12"/>
  <c r="AS19" i="12"/>
  <c r="AR19" i="12"/>
  <c r="AQ19" i="12"/>
  <c r="AP19" i="12"/>
  <c r="AO19" i="12"/>
  <c r="AN19" i="12"/>
  <c r="AM19" i="12"/>
  <c r="AL19" i="12"/>
  <c r="AK19" i="12"/>
  <c r="AJ19" i="12"/>
  <c r="AI19" i="12"/>
  <c r="AH19" i="12"/>
  <c r="AG19" i="12"/>
  <c r="AF19" i="12"/>
  <c r="AE19" i="12"/>
  <c r="AD19" i="12"/>
  <c r="AC19" i="12"/>
  <c r="AB19" i="12"/>
  <c r="AU18" i="12"/>
  <c r="AT18" i="12"/>
  <c r="AS18" i="12"/>
  <c r="AR18" i="12"/>
  <c r="AQ18" i="12"/>
  <c r="AP18" i="12"/>
  <c r="AO18" i="12"/>
  <c r="AN18" i="12"/>
  <c r="AM18" i="12"/>
  <c r="AL18" i="12"/>
  <c r="AK18" i="12"/>
  <c r="AJ18" i="12"/>
  <c r="AI18" i="12"/>
  <c r="AH18" i="12"/>
  <c r="AG18" i="12"/>
  <c r="AF18" i="12"/>
  <c r="AE18" i="12"/>
  <c r="AD18" i="12"/>
  <c r="AC18" i="12"/>
  <c r="AB18" i="12"/>
  <c r="AU17" i="12"/>
  <c r="AT17" i="12"/>
  <c r="AS17" i="12"/>
  <c r="AR17" i="12"/>
  <c r="AQ17" i="12"/>
  <c r="AP17" i="12"/>
  <c r="AO17" i="12"/>
  <c r="AN17" i="12"/>
  <c r="AM17" i="12"/>
  <c r="AL17" i="12"/>
  <c r="AK17" i="12"/>
  <c r="AJ17" i="12"/>
  <c r="AI17" i="12"/>
  <c r="AH17" i="12"/>
  <c r="AG17" i="12"/>
  <c r="AF17" i="12"/>
  <c r="AE17" i="12"/>
  <c r="AD17" i="12"/>
  <c r="AC17" i="12"/>
  <c r="AB17" i="12"/>
  <c r="AX17" i="12"/>
  <c r="Y17" i="12"/>
  <c r="AI7" i="14"/>
  <c r="AX18" i="12"/>
  <c r="Y115" i="12"/>
  <c r="Y114" i="12"/>
  <c r="Y113" i="12"/>
  <c r="Y112" i="12"/>
  <c r="Y111" i="12"/>
  <c r="Y110" i="12"/>
  <c r="Y109" i="12"/>
  <c r="Y108" i="12"/>
  <c r="Y107" i="12"/>
  <c r="Y106" i="12"/>
  <c r="Y105" i="12"/>
  <c r="Y104" i="12"/>
  <c r="Y103" i="12"/>
  <c r="Y102" i="12"/>
  <c r="Y101" i="12"/>
  <c r="Y100" i="12"/>
  <c r="Y99" i="12"/>
  <c r="Y98" i="12"/>
  <c r="Y97" i="12"/>
  <c r="Y96" i="12"/>
  <c r="Y95" i="12"/>
  <c r="Y94" i="12"/>
  <c r="Y93" i="12"/>
  <c r="Y92" i="12"/>
  <c r="Y91" i="12"/>
  <c r="Y90" i="12"/>
  <c r="Y89" i="12"/>
  <c r="Y88" i="12"/>
  <c r="Y87" i="12"/>
  <c r="Y86" i="12"/>
  <c r="Y85" i="12"/>
  <c r="Y84" i="12"/>
  <c r="Y83" i="12"/>
  <c r="Y82" i="12"/>
  <c r="Y81" i="12"/>
  <c r="Y80" i="12"/>
  <c r="Y79" i="12"/>
  <c r="Y78" i="12"/>
  <c r="Y77" i="12"/>
  <c r="Y76" i="12"/>
  <c r="Y75" i="12"/>
  <c r="Y74" i="12"/>
  <c r="Y73" i="12"/>
  <c r="Y72" i="12"/>
  <c r="Y71" i="12"/>
  <c r="Y70" i="12"/>
  <c r="Y69" i="12"/>
  <c r="Y68" i="12"/>
  <c r="Y67" i="12"/>
  <c r="Y66" i="12"/>
  <c r="Y65" i="12"/>
  <c r="Y64" i="12"/>
  <c r="Y63" i="12"/>
  <c r="Y62" i="12"/>
  <c r="Y61" i="12"/>
  <c r="Y60" i="12"/>
  <c r="Y59" i="12"/>
  <c r="Y58" i="12"/>
  <c r="Y57" i="12"/>
  <c r="Y56" i="12"/>
  <c r="Y55" i="12"/>
  <c r="Y54" i="12"/>
  <c r="Y53" i="12"/>
  <c r="Y52" i="12"/>
  <c r="Y51" i="12"/>
  <c r="Y50" i="12"/>
  <c r="Y49" i="12"/>
  <c r="Y48" i="12"/>
  <c r="Y47" i="12"/>
  <c r="Y46" i="12"/>
  <c r="Y45" i="12"/>
  <c r="Y44" i="12"/>
  <c r="Y43" i="12"/>
  <c r="Y42" i="12"/>
  <c r="Y41" i="12"/>
  <c r="Y40" i="12"/>
  <c r="Y39" i="12"/>
  <c r="Y38" i="12"/>
  <c r="Y37" i="12"/>
  <c r="Y36" i="12"/>
  <c r="Y35" i="12"/>
  <c r="Y34" i="12"/>
  <c r="Y33" i="12"/>
  <c r="Y32" i="12"/>
  <c r="Y31" i="12"/>
  <c r="Y30" i="12"/>
  <c r="Y29" i="12"/>
  <c r="Y28" i="12"/>
  <c r="Y27" i="12"/>
  <c r="Y26" i="12"/>
  <c r="Y25" i="12"/>
  <c r="Y24" i="12"/>
  <c r="Y23" i="12"/>
  <c r="Y22" i="12"/>
  <c r="Y21" i="12"/>
  <c r="Y20" i="12"/>
  <c r="Y19" i="12"/>
  <c r="AA18" i="12"/>
  <c r="Y18" i="12"/>
  <c r="AW16" i="12"/>
  <c r="AV16" i="12"/>
  <c r="AU16" i="12"/>
</calcChain>
</file>

<file path=xl/sharedStrings.xml><?xml version="1.0" encoding="utf-8"?>
<sst xmlns="http://schemas.openxmlformats.org/spreadsheetml/2006/main" count="2582" uniqueCount="272">
  <si>
    <r>
      <t>1.</t>
    </r>
    <r>
      <rPr>
        <sz val="12"/>
        <color indexed="8"/>
        <rFont val="Times New Roman"/>
        <family val="1"/>
      </rPr>
      <t xml:space="preserve"> </t>
    </r>
    <r>
      <rPr>
        <sz val="12"/>
        <color indexed="8"/>
        <rFont val="Arial"/>
        <family val="2"/>
      </rPr>
      <t>Harm from fire arising from damage (including heating, melting and chaffing) to electrical cables and components; hydraulic hoses; and fuel lines due to design inadequacies, including
     a. poor location
     b. inadequate segregation of fuel and ignition sources
     c. flaws in clamping or restraints</t>
    </r>
  </si>
  <si>
    <r>
      <t>2.</t>
    </r>
    <r>
      <rPr>
        <sz val="12"/>
        <color indexed="8"/>
        <rFont val="Times New Roman"/>
        <family val="1"/>
      </rPr>
      <t xml:space="preserve"> </t>
    </r>
    <r>
      <rPr>
        <sz val="12"/>
        <color indexed="8"/>
        <rFont val="Arial"/>
        <family val="2"/>
      </rPr>
      <t xml:space="preserve">Harm from fire arising from heat generated by surface frictions (including tires) </t>
    </r>
  </si>
  <si>
    <r>
      <t>3.</t>
    </r>
    <r>
      <rPr>
        <sz val="12"/>
        <color indexed="8"/>
        <rFont val="Times New Roman"/>
        <family val="1"/>
      </rPr>
      <t xml:space="preserve"> </t>
    </r>
    <r>
      <rPr>
        <sz val="12"/>
        <color indexed="8"/>
        <rFont val="Arial"/>
        <family val="2"/>
      </rPr>
      <t>Harm from fire igniting in, or being propagated by, the build up of combustible material e.g. dirt, oily rags</t>
    </r>
  </si>
  <si>
    <t>DP 8.
Confined Spaces &amp; Restricted Work Areas</t>
  </si>
  <si>
    <r>
      <t>1.</t>
    </r>
    <r>
      <rPr>
        <sz val="12"/>
        <color indexed="8"/>
        <rFont val="Times New Roman"/>
        <family val="1"/>
      </rPr>
      <t> </t>
    </r>
    <r>
      <rPr>
        <sz val="12"/>
        <color indexed="8"/>
        <rFont val="Arial"/>
        <family val="2"/>
      </rPr>
      <t>Asphyxiation from irrespirable atmosphere due to lack of adequate ventilation</t>
    </r>
  </si>
  <si>
    <r>
      <t>2.</t>
    </r>
    <r>
      <rPr>
        <sz val="12"/>
        <color indexed="8"/>
        <rFont val="Times New Roman"/>
        <family val="1"/>
      </rPr>
      <t> </t>
    </r>
    <r>
      <rPr>
        <sz val="12"/>
        <color indexed="8"/>
        <rFont val="Arial"/>
        <family val="2"/>
      </rPr>
      <t>Harm from excessive heat due to lack of adequate ventilation or proximity to heat radiating components</t>
    </r>
  </si>
  <si>
    <r>
      <t>3.</t>
    </r>
    <r>
      <rPr>
        <sz val="12"/>
        <color indexed="8"/>
        <rFont val="Times New Roman"/>
        <family val="1"/>
      </rPr>
      <t> </t>
    </r>
    <r>
      <rPr>
        <sz val="12"/>
        <color indexed="8"/>
        <rFont val="Arial"/>
        <family val="2"/>
      </rPr>
      <t>Physical injury due to inadequate ergonomic design that restricts worker movement to perform work or access/egress</t>
    </r>
  </si>
  <si>
    <r>
      <t>4.</t>
    </r>
    <r>
      <rPr>
        <sz val="12"/>
        <color indexed="8"/>
        <rFont val="Times New Roman"/>
        <family val="1"/>
      </rPr>
      <t> </t>
    </r>
    <r>
      <rPr>
        <sz val="12"/>
        <color indexed="8"/>
        <rFont val="Arial"/>
        <family val="2"/>
      </rPr>
      <t>Injury or illness from fire or chemical hazards due to the routing of hosing or piping within confined space</t>
    </r>
  </si>
  <si>
    <r>
      <t>5.</t>
    </r>
    <r>
      <rPr>
        <sz val="12"/>
        <color indexed="8"/>
        <rFont val="Times New Roman"/>
        <family val="1"/>
      </rPr>
      <t> </t>
    </r>
    <r>
      <rPr>
        <sz val="12"/>
        <color indexed="8"/>
        <rFont val="Arial"/>
        <family val="2"/>
      </rPr>
      <t>Burns from contact with hydraulic hoses or piping within confined space</t>
    </r>
  </si>
  <si>
    <r>
      <t>6.</t>
    </r>
    <r>
      <rPr>
        <sz val="12"/>
        <color indexed="8"/>
        <rFont val="Times New Roman"/>
        <family val="1"/>
      </rPr>
      <t> </t>
    </r>
    <r>
      <rPr>
        <sz val="12"/>
        <color indexed="8"/>
        <rFont val="Arial"/>
        <family val="2"/>
      </rPr>
      <t>Harm due to engulfment from materials or inundation by gas or liquids</t>
    </r>
  </si>
  <si>
    <r>
      <t>8.</t>
    </r>
    <r>
      <rPr>
        <sz val="12"/>
        <color indexed="8"/>
        <rFont val="Times New Roman"/>
        <family val="1"/>
      </rPr>
      <t> </t>
    </r>
    <r>
      <rPr>
        <sz val="12"/>
        <color indexed="8"/>
        <rFont val="Arial"/>
        <family val="2"/>
      </rPr>
      <t xml:space="preserve">Harm due to rescue difficulties associated with difficult or minimal access </t>
    </r>
  </si>
  <si>
    <t>DP 6.
Health Impacting Factors</t>
  </si>
  <si>
    <r>
      <t>1.</t>
    </r>
    <r>
      <rPr>
        <sz val="12"/>
        <color indexed="8"/>
        <rFont val="Times New Roman"/>
        <family val="1"/>
      </rPr>
      <t xml:space="preserve">     </t>
    </r>
    <r>
      <rPr>
        <sz val="12"/>
        <color indexed="8"/>
        <rFont val="Arial"/>
        <family val="2"/>
      </rPr>
      <t xml:space="preserve">Harm from exposure to energies such as heat; electricity; radiation; compressed air; high pressure fluids, including hydraulic fluids; and falling objects </t>
    </r>
  </si>
  <si>
    <r>
      <t>4.</t>
    </r>
    <r>
      <rPr>
        <sz val="12"/>
        <color indexed="8"/>
        <rFont val="Times New Roman"/>
        <family val="1"/>
      </rPr>
      <t xml:space="preserve">     </t>
    </r>
    <r>
      <rPr>
        <sz val="12"/>
        <color indexed="8"/>
        <rFont val="Arial"/>
        <family val="2"/>
      </rPr>
      <t>Injury from being struck by a release of poorly secured moving or rotating equipment or components</t>
    </r>
  </si>
  <si>
    <t>Task Frequency</t>
    <phoneticPr fontId="41" type="noConversion"/>
  </si>
  <si>
    <t xml:space="preserve">             Consequence Input</t>
    <phoneticPr fontId="41" type="noConversion"/>
  </si>
  <si>
    <r>
      <t>4.</t>
    </r>
    <r>
      <rPr>
        <sz val="12"/>
        <color indexed="8"/>
        <rFont val="Times New Roman"/>
        <family val="1"/>
      </rPr>
      <t xml:space="preserve">      </t>
    </r>
    <r>
      <rPr>
        <sz val="12"/>
        <color indexed="8"/>
        <rFont val="Arial"/>
        <family val="2"/>
      </rPr>
      <t>Harm from materials falling off platforms on to persons below</t>
    </r>
  </si>
  <si>
    <r>
      <t>8.</t>
    </r>
    <r>
      <rPr>
        <sz val="12"/>
        <color indexed="8"/>
        <rFont val="Times New Roman"/>
        <family val="1"/>
      </rPr>
      <t>  </t>
    </r>
    <r>
      <rPr>
        <sz val="12"/>
        <color indexed="8"/>
        <rFont val="Arial"/>
        <family val="2"/>
      </rPr>
      <t xml:space="preserve">Harm from exposure to:
     a. Energy induced in hydraulic systems from cylinders.
     b. Energy inadvertently released by secondary systems eg fire systems, air bags.
     c. Residual energy retained after isolation and apparent de-energisation eg in springs, ropes, conveyor systems, accumulators, receiver tanks and fire systems
     d. Energy released from pressure vessels that have not been safely depressurised, including premature removal of radiator caps </t>
    </r>
  </si>
  <si>
    <r>
      <t>9.</t>
    </r>
    <r>
      <rPr>
        <sz val="12"/>
        <color indexed="8"/>
        <rFont val="Times New Roman"/>
        <family val="1"/>
      </rPr>
      <t>   </t>
    </r>
    <r>
      <rPr>
        <sz val="12"/>
        <color indexed="8"/>
        <rFont val="Arial"/>
        <family val="2"/>
      </rPr>
      <t>Harm from exposure to harmful energy due to 
      a. unintended activation of controls
      b. failure to isolate and secure components with stored energy eg raised, slewed or articulated equipment</t>
    </r>
  </si>
  <si>
    <r>
      <t>10.</t>
    </r>
    <r>
      <rPr>
        <sz val="12"/>
        <color indexed="8"/>
        <rFont val="Times New Roman"/>
        <family val="1"/>
      </rPr>
      <t xml:space="preserve">  </t>
    </r>
    <r>
      <rPr>
        <sz val="12"/>
        <color indexed="8"/>
        <rFont val="Arial"/>
        <family val="2"/>
      </rPr>
      <t xml:space="preserve">Harm from exposure to high pressure fluids as a result of failure of components, hoses, pipes or fittings due to:
        a. Corrosion
        b. Excessive pressure build up
        c. Damage (eg from fallen material)
</t>
    </r>
  </si>
  <si>
    <t>DP 7.
Manual Tasks</t>
  </si>
  <si>
    <r>
      <t>5.</t>
    </r>
    <r>
      <rPr>
        <sz val="12"/>
        <color indexed="8"/>
        <rFont val="Times New Roman"/>
        <family val="1"/>
      </rPr>
      <t xml:space="preserve">      </t>
    </r>
    <r>
      <rPr>
        <sz val="12"/>
        <color indexed="8"/>
        <rFont val="Arial"/>
        <family val="2"/>
      </rPr>
      <t>Injury caused by fasteners, brackets hoses, and fittings that protrude into the walkways and work areas</t>
    </r>
  </si>
  <si>
    <r>
      <t>6.</t>
    </r>
    <r>
      <rPr>
        <sz val="12"/>
        <color indexed="8"/>
        <rFont val="Times New Roman"/>
        <family val="1"/>
      </rPr>
      <t xml:space="preserve">      </t>
    </r>
    <r>
      <rPr>
        <sz val="12"/>
        <color indexed="8"/>
        <rFont val="Arial"/>
        <family val="2"/>
      </rPr>
      <t>Injury from falls caused by using chains as part of the handrail or ladder opening protection</t>
    </r>
  </si>
  <si>
    <r>
      <t>5.</t>
    </r>
    <r>
      <rPr>
        <sz val="12"/>
        <color indexed="8"/>
        <rFont val="Times New Roman"/>
        <family val="1"/>
      </rPr>
      <t xml:space="preserve">     </t>
    </r>
    <r>
      <rPr>
        <sz val="12"/>
        <color indexed="8"/>
        <rFont val="Arial"/>
        <family val="2"/>
      </rPr>
      <t>Entrapment, entanglement, and/or crushing from moving equipment such as: arms, jaws, gates, doors, pull down ropes/chains, winches and foot clamps</t>
    </r>
  </si>
  <si>
    <r>
      <t>6.</t>
    </r>
    <r>
      <rPr>
        <sz val="12"/>
        <color indexed="8"/>
        <rFont val="Times New Roman"/>
        <family val="1"/>
      </rPr>
      <t xml:space="preserve"> </t>
    </r>
    <r>
      <rPr>
        <sz val="12"/>
        <color indexed="8"/>
        <rFont val="Arial"/>
        <family val="2"/>
      </rPr>
      <t>Injury to personnel, either during normal operation or in the event of a roll over or other accident, from inhalation, ingestion, skin abrasion, slips, trips or other mechanism due to:
     a. FSS components that are poorly located
     b. Accidental actuation of the FSS</t>
    </r>
  </si>
  <si>
    <r>
      <t>6.</t>
    </r>
    <r>
      <rPr>
        <sz val="12"/>
        <color indexed="8"/>
        <rFont val="Times New Roman"/>
        <family val="1"/>
      </rPr>
      <t xml:space="preserve">     </t>
    </r>
    <r>
      <rPr>
        <sz val="12"/>
        <color indexed="8"/>
        <rFont val="Arial"/>
        <family val="2"/>
      </rPr>
      <t>Scalding or burning from exposure to accessible hot surfaces including but not limited to, engines, hot exhaust, engine components, cooling systems and hydraulic components</t>
    </r>
  </si>
  <si>
    <r>
      <t>7.</t>
    </r>
    <r>
      <rPr>
        <sz val="12"/>
        <color indexed="8"/>
        <rFont val="Times New Roman"/>
        <family val="1"/>
      </rPr>
      <t xml:space="preserve">     </t>
    </r>
    <r>
      <rPr>
        <sz val="12"/>
        <color indexed="8"/>
        <rFont val="Arial"/>
        <family val="2"/>
      </rPr>
      <t>Electrocution or burning from contact with electrical switches, wires or devices</t>
    </r>
  </si>
  <si>
    <t>No.</t>
    <phoneticPr fontId="41" type="noConversion"/>
  </si>
  <si>
    <r>
      <t>7.</t>
    </r>
    <r>
      <rPr>
        <sz val="12"/>
        <color indexed="8"/>
        <rFont val="Times New Roman"/>
        <family val="1"/>
      </rPr>
      <t xml:space="preserve"> </t>
    </r>
    <r>
      <rPr>
        <sz val="12"/>
        <color indexed="8"/>
        <rFont val="Arial"/>
        <family val="2"/>
      </rPr>
      <t xml:space="preserve">Harm from excessive/uncontrolled spread of fire, due to: 
     a. Lack of automatic engine shutdown and/or isolation of fuel sources
     b. Inactivation of FSS due to the effects of fire and/or other damage 
     c. Delayed activation of FSS due to difficult access to FSS controls
     d. Reduced effectiveness of FSS as a result of OEM fitted options, such as noise suppression blankets </t>
    </r>
  </si>
  <si>
    <t>Faciliator:</t>
  </si>
  <si>
    <t>Date:</t>
  </si>
  <si>
    <t>Location:</t>
  </si>
  <si>
    <t>Task Step ID #</t>
  </si>
  <si>
    <t>Relevant DP</t>
  </si>
  <si>
    <t>Current Design Controls</t>
  </si>
  <si>
    <t>Suggested New Design Controls</t>
  </si>
  <si>
    <t>Event Likelihood</t>
  </si>
  <si>
    <t>Risk Ranking</t>
  </si>
  <si>
    <t>Consequence</t>
  </si>
  <si>
    <t>Likelihood</t>
  </si>
  <si>
    <t>Minor</t>
  </si>
  <si>
    <t>Major</t>
  </si>
  <si>
    <t>Catastrophic</t>
  </si>
  <si>
    <t>Extreme</t>
  </si>
  <si>
    <t>Medium</t>
  </si>
  <si>
    <t>High</t>
  </si>
  <si>
    <t>Low</t>
  </si>
  <si>
    <t>Very Low</t>
  </si>
  <si>
    <t>Likely</t>
  </si>
  <si>
    <t>Possible</t>
  </si>
  <si>
    <t>Unlikely</t>
  </si>
  <si>
    <r>
      <t>2.</t>
    </r>
    <r>
      <rPr>
        <sz val="12"/>
        <color indexed="8"/>
        <rFont val="Times New Roman"/>
        <family val="1"/>
      </rPr>
      <t xml:space="preserve">     </t>
    </r>
    <r>
      <rPr>
        <sz val="12"/>
        <color indexed="8"/>
        <rFont val="Arial"/>
        <family val="2"/>
      </rPr>
      <t>Friction burns, injection or other harm due to working in close proximity to</t>
    </r>
    <r>
      <rPr>
        <b/>
        <sz val="12"/>
        <color indexed="8"/>
        <rFont val="Arial"/>
        <family val="2"/>
      </rPr>
      <t xml:space="preserve"> </t>
    </r>
    <r>
      <rPr>
        <sz val="12"/>
        <color indexed="8"/>
        <rFont val="Arial"/>
        <family val="2"/>
      </rPr>
      <t xml:space="preserve">hydraulic equipment or systems </t>
    </r>
  </si>
  <si>
    <r>
      <t>3.</t>
    </r>
    <r>
      <rPr>
        <sz val="12"/>
        <color indexed="8"/>
        <rFont val="Times New Roman"/>
        <family val="1"/>
      </rPr>
      <t xml:space="preserve">     </t>
    </r>
    <r>
      <rPr>
        <sz val="12"/>
        <color indexed="8"/>
        <rFont val="Arial"/>
        <family val="2"/>
      </rPr>
      <t>Entanglement in rotating parts including engine fans; pulleys; drive belts; gears; drive drums; rollers; and rotating shafts, including drill rods and steels</t>
    </r>
  </si>
  <si>
    <r>
      <t>3.</t>
    </r>
    <r>
      <rPr>
        <sz val="12"/>
        <color indexed="8"/>
        <rFont val="Times New Roman"/>
        <family val="1"/>
      </rPr>
      <t xml:space="preserve">      </t>
    </r>
    <r>
      <rPr>
        <sz val="12"/>
        <color indexed="8"/>
        <rFont val="Arial"/>
        <family val="2"/>
      </rPr>
      <t>Harm due to entrapment or obstruction should normal access be blocked by fire (including tire heating) or machine damage</t>
    </r>
  </si>
  <si>
    <r>
      <t>1.</t>
    </r>
    <r>
      <rPr>
        <sz val="12"/>
        <color indexed="8"/>
        <rFont val="Times New Roman"/>
        <family val="1"/>
      </rPr>
      <t xml:space="preserve">      </t>
    </r>
    <r>
      <rPr>
        <sz val="12"/>
        <color indexed="8"/>
        <rFont val="Arial"/>
        <family val="2"/>
      </rPr>
      <t>Injury during access to equipment and its routine service and inspection points, work platforms and operator workstation due to poor location of service and inspection points, lack of fall from height protection, slippery surfaces, accumulation of dirt or other material,  or poorly lit environment</t>
    </r>
  </si>
  <si>
    <r>
      <t>2.</t>
    </r>
    <r>
      <rPr>
        <sz val="12"/>
        <color indexed="8"/>
        <rFont val="Times New Roman"/>
        <family val="1"/>
      </rPr>
      <t xml:space="preserve">      </t>
    </r>
    <r>
      <rPr>
        <sz val="12"/>
        <color indexed="8"/>
        <rFont val="Arial"/>
        <family val="2"/>
      </rPr>
      <t xml:space="preserve">Sprains and strains during access to equipment due to the need to adopt ergonomically difficult body positions to negotiate the designed access point or system </t>
    </r>
  </si>
  <si>
    <t>4. Harm from noise levels that induce hearing loss, mental and/or physical fatigue for personnel in the workshop and other working environments due to maintenance activities associated with the equipment</t>
  </si>
  <si>
    <t>1. Musculoskeletal injury from exposure to the following risk factors or combinations thereof: 
       a. forceful exertion 
       b. awkward or static posture
       c. repetition or prolonged duration
       d. Hand arm &amp;/or whole body vibration [insert link to WBV DP]
(including carrying, lifting, reaching, pushing or pulling, grasping, manipulating, striking, throwing, or holding a load ) 
due to manual tasks associated with installing, operating and maintaining the equipment</t>
  </si>
  <si>
    <t>2. Crush injury occurring during operation and maintenance tasks due to poorly designed crush and pinch point locations</t>
  </si>
  <si>
    <t>3. Injury occurring during operation and maintenance tasks (eg. falling material, handling liquids, machine consumables and spillage) due to no/inadequate design for these activities</t>
  </si>
  <si>
    <t>4. Injury resulting from slips, trips and falls due to uneven work surfaces or platforms</t>
  </si>
  <si>
    <t>5. Injury due to inappropriate access and/or egress [insert link to Access &amp; Working at Heights DP]</t>
  </si>
  <si>
    <r>
      <t>7.</t>
    </r>
    <r>
      <rPr>
        <b/>
        <sz val="12"/>
        <color indexed="8"/>
        <rFont val="Times New Roman"/>
        <family val="1"/>
      </rPr>
      <t xml:space="preserve">      </t>
    </r>
    <r>
      <rPr>
        <sz val="12"/>
        <color indexed="8"/>
        <rFont val="Arial"/>
        <family val="2"/>
      </rPr>
      <t xml:space="preserve">Injury from collisions due to restricted operator vision from the cabin due to machine access and platform structures, and/or their location </t>
    </r>
  </si>
  <si>
    <t>DP 2.
Tires &amp; Rims</t>
  </si>
  <si>
    <t>DP 3.
Exposure to Harmful Energies</t>
  </si>
  <si>
    <t>DP 4.
Fire</t>
  </si>
  <si>
    <t>DP 5.
Machine Operation &amp; Controls</t>
  </si>
  <si>
    <t>6. Injury due to use of inappropriate tools for manual tasks associated with installing, operating and maintaining the equipment</t>
  </si>
  <si>
    <r>
      <t>4.</t>
    </r>
    <r>
      <rPr>
        <sz val="12"/>
        <color indexed="8"/>
        <rFont val="Times New Roman"/>
        <family val="1"/>
      </rPr>
      <t xml:space="preserve"> </t>
    </r>
    <r>
      <rPr>
        <sz val="12"/>
        <color indexed="8"/>
        <rFont val="Arial"/>
        <family val="2"/>
      </rPr>
      <t>Harm from entrapment in the cabin due to fire blocking emergency egress</t>
    </r>
  </si>
  <si>
    <r>
      <t>5.</t>
    </r>
    <r>
      <rPr>
        <sz val="12"/>
        <color indexed="8"/>
        <rFont val="Times New Roman"/>
        <family val="1"/>
      </rPr>
      <t xml:space="preserve"> </t>
    </r>
    <r>
      <rPr>
        <sz val="12"/>
        <color indexed="8"/>
        <rFont val="Arial"/>
        <family val="2"/>
      </rPr>
      <t>Harm from entry into hazard zones due to the location of isolation points</t>
    </r>
  </si>
  <si>
    <t xml:space="preserve">7. Entrapment due to lack of alternate route of egress in an emergency </t>
  </si>
  <si>
    <t>Caught between moving objects</t>
  </si>
  <si>
    <t>Struck by/contact with materials, substances or moving objects</t>
  </si>
  <si>
    <t>Task Type</t>
  </si>
  <si>
    <t>1. Harm from exposure to health hazards such as 
     a. extreme temperatures
     b. excessive vibration and noise levels
     c. respirable dust, DPM and other particulates within the operating workspace due to:
         I. Inadequate or no climate control
         II. Inadequate attenuation and restraint systems
         III. Open windows/doors
         IV. Inadequate window/door seals</t>
  </si>
  <si>
    <t xml:space="preserve">2. Injury due to failure of critical control systems, such as
        a. Electronic systems
        b. Computer systems
        c. Equipment controls
being damaged (bridging, abrasion, etc.) by respirable dust, DPM and/or other particulates entering these systems </t>
  </si>
  <si>
    <t>3. Harm from inadvertent exposure to health hazards, including
     a. respirable dust, DPM or particulate hazards
     b. fibres in brake and other lining materials 
     c. excessive levels of noise 
     d. excessive vibration 
due to operators not being aware of deterioration of equipment, such as uncaptured machine degradation, design limits or conditions</t>
  </si>
  <si>
    <t>DP
References
 click on reference number to move to DP source information</t>
  </si>
  <si>
    <t>DP 1.
Access &amp; Working at Heights</t>
  </si>
  <si>
    <t>11. Harm, including mental overload, from warnings and alarms being overlooked, ignored or not heard due to these:
      a. Not being seen/heard or understood
      b. Not being reliable or sufficiently sensitive
      c. Being over sensitive
      d. Not fully integrated or interlocked with other warning systems
      e. Being over-used,  tampered with or compromised in any way e.g. being turned off</t>
  </si>
  <si>
    <t>2. Injury due to workstation design &amp; external structures, including:
     a. Protruding structures
     b. Sharp edges
     c. Structures not adequately fixed to equipment
     d. Roll over protection structures (ROPS)
     e. Intrusion into the cab by other equipment, such as the tray of another haul truck</t>
  </si>
  <si>
    <t>5. Harm caused by distraction and/or impaired ability to hear audible warnings or alarms (e.g horns, directional reversing alarms) due to 
     a. excessive and/or high impact noise levels generated by equipment
     b. excessive levels of spectator noise penetrating the operator workspace</t>
  </si>
  <si>
    <t>6. Acute or cumulative musculoskeletal injury, adverse health effects to body organs and increased levels of fatigue from excessive levels of whole-body vibration, especially in conjunction with sustained and/or awkward postures, due to poor ergonomic design of equipment</t>
  </si>
  <si>
    <t xml:space="preserve">7.  Injury during handling of equipment components due to 
      a. excessive weight and/or 
      b. lack of suitable lifting points or hand holds combined with awkward positioning
</t>
  </si>
  <si>
    <t>7. Harm from loss of machine stability while operating, tramming, articulating or relocating due to 
     a. Inappropriate gear selection or over speed conditions on a grade
     b. Working outside limits of lifting capacity and operating radius
     c. Incorrect load placement or overloading, which may cause loss of steering control
     d. Failure of stability devices (eg.  outriggers)
     e. Failure to warn operator when design limits are being exceeded</t>
  </si>
  <si>
    <t>7.     Harm from pyrolysis / explosion of the tire and rim assembly due to e.g. improperly fitted tire/rim under correct inflation pressure</t>
  </si>
  <si>
    <t>9.     Harm due to tire or rim failure occurring because there is no provision for repair history or previous duty to be linked to individual tires and rims</t>
  </si>
  <si>
    <t>10. Harm due to tire operating condition becoming critical without the operator’s knowledge</t>
  </si>
  <si>
    <t>11. Musculoskeletal or crush injury caused by mounting and dismounting of spare tires from storage or carriers</t>
  </si>
  <si>
    <t>8. Harm due to 
    a. wheel nuts falling off
    b. stud failure due to over-torque
    c. failure to retorque some time after fitment</t>
  </si>
  <si>
    <t>8. Harm from incorrect use of equipment controls, incorrect/inaccurate calibration or ineffective maintenance due to poorly designed controls and displays, including:
     a. lack of understanding  or misunderstanding about function of the control or display
     b. counter-intuitive design and configuration
     c. inconsistency in display or function in comparison with other controls or displays (within vehicle)
     d. not appropriately considering simultaneous control operation
     e. ability for unintentional operation or selection 
     f. unexpected operating mode (mode errors)
     g. frequently used and/or safety critical controls not being located within the zone of reach
     h. insufficient clearance around controls and other workstation equipment</t>
  </si>
  <si>
    <t>9. Harm from misinterpretation of information due to displays or labels being:
     a. Illegible
     b. Incomprehensible
     c. Not visible
     d. Inappropriately located
     e. Not using universal symbols or standardized terminology
     f. Not durable</t>
  </si>
  <si>
    <t>10. Harm due to difficult access to communication systems, such as no two-way radio provision in cabin</t>
  </si>
  <si>
    <t>Fall from heights</t>
  </si>
  <si>
    <t>Asphyxiation from exposure to irrespirable atmosphere</t>
  </si>
  <si>
    <t>Harm from excessive heat</t>
  </si>
  <si>
    <t>Restricted movement</t>
  </si>
  <si>
    <t>Harm from fire/ chemical hazards</t>
  </si>
  <si>
    <t>Contact with hydraulic hoses or piping</t>
  </si>
  <si>
    <t>Entrapment due to blocked egress</t>
  </si>
  <si>
    <t>Rescue difficulties</t>
  </si>
  <si>
    <t>Uncontrolled release of pressure</t>
  </si>
  <si>
    <t>Struck by/ caught between during maintenance</t>
  </si>
  <si>
    <t>Exposure to peripheral vibration</t>
  </si>
  <si>
    <t>Assembly failure</t>
  </si>
  <si>
    <t>Rim or tire failure</t>
  </si>
  <si>
    <t>Pyrolysis/ explosion of tire &amp; rim assembly</t>
  </si>
  <si>
    <t xml:space="preserve">3. Injury or illness from physical and/or mental fatigue due to:
     a. Inadequate control of environmental conditions in the cab e.g. heat, cold, dust
     b. Inadequate illumination of cab and displays 
     c. Glare from reflective sources
     d. Whole-body and hand/arm vibration  </t>
  </si>
  <si>
    <t>4. Harm from impaired visibility (including distorted or degraded vision) or impaired awareness of hazards in a variety of operating conditions due to:
    a. inadequate lighting for headlights, tail, reversing, turn, brake, strobe, flashing lights, etc
    b. inadequately lit inspection areas
    c. lack of fit for purpose receptacles for light fittings that suit standard &amp; alternative lights
    d. devices (mirrors, cameras, windscreen wipers and washers etc) that are not fit for purpose</t>
  </si>
  <si>
    <t>5. Harm from restricted or impeded operator vision of the surrounding environment and for tool operation, due to:
     a. Cab layout, location of windows and external structures (catwalks, handrails, protective structures, line of site mirrors, etc.)
     b. Poorly located or designed internal attachments, such as screens, hardware, equipment displays, sun blinds, etc</t>
  </si>
  <si>
    <t>6. Harm from collisions due to persons and small vehicles being encouraged/forced, by the equipment design, to locate on the operator’s blind side</t>
  </si>
  <si>
    <t>Striking protrusion during access/egress</t>
  </si>
  <si>
    <t>Access systems restricting visibility</t>
  </si>
  <si>
    <t>Fire arising from damage to electrical cables, hydraulic hoses, fuel lines</t>
  </si>
  <si>
    <t>Heat generated by surface frictions</t>
  </si>
  <si>
    <t>Ignition of combustible materials</t>
  </si>
  <si>
    <t>Fire blocking emergency egress</t>
  </si>
  <si>
    <t>Isolation points located in fire hazard zones</t>
  </si>
  <si>
    <t>Accidental / delayed activation of FSS</t>
  </si>
  <si>
    <t>Struck by/ contact with FSS components</t>
  </si>
  <si>
    <t>Uncontrolled spread of fire</t>
  </si>
  <si>
    <t xml:space="preserve">Musculoskeletal injury from manual tasks risk factors </t>
  </si>
  <si>
    <t>Struck by protrusion into work space</t>
  </si>
  <si>
    <t>Harm from adverse environmental conditions</t>
  </si>
  <si>
    <t>1. Musculoskeletal injury or illness due to workstation design, including seat and seatbelt design, openings and cab height, that promotes biomechanically compromised postures for the 5th percentile female to 95th percentile male body dimensions including:
    a. Inappropriate or compromised head / neck posture due to restricted visibility and/or control and display positioning
    b. Inappropriate or compromised hand/wrist posture due to mechanism required to manipulate/grasp control
    c. Inappropriate or compromised shoulder and back posture due to extended reach to controls
    d. Excessive forces required to appropriately operate buttons, triggers, hand &amp; foot controls, levers and other devices
    e. Inappropriate or compromised posture due to lack of adjustability of seat, pedals, steering wheel / controls, monitors/displays
    f. Postures arising from  poor seat and belt design, resulting in improper operator utilization e.g.
         i. Inadequate lumbar support and adjustability
         ii. Inadequate reduction of exposure to whole-body vibration</t>
  </si>
  <si>
    <t>Failure of control systems</t>
  </si>
  <si>
    <t>Musculoskeletal injury due to exposure to manual tasks risk factors</t>
  </si>
  <si>
    <t>Caught between/ struck by moving parts or tools</t>
  </si>
  <si>
    <t>Struck by falling materials or liquids</t>
  </si>
  <si>
    <t>Harm due to respirable dust exposure</t>
  </si>
  <si>
    <t>Harm due to DPMs or other particulates exposure</t>
  </si>
  <si>
    <t>Harm due to noise exposure</t>
  </si>
  <si>
    <t>Musculoskeletal injury from exposure to manual tasks risk factors</t>
  </si>
  <si>
    <t>1. Harm due to uncontrolled release of pressure from the tire and rim assembly during operation and maintenance due to:
    a. Overly complicated rim assembly systems that drive unwanted behaviours such as
         i. Failure to remove pressure from tires
         ii. Failure to follow the correct procedure or sequence when attempting to maintain or remove them
     b. Inter-reliance of components</t>
  </si>
  <si>
    <t xml:space="preserve">
Task Description</t>
    <phoneticPr fontId="41" type="noConversion"/>
  </si>
  <si>
    <t>Oper</t>
  </si>
  <si>
    <t>Task</t>
    <phoneticPr fontId="41" type="noConversion"/>
  </si>
  <si>
    <t>Task Frequency</t>
    <phoneticPr fontId="41" type="noConversion"/>
  </si>
  <si>
    <t>Monthly</t>
    <phoneticPr fontId="41" type="noConversion"/>
  </si>
  <si>
    <t>Weekly</t>
    <phoneticPr fontId="41" type="noConversion"/>
  </si>
  <si>
    <t>2. Crush injury during maintenance activities due to:
     a. Physical size of the wheels
     b. Need to have people working inside the arms of tire manipulators
     c. Impractical and inaccessible jacking points</t>
  </si>
  <si>
    <t>3.     Strain and sprains during maintenance activities</t>
  </si>
  <si>
    <t>4.     Chronic health implications (e.g. musculoskeletal disorders (MSDs), white finger, hearing loss) from high frequency use of maintenance tooling</t>
  </si>
  <si>
    <t>5.     Harm due to abnormal rim condition that becomes evident only when the rim fastening system is released</t>
  </si>
  <si>
    <t>6.     Harm due to assembly failure from mismatched components on multiple component rim assemblies</t>
  </si>
  <si>
    <t>Fall from height</t>
  </si>
  <si>
    <t>Fall on same level</t>
  </si>
  <si>
    <t>Sprain/strain injury during maintenance</t>
  </si>
  <si>
    <t>Blocked access/ egress</t>
  </si>
  <si>
    <t>Falling materials</t>
  </si>
  <si>
    <t>Frequency</t>
    <phoneticPr fontId="41" type="noConversion"/>
  </si>
  <si>
    <t>Consequence</t>
    <phoneticPr fontId="41" type="noConversion"/>
  </si>
  <si>
    <t>Consequence</t>
    <phoneticPr fontId="41" type="noConversion"/>
  </si>
  <si>
    <t>Struck by / contact with hot surfaces</t>
  </si>
  <si>
    <t xml:space="preserve">Struck by/ contact  with electrical components </t>
  </si>
  <si>
    <t>Struck by/ contact with compressed air</t>
  </si>
  <si>
    <t>Struck by/ contact with high pressure fluids</t>
  </si>
  <si>
    <t>Struck by/ contact with/ caught between moving/ falling objects</t>
  </si>
  <si>
    <t xml:space="preserve">Exposure to radiation </t>
  </si>
  <si>
    <t>Residual energy in isolated systems</t>
  </si>
  <si>
    <t>Unintended or erroneous activation of operational controls</t>
  </si>
  <si>
    <t>Failure of components, hoses, pipes or fittings</t>
  </si>
  <si>
    <t>Minor – inconvenience
No/minor medical treatment</t>
    <phoneticPr fontId="41" type="noConversion"/>
  </si>
  <si>
    <t>Moderate – reversible injuries, Medical treatment 
1 person</t>
    <phoneticPr fontId="41" type="noConversion"/>
  </si>
  <si>
    <t>Serious – extensive injuries
Irreversible disability/impairment 1+ persons</t>
    <phoneticPr fontId="41" type="noConversion"/>
  </si>
  <si>
    <t>Severe – single fatality OR
Severe &amp; irreversible impairment
1+ persons</t>
    <phoneticPr fontId="41" type="noConversion"/>
  </si>
  <si>
    <t>Catastrophic – multiple fatalities</t>
    <phoneticPr fontId="41" type="noConversion"/>
  </si>
  <si>
    <t>Harm from whole-body vibration exposure</t>
  </si>
  <si>
    <t>Collisions due to restricted visibility</t>
  </si>
  <si>
    <t>Loss of machine stability</t>
  </si>
  <si>
    <t>Inadvertent/erroneous operation of controls</t>
  </si>
  <si>
    <t>Incorrect understanding of displays or labels</t>
  </si>
  <si>
    <t>Missed or ineffective communication</t>
  </si>
  <si>
    <t>Alarms being undetected, misunderstood or ignored</t>
  </si>
  <si>
    <t>Harm due to  extreme temperature exposure</t>
  </si>
  <si>
    <t>Fire</t>
    <phoneticPr fontId="41" type="noConversion"/>
  </si>
  <si>
    <t>Collisions</t>
    <phoneticPr fontId="41" type="noConversion"/>
  </si>
  <si>
    <t xml:space="preserve">Harm due to whole-body vibration exposure </t>
  </si>
  <si>
    <t>Harm due to peripheral vibration exposure</t>
  </si>
  <si>
    <t>Task Frequency</t>
    <phoneticPr fontId="41" type="noConversion"/>
  </si>
  <si>
    <t>Annually</t>
    <phoneticPr fontId="41" type="noConversion"/>
  </si>
  <si>
    <t>Semi Annually</t>
    <phoneticPr fontId="41" type="noConversion"/>
  </si>
  <si>
    <t>Monthly</t>
    <phoneticPr fontId="41" type="noConversion"/>
  </si>
  <si>
    <t>Weekly</t>
    <phoneticPr fontId="41" type="noConversion"/>
  </si>
  <si>
    <t>Daily</t>
    <phoneticPr fontId="41" type="noConversion"/>
  </si>
  <si>
    <t>Multiple per day</t>
    <phoneticPr fontId="41" type="noConversion"/>
  </si>
  <si>
    <t>Continual</t>
    <phoneticPr fontId="41" type="noConversion"/>
  </si>
  <si>
    <t xml:space="preserve">    Potential Unwanted Events</t>
  </si>
  <si>
    <t>Detailed Potential Unwanted Events (PUEs)</t>
  </si>
  <si>
    <t>EMESRT Design Philosophy (DP) Potential Unwanted Events</t>
  </si>
  <si>
    <t>Potential Unwanted Event</t>
  </si>
  <si>
    <t>Suggested Administrative Controls</t>
  </si>
  <si>
    <t>Fire</t>
  </si>
  <si>
    <t>Extreme temperature exposure</t>
  </si>
  <si>
    <t>Noise exposure</t>
  </si>
  <si>
    <t xml:space="preserve">Whole-body or peripheral vibration exposure </t>
  </si>
  <si>
    <t>Maximum Reasonable Consequence</t>
  </si>
  <si>
    <t>Task</t>
  </si>
  <si>
    <t>Equipment Details:</t>
  </si>
  <si>
    <t>Risk Assessment reference number:</t>
  </si>
  <si>
    <t>Design feature/s which control the risk of injury or illness</t>
  </si>
  <si>
    <t>Select</t>
  </si>
  <si>
    <r>
      <t xml:space="preserve">PRIORITY TASK IDENTIFICATION </t>
    </r>
    <r>
      <rPr>
        <b/>
        <sz val="18"/>
        <color rgb="FF0070C0"/>
        <rFont val="Helvetica"/>
      </rPr>
      <t>(for OEM records only)</t>
    </r>
  </si>
  <si>
    <t>Suggested administrative controls</t>
  </si>
  <si>
    <t>Risk assessment participants</t>
  </si>
  <si>
    <t>EMESRT Design Evaluation for Equipment Procurement (EDEEP)</t>
  </si>
  <si>
    <r>
      <rPr>
        <b/>
        <sz val="28"/>
        <color rgb="FF0070C0"/>
        <rFont val="Helvetica"/>
      </rPr>
      <t>EDEEP - Safe Design Information</t>
    </r>
    <r>
      <rPr>
        <b/>
        <sz val="26"/>
        <color rgb="FF0070C0"/>
        <rFont val="Helvetica"/>
      </rPr>
      <t xml:space="preserve"> </t>
    </r>
    <r>
      <rPr>
        <b/>
        <sz val="16"/>
        <color rgb="FF0070C0"/>
        <rFont val="Helvetica"/>
      </rPr>
      <t>(to be supplied to potential purchaser)</t>
    </r>
  </si>
  <si>
    <t/>
  </si>
  <si>
    <t>EMESRT DP</t>
  </si>
  <si>
    <t>Potential Unwanted Events</t>
  </si>
  <si>
    <t xml:space="preserve">Detailed Potential Unwanted Events (PUEs) </t>
  </si>
  <si>
    <t>Detailed Potential Unwanted Events  (PUEs)</t>
  </si>
  <si>
    <t xml:space="preserve">Potential Unwanted Events </t>
  </si>
  <si>
    <t>Document Control Information (eg., author, revision history)</t>
  </si>
  <si>
    <r>
      <t xml:space="preserve">OMAT Task-Based Risk Assessment </t>
    </r>
    <r>
      <rPr>
        <b/>
        <sz val="20"/>
        <color rgb="FF0070C0"/>
        <rFont val="Helvetica"/>
      </rPr>
      <t>(for OEM records only)</t>
    </r>
  </si>
  <si>
    <t>Egress blocked during emergency</t>
  </si>
  <si>
    <r>
      <t xml:space="preserve">Wheel assembly, </t>
    </r>
    <r>
      <rPr>
        <b/>
        <sz val="11"/>
        <rFont val="Calibri"/>
        <family val="2"/>
        <scheme val="minor"/>
      </rPr>
      <t>Rim or tire failure</t>
    </r>
    <r>
      <rPr>
        <b/>
        <sz val="11"/>
        <rFont val="Calibri"/>
        <family val="2"/>
      </rPr>
      <t>, explosion</t>
    </r>
    <r>
      <rPr>
        <b/>
        <sz val="11"/>
        <rFont val="Calibri"/>
        <family val="2"/>
        <scheme val="minor"/>
      </rPr>
      <t xml:space="preserve">
</t>
    </r>
  </si>
  <si>
    <t>Wheel assembly, rim or tire failure</t>
  </si>
  <si>
    <t>Exposure to hazardous manual tasks</t>
  </si>
  <si>
    <t>Exposure to irrespirable atmosphere in confined space</t>
  </si>
  <si>
    <t>Failure of control system</t>
  </si>
  <si>
    <t xml:space="preserve">Exposure to DPMs or other particulates </t>
  </si>
  <si>
    <t>Respirable dust exposure</t>
  </si>
  <si>
    <t>Inadvertent or erroneous operation of a control</t>
  </si>
  <si>
    <t>Incorrect understanding of display or label</t>
  </si>
  <si>
    <t>Failure to respond to an alarm</t>
  </si>
  <si>
    <t>Collision</t>
  </si>
  <si>
    <t>Inadvertent or erroneous operation of controls</t>
  </si>
  <si>
    <t>Incorrect understanding of a display or label</t>
  </si>
  <si>
    <t>Exposure to DPM or other particulates</t>
  </si>
  <si>
    <t>Shiftly</t>
  </si>
  <si>
    <t>Many times per shift</t>
  </si>
  <si>
    <t>Quarterly</t>
  </si>
  <si>
    <t>Annually</t>
  </si>
  <si>
    <t>Equipment details</t>
  </si>
  <si>
    <t>Minor – No treatment or first aid only</t>
  </si>
  <si>
    <t>Medium - Medical treatment, no lost time</t>
  </si>
  <si>
    <t xml:space="preserve">Serious – Lost time injury
</t>
  </si>
  <si>
    <t>Severe – Single fatality or severe irreversible injury / illness</t>
  </si>
  <si>
    <t>Catastrophic – Multiple fatalities or severe irreversible injuries</t>
  </si>
  <si>
    <t>ID#</t>
  </si>
  <si>
    <t>Serious</t>
  </si>
  <si>
    <t>Almost Certain</t>
  </si>
  <si>
    <t>Rare</t>
  </si>
  <si>
    <t xml:space="preserve">Task Process Map Reference: </t>
  </si>
  <si>
    <t>Task  #</t>
  </si>
  <si>
    <t>No.</t>
  </si>
  <si>
    <t xml:space="preserve">Team: </t>
  </si>
  <si>
    <t>Task Steps (from process map)</t>
  </si>
  <si>
    <t>Total inherent risk score</t>
  </si>
  <si>
    <t>Control Evaluation</t>
  </si>
  <si>
    <t>Risk assessment reference number/s:</t>
  </si>
  <si>
    <t>List of Associated Reports</t>
  </si>
  <si>
    <t>Example</t>
  </si>
  <si>
    <t xml:space="preserve">Assessment reference number: </t>
  </si>
  <si>
    <t xml:space="preserve">Name of Task:  </t>
  </si>
  <si>
    <t>Moderate</t>
  </si>
  <si>
    <t>Critical</t>
  </si>
  <si>
    <t xml:space="preserve">The information below summarises the outcomes of a task based risk assessment involving experienced mining company-based operational and maintenance staff </t>
  </si>
  <si>
    <t>(Participant details available on request)</t>
  </si>
  <si>
    <t>(Delete one)</t>
  </si>
  <si>
    <t>The OMAT process was employed</t>
  </si>
  <si>
    <t>or</t>
  </si>
  <si>
    <t>A description of the process employed is attached</t>
  </si>
  <si>
    <t>Evaluation of the design features including reference to additional documentation appended</t>
  </si>
  <si>
    <t>Name</t>
  </si>
  <si>
    <t>Company</t>
  </si>
  <si>
    <t>Years Experience</t>
  </si>
  <si>
    <t>Signature</t>
  </si>
  <si>
    <t>Job Role</t>
  </si>
  <si>
    <t>Tasks Assessed</t>
  </si>
  <si>
    <t>Facilitator:</t>
  </si>
</sst>
</file>

<file path=xl/styles.xml><?xml version="1.0" encoding="utf-8"?>
<styleSheet xmlns="http://schemas.openxmlformats.org/spreadsheetml/2006/main" xmlns:mc="http://schemas.openxmlformats.org/markup-compatibility/2006" xmlns:x14ac="http://schemas.microsoft.com/office/spreadsheetml/2009/9/ac" mc:Ignorable="x14ac">
  <fonts count="67" x14ac:knownFonts="1">
    <font>
      <sz val="11"/>
      <color theme="1"/>
      <name val="Calibri"/>
      <family val="2"/>
      <scheme val="minor"/>
    </font>
    <font>
      <b/>
      <sz val="12"/>
      <color indexed="9"/>
      <name val="Arial"/>
      <family val="2"/>
    </font>
    <font>
      <b/>
      <sz val="12"/>
      <name val="Arial"/>
      <family val="2"/>
    </font>
    <font>
      <b/>
      <sz val="12"/>
      <color indexed="8"/>
      <name val="Arial"/>
      <family val="2"/>
    </font>
    <font>
      <b/>
      <sz val="11"/>
      <color theme="1"/>
      <name val="Calibri"/>
      <family val="2"/>
      <scheme val="minor"/>
    </font>
    <font>
      <sz val="12"/>
      <color indexed="8"/>
      <name val="Times New Roman"/>
      <family val="1"/>
    </font>
    <font>
      <sz val="12"/>
      <color indexed="8"/>
      <name val="Arial"/>
      <family val="2"/>
    </font>
    <font>
      <b/>
      <sz val="10"/>
      <color indexed="9"/>
      <name val="Arial"/>
      <family val="2"/>
    </font>
    <font>
      <sz val="10"/>
      <color theme="1"/>
      <name val="Calibri"/>
      <family val="2"/>
      <scheme val="minor"/>
    </font>
    <font>
      <b/>
      <sz val="11"/>
      <name val="Calibri"/>
      <family val="2"/>
      <scheme val="minor"/>
    </font>
    <font>
      <u/>
      <sz val="11"/>
      <color indexed="12"/>
      <name val="Calibri"/>
      <family val="2"/>
    </font>
    <font>
      <sz val="11"/>
      <color indexed="12"/>
      <name val="Calibri"/>
      <family val="2"/>
    </font>
    <font>
      <sz val="11"/>
      <color indexed="8"/>
      <name val="Helvetica"/>
    </font>
    <font>
      <b/>
      <sz val="16"/>
      <color theme="0"/>
      <name val="Calibri"/>
      <family val="2"/>
      <scheme val="minor"/>
    </font>
    <font>
      <b/>
      <sz val="16"/>
      <color theme="1"/>
      <name val="Calibri"/>
      <family val="2"/>
      <scheme val="minor"/>
    </font>
    <font>
      <sz val="16"/>
      <color indexed="8"/>
      <name val="Helvetica"/>
    </font>
    <font>
      <sz val="16"/>
      <color indexed="8"/>
      <name val="Arial"/>
      <family val="2"/>
    </font>
    <font>
      <b/>
      <sz val="16"/>
      <color indexed="8"/>
      <name val="Helvetica"/>
    </font>
    <font>
      <sz val="18"/>
      <color indexed="8"/>
      <name val="Arial"/>
    </font>
    <font>
      <sz val="12"/>
      <color theme="1"/>
      <name val="Calibri"/>
      <family val="2"/>
      <scheme val="minor"/>
    </font>
    <font>
      <b/>
      <sz val="12"/>
      <color theme="1"/>
      <name val="Calibri"/>
      <family val="2"/>
      <scheme val="minor"/>
    </font>
    <font>
      <b/>
      <sz val="14"/>
      <color theme="1"/>
      <name val="Calibri"/>
      <family val="2"/>
      <scheme val="minor"/>
    </font>
    <font>
      <sz val="11"/>
      <color indexed="8"/>
      <name val="Calibri"/>
      <family val="2"/>
    </font>
    <font>
      <sz val="11"/>
      <color indexed="8"/>
      <name val="Calibri"/>
      <family val="2"/>
    </font>
    <font>
      <b/>
      <sz val="12"/>
      <color indexed="8"/>
      <name val="Calibri"/>
      <family val="2"/>
    </font>
    <font>
      <b/>
      <sz val="28"/>
      <color rgb="FFFF0000"/>
      <name val="Calibri"/>
      <family val="2"/>
      <scheme val="minor"/>
    </font>
    <font>
      <b/>
      <sz val="24"/>
      <color rgb="FF0070C0"/>
      <name val="Helvetica"/>
    </font>
    <font>
      <b/>
      <sz val="16"/>
      <color indexed="9"/>
      <name val="Arial"/>
      <family val="2"/>
    </font>
    <font>
      <sz val="16"/>
      <color theme="1"/>
      <name val="Calibri"/>
      <family val="2"/>
      <scheme val="minor"/>
    </font>
    <font>
      <sz val="14"/>
      <color indexed="8"/>
      <name val="Arial"/>
      <family val="2"/>
    </font>
    <font>
      <b/>
      <sz val="14"/>
      <color indexed="8"/>
      <name val="Arial"/>
      <family val="2"/>
    </font>
    <font>
      <b/>
      <sz val="14"/>
      <color indexed="8"/>
      <name val="Times New Roman"/>
      <family val="1"/>
    </font>
    <font>
      <b/>
      <sz val="12"/>
      <color indexed="8"/>
      <name val="Times New Roman"/>
      <family val="1"/>
    </font>
    <font>
      <sz val="14"/>
      <color rgb="FF1F497D"/>
      <name val="Arial"/>
      <family val="2"/>
    </font>
    <font>
      <sz val="14"/>
      <color indexed="8"/>
      <name val="Arial"/>
      <family val="2"/>
    </font>
    <font>
      <b/>
      <sz val="14"/>
      <color rgb="FF1F497D"/>
      <name val="Arial"/>
      <family val="2"/>
    </font>
    <font>
      <b/>
      <sz val="14"/>
      <color indexed="8"/>
      <name val="Arial"/>
      <family val="2"/>
    </font>
    <font>
      <b/>
      <sz val="14"/>
      <color rgb="FF7030A0"/>
      <name val="Arial"/>
      <family val="2"/>
    </font>
    <font>
      <b/>
      <sz val="14"/>
      <name val="Arial"/>
      <family val="2"/>
    </font>
    <font>
      <b/>
      <sz val="14"/>
      <name val="Times New Roman"/>
      <family val="1"/>
    </font>
    <font>
      <b/>
      <sz val="14"/>
      <name val="Calibri"/>
      <family val="2"/>
    </font>
    <font>
      <sz val="8"/>
      <name val="Verdana"/>
    </font>
    <font>
      <b/>
      <sz val="11"/>
      <color indexed="8"/>
      <name val="Calibri"/>
      <family val="2"/>
    </font>
    <font>
      <b/>
      <sz val="16"/>
      <color indexed="8"/>
      <name val="Calibri"/>
      <family val="2"/>
    </font>
    <font>
      <b/>
      <sz val="16"/>
      <name val="Calibri"/>
    </font>
    <font>
      <sz val="11"/>
      <name val="Calibri"/>
      <family val="2"/>
    </font>
    <font>
      <b/>
      <sz val="12"/>
      <name val="Calibri"/>
      <family val="2"/>
    </font>
    <font>
      <u/>
      <sz val="11"/>
      <name val="Calibri"/>
      <family val="2"/>
    </font>
    <font>
      <b/>
      <sz val="11"/>
      <name val="Calibri"/>
      <family val="2"/>
    </font>
    <font>
      <b/>
      <sz val="14"/>
      <color indexed="8"/>
      <name val="Calibri"/>
      <family val="2"/>
    </font>
    <font>
      <b/>
      <sz val="18"/>
      <color indexed="30"/>
      <name val="Helvetica"/>
    </font>
    <font>
      <sz val="14"/>
      <color theme="1"/>
      <name val="Calibri"/>
      <scheme val="minor"/>
    </font>
    <font>
      <b/>
      <sz val="16"/>
      <name val="Arial"/>
      <family val="2"/>
    </font>
    <font>
      <b/>
      <sz val="26"/>
      <color rgb="FF0070C0"/>
      <name val="Helvetica"/>
    </font>
    <font>
      <u/>
      <sz val="11"/>
      <color theme="11"/>
      <name val="Calibri"/>
      <family val="2"/>
      <scheme val="minor"/>
    </font>
    <font>
      <sz val="12"/>
      <color rgb="FF9C6500"/>
      <name val="Calibri"/>
      <family val="2"/>
      <scheme val="minor"/>
    </font>
    <font>
      <b/>
      <sz val="20"/>
      <color rgb="FF0070C0"/>
      <name val="Helvetica"/>
    </font>
    <font>
      <b/>
      <sz val="18"/>
      <color rgb="FF0070C0"/>
      <name val="Helvetica"/>
    </font>
    <font>
      <b/>
      <sz val="16"/>
      <color rgb="FF0070C0"/>
      <name val="Helvetica"/>
    </font>
    <font>
      <b/>
      <sz val="28"/>
      <color rgb="FF0070C0"/>
      <name val="Helvetica"/>
    </font>
    <font>
      <sz val="18"/>
      <color theme="1"/>
      <name val="Calibri"/>
      <scheme val="minor"/>
    </font>
    <font>
      <b/>
      <sz val="18"/>
      <color theme="1"/>
      <name val="Calibri"/>
      <scheme val="minor"/>
    </font>
    <font>
      <sz val="20"/>
      <color theme="1"/>
      <name val="Calibri"/>
      <scheme val="minor"/>
    </font>
    <font>
      <b/>
      <sz val="20"/>
      <color theme="1"/>
      <name val="Calibri"/>
      <family val="2"/>
      <scheme val="minor"/>
    </font>
    <font>
      <sz val="20"/>
      <color indexed="8"/>
      <name val="Helvetica"/>
    </font>
    <font>
      <u/>
      <sz val="16"/>
      <name val="Calibri"/>
    </font>
    <font>
      <sz val="20"/>
      <color rgb="FF000090"/>
      <name val="Calibri"/>
      <scheme val="minor"/>
    </font>
  </fonts>
  <fills count="43">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indexed="45"/>
        <bgColor indexed="64"/>
      </patternFill>
    </fill>
    <fill>
      <patternFill patternType="solid">
        <fgColor indexed="47"/>
        <bgColor indexed="64"/>
      </patternFill>
    </fill>
    <fill>
      <patternFill patternType="solid">
        <fgColor indexed="43"/>
        <bgColor indexed="64"/>
      </patternFill>
    </fill>
    <fill>
      <patternFill patternType="solid">
        <fgColor indexed="60"/>
        <bgColor indexed="64"/>
      </patternFill>
    </fill>
    <fill>
      <patternFill patternType="solid">
        <fgColor indexed="57"/>
        <bgColor indexed="64"/>
      </patternFill>
    </fill>
    <fill>
      <patternFill patternType="solid">
        <fgColor indexed="22"/>
        <bgColor indexed="64"/>
      </patternFill>
    </fill>
    <fill>
      <patternFill patternType="solid">
        <fgColor indexed="16"/>
        <bgColor indexed="64"/>
      </patternFill>
    </fill>
    <fill>
      <patternFill patternType="solid">
        <fgColor indexed="53"/>
        <bgColor indexed="64"/>
      </patternFill>
    </fill>
    <fill>
      <patternFill patternType="solid">
        <fgColor indexed="19"/>
        <bgColor indexed="64"/>
      </patternFill>
    </fill>
    <fill>
      <patternFill patternType="solid">
        <fgColor indexed="17"/>
        <bgColor indexed="64"/>
      </patternFill>
    </fill>
    <fill>
      <patternFill patternType="solid">
        <fgColor indexed="21"/>
        <bgColor indexed="64"/>
      </patternFill>
    </fill>
    <fill>
      <patternFill patternType="solid">
        <fgColor indexed="12"/>
        <bgColor indexed="64"/>
      </patternFill>
    </fill>
    <fill>
      <patternFill patternType="solid">
        <fgColor indexed="54"/>
        <bgColor indexed="64"/>
      </patternFill>
    </fill>
    <fill>
      <patternFill patternType="solid">
        <fgColor indexed="23"/>
        <bgColor indexed="64"/>
      </patternFill>
    </fill>
    <fill>
      <patternFill patternType="solid">
        <fgColor indexed="10"/>
        <bgColor indexed="64"/>
      </patternFill>
    </fill>
    <fill>
      <patternFill patternType="solid">
        <fgColor indexed="52"/>
        <bgColor indexed="64"/>
      </patternFill>
    </fill>
    <fill>
      <patternFill patternType="solid">
        <fgColor indexed="50"/>
        <bgColor indexed="64"/>
      </patternFill>
    </fill>
    <fill>
      <patternFill patternType="solid">
        <fgColor indexed="49"/>
        <bgColor indexed="64"/>
      </patternFill>
    </fill>
    <fill>
      <patternFill patternType="solid">
        <fgColor indexed="48"/>
        <bgColor indexed="64"/>
      </patternFill>
    </fill>
    <fill>
      <patternFill patternType="solid">
        <fgColor indexed="20"/>
        <bgColor indexed="64"/>
      </patternFill>
    </fill>
    <fill>
      <patternFill patternType="solid">
        <fgColor indexed="55"/>
        <bgColor indexed="64"/>
      </patternFill>
    </fill>
    <fill>
      <patternFill patternType="solid">
        <fgColor indexed="14"/>
        <bgColor indexed="64"/>
      </patternFill>
    </fill>
    <fill>
      <patternFill patternType="solid">
        <fgColor indexed="51"/>
        <bgColor indexed="64"/>
      </patternFill>
    </fill>
    <fill>
      <patternFill patternType="solid">
        <fgColor indexed="13"/>
        <bgColor indexed="64"/>
      </patternFill>
    </fill>
    <fill>
      <patternFill patternType="solid">
        <fgColor indexed="11"/>
        <bgColor indexed="64"/>
      </patternFill>
    </fill>
    <fill>
      <patternFill patternType="solid">
        <fgColor indexed="15"/>
        <bgColor indexed="64"/>
      </patternFill>
    </fill>
    <fill>
      <patternFill patternType="solid">
        <fgColor indexed="40"/>
        <bgColor indexed="64"/>
      </patternFill>
    </fill>
    <fill>
      <patternFill patternType="solid">
        <fgColor indexed="61"/>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indexed="46"/>
        <bgColor indexed="64"/>
      </patternFill>
    </fill>
    <fill>
      <patternFill patternType="solid">
        <fgColor indexed="31"/>
        <bgColor indexed="64"/>
      </patternFill>
    </fill>
    <fill>
      <patternFill patternType="solid">
        <fgColor rgb="FFFFEB9C"/>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9" tint="0.79998168889431442"/>
        <bgColor indexed="64"/>
      </patternFill>
    </fill>
  </fills>
  <borders count="2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right style="thin">
        <color auto="1"/>
      </right>
      <top style="medium">
        <color auto="1"/>
      </top>
      <bottom/>
      <diagonal/>
    </border>
    <border>
      <left/>
      <right style="thin">
        <color auto="1"/>
      </right>
      <top style="thin">
        <color auto="1"/>
      </top>
      <bottom/>
      <diagonal/>
    </border>
  </borders>
  <cellStyleXfs count="102">
    <xf numFmtId="0" fontId="0" fillId="0" borderId="0"/>
    <xf numFmtId="0" fontId="10" fillId="0" borderId="0" applyNumberFormat="0" applyFill="0" applyBorder="0" applyAlignment="0" applyProtection="0">
      <alignment vertical="top"/>
      <protection locked="0"/>
    </xf>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37" borderId="0" applyNumberFormat="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cellStyleXfs>
  <cellXfs count="239">
    <xf numFmtId="0" fontId="0" fillId="0" borderId="0" xfId="0"/>
    <xf numFmtId="0" fontId="2" fillId="0" borderId="0" xfId="0" applyFont="1" applyFill="1" applyBorder="1" applyAlignment="1">
      <alignment vertical="top" wrapText="1"/>
    </xf>
    <xf numFmtId="0" fontId="0" fillId="0" borderId="0" xfId="0" applyBorder="1"/>
    <xf numFmtId="0" fontId="6" fillId="0" borderId="0" xfId="0" applyFont="1"/>
    <xf numFmtId="0" fontId="6" fillId="0" borderId="4" xfId="0" applyFont="1" applyBorder="1" applyAlignment="1">
      <alignment horizontal="left" vertical="top" wrapText="1" indent="2"/>
    </xf>
    <xf numFmtId="0" fontId="8" fillId="0" borderId="0" xfId="0" applyFont="1"/>
    <xf numFmtId="0" fontId="2" fillId="0" borderId="4" xfId="0" applyFont="1" applyFill="1" applyBorder="1" applyAlignment="1">
      <alignment vertical="top" wrapText="1"/>
    </xf>
    <xf numFmtId="0" fontId="9" fillId="0" borderId="0" xfId="0" applyFont="1" applyFill="1"/>
    <xf numFmtId="0" fontId="4" fillId="0" borderId="0" xfId="0" applyFont="1" applyAlignment="1">
      <alignment horizontal="center"/>
    </xf>
    <xf numFmtId="0" fontId="0" fillId="0" borderId="0" xfId="0" applyFont="1"/>
    <xf numFmtId="0" fontId="11" fillId="0" borderId="0" xfId="1" applyFont="1" applyAlignment="1" applyProtection="1">
      <alignment horizontal="left"/>
    </xf>
    <xf numFmtId="0" fontId="10" fillId="0" borderId="0" xfId="1" applyAlignment="1" applyProtection="1">
      <alignment horizontal="left"/>
    </xf>
    <xf numFmtId="0" fontId="12" fillId="0" borderId="0" xfId="0" applyFont="1"/>
    <xf numFmtId="0" fontId="0" fillId="0" borderId="0" xfId="0" applyFont="1" applyFill="1" applyBorder="1" applyAlignment="1">
      <alignment horizontal="center" vertical="center" wrapText="1"/>
    </xf>
    <xf numFmtId="0" fontId="15" fillId="2" borderId="4" xfId="0" applyFont="1" applyFill="1" applyBorder="1" applyAlignment="1">
      <alignment horizontal="center" vertical="center"/>
    </xf>
    <xf numFmtId="0" fontId="12" fillId="0" borderId="0" xfId="0" applyFont="1" applyBorder="1"/>
    <xf numFmtId="0" fontId="12" fillId="0" borderId="0" xfId="0" applyFont="1" applyFill="1" applyBorder="1"/>
    <xf numFmtId="0" fontId="0" fillId="0" borderId="0" xfId="0" applyAlignment="1">
      <alignment horizontal="left" vertical="top" wrapText="1"/>
    </xf>
    <xf numFmtId="0" fontId="19" fillId="0" borderId="0" xfId="0" applyFont="1"/>
    <xf numFmtId="0" fontId="20" fillId="0" borderId="0" xfId="0" applyFont="1" applyAlignment="1">
      <alignment horizontal="center" vertical="center" wrapText="1"/>
    </xf>
    <xf numFmtId="0" fontId="22" fillId="0" borderId="16" xfId="0" applyFont="1" applyBorder="1"/>
    <xf numFmtId="0" fontId="22" fillId="0" borderId="18" xfId="0" applyFont="1" applyBorder="1"/>
    <xf numFmtId="0" fontId="22" fillId="0" borderId="19" xfId="0" applyFont="1" applyBorder="1"/>
    <xf numFmtId="0" fontId="24" fillId="0" borderId="18" xfId="0" applyFont="1" applyBorder="1" applyAlignment="1">
      <alignment horizontal="center"/>
    </xf>
    <xf numFmtId="0" fontId="28" fillId="0" borderId="0" xfId="0" applyFont="1"/>
    <xf numFmtId="0" fontId="6" fillId="0" borderId="4" xfId="0" applyFont="1" applyFill="1" applyBorder="1" applyAlignment="1">
      <alignment horizontal="left" vertical="top" wrapText="1" indent="2"/>
    </xf>
    <xf numFmtId="0" fontId="6" fillId="0" borderId="5" xfId="0" applyFont="1" applyFill="1" applyBorder="1" applyAlignment="1">
      <alignment horizontal="left" vertical="top" wrapText="1" indent="2"/>
    </xf>
    <xf numFmtId="0" fontId="3" fillId="0" borderId="6" xfId="0" applyFont="1" applyFill="1" applyBorder="1" applyAlignment="1">
      <alignment horizontal="left" vertical="top" wrapText="1" indent="2"/>
    </xf>
    <xf numFmtId="0" fontId="35" fillId="0" borderId="4" xfId="0" applyFont="1" applyFill="1" applyBorder="1" applyAlignment="1">
      <alignment horizontal="center" vertical="center" wrapText="1"/>
    </xf>
    <xf numFmtId="0" fontId="30" fillId="0" borderId="4" xfId="0" applyFont="1" applyFill="1" applyBorder="1" applyAlignment="1">
      <alignment horizontal="center" vertical="center" wrapText="1"/>
    </xf>
    <xf numFmtId="0" fontId="36" fillId="0" borderId="5" xfId="0" applyFont="1" applyFill="1" applyBorder="1" applyAlignment="1">
      <alignment horizontal="center" vertical="center" wrapText="1"/>
    </xf>
    <xf numFmtId="0" fontId="30" fillId="0" borderId="5" xfId="0" applyFont="1" applyFill="1" applyBorder="1" applyAlignment="1">
      <alignment horizontal="center" vertical="center" wrapText="1"/>
    </xf>
    <xf numFmtId="0" fontId="31" fillId="0" borderId="6" xfId="0" applyFont="1" applyFill="1" applyBorder="1" applyAlignment="1">
      <alignment horizontal="center" vertical="center" wrapText="1"/>
    </xf>
    <xf numFmtId="0" fontId="36" fillId="0" borderId="6" xfId="0" applyFont="1" applyFill="1" applyBorder="1" applyAlignment="1">
      <alignment horizontal="center" vertical="center" wrapText="1"/>
    </xf>
    <xf numFmtId="0" fontId="0" fillId="0" borderId="0" xfId="0" applyAlignment="1">
      <alignment horizontal="center" vertical="center"/>
    </xf>
    <xf numFmtId="0" fontId="29" fillId="0" borderId="4" xfId="0" applyFont="1" applyBorder="1" applyAlignment="1">
      <alignment horizontal="center" vertical="center" wrapText="1"/>
    </xf>
    <xf numFmtId="0" fontId="30" fillId="0" borderId="4" xfId="0" applyFont="1" applyBorder="1" applyAlignment="1">
      <alignment horizontal="center" vertical="center" wrapText="1"/>
    </xf>
    <xf numFmtId="0" fontId="37"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37" fillId="0" borderId="4" xfId="0" applyFont="1" applyFill="1" applyBorder="1" applyAlignment="1">
      <alignment horizontal="center" vertical="center" wrapText="1"/>
    </xf>
    <xf numFmtId="0" fontId="38" fillId="0" borderId="4" xfId="0" applyFont="1" applyFill="1" applyBorder="1" applyAlignment="1">
      <alignment horizontal="center" vertical="center" wrapText="1"/>
    </xf>
    <xf numFmtId="2" fontId="38" fillId="0" borderId="4" xfId="0" applyNumberFormat="1" applyFont="1" applyFill="1" applyBorder="1" applyAlignment="1">
      <alignment horizontal="center" vertical="center" wrapText="1"/>
    </xf>
    <xf numFmtId="0" fontId="28" fillId="0" borderId="0" xfId="0" applyFont="1" applyAlignment="1">
      <alignment horizontal="center" vertical="center"/>
    </xf>
    <xf numFmtId="0" fontId="39" fillId="0" borderId="4" xfId="0" applyFont="1" applyFill="1" applyBorder="1" applyAlignment="1">
      <alignment horizontal="center" vertical="center" wrapText="1"/>
    </xf>
    <xf numFmtId="0" fontId="38" fillId="0" borderId="4" xfId="0" applyNumberFormat="1" applyFont="1" applyFill="1" applyBorder="1" applyAlignment="1">
      <alignment horizontal="center" vertical="center" wrapText="1"/>
    </xf>
    <xf numFmtId="0" fontId="40" fillId="0" borderId="4" xfId="0" applyNumberFormat="1" applyFont="1" applyFill="1" applyBorder="1" applyAlignment="1">
      <alignment horizontal="center" vertical="center" wrapText="1"/>
    </xf>
    <xf numFmtId="0" fontId="6" fillId="0" borderId="4" xfId="0" applyFont="1" applyFill="1" applyBorder="1" applyAlignment="1">
      <alignment horizontal="left" vertical="top" wrapText="1"/>
    </xf>
    <xf numFmtId="0" fontId="8" fillId="0" borderId="0" xfId="0" applyFont="1" applyAlignment="1">
      <alignment horizontal="center" vertical="center"/>
    </xf>
    <xf numFmtId="0" fontId="6" fillId="0" borderId="4" xfId="0" applyFont="1" applyBorder="1" applyAlignment="1">
      <alignment horizontal="left" vertical="top" wrapText="1"/>
    </xf>
    <xf numFmtId="0" fontId="38" fillId="0" borderId="4" xfId="0" applyFont="1" applyBorder="1" applyAlignment="1">
      <alignment horizontal="center" vertical="center" wrapText="1"/>
    </xf>
    <xf numFmtId="0" fontId="21" fillId="0" borderId="0" xfId="0" applyFont="1" applyAlignment="1">
      <alignment horizontal="center" vertical="center"/>
    </xf>
    <xf numFmtId="0" fontId="43" fillId="5" borderId="2" xfId="0" applyFont="1" applyFill="1" applyBorder="1" applyAlignment="1">
      <alignment horizontal="center" vertical="center" wrapText="1"/>
    </xf>
    <xf numFmtId="0" fontId="14" fillId="5" borderId="0" xfId="0" applyFont="1" applyFill="1" applyBorder="1" applyAlignment="1">
      <alignment horizontal="center" vertical="center" wrapText="1"/>
    </xf>
    <xf numFmtId="0" fontId="4" fillId="5" borderId="0" xfId="0" applyFont="1" applyFill="1" applyBorder="1" applyAlignment="1">
      <alignment horizontal="center"/>
    </xf>
    <xf numFmtId="0" fontId="17" fillId="4" borderId="10" xfId="0" applyFont="1" applyFill="1" applyBorder="1" applyAlignment="1">
      <alignment horizontal="center" vertical="center"/>
    </xf>
    <xf numFmtId="0" fontId="42" fillId="5" borderId="0" xfId="0" applyFont="1" applyFill="1" applyAlignment="1">
      <alignment horizontal="center"/>
    </xf>
    <xf numFmtId="0" fontId="0" fillId="5" borderId="0" xfId="0" applyFill="1" applyAlignment="1">
      <alignment horizontal="center" vertical="center"/>
    </xf>
    <xf numFmtId="0" fontId="9" fillId="5" borderId="4" xfId="0" applyFont="1" applyFill="1" applyBorder="1" applyAlignment="1">
      <alignment horizontal="center" vertical="top" wrapText="1"/>
    </xf>
    <xf numFmtId="0" fontId="4" fillId="5" borderId="4" xfId="0" applyFont="1" applyFill="1" applyBorder="1" applyAlignment="1">
      <alignment horizontal="center"/>
    </xf>
    <xf numFmtId="0" fontId="9" fillId="5" borderId="4" xfId="0" applyFont="1" applyFill="1" applyBorder="1" applyAlignment="1">
      <alignment vertical="top" wrapText="1"/>
    </xf>
    <xf numFmtId="0" fontId="27" fillId="10" borderId="4"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35" fillId="12" borderId="4" xfId="0" applyFont="1" applyFill="1" applyBorder="1" applyAlignment="1">
      <alignment horizontal="center" vertical="center" wrapText="1"/>
    </xf>
    <xf numFmtId="0" fontId="31" fillId="12" borderId="4" xfId="0" applyFont="1" applyFill="1" applyBorder="1" applyAlignment="1">
      <alignment horizontal="center" vertical="center" wrapText="1"/>
    </xf>
    <xf numFmtId="0" fontId="30" fillId="12" borderId="4" xfId="0" applyFont="1" applyFill="1" applyBorder="1" applyAlignment="1">
      <alignment horizontal="center" vertical="center" wrapText="1"/>
    </xf>
    <xf numFmtId="0" fontId="30"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30" fillId="15" borderId="4" xfId="0" applyFont="1" applyFill="1" applyBorder="1" applyAlignment="1">
      <alignment horizontal="center" vertical="center" wrapText="1"/>
    </xf>
    <xf numFmtId="0" fontId="36" fillId="15" borderId="4" xfId="0" applyFont="1" applyFill="1" applyBorder="1" applyAlignment="1">
      <alignment horizontal="center" vertical="center" wrapText="1"/>
    </xf>
    <xf numFmtId="2" fontId="36" fillId="15" borderId="4" xfId="0" applyNumberFormat="1" applyFont="1" applyFill="1" applyBorder="1" applyAlignment="1">
      <alignment horizontal="center" vertical="center" wrapText="1"/>
    </xf>
    <xf numFmtId="0" fontId="27" fillId="16" borderId="4"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38" fillId="18" borderId="4" xfId="0" applyFont="1" applyFill="1" applyBorder="1" applyAlignment="1">
      <alignment horizontal="center" vertical="center" wrapText="1"/>
    </xf>
    <xf numFmtId="2" fontId="38" fillId="18" borderId="4" xfId="0" applyNumberFormat="1" applyFont="1" applyFill="1" applyBorder="1" applyAlignment="1">
      <alignment horizontal="center" vertical="center" wrapText="1"/>
    </xf>
    <xf numFmtId="0" fontId="27" fillId="19" borderId="4" xfId="0" applyFont="1" applyFill="1" applyBorder="1" applyAlignment="1">
      <alignment horizontal="center" vertical="center" wrapText="1"/>
    </xf>
    <xf numFmtId="0" fontId="1" fillId="20" borderId="4" xfId="0" applyFont="1" applyFill="1" applyBorder="1" applyAlignment="1">
      <alignment horizontal="center" vertical="center" wrapText="1"/>
    </xf>
    <xf numFmtId="0" fontId="38" fillId="8" borderId="4" xfId="0" applyFont="1" applyFill="1" applyBorder="1" applyAlignment="1">
      <alignment horizontal="center" vertical="center" wrapText="1"/>
    </xf>
    <xf numFmtId="0" fontId="39" fillId="8" borderId="4" xfId="0" applyFont="1" applyFill="1" applyBorder="1" applyAlignment="1">
      <alignment horizontal="center" vertical="center" wrapText="1"/>
    </xf>
    <xf numFmtId="0" fontId="27" fillId="21" borderId="4" xfId="0" applyFont="1" applyFill="1" applyBorder="1" applyAlignment="1">
      <alignment horizontal="center" vertical="center" wrapText="1"/>
    </xf>
    <xf numFmtId="0" fontId="7" fillId="22" borderId="4" xfId="0" applyFont="1" applyFill="1" applyBorder="1" applyAlignment="1">
      <alignment horizontal="center" vertical="center" wrapText="1"/>
    </xf>
    <xf numFmtId="0" fontId="38" fillId="23" borderId="4" xfId="0" applyFont="1" applyFill="1" applyBorder="1" applyAlignment="1">
      <alignment horizontal="center" vertical="center" wrapText="1"/>
    </xf>
    <xf numFmtId="2" fontId="38" fillId="23" borderId="4" xfId="0" applyNumberFormat="1" applyFont="1" applyFill="1" applyBorder="1" applyAlignment="1">
      <alignment horizontal="center" vertical="center" wrapText="1"/>
    </xf>
    <xf numFmtId="0" fontId="27" fillId="24" borderId="4" xfId="0" applyFont="1" applyFill="1" applyBorder="1" applyAlignment="1">
      <alignment horizontal="center" vertical="center" wrapText="1"/>
    </xf>
    <xf numFmtId="0" fontId="7" fillId="25" borderId="4" xfId="0" applyFont="1" applyFill="1" applyBorder="1" applyAlignment="1">
      <alignment horizontal="center" vertical="center" wrapText="1"/>
    </xf>
    <xf numFmtId="0" fontId="38" fillId="26" borderId="4" xfId="0" applyNumberFormat="1" applyFont="1" applyFill="1" applyBorder="1" applyAlignment="1">
      <alignment horizontal="center" vertical="center" wrapText="1"/>
    </xf>
    <xf numFmtId="0" fontId="27" fillId="27" borderId="4" xfId="0" applyFont="1" applyFill="1" applyBorder="1" applyAlignment="1">
      <alignment horizontal="center" vertical="center" wrapText="1"/>
    </xf>
    <xf numFmtId="0" fontId="1" fillId="28" borderId="4" xfId="0" applyFont="1" applyFill="1" applyBorder="1" applyAlignment="1">
      <alignment horizontal="center" vertical="center" wrapText="1"/>
    </xf>
    <xf numFmtId="0" fontId="38" fillId="29" borderId="4" xfId="0" applyFont="1" applyFill="1" applyBorder="1" applyAlignment="1">
      <alignment horizontal="center" vertical="center" wrapText="1"/>
    </xf>
    <xf numFmtId="0" fontId="27" fillId="30" borderId="4" xfId="0" applyFont="1" applyFill="1" applyBorder="1" applyAlignment="1">
      <alignment horizontal="center" vertical="center" wrapText="1"/>
    </xf>
    <xf numFmtId="0" fontId="1" fillId="31" borderId="4"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2" fillId="33" borderId="19" xfId="0" applyFont="1" applyFill="1" applyBorder="1"/>
    <xf numFmtId="0" fontId="23" fillId="32" borderId="19" xfId="0" applyFont="1" applyFill="1" applyBorder="1"/>
    <xf numFmtId="0" fontId="22" fillId="34" borderId="19" xfId="0" applyFont="1" applyFill="1" applyBorder="1"/>
    <xf numFmtId="0" fontId="22" fillId="35" borderId="19" xfId="0" applyFont="1" applyFill="1" applyBorder="1"/>
    <xf numFmtId="0" fontId="22" fillId="12" borderId="19" xfId="0" applyFont="1" applyFill="1" applyBorder="1"/>
    <xf numFmtId="0" fontId="47" fillId="0" borderId="4" xfId="1" applyFont="1" applyBorder="1" applyAlignment="1" applyProtection="1"/>
    <xf numFmtId="0" fontId="47" fillId="0" borderId="0" xfId="1" applyFont="1" applyAlignment="1" applyProtection="1"/>
    <xf numFmtId="2" fontId="47" fillId="0" borderId="4" xfId="1" applyNumberFormat="1" applyFont="1" applyBorder="1" applyAlignment="1" applyProtection="1"/>
    <xf numFmtId="0" fontId="45" fillId="0" borderId="0" xfId="0" applyFont="1"/>
    <xf numFmtId="0" fontId="45" fillId="0" borderId="4" xfId="0" applyFont="1" applyBorder="1"/>
    <xf numFmtId="0" fontId="13" fillId="5" borderId="0"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15" fillId="36" borderId="4" xfId="0" applyFont="1" applyFill="1" applyBorder="1" applyAlignment="1">
      <alignment horizontal="center" vertical="center"/>
    </xf>
    <xf numFmtId="0" fontId="15" fillId="36" borderId="0" xfId="0" applyFont="1" applyFill="1" applyBorder="1" applyAlignment="1">
      <alignment horizontal="center" vertical="center"/>
    </xf>
    <xf numFmtId="0" fontId="48" fillId="5" borderId="4" xfId="0" applyFont="1" applyFill="1" applyBorder="1" applyAlignment="1">
      <alignment vertical="top" wrapText="1"/>
    </xf>
    <xf numFmtId="0" fontId="26" fillId="0" borderId="0" xfId="0" applyFont="1" applyAlignment="1">
      <alignment horizontal="left" vertical="top" wrapText="1"/>
    </xf>
    <xf numFmtId="0" fontId="25" fillId="0" borderId="0" xfId="0" applyFont="1" applyAlignment="1">
      <alignment horizontal="center" vertical="top"/>
    </xf>
    <xf numFmtId="0" fontId="49" fillId="0" borderId="0" xfId="0" applyFont="1"/>
    <xf numFmtId="0" fontId="50" fillId="0" borderId="0" xfId="0" applyFont="1" applyAlignment="1">
      <alignment horizontal="left" vertical="top" wrapText="1"/>
    </xf>
    <xf numFmtId="0" fontId="50" fillId="0" borderId="0" xfId="0" applyFont="1" applyAlignment="1">
      <alignment horizontal="left" vertical="top"/>
    </xf>
    <xf numFmtId="0" fontId="40" fillId="5" borderId="0" xfId="0" applyFont="1" applyFill="1" applyBorder="1" applyAlignment="1">
      <alignment horizontal="center" vertical="top" wrapText="1"/>
    </xf>
    <xf numFmtId="0" fontId="40" fillId="5" borderId="0" xfId="0" applyFont="1" applyFill="1" applyBorder="1" applyAlignment="1">
      <alignment horizontal="center"/>
    </xf>
    <xf numFmtId="0" fontId="51" fillId="0" borderId="0" xfId="0" applyFont="1"/>
    <xf numFmtId="0" fontId="29" fillId="7" borderId="4" xfId="0" applyFont="1" applyFill="1" applyBorder="1" applyAlignment="1">
      <alignment vertical="top" wrapText="1"/>
    </xf>
    <xf numFmtId="0" fontId="53" fillId="0" borderId="0" xfId="0" applyFont="1" applyAlignment="1">
      <alignment horizontal="left" vertical="center" wrapText="1"/>
    </xf>
    <xf numFmtId="0" fontId="14" fillId="0" borderId="0" xfId="0" applyFont="1"/>
    <xf numFmtId="0" fontId="22" fillId="0" borderId="7" xfId="0" applyFont="1" applyFill="1" applyBorder="1"/>
    <xf numFmtId="0" fontId="22" fillId="0" borderId="9" xfId="0" applyFont="1" applyFill="1" applyBorder="1"/>
    <xf numFmtId="0" fontId="26" fillId="0" borderId="0" xfId="0" applyFont="1" applyAlignment="1">
      <alignment horizontal="left" vertical="center" wrapText="1"/>
    </xf>
    <xf numFmtId="0" fontId="21" fillId="0" borderId="0" xfId="0" applyFont="1"/>
    <xf numFmtId="0" fontId="0" fillId="38" borderId="0" xfId="0" applyFill="1"/>
    <xf numFmtId="0" fontId="53" fillId="38" borderId="0" xfId="0" applyFont="1" applyFill="1" applyAlignment="1">
      <alignment horizontal="left" vertical="center"/>
    </xf>
    <xf numFmtId="0" fontId="0" fillId="38" borderId="0" xfId="0" applyFill="1" applyAlignment="1">
      <alignment wrapText="1"/>
    </xf>
    <xf numFmtId="0" fontId="14" fillId="38" borderId="0" xfId="0" applyFont="1" applyFill="1"/>
    <xf numFmtId="0" fontId="53" fillId="38" borderId="0" xfId="0" applyFont="1" applyFill="1" applyAlignment="1">
      <alignment horizontal="left" vertical="center" wrapText="1"/>
    </xf>
    <xf numFmtId="0" fontId="51" fillId="38" borderId="0" xfId="0" applyFont="1" applyFill="1"/>
    <xf numFmtId="0" fontId="53" fillId="0" borderId="0" xfId="0" applyFont="1" applyAlignment="1">
      <alignment horizontal="left" vertical="center" wrapText="1"/>
    </xf>
    <xf numFmtId="0" fontId="26" fillId="0" borderId="0" xfId="0" applyFont="1" applyAlignment="1">
      <alignment horizontal="left" vertical="center" wrapText="1"/>
    </xf>
    <xf numFmtId="0" fontId="56" fillId="0" borderId="0" xfId="0" applyFont="1" applyAlignment="1">
      <alignment horizontal="left" vertical="top"/>
    </xf>
    <xf numFmtId="0" fontId="60" fillId="38" borderId="0" xfId="0" applyFont="1" applyFill="1"/>
    <xf numFmtId="0" fontId="20" fillId="38" borderId="0" xfId="0" applyFont="1" applyFill="1" applyAlignment="1">
      <alignment horizontal="center" vertical="center" wrapText="1"/>
    </xf>
    <xf numFmtId="0" fontId="29" fillId="38" borderId="0" xfId="0" applyFont="1" applyFill="1" applyBorder="1" applyAlignment="1">
      <alignment vertical="top" wrapText="1"/>
    </xf>
    <xf numFmtId="0" fontId="18" fillId="38" borderId="0" xfId="0" applyFont="1" applyFill="1" applyBorder="1" applyAlignment="1">
      <alignment vertical="top" wrapText="1"/>
    </xf>
    <xf numFmtId="0" fontId="61" fillId="38" borderId="0" xfId="0" applyFont="1" applyFill="1"/>
    <xf numFmtId="0" fontId="29" fillId="38" borderId="0" xfId="0" applyFont="1" applyFill="1" applyBorder="1" applyAlignment="1">
      <alignment horizontal="center" vertical="top" wrapText="1"/>
    </xf>
    <xf numFmtId="0" fontId="40" fillId="6" borderId="0" xfId="0" applyFont="1" applyFill="1" applyBorder="1" applyAlignment="1">
      <alignment horizontal="center" vertical="top" wrapText="1"/>
    </xf>
    <xf numFmtId="0" fontId="40" fillId="6" borderId="0" xfId="0" applyFont="1" applyFill="1" applyBorder="1" applyAlignment="1">
      <alignment horizontal="center"/>
    </xf>
    <xf numFmtId="0" fontId="44" fillId="5" borderId="0" xfId="0" applyFont="1" applyFill="1" applyBorder="1" applyAlignment="1">
      <alignment horizontal="center" vertical="center" wrapText="1"/>
    </xf>
    <xf numFmtId="0" fontId="15" fillId="3" borderId="22" xfId="0" applyFont="1" applyFill="1" applyBorder="1" applyAlignment="1">
      <alignment horizontal="center" vertical="center" wrapText="1"/>
    </xf>
    <xf numFmtId="0" fontId="15" fillId="3" borderId="22" xfId="0" applyFont="1" applyFill="1" applyBorder="1" applyAlignment="1" applyProtection="1">
      <alignment horizontal="center" vertical="center"/>
    </xf>
    <xf numFmtId="0" fontId="15" fillId="3" borderId="22" xfId="0" applyFont="1" applyFill="1" applyBorder="1" applyAlignment="1" applyProtection="1">
      <alignment horizontal="center" vertical="center"/>
      <protection locked="0"/>
    </xf>
    <xf numFmtId="0" fontId="15" fillId="3" borderId="22" xfId="0" applyFont="1" applyFill="1" applyBorder="1" applyAlignment="1" applyProtection="1">
      <alignment horizontal="center" vertical="center" wrapText="1"/>
    </xf>
    <xf numFmtId="0" fontId="15" fillId="7" borderId="22" xfId="0" applyFont="1" applyFill="1" applyBorder="1" applyAlignment="1" applyProtection="1">
      <alignment horizontal="center" vertical="center"/>
      <protection locked="0"/>
    </xf>
    <xf numFmtId="0" fontId="16" fillId="3" borderId="14" xfId="0" applyFont="1" applyFill="1" applyBorder="1" applyAlignment="1">
      <alignment horizontal="left" vertical="center" wrapText="1"/>
    </xf>
    <xf numFmtId="0" fontId="16" fillId="3" borderId="14" xfId="0" applyFont="1" applyFill="1" applyBorder="1" applyAlignment="1">
      <alignment horizontal="left" vertical="top" wrapText="1"/>
    </xf>
    <xf numFmtId="0" fontId="17" fillId="0" borderId="22" xfId="0" applyFont="1" applyFill="1" applyBorder="1" applyAlignment="1">
      <alignment horizontal="center" vertical="center"/>
    </xf>
    <xf numFmtId="0" fontId="15" fillId="0" borderId="22" xfId="0" applyFont="1" applyFill="1" applyBorder="1" applyAlignment="1">
      <alignment vertical="center"/>
    </xf>
    <xf numFmtId="0" fontId="15" fillId="0" borderId="22" xfId="0" applyFont="1" applyFill="1" applyBorder="1" applyAlignment="1">
      <alignment vertical="center" wrapText="1"/>
    </xf>
    <xf numFmtId="0" fontId="62" fillId="0" borderId="0" xfId="0" applyFont="1"/>
    <xf numFmtId="0" fontId="63" fillId="5" borderId="0" xfId="0" applyFont="1" applyFill="1" applyBorder="1" applyAlignment="1">
      <alignment horizontal="center"/>
    </xf>
    <xf numFmtId="0" fontId="64" fillId="2" borderId="23" xfId="0" applyFont="1" applyFill="1" applyBorder="1" applyAlignment="1">
      <alignment horizontal="center" vertical="center"/>
    </xf>
    <xf numFmtId="0" fontId="64" fillId="36" borderId="23" xfId="0" applyFont="1" applyFill="1" applyBorder="1" applyAlignment="1">
      <alignment horizontal="center" vertical="center"/>
    </xf>
    <xf numFmtId="49" fontId="65" fillId="6" borderId="0" xfId="1" applyNumberFormat="1" applyFont="1" applyFill="1" applyBorder="1" applyAlignment="1" applyProtection="1">
      <alignment vertical="top" wrapText="1"/>
    </xf>
    <xf numFmtId="0" fontId="65" fillId="6" borderId="0" xfId="1" applyFont="1" applyFill="1" applyBorder="1" applyAlignment="1" applyProtection="1">
      <alignment vertical="top" wrapText="1"/>
    </xf>
    <xf numFmtId="0" fontId="44" fillId="6" borderId="4" xfId="0" applyFont="1" applyFill="1" applyBorder="1" applyAlignment="1">
      <alignment horizontal="center" vertical="center" wrapText="1"/>
    </xf>
    <xf numFmtId="0" fontId="43" fillId="6" borderId="4" xfId="0" applyFont="1" applyFill="1" applyBorder="1" applyAlignment="1">
      <alignment horizontal="center" vertical="center" wrapText="1"/>
    </xf>
    <xf numFmtId="0" fontId="28" fillId="0" borderId="0" xfId="0" applyFont="1" applyFill="1" applyBorder="1" applyAlignment="1">
      <alignment horizontal="center" vertical="center" wrapText="1"/>
    </xf>
    <xf numFmtId="0" fontId="26" fillId="0" borderId="0" xfId="0" applyFont="1" applyAlignment="1">
      <alignment horizontal="left" vertical="center" wrapText="1"/>
    </xf>
    <xf numFmtId="0" fontId="28" fillId="0" borderId="0" xfId="0" applyFont="1" applyFill="1"/>
    <xf numFmtId="0" fontId="55" fillId="39" borderId="0" xfId="32" applyFill="1" applyAlignment="1">
      <alignment horizontal="left" vertical="center" wrapText="1"/>
    </xf>
    <xf numFmtId="0" fontId="26" fillId="39" borderId="0" xfId="0" applyFont="1" applyFill="1" applyAlignment="1">
      <alignment horizontal="left" vertical="center" wrapText="1"/>
    </xf>
    <xf numFmtId="0" fontId="66" fillId="39" borderId="0" xfId="32" applyFont="1" applyFill="1" applyAlignment="1">
      <alignment vertical="center"/>
    </xf>
    <xf numFmtId="0" fontId="20" fillId="40" borderId="0" xfId="0" applyFont="1" applyFill="1" applyAlignment="1">
      <alignment horizontal="center" vertical="center"/>
    </xf>
    <xf numFmtId="0" fontId="53" fillId="0" borderId="0" xfId="0" applyFont="1" applyAlignment="1">
      <alignment horizontal="left" vertical="center" wrapText="1"/>
    </xf>
    <xf numFmtId="0" fontId="22" fillId="32" borderId="19" xfId="0" applyFont="1" applyFill="1" applyBorder="1"/>
    <xf numFmtId="0" fontId="20" fillId="40" borderId="23" xfId="0" applyFont="1" applyFill="1" applyBorder="1" applyAlignment="1">
      <alignment horizontal="center" vertical="center"/>
    </xf>
    <xf numFmtId="0" fontId="21" fillId="39" borderId="0" xfId="0" applyFont="1" applyFill="1"/>
    <xf numFmtId="0" fontId="61" fillId="39" borderId="0" xfId="0" applyFont="1" applyFill="1" applyAlignment="1">
      <alignment horizontal="center"/>
    </xf>
    <xf numFmtId="0" fontId="52" fillId="41" borderId="4" xfId="0" applyFont="1" applyFill="1" applyBorder="1" applyAlignment="1">
      <alignment horizontal="center" vertical="center" wrapText="1" readingOrder="1"/>
    </xf>
    <xf numFmtId="0" fontId="14" fillId="2" borderId="0" xfId="0" applyFont="1" applyFill="1"/>
    <xf numFmtId="0" fontId="53" fillId="2" borderId="0" xfId="0" applyFont="1" applyFill="1" applyAlignment="1">
      <alignment horizontal="left" vertical="center" wrapText="1"/>
    </xf>
    <xf numFmtId="0" fontId="14" fillId="39" borderId="0" xfId="0" applyFont="1" applyFill="1"/>
    <xf numFmtId="0" fontId="28" fillId="39" borderId="0" xfId="0" applyFont="1" applyFill="1"/>
    <xf numFmtId="0" fontId="26" fillId="42" borderId="0" xfId="0" applyFont="1" applyFill="1" applyAlignment="1">
      <alignment horizontal="left" vertical="top" wrapText="1"/>
    </xf>
    <xf numFmtId="0" fontId="50" fillId="42" borderId="0" xfId="0" applyFont="1" applyFill="1" applyAlignment="1">
      <alignment horizontal="left" vertical="top"/>
    </xf>
    <xf numFmtId="0" fontId="50" fillId="42" borderId="0" xfId="0" applyFont="1" applyFill="1" applyAlignment="1">
      <alignment horizontal="left" vertical="top" wrapText="1"/>
    </xf>
    <xf numFmtId="0" fontId="15" fillId="3" borderId="14" xfId="0" applyFont="1" applyFill="1" applyBorder="1" applyAlignment="1" applyProtection="1">
      <alignment horizontal="left" vertical="center" wrapText="1"/>
    </xf>
    <xf numFmtId="0" fontId="51" fillId="39" borderId="0" xfId="0" applyFont="1" applyFill="1"/>
    <xf numFmtId="0" fontId="28" fillId="39" borderId="0" xfId="0" applyFont="1" applyFill="1" applyAlignment="1">
      <alignment horizontal="center"/>
    </xf>
    <xf numFmtId="0" fontId="0" fillId="4" borderId="0" xfId="0" applyFill="1" applyAlignment="1"/>
    <xf numFmtId="0" fontId="0" fillId="4" borderId="0" xfId="0" applyFill="1" applyAlignment="1">
      <alignment horizontal="center" vertical="center" textRotation="90"/>
    </xf>
    <xf numFmtId="0" fontId="17" fillId="4" borderId="11" xfId="0" applyFont="1" applyFill="1" applyBorder="1" applyAlignment="1">
      <alignment horizontal="center" vertical="center"/>
    </xf>
    <xf numFmtId="0" fontId="17" fillId="4" borderId="0" xfId="0" applyFont="1" applyFill="1" applyBorder="1" applyAlignment="1">
      <alignment horizontal="center" vertical="center"/>
    </xf>
    <xf numFmtId="0" fontId="0" fillId="0" borderId="0" xfId="0" applyAlignment="1">
      <alignment vertical="center"/>
    </xf>
    <xf numFmtId="0" fontId="0" fillId="0" borderId="0" xfId="0" applyAlignment="1">
      <alignment horizontal="left"/>
    </xf>
    <xf numFmtId="0" fontId="0" fillId="0" borderId="0" xfId="0" applyAlignment="1">
      <alignment horizontal="left" vertical="center" wrapText="1"/>
    </xf>
    <xf numFmtId="0" fontId="17" fillId="4" borderId="13" xfId="0" applyFont="1" applyFill="1" applyBorder="1" applyAlignment="1">
      <alignment horizontal="center" vertical="center"/>
    </xf>
    <xf numFmtId="0" fontId="17" fillId="4" borderId="10" xfId="0" applyFont="1" applyFill="1" applyBorder="1" applyAlignment="1">
      <alignment horizontal="center" vertical="center"/>
    </xf>
    <xf numFmtId="0" fontId="17" fillId="4" borderId="12" xfId="0" applyFont="1" applyFill="1" applyBorder="1" applyAlignment="1">
      <alignment horizontal="center" vertical="center"/>
    </xf>
    <xf numFmtId="0" fontId="0" fillId="4" borderId="0" xfId="0" applyFill="1" applyAlignment="1">
      <alignment horizontal="left"/>
    </xf>
    <xf numFmtId="0" fontId="53" fillId="0" borderId="0" xfId="0" applyFont="1" applyAlignment="1">
      <alignment horizontal="left" vertical="center" wrapText="1"/>
    </xf>
    <xf numFmtId="0" fontId="26" fillId="0" borderId="0" xfId="0" applyFont="1" applyAlignment="1">
      <alignment horizontal="left" vertical="center" wrapText="1"/>
    </xf>
    <xf numFmtId="0" fontId="40" fillId="4" borderId="0" xfId="0" applyFont="1" applyFill="1" applyBorder="1" applyAlignment="1">
      <alignment horizontal="left" vertical="center" wrapText="1"/>
    </xf>
    <xf numFmtId="0" fontId="40" fillId="4" borderId="2" xfId="0" applyFont="1" applyFill="1" applyBorder="1" applyAlignment="1">
      <alignment horizontal="left" vertical="center" wrapText="1"/>
    </xf>
    <xf numFmtId="0" fontId="40" fillId="4" borderId="25" xfId="0" applyFont="1" applyFill="1" applyBorder="1" applyAlignment="1">
      <alignment horizontal="left" vertical="center" wrapText="1"/>
    </xf>
    <xf numFmtId="0" fontId="43" fillId="4" borderId="0" xfId="0" applyFont="1" applyFill="1" applyBorder="1" applyAlignment="1">
      <alignment horizontal="center" vertical="center" wrapText="1"/>
    </xf>
    <xf numFmtId="0" fontId="44" fillId="4" borderId="0" xfId="0" applyFont="1" applyFill="1" applyBorder="1" applyAlignment="1">
      <alignment horizontal="center" vertical="center" wrapText="1"/>
    </xf>
    <xf numFmtId="0" fontId="43" fillId="5" borderId="2" xfId="0" applyFont="1" applyFill="1" applyBorder="1" applyAlignment="1">
      <alignment horizontal="center" vertical="center" wrapText="1"/>
    </xf>
    <xf numFmtId="0" fontId="40" fillId="5" borderId="0" xfId="0" applyFont="1" applyFill="1" applyBorder="1" applyAlignment="1">
      <alignment horizontal="left" vertical="center" wrapText="1"/>
    </xf>
    <xf numFmtId="0" fontId="40" fillId="5" borderId="24" xfId="0" applyFont="1" applyFill="1" applyBorder="1" applyAlignment="1">
      <alignment horizontal="left" vertical="center" wrapText="1"/>
    </xf>
    <xf numFmtId="0" fontId="40" fillId="5" borderId="19" xfId="0" applyFont="1" applyFill="1" applyBorder="1" applyAlignment="1">
      <alignment horizontal="left" vertical="center" wrapText="1"/>
    </xf>
    <xf numFmtId="0" fontId="43" fillId="5" borderId="1"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0" xfId="0" applyFont="1" applyFill="1" applyBorder="1" applyAlignment="1">
      <alignment horizontal="center" vertical="center" wrapText="1"/>
    </xf>
    <xf numFmtId="0" fontId="24" fillId="0" borderId="20" xfId="0" applyFont="1" applyBorder="1" applyAlignment="1">
      <alignment horizontal="center"/>
    </xf>
    <xf numFmtId="0" fontId="24" fillId="0" borderId="21" xfId="0" applyFont="1" applyBorder="1" applyAlignment="1">
      <alignment horizontal="center"/>
    </xf>
    <xf numFmtId="0" fontId="24" fillId="0" borderId="17" xfId="0" applyFont="1" applyBorder="1" applyAlignment="1">
      <alignment horizontal="center"/>
    </xf>
    <xf numFmtId="0" fontId="20" fillId="40" borderId="4" xfId="0" applyFont="1" applyFill="1" applyBorder="1" applyAlignment="1">
      <alignment horizontal="left"/>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46" fillId="0" borderId="0" xfId="0" applyFont="1" applyAlignment="1">
      <alignment horizontal="center" vertical="center" wrapText="1"/>
    </xf>
    <xf numFmtId="0" fontId="27" fillId="10" borderId="4"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6" borderId="4" xfId="0" applyFont="1" applyFill="1" applyBorder="1" applyAlignment="1">
      <alignment horizontal="center" vertical="center" wrapText="1"/>
    </xf>
    <xf numFmtId="0" fontId="27" fillId="19" borderId="4" xfId="0" applyFont="1" applyFill="1" applyBorder="1" applyAlignment="1">
      <alignment horizontal="center" vertical="center" wrapText="1"/>
    </xf>
    <xf numFmtId="0" fontId="27" fillId="21" borderId="4" xfId="0" applyFont="1" applyFill="1" applyBorder="1" applyAlignment="1">
      <alignment horizontal="center" vertical="center" wrapText="1"/>
    </xf>
    <xf numFmtId="0" fontId="27" fillId="24" borderId="4" xfId="0" applyFont="1" applyFill="1" applyBorder="1" applyAlignment="1">
      <alignment horizontal="center" vertical="center" wrapText="1"/>
    </xf>
    <xf numFmtId="0" fontId="27" fillId="27" borderId="4" xfId="0" applyFont="1" applyFill="1" applyBorder="1" applyAlignment="1">
      <alignment horizontal="center" vertical="center" wrapText="1"/>
    </xf>
    <xf numFmtId="0" fontId="6" fillId="0" borderId="4" xfId="0" applyFont="1" applyBorder="1" applyAlignment="1">
      <alignment horizontal="left" vertical="top" wrapText="1"/>
    </xf>
    <xf numFmtId="0" fontId="38" fillId="0" borderId="4" xfId="0" applyFont="1" applyBorder="1" applyAlignment="1">
      <alignment horizontal="center" vertical="center" wrapText="1"/>
    </xf>
    <xf numFmtId="0" fontId="38" fillId="29" borderId="4" xfId="0" applyFont="1" applyFill="1" applyBorder="1" applyAlignment="1">
      <alignment horizontal="center" vertical="center" wrapText="1"/>
    </xf>
    <xf numFmtId="0" fontId="27" fillId="30" borderId="14" xfId="0" applyFont="1" applyFill="1" applyBorder="1" applyAlignment="1">
      <alignment horizontal="center" vertical="center" wrapText="1"/>
    </xf>
    <xf numFmtId="0" fontId="27" fillId="30" borderId="22" xfId="0" applyFont="1" applyFill="1" applyBorder="1" applyAlignment="1">
      <alignment horizontal="center" vertical="center" wrapText="1"/>
    </xf>
    <xf numFmtId="0" fontId="27" fillId="30" borderId="23" xfId="0" applyFont="1" applyFill="1" applyBorder="1" applyAlignment="1">
      <alignment horizontal="center" vertical="center" wrapText="1"/>
    </xf>
    <xf numFmtId="0" fontId="20" fillId="40" borderId="10" xfId="0" applyFont="1" applyFill="1" applyBorder="1" applyAlignment="1">
      <alignment horizontal="left"/>
    </xf>
    <xf numFmtId="0" fontId="20" fillId="40" borderId="11" xfId="0" applyFont="1" applyFill="1" applyBorder="1" applyAlignment="1">
      <alignment horizontal="left"/>
    </xf>
    <xf numFmtId="0" fontId="20" fillId="40" borderId="26" xfId="0" applyFont="1" applyFill="1" applyBorder="1" applyAlignment="1">
      <alignment horizontal="center" vertical="center"/>
    </xf>
    <xf numFmtId="0" fontId="21" fillId="39" borderId="0" xfId="0" applyFont="1" applyFill="1" applyAlignment="1">
      <alignment horizontal="center" vertical="center"/>
    </xf>
    <xf numFmtId="0" fontId="20" fillId="40" borderId="14" xfId="0" applyFont="1" applyFill="1" applyBorder="1" applyAlignment="1">
      <alignment horizontal="left"/>
    </xf>
    <xf numFmtId="0" fontId="20" fillId="40" borderId="22" xfId="0" applyFont="1" applyFill="1" applyBorder="1" applyAlignment="1">
      <alignment horizontal="left"/>
    </xf>
  </cellXfs>
  <cellStyles count="102">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Hyperlink" xfId="1" builtinId="8"/>
    <cellStyle name="Neutral" xfId="32" builtinId="28"/>
    <cellStyle name="Normal" xfId="0" builtinId="0"/>
  </cellStyles>
  <dxfs count="421">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auto="1"/>
      </font>
      <fill>
        <patternFill patternType="solid">
          <fgColor indexed="64"/>
          <bgColor rgb="FFFF0000"/>
        </patternFill>
      </fill>
    </dxf>
    <dxf>
      <font>
        <color auto="1"/>
      </font>
      <fill>
        <patternFill patternType="solid">
          <fgColor indexed="64"/>
          <bgColor rgb="FFFFA22B"/>
        </patternFill>
      </fill>
    </dxf>
    <dxf>
      <font>
        <color auto="1"/>
      </font>
      <fill>
        <patternFill patternType="solid">
          <fgColor indexed="64"/>
          <bgColor rgb="FFFFFF00"/>
        </patternFill>
      </fill>
    </dxf>
    <dxf>
      <font>
        <color auto="1"/>
      </font>
      <fill>
        <patternFill patternType="solid">
          <fgColor indexed="64"/>
          <bgColor rgb="FFCDF325"/>
        </patternFill>
      </fill>
    </dxf>
    <dxf>
      <font>
        <u val="none"/>
        <color auto="1"/>
      </font>
      <fill>
        <patternFill patternType="solid">
          <fgColor indexed="64"/>
          <bgColor rgb="FF20B110"/>
        </patternFill>
      </fill>
    </dxf>
    <dxf>
      <font>
        <color rgb="FF9C0006"/>
      </font>
      <fill>
        <patternFill>
          <bgColor rgb="FFFFC7CE"/>
        </patternFill>
      </fill>
    </dxf>
    <dxf>
      <fill>
        <patternFill>
          <bgColor theme="0"/>
        </patternFill>
      </fill>
    </dxf>
    <dxf>
      <font>
        <color auto="1"/>
      </font>
      <fill>
        <patternFill>
          <bgColor rgb="FFFFC000"/>
        </patternFill>
      </fill>
    </dxf>
    <dxf>
      <fill>
        <patternFill>
          <bgColor rgb="FFFF0000"/>
        </patternFill>
      </fill>
    </dxf>
    <dxf>
      <fill>
        <patternFill>
          <bgColor rgb="FFC00000"/>
        </patternFill>
      </fill>
    </dxf>
    <dxf>
      <fill>
        <patternFill>
          <bgColor rgb="FFFFFF00"/>
        </patternFill>
      </fill>
    </dxf>
    <dxf>
      <fill>
        <patternFill>
          <bgColor rgb="FFFFFF66"/>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CED8DA"/>
      <rgbColor rgb="00717C82"/>
      <rgbColor rgb="00F0E5CE"/>
      <rgbColor rgb="00364C55"/>
      <rgbColor rgb="00979A84"/>
      <rgbColor rgb="00C3C6C6"/>
      <rgbColor rgb="00545655"/>
      <rgbColor rgb="00BD9C62"/>
      <rgbColor rgb="00000090"/>
      <rgbColor rgb="00CBC9C5"/>
      <rgbColor rgb="00D5CCC2"/>
      <rgbColor rgb="00D5BD91"/>
      <rgbColor rgb="00F1E9D8"/>
      <rgbColor rgb="008199A1"/>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BFA776"/>
      <rgbColor rgb="00767774"/>
      <rgbColor rgb="005E605E"/>
      <rgbColor rgb="00E2B880"/>
      <rgbColor rgb="0095928E"/>
      <rgbColor rgb="00B5691D"/>
      <rgbColor rgb="00B8B5B0"/>
      <rgbColor rgb="00D19857"/>
      <rgbColor rgb="0097877D"/>
      <rgbColor rgb="006B584E"/>
      <rgbColor rgb="0098A59C"/>
      <rgbColor rgb="00D8D8C8"/>
      <rgbColor rgb="00677C73"/>
      <rgbColor rgb="00858481"/>
      <rgbColor rgb="004A6772"/>
      <rgbColor rgb="00667158"/>
      <rgbColor rgb="00003366"/>
      <rgbColor rgb="00DADFDB"/>
      <rgbColor rgb="00003300"/>
      <rgbColor rgb="00333300"/>
      <rgbColor rgb="00FFFFFE"/>
      <rgbColor rgb="00D5C3A1"/>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externalLink" Target="externalLinks/externalLink1.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 Id="rId1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dr:twoCellAnchor>
    <xdr:from>
      <xdr:col>91</xdr:col>
      <xdr:colOff>1095375</xdr:colOff>
      <xdr:row>1</xdr:row>
      <xdr:rowOff>104775</xdr:rowOff>
    </xdr:from>
    <xdr:to>
      <xdr:col>91</xdr:col>
      <xdr:colOff>1390650</xdr:colOff>
      <xdr:row>1</xdr:row>
      <xdr:rowOff>104776</xdr:rowOff>
    </xdr:to>
    <xdr:cxnSp macro="">
      <xdr:nvCxnSpPr>
        <xdr:cNvPr id="2" name="Straight Arrow Connector 1"/>
        <xdr:cNvCxnSpPr/>
      </xdr:nvCxnSpPr>
      <xdr:spPr>
        <a:xfrm flipV="1">
          <a:off x="18383250" y="295275"/>
          <a:ext cx="0" cy="1"/>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qjjoy/Documents/JKTech%20OMAT/Komatsu%20OMAT/Komatsu%20OMAT%20Course/OMAT%20CTI%20Proces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MAT Process Map"/>
      <sheetName val="Graphic Process Map"/>
      <sheetName val="Facilitation Materials"/>
      <sheetName val="Task List"/>
      <sheetName val="1. Critical Task Identification"/>
      <sheetName val="2. Task Flow Chart"/>
      <sheetName val="3. Risk Identification"/>
      <sheetName val="4. Solution Options"/>
      <sheetName val="5. Feedback &amp; Action Plan"/>
      <sheetName val="6. Equipment Risk Register"/>
      <sheetName val="Appendix 1 - Names"/>
      <sheetName val="Equipment &amp; Task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D3">
            <v>1</v>
          </cell>
          <cell r="E3">
            <v>2</v>
          </cell>
          <cell r="F3">
            <v>3</v>
          </cell>
          <cell r="G3">
            <v>4</v>
          </cell>
          <cell r="H3">
            <v>5</v>
          </cell>
        </row>
        <row r="4">
          <cell r="C4">
            <v>1</v>
          </cell>
          <cell r="D4">
            <v>1</v>
          </cell>
          <cell r="E4">
            <v>5</v>
          </cell>
          <cell r="F4">
            <v>25</v>
          </cell>
          <cell r="G4">
            <v>75</v>
          </cell>
          <cell r="H4">
            <v>100</v>
          </cell>
        </row>
        <row r="5">
          <cell r="C5">
            <v>2</v>
          </cell>
          <cell r="D5">
            <v>2</v>
          </cell>
          <cell r="E5">
            <v>10</v>
          </cell>
          <cell r="F5">
            <v>50</v>
          </cell>
          <cell r="G5">
            <v>150</v>
          </cell>
          <cell r="H5">
            <v>200</v>
          </cell>
        </row>
        <row r="6">
          <cell r="C6">
            <v>3</v>
          </cell>
          <cell r="D6">
            <v>3</v>
          </cell>
          <cell r="E6">
            <v>15</v>
          </cell>
          <cell r="F6">
            <v>75</v>
          </cell>
          <cell r="G6">
            <v>225</v>
          </cell>
          <cell r="H6">
            <v>300</v>
          </cell>
        </row>
        <row r="7">
          <cell r="C7">
            <v>4</v>
          </cell>
          <cell r="D7">
            <v>4</v>
          </cell>
          <cell r="E7">
            <v>20</v>
          </cell>
          <cell r="F7">
            <v>100</v>
          </cell>
          <cell r="G7">
            <v>300</v>
          </cell>
          <cell r="H7">
            <v>400</v>
          </cell>
        </row>
        <row r="8">
          <cell r="C8">
            <v>5</v>
          </cell>
          <cell r="D8">
            <v>5</v>
          </cell>
          <cell r="E8">
            <v>25</v>
          </cell>
          <cell r="F8">
            <v>125</v>
          </cell>
          <cell r="G8">
            <v>375</v>
          </cell>
          <cell r="H8">
            <v>500</v>
          </cell>
        </row>
        <row r="9">
          <cell r="C9">
            <v>6</v>
          </cell>
          <cell r="D9">
            <v>6</v>
          </cell>
          <cell r="E9">
            <v>30</v>
          </cell>
          <cell r="F9">
            <v>150</v>
          </cell>
          <cell r="G9">
            <v>450</v>
          </cell>
          <cell r="H9">
            <v>600</v>
          </cell>
        </row>
        <row r="10">
          <cell r="C10">
            <v>7</v>
          </cell>
          <cell r="D10">
            <v>7</v>
          </cell>
          <cell r="E10">
            <v>35</v>
          </cell>
          <cell r="F10">
            <v>175</v>
          </cell>
          <cell r="G10">
            <v>525</v>
          </cell>
          <cell r="H10">
            <v>700</v>
          </cell>
        </row>
      </sheetData>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71"/>
  <sheetViews>
    <sheetView tabSelected="1" workbookViewId="0">
      <selection activeCell="U22" sqref="U22"/>
    </sheetView>
  </sheetViews>
  <sheetFormatPr baseColWidth="10" defaultRowHeight="14" x14ac:dyDescent="0"/>
  <cols>
    <col min="2" max="3" width="15.1640625" customWidth="1"/>
  </cols>
  <sheetData>
    <row r="2" spans="2:15" ht="66" customHeight="1">
      <c r="B2" s="128"/>
      <c r="C2" s="129" t="s">
        <v>205</v>
      </c>
      <c r="D2" s="130"/>
      <c r="E2" s="130"/>
      <c r="F2" s="130"/>
      <c r="G2" s="130"/>
      <c r="H2" s="130"/>
      <c r="I2" s="130"/>
      <c r="J2" s="130"/>
      <c r="K2" s="130"/>
      <c r="L2" s="130"/>
      <c r="M2" s="130"/>
      <c r="N2" s="130"/>
      <c r="O2" s="128"/>
    </row>
    <row r="3" spans="2:15" ht="18" customHeight="1">
      <c r="B3" s="131" t="s">
        <v>198</v>
      </c>
      <c r="C3" s="129"/>
      <c r="D3" s="130"/>
      <c r="E3" s="130"/>
      <c r="F3" s="130"/>
      <c r="G3" s="130"/>
      <c r="H3" s="130"/>
      <c r="I3" s="130"/>
      <c r="J3" s="130"/>
      <c r="K3" s="130"/>
      <c r="L3" s="130"/>
      <c r="M3" s="130"/>
      <c r="N3" s="130"/>
      <c r="O3" s="128"/>
    </row>
    <row r="4" spans="2:15" ht="18" customHeight="1">
      <c r="B4" s="128"/>
      <c r="C4" s="132"/>
      <c r="D4" s="128"/>
      <c r="E4" s="128"/>
      <c r="F4" s="128"/>
      <c r="G4" s="128"/>
      <c r="H4" s="128"/>
      <c r="I4" s="128"/>
      <c r="J4" s="128"/>
      <c r="K4" s="128"/>
      <c r="L4" s="128"/>
      <c r="M4" s="128"/>
      <c r="N4" s="128"/>
      <c r="O4" s="128"/>
    </row>
    <row r="5" spans="2:15" ht="18" customHeight="1">
      <c r="B5" s="131" t="s">
        <v>251</v>
      </c>
      <c r="C5" s="132"/>
      <c r="D5" s="128"/>
      <c r="E5" s="128"/>
      <c r="F5" s="128"/>
      <c r="G5" s="128"/>
      <c r="H5" s="128"/>
      <c r="I5" s="128"/>
      <c r="J5" s="128"/>
      <c r="K5" s="128"/>
      <c r="L5" s="128"/>
      <c r="M5" s="128"/>
      <c r="N5" s="128"/>
      <c r="O5" s="128"/>
    </row>
    <row r="6" spans="2:15" ht="18" customHeight="1">
      <c r="B6" s="128"/>
      <c r="C6" s="128"/>
      <c r="D6" s="128"/>
      <c r="E6" s="128"/>
      <c r="F6" s="128"/>
      <c r="G6" s="128"/>
      <c r="H6" s="128"/>
      <c r="I6" s="128"/>
      <c r="J6" s="128"/>
      <c r="K6" s="128"/>
      <c r="L6" s="128"/>
      <c r="M6" s="128"/>
      <c r="N6" s="128"/>
      <c r="O6" s="128"/>
    </row>
    <row r="7" spans="2:15" ht="18" customHeight="1">
      <c r="B7" s="131" t="s">
        <v>204</v>
      </c>
      <c r="C7" s="128"/>
      <c r="D7" s="128"/>
      <c r="E7" s="128"/>
      <c r="F7" s="128"/>
      <c r="G7" s="128"/>
      <c r="H7" s="128"/>
      <c r="I7" s="128"/>
      <c r="J7" s="128"/>
      <c r="K7" s="128"/>
      <c r="L7" s="128"/>
      <c r="M7" s="128"/>
      <c r="N7" s="128"/>
      <c r="O7" s="128"/>
    </row>
    <row r="8" spans="2:15" ht="18" customHeight="1">
      <c r="B8" s="128" t="s">
        <v>265</v>
      </c>
      <c r="C8" s="128" t="s">
        <v>266</v>
      </c>
      <c r="D8" s="128" t="s">
        <v>269</v>
      </c>
      <c r="E8" s="128" t="s">
        <v>267</v>
      </c>
      <c r="F8" s="128"/>
      <c r="G8" s="128" t="s">
        <v>268</v>
      </c>
      <c r="H8" s="128"/>
      <c r="I8" s="128" t="s">
        <v>270</v>
      </c>
      <c r="J8" s="128"/>
      <c r="K8" s="128"/>
      <c r="L8" s="128"/>
      <c r="M8" s="128"/>
      <c r="N8" s="128"/>
      <c r="O8" s="128"/>
    </row>
    <row r="9" spans="2:15" ht="18" customHeight="1">
      <c r="B9" s="128"/>
      <c r="C9" s="128"/>
      <c r="D9" s="128"/>
      <c r="E9" s="128"/>
      <c r="F9" s="128"/>
      <c r="G9" s="128"/>
      <c r="H9" s="128"/>
      <c r="I9" s="128"/>
      <c r="J9" s="128"/>
      <c r="K9" s="128"/>
      <c r="L9" s="128"/>
      <c r="M9" s="128"/>
      <c r="N9" s="128"/>
      <c r="O9" s="128"/>
    </row>
    <row r="10" spans="2:15" ht="18" customHeight="1">
      <c r="B10" s="128"/>
      <c r="C10" s="128"/>
      <c r="D10" s="128"/>
      <c r="E10" s="128"/>
      <c r="F10" s="128"/>
      <c r="G10" s="128"/>
      <c r="H10" s="128"/>
      <c r="I10" s="128"/>
      <c r="J10" s="128"/>
      <c r="K10" s="128"/>
      <c r="L10" s="128"/>
      <c r="M10" s="128"/>
      <c r="N10" s="128"/>
      <c r="O10" s="128"/>
    </row>
    <row r="11" spans="2:15" ht="18" customHeight="1">
      <c r="B11" s="128"/>
      <c r="C11" s="128"/>
      <c r="D11" s="128"/>
      <c r="E11" s="128"/>
      <c r="F11" s="128"/>
      <c r="G11" s="128"/>
      <c r="H11" s="128"/>
      <c r="I11" s="128"/>
      <c r="J11" s="128"/>
      <c r="K11" s="128"/>
      <c r="L11" s="128"/>
      <c r="M11" s="128"/>
      <c r="N11" s="128"/>
      <c r="O11" s="128"/>
    </row>
    <row r="12" spans="2:15" ht="18" customHeight="1">
      <c r="B12" s="133"/>
      <c r="C12" s="128"/>
      <c r="D12" s="128"/>
      <c r="E12" s="128"/>
      <c r="F12" s="128"/>
      <c r="G12" s="128"/>
      <c r="H12" s="128"/>
      <c r="I12" s="128"/>
      <c r="J12" s="128"/>
      <c r="K12" s="128"/>
      <c r="L12" s="128"/>
      <c r="M12" s="128"/>
      <c r="N12" s="128"/>
      <c r="O12" s="128"/>
    </row>
    <row r="13" spans="2:15" ht="18" customHeight="1">
      <c r="B13" s="133"/>
      <c r="C13" s="128"/>
      <c r="D13" s="128"/>
      <c r="E13" s="128"/>
      <c r="F13" s="128"/>
      <c r="G13" s="128"/>
      <c r="H13" s="128"/>
      <c r="I13" s="128"/>
      <c r="J13" s="128"/>
      <c r="K13" s="128"/>
      <c r="L13" s="128"/>
      <c r="M13" s="128"/>
      <c r="N13" s="128"/>
      <c r="O13" s="128"/>
    </row>
    <row r="14" spans="2:15" ht="18" customHeight="1">
      <c r="B14" s="133"/>
      <c r="C14" s="128"/>
      <c r="D14" s="128"/>
      <c r="E14" s="128"/>
      <c r="F14" s="128"/>
      <c r="G14" s="128"/>
      <c r="H14" s="128"/>
      <c r="I14" s="128"/>
      <c r="J14" s="128"/>
      <c r="K14" s="128"/>
      <c r="L14" s="128"/>
      <c r="M14" s="128"/>
      <c r="N14" s="128"/>
      <c r="O14" s="128"/>
    </row>
    <row r="15" spans="2:15" ht="18" customHeight="1">
      <c r="B15" s="133"/>
      <c r="C15" s="128"/>
      <c r="D15" s="128"/>
      <c r="E15" s="128"/>
      <c r="F15" s="128"/>
      <c r="G15" s="128"/>
      <c r="H15" s="128"/>
      <c r="I15" s="128"/>
      <c r="J15" s="128"/>
      <c r="K15" s="128"/>
      <c r="L15" s="128"/>
      <c r="M15" s="128"/>
      <c r="N15" s="128"/>
      <c r="O15" s="128"/>
    </row>
    <row r="16" spans="2:15" ht="18" customHeight="1">
      <c r="B16" s="128"/>
      <c r="C16" s="128"/>
      <c r="D16" s="128"/>
      <c r="E16" s="128"/>
      <c r="F16" s="128"/>
      <c r="G16" s="128"/>
      <c r="H16" s="128"/>
      <c r="I16" s="128"/>
      <c r="J16" s="128"/>
      <c r="K16" s="128"/>
      <c r="L16" s="128"/>
      <c r="M16" s="128"/>
      <c r="N16" s="128"/>
      <c r="O16" s="128"/>
    </row>
    <row r="17" spans="2:15" ht="18" customHeight="1">
      <c r="B17" s="128"/>
      <c r="C17" s="128"/>
      <c r="D17" s="128"/>
      <c r="E17" s="128"/>
      <c r="F17" s="128"/>
      <c r="G17" s="128"/>
      <c r="H17" s="128"/>
      <c r="I17" s="128"/>
      <c r="J17" s="128"/>
      <c r="K17" s="128"/>
      <c r="L17" s="128"/>
      <c r="M17" s="128"/>
      <c r="N17" s="128"/>
      <c r="O17" s="128"/>
    </row>
    <row r="18" spans="2:15" ht="18" customHeight="1">
      <c r="B18" s="131"/>
      <c r="C18" s="128"/>
      <c r="D18" s="128"/>
      <c r="E18" s="128"/>
      <c r="F18" s="128"/>
      <c r="G18" s="128"/>
      <c r="H18" s="128"/>
      <c r="I18" s="128"/>
      <c r="J18" s="128"/>
      <c r="K18" s="128"/>
      <c r="L18" s="128"/>
      <c r="M18" s="128"/>
      <c r="N18" s="128"/>
      <c r="O18" s="128"/>
    </row>
    <row r="19" spans="2:15" ht="18" customHeight="1">
      <c r="B19" s="131"/>
      <c r="C19" s="128"/>
      <c r="D19" s="128"/>
      <c r="E19" s="128"/>
      <c r="F19" s="128"/>
      <c r="G19" s="128"/>
      <c r="H19" s="128"/>
      <c r="I19" s="128"/>
      <c r="J19" s="128"/>
      <c r="K19" s="128"/>
      <c r="L19" s="128"/>
      <c r="M19" s="128"/>
      <c r="N19" s="128"/>
      <c r="O19" s="128"/>
    </row>
    <row r="20" spans="2:15" ht="18" customHeight="1">
      <c r="B20" s="131"/>
      <c r="C20" s="128"/>
      <c r="D20" s="128"/>
      <c r="E20" s="128"/>
      <c r="F20" s="128"/>
      <c r="G20" s="128"/>
      <c r="H20" s="128"/>
      <c r="I20" s="128"/>
      <c r="J20" s="128"/>
      <c r="K20" s="128"/>
      <c r="L20" s="128"/>
      <c r="M20" s="128"/>
      <c r="N20" s="128"/>
      <c r="O20" s="128"/>
    </row>
    <row r="21" spans="2:15" ht="18" customHeight="1">
      <c r="B21" s="131"/>
      <c r="C21" s="128"/>
      <c r="D21" s="128"/>
      <c r="E21" s="128"/>
      <c r="F21" s="128"/>
      <c r="G21" s="128"/>
      <c r="H21" s="128"/>
      <c r="I21" s="128"/>
      <c r="J21" s="128"/>
      <c r="K21" s="128"/>
      <c r="L21" s="128"/>
      <c r="M21" s="128"/>
      <c r="N21" s="128"/>
      <c r="O21" s="128"/>
    </row>
    <row r="22" spans="2:15" ht="18" customHeight="1">
      <c r="B22" s="131"/>
      <c r="C22" s="128"/>
      <c r="D22" s="128"/>
      <c r="E22" s="128"/>
      <c r="F22" s="128"/>
      <c r="G22" s="128"/>
      <c r="H22" s="128"/>
      <c r="I22" s="128"/>
      <c r="J22" s="128"/>
      <c r="K22" s="128"/>
      <c r="L22" s="128"/>
      <c r="M22" s="128"/>
      <c r="N22" s="128"/>
      <c r="O22" s="128"/>
    </row>
    <row r="23" spans="2:15" ht="18" customHeight="1">
      <c r="B23" s="131"/>
      <c r="C23" s="128"/>
      <c r="D23" s="128"/>
      <c r="E23" s="128"/>
      <c r="F23" s="128"/>
      <c r="G23" s="128"/>
      <c r="H23" s="128"/>
      <c r="I23" s="128"/>
      <c r="J23" s="128"/>
      <c r="K23" s="128"/>
      <c r="L23" s="128"/>
      <c r="M23" s="128"/>
      <c r="N23" s="128"/>
      <c r="O23" s="128"/>
    </row>
    <row r="24" spans="2:15" ht="18" customHeight="1">
      <c r="B24" s="131"/>
      <c r="C24" s="128"/>
      <c r="D24" s="128"/>
      <c r="E24" s="128"/>
      <c r="F24" s="128"/>
      <c r="G24" s="128"/>
      <c r="H24" s="128"/>
      <c r="I24" s="128"/>
      <c r="J24" s="128"/>
      <c r="K24" s="128"/>
      <c r="L24" s="128"/>
      <c r="M24" s="128"/>
      <c r="N24" s="128"/>
      <c r="O24" s="128"/>
    </row>
    <row r="25" spans="2:15" ht="18" customHeight="1">
      <c r="B25" s="131"/>
      <c r="C25" s="128"/>
      <c r="D25" s="128"/>
      <c r="E25" s="128"/>
      <c r="F25" s="128"/>
      <c r="G25" s="128"/>
      <c r="H25" s="128"/>
      <c r="I25" s="128"/>
      <c r="J25" s="128"/>
      <c r="K25" s="128"/>
      <c r="L25" s="128"/>
      <c r="M25" s="128"/>
      <c r="N25" s="128"/>
      <c r="O25" s="128"/>
    </row>
    <row r="26" spans="2:15" ht="18" customHeight="1">
      <c r="B26" s="131"/>
      <c r="C26" s="128"/>
      <c r="D26" s="128"/>
      <c r="E26" s="128"/>
      <c r="F26" s="128"/>
      <c r="G26" s="128"/>
      <c r="H26" s="128"/>
      <c r="I26" s="128"/>
      <c r="J26" s="128"/>
      <c r="K26" s="128"/>
      <c r="L26" s="128"/>
      <c r="M26" s="128"/>
      <c r="N26" s="128"/>
      <c r="O26" s="128"/>
    </row>
    <row r="27" spans="2:15" ht="18" customHeight="1">
      <c r="B27" s="131"/>
      <c r="C27" s="128"/>
      <c r="D27" s="128"/>
      <c r="E27" s="128"/>
      <c r="F27" s="128"/>
      <c r="G27" s="128"/>
      <c r="H27" s="128"/>
      <c r="I27" s="128"/>
      <c r="J27" s="128"/>
      <c r="K27" s="128"/>
      <c r="L27" s="128"/>
      <c r="M27" s="128"/>
      <c r="N27" s="128"/>
      <c r="O27" s="128"/>
    </row>
    <row r="28" spans="2:15" ht="18" customHeight="1">
      <c r="B28" s="131"/>
      <c r="C28" s="128"/>
      <c r="D28" s="128"/>
      <c r="E28" s="128"/>
      <c r="F28" s="128"/>
      <c r="G28" s="128"/>
      <c r="H28" s="128"/>
      <c r="I28" s="128"/>
      <c r="J28" s="128"/>
      <c r="K28" s="128"/>
      <c r="L28" s="128"/>
      <c r="M28" s="128"/>
      <c r="N28" s="128"/>
      <c r="O28" s="128"/>
    </row>
    <row r="29" spans="2:15" ht="18" customHeight="1">
      <c r="B29" s="131"/>
      <c r="C29" s="128"/>
      <c r="D29" s="128"/>
      <c r="E29" s="128"/>
      <c r="F29" s="128"/>
      <c r="G29" s="128"/>
      <c r="H29" s="128"/>
      <c r="I29" s="128"/>
      <c r="J29" s="128"/>
      <c r="K29" s="128"/>
      <c r="L29" s="128"/>
      <c r="M29" s="128"/>
      <c r="N29" s="128"/>
      <c r="O29" s="128"/>
    </row>
    <row r="30" spans="2:15" ht="18" customHeight="1">
      <c r="B30" s="131"/>
      <c r="C30" s="128"/>
      <c r="D30" s="128"/>
      <c r="E30" s="128"/>
      <c r="F30" s="128"/>
      <c r="G30" s="128"/>
      <c r="H30" s="128"/>
      <c r="I30" s="128"/>
      <c r="J30" s="128"/>
      <c r="K30" s="128"/>
      <c r="L30" s="128"/>
      <c r="M30" s="128"/>
      <c r="N30" s="128"/>
      <c r="O30" s="128"/>
    </row>
    <row r="31" spans="2:15" ht="18" customHeight="1">
      <c r="B31" s="131"/>
      <c r="C31" s="128"/>
      <c r="D31" s="128"/>
      <c r="E31" s="128"/>
      <c r="F31" s="128"/>
      <c r="G31" s="128"/>
      <c r="H31" s="128"/>
      <c r="I31" s="128"/>
      <c r="J31" s="128"/>
      <c r="K31" s="128"/>
      <c r="L31" s="128"/>
      <c r="M31" s="128"/>
      <c r="N31" s="128"/>
      <c r="O31" s="128"/>
    </row>
    <row r="32" spans="2:15" ht="18" customHeight="1">
      <c r="B32" s="131"/>
      <c r="C32" s="128"/>
      <c r="D32" s="128"/>
      <c r="E32" s="128"/>
      <c r="F32" s="128"/>
      <c r="G32" s="128"/>
      <c r="H32" s="128"/>
      <c r="I32" s="128"/>
      <c r="J32" s="128"/>
      <c r="K32" s="128"/>
      <c r="L32" s="128"/>
      <c r="M32" s="128"/>
      <c r="N32" s="128"/>
      <c r="O32" s="128"/>
    </row>
    <row r="33" spans="2:15" ht="18" customHeight="1">
      <c r="B33" s="131"/>
      <c r="C33" s="128"/>
      <c r="D33" s="128"/>
      <c r="E33" s="128"/>
      <c r="F33" s="128"/>
      <c r="G33" s="128"/>
      <c r="H33" s="128"/>
      <c r="I33" s="128"/>
      <c r="J33" s="128"/>
      <c r="K33" s="128"/>
      <c r="L33" s="128"/>
      <c r="M33" s="128"/>
      <c r="N33" s="128"/>
      <c r="O33" s="128"/>
    </row>
    <row r="34" spans="2:15" ht="18" customHeight="1">
      <c r="B34" s="131"/>
      <c r="C34" s="128"/>
      <c r="D34" s="128"/>
      <c r="E34" s="128"/>
      <c r="F34" s="128"/>
      <c r="G34" s="128"/>
      <c r="H34" s="128"/>
      <c r="I34" s="128"/>
      <c r="J34" s="128"/>
      <c r="K34" s="128"/>
      <c r="L34" s="128"/>
      <c r="M34" s="128"/>
      <c r="N34" s="128"/>
      <c r="O34" s="128"/>
    </row>
    <row r="35" spans="2:15" ht="18" customHeight="1">
      <c r="B35" s="131"/>
      <c r="C35" s="128"/>
      <c r="D35" s="128"/>
      <c r="E35" s="128"/>
      <c r="F35" s="128"/>
      <c r="G35" s="128"/>
      <c r="H35" s="128"/>
      <c r="I35" s="128"/>
      <c r="J35" s="128"/>
      <c r="K35" s="128"/>
      <c r="L35" s="128"/>
      <c r="M35" s="128"/>
      <c r="N35" s="128"/>
      <c r="O35" s="128"/>
    </row>
    <row r="36" spans="2:15" ht="18" customHeight="1">
      <c r="B36" s="131"/>
      <c r="C36" s="128"/>
      <c r="D36" s="128"/>
      <c r="E36" s="128"/>
      <c r="F36" s="128"/>
      <c r="G36" s="128"/>
      <c r="H36" s="128"/>
      <c r="I36" s="128"/>
      <c r="J36" s="128"/>
      <c r="K36" s="128"/>
      <c r="L36" s="128"/>
      <c r="M36" s="128"/>
      <c r="N36" s="128"/>
      <c r="O36" s="128"/>
    </row>
    <row r="37" spans="2:15" ht="18" customHeight="1">
      <c r="B37" s="131"/>
      <c r="C37" s="128"/>
      <c r="D37" s="128"/>
      <c r="E37" s="128"/>
      <c r="F37" s="128"/>
      <c r="G37" s="128"/>
      <c r="H37" s="128"/>
      <c r="I37" s="128"/>
      <c r="J37" s="128"/>
      <c r="K37" s="128"/>
      <c r="L37" s="128"/>
      <c r="M37" s="128"/>
      <c r="N37" s="128"/>
      <c r="O37" s="128"/>
    </row>
    <row r="38" spans="2:15" ht="18" customHeight="1">
      <c r="B38" s="128"/>
      <c r="C38" s="128"/>
      <c r="D38" s="128"/>
      <c r="E38" s="128"/>
      <c r="F38" s="128"/>
      <c r="G38" s="128"/>
      <c r="H38" s="128"/>
      <c r="I38" s="128"/>
      <c r="J38" s="128"/>
      <c r="K38" s="128"/>
      <c r="L38" s="128"/>
      <c r="M38" s="128"/>
      <c r="N38" s="128"/>
      <c r="O38" s="128"/>
    </row>
    <row r="39" spans="2:15" ht="18" customHeight="1">
      <c r="B39" s="131"/>
      <c r="C39" s="128"/>
      <c r="D39" s="128"/>
      <c r="E39" s="128"/>
      <c r="F39" s="128"/>
      <c r="G39" s="128"/>
      <c r="H39" s="128"/>
      <c r="I39" s="128"/>
      <c r="J39" s="128"/>
      <c r="K39" s="128"/>
      <c r="L39" s="128"/>
      <c r="M39" s="128"/>
      <c r="N39" s="128"/>
      <c r="O39" s="128"/>
    </row>
    <row r="40" spans="2:15" ht="18" customHeight="1">
      <c r="B40" s="128"/>
      <c r="C40" s="128"/>
      <c r="D40" s="128"/>
      <c r="E40" s="128"/>
      <c r="F40" s="128"/>
      <c r="G40" s="128"/>
      <c r="H40" s="128"/>
      <c r="I40" s="128"/>
      <c r="J40" s="128"/>
      <c r="K40" s="128"/>
      <c r="L40" s="128"/>
      <c r="M40" s="128"/>
      <c r="N40" s="128"/>
      <c r="O40" s="128"/>
    </row>
    <row r="41" spans="2:15" ht="18" customHeight="1">
      <c r="B41" s="128"/>
      <c r="C41" s="128"/>
      <c r="D41" s="128"/>
      <c r="E41" s="128"/>
      <c r="F41" s="128"/>
      <c r="G41" s="128"/>
      <c r="H41" s="128"/>
      <c r="I41" s="128"/>
      <c r="J41" s="128"/>
      <c r="K41" s="128"/>
      <c r="L41" s="128"/>
      <c r="M41" s="128"/>
      <c r="N41" s="128"/>
      <c r="O41" s="128"/>
    </row>
    <row r="42" spans="2:15" ht="18" customHeight="1">
      <c r="B42" s="128"/>
      <c r="C42" s="128"/>
      <c r="D42" s="128"/>
      <c r="E42" s="128"/>
      <c r="F42" s="128"/>
      <c r="G42" s="128"/>
      <c r="H42" s="128"/>
      <c r="I42" s="128"/>
      <c r="J42" s="128"/>
      <c r="K42" s="128"/>
      <c r="L42" s="128"/>
      <c r="M42" s="128"/>
      <c r="N42" s="128"/>
      <c r="O42" s="128"/>
    </row>
    <row r="43" spans="2:15" ht="18" customHeight="1">
      <c r="B43" s="128"/>
      <c r="C43" s="128"/>
      <c r="D43" s="128"/>
      <c r="E43" s="128"/>
      <c r="F43" s="128"/>
      <c r="G43" s="128"/>
      <c r="H43" s="128"/>
      <c r="I43" s="128"/>
      <c r="J43" s="128"/>
      <c r="K43" s="128"/>
      <c r="L43" s="128"/>
      <c r="M43" s="128"/>
      <c r="N43" s="128"/>
      <c r="O43" s="128"/>
    </row>
    <row r="44" spans="2:15" ht="18" customHeight="1">
      <c r="B44" s="128"/>
      <c r="C44" s="128"/>
      <c r="D44" s="128"/>
      <c r="E44" s="128"/>
      <c r="F44" s="128"/>
      <c r="G44" s="128"/>
      <c r="H44" s="128"/>
      <c r="I44" s="128"/>
      <c r="J44" s="128"/>
      <c r="K44" s="128"/>
      <c r="L44" s="128"/>
      <c r="M44" s="128"/>
      <c r="N44" s="128"/>
      <c r="O44" s="128"/>
    </row>
    <row r="45" spans="2:15" ht="18" customHeight="1">
      <c r="B45" s="131" t="s">
        <v>213</v>
      </c>
      <c r="C45" s="128"/>
      <c r="D45" s="128"/>
      <c r="E45" s="128"/>
      <c r="F45" s="128"/>
      <c r="G45" s="128"/>
      <c r="H45" s="128"/>
      <c r="I45" s="128"/>
      <c r="J45" s="128"/>
      <c r="K45" s="128"/>
      <c r="L45" s="128"/>
      <c r="M45" s="128"/>
      <c r="N45" s="128"/>
      <c r="O45" s="128"/>
    </row>
    <row r="46" spans="2:15" ht="18" customHeight="1">
      <c r="B46" s="128"/>
      <c r="C46" s="128"/>
      <c r="D46" s="128"/>
      <c r="E46" s="128"/>
      <c r="F46" s="128"/>
      <c r="G46" s="128"/>
      <c r="H46" s="128"/>
      <c r="I46" s="128"/>
      <c r="J46" s="128"/>
      <c r="K46" s="128"/>
      <c r="L46" s="128"/>
      <c r="M46" s="128"/>
      <c r="N46" s="128"/>
      <c r="O46" s="128"/>
    </row>
    <row r="47" spans="2:15" ht="18" customHeight="1">
      <c r="B47" s="128"/>
      <c r="C47" s="128"/>
      <c r="D47" s="128"/>
      <c r="E47" s="128"/>
      <c r="F47" s="128"/>
      <c r="G47" s="128"/>
      <c r="H47" s="128"/>
      <c r="I47" s="128"/>
      <c r="J47" s="128"/>
      <c r="K47" s="128"/>
      <c r="L47" s="128"/>
      <c r="M47" s="128"/>
      <c r="N47" s="128"/>
      <c r="O47" s="128"/>
    </row>
    <row r="48" spans="2:15" ht="18" customHeight="1">
      <c r="B48" s="128"/>
      <c r="C48" s="128"/>
      <c r="D48" s="128"/>
      <c r="E48" s="128"/>
      <c r="F48" s="128"/>
      <c r="G48" s="128"/>
      <c r="H48" s="128"/>
      <c r="I48" s="128"/>
      <c r="J48" s="128"/>
      <c r="K48" s="128"/>
      <c r="L48" s="128"/>
      <c r="M48" s="128"/>
      <c r="N48" s="128"/>
      <c r="O48" s="128"/>
    </row>
    <row r="49" spans="2:15" ht="18" customHeight="1">
      <c r="B49" s="128"/>
      <c r="C49" s="128"/>
      <c r="D49" s="128"/>
      <c r="E49" s="128"/>
      <c r="F49" s="128"/>
      <c r="G49" s="128"/>
      <c r="H49" s="128"/>
      <c r="I49" s="128"/>
      <c r="J49" s="128"/>
      <c r="K49" s="128"/>
      <c r="L49" s="128"/>
      <c r="M49" s="128"/>
      <c r="N49" s="128"/>
      <c r="O49" s="128"/>
    </row>
    <row r="50" spans="2:15" ht="18" customHeight="1">
      <c r="B50" s="131" t="s">
        <v>252</v>
      </c>
      <c r="C50" s="128"/>
      <c r="D50" s="128"/>
      <c r="E50" s="128"/>
      <c r="F50" s="128"/>
      <c r="G50" s="128"/>
      <c r="H50" s="128"/>
      <c r="I50" s="128"/>
      <c r="J50" s="128"/>
      <c r="K50" s="128"/>
      <c r="L50" s="128"/>
      <c r="M50" s="128"/>
      <c r="N50" s="128"/>
      <c r="O50" s="128"/>
    </row>
    <row r="51" spans="2:15" ht="18" customHeight="1">
      <c r="B51" s="128"/>
      <c r="C51" s="128"/>
      <c r="D51" s="128"/>
      <c r="E51" s="128"/>
      <c r="F51" s="128"/>
      <c r="G51" s="128"/>
      <c r="H51" s="128"/>
      <c r="I51" s="128"/>
      <c r="J51" s="128"/>
      <c r="K51" s="128"/>
      <c r="L51" s="128"/>
      <c r="M51" s="128"/>
      <c r="N51" s="128"/>
      <c r="O51" s="128"/>
    </row>
    <row r="52" spans="2:15" ht="18" customHeight="1">
      <c r="B52" s="128"/>
      <c r="C52" s="128"/>
      <c r="D52" s="128"/>
      <c r="E52" s="128"/>
      <c r="F52" s="128"/>
      <c r="G52" s="128"/>
      <c r="H52" s="128"/>
      <c r="I52" s="128"/>
      <c r="J52" s="128"/>
      <c r="K52" s="128"/>
      <c r="L52" s="128"/>
      <c r="M52" s="128"/>
      <c r="N52" s="128"/>
      <c r="O52" s="128"/>
    </row>
    <row r="53" spans="2:15" ht="18" customHeight="1">
      <c r="B53" s="128"/>
      <c r="C53" s="128"/>
      <c r="D53" s="128"/>
      <c r="E53" s="128"/>
      <c r="F53" s="128"/>
      <c r="G53" s="128"/>
      <c r="H53" s="128"/>
      <c r="I53" s="128"/>
      <c r="J53" s="128"/>
      <c r="K53" s="128"/>
      <c r="L53" s="128"/>
      <c r="M53" s="128"/>
      <c r="N53" s="128"/>
      <c r="O53" s="128"/>
    </row>
    <row r="54" spans="2:15" ht="18" customHeight="1">
      <c r="B54" s="128"/>
      <c r="C54" s="128"/>
      <c r="D54" s="128"/>
      <c r="E54" s="128"/>
      <c r="F54" s="128"/>
      <c r="G54" s="128"/>
      <c r="H54" s="128"/>
      <c r="I54" s="128"/>
      <c r="J54" s="128"/>
      <c r="K54" s="128"/>
      <c r="L54" s="128"/>
      <c r="M54" s="128"/>
      <c r="N54" s="128"/>
      <c r="O54" s="128"/>
    </row>
    <row r="55" spans="2:15" ht="18" customHeight="1">
      <c r="B55" s="128"/>
      <c r="C55" s="128"/>
      <c r="D55" s="128"/>
      <c r="E55" s="128"/>
      <c r="F55" s="128"/>
      <c r="G55" s="128"/>
      <c r="H55" s="128"/>
      <c r="I55" s="128"/>
      <c r="J55" s="128"/>
      <c r="K55" s="128"/>
      <c r="L55" s="128"/>
      <c r="M55" s="128"/>
      <c r="N55" s="128"/>
      <c r="O55" s="128"/>
    </row>
    <row r="56" spans="2:15" ht="18" customHeight="1">
      <c r="B56" s="128"/>
      <c r="C56" s="128"/>
      <c r="D56" s="128"/>
      <c r="E56" s="128"/>
      <c r="F56" s="128"/>
      <c r="G56" s="128"/>
      <c r="H56" s="128"/>
      <c r="I56" s="128"/>
      <c r="J56" s="128"/>
      <c r="K56" s="128"/>
      <c r="L56" s="128"/>
      <c r="M56" s="128"/>
      <c r="N56" s="128"/>
      <c r="O56" s="128"/>
    </row>
    <row r="57" spans="2:15">
      <c r="B57" s="128"/>
      <c r="C57" s="128"/>
      <c r="D57" s="128"/>
      <c r="E57" s="128"/>
      <c r="F57" s="128"/>
      <c r="G57" s="128"/>
      <c r="H57" s="128"/>
      <c r="I57" s="128"/>
      <c r="J57" s="128"/>
      <c r="K57" s="128"/>
      <c r="L57" s="128"/>
      <c r="M57" s="128"/>
      <c r="N57" s="128"/>
      <c r="O57" s="128"/>
    </row>
    <row r="58" spans="2:15">
      <c r="B58" s="128"/>
      <c r="C58" s="128"/>
      <c r="D58" s="128"/>
      <c r="E58" s="128"/>
      <c r="F58" s="128"/>
      <c r="G58" s="128"/>
      <c r="H58" s="128"/>
      <c r="I58" s="128"/>
      <c r="J58" s="128"/>
      <c r="K58" s="128"/>
      <c r="L58" s="128"/>
      <c r="M58" s="128"/>
      <c r="N58" s="128"/>
      <c r="O58" s="128"/>
    </row>
    <row r="59" spans="2:15">
      <c r="B59" s="128"/>
      <c r="C59" s="128"/>
      <c r="D59" s="128"/>
      <c r="E59" s="128"/>
      <c r="F59" s="128"/>
      <c r="G59" s="128"/>
      <c r="H59" s="128"/>
      <c r="I59" s="128"/>
      <c r="J59" s="128"/>
      <c r="K59" s="128"/>
      <c r="L59" s="128"/>
      <c r="M59" s="128"/>
      <c r="N59" s="128"/>
      <c r="O59" s="128"/>
    </row>
    <row r="60" spans="2:15">
      <c r="B60" s="128"/>
      <c r="C60" s="128"/>
      <c r="D60" s="128"/>
      <c r="E60" s="128"/>
      <c r="F60" s="128"/>
      <c r="G60" s="128"/>
      <c r="H60" s="128"/>
      <c r="I60" s="128"/>
      <c r="J60" s="128"/>
      <c r="K60" s="128"/>
      <c r="L60" s="128"/>
      <c r="M60" s="128"/>
      <c r="N60" s="128"/>
      <c r="O60" s="128"/>
    </row>
    <row r="61" spans="2:15">
      <c r="B61" s="128"/>
      <c r="C61" s="128"/>
      <c r="D61" s="128"/>
      <c r="E61" s="128"/>
      <c r="F61" s="128"/>
      <c r="G61" s="128"/>
      <c r="H61" s="128"/>
      <c r="I61" s="128"/>
      <c r="J61" s="128"/>
      <c r="K61" s="128"/>
      <c r="L61" s="128"/>
      <c r="M61" s="128"/>
      <c r="N61" s="128"/>
      <c r="O61" s="128"/>
    </row>
    <row r="62" spans="2:15">
      <c r="B62" s="128"/>
      <c r="C62" s="128"/>
      <c r="D62" s="128"/>
      <c r="E62" s="128"/>
      <c r="F62" s="128"/>
      <c r="G62" s="128"/>
      <c r="H62" s="128"/>
      <c r="I62" s="128"/>
      <c r="J62" s="128"/>
      <c r="K62" s="128"/>
      <c r="L62" s="128"/>
      <c r="M62" s="128"/>
      <c r="N62" s="128"/>
      <c r="O62" s="128"/>
    </row>
    <row r="63" spans="2:15">
      <c r="B63" s="128"/>
      <c r="C63" s="128"/>
      <c r="D63" s="128"/>
      <c r="E63" s="128"/>
      <c r="F63" s="128"/>
      <c r="G63" s="128"/>
      <c r="H63" s="128"/>
      <c r="I63" s="128"/>
      <c r="J63" s="128"/>
      <c r="K63" s="128"/>
      <c r="L63" s="128"/>
      <c r="M63" s="128"/>
      <c r="N63" s="128"/>
      <c r="O63" s="128"/>
    </row>
    <row r="64" spans="2:15">
      <c r="B64" s="128"/>
      <c r="C64" s="128"/>
      <c r="D64" s="128"/>
      <c r="E64" s="128"/>
      <c r="F64" s="128"/>
      <c r="G64" s="128"/>
      <c r="H64" s="128"/>
      <c r="I64" s="128"/>
      <c r="J64" s="128"/>
      <c r="K64" s="128"/>
      <c r="L64" s="128"/>
      <c r="M64" s="128"/>
      <c r="N64" s="128"/>
      <c r="O64" s="128"/>
    </row>
    <row r="65" spans="2:15">
      <c r="B65" s="128"/>
      <c r="C65" s="128"/>
      <c r="D65" s="128"/>
      <c r="E65" s="128"/>
      <c r="F65" s="128"/>
      <c r="G65" s="128"/>
      <c r="H65" s="128"/>
      <c r="I65" s="128"/>
      <c r="J65" s="128"/>
      <c r="K65" s="128"/>
      <c r="L65" s="128"/>
      <c r="M65" s="128"/>
      <c r="N65" s="128"/>
      <c r="O65" s="128"/>
    </row>
    <row r="66" spans="2:15">
      <c r="B66" s="128"/>
      <c r="C66" s="128"/>
      <c r="D66" s="128"/>
      <c r="E66" s="128"/>
      <c r="F66" s="128"/>
      <c r="G66" s="128"/>
      <c r="H66" s="128"/>
      <c r="I66" s="128"/>
      <c r="J66" s="128"/>
      <c r="K66" s="128"/>
      <c r="L66" s="128"/>
      <c r="M66" s="128"/>
      <c r="N66" s="128"/>
      <c r="O66" s="128"/>
    </row>
    <row r="67" spans="2:15">
      <c r="B67" s="128"/>
      <c r="C67" s="128"/>
      <c r="D67" s="128"/>
      <c r="E67" s="128"/>
      <c r="F67" s="128"/>
      <c r="G67" s="128"/>
      <c r="H67" s="128"/>
      <c r="I67" s="128"/>
      <c r="J67" s="128"/>
      <c r="K67" s="128"/>
      <c r="L67" s="128"/>
      <c r="M67" s="128"/>
      <c r="N67" s="128"/>
      <c r="O67" s="128"/>
    </row>
    <row r="68" spans="2:15">
      <c r="B68" s="128"/>
      <c r="C68" s="128"/>
      <c r="D68" s="128"/>
      <c r="E68" s="128"/>
      <c r="F68" s="128"/>
      <c r="G68" s="128"/>
      <c r="H68" s="128"/>
      <c r="I68" s="128"/>
      <c r="J68" s="128"/>
      <c r="K68" s="128"/>
      <c r="L68" s="128"/>
      <c r="M68" s="128"/>
      <c r="N68" s="128"/>
      <c r="O68" s="128"/>
    </row>
    <row r="69" spans="2:15">
      <c r="B69" s="128"/>
      <c r="C69" s="128"/>
      <c r="D69" s="128"/>
      <c r="E69" s="128"/>
      <c r="F69" s="128"/>
      <c r="G69" s="128"/>
      <c r="H69" s="128"/>
      <c r="I69" s="128"/>
      <c r="J69" s="128"/>
      <c r="K69" s="128"/>
      <c r="L69" s="128"/>
      <c r="M69" s="128"/>
      <c r="N69" s="128"/>
      <c r="O69" s="128"/>
    </row>
    <row r="70" spans="2:15">
      <c r="B70" s="128"/>
      <c r="C70" s="128"/>
      <c r="D70" s="128"/>
      <c r="E70" s="128"/>
      <c r="F70" s="128"/>
      <c r="G70" s="128"/>
      <c r="H70" s="128"/>
      <c r="I70" s="128"/>
      <c r="J70" s="128"/>
      <c r="K70" s="128"/>
      <c r="L70" s="128"/>
      <c r="M70" s="128"/>
      <c r="N70" s="128"/>
      <c r="O70" s="128"/>
    </row>
    <row r="71" spans="2:15">
      <c r="B71" s="128"/>
      <c r="C71" s="128"/>
      <c r="D71" s="128"/>
      <c r="E71" s="128"/>
      <c r="F71" s="128"/>
      <c r="G71" s="128"/>
      <c r="H71" s="128"/>
      <c r="I71" s="128"/>
      <c r="J71" s="128"/>
      <c r="K71" s="128"/>
      <c r="L71" s="128"/>
      <c r="M71" s="128"/>
      <c r="N71" s="128"/>
      <c r="O71" s="128"/>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S122"/>
  <sheetViews>
    <sheetView workbookViewId="0">
      <selection activeCell="L16" sqref="L16"/>
    </sheetView>
  </sheetViews>
  <sheetFormatPr baseColWidth="10" defaultColWidth="8.83203125" defaultRowHeight="25" x14ac:dyDescent="0"/>
  <cols>
    <col min="1" max="1" width="5.33203125" style="24" customWidth="1"/>
    <col min="2" max="2" width="22.6640625" customWidth="1"/>
    <col min="3" max="3" width="9.5" customWidth="1"/>
    <col min="4" max="4" width="17.33203125" customWidth="1"/>
    <col min="5" max="5" width="11.6640625" customWidth="1"/>
    <col min="6" max="8" width="14.6640625" customWidth="1"/>
    <col min="9" max="9" width="11.83203125" customWidth="1"/>
    <col min="10" max="10" width="12.33203125" customWidth="1"/>
    <col min="11" max="11" width="10.5" customWidth="1"/>
    <col min="12" max="12" width="16.5" customWidth="1"/>
    <col min="13" max="13" width="12.6640625" customWidth="1"/>
    <col min="14" max="14" width="11.1640625" customWidth="1"/>
    <col min="15" max="15" width="14.6640625" customWidth="1"/>
    <col min="16" max="16" width="17.1640625" customWidth="1"/>
    <col min="17" max="17" width="16.1640625" customWidth="1"/>
    <col min="18" max="18" width="15.6640625" customWidth="1"/>
    <col min="19" max="20" width="14.6640625" customWidth="1"/>
    <col min="21" max="21" width="12.1640625" customWidth="1"/>
    <col min="22" max="24" width="14.6640625" customWidth="1"/>
    <col min="25" max="25" width="13.33203125" style="156" customWidth="1"/>
    <col min="26" max="48" width="14.6640625" hidden="1" customWidth="1"/>
    <col min="49" max="87" width="8.83203125" hidden="1" customWidth="1"/>
    <col min="88" max="90" width="13.6640625" hidden="1" customWidth="1"/>
  </cols>
  <sheetData>
    <row r="2" spans="1:97" ht="49" customHeight="1">
      <c r="B2" s="198" t="s">
        <v>202</v>
      </c>
      <c r="C2" s="199"/>
      <c r="D2" s="199"/>
      <c r="E2" s="199"/>
      <c r="F2" s="199"/>
      <c r="G2" s="199"/>
      <c r="H2" s="199"/>
      <c r="I2" s="199"/>
      <c r="J2" s="199"/>
      <c r="K2" s="199"/>
      <c r="L2" s="199"/>
      <c r="M2" s="199"/>
      <c r="N2" s="199"/>
      <c r="O2" s="199"/>
      <c r="P2" s="199"/>
      <c r="Q2" s="199"/>
      <c r="R2" s="199"/>
      <c r="X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10"/>
      <c r="CK2" s="10"/>
      <c r="CL2" s="10"/>
      <c r="CM2" s="11"/>
      <c r="CN2" s="11"/>
    </row>
    <row r="3" spans="1:97" ht="22" customHeight="1">
      <c r="B3" s="113"/>
      <c r="C3" s="181"/>
      <c r="D3" s="182" t="s">
        <v>137</v>
      </c>
      <c r="E3" s="181"/>
      <c r="F3" s="181"/>
      <c r="G3" s="181"/>
      <c r="H3" s="182" t="s">
        <v>196</v>
      </c>
      <c r="I3" s="181"/>
      <c r="J3" s="181"/>
      <c r="K3" s="181"/>
      <c r="L3" s="181"/>
      <c r="M3" s="181"/>
      <c r="N3" s="181"/>
      <c r="O3" s="181"/>
      <c r="P3" s="181"/>
      <c r="Q3" s="113"/>
      <c r="R3" s="113"/>
      <c r="S3" s="114"/>
      <c r="T3" s="114"/>
      <c r="U3" s="114"/>
      <c r="V3" s="114"/>
      <c r="W3" s="114"/>
      <c r="X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10"/>
      <c r="CK3" s="10"/>
      <c r="CL3" s="10"/>
      <c r="CM3" s="11"/>
      <c r="CN3" s="11"/>
    </row>
    <row r="4" spans="1:97" ht="22" customHeight="1">
      <c r="B4" s="113"/>
      <c r="C4" s="181"/>
      <c r="D4" s="183">
        <v>1</v>
      </c>
      <c r="E4" s="182" t="s">
        <v>233</v>
      </c>
      <c r="F4" s="181"/>
      <c r="G4" s="181"/>
      <c r="H4" s="183">
        <v>1</v>
      </c>
      <c r="I4" s="182" t="s">
        <v>235</v>
      </c>
      <c r="J4" s="181"/>
      <c r="K4" s="181"/>
      <c r="L4" s="181"/>
      <c r="M4" s="181"/>
      <c r="N4" s="181"/>
      <c r="O4" s="181"/>
      <c r="P4" s="181"/>
      <c r="Q4" s="113"/>
      <c r="R4" s="113"/>
      <c r="S4" s="114"/>
      <c r="T4" s="114"/>
      <c r="U4" s="114"/>
      <c r="V4" s="114"/>
      <c r="W4" s="114"/>
      <c r="X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10"/>
      <c r="CK4" s="10"/>
      <c r="CL4" s="10"/>
      <c r="CM4" s="11"/>
      <c r="CN4" s="11"/>
    </row>
    <row r="5" spans="1:97" ht="22" customHeight="1">
      <c r="B5" s="113"/>
      <c r="C5" s="181"/>
      <c r="D5" s="183">
        <v>2</v>
      </c>
      <c r="E5" s="182" t="s">
        <v>232</v>
      </c>
      <c r="F5" s="181"/>
      <c r="G5" s="181"/>
      <c r="H5" s="183">
        <v>2</v>
      </c>
      <c r="I5" s="182" t="s">
        <v>236</v>
      </c>
      <c r="J5" s="181"/>
      <c r="K5" s="181"/>
      <c r="L5" s="181"/>
      <c r="M5" s="181"/>
      <c r="N5" s="181"/>
      <c r="O5" s="181"/>
      <c r="P5" s="181"/>
      <c r="Q5" s="113"/>
      <c r="R5" s="113"/>
      <c r="S5" s="114"/>
      <c r="T5" s="114"/>
      <c r="U5" s="114"/>
      <c r="V5" s="114"/>
      <c r="W5" s="114"/>
      <c r="X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10"/>
      <c r="CK5" s="10"/>
      <c r="CL5" s="10"/>
      <c r="CM5" s="11"/>
      <c r="CN5" s="11"/>
    </row>
    <row r="6" spans="1:97" ht="22" customHeight="1">
      <c r="B6" s="113"/>
      <c r="C6" s="181"/>
      <c r="D6" s="183">
        <v>3</v>
      </c>
      <c r="E6" s="182" t="s">
        <v>138</v>
      </c>
      <c r="F6" s="181"/>
      <c r="G6" s="181"/>
      <c r="H6" s="183">
        <v>3</v>
      </c>
      <c r="I6" s="182" t="s">
        <v>237</v>
      </c>
      <c r="J6" s="181"/>
      <c r="K6" s="181"/>
      <c r="L6" s="181"/>
      <c r="M6" s="181"/>
      <c r="N6" s="181"/>
      <c r="O6" s="181"/>
      <c r="P6" s="181"/>
      <c r="Q6" s="113"/>
      <c r="R6" s="113"/>
      <c r="S6" s="114"/>
      <c r="T6" s="114"/>
      <c r="U6" s="114"/>
      <c r="V6" s="114"/>
      <c r="W6" s="114"/>
      <c r="X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10"/>
      <c r="CK6" s="10"/>
      <c r="CL6" s="10"/>
      <c r="CM6" s="11"/>
      <c r="CN6" s="11"/>
    </row>
    <row r="7" spans="1:97" ht="22" customHeight="1">
      <c r="B7" s="113"/>
      <c r="C7" s="181"/>
      <c r="D7" s="183">
        <v>4</v>
      </c>
      <c r="E7" s="182" t="s">
        <v>139</v>
      </c>
      <c r="F7" s="181"/>
      <c r="G7" s="181"/>
      <c r="H7" s="183">
        <v>4</v>
      </c>
      <c r="I7" s="182" t="s">
        <v>238</v>
      </c>
      <c r="J7" s="181"/>
      <c r="K7" s="181"/>
      <c r="L7" s="181"/>
      <c r="M7" s="181"/>
      <c r="N7" s="181"/>
      <c r="O7" s="181"/>
      <c r="P7" s="181"/>
      <c r="Q7" s="113"/>
      <c r="R7" s="113"/>
      <c r="S7" s="114"/>
      <c r="T7" s="114"/>
      <c r="U7" s="114"/>
      <c r="V7" s="114"/>
      <c r="W7" s="114"/>
      <c r="X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10"/>
      <c r="CK7" s="10"/>
      <c r="CL7" s="10"/>
      <c r="CM7" s="11"/>
      <c r="CN7" s="11"/>
    </row>
    <row r="8" spans="1:97" ht="22" customHeight="1">
      <c r="B8" s="113"/>
      <c r="C8" s="181"/>
      <c r="D8" s="183">
        <v>5</v>
      </c>
      <c r="E8" s="182" t="s">
        <v>230</v>
      </c>
      <c r="F8" s="181"/>
      <c r="G8" s="181"/>
      <c r="H8" s="183">
        <v>5</v>
      </c>
      <c r="I8" s="182" t="s">
        <v>239</v>
      </c>
      <c r="J8" s="181"/>
      <c r="K8" s="181"/>
      <c r="L8" s="181"/>
      <c r="M8" s="181"/>
      <c r="N8" s="181"/>
      <c r="O8" s="181"/>
      <c r="P8" s="181"/>
      <c r="Q8" s="113"/>
      <c r="R8" s="113"/>
      <c r="S8" s="114"/>
      <c r="T8" s="114"/>
      <c r="U8" s="114"/>
      <c r="V8" s="114"/>
      <c r="W8" s="114"/>
      <c r="X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10"/>
      <c r="CK8" s="10"/>
      <c r="CL8" s="10"/>
      <c r="CM8" s="11"/>
      <c r="CN8" s="11"/>
    </row>
    <row r="9" spans="1:97" ht="22" customHeight="1">
      <c r="B9" s="113"/>
      <c r="C9" s="181"/>
      <c r="D9" s="183">
        <v>6</v>
      </c>
      <c r="E9" s="182" t="s">
        <v>231</v>
      </c>
      <c r="F9" s="181"/>
      <c r="G9" s="181"/>
      <c r="H9" s="181"/>
      <c r="I9" s="181"/>
      <c r="J9" s="181"/>
      <c r="K9" s="181"/>
      <c r="L9" s="181"/>
      <c r="M9" s="181"/>
      <c r="N9" s="181"/>
      <c r="O9" s="181"/>
      <c r="P9" s="181"/>
      <c r="Q9" s="113"/>
      <c r="R9" s="113"/>
      <c r="S9" s="114"/>
      <c r="T9" s="114"/>
      <c r="U9" s="114"/>
      <c r="V9" s="114"/>
      <c r="W9" s="114"/>
      <c r="X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10"/>
      <c r="CK9" s="10"/>
      <c r="CL9" s="10"/>
      <c r="CM9" s="11"/>
      <c r="CN9" s="11"/>
    </row>
    <row r="10" spans="1:97" ht="22" customHeight="1">
      <c r="B10" s="113"/>
      <c r="C10" s="113"/>
      <c r="D10" s="116"/>
      <c r="E10" s="117"/>
      <c r="F10" s="113"/>
      <c r="G10" s="113"/>
      <c r="H10" s="113"/>
      <c r="I10" s="113"/>
      <c r="J10" s="113"/>
      <c r="K10" s="113"/>
      <c r="L10" s="113"/>
      <c r="M10" s="113"/>
      <c r="N10" s="113"/>
      <c r="O10" s="113"/>
      <c r="P10" s="113"/>
      <c r="Q10" s="113"/>
      <c r="R10" s="113"/>
      <c r="S10" s="114"/>
      <c r="T10" s="114"/>
      <c r="U10" s="114"/>
      <c r="V10" s="114"/>
      <c r="W10" s="114"/>
      <c r="X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10"/>
      <c r="CK10" s="10"/>
      <c r="CL10" s="10"/>
      <c r="CM10" s="11"/>
      <c r="CN10" s="11"/>
    </row>
    <row r="11" spans="1:97" ht="22" customHeight="1">
      <c r="B11" s="136" t="s">
        <v>234</v>
      </c>
      <c r="C11" s="113"/>
      <c r="E11" s="117"/>
      <c r="F11" s="113"/>
      <c r="G11" s="113"/>
      <c r="H11" s="113"/>
      <c r="I11" s="113"/>
      <c r="J11" s="113"/>
      <c r="K11" s="113"/>
      <c r="L11" s="113"/>
      <c r="M11" s="113"/>
      <c r="N11" s="113"/>
      <c r="O11" s="113"/>
      <c r="P11" s="113"/>
      <c r="Q11" s="113"/>
      <c r="R11" s="113"/>
      <c r="S11" s="114"/>
      <c r="T11" s="114"/>
      <c r="U11" s="114"/>
      <c r="V11" s="114"/>
      <c r="W11" s="114"/>
      <c r="X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10"/>
      <c r="CK11" s="10"/>
      <c r="CL11" s="10"/>
      <c r="CM11" s="11"/>
      <c r="CN11" s="11"/>
    </row>
    <row r="12" spans="1:97" ht="22" customHeight="1" thickBot="1">
      <c r="B12" s="113"/>
      <c r="C12" s="113"/>
      <c r="F12" s="113"/>
      <c r="G12" s="113"/>
      <c r="H12" s="113"/>
      <c r="I12" s="113"/>
      <c r="J12" s="113"/>
      <c r="K12" s="113"/>
      <c r="L12" s="113"/>
      <c r="M12" s="113"/>
      <c r="N12" s="113"/>
      <c r="O12" s="113"/>
      <c r="P12" s="113"/>
      <c r="Q12" s="113"/>
      <c r="R12" s="113"/>
      <c r="S12" s="114"/>
      <c r="T12" s="114"/>
      <c r="U12" s="114"/>
      <c r="V12" s="114"/>
      <c r="W12" s="114"/>
      <c r="X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10"/>
      <c r="CK12" s="10"/>
      <c r="CL12" s="10"/>
      <c r="CM12" s="11"/>
      <c r="CN12" s="11"/>
    </row>
    <row r="13" spans="1:97" ht="21" customHeight="1">
      <c r="B13" s="203" t="s">
        <v>134</v>
      </c>
      <c r="C13" s="203" t="s">
        <v>73</v>
      </c>
      <c r="D13" s="204" t="s">
        <v>14</v>
      </c>
      <c r="E13" s="200" t="s">
        <v>15</v>
      </c>
      <c r="F13" s="200"/>
      <c r="G13" s="200"/>
      <c r="H13" s="200"/>
      <c r="I13" s="200"/>
      <c r="J13" s="200"/>
      <c r="K13" s="200"/>
      <c r="L13" s="200"/>
      <c r="M13" s="200"/>
      <c r="N13" s="200"/>
      <c r="O13" s="200"/>
      <c r="P13" s="200"/>
      <c r="Q13" s="200"/>
      <c r="R13" s="200"/>
      <c r="S13" s="200"/>
      <c r="T13" s="200"/>
      <c r="U13" s="200"/>
      <c r="V13" s="200"/>
      <c r="W13" s="200"/>
      <c r="X13" s="200"/>
      <c r="Y13" s="200"/>
      <c r="Z13" s="201"/>
      <c r="AA13" s="201"/>
      <c r="AB13" s="201"/>
      <c r="AC13" s="201"/>
      <c r="AD13" s="201"/>
      <c r="AE13" s="201"/>
      <c r="AF13" s="201"/>
      <c r="AG13" s="201"/>
      <c r="AH13" s="201"/>
      <c r="AI13" s="201"/>
      <c r="AJ13" s="201"/>
      <c r="AK13" s="201"/>
      <c r="AL13" s="201"/>
      <c r="AM13" s="201"/>
      <c r="AN13" s="201"/>
      <c r="AO13" s="201"/>
      <c r="AP13" s="201"/>
      <c r="AQ13" s="201"/>
      <c r="AR13" s="201"/>
      <c r="AS13" s="201"/>
      <c r="AT13" s="201"/>
      <c r="AU13" s="201"/>
      <c r="AV13" s="202"/>
      <c r="AW13" s="205"/>
      <c r="AX13" s="205"/>
      <c r="AY13" s="205"/>
      <c r="AZ13" s="205"/>
      <c r="BA13" s="205"/>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209"/>
      <c r="CF13" s="205"/>
      <c r="CG13" s="205"/>
      <c r="CH13" s="205"/>
      <c r="CI13" s="205"/>
      <c r="CJ13" s="109"/>
      <c r="CK13" s="106"/>
      <c r="CL13" s="106"/>
      <c r="CM13" s="13"/>
      <c r="CN13" s="13"/>
      <c r="CO13" s="9"/>
      <c r="CP13" s="9"/>
      <c r="CQ13" s="9"/>
      <c r="CR13" s="9"/>
      <c r="CS13" s="13"/>
    </row>
    <row r="14" spans="1:97" ht="21" customHeight="1" thickBot="1">
      <c r="B14" s="203"/>
      <c r="C14" s="203"/>
      <c r="D14" s="204"/>
      <c r="E14" s="206" t="s">
        <v>187</v>
      </c>
      <c r="F14" s="206"/>
      <c r="G14" s="206"/>
      <c r="H14" s="206"/>
      <c r="I14" s="206"/>
      <c r="J14" s="206"/>
      <c r="K14" s="206"/>
      <c r="L14" s="206"/>
      <c r="M14" s="206"/>
      <c r="N14" s="206"/>
      <c r="O14" s="206"/>
      <c r="P14" s="206"/>
      <c r="Q14" s="206"/>
      <c r="R14" s="206"/>
      <c r="S14" s="206"/>
      <c r="T14" s="206"/>
      <c r="U14" s="206"/>
      <c r="V14" s="206"/>
      <c r="W14" s="206"/>
      <c r="X14" s="206"/>
      <c r="Y14" s="206"/>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8"/>
      <c r="AW14" s="210"/>
      <c r="AX14" s="211"/>
      <c r="AY14" s="211"/>
      <c r="AZ14" s="211"/>
      <c r="BA14" s="211"/>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211"/>
      <c r="CF14" s="211"/>
      <c r="CG14" s="211"/>
      <c r="CH14" s="211"/>
      <c r="CI14" s="211"/>
      <c r="CJ14" s="108"/>
      <c r="CK14" s="106"/>
      <c r="CL14" s="106"/>
      <c r="CM14" s="13"/>
      <c r="CN14" s="13"/>
      <c r="CO14" s="9"/>
      <c r="CP14" s="9"/>
      <c r="CQ14" s="13"/>
      <c r="CR14" s="13"/>
      <c r="CS14" s="13"/>
    </row>
    <row r="15" spans="1:97" ht="21" customHeight="1">
      <c r="B15" s="203"/>
      <c r="C15" s="203"/>
      <c r="D15" s="204"/>
      <c r="E15" s="143">
        <v>1</v>
      </c>
      <c r="F15" s="143">
        <v>2</v>
      </c>
      <c r="G15" s="143">
        <v>3</v>
      </c>
      <c r="H15" s="143">
        <v>4</v>
      </c>
      <c r="I15" s="143">
        <v>5</v>
      </c>
      <c r="J15" s="144">
        <v>6</v>
      </c>
      <c r="K15" s="144">
        <v>7</v>
      </c>
      <c r="L15" s="144">
        <v>8</v>
      </c>
      <c r="M15" s="144">
        <v>9</v>
      </c>
      <c r="N15" s="144">
        <v>10</v>
      </c>
      <c r="O15" s="144">
        <v>11</v>
      </c>
      <c r="P15" s="144">
        <v>12</v>
      </c>
      <c r="Q15" s="144">
        <v>13</v>
      </c>
      <c r="R15" s="144">
        <v>14</v>
      </c>
      <c r="S15" s="144">
        <v>15</v>
      </c>
      <c r="T15" s="144">
        <v>16</v>
      </c>
      <c r="U15" s="144">
        <v>17</v>
      </c>
      <c r="V15" s="144">
        <v>18</v>
      </c>
      <c r="W15" s="144">
        <v>19</v>
      </c>
      <c r="X15" s="144">
        <v>20</v>
      </c>
      <c r="Y15" s="157"/>
      <c r="Z15" s="55"/>
      <c r="AA15" s="55"/>
      <c r="AB15" s="118"/>
      <c r="AC15" s="118"/>
      <c r="AD15" s="118"/>
      <c r="AE15" s="118"/>
      <c r="AF15" s="118"/>
      <c r="AG15" s="118"/>
      <c r="AH15" s="119"/>
      <c r="AI15" s="119"/>
      <c r="AJ15" s="119"/>
      <c r="AK15" s="119"/>
      <c r="AL15" s="119"/>
      <c r="AM15" s="119"/>
      <c r="AN15" s="119"/>
      <c r="AO15" s="119"/>
      <c r="AP15" s="119"/>
      <c r="AQ15" s="119"/>
      <c r="AR15" s="119"/>
      <c r="AS15" s="119"/>
      <c r="AT15" s="119"/>
      <c r="AU15" s="119"/>
      <c r="AV15" s="119"/>
      <c r="AW15" s="55"/>
      <c r="BA15" s="55"/>
      <c r="BB15" s="55"/>
      <c r="BC15" s="55"/>
      <c r="BD15" s="55"/>
      <c r="BE15" s="55"/>
      <c r="BF15" s="55"/>
      <c r="BG15" s="55"/>
      <c r="BH15" s="55"/>
      <c r="BI15" s="55"/>
      <c r="BJ15" s="55"/>
      <c r="BK15" s="55"/>
      <c r="BL15" s="55"/>
      <c r="BM15" s="55"/>
      <c r="BN15" s="108"/>
      <c r="BO15" s="106"/>
      <c r="BP15" s="106"/>
      <c r="BQ15" s="13"/>
      <c r="BR15" s="13"/>
      <c r="BS15" s="9"/>
      <c r="BT15" s="9"/>
      <c r="BU15" s="13"/>
      <c r="BV15" s="13"/>
      <c r="BW15" s="13"/>
    </row>
    <row r="16" spans="1:97" s="24" customFormat="1" ht="176" customHeight="1">
      <c r="A16" s="24" t="s">
        <v>27</v>
      </c>
      <c r="B16" s="203"/>
      <c r="C16" s="203"/>
      <c r="D16" s="204"/>
      <c r="E16" s="160" t="s">
        <v>145</v>
      </c>
      <c r="F16" s="161" t="s">
        <v>146</v>
      </c>
      <c r="G16" s="161" t="s">
        <v>215</v>
      </c>
      <c r="H16" s="161" t="s">
        <v>72</v>
      </c>
      <c r="I16" s="161" t="s">
        <v>71</v>
      </c>
      <c r="J16" s="161" t="s">
        <v>217</v>
      </c>
      <c r="K16" s="161" t="s">
        <v>192</v>
      </c>
      <c r="L16" s="161" t="s">
        <v>218</v>
      </c>
      <c r="M16" s="161" t="s">
        <v>226</v>
      </c>
      <c r="N16" s="161" t="s">
        <v>169</v>
      </c>
      <c r="O16" s="161" t="s">
        <v>227</v>
      </c>
      <c r="P16" s="161" t="s">
        <v>228</v>
      </c>
      <c r="Q16" s="161" t="s">
        <v>225</v>
      </c>
      <c r="R16" s="161" t="s">
        <v>193</v>
      </c>
      <c r="S16" s="161" t="s">
        <v>222</v>
      </c>
      <c r="T16" s="161" t="s">
        <v>229</v>
      </c>
      <c r="U16" s="161" t="s">
        <v>194</v>
      </c>
      <c r="V16" s="161" t="s">
        <v>195</v>
      </c>
      <c r="W16" s="161" t="s">
        <v>125</v>
      </c>
      <c r="X16" s="161" t="s">
        <v>219</v>
      </c>
      <c r="Y16" s="145" t="s">
        <v>249</v>
      </c>
      <c r="Z16" s="111"/>
      <c r="AA16" s="106"/>
      <c r="AB16" s="162">
        <v>1</v>
      </c>
      <c r="AC16" s="162">
        <v>2</v>
      </c>
      <c r="AD16" s="162">
        <v>3</v>
      </c>
      <c r="AE16" s="162">
        <v>4</v>
      </c>
      <c r="AF16" s="162">
        <v>5</v>
      </c>
      <c r="AG16" s="162">
        <v>6</v>
      </c>
      <c r="AH16" s="162">
        <v>7</v>
      </c>
      <c r="AI16" s="162">
        <v>8</v>
      </c>
      <c r="AJ16" s="162">
        <v>9</v>
      </c>
      <c r="AK16" s="162">
        <v>10</v>
      </c>
      <c r="AL16" s="162">
        <v>11</v>
      </c>
      <c r="AM16" s="162">
        <v>12</v>
      </c>
      <c r="AN16" s="162">
        <v>13</v>
      </c>
      <c r="AO16" s="162">
        <v>14</v>
      </c>
      <c r="AP16" s="162">
        <v>15</v>
      </c>
      <c r="AQ16" s="162">
        <v>16</v>
      </c>
      <c r="AR16" s="162">
        <v>17</v>
      </c>
      <c r="AS16" s="162">
        <v>18</v>
      </c>
      <c r="AT16" s="162">
        <v>19</v>
      </c>
      <c r="AU16" s="162">
        <f t="shared" ref="AU16" si="0">X15</f>
        <v>20</v>
      </c>
      <c r="AV16" s="162" t="e">
        <f>#REF!</f>
        <v>#REF!</v>
      </c>
      <c r="AW16" s="163" t="e">
        <f>#REF!</f>
        <v>#REF!</v>
      </c>
      <c r="BA16" s="164"/>
    </row>
    <row r="17" spans="1:70" ht="27" customHeight="1">
      <c r="A17" s="24">
        <v>1</v>
      </c>
      <c r="B17" s="184" t="s">
        <v>253</v>
      </c>
      <c r="C17" s="149" t="s">
        <v>135</v>
      </c>
      <c r="D17" s="147">
        <v>6</v>
      </c>
      <c r="E17" s="150">
        <v>3</v>
      </c>
      <c r="F17" s="150"/>
      <c r="G17" s="150"/>
      <c r="H17" s="150">
        <v>4</v>
      </c>
      <c r="I17" s="150"/>
      <c r="J17" s="150"/>
      <c r="K17" s="150"/>
      <c r="L17" s="150">
        <v>1</v>
      </c>
      <c r="M17" s="150">
        <v>5</v>
      </c>
      <c r="N17" s="150"/>
      <c r="O17" s="150"/>
      <c r="P17" s="150"/>
      <c r="Q17" s="150"/>
      <c r="R17" s="150"/>
      <c r="S17" s="150"/>
      <c r="T17" s="150">
        <v>2</v>
      </c>
      <c r="U17" s="150"/>
      <c r="V17" s="150"/>
      <c r="W17" s="150"/>
      <c r="X17" s="150"/>
      <c r="Y17" s="158">
        <f>SUM(AB17:AU17)</f>
        <v>1236</v>
      </c>
      <c r="AA17" s="115" t="s">
        <v>136</v>
      </c>
      <c r="AB17" s="14">
        <f>IF(ISERROR(HLOOKUP(E17,$BM$19:$BR25,$D17+1)),"",HLOOKUP(E17,$BM$19:$BR25,$D17+1))</f>
        <v>150</v>
      </c>
      <c r="AC17" s="14" t="str">
        <f>IF(ISERROR(HLOOKUP(F17,$BM$19:$BR25,$D17+1)),"",HLOOKUP(F17,$BM$19:$BR25,$D17+1))</f>
        <v/>
      </c>
      <c r="AD17" s="14" t="str">
        <f>IF(ISERROR(HLOOKUP(G17,$BM$19:$BR25,$D17+1)),"",HLOOKUP(G17,$BM$19:$BR25,$D17+1))</f>
        <v/>
      </c>
      <c r="AE17" s="14">
        <f>IF(ISERROR(HLOOKUP(H17,$BM$19:$BR25,$D17+1)),"",HLOOKUP(H17,$BM$19:$BR25,$D17+1))</f>
        <v>450</v>
      </c>
      <c r="AF17" s="14" t="str">
        <f>IF(ISERROR(HLOOKUP(I17,$BM$19:$BR25,$D17+1)),"",HLOOKUP(I17,$BM$19:$BR25,$D17+1))</f>
        <v/>
      </c>
      <c r="AG17" s="14" t="str">
        <f>IF(ISERROR(HLOOKUP(J17,$BM$19:$BR25,$D17+1)),"",HLOOKUP(J17,$BM$19:$BR25,$D17+1))</f>
        <v/>
      </c>
      <c r="AH17" s="14" t="str">
        <f>IF(ISERROR(HLOOKUP(K17,$BM$19:$BR25,$D17+1)),"",HLOOKUP(K17,$BM$19:$BR25,$D17+1))</f>
        <v/>
      </c>
      <c r="AI17" s="14">
        <f>IF(ISERROR(HLOOKUP(L17,$BM$19:$BR25,$D17+1)),"",HLOOKUP(L17,$BM$19:$BR25,$D17+1))</f>
        <v>6</v>
      </c>
      <c r="AJ17" s="14">
        <f>IF(ISERROR(HLOOKUP(M17,$BM$19:$BR25,$D17+1)),"",HLOOKUP(M17,$BM$19:$BR25,$D17+1))</f>
        <v>600</v>
      </c>
      <c r="AK17" s="14" t="str">
        <f>IF(ISERROR(HLOOKUP(N17,$BM$19:$BR25,$D17+1)),"",HLOOKUP(N17,$BM$19:$BR25,$D17+1))</f>
        <v/>
      </c>
      <c r="AL17" s="14" t="str">
        <f>IF(ISERROR(HLOOKUP(O17,$BM$19:$BR25,$D17+1)),"",HLOOKUP(O17,$BM$19:$BR25,$D17+1))</f>
        <v/>
      </c>
      <c r="AM17" s="14" t="str">
        <f>IF(ISERROR(HLOOKUP(P17,$BM$19:$BR25,$D17+1)),"",HLOOKUP(P17,$BM$19:$BR25,$D17+1))</f>
        <v/>
      </c>
      <c r="AN17" s="14" t="str">
        <f>IF(ISERROR(HLOOKUP(Q17,$BM$19:$BR25,$D17+1)),"",HLOOKUP(Q17,$BM$19:$BR25,$D17+1))</f>
        <v/>
      </c>
      <c r="AO17" s="14" t="str">
        <f>IF(ISERROR(HLOOKUP(R17,$BM$19:$BR25,$D17+1)),"",HLOOKUP(R17,$BM$19:$BR25,$D17+1))</f>
        <v/>
      </c>
      <c r="AP17" s="14" t="str">
        <f>IF(ISERROR(HLOOKUP(S17,$BM$19:$BR25,$D17+1)),"",HLOOKUP(S17,$BM$19:$BR25,$D17+1))</f>
        <v/>
      </c>
      <c r="AQ17" s="14">
        <f>IF(ISERROR(HLOOKUP(T17,$BM$19:$BR25,$D17+1)),"",HLOOKUP(T17,$BM$19:$BR25,$D17+1))</f>
        <v>30</v>
      </c>
      <c r="AR17" s="14" t="str">
        <f>IF(ISERROR(HLOOKUP(U17,$BM$19:$BR25,$D17+1)),"",HLOOKUP(U17,$BM$19:$BR25,$D17+1))</f>
        <v/>
      </c>
      <c r="AS17" s="14" t="str">
        <f>IF(ISERROR(HLOOKUP(V17,$BM$19:$BR25,$D17+1)),"",HLOOKUP(V17,$BM$19:$BR25,$D17+1))</f>
        <v/>
      </c>
      <c r="AT17" s="14" t="str">
        <f>IF(ISERROR(HLOOKUP(W17,$BM$19:$BR25,$D17+1)),"",HLOOKUP(W17,$BM$19:$BR25,$D17+1))</f>
        <v/>
      </c>
      <c r="AU17" s="14" t="str">
        <f>IF(ISERROR(HLOOKUP(X17,$BM$19:$BR25,$D17+1)),"",HLOOKUP(X17,$BM$19:$BR25,$D17+1))</f>
        <v/>
      </c>
      <c r="AV17" s="14" t="s">
        <v>207</v>
      </c>
      <c r="AW17" s="14" t="s">
        <v>207</v>
      </c>
      <c r="AX17">
        <f>SUM(AB17:AV17)</f>
        <v>1236</v>
      </c>
      <c r="BA17" s="15"/>
    </row>
    <row r="18" spans="1:70" ht="27" customHeight="1">
      <c r="A18" s="24">
        <v>2</v>
      </c>
      <c r="B18" s="151"/>
      <c r="C18" s="146"/>
      <c r="D18" s="147"/>
      <c r="E18" s="148"/>
      <c r="F18" s="148"/>
      <c r="G18" s="148"/>
      <c r="H18" s="148"/>
      <c r="I18" s="148"/>
      <c r="J18" s="148"/>
      <c r="K18" s="148"/>
      <c r="L18" s="148"/>
      <c r="M18" s="148"/>
      <c r="N18" s="148"/>
      <c r="O18" s="148"/>
      <c r="P18" s="148"/>
      <c r="Q18" s="148"/>
      <c r="R18" s="148"/>
      <c r="S18" s="148"/>
      <c r="T18" s="148"/>
      <c r="U18" s="148"/>
      <c r="V18" s="148"/>
      <c r="W18" s="148"/>
      <c r="X18" s="148"/>
      <c r="Y18" s="158">
        <f t="shared" ref="Y18:Y48" si="1">SUM(AB18:AW18)</f>
        <v>0</v>
      </c>
      <c r="Z18" s="24"/>
      <c r="AA18">
        <f>B18</f>
        <v>0</v>
      </c>
      <c r="AB18" s="14" t="str">
        <f>IF(ISERROR(HLOOKUP(E18,$BM$19:$BR26,$D18+1)),"",HLOOKUP(E18,$BM$19:$BR26,$D18+1))</f>
        <v/>
      </c>
      <c r="AC18" s="14" t="str">
        <f>IF(ISERROR(HLOOKUP(F18,$BM$19:$BR26,$D18+1)),"",HLOOKUP(F18,$BM$19:$BR26,$D18+1))</f>
        <v/>
      </c>
      <c r="AD18" s="14" t="str">
        <f>IF(ISERROR(HLOOKUP(G18,$BM$19:$BR26,$D18+1)),"",HLOOKUP(G18,$BM$19:$BR26,$D18+1))</f>
        <v/>
      </c>
      <c r="AE18" s="14" t="str">
        <f>IF(ISERROR(HLOOKUP(H18,$BM$19:$BR26,$D18+1)),"",HLOOKUP(H18,$BM$19:$BR26,$D18+1))</f>
        <v/>
      </c>
      <c r="AF18" s="14" t="str">
        <f>IF(ISERROR(HLOOKUP(I18,$BM$19:$BR26,$D18+1)),"",HLOOKUP(I18,$BM$19:$BR26,$D18+1))</f>
        <v/>
      </c>
      <c r="AG18" s="14" t="str">
        <f>IF(ISERROR(HLOOKUP(J18,$BM$19:$BR26,$D18+1)),"",HLOOKUP(J18,$BM$19:$BR26,$D18+1))</f>
        <v/>
      </c>
      <c r="AH18" s="14" t="str">
        <f>IF(ISERROR(HLOOKUP(K18,$BM$19:$BR26,$D18+1)),"",HLOOKUP(K18,$BM$19:$BR26,$D18+1))</f>
        <v/>
      </c>
      <c r="AI18" s="14" t="str">
        <f>IF(ISERROR(HLOOKUP(L18,$BM$19:$BR26,$D18+1)),"",HLOOKUP(L18,$BM$19:$BR26,$D18+1))</f>
        <v/>
      </c>
      <c r="AJ18" s="14" t="str">
        <f>IF(ISERROR(HLOOKUP(M18,$BM$19:$BR26,$D18+1)),"",HLOOKUP(M18,$BM$19:$BR26,$D18+1))</f>
        <v/>
      </c>
      <c r="AK18" s="14" t="str">
        <f>IF(ISERROR(HLOOKUP(N18,$BM$19:$BR26,$D18+1)),"",HLOOKUP(N18,$BM$19:$BR26,$D18+1))</f>
        <v/>
      </c>
      <c r="AL18" s="14" t="str">
        <f>IF(ISERROR(HLOOKUP(O18,$BM$19:$BR26,$D18+1)),"",HLOOKUP(O18,$BM$19:$BR26,$D18+1))</f>
        <v/>
      </c>
      <c r="AM18" s="14" t="str">
        <f>IF(ISERROR(HLOOKUP(P18,$BM$19:$BR26,$D18+1)),"",HLOOKUP(P18,$BM$19:$BR26,$D18+1))</f>
        <v/>
      </c>
      <c r="AN18" s="14" t="str">
        <f>IF(ISERROR(HLOOKUP(Q18,$BM$19:$BR26,$D18+1)),"",HLOOKUP(Q18,$BM$19:$BR26,$D18+1))</f>
        <v/>
      </c>
      <c r="AO18" s="14" t="str">
        <f>IF(ISERROR(HLOOKUP(R18,$BM$19:$BR26,$D18+1)),"",HLOOKUP(R18,$BM$19:$BR26,$D18+1))</f>
        <v/>
      </c>
      <c r="AP18" s="14" t="str">
        <f>IF(ISERROR(HLOOKUP(S18,$BM$19:$BR26,$D18+1)),"",HLOOKUP(S18,$BM$19:$BR26,$D18+1))</f>
        <v/>
      </c>
      <c r="AQ18" s="14" t="str">
        <f>IF(ISERROR(HLOOKUP(T18,$BM$19:$BR26,$D18+1)),"",HLOOKUP(T18,$BM$19:$BR26,$D18+1))</f>
        <v/>
      </c>
      <c r="AR18" s="14" t="str">
        <f>IF(ISERROR(HLOOKUP(U18,$BM$19:$BR26,$D18+1)),"",HLOOKUP(U18,$BM$19:$BR26,$D18+1))</f>
        <v/>
      </c>
      <c r="AS18" s="14" t="str">
        <f>IF(ISERROR(HLOOKUP(V18,$BM$19:$BR26,$D18+1)),"",HLOOKUP(V18,$BM$19:$BR26,$D18+1))</f>
        <v/>
      </c>
      <c r="AT18" s="14" t="str">
        <f>IF(ISERROR(HLOOKUP(W18,$BM$19:$BR26,$D18+1)),"",HLOOKUP(W18,$BM$19:$BR26,$D18+1))</f>
        <v/>
      </c>
      <c r="AU18" s="14" t="str">
        <f>IF(ISERROR(HLOOKUP(X18,$BM$19:$BR26,$D18+1)),"",HLOOKUP(X18,$BM$19:$BR26,$D18+1))</f>
        <v/>
      </c>
      <c r="AV18" s="14" t="s">
        <v>207</v>
      </c>
      <c r="AW18" s="14" t="s">
        <v>207</v>
      </c>
      <c r="AX18" s="24">
        <f>B18</f>
        <v>0</v>
      </c>
      <c r="BA18" s="15"/>
      <c r="BB18" s="197" t="s">
        <v>179</v>
      </c>
      <c r="BC18" s="197"/>
      <c r="BD18" s="197"/>
      <c r="BE18" s="197"/>
      <c r="BG18" s="197" t="s">
        <v>151</v>
      </c>
      <c r="BH18" s="197"/>
      <c r="BI18" s="197"/>
      <c r="BJ18" s="197"/>
      <c r="BN18" s="187" t="s">
        <v>152</v>
      </c>
      <c r="BO18" s="187"/>
      <c r="BP18" s="187"/>
      <c r="BQ18" s="187"/>
      <c r="BR18" s="187"/>
    </row>
    <row r="19" spans="1:70" ht="27" customHeight="1">
      <c r="A19" s="24">
        <v>3</v>
      </c>
      <c r="B19" s="152"/>
      <c r="C19" s="146"/>
      <c r="D19" s="147"/>
      <c r="E19" s="148"/>
      <c r="F19" s="148"/>
      <c r="G19" s="148"/>
      <c r="H19" s="148"/>
      <c r="I19" s="148"/>
      <c r="J19" s="148"/>
      <c r="K19" s="148"/>
      <c r="L19" s="148"/>
      <c r="M19" s="148"/>
      <c r="N19" s="148"/>
      <c r="O19" s="148"/>
      <c r="P19" s="148"/>
      <c r="Q19" s="148"/>
      <c r="R19" s="148"/>
      <c r="S19" s="148"/>
      <c r="T19" s="148"/>
      <c r="U19" s="148"/>
      <c r="V19" s="148"/>
      <c r="W19" s="148"/>
      <c r="X19" s="148"/>
      <c r="Y19" s="158">
        <f t="shared" si="1"/>
        <v>0</v>
      </c>
      <c r="Z19" s="111"/>
      <c r="AA19" s="111"/>
      <c r="AB19" s="14" t="str">
        <f>IF(ISERROR(HLOOKUP(E19,$BM$19:$BR27,$D19+1)),"",HLOOKUP(E19,$BM$19:$BR27,$D19+1))</f>
        <v/>
      </c>
      <c r="AC19" s="14" t="str">
        <f>IF(ISERROR(HLOOKUP(F19,$BM$19:$BR27,$D19+1)),"",HLOOKUP(F19,$BM$19:$BR27,$D19+1))</f>
        <v/>
      </c>
      <c r="AD19" s="14" t="str">
        <f>IF(ISERROR(HLOOKUP(G19,$BM$19:$BR27,$D19+1)),"",HLOOKUP(G19,$BM$19:$BR27,$D19+1))</f>
        <v/>
      </c>
      <c r="AE19" s="14" t="str">
        <f>IF(ISERROR(HLOOKUP(H19,$BM$19:$BR27,$D19+1)),"",HLOOKUP(H19,$BM$19:$BR27,$D19+1))</f>
        <v/>
      </c>
      <c r="AF19" s="14" t="str">
        <f>IF(ISERROR(HLOOKUP(I19,$BM$19:$BR27,$D19+1)),"",HLOOKUP(I19,$BM$19:$BR27,$D19+1))</f>
        <v/>
      </c>
      <c r="AG19" s="14" t="str">
        <f>IF(ISERROR(HLOOKUP(J19,$BM$19:$BR27,$D19+1)),"",HLOOKUP(J19,$BM$19:$BR27,$D19+1))</f>
        <v/>
      </c>
      <c r="AH19" s="14" t="str">
        <f>IF(ISERROR(HLOOKUP(K19,$BM$19:$BR27,$D19+1)),"",HLOOKUP(K19,$BM$19:$BR27,$D19+1))</f>
        <v/>
      </c>
      <c r="AI19" s="14" t="str">
        <f>IF(ISERROR(HLOOKUP(L19,$BM$19:$BR27,$D19+1)),"",HLOOKUP(L19,$BM$19:$BR27,$D19+1))</f>
        <v/>
      </c>
      <c r="AJ19" s="14" t="str">
        <f>IF(ISERROR(HLOOKUP(M19,$BM$19:$BR27,$D19+1)),"",HLOOKUP(M19,$BM$19:$BR27,$D19+1))</f>
        <v/>
      </c>
      <c r="AK19" s="14" t="str">
        <f>IF(ISERROR(HLOOKUP(N19,$BM$19:$BR27,$D19+1)),"",HLOOKUP(N19,$BM$19:$BR27,$D19+1))</f>
        <v/>
      </c>
      <c r="AL19" s="14" t="str">
        <f>IF(ISERROR(HLOOKUP(O19,$BM$19:$BR27,$D19+1)),"",HLOOKUP(O19,$BM$19:$BR27,$D19+1))</f>
        <v/>
      </c>
      <c r="AM19" s="14" t="str">
        <f>IF(ISERROR(HLOOKUP(P19,$BM$19:$BR27,$D19+1)),"",HLOOKUP(P19,$BM$19:$BR27,$D19+1))</f>
        <v/>
      </c>
      <c r="AN19" s="14" t="str">
        <f>IF(ISERROR(HLOOKUP(Q19,$BM$19:$BR27,$D19+1)),"",HLOOKUP(Q19,$BM$19:$BR27,$D19+1))</f>
        <v/>
      </c>
      <c r="AO19" s="14" t="str">
        <f>IF(ISERROR(HLOOKUP(R19,$BM$19:$BR27,$D19+1)),"",HLOOKUP(R19,$BM$19:$BR27,$D19+1))</f>
        <v/>
      </c>
      <c r="AP19" s="14" t="str">
        <f>IF(ISERROR(HLOOKUP(S19,$BM$19:$BR27,$D19+1)),"",HLOOKUP(S19,$BM$19:$BR27,$D19+1))</f>
        <v/>
      </c>
      <c r="AQ19" s="14" t="str">
        <f>IF(ISERROR(HLOOKUP(T19,$BM$19:$BR27,$D19+1)),"",HLOOKUP(T19,$BM$19:$BR27,$D19+1))</f>
        <v/>
      </c>
      <c r="AR19" s="14" t="str">
        <f>IF(ISERROR(HLOOKUP(U19,$BM$19:$BR27,$D19+1)),"",HLOOKUP(U19,$BM$19:$BR27,$D19+1))</f>
        <v/>
      </c>
      <c r="AS19" s="14" t="str">
        <f>IF(ISERROR(HLOOKUP(V19,$BM$19:$BR27,$D19+1)),"",HLOOKUP(V19,$BM$19:$BR27,$D19+1))</f>
        <v/>
      </c>
      <c r="AT19" s="14" t="str">
        <f>IF(ISERROR(HLOOKUP(W19,$BM$19:$BR27,$D19+1)),"",HLOOKUP(W19,$BM$19:$BR27,$D19+1))</f>
        <v/>
      </c>
      <c r="AU19" s="14" t="str">
        <f>IF(ISERROR(HLOOKUP(X19,$BM$19:$BR27,$D19+1)),"",HLOOKUP(X19,$BM$19:$BR27,$D19+1))</f>
        <v/>
      </c>
      <c r="AV19" s="14" t="s">
        <v>207</v>
      </c>
      <c r="AW19" s="14" t="s">
        <v>207</v>
      </c>
      <c r="BA19" s="15"/>
      <c r="BB19" s="56">
        <v>1</v>
      </c>
      <c r="BC19" s="192" t="s">
        <v>180</v>
      </c>
      <c r="BD19" s="192"/>
      <c r="BE19" s="192"/>
      <c r="BG19" s="195">
        <v>1</v>
      </c>
      <c r="BH19" s="193" t="s">
        <v>162</v>
      </c>
      <c r="BI19" s="193"/>
      <c r="BJ19" s="193"/>
      <c r="BN19" s="58">
        <v>1</v>
      </c>
      <c r="BO19" s="58">
        <v>2</v>
      </c>
      <c r="BP19" s="58">
        <v>3</v>
      </c>
      <c r="BQ19" s="58">
        <v>4</v>
      </c>
      <c r="BR19" s="58">
        <v>5</v>
      </c>
    </row>
    <row r="20" spans="1:70" ht="27" customHeight="1">
      <c r="A20" s="24">
        <v>4</v>
      </c>
      <c r="B20" s="152"/>
      <c r="C20" s="146"/>
      <c r="D20" s="147"/>
      <c r="E20" s="148"/>
      <c r="F20" s="148"/>
      <c r="G20" s="148"/>
      <c r="H20" s="148"/>
      <c r="I20" s="148"/>
      <c r="J20" s="148"/>
      <c r="K20" s="148"/>
      <c r="L20" s="148"/>
      <c r="M20" s="148"/>
      <c r="N20" s="148"/>
      <c r="O20" s="148"/>
      <c r="P20" s="148"/>
      <c r="Q20" s="148"/>
      <c r="R20" s="148"/>
      <c r="S20" s="148"/>
      <c r="T20" s="148"/>
      <c r="U20" s="148"/>
      <c r="V20" s="148"/>
      <c r="W20" s="148"/>
      <c r="X20" s="148"/>
      <c r="Y20" s="158">
        <f t="shared" si="1"/>
        <v>0</v>
      </c>
      <c r="Z20" s="111"/>
      <c r="AA20" s="111"/>
      <c r="AB20" s="14" t="str">
        <f>IF(ISERROR(HLOOKUP(E20,$BM$19:$BR28,$D20+1)),"",HLOOKUP(E20,$BM$19:$BR28,$D20+1))</f>
        <v/>
      </c>
      <c r="AC20" s="14" t="str">
        <f>IF(ISERROR(HLOOKUP(F20,$BM$19:$BR28,$D20+1)),"",HLOOKUP(F20,$BM$19:$BR28,$D20+1))</f>
        <v/>
      </c>
      <c r="AD20" s="14" t="str">
        <f>IF(ISERROR(HLOOKUP(G20,$BM$19:$BR28,$D20+1)),"",HLOOKUP(G20,$BM$19:$BR28,$D20+1))</f>
        <v/>
      </c>
      <c r="AE20" s="14" t="str">
        <f>IF(ISERROR(HLOOKUP(H20,$BM$19:$BR28,$D20+1)),"",HLOOKUP(H20,$BM$19:$BR28,$D20+1))</f>
        <v/>
      </c>
      <c r="AF20" s="14" t="str">
        <f>IF(ISERROR(HLOOKUP(I20,$BM$19:$BR28,$D20+1)),"",HLOOKUP(I20,$BM$19:$BR28,$D20+1))</f>
        <v/>
      </c>
      <c r="AG20" s="14" t="str">
        <f>IF(ISERROR(HLOOKUP(J20,$BM$19:$BR28,$D20+1)),"",HLOOKUP(J20,$BM$19:$BR28,$D20+1))</f>
        <v/>
      </c>
      <c r="AH20" s="14" t="str">
        <f>IF(ISERROR(HLOOKUP(K20,$BM$19:$BR28,$D20+1)),"",HLOOKUP(K20,$BM$19:$BR28,$D20+1))</f>
        <v/>
      </c>
      <c r="AI20" s="14" t="str">
        <f>IF(ISERROR(HLOOKUP(L20,$BM$19:$BR28,$D20+1)),"",HLOOKUP(L20,$BM$19:$BR28,$D20+1))</f>
        <v/>
      </c>
      <c r="AJ20" s="14" t="str">
        <f>IF(ISERROR(HLOOKUP(M20,$BM$19:$BR28,$D20+1)),"",HLOOKUP(M20,$BM$19:$BR28,$D20+1))</f>
        <v/>
      </c>
      <c r="AK20" s="14" t="str">
        <f>IF(ISERROR(HLOOKUP(N20,$BM$19:$BR28,$D20+1)),"",HLOOKUP(N20,$BM$19:$BR28,$D20+1))</f>
        <v/>
      </c>
      <c r="AL20" s="14" t="str">
        <f>IF(ISERROR(HLOOKUP(O20,$BM$19:$BR28,$D20+1)),"",HLOOKUP(O20,$BM$19:$BR28,$D20+1))</f>
        <v/>
      </c>
      <c r="AM20" s="14" t="str">
        <f>IF(ISERROR(HLOOKUP(P20,$BM$19:$BR28,$D20+1)),"",HLOOKUP(P20,$BM$19:$BR28,$D20+1))</f>
        <v/>
      </c>
      <c r="AN20" s="14" t="str">
        <f>IF(ISERROR(HLOOKUP(Q20,$BM$19:$BR28,$D20+1)),"",HLOOKUP(Q20,$BM$19:$BR28,$D20+1))</f>
        <v/>
      </c>
      <c r="AO20" s="14" t="str">
        <f>IF(ISERROR(HLOOKUP(R20,$BM$19:$BR28,$D20+1)),"",HLOOKUP(R20,$BM$19:$BR28,$D20+1))</f>
        <v/>
      </c>
      <c r="AP20" s="14" t="str">
        <f>IF(ISERROR(HLOOKUP(S20,$BM$19:$BR28,$D20+1)),"",HLOOKUP(S20,$BM$19:$BR28,$D20+1))</f>
        <v/>
      </c>
      <c r="AQ20" s="14" t="str">
        <f>IF(ISERROR(HLOOKUP(T20,$BM$19:$BR28,$D20+1)),"",HLOOKUP(T20,$BM$19:$BR28,$D20+1))</f>
        <v/>
      </c>
      <c r="AR20" s="14" t="str">
        <f>IF(ISERROR(HLOOKUP(U20,$BM$19:$BR28,$D20+1)),"",HLOOKUP(U20,$BM$19:$BR28,$D20+1))</f>
        <v/>
      </c>
      <c r="AS20" s="14" t="str">
        <f>IF(ISERROR(HLOOKUP(V20,$BM$19:$BR28,$D20+1)),"",HLOOKUP(V20,$BM$19:$BR28,$D20+1))</f>
        <v/>
      </c>
      <c r="AT20" s="14" t="str">
        <f>IF(ISERROR(HLOOKUP(W20,$BM$19:$BR28,$D20+1)),"",HLOOKUP(W20,$BM$19:$BR28,$D20+1))</f>
        <v/>
      </c>
      <c r="AU20" s="14" t="str">
        <f>IF(ISERROR(HLOOKUP(X20,$BM$19:$BR28,$D20+1)),"",HLOOKUP(X20,$BM$19:$BR28,$D20+1))</f>
        <v/>
      </c>
      <c r="AV20" s="14" t="s">
        <v>207</v>
      </c>
      <c r="AW20" s="14" t="s">
        <v>207</v>
      </c>
      <c r="BA20" s="15"/>
      <c r="BB20" s="56">
        <v>2</v>
      </c>
      <c r="BC20" s="192" t="s">
        <v>181</v>
      </c>
      <c r="BD20" s="192"/>
      <c r="BE20" s="192"/>
      <c r="BG20" s="196"/>
      <c r="BH20" s="193"/>
      <c r="BI20" s="193"/>
      <c r="BJ20" s="193"/>
      <c r="BL20" s="188" t="s">
        <v>150</v>
      </c>
      <c r="BM20" s="57">
        <v>1</v>
      </c>
      <c r="BN20" s="34">
        <v>1</v>
      </c>
      <c r="BO20" s="34">
        <v>5</v>
      </c>
      <c r="BP20" s="34">
        <v>25</v>
      </c>
      <c r="BQ20" s="34">
        <v>75</v>
      </c>
      <c r="BR20" s="34">
        <v>100</v>
      </c>
    </row>
    <row r="21" spans="1:70" ht="27" customHeight="1">
      <c r="A21" s="24">
        <v>5</v>
      </c>
      <c r="B21" s="152"/>
      <c r="C21" s="146"/>
      <c r="D21" s="147"/>
      <c r="E21" s="148"/>
      <c r="F21" s="148"/>
      <c r="G21" s="148"/>
      <c r="H21" s="148"/>
      <c r="I21" s="148"/>
      <c r="J21" s="148"/>
      <c r="K21" s="148"/>
      <c r="L21" s="148"/>
      <c r="M21" s="148"/>
      <c r="N21" s="148"/>
      <c r="O21" s="148"/>
      <c r="P21" s="148"/>
      <c r="Q21" s="148"/>
      <c r="R21" s="148"/>
      <c r="S21" s="148"/>
      <c r="T21" s="148"/>
      <c r="U21" s="148"/>
      <c r="V21" s="148"/>
      <c r="W21" s="148"/>
      <c r="X21" s="148"/>
      <c r="Y21" s="158">
        <f t="shared" si="1"/>
        <v>0</v>
      </c>
      <c r="Z21" s="111"/>
      <c r="AA21" s="111"/>
      <c r="AB21" s="14" t="str">
        <f>IF(ISERROR(HLOOKUP(E21,$BM$19:$BR29,$D21+1)),"",HLOOKUP(E21,$BM$19:$BR29,$D21+1))</f>
        <v/>
      </c>
      <c r="AC21" s="14" t="str">
        <f>IF(ISERROR(HLOOKUP(F21,$BM$19:$BR29,$D21+1)),"",HLOOKUP(F21,$BM$19:$BR29,$D21+1))</f>
        <v/>
      </c>
      <c r="AD21" s="14" t="str">
        <f>IF(ISERROR(HLOOKUP(G21,$BM$19:$BR29,$D21+1)),"",HLOOKUP(G21,$BM$19:$BR29,$D21+1))</f>
        <v/>
      </c>
      <c r="AE21" s="14" t="str">
        <f>IF(ISERROR(HLOOKUP(H21,$BM$19:$BR29,$D21+1)),"",HLOOKUP(H21,$BM$19:$BR29,$D21+1))</f>
        <v/>
      </c>
      <c r="AF21" s="14" t="str">
        <f>IF(ISERROR(HLOOKUP(I21,$BM$19:$BR29,$D21+1)),"",HLOOKUP(I21,$BM$19:$BR29,$D21+1))</f>
        <v/>
      </c>
      <c r="AG21" s="14" t="str">
        <f>IF(ISERROR(HLOOKUP(J21,$BM$19:$BR29,$D21+1)),"",HLOOKUP(J21,$BM$19:$BR29,$D21+1))</f>
        <v/>
      </c>
      <c r="AH21" s="14" t="str">
        <f>IF(ISERROR(HLOOKUP(K21,$BM$19:$BR29,$D21+1)),"",HLOOKUP(K21,$BM$19:$BR29,$D21+1))</f>
        <v/>
      </c>
      <c r="AI21" s="14" t="str">
        <f>IF(ISERROR(HLOOKUP(L21,$BM$19:$BR29,$D21+1)),"",HLOOKUP(L21,$BM$19:$BR29,$D21+1))</f>
        <v/>
      </c>
      <c r="AJ21" s="14" t="str">
        <f>IF(ISERROR(HLOOKUP(M21,$BM$19:$BR29,$D21+1)),"",HLOOKUP(M21,$BM$19:$BR29,$D21+1))</f>
        <v/>
      </c>
      <c r="AK21" s="14" t="str">
        <f>IF(ISERROR(HLOOKUP(N21,$BM$19:$BR29,$D21+1)),"",HLOOKUP(N21,$BM$19:$BR29,$D21+1))</f>
        <v/>
      </c>
      <c r="AL21" s="14" t="str">
        <f>IF(ISERROR(HLOOKUP(O21,$BM$19:$BR29,$D21+1)),"",HLOOKUP(O21,$BM$19:$BR29,$D21+1))</f>
        <v/>
      </c>
      <c r="AM21" s="14" t="str">
        <f>IF(ISERROR(HLOOKUP(P21,$BM$19:$BR29,$D21+1)),"",HLOOKUP(P21,$BM$19:$BR29,$D21+1))</f>
        <v/>
      </c>
      <c r="AN21" s="14" t="str">
        <f>IF(ISERROR(HLOOKUP(Q21,$BM$19:$BR29,$D21+1)),"",HLOOKUP(Q21,$BM$19:$BR29,$D21+1))</f>
        <v/>
      </c>
      <c r="AO21" s="14" t="str">
        <f>IF(ISERROR(HLOOKUP(R21,$BM$19:$BR29,$D21+1)),"",HLOOKUP(R21,$BM$19:$BR29,$D21+1))</f>
        <v/>
      </c>
      <c r="AP21" s="14" t="str">
        <f>IF(ISERROR(HLOOKUP(S21,$BM$19:$BR29,$D21+1)),"",HLOOKUP(S21,$BM$19:$BR29,$D21+1))</f>
        <v/>
      </c>
      <c r="AQ21" s="14" t="str">
        <f>IF(ISERROR(HLOOKUP(T21,$BM$19:$BR29,$D21+1)),"",HLOOKUP(T21,$BM$19:$BR29,$D21+1))</f>
        <v/>
      </c>
      <c r="AR21" s="14" t="str">
        <f>IF(ISERROR(HLOOKUP(U21,$BM$19:$BR29,$D21+1)),"",HLOOKUP(U21,$BM$19:$BR29,$D21+1))</f>
        <v/>
      </c>
      <c r="AS21" s="14" t="str">
        <f>IF(ISERROR(HLOOKUP(V21,$BM$19:$BR29,$D21+1)),"",HLOOKUP(V21,$BM$19:$BR29,$D21+1))</f>
        <v/>
      </c>
      <c r="AT21" s="14" t="str">
        <f>IF(ISERROR(HLOOKUP(W21,$BM$19:$BR29,$D21+1)),"",HLOOKUP(W21,$BM$19:$BR29,$D21+1))</f>
        <v/>
      </c>
      <c r="AU21" s="14" t="str">
        <f>IF(ISERROR(HLOOKUP(X21,$BM$19:$BR29,$D21+1)),"",HLOOKUP(X21,$BM$19:$BR29,$D21+1))</f>
        <v/>
      </c>
      <c r="AV21" s="14" t="s">
        <v>207</v>
      </c>
      <c r="AW21" s="14" t="s">
        <v>207</v>
      </c>
      <c r="BA21" s="15"/>
      <c r="BB21" s="56">
        <v>3</v>
      </c>
      <c r="BC21" s="192" t="s">
        <v>182</v>
      </c>
      <c r="BD21" s="192"/>
      <c r="BE21" s="192"/>
      <c r="BG21" s="195">
        <v>2</v>
      </c>
      <c r="BH21" s="193" t="s">
        <v>163</v>
      </c>
      <c r="BI21" s="193"/>
      <c r="BJ21" s="193"/>
      <c r="BL21" s="188"/>
      <c r="BM21" s="57">
        <v>2</v>
      </c>
      <c r="BN21" s="34">
        <v>2</v>
      </c>
      <c r="BO21" s="34">
        <v>10</v>
      </c>
      <c r="BP21" s="34">
        <v>50</v>
      </c>
      <c r="BQ21" s="34">
        <v>150</v>
      </c>
      <c r="BR21" s="34">
        <v>200</v>
      </c>
    </row>
    <row r="22" spans="1:70" ht="27" customHeight="1">
      <c r="A22" s="24">
        <v>6</v>
      </c>
      <c r="B22" s="152"/>
      <c r="C22" s="146"/>
      <c r="D22" s="147"/>
      <c r="E22" s="148"/>
      <c r="F22" s="148"/>
      <c r="G22" s="148"/>
      <c r="H22" s="148"/>
      <c r="I22" s="148"/>
      <c r="J22" s="148"/>
      <c r="K22" s="148"/>
      <c r="L22" s="148"/>
      <c r="M22" s="148"/>
      <c r="N22" s="148"/>
      <c r="O22" s="148"/>
      <c r="P22" s="148"/>
      <c r="Q22" s="148"/>
      <c r="R22" s="148"/>
      <c r="S22" s="148"/>
      <c r="T22" s="148"/>
      <c r="U22" s="148"/>
      <c r="V22" s="148"/>
      <c r="W22" s="148"/>
      <c r="X22" s="148"/>
      <c r="Y22" s="158">
        <f t="shared" si="1"/>
        <v>0</v>
      </c>
      <c r="Z22" s="111"/>
      <c r="AA22" s="111"/>
      <c r="AB22" s="14" t="str">
        <f>IF(ISERROR(HLOOKUP(E22,$BM$19:$BR30,$D22+1)),"",HLOOKUP(E22,$BM$19:$BR30,$D22+1))</f>
        <v/>
      </c>
      <c r="AC22" s="14" t="str">
        <f>IF(ISERROR(HLOOKUP(F22,$BM$19:$BR30,$D22+1)),"",HLOOKUP(F22,$BM$19:$BR30,$D22+1))</f>
        <v/>
      </c>
      <c r="AD22" s="14" t="str">
        <f>IF(ISERROR(HLOOKUP(G22,$BM$19:$BR30,$D22+1)),"",HLOOKUP(G22,$BM$19:$BR30,$D22+1))</f>
        <v/>
      </c>
      <c r="AE22" s="14" t="str">
        <f>IF(ISERROR(HLOOKUP(H22,$BM$19:$BR30,$D22+1)),"",HLOOKUP(H22,$BM$19:$BR30,$D22+1))</f>
        <v/>
      </c>
      <c r="AF22" s="14" t="str">
        <f>IF(ISERROR(HLOOKUP(I22,$BM$19:$BR30,$D22+1)),"",HLOOKUP(I22,$BM$19:$BR30,$D22+1))</f>
        <v/>
      </c>
      <c r="AG22" s="14" t="str">
        <f>IF(ISERROR(HLOOKUP(J22,$BM$19:$BR30,$D22+1)),"",HLOOKUP(J22,$BM$19:$BR30,$D22+1))</f>
        <v/>
      </c>
      <c r="AH22" s="14" t="str">
        <f>IF(ISERROR(HLOOKUP(K22,$BM$19:$BR30,$D22+1)),"",HLOOKUP(K22,$BM$19:$BR30,$D22+1))</f>
        <v/>
      </c>
      <c r="AI22" s="14" t="str">
        <f>IF(ISERROR(HLOOKUP(L22,$BM$19:$BR30,$D22+1)),"",HLOOKUP(L22,$BM$19:$BR30,$D22+1))</f>
        <v/>
      </c>
      <c r="AJ22" s="14" t="str">
        <f>IF(ISERROR(HLOOKUP(M22,$BM$19:$BR30,$D22+1)),"",HLOOKUP(M22,$BM$19:$BR30,$D22+1))</f>
        <v/>
      </c>
      <c r="AK22" s="14" t="str">
        <f>IF(ISERROR(HLOOKUP(N22,$BM$19:$BR30,$D22+1)),"",HLOOKUP(N22,$BM$19:$BR30,$D22+1))</f>
        <v/>
      </c>
      <c r="AL22" s="14" t="str">
        <f>IF(ISERROR(HLOOKUP(O22,$BM$19:$BR30,$D22+1)),"",HLOOKUP(O22,$BM$19:$BR30,$D22+1))</f>
        <v/>
      </c>
      <c r="AM22" s="14" t="str">
        <f>IF(ISERROR(HLOOKUP(P22,$BM$19:$BR30,$D22+1)),"",HLOOKUP(P22,$BM$19:$BR30,$D22+1))</f>
        <v/>
      </c>
      <c r="AN22" s="14" t="str">
        <f>IF(ISERROR(HLOOKUP(Q22,$BM$19:$BR30,$D22+1)),"",HLOOKUP(Q22,$BM$19:$BR30,$D22+1))</f>
        <v/>
      </c>
      <c r="AO22" s="14" t="str">
        <f>IF(ISERROR(HLOOKUP(R22,$BM$19:$BR30,$D22+1)),"",HLOOKUP(R22,$BM$19:$BR30,$D22+1))</f>
        <v/>
      </c>
      <c r="AP22" s="14" t="str">
        <f>IF(ISERROR(HLOOKUP(S22,$BM$19:$BR30,$D22+1)),"",HLOOKUP(S22,$BM$19:$BR30,$D22+1))</f>
        <v/>
      </c>
      <c r="AQ22" s="14" t="str">
        <f>IF(ISERROR(HLOOKUP(T22,$BM$19:$BR30,$D22+1)),"",HLOOKUP(T22,$BM$19:$BR30,$D22+1))</f>
        <v/>
      </c>
      <c r="AR22" s="14" t="str">
        <f>IF(ISERROR(HLOOKUP(U22,$BM$19:$BR30,$D22+1)),"",HLOOKUP(U22,$BM$19:$BR30,$D22+1))</f>
        <v/>
      </c>
      <c r="AS22" s="14" t="str">
        <f>IF(ISERROR(HLOOKUP(V22,$BM$19:$BR30,$D22+1)),"",HLOOKUP(V22,$BM$19:$BR30,$D22+1))</f>
        <v/>
      </c>
      <c r="AT22" s="14" t="str">
        <f>IF(ISERROR(HLOOKUP(W22,$BM$19:$BR30,$D22+1)),"",HLOOKUP(W22,$BM$19:$BR30,$D22+1))</f>
        <v/>
      </c>
      <c r="AU22" s="14" t="str">
        <f>IF(ISERROR(HLOOKUP(X22,$BM$19:$BR30,$D22+1)),"",HLOOKUP(X22,$BM$19:$BR30,$D22+1))</f>
        <v/>
      </c>
      <c r="AV22" s="14" t="s">
        <v>207</v>
      </c>
      <c r="AW22" s="14" t="s">
        <v>207</v>
      </c>
      <c r="BA22" s="15"/>
      <c r="BB22" s="56">
        <v>4</v>
      </c>
      <c r="BC22" s="192" t="s">
        <v>183</v>
      </c>
      <c r="BD22" s="192"/>
      <c r="BE22" s="192"/>
      <c r="BG22" s="196"/>
      <c r="BH22" s="193"/>
      <c r="BI22" s="193"/>
      <c r="BJ22" s="193"/>
      <c r="BL22" s="188"/>
      <c r="BM22" s="57">
        <v>3</v>
      </c>
      <c r="BN22" s="34">
        <v>3</v>
      </c>
      <c r="BO22" s="34">
        <v>15</v>
      </c>
      <c r="BP22" s="34">
        <v>75</v>
      </c>
      <c r="BQ22" s="34">
        <v>225</v>
      </c>
      <c r="BR22" s="34">
        <v>300</v>
      </c>
    </row>
    <row r="23" spans="1:70" ht="38" customHeight="1">
      <c r="A23" s="24">
        <v>7</v>
      </c>
      <c r="B23" s="152"/>
      <c r="C23" s="146"/>
      <c r="D23" s="147"/>
      <c r="E23" s="148"/>
      <c r="F23" s="148"/>
      <c r="G23" s="148"/>
      <c r="H23" s="148"/>
      <c r="I23" s="148"/>
      <c r="J23" s="148"/>
      <c r="K23" s="148"/>
      <c r="L23" s="148"/>
      <c r="M23" s="148"/>
      <c r="N23" s="148"/>
      <c r="O23" s="148"/>
      <c r="P23" s="148"/>
      <c r="Q23" s="148"/>
      <c r="R23" s="148"/>
      <c r="S23" s="148"/>
      <c r="T23" s="148"/>
      <c r="U23" s="148"/>
      <c r="V23" s="148"/>
      <c r="W23" s="148"/>
      <c r="X23" s="148"/>
      <c r="Y23" s="158">
        <f t="shared" si="1"/>
        <v>0</v>
      </c>
      <c r="Z23" s="111"/>
      <c r="AA23" s="111"/>
      <c r="AB23" s="14" t="str">
        <f>IF(ISERROR(HLOOKUP(E23,$BM$19:$BR31,$D23+1)),"",HLOOKUP(E23,$BM$19:$BR31,$D23+1))</f>
        <v/>
      </c>
      <c r="AC23" s="14" t="str">
        <f>IF(ISERROR(HLOOKUP(F23,$BM$19:$BR31,$D23+1)),"",HLOOKUP(F23,$BM$19:$BR31,$D23+1))</f>
        <v/>
      </c>
      <c r="AD23" s="14" t="str">
        <f>IF(ISERROR(HLOOKUP(G23,$BM$19:$BR31,$D23+1)),"",HLOOKUP(G23,$BM$19:$BR31,$D23+1))</f>
        <v/>
      </c>
      <c r="AE23" s="14" t="str">
        <f>IF(ISERROR(HLOOKUP(H23,$BM$19:$BR31,$D23+1)),"",HLOOKUP(H23,$BM$19:$BR31,$D23+1))</f>
        <v/>
      </c>
      <c r="AF23" s="14" t="str">
        <f>IF(ISERROR(HLOOKUP(I23,$BM$19:$BR31,$D23+1)),"",HLOOKUP(I23,$BM$19:$BR31,$D23+1))</f>
        <v/>
      </c>
      <c r="AG23" s="14" t="str">
        <f>IF(ISERROR(HLOOKUP(J23,$BM$19:$BR31,$D23+1)),"",HLOOKUP(J23,$BM$19:$BR31,$D23+1))</f>
        <v/>
      </c>
      <c r="AH23" s="14" t="str">
        <f>IF(ISERROR(HLOOKUP(K23,$BM$19:$BR31,$D23+1)),"",HLOOKUP(K23,$BM$19:$BR31,$D23+1))</f>
        <v/>
      </c>
      <c r="AI23" s="14" t="str">
        <f>IF(ISERROR(HLOOKUP(L23,$BM$19:$BR31,$D23+1)),"",HLOOKUP(L23,$BM$19:$BR31,$D23+1))</f>
        <v/>
      </c>
      <c r="AJ23" s="14" t="str">
        <f>IF(ISERROR(HLOOKUP(M23,$BM$19:$BR31,$D23+1)),"",HLOOKUP(M23,$BM$19:$BR31,$D23+1))</f>
        <v/>
      </c>
      <c r="AK23" s="14" t="str">
        <f>IF(ISERROR(HLOOKUP(N23,$BM$19:$BR31,$D23+1)),"",HLOOKUP(N23,$BM$19:$BR31,$D23+1))</f>
        <v/>
      </c>
      <c r="AL23" s="14" t="str">
        <f>IF(ISERROR(HLOOKUP(O23,$BM$19:$BR31,$D23+1)),"",HLOOKUP(O23,$BM$19:$BR31,$D23+1))</f>
        <v/>
      </c>
      <c r="AM23" s="14" t="str">
        <f>IF(ISERROR(HLOOKUP(P23,$BM$19:$BR31,$D23+1)),"",HLOOKUP(P23,$BM$19:$BR31,$D23+1))</f>
        <v/>
      </c>
      <c r="AN23" s="14" t="str">
        <f>IF(ISERROR(HLOOKUP(Q23,$BM$19:$BR31,$D23+1)),"",HLOOKUP(Q23,$BM$19:$BR31,$D23+1))</f>
        <v/>
      </c>
      <c r="AO23" s="14" t="str">
        <f>IF(ISERROR(HLOOKUP(R23,$BM$19:$BR31,$D23+1)),"",HLOOKUP(R23,$BM$19:$BR31,$D23+1))</f>
        <v/>
      </c>
      <c r="AP23" s="14" t="str">
        <f>IF(ISERROR(HLOOKUP(S23,$BM$19:$BR31,$D23+1)),"",HLOOKUP(S23,$BM$19:$BR31,$D23+1))</f>
        <v/>
      </c>
      <c r="AQ23" s="14" t="str">
        <f>IF(ISERROR(HLOOKUP(T23,$BM$19:$BR31,$D23+1)),"",HLOOKUP(T23,$BM$19:$BR31,$D23+1))</f>
        <v/>
      </c>
      <c r="AR23" s="14" t="str">
        <f>IF(ISERROR(HLOOKUP(U23,$BM$19:$BR31,$D23+1)),"",HLOOKUP(U23,$BM$19:$BR31,$D23+1))</f>
        <v/>
      </c>
      <c r="AS23" s="14" t="str">
        <f>IF(ISERROR(HLOOKUP(V23,$BM$19:$BR31,$D23+1)),"",HLOOKUP(V23,$BM$19:$BR31,$D23+1))</f>
        <v/>
      </c>
      <c r="AT23" s="14" t="str">
        <f>IF(ISERROR(HLOOKUP(W23,$BM$19:$BR31,$D23+1)),"",HLOOKUP(W23,$BM$19:$BR31,$D23+1))</f>
        <v/>
      </c>
      <c r="AU23" s="14" t="str">
        <f>IF(ISERROR(HLOOKUP(X23,$BM$19:$BR31,$D23+1)),"",HLOOKUP(X23,$BM$19:$BR31,$D23+1))</f>
        <v/>
      </c>
      <c r="AV23" s="14" t="s">
        <v>207</v>
      </c>
      <c r="AW23" s="14" t="s">
        <v>207</v>
      </c>
      <c r="BA23" s="15"/>
      <c r="BB23" s="56">
        <v>5</v>
      </c>
      <c r="BC23" s="192" t="s">
        <v>184</v>
      </c>
      <c r="BD23" s="192"/>
      <c r="BE23" s="192"/>
      <c r="BG23" s="195">
        <v>3</v>
      </c>
      <c r="BH23" s="193" t="s">
        <v>164</v>
      </c>
      <c r="BI23" s="193"/>
      <c r="BJ23" s="193"/>
      <c r="BL23" s="188"/>
      <c r="BM23" s="57">
        <v>4</v>
      </c>
      <c r="BN23" s="34">
        <v>4</v>
      </c>
      <c r="BO23" s="34">
        <v>20</v>
      </c>
      <c r="BP23" s="34">
        <v>100</v>
      </c>
      <c r="BQ23" s="34">
        <v>300</v>
      </c>
      <c r="BR23" s="34">
        <v>400</v>
      </c>
    </row>
    <row r="24" spans="1:70" ht="27" customHeight="1">
      <c r="A24" s="24">
        <v>8</v>
      </c>
      <c r="B24" s="152"/>
      <c r="C24" s="146"/>
      <c r="D24" s="147"/>
      <c r="E24" s="148"/>
      <c r="F24" s="148"/>
      <c r="G24" s="148"/>
      <c r="H24" s="148"/>
      <c r="I24" s="148"/>
      <c r="J24" s="148"/>
      <c r="K24" s="148"/>
      <c r="L24" s="148"/>
      <c r="M24" s="148"/>
      <c r="N24" s="148"/>
      <c r="O24" s="148"/>
      <c r="P24" s="148"/>
      <c r="Q24" s="148"/>
      <c r="R24" s="148"/>
      <c r="S24" s="148"/>
      <c r="T24" s="148"/>
      <c r="U24" s="148"/>
      <c r="V24" s="148"/>
      <c r="W24" s="148"/>
      <c r="X24" s="148"/>
      <c r="Y24" s="158">
        <f t="shared" si="1"/>
        <v>0</v>
      </c>
      <c r="Z24" s="111"/>
      <c r="AA24" s="111"/>
      <c r="AB24" s="14" t="str">
        <f>IF(ISERROR(HLOOKUP(E24,$BM$19:$BR32,$D24+1)),"",HLOOKUP(E24,$BM$19:$BR32,$D24+1))</f>
        <v/>
      </c>
      <c r="AC24" s="14" t="str">
        <f>IF(ISERROR(HLOOKUP(F24,$BM$19:$BR32,$D24+1)),"",HLOOKUP(F24,$BM$19:$BR32,$D24+1))</f>
        <v/>
      </c>
      <c r="AD24" s="14" t="str">
        <f>IF(ISERROR(HLOOKUP(G24,$BM$19:$BR32,$D24+1)),"",HLOOKUP(G24,$BM$19:$BR32,$D24+1))</f>
        <v/>
      </c>
      <c r="AE24" s="14" t="str">
        <f>IF(ISERROR(HLOOKUP(H24,$BM$19:$BR32,$D24+1)),"",HLOOKUP(H24,$BM$19:$BR32,$D24+1))</f>
        <v/>
      </c>
      <c r="AF24" s="14" t="str">
        <f>IF(ISERROR(HLOOKUP(I24,$BM$19:$BR32,$D24+1)),"",HLOOKUP(I24,$BM$19:$BR32,$D24+1))</f>
        <v/>
      </c>
      <c r="AG24" s="14" t="str">
        <f>IF(ISERROR(HLOOKUP(J24,$BM$19:$BR32,$D24+1)),"",HLOOKUP(J24,$BM$19:$BR32,$D24+1))</f>
        <v/>
      </c>
      <c r="AH24" s="14" t="str">
        <f>IF(ISERROR(HLOOKUP(K24,$BM$19:$BR32,$D24+1)),"",HLOOKUP(K24,$BM$19:$BR32,$D24+1))</f>
        <v/>
      </c>
      <c r="AI24" s="14" t="str">
        <f>IF(ISERROR(HLOOKUP(L24,$BM$19:$BR32,$D24+1)),"",HLOOKUP(L24,$BM$19:$BR32,$D24+1))</f>
        <v/>
      </c>
      <c r="AJ24" s="14" t="str">
        <f>IF(ISERROR(HLOOKUP(M24,$BM$19:$BR32,$D24+1)),"",HLOOKUP(M24,$BM$19:$BR32,$D24+1))</f>
        <v/>
      </c>
      <c r="AK24" s="14" t="str">
        <f>IF(ISERROR(HLOOKUP(N24,$BM$19:$BR32,$D24+1)),"",HLOOKUP(N24,$BM$19:$BR32,$D24+1))</f>
        <v/>
      </c>
      <c r="AL24" s="14" t="str">
        <f>IF(ISERROR(HLOOKUP(O24,$BM$19:$BR32,$D24+1)),"",HLOOKUP(O24,$BM$19:$BR32,$D24+1))</f>
        <v/>
      </c>
      <c r="AM24" s="14" t="str">
        <f>IF(ISERROR(HLOOKUP(P24,$BM$19:$BR32,$D24+1)),"",HLOOKUP(P24,$BM$19:$BR32,$D24+1))</f>
        <v/>
      </c>
      <c r="AN24" s="14" t="str">
        <f>IF(ISERROR(HLOOKUP(Q24,$BM$19:$BR32,$D24+1)),"",HLOOKUP(Q24,$BM$19:$BR32,$D24+1))</f>
        <v/>
      </c>
      <c r="AO24" s="14" t="str">
        <f>IF(ISERROR(HLOOKUP(R24,$BM$19:$BR32,$D24+1)),"",HLOOKUP(R24,$BM$19:$BR32,$D24+1))</f>
        <v/>
      </c>
      <c r="AP24" s="14" t="str">
        <f>IF(ISERROR(HLOOKUP(S24,$BM$19:$BR32,$D24+1)),"",HLOOKUP(S24,$BM$19:$BR32,$D24+1))</f>
        <v/>
      </c>
      <c r="AQ24" s="14" t="str">
        <f>IF(ISERROR(HLOOKUP(T24,$BM$19:$BR32,$D24+1)),"",HLOOKUP(T24,$BM$19:$BR32,$D24+1))</f>
        <v/>
      </c>
      <c r="AR24" s="14" t="str">
        <f>IF(ISERROR(HLOOKUP(U24,$BM$19:$BR32,$D24+1)),"",HLOOKUP(U24,$BM$19:$BR32,$D24+1))</f>
        <v/>
      </c>
      <c r="AS24" s="14" t="str">
        <f>IF(ISERROR(HLOOKUP(V24,$BM$19:$BR32,$D24+1)),"",HLOOKUP(V24,$BM$19:$BR32,$D24+1))</f>
        <v/>
      </c>
      <c r="AT24" s="14" t="str">
        <f>IF(ISERROR(HLOOKUP(W24,$BM$19:$BR32,$D24+1)),"",HLOOKUP(W24,$BM$19:$BR32,$D24+1))</f>
        <v/>
      </c>
      <c r="AU24" s="14" t="str">
        <f>IF(ISERROR(HLOOKUP(X24,$BM$19:$BR32,$D24+1)),"",HLOOKUP(X24,$BM$19:$BR32,$D24+1))</f>
        <v/>
      </c>
      <c r="AV24" s="14" t="s">
        <v>207</v>
      </c>
      <c r="AW24" s="14" t="s">
        <v>207</v>
      </c>
      <c r="BA24" s="15"/>
      <c r="BB24" s="56">
        <v>6</v>
      </c>
      <c r="BC24" s="192" t="s">
        <v>185</v>
      </c>
      <c r="BD24" s="192"/>
      <c r="BE24" s="192"/>
      <c r="BG24" s="196"/>
      <c r="BH24" s="193"/>
      <c r="BI24" s="193"/>
      <c r="BJ24" s="193"/>
      <c r="BL24" s="188"/>
      <c r="BM24" s="57">
        <v>5</v>
      </c>
      <c r="BN24" s="34">
        <v>5</v>
      </c>
      <c r="BO24" s="34">
        <v>25</v>
      </c>
      <c r="BP24" s="34">
        <v>125</v>
      </c>
      <c r="BQ24" s="34">
        <v>375</v>
      </c>
      <c r="BR24" s="34">
        <v>500</v>
      </c>
    </row>
    <row r="25" spans="1:70" ht="27" customHeight="1">
      <c r="A25" s="24">
        <v>9</v>
      </c>
      <c r="B25" s="152"/>
      <c r="C25" s="146"/>
      <c r="D25" s="147"/>
      <c r="E25" s="148"/>
      <c r="F25" s="148"/>
      <c r="G25" s="148"/>
      <c r="H25" s="148"/>
      <c r="I25" s="148"/>
      <c r="J25" s="148"/>
      <c r="K25" s="148"/>
      <c r="L25" s="148"/>
      <c r="M25" s="148"/>
      <c r="N25" s="148"/>
      <c r="O25" s="148"/>
      <c r="P25" s="148"/>
      <c r="Q25" s="148"/>
      <c r="R25" s="148"/>
      <c r="S25" s="148"/>
      <c r="T25" s="148"/>
      <c r="U25" s="148"/>
      <c r="V25" s="148"/>
      <c r="W25" s="148"/>
      <c r="X25" s="148"/>
      <c r="Y25" s="158">
        <f t="shared" si="1"/>
        <v>0</v>
      </c>
      <c r="Z25" s="111"/>
      <c r="AA25" s="111"/>
      <c r="AB25" s="14" t="str">
        <f>IF(ISERROR(HLOOKUP(E25,$BM$19:$BR33,$D25+1)),"",HLOOKUP(E25,$BM$19:$BR33,$D25+1))</f>
        <v/>
      </c>
      <c r="AC25" s="14" t="str">
        <f>IF(ISERROR(HLOOKUP(F25,$BM$19:$BR33,$D25+1)),"",HLOOKUP(F25,$BM$19:$BR33,$D25+1))</f>
        <v/>
      </c>
      <c r="AD25" s="14" t="str">
        <f>IF(ISERROR(HLOOKUP(G25,$BM$19:$BR33,$D25+1)),"",HLOOKUP(G25,$BM$19:$BR33,$D25+1))</f>
        <v/>
      </c>
      <c r="AE25" s="14" t="str">
        <f>IF(ISERROR(HLOOKUP(H25,$BM$19:$BR33,$D25+1)),"",HLOOKUP(H25,$BM$19:$BR33,$D25+1))</f>
        <v/>
      </c>
      <c r="AF25" s="14" t="str">
        <f>IF(ISERROR(HLOOKUP(I25,$BM$19:$BR33,$D25+1)),"",HLOOKUP(I25,$BM$19:$BR33,$D25+1))</f>
        <v/>
      </c>
      <c r="AG25" s="14" t="str">
        <f>IF(ISERROR(HLOOKUP(J25,$BM$19:$BR33,$D25+1)),"",HLOOKUP(J25,$BM$19:$BR33,$D25+1))</f>
        <v/>
      </c>
      <c r="AH25" s="14" t="str">
        <f>IF(ISERROR(HLOOKUP(K25,$BM$19:$BR33,$D25+1)),"",HLOOKUP(K25,$BM$19:$BR33,$D25+1))</f>
        <v/>
      </c>
      <c r="AI25" s="14" t="str">
        <f>IF(ISERROR(HLOOKUP(L25,$BM$19:$BR33,$D25+1)),"",HLOOKUP(L25,$BM$19:$BR33,$D25+1))</f>
        <v/>
      </c>
      <c r="AJ25" s="14" t="str">
        <f>IF(ISERROR(HLOOKUP(M25,$BM$19:$BR33,$D25+1)),"",HLOOKUP(M25,$BM$19:$BR33,$D25+1))</f>
        <v/>
      </c>
      <c r="AK25" s="14" t="str">
        <f>IF(ISERROR(HLOOKUP(N25,$BM$19:$BR33,$D25+1)),"",HLOOKUP(N25,$BM$19:$BR33,$D25+1))</f>
        <v/>
      </c>
      <c r="AL25" s="14" t="str">
        <f>IF(ISERROR(HLOOKUP(O25,$BM$19:$BR33,$D25+1)),"",HLOOKUP(O25,$BM$19:$BR33,$D25+1))</f>
        <v/>
      </c>
      <c r="AM25" s="14" t="str">
        <f>IF(ISERROR(HLOOKUP(P25,$BM$19:$BR33,$D25+1)),"",HLOOKUP(P25,$BM$19:$BR33,$D25+1))</f>
        <v/>
      </c>
      <c r="AN25" s="14" t="str">
        <f>IF(ISERROR(HLOOKUP(Q25,$BM$19:$BR33,$D25+1)),"",HLOOKUP(Q25,$BM$19:$BR33,$D25+1))</f>
        <v/>
      </c>
      <c r="AO25" s="14" t="str">
        <f>IF(ISERROR(HLOOKUP(R25,$BM$19:$BR33,$D25+1)),"",HLOOKUP(R25,$BM$19:$BR33,$D25+1))</f>
        <v/>
      </c>
      <c r="AP25" s="14" t="str">
        <f>IF(ISERROR(HLOOKUP(S25,$BM$19:$BR33,$D25+1)),"",HLOOKUP(S25,$BM$19:$BR33,$D25+1))</f>
        <v/>
      </c>
      <c r="AQ25" s="14" t="str">
        <f>IF(ISERROR(HLOOKUP(T25,$BM$19:$BR33,$D25+1)),"",HLOOKUP(T25,$BM$19:$BR33,$D25+1))</f>
        <v/>
      </c>
      <c r="AR25" s="14" t="str">
        <f>IF(ISERROR(HLOOKUP(U25,$BM$19:$BR33,$D25+1)),"",HLOOKUP(U25,$BM$19:$BR33,$D25+1))</f>
        <v/>
      </c>
      <c r="AS25" s="14" t="str">
        <f>IF(ISERROR(HLOOKUP(V25,$BM$19:$BR33,$D25+1)),"",HLOOKUP(V25,$BM$19:$BR33,$D25+1))</f>
        <v/>
      </c>
      <c r="AT25" s="14" t="str">
        <f>IF(ISERROR(HLOOKUP(W25,$BM$19:$BR33,$D25+1)),"",HLOOKUP(W25,$BM$19:$BR33,$D25+1))</f>
        <v/>
      </c>
      <c r="AU25" s="14" t="str">
        <f>IF(ISERROR(HLOOKUP(X25,$BM$19:$BR33,$D25+1)),"",HLOOKUP(X25,$BM$19:$BR33,$D25+1))</f>
        <v/>
      </c>
      <c r="AV25" s="14" t="s">
        <v>207</v>
      </c>
      <c r="AW25" s="14" t="s">
        <v>207</v>
      </c>
      <c r="BA25" s="15"/>
      <c r="BB25" s="56">
        <v>7</v>
      </c>
      <c r="BC25" s="192" t="s">
        <v>186</v>
      </c>
      <c r="BD25" s="192"/>
      <c r="BE25" s="192"/>
      <c r="BG25" s="189">
        <v>4</v>
      </c>
      <c r="BH25" s="193" t="s">
        <v>165</v>
      </c>
      <c r="BI25" s="193"/>
      <c r="BJ25" s="193"/>
      <c r="BL25" s="188"/>
      <c r="BM25" s="57">
        <v>6</v>
      </c>
      <c r="BN25" s="34">
        <v>6</v>
      </c>
      <c r="BO25" s="34">
        <v>30</v>
      </c>
      <c r="BP25" s="34">
        <v>150</v>
      </c>
      <c r="BQ25" s="34">
        <v>450</v>
      </c>
      <c r="BR25" s="34">
        <v>600</v>
      </c>
    </row>
    <row r="26" spans="1:70" ht="39" customHeight="1">
      <c r="A26" s="24">
        <v>10</v>
      </c>
      <c r="B26" s="152"/>
      <c r="C26" s="146"/>
      <c r="D26" s="147"/>
      <c r="E26" s="148"/>
      <c r="F26" s="148"/>
      <c r="G26" s="148"/>
      <c r="H26" s="148"/>
      <c r="I26" s="148"/>
      <c r="J26" s="148"/>
      <c r="K26" s="148"/>
      <c r="L26" s="148"/>
      <c r="M26" s="148"/>
      <c r="N26" s="148"/>
      <c r="O26" s="148"/>
      <c r="P26" s="148"/>
      <c r="Q26" s="148"/>
      <c r="R26" s="148"/>
      <c r="S26" s="148"/>
      <c r="T26" s="148"/>
      <c r="U26" s="148"/>
      <c r="V26" s="148"/>
      <c r="W26" s="148"/>
      <c r="X26" s="148"/>
      <c r="Y26" s="158">
        <f t="shared" si="1"/>
        <v>0</v>
      </c>
      <c r="Z26" s="111"/>
      <c r="AA26" s="111"/>
      <c r="AB26" s="14" t="str">
        <f>IF(ISERROR(HLOOKUP(E26,$BM$19:$BR34,$D26+1)),"",HLOOKUP(E26,$BM$19:$BR34,$D26+1))</f>
        <v/>
      </c>
      <c r="AC26" s="14" t="str">
        <f>IF(ISERROR(HLOOKUP(F26,$BM$19:$BR34,$D26+1)),"",HLOOKUP(F26,$BM$19:$BR34,$D26+1))</f>
        <v/>
      </c>
      <c r="AD26" s="14" t="str">
        <f>IF(ISERROR(HLOOKUP(G26,$BM$19:$BR34,$D26+1)),"",HLOOKUP(G26,$BM$19:$BR34,$D26+1))</f>
        <v/>
      </c>
      <c r="AE26" s="14" t="str">
        <f>IF(ISERROR(HLOOKUP(H26,$BM$19:$BR34,$D26+1)),"",HLOOKUP(H26,$BM$19:$BR34,$D26+1))</f>
        <v/>
      </c>
      <c r="AF26" s="14" t="str">
        <f>IF(ISERROR(HLOOKUP(I26,$BM$19:$BR34,$D26+1)),"",HLOOKUP(I26,$BM$19:$BR34,$D26+1))</f>
        <v/>
      </c>
      <c r="AG26" s="14" t="str">
        <f>IF(ISERROR(HLOOKUP(J26,$BM$19:$BR34,$D26+1)),"",HLOOKUP(J26,$BM$19:$BR34,$D26+1))</f>
        <v/>
      </c>
      <c r="AH26" s="14" t="str">
        <f>IF(ISERROR(HLOOKUP(K26,$BM$19:$BR34,$D26+1)),"",HLOOKUP(K26,$BM$19:$BR34,$D26+1))</f>
        <v/>
      </c>
      <c r="AI26" s="14" t="str">
        <f>IF(ISERROR(HLOOKUP(L26,$BM$19:$BR34,$D26+1)),"",HLOOKUP(L26,$BM$19:$BR34,$D26+1))</f>
        <v/>
      </c>
      <c r="AJ26" s="14" t="str">
        <f>IF(ISERROR(HLOOKUP(M26,$BM$19:$BR34,$D26+1)),"",HLOOKUP(M26,$BM$19:$BR34,$D26+1))</f>
        <v/>
      </c>
      <c r="AK26" s="14" t="str">
        <f>IF(ISERROR(HLOOKUP(N26,$BM$19:$BR34,$D26+1)),"",HLOOKUP(N26,$BM$19:$BR34,$D26+1))</f>
        <v/>
      </c>
      <c r="AL26" s="14" t="str">
        <f>IF(ISERROR(HLOOKUP(O26,$BM$19:$BR34,$D26+1)),"",HLOOKUP(O26,$BM$19:$BR34,$D26+1))</f>
        <v/>
      </c>
      <c r="AM26" s="14" t="str">
        <f>IF(ISERROR(HLOOKUP(P26,$BM$19:$BR34,$D26+1)),"",HLOOKUP(P26,$BM$19:$BR34,$D26+1))</f>
        <v/>
      </c>
      <c r="AN26" s="14" t="str">
        <f>IF(ISERROR(HLOOKUP(Q26,$BM$19:$BR34,$D26+1)),"",HLOOKUP(Q26,$BM$19:$BR34,$D26+1))</f>
        <v/>
      </c>
      <c r="AO26" s="14" t="str">
        <f>IF(ISERROR(HLOOKUP(R26,$BM$19:$BR34,$D26+1)),"",HLOOKUP(R26,$BM$19:$BR34,$D26+1))</f>
        <v/>
      </c>
      <c r="AP26" s="14" t="str">
        <f>IF(ISERROR(HLOOKUP(S26,$BM$19:$BR34,$D26+1)),"",HLOOKUP(S26,$BM$19:$BR34,$D26+1))</f>
        <v/>
      </c>
      <c r="AQ26" s="14" t="str">
        <f>IF(ISERROR(HLOOKUP(T26,$BM$19:$BR34,$D26+1)),"",HLOOKUP(T26,$BM$19:$BR34,$D26+1))</f>
        <v/>
      </c>
      <c r="AR26" s="14" t="str">
        <f>IF(ISERROR(HLOOKUP(U26,$BM$19:$BR34,$D26+1)),"",HLOOKUP(U26,$BM$19:$BR34,$D26+1))</f>
        <v/>
      </c>
      <c r="AS26" s="14" t="str">
        <f>IF(ISERROR(HLOOKUP(V26,$BM$19:$BR34,$D26+1)),"",HLOOKUP(V26,$BM$19:$BR34,$D26+1))</f>
        <v/>
      </c>
      <c r="AT26" s="14" t="str">
        <f>IF(ISERROR(HLOOKUP(W26,$BM$19:$BR34,$D26+1)),"",HLOOKUP(W26,$BM$19:$BR34,$D26+1))</f>
        <v/>
      </c>
      <c r="AU26" s="14" t="str">
        <f>IF(ISERROR(HLOOKUP(X26,$BM$19:$BR34,$D26+1)),"",HLOOKUP(X26,$BM$19:$BR34,$D26+1))</f>
        <v/>
      </c>
      <c r="AV26" s="14" t="s">
        <v>207</v>
      </c>
      <c r="AW26" s="14" t="s">
        <v>207</v>
      </c>
      <c r="BA26" s="15"/>
      <c r="BG26" s="194"/>
      <c r="BH26" s="193"/>
      <c r="BI26" s="193"/>
      <c r="BJ26" s="193"/>
    </row>
    <row r="27" spans="1:70" ht="27" customHeight="1">
      <c r="A27" s="24">
        <v>11</v>
      </c>
      <c r="B27" s="152"/>
      <c r="C27" s="146"/>
      <c r="D27" s="147"/>
      <c r="E27" s="148"/>
      <c r="F27" s="148"/>
      <c r="G27" s="148"/>
      <c r="H27" s="148"/>
      <c r="I27" s="148"/>
      <c r="J27" s="148"/>
      <c r="K27" s="148"/>
      <c r="L27" s="148"/>
      <c r="M27" s="148"/>
      <c r="N27" s="148"/>
      <c r="O27" s="148"/>
      <c r="P27" s="148"/>
      <c r="Q27" s="148"/>
      <c r="R27" s="148"/>
      <c r="S27" s="148"/>
      <c r="T27" s="148"/>
      <c r="U27" s="148"/>
      <c r="V27" s="148"/>
      <c r="W27" s="148"/>
      <c r="X27" s="148"/>
      <c r="Y27" s="158">
        <f t="shared" si="1"/>
        <v>0</v>
      </c>
      <c r="Z27" s="111"/>
      <c r="AA27" s="111"/>
      <c r="AB27" s="14" t="str">
        <f>IF(ISERROR(HLOOKUP(E27,$BM$19:$BR35,$D27+1)),"",HLOOKUP(E27,$BM$19:$BR35,$D27+1))</f>
        <v/>
      </c>
      <c r="AC27" s="14" t="str">
        <f>IF(ISERROR(HLOOKUP(F27,$BM$19:$BR35,$D27+1)),"",HLOOKUP(F27,$BM$19:$BR35,$D27+1))</f>
        <v/>
      </c>
      <c r="AD27" s="14" t="str">
        <f>IF(ISERROR(HLOOKUP(G27,$BM$19:$BR35,$D27+1)),"",HLOOKUP(G27,$BM$19:$BR35,$D27+1))</f>
        <v/>
      </c>
      <c r="AE27" s="14" t="str">
        <f>IF(ISERROR(HLOOKUP(H27,$BM$19:$BR35,$D27+1)),"",HLOOKUP(H27,$BM$19:$BR35,$D27+1))</f>
        <v/>
      </c>
      <c r="AF27" s="14" t="str">
        <f>IF(ISERROR(HLOOKUP(I27,$BM$19:$BR35,$D27+1)),"",HLOOKUP(I27,$BM$19:$BR35,$D27+1))</f>
        <v/>
      </c>
      <c r="AG27" s="14" t="str">
        <f>IF(ISERROR(HLOOKUP(J27,$BM$19:$BR35,$D27+1)),"",HLOOKUP(J27,$BM$19:$BR35,$D27+1))</f>
        <v/>
      </c>
      <c r="AH27" s="14" t="str">
        <f>IF(ISERROR(HLOOKUP(K27,$BM$19:$BR35,$D27+1)),"",HLOOKUP(K27,$BM$19:$BR35,$D27+1))</f>
        <v/>
      </c>
      <c r="AI27" s="14" t="str">
        <f>IF(ISERROR(HLOOKUP(L27,$BM$19:$BR35,$D27+1)),"",HLOOKUP(L27,$BM$19:$BR35,$D27+1))</f>
        <v/>
      </c>
      <c r="AJ27" s="14" t="str">
        <f>IF(ISERROR(HLOOKUP(M27,$BM$19:$BR35,$D27+1)),"",HLOOKUP(M27,$BM$19:$BR35,$D27+1))</f>
        <v/>
      </c>
      <c r="AK27" s="14" t="str">
        <f>IF(ISERROR(HLOOKUP(N27,$BM$19:$BR35,$D27+1)),"",HLOOKUP(N27,$BM$19:$BR35,$D27+1))</f>
        <v/>
      </c>
      <c r="AL27" s="14" t="str">
        <f>IF(ISERROR(HLOOKUP(O27,$BM$19:$BR35,$D27+1)),"",HLOOKUP(O27,$BM$19:$BR35,$D27+1))</f>
        <v/>
      </c>
      <c r="AM27" s="14" t="str">
        <f>IF(ISERROR(HLOOKUP(P27,$BM$19:$BR35,$D27+1)),"",HLOOKUP(P27,$BM$19:$BR35,$D27+1))</f>
        <v/>
      </c>
      <c r="AN27" s="14" t="str">
        <f>IF(ISERROR(HLOOKUP(Q27,$BM$19:$BR35,$D27+1)),"",HLOOKUP(Q27,$BM$19:$BR35,$D27+1))</f>
        <v/>
      </c>
      <c r="AO27" s="14" t="str">
        <f>IF(ISERROR(HLOOKUP(R27,$BM$19:$BR35,$D27+1)),"",HLOOKUP(R27,$BM$19:$BR35,$D27+1))</f>
        <v/>
      </c>
      <c r="AP27" s="14" t="str">
        <f>IF(ISERROR(HLOOKUP(S27,$BM$19:$BR35,$D27+1)),"",HLOOKUP(S27,$BM$19:$BR35,$D27+1))</f>
        <v/>
      </c>
      <c r="AQ27" s="14" t="str">
        <f>IF(ISERROR(HLOOKUP(T27,$BM$19:$BR35,$D27+1)),"",HLOOKUP(T27,$BM$19:$BR35,$D27+1))</f>
        <v/>
      </c>
      <c r="AR27" s="14" t="str">
        <f>IF(ISERROR(HLOOKUP(U27,$BM$19:$BR35,$D27+1)),"",HLOOKUP(U27,$BM$19:$BR35,$D27+1))</f>
        <v/>
      </c>
      <c r="AS27" s="14" t="str">
        <f>IF(ISERROR(HLOOKUP(V27,$BM$19:$BR35,$D27+1)),"",HLOOKUP(V27,$BM$19:$BR35,$D27+1))</f>
        <v/>
      </c>
      <c r="AT27" s="14" t="str">
        <f>IF(ISERROR(HLOOKUP(W27,$BM$19:$BR35,$D27+1)),"",HLOOKUP(W27,$BM$19:$BR35,$D27+1))</f>
        <v/>
      </c>
      <c r="AU27" s="14" t="str">
        <f>IF(ISERROR(HLOOKUP(X27,$BM$19:$BR35,$D27+1)),"",HLOOKUP(X27,$BM$19:$BR35,$D27+1))</f>
        <v/>
      </c>
      <c r="AV27" s="14" t="s">
        <v>207</v>
      </c>
      <c r="AW27" s="14" t="s">
        <v>207</v>
      </c>
      <c r="BA27" s="15"/>
      <c r="BG27" s="189">
        <v>5</v>
      </c>
      <c r="BH27" s="191" t="s">
        <v>166</v>
      </c>
      <c r="BI27" s="191"/>
      <c r="BJ27" s="191"/>
    </row>
    <row r="28" spans="1:70" ht="27" customHeight="1">
      <c r="A28" s="24">
        <v>12</v>
      </c>
      <c r="B28" s="152"/>
      <c r="C28" s="149"/>
      <c r="D28" s="147"/>
      <c r="E28" s="148"/>
      <c r="F28" s="148"/>
      <c r="G28" s="148"/>
      <c r="H28" s="148"/>
      <c r="I28" s="148"/>
      <c r="J28" s="148"/>
      <c r="K28" s="148"/>
      <c r="L28" s="148"/>
      <c r="M28" s="148"/>
      <c r="N28" s="148"/>
      <c r="O28" s="148"/>
      <c r="P28" s="148"/>
      <c r="Q28" s="148"/>
      <c r="R28" s="148"/>
      <c r="S28" s="148"/>
      <c r="T28" s="148"/>
      <c r="U28" s="148"/>
      <c r="V28" s="148"/>
      <c r="W28" s="148"/>
      <c r="X28" s="148"/>
      <c r="Y28" s="159">
        <f t="shared" si="1"/>
        <v>0</v>
      </c>
      <c r="Z28" s="111"/>
      <c r="AA28" s="111"/>
      <c r="AB28" s="14" t="str">
        <f>IF(ISERROR(HLOOKUP(E28,$BM$19:$BR36,$D28+1)),"",HLOOKUP(E28,$BM$19:$BR36,$D28+1))</f>
        <v/>
      </c>
      <c r="AC28" s="14" t="str">
        <f>IF(ISERROR(HLOOKUP(F28,$BM$19:$BR36,$D28+1)),"",HLOOKUP(F28,$BM$19:$BR36,$D28+1))</f>
        <v/>
      </c>
      <c r="AD28" s="14" t="str">
        <f>IF(ISERROR(HLOOKUP(G28,$BM$19:$BR36,$D28+1)),"",HLOOKUP(G28,$BM$19:$BR36,$D28+1))</f>
        <v/>
      </c>
      <c r="AE28" s="14" t="str">
        <f>IF(ISERROR(HLOOKUP(H28,$BM$19:$BR36,$D28+1)),"",HLOOKUP(H28,$BM$19:$BR36,$D28+1))</f>
        <v/>
      </c>
      <c r="AF28" s="14" t="str">
        <f>IF(ISERROR(HLOOKUP(I28,$BM$19:$BR36,$D28+1)),"",HLOOKUP(I28,$BM$19:$BR36,$D28+1))</f>
        <v/>
      </c>
      <c r="AG28" s="14" t="str">
        <f>IF(ISERROR(HLOOKUP(J28,$BM$19:$BR36,$D28+1)),"",HLOOKUP(J28,$BM$19:$BR36,$D28+1))</f>
        <v/>
      </c>
      <c r="AH28" s="14" t="str">
        <f>IF(ISERROR(HLOOKUP(K28,$BM$19:$BR36,$D28+1)),"",HLOOKUP(K28,$BM$19:$BR36,$D28+1))</f>
        <v/>
      </c>
      <c r="AI28" s="14" t="str">
        <f>IF(ISERROR(HLOOKUP(L28,$BM$19:$BR36,$D28+1)),"",HLOOKUP(L28,$BM$19:$BR36,$D28+1))</f>
        <v/>
      </c>
      <c r="AJ28" s="14" t="str">
        <f>IF(ISERROR(HLOOKUP(M28,$BM$19:$BR36,$D28+1)),"",HLOOKUP(M28,$BM$19:$BR36,$D28+1))</f>
        <v/>
      </c>
      <c r="AK28" s="14" t="str">
        <f>IF(ISERROR(HLOOKUP(N28,$BM$19:$BR36,$D28+1)),"",HLOOKUP(N28,$BM$19:$BR36,$D28+1))</f>
        <v/>
      </c>
      <c r="AL28" s="14" t="str">
        <f>IF(ISERROR(HLOOKUP(O28,$BM$19:$BR36,$D28+1)),"",HLOOKUP(O28,$BM$19:$BR36,$D28+1))</f>
        <v/>
      </c>
      <c r="AM28" s="14" t="str">
        <f>IF(ISERROR(HLOOKUP(P28,$BM$19:$BR36,$D28+1)),"",HLOOKUP(P28,$BM$19:$BR36,$D28+1))</f>
        <v/>
      </c>
      <c r="AN28" s="14" t="str">
        <f>IF(ISERROR(HLOOKUP(Q28,$BM$19:$BR36,$D28+1)),"",HLOOKUP(Q28,$BM$19:$BR36,$D28+1))</f>
        <v/>
      </c>
      <c r="AO28" s="14" t="str">
        <f>IF(ISERROR(HLOOKUP(R28,$BM$19:$BR36,$D28+1)),"",HLOOKUP(R28,$BM$19:$BR36,$D28+1))</f>
        <v/>
      </c>
      <c r="AP28" s="14" t="str">
        <f>IF(ISERROR(HLOOKUP(S28,$BM$19:$BR36,$D28+1)),"",HLOOKUP(S28,$BM$19:$BR36,$D28+1))</f>
        <v/>
      </c>
      <c r="AQ28" s="14" t="str">
        <f>IF(ISERROR(HLOOKUP(T28,$BM$19:$BR36,$D28+1)),"",HLOOKUP(T28,$BM$19:$BR36,$D28+1))</f>
        <v/>
      </c>
      <c r="AR28" s="14" t="str">
        <f>IF(ISERROR(HLOOKUP(U28,$BM$19:$BR36,$D28+1)),"",HLOOKUP(U28,$BM$19:$BR36,$D28+1))</f>
        <v/>
      </c>
      <c r="AS28" s="14" t="str">
        <f>IF(ISERROR(HLOOKUP(V28,$BM$19:$BR36,$D28+1)),"",HLOOKUP(V28,$BM$19:$BR36,$D28+1))</f>
        <v/>
      </c>
      <c r="AT28" s="14" t="str">
        <f>IF(ISERROR(HLOOKUP(W28,$BM$19:$BR36,$D28+1)),"",HLOOKUP(W28,$BM$19:$BR36,$D28+1))</f>
        <v/>
      </c>
      <c r="AU28" s="14" t="str">
        <f>IF(ISERROR(HLOOKUP(X28,$BM$19:$BR36,$D28+1)),"",HLOOKUP(X28,$BM$19:$BR36,$D28+1))</f>
        <v/>
      </c>
      <c r="AV28" s="110" t="s">
        <v>207</v>
      </c>
      <c r="AW28" s="110" t="s">
        <v>207</v>
      </c>
      <c r="BA28" s="107"/>
      <c r="BG28" s="190"/>
      <c r="BH28" s="191"/>
      <c r="BI28" s="191"/>
      <c r="BJ28" s="191"/>
    </row>
    <row r="29" spans="1:70" ht="27" customHeight="1">
      <c r="A29" s="24">
        <v>13</v>
      </c>
      <c r="B29" s="152"/>
      <c r="C29" s="149"/>
      <c r="D29" s="147"/>
      <c r="E29" s="148"/>
      <c r="F29" s="148"/>
      <c r="G29" s="148"/>
      <c r="H29" s="148"/>
      <c r="I29" s="148"/>
      <c r="J29" s="148"/>
      <c r="K29" s="148"/>
      <c r="L29" s="148"/>
      <c r="M29" s="148"/>
      <c r="N29" s="148"/>
      <c r="O29" s="148"/>
      <c r="P29" s="148"/>
      <c r="Q29" s="148"/>
      <c r="R29" s="148"/>
      <c r="S29" s="148"/>
      <c r="T29" s="148"/>
      <c r="U29" s="148"/>
      <c r="V29" s="148"/>
      <c r="W29" s="148"/>
      <c r="X29" s="148"/>
      <c r="Y29" s="159">
        <f t="shared" si="1"/>
        <v>0</v>
      </c>
      <c r="Z29" s="111"/>
      <c r="AA29" s="111"/>
      <c r="AB29" s="14" t="str">
        <f>IF(ISERROR(HLOOKUP(E29,$BM$19:$BR37,$D29+1)),"",HLOOKUP(E29,$BM$19:$BR37,$D29+1))</f>
        <v/>
      </c>
      <c r="AC29" s="14" t="str">
        <f>IF(ISERROR(HLOOKUP(F29,$BM$19:$BR37,$D29+1)),"",HLOOKUP(F29,$BM$19:$BR37,$D29+1))</f>
        <v/>
      </c>
      <c r="AD29" s="14" t="str">
        <f>IF(ISERROR(HLOOKUP(G29,$BM$19:$BR37,$D29+1)),"",HLOOKUP(G29,$BM$19:$BR37,$D29+1))</f>
        <v/>
      </c>
      <c r="AE29" s="14" t="str">
        <f>IF(ISERROR(HLOOKUP(H29,$BM$19:$BR37,$D29+1)),"",HLOOKUP(H29,$BM$19:$BR37,$D29+1))</f>
        <v/>
      </c>
      <c r="AF29" s="14" t="str">
        <f>IF(ISERROR(HLOOKUP(I29,$BM$19:$BR37,$D29+1)),"",HLOOKUP(I29,$BM$19:$BR37,$D29+1))</f>
        <v/>
      </c>
      <c r="AG29" s="14" t="str">
        <f>IF(ISERROR(HLOOKUP(J29,$BM$19:$BR37,$D29+1)),"",HLOOKUP(J29,$BM$19:$BR37,$D29+1))</f>
        <v/>
      </c>
      <c r="AH29" s="14" t="str">
        <f>IF(ISERROR(HLOOKUP(K29,$BM$19:$BR37,$D29+1)),"",HLOOKUP(K29,$BM$19:$BR37,$D29+1))</f>
        <v/>
      </c>
      <c r="AI29" s="14" t="str">
        <f>IF(ISERROR(HLOOKUP(L29,$BM$19:$BR37,$D29+1)),"",HLOOKUP(L29,$BM$19:$BR37,$D29+1))</f>
        <v/>
      </c>
      <c r="AJ29" s="14" t="str">
        <f>IF(ISERROR(HLOOKUP(M29,$BM$19:$BR37,$D29+1)),"",HLOOKUP(M29,$BM$19:$BR37,$D29+1))</f>
        <v/>
      </c>
      <c r="AK29" s="14" t="str">
        <f>IF(ISERROR(HLOOKUP(N29,$BM$19:$BR37,$D29+1)),"",HLOOKUP(N29,$BM$19:$BR37,$D29+1))</f>
        <v/>
      </c>
      <c r="AL29" s="14" t="str">
        <f>IF(ISERROR(HLOOKUP(O29,$BM$19:$BR37,$D29+1)),"",HLOOKUP(O29,$BM$19:$BR37,$D29+1))</f>
        <v/>
      </c>
      <c r="AM29" s="14" t="str">
        <f>IF(ISERROR(HLOOKUP(P29,$BM$19:$BR37,$D29+1)),"",HLOOKUP(P29,$BM$19:$BR37,$D29+1))</f>
        <v/>
      </c>
      <c r="AN29" s="14" t="str">
        <f>IF(ISERROR(HLOOKUP(Q29,$BM$19:$BR37,$D29+1)),"",HLOOKUP(Q29,$BM$19:$BR37,$D29+1))</f>
        <v/>
      </c>
      <c r="AO29" s="14" t="str">
        <f>IF(ISERROR(HLOOKUP(R29,$BM$19:$BR37,$D29+1)),"",HLOOKUP(R29,$BM$19:$BR37,$D29+1))</f>
        <v/>
      </c>
      <c r="AP29" s="14" t="str">
        <f>IF(ISERROR(HLOOKUP(S29,$BM$19:$BR37,$D29+1)),"",HLOOKUP(S29,$BM$19:$BR37,$D29+1))</f>
        <v/>
      </c>
      <c r="AQ29" s="14" t="str">
        <f>IF(ISERROR(HLOOKUP(T29,$BM$19:$BR37,$D29+1)),"",HLOOKUP(T29,$BM$19:$BR37,$D29+1))</f>
        <v/>
      </c>
      <c r="AR29" s="14" t="str">
        <f>IF(ISERROR(HLOOKUP(U29,$BM$19:$BR37,$D29+1)),"",HLOOKUP(U29,$BM$19:$BR37,$D29+1))</f>
        <v/>
      </c>
      <c r="AS29" s="14" t="str">
        <f>IF(ISERROR(HLOOKUP(V29,$BM$19:$BR37,$D29+1)),"",HLOOKUP(V29,$BM$19:$BR37,$D29+1))</f>
        <v/>
      </c>
      <c r="AT29" s="14" t="str">
        <f>IF(ISERROR(HLOOKUP(W29,$BM$19:$BR37,$D29+1)),"",HLOOKUP(W29,$BM$19:$BR37,$D29+1))</f>
        <v/>
      </c>
      <c r="AU29" s="14" t="str">
        <f>IF(ISERROR(HLOOKUP(X29,$BM$19:$BR37,$D29+1)),"",HLOOKUP(X29,$BM$19:$BR37,$D29+1))</f>
        <v/>
      </c>
      <c r="AV29" s="110" t="s">
        <v>207</v>
      </c>
      <c r="AW29" s="110" t="s">
        <v>207</v>
      </c>
      <c r="BA29" s="107"/>
    </row>
    <row r="30" spans="1:70" ht="27" customHeight="1">
      <c r="A30" s="24">
        <v>14</v>
      </c>
      <c r="B30" s="152"/>
      <c r="C30" s="149"/>
      <c r="D30" s="147"/>
      <c r="E30" s="148"/>
      <c r="F30" s="148"/>
      <c r="G30" s="148"/>
      <c r="H30" s="148"/>
      <c r="I30" s="148"/>
      <c r="J30" s="148"/>
      <c r="K30" s="148"/>
      <c r="L30" s="148"/>
      <c r="M30" s="148"/>
      <c r="N30" s="148"/>
      <c r="O30" s="148"/>
      <c r="P30" s="148"/>
      <c r="Q30" s="148"/>
      <c r="R30" s="148"/>
      <c r="S30" s="148"/>
      <c r="T30" s="148"/>
      <c r="U30" s="148"/>
      <c r="V30" s="148"/>
      <c r="W30" s="148"/>
      <c r="X30" s="148"/>
      <c r="Y30" s="159">
        <f t="shared" si="1"/>
        <v>0</v>
      </c>
      <c r="Z30" s="111"/>
      <c r="AA30" s="111"/>
      <c r="AB30" s="14" t="str">
        <f>IF(ISERROR(HLOOKUP(E30,$BM$19:$BR38,$D30+1)),"",HLOOKUP(E30,$BM$19:$BR38,$D30+1))</f>
        <v/>
      </c>
      <c r="AC30" s="14" t="str">
        <f>IF(ISERROR(HLOOKUP(F30,$BM$19:$BR38,$D30+1)),"",HLOOKUP(F30,$BM$19:$BR38,$D30+1))</f>
        <v/>
      </c>
      <c r="AD30" s="14" t="str">
        <f>IF(ISERROR(HLOOKUP(G30,$BM$19:$BR38,$D30+1)),"",HLOOKUP(G30,$BM$19:$BR38,$D30+1))</f>
        <v/>
      </c>
      <c r="AE30" s="14" t="str">
        <f>IF(ISERROR(HLOOKUP(H30,$BM$19:$BR38,$D30+1)),"",HLOOKUP(H30,$BM$19:$BR38,$D30+1))</f>
        <v/>
      </c>
      <c r="AF30" s="14" t="str">
        <f>IF(ISERROR(HLOOKUP(I30,$BM$19:$BR38,$D30+1)),"",HLOOKUP(I30,$BM$19:$BR38,$D30+1))</f>
        <v/>
      </c>
      <c r="AG30" s="14" t="str">
        <f>IF(ISERROR(HLOOKUP(J30,$BM$19:$BR38,$D30+1)),"",HLOOKUP(J30,$BM$19:$BR38,$D30+1))</f>
        <v/>
      </c>
      <c r="AH30" s="14" t="str">
        <f>IF(ISERROR(HLOOKUP(K30,$BM$19:$BR38,$D30+1)),"",HLOOKUP(K30,$BM$19:$BR38,$D30+1))</f>
        <v/>
      </c>
      <c r="AI30" s="14" t="str">
        <f>IF(ISERROR(HLOOKUP(L30,$BM$19:$BR38,$D30+1)),"",HLOOKUP(L30,$BM$19:$BR38,$D30+1))</f>
        <v/>
      </c>
      <c r="AJ30" s="14" t="str">
        <f>IF(ISERROR(HLOOKUP(M30,$BM$19:$BR38,$D30+1)),"",HLOOKUP(M30,$BM$19:$BR38,$D30+1))</f>
        <v/>
      </c>
      <c r="AK30" s="14" t="str">
        <f>IF(ISERROR(HLOOKUP(N30,$BM$19:$BR38,$D30+1)),"",HLOOKUP(N30,$BM$19:$BR38,$D30+1))</f>
        <v/>
      </c>
      <c r="AL30" s="14" t="str">
        <f>IF(ISERROR(HLOOKUP(O30,$BM$19:$BR38,$D30+1)),"",HLOOKUP(O30,$BM$19:$BR38,$D30+1))</f>
        <v/>
      </c>
      <c r="AM30" s="14" t="str">
        <f>IF(ISERROR(HLOOKUP(P30,$BM$19:$BR38,$D30+1)),"",HLOOKUP(P30,$BM$19:$BR38,$D30+1))</f>
        <v/>
      </c>
      <c r="AN30" s="14" t="str">
        <f>IF(ISERROR(HLOOKUP(Q30,$BM$19:$BR38,$D30+1)),"",HLOOKUP(Q30,$BM$19:$BR38,$D30+1))</f>
        <v/>
      </c>
      <c r="AO30" s="14" t="str">
        <f>IF(ISERROR(HLOOKUP(R30,$BM$19:$BR38,$D30+1)),"",HLOOKUP(R30,$BM$19:$BR38,$D30+1))</f>
        <v/>
      </c>
      <c r="AP30" s="14" t="str">
        <f>IF(ISERROR(HLOOKUP(S30,$BM$19:$BR38,$D30+1)),"",HLOOKUP(S30,$BM$19:$BR38,$D30+1))</f>
        <v/>
      </c>
      <c r="AQ30" s="14" t="str">
        <f>IF(ISERROR(HLOOKUP(T30,$BM$19:$BR38,$D30+1)),"",HLOOKUP(T30,$BM$19:$BR38,$D30+1))</f>
        <v/>
      </c>
      <c r="AR30" s="14" t="str">
        <f>IF(ISERROR(HLOOKUP(U30,$BM$19:$BR38,$D30+1)),"",HLOOKUP(U30,$BM$19:$BR38,$D30+1))</f>
        <v/>
      </c>
      <c r="AS30" s="14" t="str">
        <f>IF(ISERROR(HLOOKUP(V30,$BM$19:$BR38,$D30+1)),"",HLOOKUP(V30,$BM$19:$BR38,$D30+1))</f>
        <v/>
      </c>
      <c r="AT30" s="14" t="str">
        <f>IF(ISERROR(HLOOKUP(W30,$BM$19:$BR38,$D30+1)),"",HLOOKUP(W30,$BM$19:$BR38,$D30+1))</f>
        <v/>
      </c>
      <c r="AU30" s="14" t="str">
        <f>IF(ISERROR(HLOOKUP(X30,$BM$19:$BR38,$D30+1)),"",HLOOKUP(X30,$BM$19:$BR38,$D30+1))</f>
        <v/>
      </c>
      <c r="AV30" s="110" t="s">
        <v>207</v>
      </c>
      <c r="AW30" s="110" t="s">
        <v>207</v>
      </c>
      <c r="BA30" s="107"/>
    </row>
    <row r="31" spans="1:70" ht="27" customHeight="1">
      <c r="A31" s="24">
        <v>15</v>
      </c>
      <c r="B31" s="152"/>
      <c r="C31" s="149"/>
      <c r="D31" s="147"/>
      <c r="E31" s="148"/>
      <c r="F31" s="148"/>
      <c r="G31" s="148"/>
      <c r="H31" s="148"/>
      <c r="I31" s="148"/>
      <c r="J31" s="148"/>
      <c r="K31" s="148"/>
      <c r="L31" s="148"/>
      <c r="M31" s="148"/>
      <c r="N31" s="148"/>
      <c r="O31" s="148"/>
      <c r="P31" s="148"/>
      <c r="Q31" s="148"/>
      <c r="R31" s="148"/>
      <c r="S31" s="148"/>
      <c r="T31" s="148"/>
      <c r="U31" s="148"/>
      <c r="V31" s="148"/>
      <c r="W31" s="148"/>
      <c r="X31" s="148"/>
      <c r="Y31" s="159">
        <f t="shared" si="1"/>
        <v>0</v>
      </c>
      <c r="Z31" s="111"/>
      <c r="AA31" s="111"/>
      <c r="AB31" s="14" t="str">
        <f>IF(ISERROR(HLOOKUP(E31,$BM$19:$BR39,$D31+1)),"",HLOOKUP(E31,$BM$19:$BR39,$D31+1))</f>
        <v/>
      </c>
      <c r="AC31" s="14" t="str">
        <f>IF(ISERROR(HLOOKUP(F31,$BM$19:$BR39,$D31+1)),"",HLOOKUP(F31,$BM$19:$BR39,$D31+1))</f>
        <v/>
      </c>
      <c r="AD31" s="14" t="str">
        <f>IF(ISERROR(HLOOKUP(G31,$BM$19:$BR39,$D31+1)),"",HLOOKUP(G31,$BM$19:$BR39,$D31+1))</f>
        <v/>
      </c>
      <c r="AE31" s="14" t="str">
        <f>IF(ISERROR(HLOOKUP(H31,$BM$19:$BR39,$D31+1)),"",HLOOKUP(H31,$BM$19:$BR39,$D31+1))</f>
        <v/>
      </c>
      <c r="AF31" s="14" t="str">
        <f>IF(ISERROR(HLOOKUP(I31,$BM$19:$BR39,$D31+1)),"",HLOOKUP(I31,$BM$19:$BR39,$D31+1))</f>
        <v/>
      </c>
      <c r="AG31" s="14" t="str">
        <f>IF(ISERROR(HLOOKUP(J31,$BM$19:$BR39,$D31+1)),"",HLOOKUP(J31,$BM$19:$BR39,$D31+1))</f>
        <v/>
      </c>
      <c r="AH31" s="14" t="str">
        <f>IF(ISERROR(HLOOKUP(K31,$BM$19:$BR39,$D31+1)),"",HLOOKUP(K31,$BM$19:$BR39,$D31+1))</f>
        <v/>
      </c>
      <c r="AI31" s="14" t="str">
        <f>IF(ISERROR(HLOOKUP(L31,$BM$19:$BR39,$D31+1)),"",HLOOKUP(L31,$BM$19:$BR39,$D31+1))</f>
        <v/>
      </c>
      <c r="AJ31" s="14" t="str">
        <f>IF(ISERROR(HLOOKUP(M31,$BM$19:$BR39,$D31+1)),"",HLOOKUP(M31,$BM$19:$BR39,$D31+1))</f>
        <v/>
      </c>
      <c r="AK31" s="14" t="str">
        <f>IF(ISERROR(HLOOKUP(N31,$BM$19:$BR39,$D31+1)),"",HLOOKUP(N31,$BM$19:$BR39,$D31+1))</f>
        <v/>
      </c>
      <c r="AL31" s="14" t="str">
        <f>IF(ISERROR(HLOOKUP(O31,$BM$19:$BR39,$D31+1)),"",HLOOKUP(O31,$BM$19:$BR39,$D31+1))</f>
        <v/>
      </c>
      <c r="AM31" s="14" t="str">
        <f>IF(ISERROR(HLOOKUP(P31,$BM$19:$BR39,$D31+1)),"",HLOOKUP(P31,$BM$19:$BR39,$D31+1))</f>
        <v/>
      </c>
      <c r="AN31" s="14" t="str">
        <f>IF(ISERROR(HLOOKUP(Q31,$BM$19:$BR39,$D31+1)),"",HLOOKUP(Q31,$BM$19:$BR39,$D31+1))</f>
        <v/>
      </c>
      <c r="AO31" s="14" t="str">
        <f>IF(ISERROR(HLOOKUP(R31,$BM$19:$BR39,$D31+1)),"",HLOOKUP(R31,$BM$19:$BR39,$D31+1))</f>
        <v/>
      </c>
      <c r="AP31" s="14" t="str">
        <f>IF(ISERROR(HLOOKUP(S31,$BM$19:$BR39,$D31+1)),"",HLOOKUP(S31,$BM$19:$BR39,$D31+1))</f>
        <v/>
      </c>
      <c r="AQ31" s="14" t="str">
        <f>IF(ISERROR(HLOOKUP(T31,$BM$19:$BR39,$D31+1)),"",HLOOKUP(T31,$BM$19:$BR39,$D31+1))</f>
        <v/>
      </c>
      <c r="AR31" s="14" t="str">
        <f>IF(ISERROR(HLOOKUP(U31,$BM$19:$BR39,$D31+1)),"",HLOOKUP(U31,$BM$19:$BR39,$D31+1))</f>
        <v/>
      </c>
      <c r="AS31" s="14" t="str">
        <f>IF(ISERROR(HLOOKUP(V31,$BM$19:$BR39,$D31+1)),"",HLOOKUP(V31,$BM$19:$BR39,$D31+1))</f>
        <v/>
      </c>
      <c r="AT31" s="14" t="str">
        <f>IF(ISERROR(HLOOKUP(W31,$BM$19:$BR39,$D31+1)),"",HLOOKUP(W31,$BM$19:$BR39,$D31+1))</f>
        <v/>
      </c>
      <c r="AU31" s="14" t="str">
        <f>IF(ISERROR(HLOOKUP(X31,$BM$19:$BR39,$D31+1)),"",HLOOKUP(X31,$BM$19:$BR39,$D31+1))</f>
        <v/>
      </c>
      <c r="AV31" s="110" t="s">
        <v>207</v>
      </c>
      <c r="AW31" s="110" t="s">
        <v>207</v>
      </c>
      <c r="BA31" s="15"/>
    </row>
    <row r="32" spans="1:70" ht="27" customHeight="1">
      <c r="A32" s="24">
        <v>16</v>
      </c>
      <c r="B32" s="152"/>
      <c r="C32" s="149"/>
      <c r="D32" s="147"/>
      <c r="E32" s="148"/>
      <c r="F32" s="148"/>
      <c r="G32" s="148"/>
      <c r="H32" s="148"/>
      <c r="I32" s="148"/>
      <c r="J32" s="148"/>
      <c r="K32" s="148"/>
      <c r="L32" s="148"/>
      <c r="M32" s="148"/>
      <c r="N32" s="148"/>
      <c r="O32" s="148"/>
      <c r="P32" s="148"/>
      <c r="Q32" s="148"/>
      <c r="R32" s="148"/>
      <c r="S32" s="148"/>
      <c r="T32" s="148"/>
      <c r="U32" s="148"/>
      <c r="V32" s="148"/>
      <c r="W32" s="148"/>
      <c r="X32" s="148"/>
      <c r="Y32" s="159">
        <f t="shared" si="1"/>
        <v>0</v>
      </c>
      <c r="Z32" s="111"/>
      <c r="AA32" s="111"/>
      <c r="AB32" s="14" t="str">
        <f>IF(ISERROR(HLOOKUP(E32,$BM$19:$BR40,$D32+1)),"",HLOOKUP(E32,$BM$19:$BR40,$D32+1))</f>
        <v/>
      </c>
      <c r="AC32" s="14" t="str">
        <f>IF(ISERROR(HLOOKUP(F32,$BM$19:$BR40,$D32+1)),"",HLOOKUP(F32,$BM$19:$BR40,$D32+1))</f>
        <v/>
      </c>
      <c r="AD32" s="14" t="str">
        <f>IF(ISERROR(HLOOKUP(G32,$BM$19:$BR40,$D32+1)),"",HLOOKUP(G32,$BM$19:$BR40,$D32+1))</f>
        <v/>
      </c>
      <c r="AE32" s="14" t="str">
        <f>IF(ISERROR(HLOOKUP(H32,$BM$19:$BR40,$D32+1)),"",HLOOKUP(H32,$BM$19:$BR40,$D32+1))</f>
        <v/>
      </c>
      <c r="AF32" s="14" t="str">
        <f>IF(ISERROR(HLOOKUP(I32,$BM$19:$BR40,$D32+1)),"",HLOOKUP(I32,$BM$19:$BR40,$D32+1))</f>
        <v/>
      </c>
      <c r="AG32" s="14" t="str">
        <f>IF(ISERROR(HLOOKUP(J32,$BM$19:$BR40,$D32+1)),"",HLOOKUP(J32,$BM$19:$BR40,$D32+1))</f>
        <v/>
      </c>
      <c r="AH32" s="14" t="str">
        <f>IF(ISERROR(HLOOKUP(K32,$BM$19:$BR40,$D32+1)),"",HLOOKUP(K32,$BM$19:$BR40,$D32+1))</f>
        <v/>
      </c>
      <c r="AI32" s="14" t="str">
        <f>IF(ISERROR(HLOOKUP(L32,$BM$19:$BR40,$D32+1)),"",HLOOKUP(L32,$BM$19:$BR40,$D32+1))</f>
        <v/>
      </c>
      <c r="AJ32" s="14" t="str">
        <f>IF(ISERROR(HLOOKUP(M32,$BM$19:$BR40,$D32+1)),"",HLOOKUP(M32,$BM$19:$BR40,$D32+1))</f>
        <v/>
      </c>
      <c r="AK32" s="14" t="str">
        <f>IF(ISERROR(HLOOKUP(N32,$BM$19:$BR40,$D32+1)),"",HLOOKUP(N32,$BM$19:$BR40,$D32+1))</f>
        <v/>
      </c>
      <c r="AL32" s="14" t="str">
        <f>IF(ISERROR(HLOOKUP(O32,$BM$19:$BR40,$D32+1)),"",HLOOKUP(O32,$BM$19:$BR40,$D32+1))</f>
        <v/>
      </c>
      <c r="AM32" s="14" t="str">
        <f>IF(ISERROR(HLOOKUP(P32,$BM$19:$BR40,$D32+1)),"",HLOOKUP(P32,$BM$19:$BR40,$D32+1))</f>
        <v/>
      </c>
      <c r="AN32" s="14" t="str">
        <f>IF(ISERROR(HLOOKUP(Q32,$BM$19:$BR40,$D32+1)),"",HLOOKUP(Q32,$BM$19:$BR40,$D32+1))</f>
        <v/>
      </c>
      <c r="AO32" s="14" t="str">
        <f>IF(ISERROR(HLOOKUP(R32,$BM$19:$BR40,$D32+1)),"",HLOOKUP(R32,$BM$19:$BR40,$D32+1))</f>
        <v/>
      </c>
      <c r="AP32" s="14" t="str">
        <f>IF(ISERROR(HLOOKUP(S32,$BM$19:$BR40,$D32+1)),"",HLOOKUP(S32,$BM$19:$BR40,$D32+1))</f>
        <v/>
      </c>
      <c r="AQ32" s="14" t="str">
        <f>IF(ISERROR(HLOOKUP(T32,$BM$19:$BR40,$D32+1)),"",HLOOKUP(T32,$BM$19:$BR40,$D32+1))</f>
        <v/>
      </c>
      <c r="AR32" s="14" t="str">
        <f>IF(ISERROR(HLOOKUP(U32,$BM$19:$BR40,$D32+1)),"",HLOOKUP(U32,$BM$19:$BR40,$D32+1))</f>
        <v/>
      </c>
      <c r="AS32" s="14" t="str">
        <f>IF(ISERROR(HLOOKUP(V32,$BM$19:$BR40,$D32+1)),"",HLOOKUP(V32,$BM$19:$BR40,$D32+1))</f>
        <v/>
      </c>
      <c r="AT32" s="14" t="str">
        <f>IF(ISERROR(HLOOKUP(W32,$BM$19:$BR40,$D32+1)),"",HLOOKUP(W32,$BM$19:$BR40,$D32+1))</f>
        <v/>
      </c>
      <c r="AU32" s="14" t="str">
        <f>IF(ISERROR(HLOOKUP(X32,$BM$19:$BR40,$D32+1)),"",HLOOKUP(X32,$BM$19:$BR40,$D32+1))</f>
        <v/>
      </c>
      <c r="AV32" s="110" t="s">
        <v>207</v>
      </c>
      <c r="AW32" s="110" t="s">
        <v>207</v>
      </c>
      <c r="BA32" s="16"/>
    </row>
    <row r="33" spans="1:53" ht="27" customHeight="1">
      <c r="A33" s="24">
        <v>17</v>
      </c>
      <c r="B33" s="152"/>
      <c r="C33" s="149"/>
      <c r="D33" s="147"/>
      <c r="E33" s="148"/>
      <c r="F33" s="148"/>
      <c r="G33" s="148"/>
      <c r="H33" s="148"/>
      <c r="I33" s="148"/>
      <c r="J33" s="148"/>
      <c r="K33" s="148"/>
      <c r="L33" s="148"/>
      <c r="M33" s="148"/>
      <c r="N33" s="148"/>
      <c r="O33" s="148"/>
      <c r="P33" s="148"/>
      <c r="Q33" s="148"/>
      <c r="R33" s="148"/>
      <c r="S33" s="148"/>
      <c r="T33" s="148"/>
      <c r="U33" s="148"/>
      <c r="V33" s="148"/>
      <c r="W33" s="148"/>
      <c r="X33" s="148"/>
      <c r="Y33" s="159">
        <f t="shared" si="1"/>
        <v>0</v>
      </c>
      <c r="Z33" s="111"/>
      <c r="AA33" s="111"/>
      <c r="AB33" s="14" t="str">
        <f>IF(ISERROR(HLOOKUP(E33,$BM$19:$BR41,$D33+1)),"",HLOOKUP(E33,$BM$19:$BR41,$D33+1))</f>
        <v/>
      </c>
      <c r="AC33" s="14" t="str">
        <f>IF(ISERROR(HLOOKUP(F33,$BM$19:$BR41,$D33+1)),"",HLOOKUP(F33,$BM$19:$BR41,$D33+1))</f>
        <v/>
      </c>
      <c r="AD33" s="14" t="str">
        <f>IF(ISERROR(HLOOKUP(G33,$BM$19:$BR41,$D33+1)),"",HLOOKUP(G33,$BM$19:$BR41,$D33+1))</f>
        <v/>
      </c>
      <c r="AE33" s="14" t="str">
        <f>IF(ISERROR(HLOOKUP(H33,$BM$19:$BR41,$D33+1)),"",HLOOKUP(H33,$BM$19:$BR41,$D33+1))</f>
        <v/>
      </c>
      <c r="AF33" s="14" t="str">
        <f>IF(ISERROR(HLOOKUP(I33,$BM$19:$BR41,$D33+1)),"",HLOOKUP(I33,$BM$19:$BR41,$D33+1))</f>
        <v/>
      </c>
      <c r="AG33" s="14" t="str">
        <f>IF(ISERROR(HLOOKUP(J33,$BM$19:$BR41,$D33+1)),"",HLOOKUP(J33,$BM$19:$BR41,$D33+1))</f>
        <v/>
      </c>
      <c r="AH33" s="14" t="str">
        <f>IF(ISERROR(HLOOKUP(K33,$BM$19:$BR41,$D33+1)),"",HLOOKUP(K33,$BM$19:$BR41,$D33+1))</f>
        <v/>
      </c>
      <c r="AI33" s="14" t="str">
        <f>IF(ISERROR(HLOOKUP(L33,$BM$19:$BR41,$D33+1)),"",HLOOKUP(L33,$BM$19:$BR41,$D33+1))</f>
        <v/>
      </c>
      <c r="AJ33" s="14" t="str">
        <f>IF(ISERROR(HLOOKUP(M33,$BM$19:$BR41,$D33+1)),"",HLOOKUP(M33,$BM$19:$BR41,$D33+1))</f>
        <v/>
      </c>
      <c r="AK33" s="14" t="str">
        <f>IF(ISERROR(HLOOKUP(N33,$BM$19:$BR41,$D33+1)),"",HLOOKUP(N33,$BM$19:$BR41,$D33+1))</f>
        <v/>
      </c>
      <c r="AL33" s="14" t="str">
        <f>IF(ISERROR(HLOOKUP(O33,$BM$19:$BR41,$D33+1)),"",HLOOKUP(O33,$BM$19:$BR41,$D33+1))</f>
        <v/>
      </c>
      <c r="AM33" s="14" t="str">
        <f>IF(ISERROR(HLOOKUP(P33,$BM$19:$BR41,$D33+1)),"",HLOOKUP(P33,$BM$19:$BR41,$D33+1))</f>
        <v/>
      </c>
      <c r="AN33" s="14" t="str">
        <f>IF(ISERROR(HLOOKUP(Q33,$BM$19:$BR41,$D33+1)),"",HLOOKUP(Q33,$BM$19:$BR41,$D33+1))</f>
        <v/>
      </c>
      <c r="AO33" s="14" t="str">
        <f>IF(ISERROR(HLOOKUP(R33,$BM$19:$BR41,$D33+1)),"",HLOOKUP(R33,$BM$19:$BR41,$D33+1))</f>
        <v/>
      </c>
      <c r="AP33" s="14" t="str">
        <f>IF(ISERROR(HLOOKUP(S33,$BM$19:$BR41,$D33+1)),"",HLOOKUP(S33,$BM$19:$BR41,$D33+1))</f>
        <v/>
      </c>
      <c r="AQ33" s="14" t="str">
        <f>IF(ISERROR(HLOOKUP(T33,$BM$19:$BR41,$D33+1)),"",HLOOKUP(T33,$BM$19:$BR41,$D33+1))</f>
        <v/>
      </c>
      <c r="AR33" s="14" t="str">
        <f>IF(ISERROR(HLOOKUP(U33,$BM$19:$BR41,$D33+1)),"",HLOOKUP(U33,$BM$19:$BR41,$D33+1))</f>
        <v/>
      </c>
      <c r="AS33" s="14" t="str">
        <f>IF(ISERROR(HLOOKUP(V33,$BM$19:$BR41,$D33+1)),"",HLOOKUP(V33,$BM$19:$BR41,$D33+1))</f>
        <v/>
      </c>
      <c r="AT33" s="14" t="str">
        <f>IF(ISERROR(HLOOKUP(W33,$BM$19:$BR41,$D33+1)),"",HLOOKUP(W33,$BM$19:$BR41,$D33+1))</f>
        <v/>
      </c>
      <c r="AU33" s="14" t="str">
        <f>IF(ISERROR(HLOOKUP(X33,$BM$19:$BR41,$D33+1)),"",HLOOKUP(X33,$BM$19:$BR41,$D33+1))</f>
        <v/>
      </c>
      <c r="AV33" s="110" t="s">
        <v>207</v>
      </c>
      <c r="AW33" s="110" t="s">
        <v>207</v>
      </c>
      <c r="BA33" s="16"/>
    </row>
    <row r="34" spans="1:53" ht="27" customHeight="1">
      <c r="A34" s="24">
        <v>18</v>
      </c>
      <c r="B34" s="152"/>
      <c r="C34" s="149"/>
      <c r="D34" s="147"/>
      <c r="E34" s="148"/>
      <c r="F34" s="148"/>
      <c r="G34" s="148"/>
      <c r="H34" s="148"/>
      <c r="I34" s="148"/>
      <c r="J34" s="148"/>
      <c r="K34" s="148"/>
      <c r="L34" s="148"/>
      <c r="M34" s="148"/>
      <c r="N34" s="148"/>
      <c r="O34" s="148"/>
      <c r="P34" s="148"/>
      <c r="Q34" s="148"/>
      <c r="R34" s="148"/>
      <c r="S34" s="148"/>
      <c r="T34" s="148"/>
      <c r="U34" s="148"/>
      <c r="V34" s="148"/>
      <c r="W34" s="148"/>
      <c r="X34" s="148"/>
      <c r="Y34" s="159">
        <f t="shared" si="1"/>
        <v>0</v>
      </c>
      <c r="Z34" s="111"/>
      <c r="AA34" s="111"/>
      <c r="AB34" s="14" t="str">
        <f>IF(ISERROR(HLOOKUP(E34,$BM$19:$BR42,$D34+1)),"",HLOOKUP(E34,$BM$19:$BR42,$D34+1))</f>
        <v/>
      </c>
      <c r="AC34" s="14" t="str">
        <f>IF(ISERROR(HLOOKUP(F34,$BM$19:$BR42,$D34+1)),"",HLOOKUP(F34,$BM$19:$BR42,$D34+1))</f>
        <v/>
      </c>
      <c r="AD34" s="14" t="str">
        <f>IF(ISERROR(HLOOKUP(G34,$BM$19:$BR42,$D34+1)),"",HLOOKUP(G34,$BM$19:$BR42,$D34+1))</f>
        <v/>
      </c>
      <c r="AE34" s="14" t="str">
        <f>IF(ISERROR(HLOOKUP(H34,$BM$19:$BR42,$D34+1)),"",HLOOKUP(H34,$BM$19:$BR42,$D34+1))</f>
        <v/>
      </c>
      <c r="AF34" s="14" t="str">
        <f>IF(ISERROR(HLOOKUP(I34,$BM$19:$BR42,$D34+1)),"",HLOOKUP(I34,$BM$19:$BR42,$D34+1))</f>
        <v/>
      </c>
      <c r="AG34" s="14" t="str">
        <f>IF(ISERROR(HLOOKUP(J34,$BM$19:$BR42,$D34+1)),"",HLOOKUP(J34,$BM$19:$BR42,$D34+1))</f>
        <v/>
      </c>
      <c r="AH34" s="14" t="str">
        <f>IF(ISERROR(HLOOKUP(K34,$BM$19:$BR42,$D34+1)),"",HLOOKUP(K34,$BM$19:$BR42,$D34+1))</f>
        <v/>
      </c>
      <c r="AI34" s="14" t="str">
        <f>IF(ISERROR(HLOOKUP(L34,$BM$19:$BR42,$D34+1)),"",HLOOKUP(L34,$BM$19:$BR42,$D34+1))</f>
        <v/>
      </c>
      <c r="AJ34" s="14" t="str">
        <f>IF(ISERROR(HLOOKUP(M34,$BM$19:$BR42,$D34+1)),"",HLOOKUP(M34,$BM$19:$BR42,$D34+1))</f>
        <v/>
      </c>
      <c r="AK34" s="14" t="str">
        <f>IF(ISERROR(HLOOKUP(N34,$BM$19:$BR42,$D34+1)),"",HLOOKUP(N34,$BM$19:$BR42,$D34+1))</f>
        <v/>
      </c>
      <c r="AL34" s="14" t="str">
        <f>IF(ISERROR(HLOOKUP(O34,$BM$19:$BR42,$D34+1)),"",HLOOKUP(O34,$BM$19:$BR42,$D34+1))</f>
        <v/>
      </c>
      <c r="AM34" s="14" t="str">
        <f>IF(ISERROR(HLOOKUP(P34,$BM$19:$BR42,$D34+1)),"",HLOOKUP(P34,$BM$19:$BR42,$D34+1))</f>
        <v/>
      </c>
      <c r="AN34" s="14" t="str">
        <f>IF(ISERROR(HLOOKUP(Q34,$BM$19:$BR42,$D34+1)),"",HLOOKUP(Q34,$BM$19:$BR42,$D34+1))</f>
        <v/>
      </c>
      <c r="AO34" s="14" t="str">
        <f>IF(ISERROR(HLOOKUP(R34,$BM$19:$BR42,$D34+1)),"",HLOOKUP(R34,$BM$19:$BR42,$D34+1))</f>
        <v/>
      </c>
      <c r="AP34" s="14" t="str">
        <f>IF(ISERROR(HLOOKUP(S34,$BM$19:$BR42,$D34+1)),"",HLOOKUP(S34,$BM$19:$BR42,$D34+1))</f>
        <v/>
      </c>
      <c r="AQ34" s="14" t="str">
        <f>IF(ISERROR(HLOOKUP(T34,$BM$19:$BR42,$D34+1)),"",HLOOKUP(T34,$BM$19:$BR42,$D34+1))</f>
        <v/>
      </c>
      <c r="AR34" s="14" t="str">
        <f>IF(ISERROR(HLOOKUP(U34,$BM$19:$BR42,$D34+1)),"",HLOOKUP(U34,$BM$19:$BR42,$D34+1))</f>
        <v/>
      </c>
      <c r="AS34" s="14" t="str">
        <f>IF(ISERROR(HLOOKUP(V34,$BM$19:$BR42,$D34+1)),"",HLOOKUP(V34,$BM$19:$BR42,$D34+1))</f>
        <v/>
      </c>
      <c r="AT34" s="14" t="str">
        <f>IF(ISERROR(HLOOKUP(W34,$BM$19:$BR42,$D34+1)),"",HLOOKUP(W34,$BM$19:$BR42,$D34+1))</f>
        <v/>
      </c>
      <c r="AU34" s="14" t="str">
        <f>IF(ISERROR(HLOOKUP(X34,$BM$19:$BR42,$D34+1)),"",HLOOKUP(X34,$BM$19:$BR42,$D34+1))</f>
        <v/>
      </c>
      <c r="AV34" s="110" t="s">
        <v>207</v>
      </c>
      <c r="AW34" s="110" t="s">
        <v>207</v>
      </c>
      <c r="BA34" s="16"/>
    </row>
    <row r="35" spans="1:53" ht="27" customHeight="1">
      <c r="A35" s="24">
        <v>19</v>
      </c>
      <c r="B35" s="152"/>
      <c r="C35" s="149"/>
      <c r="D35" s="147"/>
      <c r="E35" s="148"/>
      <c r="F35" s="153"/>
      <c r="G35" s="154"/>
      <c r="H35" s="154"/>
      <c r="I35" s="154"/>
      <c r="J35" s="148"/>
      <c r="K35" s="148"/>
      <c r="L35" s="148"/>
      <c r="M35" s="148"/>
      <c r="N35" s="148"/>
      <c r="O35" s="148"/>
      <c r="P35" s="148"/>
      <c r="Q35" s="148"/>
      <c r="R35" s="148"/>
      <c r="S35" s="148"/>
      <c r="T35" s="148"/>
      <c r="U35" s="148"/>
      <c r="V35" s="148"/>
      <c r="W35" s="148"/>
      <c r="X35" s="148"/>
      <c r="Y35" s="159">
        <f t="shared" si="1"/>
        <v>0</v>
      </c>
      <c r="Z35" s="111"/>
      <c r="AA35" s="111"/>
      <c r="AB35" s="14" t="str">
        <f>IF(ISERROR(HLOOKUP(E35,$BM$19:$BR43,$D35+1)),"",HLOOKUP(E35,$BM$19:$BR43,$D35+1))</f>
        <v/>
      </c>
      <c r="AC35" s="14" t="str">
        <f>IF(ISERROR(HLOOKUP(F35,$BM$19:$BR43,$D35+1)),"",HLOOKUP(F35,$BM$19:$BR43,$D35+1))</f>
        <v/>
      </c>
      <c r="AD35" s="14" t="str">
        <f>IF(ISERROR(HLOOKUP(G35,$BM$19:$BR43,$D35+1)),"",HLOOKUP(G35,$BM$19:$BR43,$D35+1))</f>
        <v/>
      </c>
      <c r="AE35" s="14" t="str">
        <f>IF(ISERROR(HLOOKUP(H35,$BM$19:$BR43,$D35+1)),"",HLOOKUP(H35,$BM$19:$BR43,$D35+1))</f>
        <v/>
      </c>
      <c r="AF35" s="14" t="str">
        <f>IF(ISERROR(HLOOKUP(I35,$BM$19:$BR43,$D35+1)),"",HLOOKUP(I35,$BM$19:$BR43,$D35+1))</f>
        <v/>
      </c>
      <c r="AG35" s="14" t="str">
        <f>IF(ISERROR(HLOOKUP(J35,$BM$19:$BR43,$D35+1)),"",HLOOKUP(J35,$BM$19:$BR43,$D35+1))</f>
        <v/>
      </c>
      <c r="AH35" s="14" t="str">
        <f>IF(ISERROR(HLOOKUP(K35,$BM$19:$BR43,$D35+1)),"",HLOOKUP(K35,$BM$19:$BR43,$D35+1))</f>
        <v/>
      </c>
      <c r="AI35" s="14" t="str">
        <f>IF(ISERROR(HLOOKUP(L35,$BM$19:$BR43,$D35+1)),"",HLOOKUP(L35,$BM$19:$BR43,$D35+1))</f>
        <v/>
      </c>
      <c r="AJ35" s="14" t="str">
        <f>IF(ISERROR(HLOOKUP(M35,$BM$19:$BR43,$D35+1)),"",HLOOKUP(M35,$BM$19:$BR43,$D35+1))</f>
        <v/>
      </c>
      <c r="AK35" s="14" t="str">
        <f>IF(ISERROR(HLOOKUP(N35,$BM$19:$BR43,$D35+1)),"",HLOOKUP(N35,$BM$19:$BR43,$D35+1))</f>
        <v/>
      </c>
      <c r="AL35" s="14" t="str">
        <f>IF(ISERROR(HLOOKUP(O35,$BM$19:$BR43,$D35+1)),"",HLOOKUP(O35,$BM$19:$BR43,$D35+1))</f>
        <v/>
      </c>
      <c r="AM35" s="14" t="str">
        <f>IF(ISERROR(HLOOKUP(P35,$BM$19:$BR43,$D35+1)),"",HLOOKUP(P35,$BM$19:$BR43,$D35+1))</f>
        <v/>
      </c>
      <c r="AN35" s="14" t="str">
        <f>IF(ISERROR(HLOOKUP(Q35,$BM$19:$BR43,$D35+1)),"",HLOOKUP(Q35,$BM$19:$BR43,$D35+1))</f>
        <v/>
      </c>
      <c r="AO35" s="14" t="str">
        <f>IF(ISERROR(HLOOKUP(R35,$BM$19:$BR43,$D35+1)),"",HLOOKUP(R35,$BM$19:$BR43,$D35+1))</f>
        <v/>
      </c>
      <c r="AP35" s="14" t="str">
        <f>IF(ISERROR(HLOOKUP(S35,$BM$19:$BR43,$D35+1)),"",HLOOKUP(S35,$BM$19:$BR43,$D35+1))</f>
        <v/>
      </c>
      <c r="AQ35" s="14" t="str">
        <f>IF(ISERROR(HLOOKUP(T35,$BM$19:$BR43,$D35+1)),"",HLOOKUP(T35,$BM$19:$BR43,$D35+1))</f>
        <v/>
      </c>
      <c r="AR35" s="14" t="str">
        <f>IF(ISERROR(HLOOKUP(U35,$BM$19:$BR43,$D35+1)),"",HLOOKUP(U35,$BM$19:$BR43,$D35+1))</f>
        <v/>
      </c>
      <c r="AS35" s="14" t="str">
        <f>IF(ISERROR(HLOOKUP(V35,$BM$19:$BR43,$D35+1)),"",HLOOKUP(V35,$BM$19:$BR43,$D35+1))</f>
        <v/>
      </c>
      <c r="AT35" s="14" t="str">
        <f>IF(ISERROR(HLOOKUP(W35,$BM$19:$BR43,$D35+1)),"",HLOOKUP(W35,$BM$19:$BR43,$D35+1))</f>
        <v/>
      </c>
      <c r="AU35" s="14" t="str">
        <f>IF(ISERROR(HLOOKUP(X35,$BM$19:$BR43,$D35+1)),"",HLOOKUP(X35,$BM$19:$BR43,$D35+1))</f>
        <v/>
      </c>
      <c r="AV35" s="110" t="s">
        <v>207</v>
      </c>
      <c r="AW35" s="110" t="s">
        <v>207</v>
      </c>
      <c r="BA35" s="16"/>
    </row>
    <row r="36" spans="1:53" ht="27" customHeight="1">
      <c r="A36" s="24">
        <v>20</v>
      </c>
      <c r="B36" s="152"/>
      <c r="C36" s="149"/>
      <c r="D36" s="147"/>
      <c r="E36" s="148"/>
      <c r="F36" s="153"/>
      <c r="G36" s="155"/>
      <c r="H36" s="155"/>
      <c r="I36" s="155"/>
      <c r="J36" s="148"/>
      <c r="K36" s="148"/>
      <c r="L36" s="148"/>
      <c r="M36" s="148"/>
      <c r="N36" s="148"/>
      <c r="O36" s="148"/>
      <c r="P36" s="148"/>
      <c r="Q36" s="148"/>
      <c r="R36" s="148"/>
      <c r="S36" s="148"/>
      <c r="T36" s="148"/>
      <c r="U36" s="148"/>
      <c r="V36" s="148"/>
      <c r="W36" s="148"/>
      <c r="X36" s="148"/>
      <c r="Y36" s="159">
        <f t="shared" si="1"/>
        <v>0</v>
      </c>
      <c r="Z36" s="111"/>
      <c r="AA36" s="111"/>
      <c r="AB36" s="14" t="str">
        <f>IF(ISERROR(HLOOKUP(E36,$BM$19:$BR44,$D36+1)),"",HLOOKUP(E36,$BM$19:$BR44,$D36+1))</f>
        <v/>
      </c>
      <c r="AC36" s="14" t="str">
        <f>IF(ISERROR(HLOOKUP(F36,$BM$19:$BR44,$D36+1)),"",HLOOKUP(F36,$BM$19:$BR44,$D36+1))</f>
        <v/>
      </c>
      <c r="AD36" s="14" t="str">
        <f>IF(ISERROR(HLOOKUP(G36,$BM$19:$BR44,$D36+1)),"",HLOOKUP(G36,$BM$19:$BR44,$D36+1))</f>
        <v/>
      </c>
      <c r="AE36" s="14" t="str">
        <f>IF(ISERROR(HLOOKUP(H36,$BM$19:$BR44,$D36+1)),"",HLOOKUP(H36,$BM$19:$BR44,$D36+1))</f>
        <v/>
      </c>
      <c r="AF36" s="14" t="str">
        <f>IF(ISERROR(HLOOKUP(I36,$BM$19:$BR44,$D36+1)),"",HLOOKUP(I36,$BM$19:$BR44,$D36+1))</f>
        <v/>
      </c>
      <c r="AG36" s="14" t="str">
        <f>IF(ISERROR(HLOOKUP(J36,$BM$19:$BR44,$D36+1)),"",HLOOKUP(J36,$BM$19:$BR44,$D36+1))</f>
        <v/>
      </c>
      <c r="AH36" s="14" t="str">
        <f>IF(ISERROR(HLOOKUP(K36,$BM$19:$BR44,$D36+1)),"",HLOOKUP(K36,$BM$19:$BR44,$D36+1))</f>
        <v/>
      </c>
      <c r="AI36" s="14" t="str">
        <f>IF(ISERROR(HLOOKUP(L36,$BM$19:$BR44,$D36+1)),"",HLOOKUP(L36,$BM$19:$BR44,$D36+1))</f>
        <v/>
      </c>
      <c r="AJ36" s="14" t="str">
        <f>IF(ISERROR(HLOOKUP(M36,$BM$19:$BR44,$D36+1)),"",HLOOKUP(M36,$BM$19:$BR44,$D36+1))</f>
        <v/>
      </c>
      <c r="AK36" s="14" t="str">
        <f>IF(ISERROR(HLOOKUP(N36,$BM$19:$BR44,$D36+1)),"",HLOOKUP(N36,$BM$19:$BR44,$D36+1))</f>
        <v/>
      </c>
      <c r="AL36" s="14" t="str">
        <f>IF(ISERROR(HLOOKUP(O36,$BM$19:$BR44,$D36+1)),"",HLOOKUP(O36,$BM$19:$BR44,$D36+1))</f>
        <v/>
      </c>
      <c r="AM36" s="14" t="str">
        <f>IF(ISERROR(HLOOKUP(P36,$BM$19:$BR44,$D36+1)),"",HLOOKUP(P36,$BM$19:$BR44,$D36+1))</f>
        <v/>
      </c>
      <c r="AN36" s="14" t="str">
        <f>IF(ISERROR(HLOOKUP(Q36,$BM$19:$BR44,$D36+1)),"",HLOOKUP(Q36,$BM$19:$BR44,$D36+1))</f>
        <v/>
      </c>
      <c r="AO36" s="14" t="str">
        <f>IF(ISERROR(HLOOKUP(R36,$BM$19:$BR44,$D36+1)),"",HLOOKUP(R36,$BM$19:$BR44,$D36+1))</f>
        <v/>
      </c>
      <c r="AP36" s="14" t="str">
        <f>IF(ISERROR(HLOOKUP(S36,$BM$19:$BR44,$D36+1)),"",HLOOKUP(S36,$BM$19:$BR44,$D36+1))</f>
        <v/>
      </c>
      <c r="AQ36" s="14" t="str">
        <f>IF(ISERROR(HLOOKUP(T36,$BM$19:$BR44,$D36+1)),"",HLOOKUP(T36,$BM$19:$BR44,$D36+1))</f>
        <v/>
      </c>
      <c r="AR36" s="14" t="str">
        <f>IF(ISERROR(HLOOKUP(U36,$BM$19:$BR44,$D36+1)),"",HLOOKUP(U36,$BM$19:$BR44,$D36+1))</f>
        <v/>
      </c>
      <c r="AS36" s="14" t="str">
        <f>IF(ISERROR(HLOOKUP(V36,$BM$19:$BR44,$D36+1)),"",HLOOKUP(V36,$BM$19:$BR44,$D36+1))</f>
        <v/>
      </c>
      <c r="AT36" s="14" t="str">
        <f>IF(ISERROR(HLOOKUP(W36,$BM$19:$BR44,$D36+1)),"",HLOOKUP(W36,$BM$19:$BR44,$D36+1))</f>
        <v/>
      </c>
      <c r="AU36" s="14" t="str">
        <f>IF(ISERROR(HLOOKUP(X36,$BM$19:$BR44,$D36+1)),"",HLOOKUP(X36,$BM$19:$BR44,$D36+1))</f>
        <v/>
      </c>
      <c r="AV36" s="110" t="s">
        <v>207</v>
      </c>
      <c r="AW36" s="110" t="s">
        <v>207</v>
      </c>
      <c r="BA36" s="16"/>
    </row>
    <row r="37" spans="1:53" ht="27" customHeight="1">
      <c r="A37" s="24">
        <v>21</v>
      </c>
      <c r="B37" s="152"/>
      <c r="C37" s="149"/>
      <c r="D37" s="147"/>
      <c r="E37" s="148"/>
      <c r="F37" s="153"/>
      <c r="G37" s="155"/>
      <c r="H37" s="155"/>
      <c r="I37" s="155"/>
      <c r="J37" s="148"/>
      <c r="K37" s="148"/>
      <c r="L37" s="148"/>
      <c r="M37" s="148"/>
      <c r="N37" s="148"/>
      <c r="O37" s="148"/>
      <c r="P37" s="148"/>
      <c r="Q37" s="148"/>
      <c r="R37" s="148"/>
      <c r="S37" s="148"/>
      <c r="T37" s="148"/>
      <c r="U37" s="148"/>
      <c r="V37" s="148"/>
      <c r="W37" s="148"/>
      <c r="X37" s="148"/>
      <c r="Y37" s="159">
        <f t="shared" si="1"/>
        <v>0</v>
      </c>
      <c r="Z37" s="111"/>
      <c r="AA37" s="111"/>
      <c r="AB37" s="14" t="str">
        <f>IF(ISERROR(HLOOKUP(E37,$BM$19:$BR45,$D37+1)),"",HLOOKUP(E37,$BM$19:$BR45,$D37+1))</f>
        <v/>
      </c>
      <c r="AC37" s="14" t="str">
        <f>IF(ISERROR(HLOOKUP(F37,$BM$19:$BR45,$D37+1)),"",HLOOKUP(F37,$BM$19:$BR45,$D37+1))</f>
        <v/>
      </c>
      <c r="AD37" s="14" t="str">
        <f>IF(ISERROR(HLOOKUP(G37,$BM$19:$BR45,$D37+1)),"",HLOOKUP(G37,$BM$19:$BR45,$D37+1))</f>
        <v/>
      </c>
      <c r="AE37" s="14" t="str">
        <f>IF(ISERROR(HLOOKUP(H37,$BM$19:$BR45,$D37+1)),"",HLOOKUP(H37,$BM$19:$BR45,$D37+1))</f>
        <v/>
      </c>
      <c r="AF37" s="14" t="str">
        <f>IF(ISERROR(HLOOKUP(I37,$BM$19:$BR45,$D37+1)),"",HLOOKUP(I37,$BM$19:$BR45,$D37+1))</f>
        <v/>
      </c>
      <c r="AG37" s="14" t="str">
        <f>IF(ISERROR(HLOOKUP(J37,$BM$19:$BR45,$D37+1)),"",HLOOKUP(J37,$BM$19:$BR45,$D37+1))</f>
        <v/>
      </c>
      <c r="AH37" s="14" t="str">
        <f>IF(ISERROR(HLOOKUP(K37,$BM$19:$BR45,$D37+1)),"",HLOOKUP(K37,$BM$19:$BR45,$D37+1))</f>
        <v/>
      </c>
      <c r="AI37" s="14" t="str">
        <f>IF(ISERROR(HLOOKUP(L37,$BM$19:$BR45,$D37+1)),"",HLOOKUP(L37,$BM$19:$BR45,$D37+1))</f>
        <v/>
      </c>
      <c r="AJ37" s="14" t="str">
        <f>IF(ISERROR(HLOOKUP(M37,$BM$19:$BR45,$D37+1)),"",HLOOKUP(M37,$BM$19:$BR45,$D37+1))</f>
        <v/>
      </c>
      <c r="AK37" s="14" t="str">
        <f>IF(ISERROR(HLOOKUP(N37,$BM$19:$BR45,$D37+1)),"",HLOOKUP(N37,$BM$19:$BR45,$D37+1))</f>
        <v/>
      </c>
      <c r="AL37" s="14" t="str">
        <f>IF(ISERROR(HLOOKUP(O37,$BM$19:$BR45,$D37+1)),"",HLOOKUP(O37,$BM$19:$BR45,$D37+1))</f>
        <v/>
      </c>
      <c r="AM37" s="14" t="str">
        <f>IF(ISERROR(HLOOKUP(P37,$BM$19:$BR45,$D37+1)),"",HLOOKUP(P37,$BM$19:$BR45,$D37+1))</f>
        <v/>
      </c>
      <c r="AN37" s="14" t="str">
        <f>IF(ISERROR(HLOOKUP(Q37,$BM$19:$BR45,$D37+1)),"",HLOOKUP(Q37,$BM$19:$BR45,$D37+1))</f>
        <v/>
      </c>
      <c r="AO37" s="14" t="str">
        <f>IF(ISERROR(HLOOKUP(R37,$BM$19:$BR45,$D37+1)),"",HLOOKUP(R37,$BM$19:$BR45,$D37+1))</f>
        <v/>
      </c>
      <c r="AP37" s="14" t="str">
        <f>IF(ISERROR(HLOOKUP(S37,$BM$19:$BR45,$D37+1)),"",HLOOKUP(S37,$BM$19:$BR45,$D37+1))</f>
        <v/>
      </c>
      <c r="AQ37" s="14" t="str">
        <f>IF(ISERROR(HLOOKUP(T37,$BM$19:$BR45,$D37+1)),"",HLOOKUP(T37,$BM$19:$BR45,$D37+1))</f>
        <v/>
      </c>
      <c r="AR37" s="14" t="str">
        <f>IF(ISERROR(HLOOKUP(U37,$BM$19:$BR45,$D37+1)),"",HLOOKUP(U37,$BM$19:$BR45,$D37+1))</f>
        <v/>
      </c>
      <c r="AS37" s="14" t="str">
        <f>IF(ISERROR(HLOOKUP(V37,$BM$19:$BR45,$D37+1)),"",HLOOKUP(V37,$BM$19:$BR45,$D37+1))</f>
        <v/>
      </c>
      <c r="AT37" s="14" t="str">
        <f>IF(ISERROR(HLOOKUP(W37,$BM$19:$BR45,$D37+1)),"",HLOOKUP(W37,$BM$19:$BR45,$D37+1))</f>
        <v/>
      </c>
      <c r="AU37" s="14" t="str">
        <f>IF(ISERROR(HLOOKUP(X37,$BM$19:$BR45,$D37+1)),"",HLOOKUP(X37,$BM$19:$BR45,$D37+1))</f>
        <v/>
      </c>
      <c r="AV37" s="110" t="s">
        <v>207</v>
      </c>
      <c r="AW37" s="110" t="s">
        <v>207</v>
      </c>
      <c r="BA37" s="15"/>
    </row>
    <row r="38" spans="1:53" ht="27" customHeight="1">
      <c r="A38" s="24">
        <v>22</v>
      </c>
      <c r="B38" s="152"/>
      <c r="C38" s="149"/>
      <c r="D38" s="147"/>
      <c r="E38" s="148"/>
      <c r="F38" s="153"/>
      <c r="G38" s="155"/>
      <c r="H38" s="155"/>
      <c r="I38" s="155"/>
      <c r="J38" s="148"/>
      <c r="K38" s="148"/>
      <c r="L38" s="148"/>
      <c r="M38" s="148"/>
      <c r="N38" s="148"/>
      <c r="O38" s="148"/>
      <c r="P38" s="148"/>
      <c r="Q38" s="148"/>
      <c r="R38" s="148"/>
      <c r="S38" s="148"/>
      <c r="T38" s="148"/>
      <c r="U38" s="148"/>
      <c r="V38" s="148"/>
      <c r="W38" s="148"/>
      <c r="X38" s="148"/>
      <c r="Y38" s="159">
        <f t="shared" si="1"/>
        <v>0</v>
      </c>
      <c r="Z38" s="111"/>
      <c r="AA38" s="111"/>
      <c r="AB38" s="14" t="str">
        <f>IF(ISERROR(HLOOKUP(E38,$BM$19:$BR46,$D38+1)),"",HLOOKUP(E38,$BM$19:$BR46,$D38+1))</f>
        <v/>
      </c>
      <c r="AC38" s="14" t="str">
        <f>IF(ISERROR(HLOOKUP(F38,$BM$19:$BR46,$D38+1)),"",HLOOKUP(F38,$BM$19:$BR46,$D38+1))</f>
        <v/>
      </c>
      <c r="AD38" s="14" t="str">
        <f>IF(ISERROR(HLOOKUP(G38,$BM$19:$BR46,$D38+1)),"",HLOOKUP(G38,$BM$19:$BR46,$D38+1))</f>
        <v/>
      </c>
      <c r="AE38" s="14" t="str">
        <f>IF(ISERROR(HLOOKUP(H38,$BM$19:$BR46,$D38+1)),"",HLOOKUP(H38,$BM$19:$BR46,$D38+1))</f>
        <v/>
      </c>
      <c r="AF38" s="14" t="str">
        <f>IF(ISERROR(HLOOKUP(I38,$BM$19:$BR46,$D38+1)),"",HLOOKUP(I38,$BM$19:$BR46,$D38+1))</f>
        <v/>
      </c>
      <c r="AG38" s="14" t="str">
        <f>IF(ISERROR(HLOOKUP(J38,$BM$19:$BR46,$D38+1)),"",HLOOKUP(J38,$BM$19:$BR46,$D38+1))</f>
        <v/>
      </c>
      <c r="AH38" s="14" t="str">
        <f>IF(ISERROR(HLOOKUP(K38,$BM$19:$BR46,$D38+1)),"",HLOOKUP(K38,$BM$19:$BR46,$D38+1))</f>
        <v/>
      </c>
      <c r="AI38" s="14" t="str">
        <f>IF(ISERROR(HLOOKUP(L38,$BM$19:$BR46,$D38+1)),"",HLOOKUP(L38,$BM$19:$BR46,$D38+1))</f>
        <v/>
      </c>
      <c r="AJ38" s="14" t="str">
        <f>IF(ISERROR(HLOOKUP(M38,$BM$19:$BR46,$D38+1)),"",HLOOKUP(M38,$BM$19:$BR46,$D38+1))</f>
        <v/>
      </c>
      <c r="AK38" s="14" t="str">
        <f>IF(ISERROR(HLOOKUP(N38,$BM$19:$BR46,$D38+1)),"",HLOOKUP(N38,$BM$19:$BR46,$D38+1))</f>
        <v/>
      </c>
      <c r="AL38" s="14" t="str">
        <f>IF(ISERROR(HLOOKUP(O38,$BM$19:$BR46,$D38+1)),"",HLOOKUP(O38,$BM$19:$BR46,$D38+1))</f>
        <v/>
      </c>
      <c r="AM38" s="14" t="str">
        <f>IF(ISERROR(HLOOKUP(P38,$BM$19:$BR46,$D38+1)),"",HLOOKUP(P38,$BM$19:$BR46,$D38+1))</f>
        <v/>
      </c>
      <c r="AN38" s="14" t="str">
        <f>IF(ISERROR(HLOOKUP(Q38,$BM$19:$BR46,$D38+1)),"",HLOOKUP(Q38,$BM$19:$BR46,$D38+1))</f>
        <v/>
      </c>
      <c r="AO38" s="14" t="str">
        <f>IF(ISERROR(HLOOKUP(R38,$BM$19:$BR46,$D38+1)),"",HLOOKUP(R38,$BM$19:$BR46,$D38+1))</f>
        <v/>
      </c>
      <c r="AP38" s="14" t="str">
        <f>IF(ISERROR(HLOOKUP(S38,$BM$19:$BR46,$D38+1)),"",HLOOKUP(S38,$BM$19:$BR46,$D38+1))</f>
        <v/>
      </c>
      <c r="AQ38" s="14" t="str">
        <f>IF(ISERROR(HLOOKUP(T38,$BM$19:$BR46,$D38+1)),"",HLOOKUP(T38,$BM$19:$BR46,$D38+1))</f>
        <v/>
      </c>
      <c r="AR38" s="14" t="str">
        <f>IF(ISERROR(HLOOKUP(U38,$BM$19:$BR46,$D38+1)),"",HLOOKUP(U38,$BM$19:$BR46,$D38+1))</f>
        <v/>
      </c>
      <c r="AS38" s="14" t="str">
        <f>IF(ISERROR(HLOOKUP(V38,$BM$19:$BR46,$D38+1)),"",HLOOKUP(V38,$BM$19:$BR46,$D38+1))</f>
        <v/>
      </c>
      <c r="AT38" s="14" t="str">
        <f>IF(ISERROR(HLOOKUP(W38,$BM$19:$BR46,$D38+1)),"",HLOOKUP(W38,$BM$19:$BR46,$D38+1))</f>
        <v/>
      </c>
      <c r="AU38" s="14" t="str">
        <f>IF(ISERROR(HLOOKUP(X38,$BM$19:$BR46,$D38+1)),"",HLOOKUP(X38,$BM$19:$BR46,$D38+1))</f>
        <v/>
      </c>
      <c r="AV38" s="110" t="s">
        <v>207</v>
      </c>
      <c r="AW38" s="110" t="s">
        <v>207</v>
      </c>
      <c r="BA38" s="15"/>
    </row>
    <row r="39" spans="1:53" ht="27" customHeight="1">
      <c r="A39" s="24">
        <v>23</v>
      </c>
      <c r="B39" s="152"/>
      <c r="C39" s="149"/>
      <c r="D39" s="147"/>
      <c r="E39" s="148"/>
      <c r="F39" s="153"/>
      <c r="G39" s="155"/>
      <c r="H39" s="155"/>
      <c r="I39" s="155"/>
      <c r="J39" s="148"/>
      <c r="K39" s="148"/>
      <c r="L39" s="148"/>
      <c r="M39" s="148"/>
      <c r="N39" s="148"/>
      <c r="O39" s="148"/>
      <c r="P39" s="148"/>
      <c r="Q39" s="148"/>
      <c r="R39" s="148"/>
      <c r="S39" s="148"/>
      <c r="T39" s="148"/>
      <c r="U39" s="148"/>
      <c r="V39" s="148"/>
      <c r="W39" s="148"/>
      <c r="X39" s="148"/>
      <c r="Y39" s="159">
        <f t="shared" si="1"/>
        <v>0</v>
      </c>
      <c r="Z39" s="111"/>
      <c r="AA39" s="111"/>
      <c r="AB39" s="14" t="str">
        <f>IF(ISERROR(HLOOKUP(E39,$BM$19:$BR47,$D39+1)),"",HLOOKUP(E39,$BM$19:$BR47,$D39+1))</f>
        <v/>
      </c>
      <c r="AC39" s="14" t="str">
        <f>IF(ISERROR(HLOOKUP(F39,$BM$19:$BR47,$D39+1)),"",HLOOKUP(F39,$BM$19:$BR47,$D39+1))</f>
        <v/>
      </c>
      <c r="AD39" s="14" t="str">
        <f>IF(ISERROR(HLOOKUP(G39,$BM$19:$BR47,$D39+1)),"",HLOOKUP(G39,$BM$19:$BR47,$D39+1))</f>
        <v/>
      </c>
      <c r="AE39" s="14" t="str">
        <f>IF(ISERROR(HLOOKUP(H39,$BM$19:$BR47,$D39+1)),"",HLOOKUP(H39,$BM$19:$BR47,$D39+1))</f>
        <v/>
      </c>
      <c r="AF39" s="14" t="str">
        <f>IF(ISERROR(HLOOKUP(I39,$BM$19:$BR47,$D39+1)),"",HLOOKUP(I39,$BM$19:$BR47,$D39+1))</f>
        <v/>
      </c>
      <c r="AG39" s="14" t="str">
        <f>IF(ISERROR(HLOOKUP(J39,$BM$19:$BR47,$D39+1)),"",HLOOKUP(J39,$BM$19:$BR47,$D39+1))</f>
        <v/>
      </c>
      <c r="AH39" s="14" t="str">
        <f>IF(ISERROR(HLOOKUP(K39,$BM$19:$BR47,$D39+1)),"",HLOOKUP(K39,$BM$19:$BR47,$D39+1))</f>
        <v/>
      </c>
      <c r="AI39" s="14" t="str">
        <f>IF(ISERROR(HLOOKUP(L39,$BM$19:$BR47,$D39+1)),"",HLOOKUP(L39,$BM$19:$BR47,$D39+1))</f>
        <v/>
      </c>
      <c r="AJ39" s="14" t="str">
        <f>IF(ISERROR(HLOOKUP(M39,$BM$19:$BR47,$D39+1)),"",HLOOKUP(M39,$BM$19:$BR47,$D39+1))</f>
        <v/>
      </c>
      <c r="AK39" s="14" t="str">
        <f>IF(ISERROR(HLOOKUP(N39,$BM$19:$BR47,$D39+1)),"",HLOOKUP(N39,$BM$19:$BR47,$D39+1))</f>
        <v/>
      </c>
      <c r="AL39" s="14" t="str">
        <f>IF(ISERROR(HLOOKUP(O39,$BM$19:$BR47,$D39+1)),"",HLOOKUP(O39,$BM$19:$BR47,$D39+1))</f>
        <v/>
      </c>
      <c r="AM39" s="14" t="str">
        <f>IF(ISERROR(HLOOKUP(P39,$BM$19:$BR47,$D39+1)),"",HLOOKUP(P39,$BM$19:$BR47,$D39+1))</f>
        <v/>
      </c>
      <c r="AN39" s="14" t="str">
        <f>IF(ISERROR(HLOOKUP(Q39,$BM$19:$BR47,$D39+1)),"",HLOOKUP(Q39,$BM$19:$BR47,$D39+1))</f>
        <v/>
      </c>
      <c r="AO39" s="14" t="str">
        <f>IF(ISERROR(HLOOKUP(R39,$BM$19:$BR47,$D39+1)),"",HLOOKUP(R39,$BM$19:$BR47,$D39+1))</f>
        <v/>
      </c>
      <c r="AP39" s="14" t="str">
        <f>IF(ISERROR(HLOOKUP(S39,$BM$19:$BR47,$D39+1)),"",HLOOKUP(S39,$BM$19:$BR47,$D39+1))</f>
        <v/>
      </c>
      <c r="AQ39" s="14" t="str">
        <f>IF(ISERROR(HLOOKUP(T39,$BM$19:$BR47,$D39+1)),"",HLOOKUP(T39,$BM$19:$BR47,$D39+1))</f>
        <v/>
      </c>
      <c r="AR39" s="14" t="str">
        <f>IF(ISERROR(HLOOKUP(U39,$BM$19:$BR47,$D39+1)),"",HLOOKUP(U39,$BM$19:$BR47,$D39+1))</f>
        <v/>
      </c>
      <c r="AS39" s="14" t="str">
        <f>IF(ISERROR(HLOOKUP(V39,$BM$19:$BR47,$D39+1)),"",HLOOKUP(V39,$BM$19:$BR47,$D39+1))</f>
        <v/>
      </c>
      <c r="AT39" s="14" t="str">
        <f>IF(ISERROR(HLOOKUP(W39,$BM$19:$BR47,$D39+1)),"",HLOOKUP(W39,$BM$19:$BR47,$D39+1))</f>
        <v/>
      </c>
      <c r="AU39" s="14" t="str">
        <f>IF(ISERROR(HLOOKUP(X39,$BM$19:$BR47,$D39+1)),"",HLOOKUP(X39,$BM$19:$BR47,$D39+1))</f>
        <v/>
      </c>
      <c r="AV39" s="110" t="s">
        <v>207</v>
      </c>
      <c r="AW39" s="110" t="s">
        <v>207</v>
      </c>
      <c r="BA39" s="15"/>
    </row>
    <row r="40" spans="1:53" ht="27" customHeight="1">
      <c r="A40" s="24">
        <v>24</v>
      </c>
      <c r="B40" s="152"/>
      <c r="C40" s="149"/>
      <c r="D40" s="147"/>
      <c r="E40" s="148"/>
      <c r="F40" s="153"/>
      <c r="G40" s="155"/>
      <c r="H40" s="155"/>
      <c r="I40" s="155"/>
      <c r="J40" s="148"/>
      <c r="K40" s="148"/>
      <c r="L40" s="148"/>
      <c r="M40" s="148"/>
      <c r="N40" s="148"/>
      <c r="O40" s="148"/>
      <c r="P40" s="148"/>
      <c r="Q40" s="148"/>
      <c r="R40" s="148"/>
      <c r="S40" s="148"/>
      <c r="T40" s="148"/>
      <c r="U40" s="148"/>
      <c r="V40" s="148"/>
      <c r="W40" s="148"/>
      <c r="X40" s="148"/>
      <c r="Y40" s="159">
        <f t="shared" si="1"/>
        <v>0</v>
      </c>
      <c r="Z40" s="111"/>
      <c r="AA40" s="111"/>
      <c r="AB40" s="14" t="str">
        <f>IF(ISERROR(HLOOKUP(E40,$BM$19:$BR48,$D40+1)),"",HLOOKUP(E40,$BM$19:$BR48,$D40+1))</f>
        <v/>
      </c>
      <c r="AC40" s="14" t="str">
        <f>IF(ISERROR(HLOOKUP(F40,$BM$19:$BR48,$D40+1)),"",HLOOKUP(F40,$BM$19:$BR48,$D40+1))</f>
        <v/>
      </c>
      <c r="AD40" s="14" t="str">
        <f>IF(ISERROR(HLOOKUP(G40,$BM$19:$BR48,$D40+1)),"",HLOOKUP(G40,$BM$19:$BR48,$D40+1))</f>
        <v/>
      </c>
      <c r="AE40" s="14" t="str">
        <f>IF(ISERROR(HLOOKUP(H40,$BM$19:$BR48,$D40+1)),"",HLOOKUP(H40,$BM$19:$BR48,$D40+1))</f>
        <v/>
      </c>
      <c r="AF40" s="14" t="str">
        <f>IF(ISERROR(HLOOKUP(I40,$BM$19:$BR48,$D40+1)),"",HLOOKUP(I40,$BM$19:$BR48,$D40+1))</f>
        <v/>
      </c>
      <c r="AG40" s="14" t="str">
        <f>IF(ISERROR(HLOOKUP(J40,$BM$19:$BR48,$D40+1)),"",HLOOKUP(J40,$BM$19:$BR48,$D40+1))</f>
        <v/>
      </c>
      <c r="AH40" s="14" t="str">
        <f>IF(ISERROR(HLOOKUP(K40,$BM$19:$BR48,$D40+1)),"",HLOOKUP(K40,$BM$19:$BR48,$D40+1))</f>
        <v/>
      </c>
      <c r="AI40" s="14" t="str">
        <f>IF(ISERROR(HLOOKUP(L40,$BM$19:$BR48,$D40+1)),"",HLOOKUP(L40,$BM$19:$BR48,$D40+1))</f>
        <v/>
      </c>
      <c r="AJ40" s="14" t="str">
        <f>IF(ISERROR(HLOOKUP(M40,$BM$19:$BR48,$D40+1)),"",HLOOKUP(M40,$BM$19:$BR48,$D40+1))</f>
        <v/>
      </c>
      <c r="AK40" s="14" t="str">
        <f>IF(ISERROR(HLOOKUP(N40,$BM$19:$BR48,$D40+1)),"",HLOOKUP(N40,$BM$19:$BR48,$D40+1))</f>
        <v/>
      </c>
      <c r="AL40" s="14" t="str">
        <f>IF(ISERROR(HLOOKUP(O40,$BM$19:$BR48,$D40+1)),"",HLOOKUP(O40,$BM$19:$BR48,$D40+1))</f>
        <v/>
      </c>
      <c r="AM40" s="14" t="str">
        <f>IF(ISERROR(HLOOKUP(P40,$BM$19:$BR48,$D40+1)),"",HLOOKUP(P40,$BM$19:$BR48,$D40+1))</f>
        <v/>
      </c>
      <c r="AN40" s="14" t="str">
        <f>IF(ISERROR(HLOOKUP(Q40,$BM$19:$BR48,$D40+1)),"",HLOOKUP(Q40,$BM$19:$BR48,$D40+1))</f>
        <v/>
      </c>
      <c r="AO40" s="14" t="str">
        <f>IF(ISERROR(HLOOKUP(R40,$BM$19:$BR48,$D40+1)),"",HLOOKUP(R40,$BM$19:$BR48,$D40+1))</f>
        <v/>
      </c>
      <c r="AP40" s="14" t="str">
        <f>IF(ISERROR(HLOOKUP(S40,$BM$19:$BR48,$D40+1)),"",HLOOKUP(S40,$BM$19:$BR48,$D40+1))</f>
        <v/>
      </c>
      <c r="AQ40" s="14" t="str">
        <f>IF(ISERROR(HLOOKUP(T40,$BM$19:$BR48,$D40+1)),"",HLOOKUP(T40,$BM$19:$BR48,$D40+1))</f>
        <v/>
      </c>
      <c r="AR40" s="14" t="str">
        <f>IF(ISERROR(HLOOKUP(U40,$BM$19:$BR48,$D40+1)),"",HLOOKUP(U40,$BM$19:$BR48,$D40+1))</f>
        <v/>
      </c>
      <c r="AS40" s="14" t="str">
        <f>IF(ISERROR(HLOOKUP(V40,$BM$19:$BR48,$D40+1)),"",HLOOKUP(V40,$BM$19:$BR48,$D40+1))</f>
        <v/>
      </c>
      <c r="AT40" s="14" t="str">
        <f>IF(ISERROR(HLOOKUP(W40,$BM$19:$BR48,$D40+1)),"",HLOOKUP(W40,$BM$19:$BR48,$D40+1))</f>
        <v/>
      </c>
      <c r="AU40" s="14" t="str">
        <f>IF(ISERROR(HLOOKUP(X40,$BM$19:$BR48,$D40+1)),"",HLOOKUP(X40,$BM$19:$BR48,$D40+1))</f>
        <v/>
      </c>
      <c r="AV40" s="110" t="s">
        <v>207</v>
      </c>
      <c r="AW40" s="110" t="s">
        <v>207</v>
      </c>
      <c r="BA40" s="15"/>
    </row>
    <row r="41" spans="1:53" ht="27" customHeight="1">
      <c r="A41" s="24">
        <v>25</v>
      </c>
      <c r="B41" s="152"/>
      <c r="C41" s="149"/>
      <c r="D41" s="147"/>
      <c r="E41" s="148"/>
      <c r="F41" s="153"/>
      <c r="G41" s="155"/>
      <c r="H41" s="155"/>
      <c r="I41" s="155"/>
      <c r="J41" s="148"/>
      <c r="K41" s="148"/>
      <c r="L41" s="148"/>
      <c r="M41" s="148"/>
      <c r="N41" s="148"/>
      <c r="O41" s="148"/>
      <c r="P41" s="148"/>
      <c r="Q41" s="148"/>
      <c r="R41" s="148"/>
      <c r="S41" s="148"/>
      <c r="T41" s="148"/>
      <c r="U41" s="148"/>
      <c r="V41" s="148"/>
      <c r="W41" s="148"/>
      <c r="X41" s="148"/>
      <c r="Y41" s="159">
        <f t="shared" si="1"/>
        <v>0</v>
      </c>
      <c r="Z41" s="111"/>
      <c r="AA41" s="111"/>
      <c r="AB41" s="14" t="str">
        <f>IF(ISERROR(HLOOKUP(E41,$BM$19:$BR49,$D41+1)),"",HLOOKUP(E41,$BM$19:$BR49,$D41+1))</f>
        <v/>
      </c>
      <c r="AC41" s="14" t="str">
        <f>IF(ISERROR(HLOOKUP(F41,$BM$19:$BR49,$D41+1)),"",HLOOKUP(F41,$BM$19:$BR49,$D41+1))</f>
        <v/>
      </c>
      <c r="AD41" s="14" t="str">
        <f>IF(ISERROR(HLOOKUP(G41,$BM$19:$BR49,$D41+1)),"",HLOOKUP(G41,$BM$19:$BR49,$D41+1))</f>
        <v/>
      </c>
      <c r="AE41" s="14" t="str">
        <f>IF(ISERROR(HLOOKUP(H41,$BM$19:$BR49,$D41+1)),"",HLOOKUP(H41,$BM$19:$BR49,$D41+1))</f>
        <v/>
      </c>
      <c r="AF41" s="14" t="str">
        <f>IF(ISERROR(HLOOKUP(I41,$BM$19:$BR49,$D41+1)),"",HLOOKUP(I41,$BM$19:$BR49,$D41+1))</f>
        <v/>
      </c>
      <c r="AG41" s="14" t="str">
        <f>IF(ISERROR(HLOOKUP(J41,$BM$19:$BR49,$D41+1)),"",HLOOKUP(J41,$BM$19:$BR49,$D41+1))</f>
        <v/>
      </c>
      <c r="AH41" s="14" t="str">
        <f>IF(ISERROR(HLOOKUP(K41,$BM$19:$BR49,$D41+1)),"",HLOOKUP(K41,$BM$19:$BR49,$D41+1))</f>
        <v/>
      </c>
      <c r="AI41" s="14" t="str">
        <f>IF(ISERROR(HLOOKUP(L41,$BM$19:$BR49,$D41+1)),"",HLOOKUP(L41,$BM$19:$BR49,$D41+1))</f>
        <v/>
      </c>
      <c r="AJ41" s="14" t="str">
        <f>IF(ISERROR(HLOOKUP(M41,$BM$19:$BR49,$D41+1)),"",HLOOKUP(M41,$BM$19:$BR49,$D41+1))</f>
        <v/>
      </c>
      <c r="AK41" s="14" t="str">
        <f>IF(ISERROR(HLOOKUP(N41,$BM$19:$BR49,$D41+1)),"",HLOOKUP(N41,$BM$19:$BR49,$D41+1))</f>
        <v/>
      </c>
      <c r="AL41" s="14" t="str">
        <f>IF(ISERROR(HLOOKUP(O41,$BM$19:$BR49,$D41+1)),"",HLOOKUP(O41,$BM$19:$BR49,$D41+1))</f>
        <v/>
      </c>
      <c r="AM41" s="14" t="str">
        <f>IF(ISERROR(HLOOKUP(P41,$BM$19:$BR49,$D41+1)),"",HLOOKUP(P41,$BM$19:$BR49,$D41+1))</f>
        <v/>
      </c>
      <c r="AN41" s="14" t="str">
        <f>IF(ISERROR(HLOOKUP(Q41,$BM$19:$BR49,$D41+1)),"",HLOOKUP(Q41,$BM$19:$BR49,$D41+1))</f>
        <v/>
      </c>
      <c r="AO41" s="14" t="str">
        <f>IF(ISERROR(HLOOKUP(R41,$BM$19:$BR49,$D41+1)),"",HLOOKUP(R41,$BM$19:$BR49,$D41+1))</f>
        <v/>
      </c>
      <c r="AP41" s="14" t="str">
        <f>IF(ISERROR(HLOOKUP(S41,$BM$19:$BR49,$D41+1)),"",HLOOKUP(S41,$BM$19:$BR49,$D41+1))</f>
        <v/>
      </c>
      <c r="AQ41" s="14" t="str">
        <f>IF(ISERROR(HLOOKUP(T41,$BM$19:$BR49,$D41+1)),"",HLOOKUP(T41,$BM$19:$BR49,$D41+1))</f>
        <v/>
      </c>
      <c r="AR41" s="14" t="str">
        <f>IF(ISERROR(HLOOKUP(U41,$BM$19:$BR49,$D41+1)),"",HLOOKUP(U41,$BM$19:$BR49,$D41+1))</f>
        <v/>
      </c>
      <c r="AS41" s="14" t="str">
        <f>IF(ISERROR(HLOOKUP(V41,$BM$19:$BR49,$D41+1)),"",HLOOKUP(V41,$BM$19:$BR49,$D41+1))</f>
        <v/>
      </c>
      <c r="AT41" s="14" t="str">
        <f>IF(ISERROR(HLOOKUP(W41,$BM$19:$BR49,$D41+1)),"",HLOOKUP(W41,$BM$19:$BR49,$D41+1))</f>
        <v/>
      </c>
      <c r="AU41" s="14" t="str">
        <f>IF(ISERROR(HLOOKUP(X41,$BM$19:$BR49,$D41+1)),"",HLOOKUP(X41,$BM$19:$BR49,$D41+1))</f>
        <v/>
      </c>
      <c r="AV41" s="110" t="s">
        <v>207</v>
      </c>
      <c r="AW41" s="110" t="s">
        <v>207</v>
      </c>
      <c r="BA41" s="15"/>
    </row>
    <row r="42" spans="1:53" ht="27" customHeight="1">
      <c r="A42" s="24">
        <v>26</v>
      </c>
      <c r="B42" s="152"/>
      <c r="C42" s="149"/>
      <c r="D42" s="147"/>
      <c r="E42" s="148"/>
      <c r="F42" s="153"/>
      <c r="G42" s="155"/>
      <c r="H42" s="155"/>
      <c r="I42" s="155"/>
      <c r="J42" s="148"/>
      <c r="K42" s="148"/>
      <c r="L42" s="148"/>
      <c r="M42" s="148"/>
      <c r="N42" s="148"/>
      <c r="O42" s="148"/>
      <c r="P42" s="148"/>
      <c r="Q42" s="148"/>
      <c r="R42" s="148"/>
      <c r="S42" s="148"/>
      <c r="T42" s="148"/>
      <c r="U42" s="148"/>
      <c r="V42" s="148"/>
      <c r="W42" s="148"/>
      <c r="X42" s="148"/>
      <c r="Y42" s="159">
        <f t="shared" si="1"/>
        <v>0</v>
      </c>
      <c r="Z42" s="111"/>
      <c r="AA42" s="111"/>
      <c r="AB42" s="14" t="str">
        <f>IF(ISERROR(HLOOKUP(E42,$BM$19:$BR50,$D42+1)),"",HLOOKUP(E42,$BM$19:$BR50,$D42+1))</f>
        <v/>
      </c>
      <c r="AC42" s="14" t="str">
        <f>IF(ISERROR(HLOOKUP(F42,$BM$19:$BR50,$D42+1)),"",HLOOKUP(F42,$BM$19:$BR50,$D42+1))</f>
        <v/>
      </c>
      <c r="AD42" s="14" t="str">
        <f>IF(ISERROR(HLOOKUP(G42,$BM$19:$BR50,$D42+1)),"",HLOOKUP(G42,$BM$19:$BR50,$D42+1))</f>
        <v/>
      </c>
      <c r="AE42" s="14" t="str">
        <f>IF(ISERROR(HLOOKUP(H42,$BM$19:$BR50,$D42+1)),"",HLOOKUP(H42,$BM$19:$BR50,$D42+1))</f>
        <v/>
      </c>
      <c r="AF42" s="14" t="str">
        <f>IF(ISERROR(HLOOKUP(I42,$BM$19:$BR50,$D42+1)),"",HLOOKUP(I42,$BM$19:$BR50,$D42+1))</f>
        <v/>
      </c>
      <c r="AG42" s="14" t="str">
        <f>IF(ISERROR(HLOOKUP(J42,$BM$19:$BR50,$D42+1)),"",HLOOKUP(J42,$BM$19:$BR50,$D42+1))</f>
        <v/>
      </c>
      <c r="AH42" s="14" t="str">
        <f>IF(ISERROR(HLOOKUP(K42,$BM$19:$BR50,$D42+1)),"",HLOOKUP(K42,$BM$19:$BR50,$D42+1))</f>
        <v/>
      </c>
      <c r="AI42" s="14" t="str">
        <f>IF(ISERROR(HLOOKUP(L42,$BM$19:$BR50,$D42+1)),"",HLOOKUP(L42,$BM$19:$BR50,$D42+1))</f>
        <v/>
      </c>
      <c r="AJ42" s="14" t="str">
        <f>IF(ISERROR(HLOOKUP(M42,$BM$19:$BR50,$D42+1)),"",HLOOKUP(M42,$BM$19:$BR50,$D42+1))</f>
        <v/>
      </c>
      <c r="AK42" s="14" t="str">
        <f>IF(ISERROR(HLOOKUP(N42,$BM$19:$BR50,$D42+1)),"",HLOOKUP(N42,$BM$19:$BR50,$D42+1))</f>
        <v/>
      </c>
      <c r="AL42" s="14" t="str">
        <f>IF(ISERROR(HLOOKUP(O42,$BM$19:$BR50,$D42+1)),"",HLOOKUP(O42,$BM$19:$BR50,$D42+1))</f>
        <v/>
      </c>
      <c r="AM42" s="14" t="str">
        <f>IF(ISERROR(HLOOKUP(P42,$BM$19:$BR50,$D42+1)),"",HLOOKUP(P42,$BM$19:$BR50,$D42+1))</f>
        <v/>
      </c>
      <c r="AN42" s="14" t="str">
        <f>IF(ISERROR(HLOOKUP(Q42,$BM$19:$BR50,$D42+1)),"",HLOOKUP(Q42,$BM$19:$BR50,$D42+1))</f>
        <v/>
      </c>
      <c r="AO42" s="14" t="str">
        <f>IF(ISERROR(HLOOKUP(R42,$BM$19:$BR50,$D42+1)),"",HLOOKUP(R42,$BM$19:$BR50,$D42+1))</f>
        <v/>
      </c>
      <c r="AP42" s="14" t="str">
        <f>IF(ISERROR(HLOOKUP(S42,$BM$19:$BR50,$D42+1)),"",HLOOKUP(S42,$BM$19:$BR50,$D42+1))</f>
        <v/>
      </c>
      <c r="AQ42" s="14" t="str">
        <f>IF(ISERROR(HLOOKUP(T42,$BM$19:$BR50,$D42+1)),"",HLOOKUP(T42,$BM$19:$BR50,$D42+1))</f>
        <v/>
      </c>
      <c r="AR42" s="14" t="str">
        <f>IF(ISERROR(HLOOKUP(U42,$BM$19:$BR50,$D42+1)),"",HLOOKUP(U42,$BM$19:$BR50,$D42+1))</f>
        <v/>
      </c>
      <c r="AS42" s="14" t="str">
        <f>IF(ISERROR(HLOOKUP(V42,$BM$19:$BR50,$D42+1)),"",HLOOKUP(V42,$BM$19:$BR50,$D42+1))</f>
        <v/>
      </c>
      <c r="AT42" s="14" t="str">
        <f>IF(ISERROR(HLOOKUP(W42,$BM$19:$BR50,$D42+1)),"",HLOOKUP(W42,$BM$19:$BR50,$D42+1))</f>
        <v/>
      </c>
      <c r="AU42" s="14" t="str">
        <f>IF(ISERROR(HLOOKUP(X42,$BM$19:$BR50,$D42+1)),"",HLOOKUP(X42,$BM$19:$BR50,$D42+1))</f>
        <v/>
      </c>
      <c r="AV42" s="110" t="s">
        <v>207</v>
      </c>
      <c r="AW42" s="110" t="s">
        <v>207</v>
      </c>
      <c r="BA42" s="15"/>
    </row>
    <row r="43" spans="1:53" ht="27" customHeight="1">
      <c r="A43" s="24">
        <v>27</v>
      </c>
      <c r="B43" s="152"/>
      <c r="C43" s="149"/>
      <c r="D43" s="147"/>
      <c r="E43" s="148"/>
      <c r="F43" s="153"/>
      <c r="G43" s="155"/>
      <c r="H43" s="155"/>
      <c r="I43" s="155"/>
      <c r="J43" s="148"/>
      <c r="K43" s="148"/>
      <c r="L43" s="148"/>
      <c r="M43" s="148"/>
      <c r="N43" s="148"/>
      <c r="O43" s="148"/>
      <c r="P43" s="148"/>
      <c r="Q43" s="148"/>
      <c r="R43" s="148"/>
      <c r="S43" s="148"/>
      <c r="T43" s="148"/>
      <c r="U43" s="148"/>
      <c r="V43" s="148"/>
      <c r="W43" s="148"/>
      <c r="X43" s="148"/>
      <c r="Y43" s="159">
        <f t="shared" si="1"/>
        <v>0</v>
      </c>
      <c r="Z43" s="111"/>
      <c r="AA43" s="111"/>
      <c r="AB43" s="14" t="str">
        <f>IF(ISERROR(HLOOKUP(E43,$BM$19:$BR51,$D43+1)),"",HLOOKUP(E43,$BM$19:$BR51,$D43+1))</f>
        <v/>
      </c>
      <c r="AC43" s="14" t="str">
        <f>IF(ISERROR(HLOOKUP(F43,$BM$19:$BR51,$D43+1)),"",HLOOKUP(F43,$BM$19:$BR51,$D43+1))</f>
        <v/>
      </c>
      <c r="AD43" s="14" t="str">
        <f>IF(ISERROR(HLOOKUP(G43,$BM$19:$BR51,$D43+1)),"",HLOOKUP(G43,$BM$19:$BR51,$D43+1))</f>
        <v/>
      </c>
      <c r="AE43" s="14" t="str">
        <f>IF(ISERROR(HLOOKUP(H43,$BM$19:$BR51,$D43+1)),"",HLOOKUP(H43,$BM$19:$BR51,$D43+1))</f>
        <v/>
      </c>
      <c r="AF43" s="14" t="str">
        <f>IF(ISERROR(HLOOKUP(I43,$BM$19:$BR51,$D43+1)),"",HLOOKUP(I43,$BM$19:$BR51,$D43+1))</f>
        <v/>
      </c>
      <c r="AG43" s="14" t="str">
        <f>IF(ISERROR(HLOOKUP(J43,$BM$19:$BR51,$D43+1)),"",HLOOKUP(J43,$BM$19:$BR51,$D43+1))</f>
        <v/>
      </c>
      <c r="AH43" s="14" t="str">
        <f>IF(ISERROR(HLOOKUP(K43,$BM$19:$BR51,$D43+1)),"",HLOOKUP(K43,$BM$19:$BR51,$D43+1))</f>
        <v/>
      </c>
      <c r="AI43" s="14" t="str">
        <f>IF(ISERROR(HLOOKUP(L43,$BM$19:$BR51,$D43+1)),"",HLOOKUP(L43,$BM$19:$BR51,$D43+1))</f>
        <v/>
      </c>
      <c r="AJ43" s="14" t="str">
        <f>IF(ISERROR(HLOOKUP(M43,$BM$19:$BR51,$D43+1)),"",HLOOKUP(M43,$BM$19:$BR51,$D43+1))</f>
        <v/>
      </c>
      <c r="AK43" s="14" t="str">
        <f>IF(ISERROR(HLOOKUP(N43,$BM$19:$BR51,$D43+1)),"",HLOOKUP(N43,$BM$19:$BR51,$D43+1))</f>
        <v/>
      </c>
      <c r="AL43" s="14" t="str">
        <f>IF(ISERROR(HLOOKUP(O43,$BM$19:$BR51,$D43+1)),"",HLOOKUP(O43,$BM$19:$BR51,$D43+1))</f>
        <v/>
      </c>
      <c r="AM43" s="14" t="str">
        <f>IF(ISERROR(HLOOKUP(P43,$BM$19:$BR51,$D43+1)),"",HLOOKUP(P43,$BM$19:$BR51,$D43+1))</f>
        <v/>
      </c>
      <c r="AN43" s="14" t="str">
        <f>IF(ISERROR(HLOOKUP(Q43,$BM$19:$BR51,$D43+1)),"",HLOOKUP(Q43,$BM$19:$BR51,$D43+1))</f>
        <v/>
      </c>
      <c r="AO43" s="14" t="str">
        <f>IF(ISERROR(HLOOKUP(R43,$BM$19:$BR51,$D43+1)),"",HLOOKUP(R43,$BM$19:$BR51,$D43+1))</f>
        <v/>
      </c>
      <c r="AP43" s="14" t="str">
        <f>IF(ISERROR(HLOOKUP(S43,$BM$19:$BR51,$D43+1)),"",HLOOKUP(S43,$BM$19:$BR51,$D43+1))</f>
        <v/>
      </c>
      <c r="AQ43" s="14" t="str">
        <f>IF(ISERROR(HLOOKUP(T43,$BM$19:$BR51,$D43+1)),"",HLOOKUP(T43,$BM$19:$BR51,$D43+1))</f>
        <v/>
      </c>
      <c r="AR43" s="14" t="str">
        <f>IF(ISERROR(HLOOKUP(U43,$BM$19:$BR51,$D43+1)),"",HLOOKUP(U43,$BM$19:$BR51,$D43+1))</f>
        <v/>
      </c>
      <c r="AS43" s="14" t="str">
        <f>IF(ISERROR(HLOOKUP(V43,$BM$19:$BR51,$D43+1)),"",HLOOKUP(V43,$BM$19:$BR51,$D43+1))</f>
        <v/>
      </c>
      <c r="AT43" s="14" t="str">
        <f>IF(ISERROR(HLOOKUP(W43,$BM$19:$BR51,$D43+1)),"",HLOOKUP(W43,$BM$19:$BR51,$D43+1))</f>
        <v/>
      </c>
      <c r="AU43" s="14" t="str">
        <f>IF(ISERROR(HLOOKUP(X43,$BM$19:$BR51,$D43+1)),"",HLOOKUP(X43,$BM$19:$BR51,$D43+1))</f>
        <v/>
      </c>
      <c r="AV43" s="110" t="s">
        <v>207</v>
      </c>
      <c r="AW43" s="110" t="s">
        <v>207</v>
      </c>
      <c r="BA43" s="15"/>
    </row>
    <row r="44" spans="1:53" ht="27" customHeight="1">
      <c r="A44" s="24">
        <v>28</v>
      </c>
      <c r="B44" s="152"/>
      <c r="C44" s="149"/>
      <c r="D44" s="147"/>
      <c r="E44" s="148"/>
      <c r="F44" s="153"/>
      <c r="G44" s="155"/>
      <c r="H44" s="155"/>
      <c r="I44" s="155"/>
      <c r="J44" s="148"/>
      <c r="K44" s="148"/>
      <c r="L44" s="148"/>
      <c r="M44" s="148"/>
      <c r="N44" s="148"/>
      <c r="O44" s="148"/>
      <c r="P44" s="148"/>
      <c r="Q44" s="148"/>
      <c r="R44" s="148"/>
      <c r="S44" s="148"/>
      <c r="T44" s="148"/>
      <c r="U44" s="148"/>
      <c r="V44" s="148"/>
      <c r="W44" s="148"/>
      <c r="X44" s="148"/>
      <c r="Y44" s="159">
        <f t="shared" si="1"/>
        <v>0</v>
      </c>
      <c r="Z44" s="111"/>
      <c r="AA44" s="111"/>
      <c r="AB44" s="14" t="str">
        <f>IF(ISERROR(HLOOKUP(E44,$BM$19:$BR52,$D44+1)),"",HLOOKUP(E44,$BM$19:$BR52,$D44+1))</f>
        <v/>
      </c>
      <c r="AC44" s="14" t="str">
        <f>IF(ISERROR(HLOOKUP(F44,$BM$19:$BR52,$D44+1)),"",HLOOKUP(F44,$BM$19:$BR52,$D44+1))</f>
        <v/>
      </c>
      <c r="AD44" s="14" t="str">
        <f>IF(ISERROR(HLOOKUP(G44,$BM$19:$BR52,$D44+1)),"",HLOOKUP(G44,$BM$19:$BR52,$D44+1))</f>
        <v/>
      </c>
      <c r="AE44" s="14" t="str">
        <f>IF(ISERROR(HLOOKUP(H44,$BM$19:$BR52,$D44+1)),"",HLOOKUP(H44,$BM$19:$BR52,$D44+1))</f>
        <v/>
      </c>
      <c r="AF44" s="14" t="str">
        <f>IF(ISERROR(HLOOKUP(I44,$BM$19:$BR52,$D44+1)),"",HLOOKUP(I44,$BM$19:$BR52,$D44+1))</f>
        <v/>
      </c>
      <c r="AG44" s="14" t="str">
        <f>IF(ISERROR(HLOOKUP(J44,$BM$19:$BR52,$D44+1)),"",HLOOKUP(J44,$BM$19:$BR52,$D44+1))</f>
        <v/>
      </c>
      <c r="AH44" s="14" t="str">
        <f>IF(ISERROR(HLOOKUP(K44,$BM$19:$BR52,$D44+1)),"",HLOOKUP(K44,$BM$19:$BR52,$D44+1))</f>
        <v/>
      </c>
      <c r="AI44" s="14" t="str">
        <f>IF(ISERROR(HLOOKUP(L44,$BM$19:$BR52,$D44+1)),"",HLOOKUP(L44,$BM$19:$BR52,$D44+1))</f>
        <v/>
      </c>
      <c r="AJ44" s="14" t="str">
        <f>IF(ISERROR(HLOOKUP(M44,$BM$19:$BR52,$D44+1)),"",HLOOKUP(M44,$BM$19:$BR52,$D44+1))</f>
        <v/>
      </c>
      <c r="AK44" s="14" t="str">
        <f>IF(ISERROR(HLOOKUP(N44,$BM$19:$BR52,$D44+1)),"",HLOOKUP(N44,$BM$19:$BR52,$D44+1))</f>
        <v/>
      </c>
      <c r="AL44" s="14" t="str">
        <f>IF(ISERROR(HLOOKUP(O44,$BM$19:$BR52,$D44+1)),"",HLOOKUP(O44,$BM$19:$BR52,$D44+1))</f>
        <v/>
      </c>
      <c r="AM44" s="14" t="str">
        <f>IF(ISERROR(HLOOKUP(P44,$BM$19:$BR52,$D44+1)),"",HLOOKUP(P44,$BM$19:$BR52,$D44+1))</f>
        <v/>
      </c>
      <c r="AN44" s="14" t="str">
        <f>IF(ISERROR(HLOOKUP(Q44,$BM$19:$BR52,$D44+1)),"",HLOOKUP(Q44,$BM$19:$BR52,$D44+1))</f>
        <v/>
      </c>
      <c r="AO44" s="14" t="str">
        <f>IF(ISERROR(HLOOKUP(R44,$BM$19:$BR52,$D44+1)),"",HLOOKUP(R44,$BM$19:$BR52,$D44+1))</f>
        <v/>
      </c>
      <c r="AP44" s="14" t="str">
        <f>IF(ISERROR(HLOOKUP(S44,$BM$19:$BR52,$D44+1)),"",HLOOKUP(S44,$BM$19:$BR52,$D44+1))</f>
        <v/>
      </c>
      <c r="AQ44" s="14" t="str">
        <f>IF(ISERROR(HLOOKUP(T44,$BM$19:$BR52,$D44+1)),"",HLOOKUP(T44,$BM$19:$BR52,$D44+1))</f>
        <v/>
      </c>
      <c r="AR44" s="14" t="str">
        <f>IF(ISERROR(HLOOKUP(U44,$BM$19:$BR52,$D44+1)),"",HLOOKUP(U44,$BM$19:$BR52,$D44+1))</f>
        <v/>
      </c>
      <c r="AS44" s="14" t="str">
        <f>IF(ISERROR(HLOOKUP(V44,$BM$19:$BR52,$D44+1)),"",HLOOKUP(V44,$BM$19:$BR52,$D44+1))</f>
        <v/>
      </c>
      <c r="AT44" s="14" t="str">
        <f>IF(ISERROR(HLOOKUP(W44,$BM$19:$BR52,$D44+1)),"",HLOOKUP(W44,$BM$19:$BR52,$D44+1))</f>
        <v/>
      </c>
      <c r="AU44" s="14" t="str">
        <f>IF(ISERROR(HLOOKUP(X44,$BM$19:$BR52,$D44+1)),"",HLOOKUP(X44,$BM$19:$BR52,$D44+1))</f>
        <v/>
      </c>
      <c r="AV44" s="110" t="s">
        <v>207</v>
      </c>
      <c r="AW44" s="110" t="s">
        <v>207</v>
      </c>
      <c r="BA44" s="15"/>
    </row>
    <row r="45" spans="1:53" ht="27" customHeight="1">
      <c r="A45" s="24">
        <v>29</v>
      </c>
      <c r="B45" s="152"/>
      <c r="C45" s="149"/>
      <c r="D45" s="147"/>
      <c r="E45" s="148"/>
      <c r="F45" s="148"/>
      <c r="G45" s="148"/>
      <c r="H45" s="148"/>
      <c r="I45" s="148"/>
      <c r="J45" s="148"/>
      <c r="K45" s="148"/>
      <c r="L45" s="148"/>
      <c r="M45" s="148"/>
      <c r="N45" s="148"/>
      <c r="O45" s="148"/>
      <c r="P45" s="148"/>
      <c r="Q45" s="148"/>
      <c r="R45" s="148"/>
      <c r="S45" s="148"/>
      <c r="T45" s="148"/>
      <c r="U45" s="148"/>
      <c r="V45" s="148"/>
      <c r="W45" s="148"/>
      <c r="X45" s="148"/>
      <c r="Y45" s="159">
        <f t="shared" si="1"/>
        <v>0</v>
      </c>
      <c r="Z45" s="111"/>
      <c r="AA45" s="111"/>
      <c r="AB45" s="14" t="str">
        <f>IF(ISERROR(HLOOKUP(E45,$BM$19:$BR53,$D45+1)),"",HLOOKUP(E45,$BM$19:$BR53,$D45+1))</f>
        <v/>
      </c>
      <c r="AC45" s="14" t="str">
        <f>IF(ISERROR(HLOOKUP(F45,$BM$19:$BR53,$D45+1)),"",HLOOKUP(F45,$BM$19:$BR53,$D45+1))</f>
        <v/>
      </c>
      <c r="AD45" s="14" t="str">
        <f>IF(ISERROR(HLOOKUP(G45,$BM$19:$BR53,$D45+1)),"",HLOOKUP(G45,$BM$19:$BR53,$D45+1))</f>
        <v/>
      </c>
      <c r="AE45" s="14" t="str">
        <f>IF(ISERROR(HLOOKUP(H45,$BM$19:$BR53,$D45+1)),"",HLOOKUP(H45,$BM$19:$BR53,$D45+1))</f>
        <v/>
      </c>
      <c r="AF45" s="14" t="str">
        <f>IF(ISERROR(HLOOKUP(I45,$BM$19:$BR53,$D45+1)),"",HLOOKUP(I45,$BM$19:$BR53,$D45+1))</f>
        <v/>
      </c>
      <c r="AG45" s="14" t="str">
        <f>IF(ISERROR(HLOOKUP(J45,$BM$19:$BR53,$D45+1)),"",HLOOKUP(J45,$BM$19:$BR53,$D45+1))</f>
        <v/>
      </c>
      <c r="AH45" s="14" t="str">
        <f>IF(ISERROR(HLOOKUP(K45,$BM$19:$BR53,$D45+1)),"",HLOOKUP(K45,$BM$19:$BR53,$D45+1))</f>
        <v/>
      </c>
      <c r="AI45" s="14" t="str">
        <f>IF(ISERROR(HLOOKUP(L45,$BM$19:$BR53,$D45+1)),"",HLOOKUP(L45,$BM$19:$BR53,$D45+1))</f>
        <v/>
      </c>
      <c r="AJ45" s="14" t="str">
        <f>IF(ISERROR(HLOOKUP(M45,$BM$19:$BR53,$D45+1)),"",HLOOKUP(M45,$BM$19:$BR53,$D45+1))</f>
        <v/>
      </c>
      <c r="AK45" s="14" t="str">
        <f>IF(ISERROR(HLOOKUP(N45,$BM$19:$BR53,$D45+1)),"",HLOOKUP(N45,$BM$19:$BR53,$D45+1))</f>
        <v/>
      </c>
      <c r="AL45" s="14" t="str">
        <f>IF(ISERROR(HLOOKUP(O45,$BM$19:$BR53,$D45+1)),"",HLOOKUP(O45,$BM$19:$BR53,$D45+1))</f>
        <v/>
      </c>
      <c r="AM45" s="14" t="str">
        <f>IF(ISERROR(HLOOKUP(P45,$BM$19:$BR53,$D45+1)),"",HLOOKUP(P45,$BM$19:$BR53,$D45+1))</f>
        <v/>
      </c>
      <c r="AN45" s="14" t="str">
        <f>IF(ISERROR(HLOOKUP(Q45,$BM$19:$BR53,$D45+1)),"",HLOOKUP(Q45,$BM$19:$BR53,$D45+1))</f>
        <v/>
      </c>
      <c r="AO45" s="14" t="str">
        <f>IF(ISERROR(HLOOKUP(R45,$BM$19:$BR53,$D45+1)),"",HLOOKUP(R45,$BM$19:$BR53,$D45+1))</f>
        <v/>
      </c>
      <c r="AP45" s="14" t="str">
        <f>IF(ISERROR(HLOOKUP(S45,$BM$19:$BR53,$D45+1)),"",HLOOKUP(S45,$BM$19:$BR53,$D45+1))</f>
        <v/>
      </c>
      <c r="AQ45" s="14" t="str">
        <f>IF(ISERROR(HLOOKUP(T45,$BM$19:$BR53,$D45+1)),"",HLOOKUP(T45,$BM$19:$BR53,$D45+1))</f>
        <v/>
      </c>
      <c r="AR45" s="14" t="str">
        <f>IF(ISERROR(HLOOKUP(U45,$BM$19:$BR53,$D45+1)),"",HLOOKUP(U45,$BM$19:$BR53,$D45+1))</f>
        <v/>
      </c>
      <c r="AS45" s="14" t="str">
        <f>IF(ISERROR(HLOOKUP(V45,$BM$19:$BR53,$D45+1)),"",HLOOKUP(V45,$BM$19:$BR53,$D45+1))</f>
        <v/>
      </c>
      <c r="AT45" s="14" t="str">
        <f>IF(ISERROR(HLOOKUP(W45,$BM$19:$BR53,$D45+1)),"",HLOOKUP(W45,$BM$19:$BR53,$D45+1))</f>
        <v/>
      </c>
      <c r="AU45" s="14" t="str">
        <f>IF(ISERROR(HLOOKUP(X45,$BM$19:$BR53,$D45+1)),"",HLOOKUP(X45,$BM$19:$BR53,$D45+1))</f>
        <v/>
      </c>
      <c r="AV45" s="110" t="s">
        <v>207</v>
      </c>
      <c r="AW45" s="110" t="s">
        <v>207</v>
      </c>
      <c r="BA45" s="15"/>
    </row>
    <row r="46" spans="1:53" ht="27" customHeight="1">
      <c r="A46" s="24">
        <v>30</v>
      </c>
      <c r="B46" s="152"/>
      <c r="C46" s="149"/>
      <c r="D46" s="147"/>
      <c r="E46" s="148"/>
      <c r="F46" s="148"/>
      <c r="G46" s="148"/>
      <c r="H46" s="148"/>
      <c r="I46" s="148"/>
      <c r="J46" s="148"/>
      <c r="K46" s="148"/>
      <c r="L46" s="148"/>
      <c r="M46" s="148"/>
      <c r="N46" s="148"/>
      <c r="O46" s="148"/>
      <c r="P46" s="148"/>
      <c r="Q46" s="148"/>
      <c r="R46" s="148"/>
      <c r="S46" s="148"/>
      <c r="T46" s="148"/>
      <c r="U46" s="148"/>
      <c r="V46" s="148"/>
      <c r="W46" s="148"/>
      <c r="X46" s="148"/>
      <c r="Y46" s="159">
        <f t="shared" si="1"/>
        <v>0</v>
      </c>
      <c r="Z46" s="111"/>
      <c r="AA46" s="111"/>
      <c r="AB46" s="14" t="str">
        <f>IF(ISERROR(HLOOKUP(E46,$BM$19:$BR54,$D46+1)),"",HLOOKUP(E46,$BM$19:$BR54,$D46+1))</f>
        <v/>
      </c>
      <c r="AC46" s="14" t="str">
        <f>IF(ISERROR(HLOOKUP(F46,$BM$19:$BR54,$D46+1)),"",HLOOKUP(F46,$BM$19:$BR54,$D46+1))</f>
        <v/>
      </c>
      <c r="AD46" s="14" t="str">
        <f>IF(ISERROR(HLOOKUP(G46,$BM$19:$BR54,$D46+1)),"",HLOOKUP(G46,$BM$19:$BR54,$D46+1))</f>
        <v/>
      </c>
      <c r="AE46" s="14" t="str">
        <f>IF(ISERROR(HLOOKUP(H46,$BM$19:$BR54,$D46+1)),"",HLOOKUP(H46,$BM$19:$BR54,$D46+1))</f>
        <v/>
      </c>
      <c r="AF46" s="14" t="str">
        <f>IF(ISERROR(HLOOKUP(I46,$BM$19:$BR54,$D46+1)),"",HLOOKUP(I46,$BM$19:$BR54,$D46+1))</f>
        <v/>
      </c>
      <c r="AG46" s="14" t="str">
        <f>IF(ISERROR(HLOOKUP(J46,$BM$19:$BR54,$D46+1)),"",HLOOKUP(J46,$BM$19:$BR54,$D46+1))</f>
        <v/>
      </c>
      <c r="AH46" s="14" t="str">
        <f>IF(ISERROR(HLOOKUP(K46,$BM$19:$BR54,$D46+1)),"",HLOOKUP(K46,$BM$19:$BR54,$D46+1))</f>
        <v/>
      </c>
      <c r="AI46" s="14" t="str">
        <f>IF(ISERROR(HLOOKUP(L46,$BM$19:$BR54,$D46+1)),"",HLOOKUP(L46,$BM$19:$BR54,$D46+1))</f>
        <v/>
      </c>
      <c r="AJ46" s="14" t="str">
        <f>IF(ISERROR(HLOOKUP(M46,$BM$19:$BR54,$D46+1)),"",HLOOKUP(M46,$BM$19:$BR54,$D46+1))</f>
        <v/>
      </c>
      <c r="AK46" s="14" t="str">
        <f>IF(ISERROR(HLOOKUP(N46,$BM$19:$BR54,$D46+1)),"",HLOOKUP(N46,$BM$19:$BR54,$D46+1))</f>
        <v/>
      </c>
      <c r="AL46" s="14" t="str">
        <f>IF(ISERROR(HLOOKUP(O46,$BM$19:$BR54,$D46+1)),"",HLOOKUP(O46,$BM$19:$BR54,$D46+1))</f>
        <v/>
      </c>
      <c r="AM46" s="14" t="str">
        <f>IF(ISERROR(HLOOKUP(P46,$BM$19:$BR54,$D46+1)),"",HLOOKUP(P46,$BM$19:$BR54,$D46+1))</f>
        <v/>
      </c>
      <c r="AN46" s="14" t="str">
        <f>IF(ISERROR(HLOOKUP(Q46,$BM$19:$BR54,$D46+1)),"",HLOOKUP(Q46,$BM$19:$BR54,$D46+1))</f>
        <v/>
      </c>
      <c r="AO46" s="14" t="str">
        <f>IF(ISERROR(HLOOKUP(R46,$BM$19:$BR54,$D46+1)),"",HLOOKUP(R46,$BM$19:$BR54,$D46+1))</f>
        <v/>
      </c>
      <c r="AP46" s="14" t="str">
        <f>IF(ISERROR(HLOOKUP(S46,$BM$19:$BR54,$D46+1)),"",HLOOKUP(S46,$BM$19:$BR54,$D46+1))</f>
        <v/>
      </c>
      <c r="AQ46" s="14" t="str">
        <f>IF(ISERROR(HLOOKUP(T46,$BM$19:$BR54,$D46+1)),"",HLOOKUP(T46,$BM$19:$BR54,$D46+1))</f>
        <v/>
      </c>
      <c r="AR46" s="14" t="str">
        <f>IF(ISERROR(HLOOKUP(U46,$BM$19:$BR54,$D46+1)),"",HLOOKUP(U46,$BM$19:$BR54,$D46+1))</f>
        <v/>
      </c>
      <c r="AS46" s="14" t="str">
        <f>IF(ISERROR(HLOOKUP(V46,$BM$19:$BR54,$D46+1)),"",HLOOKUP(V46,$BM$19:$BR54,$D46+1))</f>
        <v/>
      </c>
      <c r="AT46" s="14" t="str">
        <f>IF(ISERROR(HLOOKUP(W46,$BM$19:$BR54,$D46+1)),"",HLOOKUP(W46,$BM$19:$BR54,$D46+1))</f>
        <v/>
      </c>
      <c r="AU46" s="14" t="str">
        <f>IF(ISERROR(HLOOKUP(X46,$BM$19:$BR54,$D46+1)),"",HLOOKUP(X46,$BM$19:$BR54,$D46+1))</f>
        <v/>
      </c>
      <c r="AV46" s="110" t="s">
        <v>207</v>
      </c>
      <c r="AW46" s="110" t="s">
        <v>207</v>
      </c>
      <c r="BA46" s="15"/>
    </row>
    <row r="47" spans="1:53" ht="27" customHeight="1">
      <c r="A47" s="24">
        <v>31</v>
      </c>
      <c r="B47" s="152"/>
      <c r="C47" s="149"/>
      <c r="D47" s="147"/>
      <c r="E47" s="148"/>
      <c r="F47" s="148"/>
      <c r="G47" s="148"/>
      <c r="H47" s="148"/>
      <c r="I47" s="148"/>
      <c r="J47" s="148"/>
      <c r="K47" s="148"/>
      <c r="L47" s="148"/>
      <c r="M47" s="148"/>
      <c r="N47" s="148"/>
      <c r="O47" s="148"/>
      <c r="P47" s="148"/>
      <c r="Q47" s="148"/>
      <c r="R47" s="148"/>
      <c r="S47" s="148"/>
      <c r="T47" s="148"/>
      <c r="U47" s="148"/>
      <c r="V47" s="148"/>
      <c r="W47" s="148"/>
      <c r="X47" s="148"/>
      <c r="Y47" s="159">
        <f t="shared" si="1"/>
        <v>0</v>
      </c>
      <c r="Z47" s="111"/>
      <c r="AA47" s="111"/>
      <c r="AB47" s="14" t="str">
        <f>IF(ISERROR(HLOOKUP(E47,$BM$19:$BR55,$D47+1)),"",HLOOKUP(E47,$BM$19:$BR55,$D47+1))</f>
        <v/>
      </c>
      <c r="AC47" s="14" t="str">
        <f>IF(ISERROR(HLOOKUP(F47,$BM$19:$BR55,$D47+1)),"",HLOOKUP(F47,$BM$19:$BR55,$D47+1))</f>
        <v/>
      </c>
      <c r="AD47" s="14" t="str">
        <f>IF(ISERROR(HLOOKUP(G47,$BM$19:$BR55,$D47+1)),"",HLOOKUP(G47,$BM$19:$BR55,$D47+1))</f>
        <v/>
      </c>
      <c r="AE47" s="14" t="str">
        <f>IF(ISERROR(HLOOKUP(H47,$BM$19:$BR55,$D47+1)),"",HLOOKUP(H47,$BM$19:$BR55,$D47+1))</f>
        <v/>
      </c>
      <c r="AF47" s="14" t="str">
        <f>IF(ISERROR(HLOOKUP(I47,$BM$19:$BR55,$D47+1)),"",HLOOKUP(I47,$BM$19:$BR55,$D47+1))</f>
        <v/>
      </c>
      <c r="AG47" s="14" t="str">
        <f>IF(ISERROR(HLOOKUP(J47,$BM$19:$BR55,$D47+1)),"",HLOOKUP(J47,$BM$19:$BR55,$D47+1))</f>
        <v/>
      </c>
      <c r="AH47" s="14" t="str">
        <f>IF(ISERROR(HLOOKUP(K47,$BM$19:$BR55,$D47+1)),"",HLOOKUP(K47,$BM$19:$BR55,$D47+1))</f>
        <v/>
      </c>
      <c r="AI47" s="14" t="str">
        <f>IF(ISERROR(HLOOKUP(L47,$BM$19:$BR55,$D47+1)),"",HLOOKUP(L47,$BM$19:$BR55,$D47+1))</f>
        <v/>
      </c>
      <c r="AJ47" s="14" t="str">
        <f>IF(ISERROR(HLOOKUP(M47,$BM$19:$BR55,$D47+1)),"",HLOOKUP(M47,$BM$19:$BR55,$D47+1))</f>
        <v/>
      </c>
      <c r="AK47" s="14" t="str">
        <f>IF(ISERROR(HLOOKUP(N47,$BM$19:$BR55,$D47+1)),"",HLOOKUP(N47,$BM$19:$BR55,$D47+1))</f>
        <v/>
      </c>
      <c r="AL47" s="14" t="str">
        <f>IF(ISERROR(HLOOKUP(O47,$BM$19:$BR55,$D47+1)),"",HLOOKUP(O47,$BM$19:$BR55,$D47+1))</f>
        <v/>
      </c>
      <c r="AM47" s="14" t="str">
        <f>IF(ISERROR(HLOOKUP(P47,$BM$19:$BR55,$D47+1)),"",HLOOKUP(P47,$BM$19:$BR55,$D47+1))</f>
        <v/>
      </c>
      <c r="AN47" s="14" t="str">
        <f>IF(ISERROR(HLOOKUP(Q47,$BM$19:$BR55,$D47+1)),"",HLOOKUP(Q47,$BM$19:$BR55,$D47+1))</f>
        <v/>
      </c>
      <c r="AO47" s="14" t="str">
        <f>IF(ISERROR(HLOOKUP(R47,$BM$19:$BR55,$D47+1)),"",HLOOKUP(R47,$BM$19:$BR55,$D47+1))</f>
        <v/>
      </c>
      <c r="AP47" s="14" t="str">
        <f>IF(ISERROR(HLOOKUP(S47,$BM$19:$BR55,$D47+1)),"",HLOOKUP(S47,$BM$19:$BR55,$D47+1))</f>
        <v/>
      </c>
      <c r="AQ47" s="14" t="str">
        <f>IF(ISERROR(HLOOKUP(T47,$BM$19:$BR55,$D47+1)),"",HLOOKUP(T47,$BM$19:$BR55,$D47+1))</f>
        <v/>
      </c>
      <c r="AR47" s="14" t="str">
        <f>IF(ISERROR(HLOOKUP(U47,$BM$19:$BR55,$D47+1)),"",HLOOKUP(U47,$BM$19:$BR55,$D47+1))</f>
        <v/>
      </c>
      <c r="AS47" s="14" t="str">
        <f>IF(ISERROR(HLOOKUP(V47,$BM$19:$BR55,$D47+1)),"",HLOOKUP(V47,$BM$19:$BR55,$D47+1))</f>
        <v/>
      </c>
      <c r="AT47" s="14" t="str">
        <f>IF(ISERROR(HLOOKUP(W47,$BM$19:$BR55,$D47+1)),"",HLOOKUP(W47,$BM$19:$BR55,$D47+1))</f>
        <v/>
      </c>
      <c r="AU47" s="14" t="str">
        <f>IF(ISERROR(HLOOKUP(X47,$BM$19:$BR55,$D47+1)),"",HLOOKUP(X47,$BM$19:$BR55,$D47+1))</f>
        <v/>
      </c>
      <c r="AV47" s="110" t="s">
        <v>207</v>
      </c>
      <c r="AW47" s="110" t="s">
        <v>207</v>
      </c>
      <c r="BA47" s="15"/>
    </row>
    <row r="48" spans="1:53" ht="27" customHeight="1">
      <c r="A48" s="24">
        <v>32</v>
      </c>
      <c r="B48" s="152"/>
      <c r="C48" s="149"/>
      <c r="D48" s="147"/>
      <c r="E48" s="148"/>
      <c r="F48" s="148"/>
      <c r="G48" s="148"/>
      <c r="H48" s="148"/>
      <c r="I48" s="148"/>
      <c r="J48" s="148"/>
      <c r="K48" s="148"/>
      <c r="L48" s="148"/>
      <c r="M48" s="148"/>
      <c r="N48" s="148"/>
      <c r="O48" s="148"/>
      <c r="P48" s="148"/>
      <c r="Q48" s="148"/>
      <c r="R48" s="148"/>
      <c r="S48" s="148"/>
      <c r="T48" s="148"/>
      <c r="U48" s="148"/>
      <c r="V48" s="148"/>
      <c r="W48" s="148"/>
      <c r="X48" s="148"/>
      <c r="Y48" s="159">
        <f t="shared" si="1"/>
        <v>0</v>
      </c>
      <c r="Z48" s="111"/>
      <c r="AA48" s="111"/>
      <c r="AB48" s="14" t="str">
        <f>IF(ISERROR(HLOOKUP(E48,$BM$19:$BR56,$D48+1)),"",HLOOKUP(E48,$BM$19:$BR56,$D48+1))</f>
        <v/>
      </c>
      <c r="AC48" s="14" t="str">
        <f>IF(ISERROR(HLOOKUP(F48,$BM$19:$BR56,$D48+1)),"",HLOOKUP(F48,$BM$19:$BR56,$D48+1))</f>
        <v/>
      </c>
      <c r="AD48" s="14" t="str">
        <f>IF(ISERROR(HLOOKUP(G48,$BM$19:$BR56,$D48+1)),"",HLOOKUP(G48,$BM$19:$BR56,$D48+1))</f>
        <v/>
      </c>
      <c r="AE48" s="14" t="str">
        <f>IF(ISERROR(HLOOKUP(H48,$BM$19:$BR56,$D48+1)),"",HLOOKUP(H48,$BM$19:$BR56,$D48+1))</f>
        <v/>
      </c>
      <c r="AF48" s="14" t="str">
        <f>IF(ISERROR(HLOOKUP(I48,$BM$19:$BR56,$D48+1)),"",HLOOKUP(I48,$BM$19:$BR56,$D48+1))</f>
        <v/>
      </c>
      <c r="AG48" s="14" t="str">
        <f>IF(ISERROR(HLOOKUP(J48,$BM$19:$BR56,$D48+1)),"",HLOOKUP(J48,$BM$19:$BR56,$D48+1))</f>
        <v/>
      </c>
      <c r="AH48" s="14" t="str">
        <f>IF(ISERROR(HLOOKUP(K48,$BM$19:$BR56,$D48+1)),"",HLOOKUP(K48,$BM$19:$BR56,$D48+1))</f>
        <v/>
      </c>
      <c r="AI48" s="14" t="str">
        <f>IF(ISERROR(HLOOKUP(L48,$BM$19:$BR56,$D48+1)),"",HLOOKUP(L48,$BM$19:$BR56,$D48+1))</f>
        <v/>
      </c>
      <c r="AJ48" s="14" t="str">
        <f>IF(ISERROR(HLOOKUP(M48,$BM$19:$BR56,$D48+1)),"",HLOOKUP(M48,$BM$19:$BR56,$D48+1))</f>
        <v/>
      </c>
      <c r="AK48" s="14" t="str">
        <f>IF(ISERROR(HLOOKUP(N48,$BM$19:$BR56,$D48+1)),"",HLOOKUP(N48,$BM$19:$BR56,$D48+1))</f>
        <v/>
      </c>
      <c r="AL48" s="14" t="str">
        <f>IF(ISERROR(HLOOKUP(O48,$BM$19:$BR56,$D48+1)),"",HLOOKUP(O48,$BM$19:$BR56,$D48+1))</f>
        <v/>
      </c>
      <c r="AM48" s="14" t="str">
        <f>IF(ISERROR(HLOOKUP(P48,$BM$19:$BR56,$D48+1)),"",HLOOKUP(P48,$BM$19:$BR56,$D48+1))</f>
        <v/>
      </c>
      <c r="AN48" s="14" t="str">
        <f>IF(ISERROR(HLOOKUP(Q48,$BM$19:$BR56,$D48+1)),"",HLOOKUP(Q48,$BM$19:$BR56,$D48+1))</f>
        <v/>
      </c>
      <c r="AO48" s="14" t="str">
        <f>IF(ISERROR(HLOOKUP(R48,$BM$19:$BR56,$D48+1)),"",HLOOKUP(R48,$BM$19:$BR56,$D48+1))</f>
        <v/>
      </c>
      <c r="AP48" s="14" t="str">
        <f>IF(ISERROR(HLOOKUP(S48,$BM$19:$BR56,$D48+1)),"",HLOOKUP(S48,$BM$19:$BR56,$D48+1))</f>
        <v/>
      </c>
      <c r="AQ48" s="14" t="str">
        <f>IF(ISERROR(HLOOKUP(T48,$BM$19:$BR56,$D48+1)),"",HLOOKUP(T48,$BM$19:$BR56,$D48+1))</f>
        <v/>
      </c>
      <c r="AR48" s="14" t="str">
        <f>IF(ISERROR(HLOOKUP(U48,$BM$19:$BR56,$D48+1)),"",HLOOKUP(U48,$BM$19:$BR56,$D48+1))</f>
        <v/>
      </c>
      <c r="AS48" s="14" t="str">
        <f>IF(ISERROR(HLOOKUP(V48,$BM$19:$BR56,$D48+1)),"",HLOOKUP(V48,$BM$19:$BR56,$D48+1))</f>
        <v/>
      </c>
      <c r="AT48" s="14" t="str">
        <f>IF(ISERROR(HLOOKUP(W48,$BM$19:$BR56,$D48+1)),"",HLOOKUP(W48,$BM$19:$BR56,$D48+1))</f>
        <v/>
      </c>
      <c r="AU48" s="14" t="str">
        <f>IF(ISERROR(HLOOKUP(X48,$BM$19:$BR56,$D48+1)),"",HLOOKUP(X48,$BM$19:$BR56,$D48+1))</f>
        <v/>
      </c>
      <c r="AV48" s="110" t="s">
        <v>207</v>
      </c>
      <c r="AW48" s="110" t="s">
        <v>207</v>
      </c>
      <c r="BA48" s="15"/>
    </row>
    <row r="49" spans="1:53" ht="27" customHeight="1">
      <c r="A49" s="24">
        <v>33</v>
      </c>
      <c r="B49" s="152"/>
      <c r="C49" s="149"/>
      <c r="D49" s="147"/>
      <c r="E49" s="148"/>
      <c r="F49" s="148"/>
      <c r="G49" s="148"/>
      <c r="H49" s="148"/>
      <c r="I49" s="148"/>
      <c r="J49" s="148"/>
      <c r="K49" s="148"/>
      <c r="L49" s="148"/>
      <c r="M49" s="148"/>
      <c r="N49" s="148"/>
      <c r="O49" s="148"/>
      <c r="P49" s="148"/>
      <c r="Q49" s="148"/>
      <c r="R49" s="148"/>
      <c r="S49" s="148"/>
      <c r="T49" s="148"/>
      <c r="U49" s="148"/>
      <c r="V49" s="148"/>
      <c r="W49" s="148"/>
      <c r="X49" s="148"/>
      <c r="Y49" s="159">
        <f t="shared" ref="Y49:Y80" si="2">SUM(AB49:AW49)</f>
        <v>0</v>
      </c>
      <c r="Z49" s="111"/>
      <c r="AA49" s="111"/>
      <c r="AB49" s="14" t="str">
        <f>IF(ISERROR(HLOOKUP(E49,$BM$19:$BR57,$D49+1)),"",HLOOKUP(E49,$BM$19:$BR57,$D49+1))</f>
        <v/>
      </c>
      <c r="AC49" s="14" t="str">
        <f>IF(ISERROR(HLOOKUP(F49,$BM$19:$BR57,$D49+1)),"",HLOOKUP(F49,$BM$19:$BR57,$D49+1))</f>
        <v/>
      </c>
      <c r="AD49" s="14" t="str">
        <f>IF(ISERROR(HLOOKUP(G49,$BM$19:$BR57,$D49+1)),"",HLOOKUP(G49,$BM$19:$BR57,$D49+1))</f>
        <v/>
      </c>
      <c r="AE49" s="14" t="str">
        <f>IF(ISERROR(HLOOKUP(H49,$BM$19:$BR57,$D49+1)),"",HLOOKUP(H49,$BM$19:$BR57,$D49+1))</f>
        <v/>
      </c>
      <c r="AF49" s="14" t="str">
        <f>IF(ISERROR(HLOOKUP(I49,$BM$19:$BR57,$D49+1)),"",HLOOKUP(I49,$BM$19:$BR57,$D49+1))</f>
        <v/>
      </c>
      <c r="AG49" s="14" t="str">
        <f>IF(ISERROR(HLOOKUP(J49,$BM$19:$BR57,$D49+1)),"",HLOOKUP(J49,$BM$19:$BR57,$D49+1))</f>
        <v/>
      </c>
      <c r="AH49" s="14" t="str">
        <f>IF(ISERROR(HLOOKUP(K49,$BM$19:$BR57,$D49+1)),"",HLOOKUP(K49,$BM$19:$BR57,$D49+1))</f>
        <v/>
      </c>
      <c r="AI49" s="14" t="str">
        <f>IF(ISERROR(HLOOKUP(L49,$BM$19:$BR57,$D49+1)),"",HLOOKUP(L49,$BM$19:$BR57,$D49+1))</f>
        <v/>
      </c>
      <c r="AJ49" s="14" t="str">
        <f>IF(ISERROR(HLOOKUP(M49,$BM$19:$BR57,$D49+1)),"",HLOOKUP(M49,$BM$19:$BR57,$D49+1))</f>
        <v/>
      </c>
      <c r="AK49" s="14" t="str">
        <f>IF(ISERROR(HLOOKUP(N49,$BM$19:$BR57,$D49+1)),"",HLOOKUP(N49,$BM$19:$BR57,$D49+1))</f>
        <v/>
      </c>
      <c r="AL49" s="14" t="str">
        <f>IF(ISERROR(HLOOKUP(O49,$BM$19:$BR57,$D49+1)),"",HLOOKUP(O49,$BM$19:$BR57,$D49+1))</f>
        <v/>
      </c>
      <c r="AM49" s="14" t="str">
        <f>IF(ISERROR(HLOOKUP(P49,$BM$19:$BR57,$D49+1)),"",HLOOKUP(P49,$BM$19:$BR57,$D49+1))</f>
        <v/>
      </c>
      <c r="AN49" s="14" t="str">
        <f>IF(ISERROR(HLOOKUP(Q49,$BM$19:$BR57,$D49+1)),"",HLOOKUP(Q49,$BM$19:$BR57,$D49+1))</f>
        <v/>
      </c>
      <c r="AO49" s="14" t="str">
        <f>IF(ISERROR(HLOOKUP(R49,$BM$19:$BR57,$D49+1)),"",HLOOKUP(R49,$BM$19:$BR57,$D49+1))</f>
        <v/>
      </c>
      <c r="AP49" s="14" t="str">
        <f>IF(ISERROR(HLOOKUP(S49,$BM$19:$BR57,$D49+1)),"",HLOOKUP(S49,$BM$19:$BR57,$D49+1))</f>
        <v/>
      </c>
      <c r="AQ49" s="14" t="str">
        <f>IF(ISERROR(HLOOKUP(T49,$BM$19:$BR57,$D49+1)),"",HLOOKUP(T49,$BM$19:$BR57,$D49+1))</f>
        <v/>
      </c>
      <c r="AR49" s="14" t="str">
        <f>IF(ISERROR(HLOOKUP(U49,$BM$19:$BR57,$D49+1)),"",HLOOKUP(U49,$BM$19:$BR57,$D49+1))</f>
        <v/>
      </c>
      <c r="AS49" s="14" t="str">
        <f>IF(ISERROR(HLOOKUP(V49,$BM$19:$BR57,$D49+1)),"",HLOOKUP(V49,$BM$19:$BR57,$D49+1))</f>
        <v/>
      </c>
      <c r="AT49" s="14" t="str">
        <f>IF(ISERROR(HLOOKUP(W49,$BM$19:$BR57,$D49+1)),"",HLOOKUP(W49,$BM$19:$BR57,$D49+1))</f>
        <v/>
      </c>
      <c r="AU49" s="14" t="str">
        <f>IF(ISERROR(HLOOKUP(X49,$BM$19:$BR57,$D49+1)),"",HLOOKUP(X49,$BM$19:$BR57,$D49+1))</f>
        <v/>
      </c>
      <c r="AV49" s="110" t="s">
        <v>207</v>
      </c>
      <c r="AW49" s="110" t="s">
        <v>207</v>
      </c>
      <c r="BA49" s="15"/>
    </row>
    <row r="50" spans="1:53" ht="27" customHeight="1">
      <c r="A50" s="24">
        <v>34</v>
      </c>
      <c r="B50" s="152"/>
      <c r="C50" s="149"/>
      <c r="D50" s="147"/>
      <c r="E50" s="148"/>
      <c r="F50" s="148"/>
      <c r="G50" s="148"/>
      <c r="H50" s="148"/>
      <c r="I50" s="148"/>
      <c r="J50" s="148"/>
      <c r="K50" s="148"/>
      <c r="L50" s="148"/>
      <c r="M50" s="148"/>
      <c r="N50" s="148"/>
      <c r="O50" s="148"/>
      <c r="P50" s="148"/>
      <c r="Q50" s="148"/>
      <c r="R50" s="148"/>
      <c r="S50" s="148"/>
      <c r="T50" s="148"/>
      <c r="U50" s="148"/>
      <c r="V50" s="148"/>
      <c r="W50" s="148"/>
      <c r="X50" s="148"/>
      <c r="Y50" s="159">
        <f t="shared" si="2"/>
        <v>0</v>
      </c>
      <c r="Z50" s="111"/>
      <c r="AA50" s="111"/>
      <c r="AB50" s="14" t="str">
        <f>IF(ISERROR(HLOOKUP(E50,$BM$19:$BR58,$D50+1)),"",HLOOKUP(E50,$BM$19:$BR58,$D50+1))</f>
        <v/>
      </c>
      <c r="AC50" s="14" t="str">
        <f>IF(ISERROR(HLOOKUP(F50,$BM$19:$BR58,$D50+1)),"",HLOOKUP(F50,$BM$19:$BR58,$D50+1))</f>
        <v/>
      </c>
      <c r="AD50" s="14" t="str">
        <f>IF(ISERROR(HLOOKUP(G50,$BM$19:$BR58,$D50+1)),"",HLOOKUP(G50,$BM$19:$BR58,$D50+1))</f>
        <v/>
      </c>
      <c r="AE50" s="14" t="str">
        <f>IF(ISERROR(HLOOKUP(H50,$BM$19:$BR58,$D50+1)),"",HLOOKUP(H50,$BM$19:$BR58,$D50+1))</f>
        <v/>
      </c>
      <c r="AF50" s="14" t="str">
        <f>IF(ISERROR(HLOOKUP(I50,$BM$19:$BR58,$D50+1)),"",HLOOKUP(I50,$BM$19:$BR58,$D50+1))</f>
        <v/>
      </c>
      <c r="AG50" s="14" t="str">
        <f>IF(ISERROR(HLOOKUP(J50,$BM$19:$BR58,$D50+1)),"",HLOOKUP(J50,$BM$19:$BR58,$D50+1))</f>
        <v/>
      </c>
      <c r="AH50" s="14" t="str">
        <f>IF(ISERROR(HLOOKUP(K50,$BM$19:$BR58,$D50+1)),"",HLOOKUP(K50,$BM$19:$BR58,$D50+1))</f>
        <v/>
      </c>
      <c r="AI50" s="14" t="str">
        <f>IF(ISERROR(HLOOKUP(L50,$BM$19:$BR58,$D50+1)),"",HLOOKUP(L50,$BM$19:$BR58,$D50+1))</f>
        <v/>
      </c>
      <c r="AJ50" s="14" t="str">
        <f>IF(ISERROR(HLOOKUP(M50,$BM$19:$BR58,$D50+1)),"",HLOOKUP(M50,$BM$19:$BR58,$D50+1))</f>
        <v/>
      </c>
      <c r="AK50" s="14" t="str">
        <f>IF(ISERROR(HLOOKUP(N50,$BM$19:$BR58,$D50+1)),"",HLOOKUP(N50,$BM$19:$BR58,$D50+1))</f>
        <v/>
      </c>
      <c r="AL50" s="14" t="str">
        <f>IF(ISERROR(HLOOKUP(O50,$BM$19:$BR58,$D50+1)),"",HLOOKUP(O50,$BM$19:$BR58,$D50+1))</f>
        <v/>
      </c>
      <c r="AM50" s="14" t="str">
        <f>IF(ISERROR(HLOOKUP(P50,$BM$19:$BR58,$D50+1)),"",HLOOKUP(P50,$BM$19:$BR58,$D50+1))</f>
        <v/>
      </c>
      <c r="AN50" s="14" t="str">
        <f>IF(ISERROR(HLOOKUP(Q50,$BM$19:$BR58,$D50+1)),"",HLOOKUP(Q50,$BM$19:$BR58,$D50+1))</f>
        <v/>
      </c>
      <c r="AO50" s="14" t="str">
        <f>IF(ISERROR(HLOOKUP(R50,$BM$19:$BR58,$D50+1)),"",HLOOKUP(R50,$BM$19:$BR58,$D50+1))</f>
        <v/>
      </c>
      <c r="AP50" s="14" t="str">
        <f>IF(ISERROR(HLOOKUP(S50,$BM$19:$BR58,$D50+1)),"",HLOOKUP(S50,$BM$19:$BR58,$D50+1))</f>
        <v/>
      </c>
      <c r="AQ50" s="14" t="str">
        <f>IF(ISERROR(HLOOKUP(T50,$BM$19:$BR58,$D50+1)),"",HLOOKUP(T50,$BM$19:$BR58,$D50+1))</f>
        <v/>
      </c>
      <c r="AR50" s="14" t="str">
        <f>IF(ISERROR(HLOOKUP(U50,$BM$19:$BR58,$D50+1)),"",HLOOKUP(U50,$BM$19:$BR58,$D50+1))</f>
        <v/>
      </c>
      <c r="AS50" s="14" t="str">
        <f>IF(ISERROR(HLOOKUP(V50,$BM$19:$BR58,$D50+1)),"",HLOOKUP(V50,$BM$19:$BR58,$D50+1))</f>
        <v/>
      </c>
      <c r="AT50" s="14" t="str">
        <f>IF(ISERROR(HLOOKUP(W50,$BM$19:$BR58,$D50+1)),"",HLOOKUP(W50,$BM$19:$BR58,$D50+1))</f>
        <v/>
      </c>
      <c r="AU50" s="14" t="str">
        <f>IF(ISERROR(HLOOKUP(X50,$BM$19:$BR58,$D50+1)),"",HLOOKUP(X50,$BM$19:$BR58,$D50+1))</f>
        <v/>
      </c>
      <c r="AV50" s="110" t="s">
        <v>207</v>
      </c>
      <c r="AW50" s="110" t="s">
        <v>207</v>
      </c>
      <c r="BA50" s="15"/>
    </row>
    <row r="51" spans="1:53" ht="27" customHeight="1">
      <c r="A51" s="24">
        <v>35</v>
      </c>
      <c r="B51" s="152"/>
      <c r="C51" s="149"/>
      <c r="D51" s="147"/>
      <c r="E51" s="148"/>
      <c r="F51" s="148"/>
      <c r="G51" s="148"/>
      <c r="H51" s="148"/>
      <c r="I51" s="148"/>
      <c r="J51" s="148"/>
      <c r="K51" s="148"/>
      <c r="L51" s="148"/>
      <c r="M51" s="148"/>
      <c r="N51" s="148"/>
      <c r="O51" s="148"/>
      <c r="P51" s="148"/>
      <c r="Q51" s="148"/>
      <c r="R51" s="148"/>
      <c r="S51" s="148"/>
      <c r="T51" s="148"/>
      <c r="U51" s="148"/>
      <c r="V51" s="148"/>
      <c r="W51" s="148"/>
      <c r="X51" s="148"/>
      <c r="Y51" s="159">
        <f t="shared" si="2"/>
        <v>0</v>
      </c>
      <c r="Z51" s="111"/>
      <c r="AA51" s="111"/>
      <c r="AB51" s="14" t="str">
        <f>IF(ISERROR(HLOOKUP(E51,$BM$19:$BR59,$D51+1)),"",HLOOKUP(E51,$BM$19:$BR59,$D51+1))</f>
        <v/>
      </c>
      <c r="AC51" s="14" t="str">
        <f>IF(ISERROR(HLOOKUP(F51,$BM$19:$BR59,$D51+1)),"",HLOOKUP(F51,$BM$19:$BR59,$D51+1))</f>
        <v/>
      </c>
      <c r="AD51" s="14" t="str">
        <f>IF(ISERROR(HLOOKUP(G51,$BM$19:$BR59,$D51+1)),"",HLOOKUP(G51,$BM$19:$BR59,$D51+1))</f>
        <v/>
      </c>
      <c r="AE51" s="14" t="str">
        <f>IF(ISERROR(HLOOKUP(H51,$BM$19:$BR59,$D51+1)),"",HLOOKUP(H51,$BM$19:$BR59,$D51+1))</f>
        <v/>
      </c>
      <c r="AF51" s="14" t="str">
        <f>IF(ISERROR(HLOOKUP(I51,$BM$19:$BR59,$D51+1)),"",HLOOKUP(I51,$BM$19:$BR59,$D51+1))</f>
        <v/>
      </c>
      <c r="AG51" s="14" t="str">
        <f>IF(ISERROR(HLOOKUP(J51,$BM$19:$BR59,$D51+1)),"",HLOOKUP(J51,$BM$19:$BR59,$D51+1))</f>
        <v/>
      </c>
      <c r="AH51" s="14" t="str">
        <f>IF(ISERROR(HLOOKUP(K51,$BM$19:$BR59,$D51+1)),"",HLOOKUP(K51,$BM$19:$BR59,$D51+1))</f>
        <v/>
      </c>
      <c r="AI51" s="14" t="str">
        <f>IF(ISERROR(HLOOKUP(L51,$BM$19:$BR59,$D51+1)),"",HLOOKUP(L51,$BM$19:$BR59,$D51+1))</f>
        <v/>
      </c>
      <c r="AJ51" s="14" t="str">
        <f>IF(ISERROR(HLOOKUP(M51,$BM$19:$BR59,$D51+1)),"",HLOOKUP(M51,$BM$19:$BR59,$D51+1))</f>
        <v/>
      </c>
      <c r="AK51" s="14" t="str">
        <f>IF(ISERROR(HLOOKUP(N51,$BM$19:$BR59,$D51+1)),"",HLOOKUP(N51,$BM$19:$BR59,$D51+1))</f>
        <v/>
      </c>
      <c r="AL51" s="14" t="str">
        <f>IF(ISERROR(HLOOKUP(O51,$BM$19:$BR59,$D51+1)),"",HLOOKUP(O51,$BM$19:$BR59,$D51+1))</f>
        <v/>
      </c>
      <c r="AM51" s="14" t="str">
        <f>IF(ISERROR(HLOOKUP(P51,$BM$19:$BR59,$D51+1)),"",HLOOKUP(P51,$BM$19:$BR59,$D51+1))</f>
        <v/>
      </c>
      <c r="AN51" s="14" t="str">
        <f>IF(ISERROR(HLOOKUP(Q51,$BM$19:$BR59,$D51+1)),"",HLOOKUP(Q51,$BM$19:$BR59,$D51+1))</f>
        <v/>
      </c>
      <c r="AO51" s="14" t="str">
        <f>IF(ISERROR(HLOOKUP(R51,$BM$19:$BR59,$D51+1)),"",HLOOKUP(R51,$BM$19:$BR59,$D51+1))</f>
        <v/>
      </c>
      <c r="AP51" s="14" t="str">
        <f>IF(ISERROR(HLOOKUP(S51,$BM$19:$BR59,$D51+1)),"",HLOOKUP(S51,$BM$19:$BR59,$D51+1))</f>
        <v/>
      </c>
      <c r="AQ51" s="14" t="str">
        <f>IF(ISERROR(HLOOKUP(T51,$BM$19:$BR59,$D51+1)),"",HLOOKUP(T51,$BM$19:$BR59,$D51+1))</f>
        <v/>
      </c>
      <c r="AR51" s="14" t="str">
        <f>IF(ISERROR(HLOOKUP(U51,$BM$19:$BR59,$D51+1)),"",HLOOKUP(U51,$BM$19:$BR59,$D51+1))</f>
        <v/>
      </c>
      <c r="AS51" s="14" t="str">
        <f>IF(ISERROR(HLOOKUP(V51,$BM$19:$BR59,$D51+1)),"",HLOOKUP(V51,$BM$19:$BR59,$D51+1))</f>
        <v/>
      </c>
      <c r="AT51" s="14" t="str">
        <f>IF(ISERROR(HLOOKUP(W51,$BM$19:$BR59,$D51+1)),"",HLOOKUP(W51,$BM$19:$BR59,$D51+1))</f>
        <v/>
      </c>
      <c r="AU51" s="14" t="str">
        <f>IF(ISERROR(HLOOKUP(X51,$BM$19:$BR59,$D51+1)),"",HLOOKUP(X51,$BM$19:$BR59,$D51+1))</f>
        <v/>
      </c>
      <c r="AV51" s="110" t="s">
        <v>207</v>
      </c>
      <c r="AW51" s="110" t="s">
        <v>207</v>
      </c>
      <c r="BA51" s="15"/>
    </row>
    <row r="52" spans="1:53" ht="27" customHeight="1">
      <c r="A52" s="24">
        <v>36</v>
      </c>
      <c r="B52" s="152"/>
      <c r="C52" s="149"/>
      <c r="D52" s="147"/>
      <c r="E52" s="148"/>
      <c r="F52" s="148"/>
      <c r="G52" s="148"/>
      <c r="H52" s="148"/>
      <c r="I52" s="148"/>
      <c r="J52" s="148"/>
      <c r="K52" s="148"/>
      <c r="L52" s="148"/>
      <c r="M52" s="148"/>
      <c r="N52" s="148"/>
      <c r="O52" s="148"/>
      <c r="P52" s="148"/>
      <c r="Q52" s="148"/>
      <c r="R52" s="148"/>
      <c r="S52" s="148"/>
      <c r="T52" s="148"/>
      <c r="U52" s="148"/>
      <c r="V52" s="148"/>
      <c r="W52" s="148"/>
      <c r="X52" s="148"/>
      <c r="Y52" s="159">
        <f t="shared" si="2"/>
        <v>0</v>
      </c>
      <c r="Z52" s="111"/>
      <c r="AA52" s="111"/>
      <c r="AB52" s="14" t="str">
        <f>IF(ISERROR(HLOOKUP(E52,$BM$19:$BR60,$D52+1)),"",HLOOKUP(E52,$BM$19:$BR60,$D52+1))</f>
        <v/>
      </c>
      <c r="AC52" s="14" t="str">
        <f>IF(ISERROR(HLOOKUP(F52,$BM$19:$BR60,$D52+1)),"",HLOOKUP(F52,$BM$19:$BR60,$D52+1))</f>
        <v/>
      </c>
      <c r="AD52" s="14" t="str">
        <f>IF(ISERROR(HLOOKUP(G52,$BM$19:$BR60,$D52+1)),"",HLOOKUP(G52,$BM$19:$BR60,$D52+1))</f>
        <v/>
      </c>
      <c r="AE52" s="14" t="str">
        <f>IF(ISERROR(HLOOKUP(H52,$BM$19:$BR60,$D52+1)),"",HLOOKUP(H52,$BM$19:$BR60,$D52+1))</f>
        <v/>
      </c>
      <c r="AF52" s="14" t="str">
        <f>IF(ISERROR(HLOOKUP(I52,$BM$19:$BR60,$D52+1)),"",HLOOKUP(I52,$BM$19:$BR60,$D52+1))</f>
        <v/>
      </c>
      <c r="AG52" s="14" t="str">
        <f>IF(ISERROR(HLOOKUP(J52,$BM$19:$BR60,$D52+1)),"",HLOOKUP(J52,$BM$19:$BR60,$D52+1))</f>
        <v/>
      </c>
      <c r="AH52" s="14" t="str">
        <f>IF(ISERROR(HLOOKUP(K52,$BM$19:$BR60,$D52+1)),"",HLOOKUP(K52,$BM$19:$BR60,$D52+1))</f>
        <v/>
      </c>
      <c r="AI52" s="14" t="str">
        <f>IF(ISERROR(HLOOKUP(L52,$BM$19:$BR60,$D52+1)),"",HLOOKUP(L52,$BM$19:$BR60,$D52+1))</f>
        <v/>
      </c>
      <c r="AJ52" s="14" t="str">
        <f>IF(ISERROR(HLOOKUP(M52,$BM$19:$BR60,$D52+1)),"",HLOOKUP(M52,$BM$19:$BR60,$D52+1))</f>
        <v/>
      </c>
      <c r="AK52" s="14" t="str">
        <f>IF(ISERROR(HLOOKUP(N52,$BM$19:$BR60,$D52+1)),"",HLOOKUP(N52,$BM$19:$BR60,$D52+1))</f>
        <v/>
      </c>
      <c r="AL52" s="14" t="str">
        <f>IF(ISERROR(HLOOKUP(O52,$BM$19:$BR60,$D52+1)),"",HLOOKUP(O52,$BM$19:$BR60,$D52+1))</f>
        <v/>
      </c>
      <c r="AM52" s="14" t="str">
        <f>IF(ISERROR(HLOOKUP(P52,$BM$19:$BR60,$D52+1)),"",HLOOKUP(P52,$BM$19:$BR60,$D52+1))</f>
        <v/>
      </c>
      <c r="AN52" s="14" t="str">
        <f>IF(ISERROR(HLOOKUP(Q52,$BM$19:$BR60,$D52+1)),"",HLOOKUP(Q52,$BM$19:$BR60,$D52+1))</f>
        <v/>
      </c>
      <c r="AO52" s="14" t="str">
        <f>IF(ISERROR(HLOOKUP(R52,$BM$19:$BR60,$D52+1)),"",HLOOKUP(R52,$BM$19:$BR60,$D52+1))</f>
        <v/>
      </c>
      <c r="AP52" s="14" t="str">
        <f>IF(ISERROR(HLOOKUP(S52,$BM$19:$BR60,$D52+1)),"",HLOOKUP(S52,$BM$19:$BR60,$D52+1))</f>
        <v/>
      </c>
      <c r="AQ52" s="14" t="str">
        <f>IF(ISERROR(HLOOKUP(T52,$BM$19:$BR60,$D52+1)),"",HLOOKUP(T52,$BM$19:$BR60,$D52+1))</f>
        <v/>
      </c>
      <c r="AR52" s="14" t="str">
        <f>IF(ISERROR(HLOOKUP(U52,$BM$19:$BR60,$D52+1)),"",HLOOKUP(U52,$BM$19:$BR60,$D52+1))</f>
        <v/>
      </c>
      <c r="AS52" s="14" t="str">
        <f>IF(ISERROR(HLOOKUP(V52,$BM$19:$BR60,$D52+1)),"",HLOOKUP(V52,$BM$19:$BR60,$D52+1))</f>
        <v/>
      </c>
      <c r="AT52" s="14" t="str">
        <f>IF(ISERROR(HLOOKUP(W52,$BM$19:$BR60,$D52+1)),"",HLOOKUP(W52,$BM$19:$BR60,$D52+1))</f>
        <v/>
      </c>
      <c r="AU52" s="14" t="str">
        <f>IF(ISERROR(HLOOKUP(X52,$BM$19:$BR60,$D52+1)),"",HLOOKUP(X52,$BM$19:$BR60,$D52+1))</f>
        <v/>
      </c>
      <c r="AV52" s="110" t="s">
        <v>207</v>
      </c>
      <c r="AW52" s="110" t="s">
        <v>207</v>
      </c>
      <c r="BA52" s="15"/>
    </row>
    <row r="53" spans="1:53" ht="27" customHeight="1">
      <c r="A53" s="24">
        <v>37</v>
      </c>
      <c r="B53" s="152"/>
      <c r="C53" s="149"/>
      <c r="D53" s="147"/>
      <c r="E53" s="148"/>
      <c r="F53" s="148"/>
      <c r="G53" s="148"/>
      <c r="H53" s="148"/>
      <c r="I53" s="148"/>
      <c r="J53" s="148"/>
      <c r="K53" s="148"/>
      <c r="L53" s="148"/>
      <c r="M53" s="148"/>
      <c r="N53" s="148"/>
      <c r="O53" s="148"/>
      <c r="P53" s="148"/>
      <c r="Q53" s="148"/>
      <c r="R53" s="148"/>
      <c r="S53" s="148"/>
      <c r="T53" s="148"/>
      <c r="U53" s="148"/>
      <c r="V53" s="148"/>
      <c r="W53" s="148"/>
      <c r="X53" s="148"/>
      <c r="Y53" s="159">
        <f t="shared" si="2"/>
        <v>0</v>
      </c>
      <c r="Z53" s="111"/>
      <c r="AA53" s="111"/>
      <c r="AB53" s="14" t="str">
        <f>IF(ISERROR(HLOOKUP(E53,$BM$19:$BR61,$D53+1)),"",HLOOKUP(E53,$BM$19:$BR61,$D53+1))</f>
        <v/>
      </c>
      <c r="AC53" s="14" t="str">
        <f>IF(ISERROR(HLOOKUP(F53,$BM$19:$BR61,$D53+1)),"",HLOOKUP(F53,$BM$19:$BR61,$D53+1))</f>
        <v/>
      </c>
      <c r="AD53" s="14" t="str">
        <f>IF(ISERROR(HLOOKUP(G53,$BM$19:$BR61,$D53+1)),"",HLOOKUP(G53,$BM$19:$BR61,$D53+1))</f>
        <v/>
      </c>
      <c r="AE53" s="14" t="str">
        <f>IF(ISERROR(HLOOKUP(H53,$BM$19:$BR61,$D53+1)),"",HLOOKUP(H53,$BM$19:$BR61,$D53+1))</f>
        <v/>
      </c>
      <c r="AF53" s="14" t="str">
        <f>IF(ISERROR(HLOOKUP(I53,$BM$19:$BR61,$D53+1)),"",HLOOKUP(I53,$BM$19:$BR61,$D53+1))</f>
        <v/>
      </c>
      <c r="AG53" s="14" t="str">
        <f>IF(ISERROR(HLOOKUP(J53,$BM$19:$BR61,$D53+1)),"",HLOOKUP(J53,$BM$19:$BR61,$D53+1))</f>
        <v/>
      </c>
      <c r="AH53" s="14" t="str">
        <f>IF(ISERROR(HLOOKUP(K53,$BM$19:$BR61,$D53+1)),"",HLOOKUP(K53,$BM$19:$BR61,$D53+1))</f>
        <v/>
      </c>
      <c r="AI53" s="14" t="str">
        <f>IF(ISERROR(HLOOKUP(L53,$BM$19:$BR61,$D53+1)),"",HLOOKUP(L53,$BM$19:$BR61,$D53+1))</f>
        <v/>
      </c>
      <c r="AJ53" s="14" t="str">
        <f>IF(ISERROR(HLOOKUP(M53,$BM$19:$BR61,$D53+1)),"",HLOOKUP(M53,$BM$19:$BR61,$D53+1))</f>
        <v/>
      </c>
      <c r="AK53" s="14" t="str">
        <f>IF(ISERROR(HLOOKUP(N53,$BM$19:$BR61,$D53+1)),"",HLOOKUP(N53,$BM$19:$BR61,$D53+1))</f>
        <v/>
      </c>
      <c r="AL53" s="14" t="str">
        <f>IF(ISERROR(HLOOKUP(O53,$BM$19:$BR61,$D53+1)),"",HLOOKUP(O53,$BM$19:$BR61,$D53+1))</f>
        <v/>
      </c>
      <c r="AM53" s="14" t="str">
        <f>IF(ISERROR(HLOOKUP(P53,$BM$19:$BR61,$D53+1)),"",HLOOKUP(P53,$BM$19:$BR61,$D53+1))</f>
        <v/>
      </c>
      <c r="AN53" s="14" t="str">
        <f>IF(ISERROR(HLOOKUP(Q53,$BM$19:$BR61,$D53+1)),"",HLOOKUP(Q53,$BM$19:$BR61,$D53+1))</f>
        <v/>
      </c>
      <c r="AO53" s="14" t="str">
        <f>IF(ISERROR(HLOOKUP(R53,$BM$19:$BR61,$D53+1)),"",HLOOKUP(R53,$BM$19:$BR61,$D53+1))</f>
        <v/>
      </c>
      <c r="AP53" s="14" t="str">
        <f>IF(ISERROR(HLOOKUP(S53,$BM$19:$BR61,$D53+1)),"",HLOOKUP(S53,$BM$19:$BR61,$D53+1))</f>
        <v/>
      </c>
      <c r="AQ53" s="14" t="str">
        <f>IF(ISERROR(HLOOKUP(T53,$BM$19:$BR61,$D53+1)),"",HLOOKUP(T53,$BM$19:$BR61,$D53+1))</f>
        <v/>
      </c>
      <c r="AR53" s="14" t="str">
        <f>IF(ISERROR(HLOOKUP(U53,$BM$19:$BR61,$D53+1)),"",HLOOKUP(U53,$BM$19:$BR61,$D53+1))</f>
        <v/>
      </c>
      <c r="AS53" s="14" t="str">
        <f>IF(ISERROR(HLOOKUP(V53,$BM$19:$BR61,$D53+1)),"",HLOOKUP(V53,$BM$19:$BR61,$D53+1))</f>
        <v/>
      </c>
      <c r="AT53" s="14" t="str">
        <f>IF(ISERROR(HLOOKUP(W53,$BM$19:$BR61,$D53+1)),"",HLOOKUP(W53,$BM$19:$BR61,$D53+1))</f>
        <v/>
      </c>
      <c r="AU53" s="14" t="str">
        <f>IF(ISERROR(HLOOKUP(X53,$BM$19:$BR61,$D53+1)),"",HLOOKUP(X53,$BM$19:$BR61,$D53+1))</f>
        <v/>
      </c>
      <c r="AV53" s="110" t="s">
        <v>207</v>
      </c>
      <c r="AW53" s="110" t="s">
        <v>207</v>
      </c>
      <c r="BA53" s="12"/>
    </row>
    <row r="54" spans="1:53" ht="27" customHeight="1">
      <c r="A54" s="24">
        <v>38</v>
      </c>
      <c r="B54" s="152"/>
      <c r="C54" s="149"/>
      <c r="D54" s="147"/>
      <c r="E54" s="148"/>
      <c r="F54" s="148"/>
      <c r="G54" s="148"/>
      <c r="H54" s="148"/>
      <c r="I54" s="148"/>
      <c r="J54" s="148"/>
      <c r="K54" s="148"/>
      <c r="L54" s="148"/>
      <c r="M54" s="148"/>
      <c r="N54" s="148"/>
      <c r="O54" s="148"/>
      <c r="P54" s="148"/>
      <c r="Q54" s="148"/>
      <c r="R54" s="148"/>
      <c r="S54" s="148"/>
      <c r="T54" s="148"/>
      <c r="U54" s="148"/>
      <c r="V54" s="148"/>
      <c r="W54" s="148"/>
      <c r="X54" s="148"/>
      <c r="Y54" s="159">
        <f t="shared" si="2"/>
        <v>0</v>
      </c>
      <c r="Z54" s="111"/>
      <c r="AA54" s="111"/>
      <c r="AB54" s="14" t="str">
        <f>IF(ISERROR(HLOOKUP(E54,$BM$19:$BR62,$D54+1)),"",HLOOKUP(E54,$BM$19:$BR62,$D54+1))</f>
        <v/>
      </c>
      <c r="AC54" s="14" t="str">
        <f>IF(ISERROR(HLOOKUP(F54,$BM$19:$BR62,$D54+1)),"",HLOOKUP(F54,$BM$19:$BR62,$D54+1))</f>
        <v/>
      </c>
      <c r="AD54" s="14" t="str">
        <f>IF(ISERROR(HLOOKUP(G54,$BM$19:$BR62,$D54+1)),"",HLOOKUP(G54,$BM$19:$BR62,$D54+1))</f>
        <v/>
      </c>
      <c r="AE54" s="14" t="str">
        <f>IF(ISERROR(HLOOKUP(H54,$BM$19:$BR62,$D54+1)),"",HLOOKUP(H54,$BM$19:$BR62,$D54+1))</f>
        <v/>
      </c>
      <c r="AF54" s="14" t="str">
        <f>IF(ISERROR(HLOOKUP(I54,$BM$19:$BR62,$D54+1)),"",HLOOKUP(I54,$BM$19:$BR62,$D54+1))</f>
        <v/>
      </c>
      <c r="AG54" s="14" t="str">
        <f>IF(ISERROR(HLOOKUP(J54,$BM$19:$BR62,$D54+1)),"",HLOOKUP(J54,$BM$19:$BR62,$D54+1))</f>
        <v/>
      </c>
      <c r="AH54" s="14" t="str">
        <f>IF(ISERROR(HLOOKUP(K54,$BM$19:$BR62,$D54+1)),"",HLOOKUP(K54,$BM$19:$BR62,$D54+1))</f>
        <v/>
      </c>
      <c r="AI54" s="14" t="str">
        <f>IF(ISERROR(HLOOKUP(L54,$BM$19:$BR62,$D54+1)),"",HLOOKUP(L54,$BM$19:$BR62,$D54+1))</f>
        <v/>
      </c>
      <c r="AJ54" s="14" t="str">
        <f>IF(ISERROR(HLOOKUP(M54,$BM$19:$BR62,$D54+1)),"",HLOOKUP(M54,$BM$19:$BR62,$D54+1))</f>
        <v/>
      </c>
      <c r="AK54" s="14" t="str">
        <f>IF(ISERROR(HLOOKUP(N54,$BM$19:$BR62,$D54+1)),"",HLOOKUP(N54,$BM$19:$BR62,$D54+1))</f>
        <v/>
      </c>
      <c r="AL54" s="14" t="str">
        <f>IF(ISERROR(HLOOKUP(O54,$BM$19:$BR62,$D54+1)),"",HLOOKUP(O54,$BM$19:$BR62,$D54+1))</f>
        <v/>
      </c>
      <c r="AM54" s="14" t="str">
        <f>IF(ISERROR(HLOOKUP(P54,$BM$19:$BR62,$D54+1)),"",HLOOKUP(P54,$BM$19:$BR62,$D54+1))</f>
        <v/>
      </c>
      <c r="AN54" s="14" t="str">
        <f>IF(ISERROR(HLOOKUP(Q54,$BM$19:$BR62,$D54+1)),"",HLOOKUP(Q54,$BM$19:$BR62,$D54+1))</f>
        <v/>
      </c>
      <c r="AO54" s="14" t="str">
        <f>IF(ISERROR(HLOOKUP(R54,$BM$19:$BR62,$D54+1)),"",HLOOKUP(R54,$BM$19:$BR62,$D54+1))</f>
        <v/>
      </c>
      <c r="AP54" s="14" t="str">
        <f>IF(ISERROR(HLOOKUP(S54,$BM$19:$BR62,$D54+1)),"",HLOOKUP(S54,$BM$19:$BR62,$D54+1))</f>
        <v/>
      </c>
      <c r="AQ54" s="14" t="str">
        <f>IF(ISERROR(HLOOKUP(T54,$BM$19:$BR62,$D54+1)),"",HLOOKUP(T54,$BM$19:$BR62,$D54+1))</f>
        <v/>
      </c>
      <c r="AR54" s="14" t="str">
        <f>IF(ISERROR(HLOOKUP(U54,$BM$19:$BR62,$D54+1)),"",HLOOKUP(U54,$BM$19:$BR62,$D54+1))</f>
        <v/>
      </c>
      <c r="AS54" s="14" t="str">
        <f>IF(ISERROR(HLOOKUP(V54,$BM$19:$BR62,$D54+1)),"",HLOOKUP(V54,$BM$19:$BR62,$D54+1))</f>
        <v/>
      </c>
      <c r="AT54" s="14" t="str">
        <f>IF(ISERROR(HLOOKUP(W54,$BM$19:$BR62,$D54+1)),"",HLOOKUP(W54,$BM$19:$BR62,$D54+1))</f>
        <v/>
      </c>
      <c r="AU54" s="14" t="str">
        <f>IF(ISERROR(HLOOKUP(X54,$BM$19:$BR62,$D54+1)),"",HLOOKUP(X54,$BM$19:$BR62,$D54+1))</f>
        <v/>
      </c>
      <c r="AV54" s="110" t="s">
        <v>207</v>
      </c>
      <c r="AW54" s="110" t="s">
        <v>207</v>
      </c>
      <c r="BA54" s="12"/>
    </row>
    <row r="55" spans="1:53" ht="27" customHeight="1">
      <c r="A55" s="24">
        <v>39</v>
      </c>
      <c r="B55" s="152"/>
      <c r="C55" s="149"/>
      <c r="D55" s="147"/>
      <c r="E55" s="148"/>
      <c r="F55" s="148"/>
      <c r="G55" s="148"/>
      <c r="H55" s="148"/>
      <c r="I55" s="148"/>
      <c r="J55" s="148"/>
      <c r="K55" s="148"/>
      <c r="L55" s="148"/>
      <c r="M55" s="148"/>
      <c r="N55" s="148"/>
      <c r="O55" s="148"/>
      <c r="P55" s="148"/>
      <c r="Q55" s="148"/>
      <c r="R55" s="148"/>
      <c r="S55" s="148"/>
      <c r="T55" s="148"/>
      <c r="U55" s="148"/>
      <c r="V55" s="148"/>
      <c r="W55" s="148"/>
      <c r="X55" s="148"/>
      <c r="Y55" s="159">
        <f t="shared" si="2"/>
        <v>0</v>
      </c>
      <c r="Z55" s="111"/>
      <c r="AA55" s="111"/>
      <c r="AB55" s="14" t="str">
        <f>IF(ISERROR(HLOOKUP(E55,$BM$19:$BR63,$D55+1)),"",HLOOKUP(E55,$BM$19:$BR63,$D55+1))</f>
        <v/>
      </c>
      <c r="AC55" s="14" t="str">
        <f>IF(ISERROR(HLOOKUP(F55,$BM$19:$BR63,$D55+1)),"",HLOOKUP(F55,$BM$19:$BR63,$D55+1))</f>
        <v/>
      </c>
      <c r="AD55" s="14" t="str">
        <f>IF(ISERROR(HLOOKUP(G55,$BM$19:$BR63,$D55+1)),"",HLOOKUP(G55,$BM$19:$BR63,$D55+1))</f>
        <v/>
      </c>
      <c r="AE55" s="14" t="str">
        <f>IF(ISERROR(HLOOKUP(H55,$BM$19:$BR63,$D55+1)),"",HLOOKUP(H55,$BM$19:$BR63,$D55+1))</f>
        <v/>
      </c>
      <c r="AF55" s="14" t="str">
        <f>IF(ISERROR(HLOOKUP(I55,$BM$19:$BR63,$D55+1)),"",HLOOKUP(I55,$BM$19:$BR63,$D55+1))</f>
        <v/>
      </c>
      <c r="AG55" s="14" t="str">
        <f>IF(ISERROR(HLOOKUP(J55,$BM$19:$BR63,$D55+1)),"",HLOOKUP(J55,$BM$19:$BR63,$D55+1))</f>
        <v/>
      </c>
      <c r="AH55" s="14" t="str">
        <f>IF(ISERROR(HLOOKUP(K55,$BM$19:$BR63,$D55+1)),"",HLOOKUP(K55,$BM$19:$BR63,$D55+1))</f>
        <v/>
      </c>
      <c r="AI55" s="14" t="str">
        <f>IF(ISERROR(HLOOKUP(L55,$BM$19:$BR63,$D55+1)),"",HLOOKUP(L55,$BM$19:$BR63,$D55+1))</f>
        <v/>
      </c>
      <c r="AJ55" s="14" t="str">
        <f>IF(ISERROR(HLOOKUP(M55,$BM$19:$BR63,$D55+1)),"",HLOOKUP(M55,$BM$19:$BR63,$D55+1))</f>
        <v/>
      </c>
      <c r="AK55" s="14" t="str">
        <f>IF(ISERROR(HLOOKUP(N55,$BM$19:$BR63,$D55+1)),"",HLOOKUP(N55,$BM$19:$BR63,$D55+1))</f>
        <v/>
      </c>
      <c r="AL55" s="14" t="str">
        <f>IF(ISERROR(HLOOKUP(O55,$BM$19:$BR63,$D55+1)),"",HLOOKUP(O55,$BM$19:$BR63,$D55+1))</f>
        <v/>
      </c>
      <c r="AM55" s="14" t="str">
        <f>IF(ISERROR(HLOOKUP(P55,$BM$19:$BR63,$D55+1)),"",HLOOKUP(P55,$BM$19:$BR63,$D55+1))</f>
        <v/>
      </c>
      <c r="AN55" s="14" t="str">
        <f>IF(ISERROR(HLOOKUP(Q55,$BM$19:$BR63,$D55+1)),"",HLOOKUP(Q55,$BM$19:$BR63,$D55+1))</f>
        <v/>
      </c>
      <c r="AO55" s="14" t="str">
        <f>IF(ISERROR(HLOOKUP(R55,$BM$19:$BR63,$D55+1)),"",HLOOKUP(R55,$BM$19:$BR63,$D55+1))</f>
        <v/>
      </c>
      <c r="AP55" s="14" t="str">
        <f>IF(ISERROR(HLOOKUP(S55,$BM$19:$BR63,$D55+1)),"",HLOOKUP(S55,$BM$19:$BR63,$D55+1))</f>
        <v/>
      </c>
      <c r="AQ55" s="14" t="str">
        <f>IF(ISERROR(HLOOKUP(T55,$BM$19:$BR63,$D55+1)),"",HLOOKUP(T55,$BM$19:$BR63,$D55+1))</f>
        <v/>
      </c>
      <c r="AR55" s="14" t="str">
        <f>IF(ISERROR(HLOOKUP(U55,$BM$19:$BR63,$D55+1)),"",HLOOKUP(U55,$BM$19:$BR63,$D55+1))</f>
        <v/>
      </c>
      <c r="AS55" s="14" t="str">
        <f>IF(ISERROR(HLOOKUP(V55,$BM$19:$BR63,$D55+1)),"",HLOOKUP(V55,$BM$19:$BR63,$D55+1))</f>
        <v/>
      </c>
      <c r="AT55" s="14" t="str">
        <f>IF(ISERROR(HLOOKUP(W55,$BM$19:$BR63,$D55+1)),"",HLOOKUP(W55,$BM$19:$BR63,$D55+1))</f>
        <v/>
      </c>
      <c r="AU55" s="14" t="str">
        <f>IF(ISERROR(HLOOKUP(X55,$BM$19:$BR63,$D55+1)),"",HLOOKUP(X55,$BM$19:$BR63,$D55+1))</f>
        <v/>
      </c>
      <c r="AV55" s="110" t="s">
        <v>207</v>
      </c>
      <c r="AW55" s="110" t="s">
        <v>207</v>
      </c>
      <c r="BA55" s="12"/>
    </row>
    <row r="56" spans="1:53" ht="27" customHeight="1">
      <c r="A56" s="24">
        <v>40</v>
      </c>
      <c r="B56" s="152"/>
      <c r="C56" s="149"/>
      <c r="D56" s="147"/>
      <c r="E56" s="148"/>
      <c r="F56" s="148"/>
      <c r="G56" s="148"/>
      <c r="H56" s="148"/>
      <c r="I56" s="148"/>
      <c r="J56" s="148"/>
      <c r="K56" s="148"/>
      <c r="L56" s="148"/>
      <c r="M56" s="148"/>
      <c r="N56" s="148"/>
      <c r="O56" s="148"/>
      <c r="P56" s="148"/>
      <c r="Q56" s="148"/>
      <c r="R56" s="148"/>
      <c r="S56" s="148"/>
      <c r="T56" s="148"/>
      <c r="U56" s="148"/>
      <c r="V56" s="148"/>
      <c r="W56" s="148"/>
      <c r="X56" s="148"/>
      <c r="Y56" s="159">
        <f t="shared" si="2"/>
        <v>0</v>
      </c>
      <c r="Z56" s="111"/>
      <c r="AA56" s="111"/>
      <c r="AB56" s="14" t="str">
        <f>IF(ISERROR(HLOOKUP(E56,$BM$19:$BR64,$D56+1)),"",HLOOKUP(E56,$BM$19:$BR64,$D56+1))</f>
        <v/>
      </c>
      <c r="AC56" s="14" t="str">
        <f>IF(ISERROR(HLOOKUP(F56,$BM$19:$BR64,$D56+1)),"",HLOOKUP(F56,$BM$19:$BR64,$D56+1))</f>
        <v/>
      </c>
      <c r="AD56" s="14" t="str">
        <f>IF(ISERROR(HLOOKUP(G56,$BM$19:$BR64,$D56+1)),"",HLOOKUP(G56,$BM$19:$BR64,$D56+1))</f>
        <v/>
      </c>
      <c r="AE56" s="14" t="str">
        <f>IF(ISERROR(HLOOKUP(H56,$BM$19:$BR64,$D56+1)),"",HLOOKUP(H56,$BM$19:$BR64,$D56+1))</f>
        <v/>
      </c>
      <c r="AF56" s="14" t="str">
        <f>IF(ISERROR(HLOOKUP(I56,$BM$19:$BR64,$D56+1)),"",HLOOKUP(I56,$BM$19:$BR64,$D56+1))</f>
        <v/>
      </c>
      <c r="AG56" s="14" t="str">
        <f>IF(ISERROR(HLOOKUP(J56,$BM$19:$BR64,$D56+1)),"",HLOOKUP(J56,$BM$19:$BR64,$D56+1))</f>
        <v/>
      </c>
      <c r="AH56" s="14" t="str">
        <f>IF(ISERROR(HLOOKUP(K56,$BM$19:$BR64,$D56+1)),"",HLOOKUP(K56,$BM$19:$BR64,$D56+1))</f>
        <v/>
      </c>
      <c r="AI56" s="14" t="str">
        <f>IF(ISERROR(HLOOKUP(L56,$BM$19:$BR64,$D56+1)),"",HLOOKUP(L56,$BM$19:$BR64,$D56+1))</f>
        <v/>
      </c>
      <c r="AJ56" s="14" t="str">
        <f>IF(ISERROR(HLOOKUP(M56,$BM$19:$BR64,$D56+1)),"",HLOOKUP(M56,$BM$19:$BR64,$D56+1))</f>
        <v/>
      </c>
      <c r="AK56" s="14" t="str">
        <f>IF(ISERROR(HLOOKUP(N56,$BM$19:$BR64,$D56+1)),"",HLOOKUP(N56,$BM$19:$BR64,$D56+1))</f>
        <v/>
      </c>
      <c r="AL56" s="14" t="str">
        <f>IF(ISERROR(HLOOKUP(O56,$BM$19:$BR64,$D56+1)),"",HLOOKUP(O56,$BM$19:$BR64,$D56+1))</f>
        <v/>
      </c>
      <c r="AM56" s="14" t="str">
        <f>IF(ISERROR(HLOOKUP(P56,$BM$19:$BR64,$D56+1)),"",HLOOKUP(P56,$BM$19:$BR64,$D56+1))</f>
        <v/>
      </c>
      <c r="AN56" s="14" t="str">
        <f>IF(ISERROR(HLOOKUP(Q56,$BM$19:$BR64,$D56+1)),"",HLOOKUP(Q56,$BM$19:$BR64,$D56+1))</f>
        <v/>
      </c>
      <c r="AO56" s="14" t="str">
        <f>IF(ISERROR(HLOOKUP(R56,$BM$19:$BR64,$D56+1)),"",HLOOKUP(R56,$BM$19:$BR64,$D56+1))</f>
        <v/>
      </c>
      <c r="AP56" s="14" t="str">
        <f>IF(ISERROR(HLOOKUP(S56,$BM$19:$BR64,$D56+1)),"",HLOOKUP(S56,$BM$19:$BR64,$D56+1))</f>
        <v/>
      </c>
      <c r="AQ56" s="14" t="str">
        <f>IF(ISERROR(HLOOKUP(T56,$BM$19:$BR64,$D56+1)),"",HLOOKUP(T56,$BM$19:$BR64,$D56+1))</f>
        <v/>
      </c>
      <c r="AR56" s="14" t="str">
        <f>IF(ISERROR(HLOOKUP(U56,$BM$19:$BR64,$D56+1)),"",HLOOKUP(U56,$BM$19:$BR64,$D56+1))</f>
        <v/>
      </c>
      <c r="AS56" s="14" t="str">
        <f>IF(ISERROR(HLOOKUP(V56,$BM$19:$BR64,$D56+1)),"",HLOOKUP(V56,$BM$19:$BR64,$D56+1))</f>
        <v/>
      </c>
      <c r="AT56" s="14" t="str">
        <f>IF(ISERROR(HLOOKUP(W56,$BM$19:$BR64,$D56+1)),"",HLOOKUP(W56,$BM$19:$BR64,$D56+1))</f>
        <v/>
      </c>
      <c r="AU56" s="14" t="str">
        <f>IF(ISERROR(HLOOKUP(X56,$BM$19:$BR64,$D56+1)),"",HLOOKUP(X56,$BM$19:$BR64,$D56+1))</f>
        <v/>
      </c>
      <c r="AV56" s="110" t="s">
        <v>207</v>
      </c>
      <c r="AW56" s="110" t="s">
        <v>207</v>
      </c>
      <c r="BA56" s="12"/>
    </row>
    <row r="57" spans="1:53" ht="27" customHeight="1">
      <c r="A57" s="24">
        <v>41</v>
      </c>
      <c r="B57" s="152"/>
      <c r="C57" s="149"/>
      <c r="D57" s="147"/>
      <c r="E57" s="148"/>
      <c r="F57" s="148"/>
      <c r="G57" s="148"/>
      <c r="H57" s="148"/>
      <c r="I57" s="148"/>
      <c r="J57" s="148"/>
      <c r="K57" s="148"/>
      <c r="L57" s="148"/>
      <c r="M57" s="148"/>
      <c r="N57" s="148"/>
      <c r="O57" s="148"/>
      <c r="P57" s="148"/>
      <c r="Q57" s="148"/>
      <c r="R57" s="148"/>
      <c r="S57" s="148"/>
      <c r="T57" s="148"/>
      <c r="U57" s="148"/>
      <c r="V57" s="148"/>
      <c r="W57" s="148"/>
      <c r="X57" s="148"/>
      <c r="Y57" s="159">
        <f t="shared" si="2"/>
        <v>0</v>
      </c>
      <c r="Z57" s="111"/>
      <c r="AA57" s="111"/>
      <c r="AB57" s="14" t="str">
        <f>IF(ISERROR(HLOOKUP(E57,$BM$19:$BR65,$D57+1)),"",HLOOKUP(E57,$BM$19:$BR65,$D57+1))</f>
        <v/>
      </c>
      <c r="AC57" s="14" t="str">
        <f>IF(ISERROR(HLOOKUP(F57,$BM$19:$BR65,$D57+1)),"",HLOOKUP(F57,$BM$19:$BR65,$D57+1))</f>
        <v/>
      </c>
      <c r="AD57" s="14" t="str">
        <f>IF(ISERROR(HLOOKUP(G57,$BM$19:$BR65,$D57+1)),"",HLOOKUP(G57,$BM$19:$BR65,$D57+1))</f>
        <v/>
      </c>
      <c r="AE57" s="14" t="str">
        <f>IF(ISERROR(HLOOKUP(H57,$BM$19:$BR65,$D57+1)),"",HLOOKUP(H57,$BM$19:$BR65,$D57+1))</f>
        <v/>
      </c>
      <c r="AF57" s="14" t="str">
        <f>IF(ISERROR(HLOOKUP(I57,$BM$19:$BR65,$D57+1)),"",HLOOKUP(I57,$BM$19:$BR65,$D57+1))</f>
        <v/>
      </c>
      <c r="AG57" s="14" t="str">
        <f>IF(ISERROR(HLOOKUP(J57,$BM$19:$BR65,$D57+1)),"",HLOOKUP(J57,$BM$19:$BR65,$D57+1))</f>
        <v/>
      </c>
      <c r="AH57" s="14" t="str">
        <f>IF(ISERROR(HLOOKUP(K57,$BM$19:$BR65,$D57+1)),"",HLOOKUP(K57,$BM$19:$BR65,$D57+1))</f>
        <v/>
      </c>
      <c r="AI57" s="14" t="str">
        <f>IF(ISERROR(HLOOKUP(L57,$BM$19:$BR65,$D57+1)),"",HLOOKUP(L57,$BM$19:$BR65,$D57+1))</f>
        <v/>
      </c>
      <c r="AJ57" s="14" t="str">
        <f>IF(ISERROR(HLOOKUP(M57,$BM$19:$BR65,$D57+1)),"",HLOOKUP(M57,$BM$19:$BR65,$D57+1))</f>
        <v/>
      </c>
      <c r="AK57" s="14" t="str">
        <f>IF(ISERROR(HLOOKUP(N57,$BM$19:$BR65,$D57+1)),"",HLOOKUP(N57,$BM$19:$BR65,$D57+1))</f>
        <v/>
      </c>
      <c r="AL57" s="14" t="str">
        <f>IF(ISERROR(HLOOKUP(O57,$BM$19:$BR65,$D57+1)),"",HLOOKUP(O57,$BM$19:$BR65,$D57+1))</f>
        <v/>
      </c>
      <c r="AM57" s="14" t="str">
        <f>IF(ISERROR(HLOOKUP(P57,$BM$19:$BR65,$D57+1)),"",HLOOKUP(P57,$BM$19:$BR65,$D57+1))</f>
        <v/>
      </c>
      <c r="AN57" s="14" t="str">
        <f>IF(ISERROR(HLOOKUP(Q57,$BM$19:$BR65,$D57+1)),"",HLOOKUP(Q57,$BM$19:$BR65,$D57+1))</f>
        <v/>
      </c>
      <c r="AO57" s="14" t="str">
        <f>IF(ISERROR(HLOOKUP(R57,$BM$19:$BR65,$D57+1)),"",HLOOKUP(R57,$BM$19:$BR65,$D57+1))</f>
        <v/>
      </c>
      <c r="AP57" s="14" t="str">
        <f>IF(ISERROR(HLOOKUP(S57,$BM$19:$BR65,$D57+1)),"",HLOOKUP(S57,$BM$19:$BR65,$D57+1))</f>
        <v/>
      </c>
      <c r="AQ57" s="14" t="str">
        <f>IF(ISERROR(HLOOKUP(T57,$BM$19:$BR65,$D57+1)),"",HLOOKUP(T57,$BM$19:$BR65,$D57+1))</f>
        <v/>
      </c>
      <c r="AR57" s="14" t="str">
        <f>IF(ISERROR(HLOOKUP(U57,$BM$19:$BR65,$D57+1)),"",HLOOKUP(U57,$BM$19:$BR65,$D57+1))</f>
        <v/>
      </c>
      <c r="AS57" s="14" t="str">
        <f>IF(ISERROR(HLOOKUP(V57,$BM$19:$BR65,$D57+1)),"",HLOOKUP(V57,$BM$19:$BR65,$D57+1))</f>
        <v/>
      </c>
      <c r="AT57" s="14" t="str">
        <f>IF(ISERROR(HLOOKUP(W57,$BM$19:$BR65,$D57+1)),"",HLOOKUP(W57,$BM$19:$BR65,$D57+1))</f>
        <v/>
      </c>
      <c r="AU57" s="14" t="str">
        <f>IF(ISERROR(HLOOKUP(X57,$BM$19:$BR65,$D57+1)),"",HLOOKUP(X57,$BM$19:$BR65,$D57+1))</f>
        <v/>
      </c>
      <c r="AV57" s="110" t="s">
        <v>207</v>
      </c>
      <c r="AW57" s="110" t="s">
        <v>207</v>
      </c>
      <c r="BA57" s="12"/>
    </row>
    <row r="58" spans="1:53" ht="27" customHeight="1">
      <c r="A58" s="24">
        <v>42</v>
      </c>
      <c r="B58" s="152"/>
      <c r="C58" s="149"/>
      <c r="D58" s="147"/>
      <c r="E58" s="148"/>
      <c r="F58" s="148"/>
      <c r="G58" s="148"/>
      <c r="H58" s="148"/>
      <c r="I58" s="148"/>
      <c r="J58" s="148"/>
      <c r="K58" s="148"/>
      <c r="L58" s="148"/>
      <c r="M58" s="148"/>
      <c r="N58" s="148"/>
      <c r="O58" s="148"/>
      <c r="P58" s="148"/>
      <c r="Q58" s="148"/>
      <c r="R58" s="148"/>
      <c r="S58" s="148"/>
      <c r="T58" s="148"/>
      <c r="U58" s="148"/>
      <c r="V58" s="148"/>
      <c r="W58" s="148"/>
      <c r="X58" s="148"/>
      <c r="Y58" s="159">
        <f t="shared" si="2"/>
        <v>0</v>
      </c>
      <c r="Z58" s="111"/>
      <c r="AA58" s="111"/>
      <c r="AB58" s="14" t="str">
        <f>IF(ISERROR(HLOOKUP(E58,$BM$19:$BR66,$D58+1)),"",HLOOKUP(E58,$BM$19:$BR66,$D58+1))</f>
        <v/>
      </c>
      <c r="AC58" s="14" t="str">
        <f>IF(ISERROR(HLOOKUP(F58,$BM$19:$BR66,$D58+1)),"",HLOOKUP(F58,$BM$19:$BR66,$D58+1))</f>
        <v/>
      </c>
      <c r="AD58" s="14" t="str">
        <f>IF(ISERROR(HLOOKUP(G58,$BM$19:$BR66,$D58+1)),"",HLOOKUP(G58,$BM$19:$BR66,$D58+1))</f>
        <v/>
      </c>
      <c r="AE58" s="14" t="str">
        <f>IF(ISERROR(HLOOKUP(H58,$BM$19:$BR66,$D58+1)),"",HLOOKUP(H58,$BM$19:$BR66,$D58+1))</f>
        <v/>
      </c>
      <c r="AF58" s="14" t="str">
        <f>IF(ISERROR(HLOOKUP(I58,$BM$19:$BR66,$D58+1)),"",HLOOKUP(I58,$BM$19:$BR66,$D58+1))</f>
        <v/>
      </c>
      <c r="AG58" s="14" t="str">
        <f>IF(ISERROR(HLOOKUP(J58,$BM$19:$BR66,$D58+1)),"",HLOOKUP(J58,$BM$19:$BR66,$D58+1))</f>
        <v/>
      </c>
      <c r="AH58" s="14" t="str">
        <f>IF(ISERROR(HLOOKUP(K58,$BM$19:$BR66,$D58+1)),"",HLOOKUP(K58,$BM$19:$BR66,$D58+1))</f>
        <v/>
      </c>
      <c r="AI58" s="14" t="str">
        <f>IF(ISERROR(HLOOKUP(L58,$BM$19:$BR66,$D58+1)),"",HLOOKUP(L58,$BM$19:$BR66,$D58+1))</f>
        <v/>
      </c>
      <c r="AJ58" s="14" t="str">
        <f>IF(ISERROR(HLOOKUP(M58,$BM$19:$BR66,$D58+1)),"",HLOOKUP(M58,$BM$19:$BR66,$D58+1))</f>
        <v/>
      </c>
      <c r="AK58" s="14" t="str">
        <f>IF(ISERROR(HLOOKUP(N58,$BM$19:$BR66,$D58+1)),"",HLOOKUP(N58,$BM$19:$BR66,$D58+1))</f>
        <v/>
      </c>
      <c r="AL58" s="14" t="str">
        <f>IF(ISERROR(HLOOKUP(O58,$BM$19:$BR66,$D58+1)),"",HLOOKUP(O58,$BM$19:$BR66,$D58+1))</f>
        <v/>
      </c>
      <c r="AM58" s="14" t="str">
        <f>IF(ISERROR(HLOOKUP(P58,$BM$19:$BR66,$D58+1)),"",HLOOKUP(P58,$BM$19:$BR66,$D58+1))</f>
        <v/>
      </c>
      <c r="AN58" s="14" t="str">
        <f>IF(ISERROR(HLOOKUP(Q58,$BM$19:$BR66,$D58+1)),"",HLOOKUP(Q58,$BM$19:$BR66,$D58+1))</f>
        <v/>
      </c>
      <c r="AO58" s="14" t="str">
        <f>IF(ISERROR(HLOOKUP(R58,$BM$19:$BR66,$D58+1)),"",HLOOKUP(R58,$BM$19:$BR66,$D58+1))</f>
        <v/>
      </c>
      <c r="AP58" s="14" t="str">
        <f>IF(ISERROR(HLOOKUP(S58,$BM$19:$BR66,$D58+1)),"",HLOOKUP(S58,$BM$19:$BR66,$D58+1))</f>
        <v/>
      </c>
      <c r="AQ58" s="14" t="str">
        <f>IF(ISERROR(HLOOKUP(T58,$BM$19:$BR66,$D58+1)),"",HLOOKUP(T58,$BM$19:$BR66,$D58+1))</f>
        <v/>
      </c>
      <c r="AR58" s="14" t="str">
        <f>IF(ISERROR(HLOOKUP(U58,$BM$19:$BR66,$D58+1)),"",HLOOKUP(U58,$BM$19:$BR66,$D58+1))</f>
        <v/>
      </c>
      <c r="AS58" s="14" t="str">
        <f>IF(ISERROR(HLOOKUP(V58,$BM$19:$BR66,$D58+1)),"",HLOOKUP(V58,$BM$19:$BR66,$D58+1))</f>
        <v/>
      </c>
      <c r="AT58" s="14" t="str">
        <f>IF(ISERROR(HLOOKUP(W58,$BM$19:$BR66,$D58+1)),"",HLOOKUP(W58,$BM$19:$BR66,$D58+1))</f>
        <v/>
      </c>
      <c r="AU58" s="14" t="str">
        <f>IF(ISERROR(HLOOKUP(X58,$BM$19:$BR66,$D58+1)),"",HLOOKUP(X58,$BM$19:$BR66,$D58+1))</f>
        <v/>
      </c>
      <c r="AV58" s="110" t="s">
        <v>207</v>
      </c>
      <c r="AW58" s="110" t="s">
        <v>207</v>
      </c>
      <c r="BA58" s="12"/>
    </row>
    <row r="59" spans="1:53" ht="27" customHeight="1">
      <c r="A59" s="24">
        <v>43</v>
      </c>
      <c r="B59" s="152"/>
      <c r="C59" s="149"/>
      <c r="D59" s="147"/>
      <c r="E59" s="148"/>
      <c r="F59" s="148"/>
      <c r="G59" s="148"/>
      <c r="H59" s="148"/>
      <c r="I59" s="148"/>
      <c r="J59" s="148"/>
      <c r="K59" s="148"/>
      <c r="L59" s="148"/>
      <c r="M59" s="148"/>
      <c r="N59" s="148"/>
      <c r="O59" s="148"/>
      <c r="P59" s="148"/>
      <c r="Q59" s="148"/>
      <c r="R59" s="148"/>
      <c r="S59" s="148"/>
      <c r="T59" s="148"/>
      <c r="U59" s="148"/>
      <c r="V59" s="148"/>
      <c r="W59" s="148"/>
      <c r="X59" s="148"/>
      <c r="Y59" s="159">
        <f t="shared" si="2"/>
        <v>0</v>
      </c>
      <c r="Z59" s="111"/>
      <c r="AA59" s="111"/>
      <c r="AB59" s="14" t="str">
        <f>IF(ISERROR(HLOOKUP(E59,$BM$19:$BR67,$D59+1)),"",HLOOKUP(E59,$BM$19:$BR67,$D59+1))</f>
        <v/>
      </c>
      <c r="AC59" s="14" t="str">
        <f>IF(ISERROR(HLOOKUP(F59,$BM$19:$BR67,$D59+1)),"",HLOOKUP(F59,$BM$19:$BR67,$D59+1))</f>
        <v/>
      </c>
      <c r="AD59" s="14" t="str">
        <f>IF(ISERROR(HLOOKUP(G59,$BM$19:$BR67,$D59+1)),"",HLOOKUP(G59,$BM$19:$BR67,$D59+1))</f>
        <v/>
      </c>
      <c r="AE59" s="14" t="str">
        <f>IF(ISERROR(HLOOKUP(H59,$BM$19:$BR67,$D59+1)),"",HLOOKUP(H59,$BM$19:$BR67,$D59+1))</f>
        <v/>
      </c>
      <c r="AF59" s="14" t="str">
        <f>IF(ISERROR(HLOOKUP(I59,$BM$19:$BR67,$D59+1)),"",HLOOKUP(I59,$BM$19:$BR67,$D59+1))</f>
        <v/>
      </c>
      <c r="AG59" s="14" t="str">
        <f>IF(ISERROR(HLOOKUP(J59,$BM$19:$BR67,$D59+1)),"",HLOOKUP(J59,$BM$19:$BR67,$D59+1))</f>
        <v/>
      </c>
      <c r="AH59" s="14" t="str">
        <f>IF(ISERROR(HLOOKUP(K59,$BM$19:$BR67,$D59+1)),"",HLOOKUP(K59,$BM$19:$BR67,$D59+1))</f>
        <v/>
      </c>
      <c r="AI59" s="14" t="str">
        <f>IF(ISERROR(HLOOKUP(L59,$BM$19:$BR67,$D59+1)),"",HLOOKUP(L59,$BM$19:$BR67,$D59+1))</f>
        <v/>
      </c>
      <c r="AJ59" s="14" t="str">
        <f>IF(ISERROR(HLOOKUP(M59,$BM$19:$BR67,$D59+1)),"",HLOOKUP(M59,$BM$19:$BR67,$D59+1))</f>
        <v/>
      </c>
      <c r="AK59" s="14" t="str">
        <f>IF(ISERROR(HLOOKUP(N59,$BM$19:$BR67,$D59+1)),"",HLOOKUP(N59,$BM$19:$BR67,$D59+1))</f>
        <v/>
      </c>
      <c r="AL59" s="14" t="str">
        <f>IF(ISERROR(HLOOKUP(O59,$BM$19:$BR67,$D59+1)),"",HLOOKUP(O59,$BM$19:$BR67,$D59+1))</f>
        <v/>
      </c>
      <c r="AM59" s="14" t="str">
        <f>IF(ISERROR(HLOOKUP(P59,$BM$19:$BR67,$D59+1)),"",HLOOKUP(P59,$BM$19:$BR67,$D59+1))</f>
        <v/>
      </c>
      <c r="AN59" s="14" t="str">
        <f>IF(ISERROR(HLOOKUP(Q59,$BM$19:$BR67,$D59+1)),"",HLOOKUP(Q59,$BM$19:$BR67,$D59+1))</f>
        <v/>
      </c>
      <c r="AO59" s="14" t="str">
        <f>IF(ISERROR(HLOOKUP(R59,$BM$19:$BR67,$D59+1)),"",HLOOKUP(R59,$BM$19:$BR67,$D59+1))</f>
        <v/>
      </c>
      <c r="AP59" s="14" t="str">
        <f>IF(ISERROR(HLOOKUP(S59,$BM$19:$BR67,$D59+1)),"",HLOOKUP(S59,$BM$19:$BR67,$D59+1))</f>
        <v/>
      </c>
      <c r="AQ59" s="14" t="str">
        <f>IF(ISERROR(HLOOKUP(T59,$BM$19:$BR67,$D59+1)),"",HLOOKUP(T59,$BM$19:$BR67,$D59+1))</f>
        <v/>
      </c>
      <c r="AR59" s="14" t="str">
        <f>IF(ISERROR(HLOOKUP(U59,$BM$19:$BR67,$D59+1)),"",HLOOKUP(U59,$BM$19:$BR67,$D59+1))</f>
        <v/>
      </c>
      <c r="AS59" s="14" t="str">
        <f>IF(ISERROR(HLOOKUP(V59,$BM$19:$BR67,$D59+1)),"",HLOOKUP(V59,$BM$19:$BR67,$D59+1))</f>
        <v/>
      </c>
      <c r="AT59" s="14" t="str">
        <f>IF(ISERROR(HLOOKUP(W59,$BM$19:$BR67,$D59+1)),"",HLOOKUP(W59,$BM$19:$BR67,$D59+1))</f>
        <v/>
      </c>
      <c r="AU59" s="14" t="str">
        <f>IF(ISERROR(HLOOKUP(X59,$BM$19:$BR67,$D59+1)),"",HLOOKUP(X59,$BM$19:$BR67,$D59+1))</f>
        <v/>
      </c>
      <c r="AV59" s="110" t="s">
        <v>207</v>
      </c>
      <c r="AW59" s="110" t="s">
        <v>207</v>
      </c>
      <c r="BA59" s="12"/>
    </row>
    <row r="60" spans="1:53" ht="27" customHeight="1">
      <c r="A60" s="24">
        <v>44</v>
      </c>
      <c r="B60" s="152"/>
      <c r="C60" s="149"/>
      <c r="D60" s="147"/>
      <c r="E60" s="148"/>
      <c r="F60" s="148"/>
      <c r="G60" s="148"/>
      <c r="H60" s="148"/>
      <c r="I60" s="148"/>
      <c r="J60" s="148"/>
      <c r="K60" s="148"/>
      <c r="L60" s="148"/>
      <c r="M60" s="148"/>
      <c r="N60" s="148"/>
      <c r="O60" s="148"/>
      <c r="P60" s="148"/>
      <c r="Q60" s="148"/>
      <c r="R60" s="148"/>
      <c r="S60" s="148"/>
      <c r="T60" s="148"/>
      <c r="U60" s="148"/>
      <c r="V60" s="148"/>
      <c r="W60" s="148"/>
      <c r="X60" s="148"/>
      <c r="Y60" s="159">
        <f t="shared" si="2"/>
        <v>0</v>
      </c>
      <c r="Z60" s="111"/>
      <c r="AA60" s="111"/>
      <c r="AB60" s="14" t="str">
        <f>IF(ISERROR(HLOOKUP(E60,$BM$19:$BR68,$D60+1)),"",HLOOKUP(E60,$BM$19:$BR68,$D60+1))</f>
        <v/>
      </c>
      <c r="AC60" s="14" t="str">
        <f>IF(ISERROR(HLOOKUP(F60,$BM$19:$BR68,$D60+1)),"",HLOOKUP(F60,$BM$19:$BR68,$D60+1))</f>
        <v/>
      </c>
      <c r="AD60" s="14" t="str">
        <f>IF(ISERROR(HLOOKUP(G60,$BM$19:$BR68,$D60+1)),"",HLOOKUP(G60,$BM$19:$BR68,$D60+1))</f>
        <v/>
      </c>
      <c r="AE60" s="14" t="str">
        <f>IF(ISERROR(HLOOKUP(H60,$BM$19:$BR68,$D60+1)),"",HLOOKUP(H60,$BM$19:$BR68,$D60+1))</f>
        <v/>
      </c>
      <c r="AF60" s="14" t="str">
        <f>IF(ISERROR(HLOOKUP(I60,$BM$19:$BR68,$D60+1)),"",HLOOKUP(I60,$BM$19:$BR68,$D60+1))</f>
        <v/>
      </c>
      <c r="AG60" s="14" t="str">
        <f>IF(ISERROR(HLOOKUP(J60,$BM$19:$BR68,$D60+1)),"",HLOOKUP(J60,$BM$19:$BR68,$D60+1))</f>
        <v/>
      </c>
      <c r="AH60" s="14" t="str">
        <f>IF(ISERROR(HLOOKUP(K60,$BM$19:$BR68,$D60+1)),"",HLOOKUP(K60,$BM$19:$BR68,$D60+1))</f>
        <v/>
      </c>
      <c r="AI60" s="14" t="str">
        <f>IF(ISERROR(HLOOKUP(L60,$BM$19:$BR68,$D60+1)),"",HLOOKUP(L60,$BM$19:$BR68,$D60+1))</f>
        <v/>
      </c>
      <c r="AJ60" s="14" t="str">
        <f>IF(ISERROR(HLOOKUP(M60,$BM$19:$BR68,$D60+1)),"",HLOOKUP(M60,$BM$19:$BR68,$D60+1))</f>
        <v/>
      </c>
      <c r="AK60" s="14" t="str">
        <f>IF(ISERROR(HLOOKUP(N60,$BM$19:$BR68,$D60+1)),"",HLOOKUP(N60,$BM$19:$BR68,$D60+1))</f>
        <v/>
      </c>
      <c r="AL60" s="14" t="str">
        <f>IF(ISERROR(HLOOKUP(O60,$BM$19:$BR68,$D60+1)),"",HLOOKUP(O60,$BM$19:$BR68,$D60+1))</f>
        <v/>
      </c>
      <c r="AM60" s="14" t="str">
        <f>IF(ISERROR(HLOOKUP(P60,$BM$19:$BR68,$D60+1)),"",HLOOKUP(P60,$BM$19:$BR68,$D60+1))</f>
        <v/>
      </c>
      <c r="AN60" s="14" t="str">
        <f>IF(ISERROR(HLOOKUP(Q60,$BM$19:$BR68,$D60+1)),"",HLOOKUP(Q60,$BM$19:$BR68,$D60+1))</f>
        <v/>
      </c>
      <c r="AO60" s="14" t="str">
        <f>IF(ISERROR(HLOOKUP(R60,$BM$19:$BR68,$D60+1)),"",HLOOKUP(R60,$BM$19:$BR68,$D60+1))</f>
        <v/>
      </c>
      <c r="AP60" s="14" t="str">
        <f>IF(ISERROR(HLOOKUP(S60,$BM$19:$BR68,$D60+1)),"",HLOOKUP(S60,$BM$19:$BR68,$D60+1))</f>
        <v/>
      </c>
      <c r="AQ60" s="14" t="str">
        <f>IF(ISERROR(HLOOKUP(T60,$BM$19:$BR68,$D60+1)),"",HLOOKUP(T60,$BM$19:$BR68,$D60+1))</f>
        <v/>
      </c>
      <c r="AR60" s="14" t="str">
        <f>IF(ISERROR(HLOOKUP(U60,$BM$19:$BR68,$D60+1)),"",HLOOKUP(U60,$BM$19:$BR68,$D60+1))</f>
        <v/>
      </c>
      <c r="AS60" s="14" t="str">
        <f>IF(ISERROR(HLOOKUP(V60,$BM$19:$BR68,$D60+1)),"",HLOOKUP(V60,$BM$19:$BR68,$D60+1))</f>
        <v/>
      </c>
      <c r="AT60" s="14" t="str">
        <f>IF(ISERROR(HLOOKUP(W60,$BM$19:$BR68,$D60+1)),"",HLOOKUP(W60,$BM$19:$BR68,$D60+1))</f>
        <v/>
      </c>
      <c r="AU60" s="14" t="str">
        <f>IF(ISERROR(HLOOKUP(X60,$BM$19:$BR68,$D60+1)),"",HLOOKUP(X60,$BM$19:$BR68,$D60+1))</f>
        <v/>
      </c>
      <c r="AV60" s="110" t="s">
        <v>207</v>
      </c>
      <c r="AW60" s="110" t="s">
        <v>207</v>
      </c>
      <c r="BA60" s="12"/>
    </row>
    <row r="61" spans="1:53" ht="27" customHeight="1">
      <c r="A61" s="24">
        <v>45</v>
      </c>
      <c r="B61" s="152"/>
      <c r="C61" s="149"/>
      <c r="D61" s="147"/>
      <c r="E61" s="148"/>
      <c r="F61" s="148"/>
      <c r="G61" s="148"/>
      <c r="H61" s="148"/>
      <c r="I61" s="148"/>
      <c r="J61" s="148"/>
      <c r="K61" s="148"/>
      <c r="L61" s="148"/>
      <c r="M61" s="148"/>
      <c r="N61" s="148"/>
      <c r="O61" s="148"/>
      <c r="P61" s="148"/>
      <c r="Q61" s="148"/>
      <c r="R61" s="148"/>
      <c r="S61" s="148"/>
      <c r="T61" s="148"/>
      <c r="U61" s="148"/>
      <c r="V61" s="148"/>
      <c r="W61" s="148"/>
      <c r="X61" s="148"/>
      <c r="Y61" s="159">
        <f t="shared" si="2"/>
        <v>0</v>
      </c>
      <c r="Z61" s="111"/>
      <c r="AA61" s="111"/>
      <c r="AB61" s="14" t="str">
        <f>IF(ISERROR(HLOOKUP(E61,$BM$19:$BR69,$D61+1)),"",HLOOKUP(E61,$BM$19:$BR69,$D61+1))</f>
        <v/>
      </c>
      <c r="AC61" s="14" t="str">
        <f>IF(ISERROR(HLOOKUP(F61,$BM$19:$BR69,$D61+1)),"",HLOOKUP(F61,$BM$19:$BR69,$D61+1))</f>
        <v/>
      </c>
      <c r="AD61" s="14" t="str">
        <f>IF(ISERROR(HLOOKUP(G61,$BM$19:$BR69,$D61+1)),"",HLOOKUP(G61,$BM$19:$BR69,$D61+1))</f>
        <v/>
      </c>
      <c r="AE61" s="14" t="str">
        <f>IF(ISERROR(HLOOKUP(H61,$BM$19:$BR69,$D61+1)),"",HLOOKUP(H61,$BM$19:$BR69,$D61+1))</f>
        <v/>
      </c>
      <c r="AF61" s="14" t="str">
        <f>IF(ISERROR(HLOOKUP(I61,$BM$19:$BR69,$D61+1)),"",HLOOKUP(I61,$BM$19:$BR69,$D61+1))</f>
        <v/>
      </c>
      <c r="AG61" s="14" t="str">
        <f>IF(ISERROR(HLOOKUP(J61,$BM$19:$BR69,$D61+1)),"",HLOOKUP(J61,$BM$19:$BR69,$D61+1))</f>
        <v/>
      </c>
      <c r="AH61" s="14" t="str">
        <f>IF(ISERROR(HLOOKUP(K61,$BM$19:$BR69,$D61+1)),"",HLOOKUP(K61,$BM$19:$BR69,$D61+1))</f>
        <v/>
      </c>
      <c r="AI61" s="14" t="str">
        <f>IF(ISERROR(HLOOKUP(L61,$BM$19:$BR69,$D61+1)),"",HLOOKUP(L61,$BM$19:$BR69,$D61+1))</f>
        <v/>
      </c>
      <c r="AJ61" s="14" t="str">
        <f>IF(ISERROR(HLOOKUP(M61,$BM$19:$BR69,$D61+1)),"",HLOOKUP(M61,$BM$19:$BR69,$D61+1))</f>
        <v/>
      </c>
      <c r="AK61" s="14" t="str">
        <f>IF(ISERROR(HLOOKUP(N61,$BM$19:$BR69,$D61+1)),"",HLOOKUP(N61,$BM$19:$BR69,$D61+1))</f>
        <v/>
      </c>
      <c r="AL61" s="14" t="str">
        <f>IF(ISERROR(HLOOKUP(O61,$BM$19:$BR69,$D61+1)),"",HLOOKUP(O61,$BM$19:$BR69,$D61+1))</f>
        <v/>
      </c>
      <c r="AM61" s="14" t="str">
        <f>IF(ISERROR(HLOOKUP(P61,$BM$19:$BR69,$D61+1)),"",HLOOKUP(P61,$BM$19:$BR69,$D61+1))</f>
        <v/>
      </c>
      <c r="AN61" s="14" t="str">
        <f>IF(ISERROR(HLOOKUP(Q61,$BM$19:$BR69,$D61+1)),"",HLOOKUP(Q61,$BM$19:$BR69,$D61+1))</f>
        <v/>
      </c>
      <c r="AO61" s="14" t="str">
        <f>IF(ISERROR(HLOOKUP(R61,$BM$19:$BR69,$D61+1)),"",HLOOKUP(R61,$BM$19:$BR69,$D61+1))</f>
        <v/>
      </c>
      <c r="AP61" s="14" t="str">
        <f>IF(ISERROR(HLOOKUP(S61,$BM$19:$BR69,$D61+1)),"",HLOOKUP(S61,$BM$19:$BR69,$D61+1))</f>
        <v/>
      </c>
      <c r="AQ61" s="14" t="str">
        <f>IF(ISERROR(HLOOKUP(T61,$BM$19:$BR69,$D61+1)),"",HLOOKUP(T61,$BM$19:$BR69,$D61+1))</f>
        <v/>
      </c>
      <c r="AR61" s="14" t="str">
        <f>IF(ISERROR(HLOOKUP(U61,$BM$19:$BR69,$D61+1)),"",HLOOKUP(U61,$BM$19:$BR69,$D61+1))</f>
        <v/>
      </c>
      <c r="AS61" s="14" t="str">
        <f>IF(ISERROR(HLOOKUP(V61,$BM$19:$BR69,$D61+1)),"",HLOOKUP(V61,$BM$19:$BR69,$D61+1))</f>
        <v/>
      </c>
      <c r="AT61" s="14" t="str">
        <f>IF(ISERROR(HLOOKUP(W61,$BM$19:$BR69,$D61+1)),"",HLOOKUP(W61,$BM$19:$BR69,$D61+1))</f>
        <v/>
      </c>
      <c r="AU61" s="14" t="str">
        <f>IF(ISERROR(HLOOKUP(X61,$BM$19:$BR69,$D61+1)),"",HLOOKUP(X61,$BM$19:$BR69,$D61+1))</f>
        <v/>
      </c>
      <c r="AV61" s="110" t="s">
        <v>207</v>
      </c>
      <c r="AW61" s="110" t="s">
        <v>207</v>
      </c>
      <c r="BA61" s="12"/>
    </row>
    <row r="62" spans="1:53" ht="27" customHeight="1">
      <c r="A62" s="24">
        <v>46</v>
      </c>
      <c r="B62" s="152"/>
      <c r="C62" s="149"/>
      <c r="D62" s="147"/>
      <c r="E62" s="148"/>
      <c r="F62" s="148"/>
      <c r="G62" s="148"/>
      <c r="H62" s="148"/>
      <c r="I62" s="148"/>
      <c r="J62" s="148"/>
      <c r="K62" s="148"/>
      <c r="L62" s="148"/>
      <c r="M62" s="148"/>
      <c r="N62" s="148"/>
      <c r="O62" s="148"/>
      <c r="P62" s="148"/>
      <c r="Q62" s="148"/>
      <c r="R62" s="148"/>
      <c r="S62" s="148"/>
      <c r="T62" s="148"/>
      <c r="U62" s="148"/>
      <c r="V62" s="148"/>
      <c r="W62" s="148"/>
      <c r="X62" s="148"/>
      <c r="Y62" s="159">
        <f t="shared" si="2"/>
        <v>0</v>
      </c>
      <c r="Z62" s="111"/>
      <c r="AA62" s="111"/>
      <c r="AB62" s="14" t="str">
        <f>IF(ISERROR(HLOOKUP(E62,$BM$19:$BR70,$D62+1)),"",HLOOKUP(E62,$BM$19:$BR70,$D62+1))</f>
        <v/>
      </c>
      <c r="AC62" s="14" t="str">
        <f>IF(ISERROR(HLOOKUP(F62,$BM$19:$BR70,$D62+1)),"",HLOOKUP(F62,$BM$19:$BR70,$D62+1))</f>
        <v/>
      </c>
      <c r="AD62" s="14" t="str">
        <f>IF(ISERROR(HLOOKUP(G62,$BM$19:$BR70,$D62+1)),"",HLOOKUP(G62,$BM$19:$BR70,$D62+1))</f>
        <v/>
      </c>
      <c r="AE62" s="14" t="str">
        <f>IF(ISERROR(HLOOKUP(H62,$BM$19:$BR70,$D62+1)),"",HLOOKUP(H62,$BM$19:$BR70,$D62+1))</f>
        <v/>
      </c>
      <c r="AF62" s="14" t="str">
        <f>IF(ISERROR(HLOOKUP(I62,$BM$19:$BR70,$D62+1)),"",HLOOKUP(I62,$BM$19:$BR70,$D62+1))</f>
        <v/>
      </c>
      <c r="AG62" s="14" t="str">
        <f>IF(ISERROR(HLOOKUP(J62,$BM$19:$BR70,$D62+1)),"",HLOOKUP(J62,$BM$19:$BR70,$D62+1))</f>
        <v/>
      </c>
      <c r="AH62" s="14" t="str">
        <f>IF(ISERROR(HLOOKUP(K62,$BM$19:$BR70,$D62+1)),"",HLOOKUP(K62,$BM$19:$BR70,$D62+1))</f>
        <v/>
      </c>
      <c r="AI62" s="14" t="str">
        <f>IF(ISERROR(HLOOKUP(L62,$BM$19:$BR70,$D62+1)),"",HLOOKUP(L62,$BM$19:$BR70,$D62+1))</f>
        <v/>
      </c>
      <c r="AJ62" s="14" t="str">
        <f>IF(ISERROR(HLOOKUP(M62,$BM$19:$BR70,$D62+1)),"",HLOOKUP(M62,$BM$19:$BR70,$D62+1))</f>
        <v/>
      </c>
      <c r="AK62" s="14" t="str">
        <f>IF(ISERROR(HLOOKUP(N62,$BM$19:$BR70,$D62+1)),"",HLOOKUP(N62,$BM$19:$BR70,$D62+1))</f>
        <v/>
      </c>
      <c r="AL62" s="14" t="str">
        <f>IF(ISERROR(HLOOKUP(O62,$BM$19:$BR70,$D62+1)),"",HLOOKUP(O62,$BM$19:$BR70,$D62+1))</f>
        <v/>
      </c>
      <c r="AM62" s="14" t="str">
        <f>IF(ISERROR(HLOOKUP(P62,$BM$19:$BR70,$D62+1)),"",HLOOKUP(P62,$BM$19:$BR70,$D62+1))</f>
        <v/>
      </c>
      <c r="AN62" s="14" t="str">
        <f>IF(ISERROR(HLOOKUP(Q62,$BM$19:$BR70,$D62+1)),"",HLOOKUP(Q62,$BM$19:$BR70,$D62+1))</f>
        <v/>
      </c>
      <c r="AO62" s="14" t="str">
        <f>IF(ISERROR(HLOOKUP(R62,$BM$19:$BR70,$D62+1)),"",HLOOKUP(R62,$BM$19:$BR70,$D62+1))</f>
        <v/>
      </c>
      <c r="AP62" s="14" t="str">
        <f>IF(ISERROR(HLOOKUP(S62,$BM$19:$BR70,$D62+1)),"",HLOOKUP(S62,$BM$19:$BR70,$D62+1))</f>
        <v/>
      </c>
      <c r="AQ62" s="14" t="str">
        <f>IF(ISERROR(HLOOKUP(T62,$BM$19:$BR70,$D62+1)),"",HLOOKUP(T62,$BM$19:$BR70,$D62+1))</f>
        <v/>
      </c>
      <c r="AR62" s="14" t="str">
        <f>IF(ISERROR(HLOOKUP(U62,$BM$19:$BR70,$D62+1)),"",HLOOKUP(U62,$BM$19:$BR70,$D62+1))</f>
        <v/>
      </c>
      <c r="AS62" s="14" t="str">
        <f>IF(ISERROR(HLOOKUP(V62,$BM$19:$BR70,$D62+1)),"",HLOOKUP(V62,$BM$19:$BR70,$D62+1))</f>
        <v/>
      </c>
      <c r="AT62" s="14" t="str">
        <f>IF(ISERROR(HLOOKUP(W62,$BM$19:$BR70,$D62+1)),"",HLOOKUP(W62,$BM$19:$BR70,$D62+1))</f>
        <v/>
      </c>
      <c r="AU62" s="14" t="str">
        <f>IF(ISERROR(HLOOKUP(X62,$BM$19:$BR70,$D62+1)),"",HLOOKUP(X62,$BM$19:$BR70,$D62+1))</f>
        <v/>
      </c>
      <c r="AV62" s="110" t="s">
        <v>207</v>
      </c>
      <c r="AW62" s="110" t="s">
        <v>207</v>
      </c>
      <c r="BA62" s="12"/>
    </row>
    <row r="63" spans="1:53" ht="27" customHeight="1">
      <c r="A63" s="24">
        <v>47</v>
      </c>
      <c r="B63" s="152"/>
      <c r="C63" s="149"/>
      <c r="D63" s="147"/>
      <c r="E63" s="148"/>
      <c r="F63" s="148"/>
      <c r="G63" s="148"/>
      <c r="H63" s="148"/>
      <c r="I63" s="148"/>
      <c r="J63" s="148"/>
      <c r="K63" s="148"/>
      <c r="L63" s="148"/>
      <c r="M63" s="148"/>
      <c r="N63" s="148"/>
      <c r="O63" s="148"/>
      <c r="P63" s="148"/>
      <c r="Q63" s="148"/>
      <c r="R63" s="148"/>
      <c r="S63" s="148"/>
      <c r="T63" s="148"/>
      <c r="U63" s="148"/>
      <c r="V63" s="148"/>
      <c r="W63" s="148"/>
      <c r="X63" s="148"/>
      <c r="Y63" s="159">
        <f t="shared" si="2"/>
        <v>0</v>
      </c>
      <c r="Z63" s="111"/>
      <c r="AA63" s="111"/>
      <c r="AB63" s="14" t="str">
        <f>IF(ISERROR(HLOOKUP(E63,$BM$19:$BR71,$D63+1)),"",HLOOKUP(E63,$BM$19:$BR71,$D63+1))</f>
        <v/>
      </c>
      <c r="AC63" s="14" t="str">
        <f>IF(ISERROR(HLOOKUP(F63,$BM$19:$BR71,$D63+1)),"",HLOOKUP(F63,$BM$19:$BR71,$D63+1))</f>
        <v/>
      </c>
      <c r="AD63" s="14" t="str">
        <f>IF(ISERROR(HLOOKUP(G63,$BM$19:$BR71,$D63+1)),"",HLOOKUP(G63,$BM$19:$BR71,$D63+1))</f>
        <v/>
      </c>
      <c r="AE63" s="14" t="str">
        <f>IF(ISERROR(HLOOKUP(H63,$BM$19:$BR71,$D63+1)),"",HLOOKUP(H63,$BM$19:$BR71,$D63+1))</f>
        <v/>
      </c>
      <c r="AF63" s="14" t="str">
        <f>IF(ISERROR(HLOOKUP(I63,$BM$19:$BR71,$D63+1)),"",HLOOKUP(I63,$BM$19:$BR71,$D63+1))</f>
        <v/>
      </c>
      <c r="AG63" s="14" t="str">
        <f>IF(ISERROR(HLOOKUP(J63,$BM$19:$BR71,$D63+1)),"",HLOOKUP(J63,$BM$19:$BR71,$D63+1))</f>
        <v/>
      </c>
      <c r="AH63" s="14" t="str">
        <f>IF(ISERROR(HLOOKUP(K63,$BM$19:$BR71,$D63+1)),"",HLOOKUP(K63,$BM$19:$BR71,$D63+1))</f>
        <v/>
      </c>
      <c r="AI63" s="14" t="str">
        <f>IF(ISERROR(HLOOKUP(L63,$BM$19:$BR71,$D63+1)),"",HLOOKUP(L63,$BM$19:$BR71,$D63+1))</f>
        <v/>
      </c>
      <c r="AJ63" s="14" t="str">
        <f>IF(ISERROR(HLOOKUP(M63,$BM$19:$BR71,$D63+1)),"",HLOOKUP(M63,$BM$19:$BR71,$D63+1))</f>
        <v/>
      </c>
      <c r="AK63" s="14" t="str">
        <f>IF(ISERROR(HLOOKUP(N63,$BM$19:$BR71,$D63+1)),"",HLOOKUP(N63,$BM$19:$BR71,$D63+1))</f>
        <v/>
      </c>
      <c r="AL63" s="14" t="str">
        <f>IF(ISERROR(HLOOKUP(O63,$BM$19:$BR71,$D63+1)),"",HLOOKUP(O63,$BM$19:$BR71,$D63+1))</f>
        <v/>
      </c>
      <c r="AM63" s="14" t="str">
        <f>IF(ISERROR(HLOOKUP(P63,$BM$19:$BR71,$D63+1)),"",HLOOKUP(P63,$BM$19:$BR71,$D63+1))</f>
        <v/>
      </c>
      <c r="AN63" s="14" t="str">
        <f>IF(ISERROR(HLOOKUP(Q63,$BM$19:$BR71,$D63+1)),"",HLOOKUP(Q63,$BM$19:$BR71,$D63+1))</f>
        <v/>
      </c>
      <c r="AO63" s="14" t="str">
        <f>IF(ISERROR(HLOOKUP(R63,$BM$19:$BR71,$D63+1)),"",HLOOKUP(R63,$BM$19:$BR71,$D63+1))</f>
        <v/>
      </c>
      <c r="AP63" s="14" t="str">
        <f>IF(ISERROR(HLOOKUP(S63,$BM$19:$BR71,$D63+1)),"",HLOOKUP(S63,$BM$19:$BR71,$D63+1))</f>
        <v/>
      </c>
      <c r="AQ63" s="14" t="str">
        <f>IF(ISERROR(HLOOKUP(T63,$BM$19:$BR71,$D63+1)),"",HLOOKUP(T63,$BM$19:$BR71,$D63+1))</f>
        <v/>
      </c>
      <c r="AR63" s="14" t="str">
        <f>IF(ISERROR(HLOOKUP(U63,$BM$19:$BR71,$D63+1)),"",HLOOKUP(U63,$BM$19:$BR71,$D63+1))</f>
        <v/>
      </c>
      <c r="AS63" s="14" t="str">
        <f>IF(ISERROR(HLOOKUP(V63,$BM$19:$BR71,$D63+1)),"",HLOOKUP(V63,$BM$19:$BR71,$D63+1))</f>
        <v/>
      </c>
      <c r="AT63" s="14" t="str">
        <f>IF(ISERROR(HLOOKUP(W63,$BM$19:$BR71,$D63+1)),"",HLOOKUP(W63,$BM$19:$BR71,$D63+1))</f>
        <v/>
      </c>
      <c r="AU63" s="14" t="str">
        <f>IF(ISERROR(HLOOKUP(X63,$BM$19:$BR71,$D63+1)),"",HLOOKUP(X63,$BM$19:$BR71,$D63+1))</f>
        <v/>
      </c>
      <c r="AV63" s="110" t="s">
        <v>207</v>
      </c>
      <c r="AW63" s="110" t="s">
        <v>207</v>
      </c>
      <c r="BA63" s="12"/>
    </row>
    <row r="64" spans="1:53" ht="27" customHeight="1">
      <c r="A64" s="24">
        <v>48</v>
      </c>
      <c r="B64" s="152"/>
      <c r="C64" s="149"/>
      <c r="D64" s="147"/>
      <c r="E64" s="148"/>
      <c r="F64" s="148"/>
      <c r="G64" s="148"/>
      <c r="H64" s="148"/>
      <c r="I64" s="148"/>
      <c r="J64" s="148"/>
      <c r="K64" s="148"/>
      <c r="L64" s="148"/>
      <c r="M64" s="148"/>
      <c r="N64" s="148"/>
      <c r="O64" s="148"/>
      <c r="P64" s="148"/>
      <c r="Q64" s="148"/>
      <c r="R64" s="148"/>
      <c r="S64" s="148"/>
      <c r="T64" s="148"/>
      <c r="U64" s="148"/>
      <c r="V64" s="148"/>
      <c r="W64" s="148"/>
      <c r="X64" s="148"/>
      <c r="Y64" s="159">
        <f t="shared" si="2"/>
        <v>0</v>
      </c>
      <c r="Z64" s="111"/>
      <c r="AA64" s="111"/>
      <c r="AB64" s="14" t="str">
        <f>IF(ISERROR(HLOOKUP(E64,$BM$19:$BR72,$D64+1)),"",HLOOKUP(E64,$BM$19:$BR72,$D64+1))</f>
        <v/>
      </c>
      <c r="AC64" s="14" t="str">
        <f>IF(ISERROR(HLOOKUP(F64,$BM$19:$BR72,$D64+1)),"",HLOOKUP(F64,$BM$19:$BR72,$D64+1))</f>
        <v/>
      </c>
      <c r="AD64" s="14" t="str">
        <f>IF(ISERROR(HLOOKUP(G64,$BM$19:$BR72,$D64+1)),"",HLOOKUP(G64,$BM$19:$BR72,$D64+1))</f>
        <v/>
      </c>
      <c r="AE64" s="14" t="str">
        <f>IF(ISERROR(HLOOKUP(H64,$BM$19:$BR72,$D64+1)),"",HLOOKUP(H64,$BM$19:$BR72,$D64+1))</f>
        <v/>
      </c>
      <c r="AF64" s="14" t="str">
        <f>IF(ISERROR(HLOOKUP(I64,$BM$19:$BR72,$D64+1)),"",HLOOKUP(I64,$BM$19:$BR72,$D64+1))</f>
        <v/>
      </c>
      <c r="AG64" s="14" t="str">
        <f>IF(ISERROR(HLOOKUP(J64,$BM$19:$BR72,$D64+1)),"",HLOOKUP(J64,$BM$19:$BR72,$D64+1))</f>
        <v/>
      </c>
      <c r="AH64" s="14" t="str">
        <f>IF(ISERROR(HLOOKUP(K64,$BM$19:$BR72,$D64+1)),"",HLOOKUP(K64,$BM$19:$BR72,$D64+1))</f>
        <v/>
      </c>
      <c r="AI64" s="14" t="str">
        <f>IF(ISERROR(HLOOKUP(L64,$BM$19:$BR72,$D64+1)),"",HLOOKUP(L64,$BM$19:$BR72,$D64+1))</f>
        <v/>
      </c>
      <c r="AJ64" s="14" t="str">
        <f>IF(ISERROR(HLOOKUP(M64,$BM$19:$BR72,$D64+1)),"",HLOOKUP(M64,$BM$19:$BR72,$D64+1))</f>
        <v/>
      </c>
      <c r="AK64" s="14" t="str">
        <f>IF(ISERROR(HLOOKUP(N64,$BM$19:$BR72,$D64+1)),"",HLOOKUP(N64,$BM$19:$BR72,$D64+1))</f>
        <v/>
      </c>
      <c r="AL64" s="14" t="str">
        <f>IF(ISERROR(HLOOKUP(O64,$BM$19:$BR72,$D64+1)),"",HLOOKUP(O64,$BM$19:$BR72,$D64+1))</f>
        <v/>
      </c>
      <c r="AM64" s="14" t="str">
        <f>IF(ISERROR(HLOOKUP(P64,$BM$19:$BR72,$D64+1)),"",HLOOKUP(P64,$BM$19:$BR72,$D64+1))</f>
        <v/>
      </c>
      <c r="AN64" s="14" t="str">
        <f>IF(ISERROR(HLOOKUP(Q64,$BM$19:$BR72,$D64+1)),"",HLOOKUP(Q64,$BM$19:$BR72,$D64+1))</f>
        <v/>
      </c>
      <c r="AO64" s="14" t="str">
        <f>IF(ISERROR(HLOOKUP(R64,$BM$19:$BR72,$D64+1)),"",HLOOKUP(R64,$BM$19:$BR72,$D64+1))</f>
        <v/>
      </c>
      <c r="AP64" s="14" t="str">
        <f>IF(ISERROR(HLOOKUP(S64,$BM$19:$BR72,$D64+1)),"",HLOOKUP(S64,$BM$19:$BR72,$D64+1))</f>
        <v/>
      </c>
      <c r="AQ64" s="14" t="str">
        <f>IF(ISERROR(HLOOKUP(T64,$BM$19:$BR72,$D64+1)),"",HLOOKUP(T64,$BM$19:$BR72,$D64+1))</f>
        <v/>
      </c>
      <c r="AR64" s="14" t="str">
        <f>IF(ISERROR(HLOOKUP(U64,$BM$19:$BR72,$D64+1)),"",HLOOKUP(U64,$BM$19:$BR72,$D64+1))</f>
        <v/>
      </c>
      <c r="AS64" s="14" t="str">
        <f>IF(ISERROR(HLOOKUP(V64,$BM$19:$BR72,$D64+1)),"",HLOOKUP(V64,$BM$19:$BR72,$D64+1))</f>
        <v/>
      </c>
      <c r="AT64" s="14" t="str">
        <f>IF(ISERROR(HLOOKUP(W64,$BM$19:$BR72,$D64+1)),"",HLOOKUP(W64,$BM$19:$BR72,$D64+1))</f>
        <v/>
      </c>
      <c r="AU64" s="14" t="str">
        <f>IF(ISERROR(HLOOKUP(X64,$BM$19:$BR72,$D64+1)),"",HLOOKUP(X64,$BM$19:$BR72,$D64+1))</f>
        <v/>
      </c>
      <c r="AV64" s="110" t="s">
        <v>207</v>
      </c>
      <c r="AW64" s="110" t="s">
        <v>207</v>
      </c>
      <c r="BA64" s="12"/>
    </row>
    <row r="65" spans="1:53" ht="27" customHeight="1">
      <c r="A65" s="24">
        <v>49</v>
      </c>
      <c r="B65" s="152"/>
      <c r="C65" s="149"/>
      <c r="D65" s="147"/>
      <c r="E65" s="148"/>
      <c r="F65" s="148"/>
      <c r="G65" s="148"/>
      <c r="H65" s="148"/>
      <c r="I65" s="148"/>
      <c r="J65" s="148"/>
      <c r="K65" s="148"/>
      <c r="L65" s="148"/>
      <c r="M65" s="148"/>
      <c r="N65" s="148"/>
      <c r="O65" s="148"/>
      <c r="P65" s="148"/>
      <c r="Q65" s="148"/>
      <c r="R65" s="148"/>
      <c r="S65" s="148"/>
      <c r="T65" s="148"/>
      <c r="U65" s="148"/>
      <c r="V65" s="148"/>
      <c r="W65" s="148"/>
      <c r="X65" s="148"/>
      <c r="Y65" s="159">
        <f t="shared" si="2"/>
        <v>0</v>
      </c>
      <c r="Z65" s="111"/>
      <c r="AA65" s="111"/>
      <c r="AB65" s="14" t="str">
        <f>IF(ISERROR(HLOOKUP(E65,$BM$19:$BR73,$D65+1)),"",HLOOKUP(E65,$BM$19:$BR73,$D65+1))</f>
        <v/>
      </c>
      <c r="AC65" s="14" t="str">
        <f>IF(ISERROR(HLOOKUP(F65,$BM$19:$BR73,$D65+1)),"",HLOOKUP(F65,$BM$19:$BR73,$D65+1))</f>
        <v/>
      </c>
      <c r="AD65" s="14" t="str">
        <f>IF(ISERROR(HLOOKUP(G65,$BM$19:$BR73,$D65+1)),"",HLOOKUP(G65,$BM$19:$BR73,$D65+1))</f>
        <v/>
      </c>
      <c r="AE65" s="14" t="str">
        <f>IF(ISERROR(HLOOKUP(H65,$BM$19:$BR73,$D65+1)),"",HLOOKUP(H65,$BM$19:$BR73,$D65+1))</f>
        <v/>
      </c>
      <c r="AF65" s="14" t="str">
        <f>IF(ISERROR(HLOOKUP(I65,$BM$19:$BR73,$D65+1)),"",HLOOKUP(I65,$BM$19:$BR73,$D65+1))</f>
        <v/>
      </c>
      <c r="AG65" s="14" t="str">
        <f>IF(ISERROR(HLOOKUP(J65,$BM$19:$BR73,$D65+1)),"",HLOOKUP(J65,$BM$19:$BR73,$D65+1))</f>
        <v/>
      </c>
      <c r="AH65" s="14" t="str">
        <f>IF(ISERROR(HLOOKUP(K65,$BM$19:$BR73,$D65+1)),"",HLOOKUP(K65,$BM$19:$BR73,$D65+1))</f>
        <v/>
      </c>
      <c r="AI65" s="14" t="str">
        <f>IF(ISERROR(HLOOKUP(L65,$BM$19:$BR73,$D65+1)),"",HLOOKUP(L65,$BM$19:$BR73,$D65+1))</f>
        <v/>
      </c>
      <c r="AJ65" s="14" t="str">
        <f>IF(ISERROR(HLOOKUP(M65,$BM$19:$BR73,$D65+1)),"",HLOOKUP(M65,$BM$19:$BR73,$D65+1))</f>
        <v/>
      </c>
      <c r="AK65" s="14" t="str">
        <f>IF(ISERROR(HLOOKUP(N65,$BM$19:$BR73,$D65+1)),"",HLOOKUP(N65,$BM$19:$BR73,$D65+1))</f>
        <v/>
      </c>
      <c r="AL65" s="14" t="str">
        <f>IF(ISERROR(HLOOKUP(O65,$BM$19:$BR73,$D65+1)),"",HLOOKUP(O65,$BM$19:$BR73,$D65+1))</f>
        <v/>
      </c>
      <c r="AM65" s="14" t="str">
        <f>IF(ISERROR(HLOOKUP(P65,$BM$19:$BR73,$D65+1)),"",HLOOKUP(P65,$BM$19:$BR73,$D65+1))</f>
        <v/>
      </c>
      <c r="AN65" s="14" t="str">
        <f>IF(ISERROR(HLOOKUP(Q65,$BM$19:$BR73,$D65+1)),"",HLOOKUP(Q65,$BM$19:$BR73,$D65+1))</f>
        <v/>
      </c>
      <c r="AO65" s="14" t="str">
        <f>IF(ISERROR(HLOOKUP(R65,$BM$19:$BR73,$D65+1)),"",HLOOKUP(R65,$BM$19:$BR73,$D65+1))</f>
        <v/>
      </c>
      <c r="AP65" s="14" t="str">
        <f>IF(ISERROR(HLOOKUP(S65,$BM$19:$BR73,$D65+1)),"",HLOOKUP(S65,$BM$19:$BR73,$D65+1))</f>
        <v/>
      </c>
      <c r="AQ65" s="14" t="str">
        <f>IF(ISERROR(HLOOKUP(T65,$BM$19:$BR73,$D65+1)),"",HLOOKUP(T65,$BM$19:$BR73,$D65+1))</f>
        <v/>
      </c>
      <c r="AR65" s="14" t="str">
        <f>IF(ISERROR(HLOOKUP(U65,$BM$19:$BR73,$D65+1)),"",HLOOKUP(U65,$BM$19:$BR73,$D65+1))</f>
        <v/>
      </c>
      <c r="AS65" s="14" t="str">
        <f>IF(ISERROR(HLOOKUP(V65,$BM$19:$BR73,$D65+1)),"",HLOOKUP(V65,$BM$19:$BR73,$D65+1))</f>
        <v/>
      </c>
      <c r="AT65" s="14" t="str">
        <f>IF(ISERROR(HLOOKUP(W65,$BM$19:$BR73,$D65+1)),"",HLOOKUP(W65,$BM$19:$BR73,$D65+1))</f>
        <v/>
      </c>
      <c r="AU65" s="14" t="str">
        <f>IF(ISERROR(HLOOKUP(X65,$BM$19:$BR73,$D65+1)),"",HLOOKUP(X65,$BM$19:$BR73,$D65+1))</f>
        <v/>
      </c>
      <c r="AV65" s="110" t="s">
        <v>207</v>
      </c>
      <c r="AW65" s="110" t="s">
        <v>207</v>
      </c>
      <c r="BA65" s="12"/>
    </row>
    <row r="66" spans="1:53" ht="27" customHeight="1">
      <c r="A66" s="24">
        <v>50</v>
      </c>
      <c r="B66" s="152"/>
      <c r="C66" s="149"/>
      <c r="D66" s="147"/>
      <c r="E66" s="148"/>
      <c r="F66" s="148"/>
      <c r="G66" s="148"/>
      <c r="H66" s="148"/>
      <c r="I66" s="148"/>
      <c r="J66" s="148"/>
      <c r="K66" s="148"/>
      <c r="L66" s="148"/>
      <c r="M66" s="148"/>
      <c r="N66" s="148"/>
      <c r="O66" s="148"/>
      <c r="P66" s="148"/>
      <c r="Q66" s="148"/>
      <c r="R66" s="148"/>
      <c r="S66" s="148"/>
      <c r="T66" s="148"/>
      <c r="U66" s="148"/>
      <c r="V66" s="148"/>
      <c r="W66" s="148"/>
      <c r="X66" s="148"/>
      <c r="Y66" s="159">
        <f t="shared" si="2"/>
        <v>0</v>
      </c>
      <c r="Z66" s="111"/>
      <c r="AA66" s="111"/>
      <c r="AB66" s="14" t="str">
        <f>IF(ISERROR(HLOOKUP(E66,$BM$19:$BR74,$D66+1)),"",HLOOKUP(E66,$BM$19:$BR74,$D66+1))</f>
        <v/>
      </c>
      <c r="AC66" s="14" t="str">
        <f>IF(ISERROR(HLOOKUP(F66,$BM$19:$BR74,$D66+1)),"",HLOOKUP(F66,$BM$19:$BR74,$D66+1))</f>
        <v/>
      </c>
      <c r="AD66" s="14" t="str">
        <f>IF(ISERROR(HLOOKUP(G66,$BM$19:$BR74,$D66+1)),"",HLOOKUP(G66,$BM$19:$BR74,$D66+1))</f>
        <v/>
      </c>
      <c r="AE66" s="14" t="str">
        <f>IF(ISERROR(HLOOKUP(H66,$BM$19:$BR74,$D66+1)),"",HLOOKUP(H66,$BM$19:$BR74,$D66+1))</f>
        <v/>
      </c>
      <c r="AF66" s="14" t="str">
        <f>IF(ISERROR(HLOOKUP(I66,$BM$19:$BR74,$D66+1)),"",HLOOKUP(I66,$BM$19:$BR74,$D66+1))</f>
        <v/>
      </c>
      <c r="AG66" s="14" t="str">
        <f>IF(ISERROR(HLOOKUP(J66,$BM$19:$BR74,$D66+1)),"",HLOOKUP(J66,$BM$19:$BR74,$D66+1))</f>
        <v/>
      </c>
      <c r="AH66" s="14" t="str">
        <f>IF(ISERROR(HLOOKUP(K66,$BM$19:$BR74,$D66+1)),"",HLOOKUP(K66,$BM$19:$BR74,$D66+1))</f>
        <v/>
      </c>
      <c r="AI66" s="14" t="str">
        <f>IF(ISERROR(HLOOKUP(L66,$BM$19:$BR74,$D66+1)),"",HLOOKUP(L66,$BM$19:$BR74,$D66+1))</f>
        <v/>
      </c>
      <c r="AJ66" s="14" t="str">
        <f>IF(ISERROR(HLOOKUP(M66,$BM$19:$BR74,$D66+1)),"",HLOOKUP(M66,$BM$19:$BR74,$D66+1))</f>
        <v/>
      </c>
      <c r="AK66" s="14" t="str">
        <f>IF(ISERROR(HLOOKUP(N66,$BM$19:$BR74,$D66+1)),"",HLOOKUP(N66,$BM$19:$BR74,$D66+1))</f>
        <v/>
      </c>
      <c r="AL66" s="14" t="str">
        <f>IF(ISERROR(HLOOKUP(O66,$BM$19:$BR74,$D66+1)),"",HLOOKUP(O66,$BM$19:$BR74,$D66+1))</f>
        <v/>
      </c>
      <c r="AM66" s="14" t="str">
        <f>IF(ISERROR(HLOOKUP(P66,$BM$19:$BR74,$D66+1)),"",HLOOKUP(P66,$BM$19:$BR74,$D66+1))</f>
        <v/>
      </c>
      <c r="AN66" s="14" t="str">
        <f>IF(ISERROR(HLOOKUP(Q66,$BM$19:$BR74,$D66+1)),"",HLOOKUP(Q66,$BM$19:$BR74,$D66+1))</f>
        <v/>
      </c>
      <c r="AO66" s="14" t="str">
        <f>IF(ISERROR(HLOOKUP(R66,$BM$19:$BR74,$D66+1)),"",HLOOKUP(R66,$BM$19:$BR74,$D66+1))</f>
        <v/>
      </c>
      <c r="AP66" s="14" t="str">
        <f>IF(ISERROR(HLOOKUP(S66,$BM$19:$BR74,$D66+1)),"",HLOOKUP(S66,$BM$19:$BR74,$D66+1))</f>
        <v/>
      </c>
      <c r="AQ66" s="14" t="str">
        <f>IF(ISERROR(HLOOKUP(T66,$BM$19:$BR74,$D66+1)),"",HLOOKUP(T66,$BM$19:$BR74,$D66+1))</f>
        <v/>
      </c>
      <c r="AR66" s="14" t="str">
        <f>IF(ISERROR(HLOOKUP(U66,$BM$19:$BR74,$D66+1)),"",HLOOKUP(U66,$BM$19:$BR74,$D66+1))</f>
        <v/>
      </c>
      <c r="AS66" s="14" t="str">
        <f>IF(ISERROR(HLOOKUP(V66,$BM$19:$BR74,$D66+1)),"",HLOOKUP(V66,$BM$19:$BR74,$D66+1))</f>
        <v/>
      </c>
      <c r="AT66" s="14" t="str">
        <f>IF(ISERROR(HLOOKUP(W66,$BM$19:$BR74,$D66+1)),"",HLOOKUP(W66,$BM$19:$BR74,$D66+1))</f>
        <v/>
      </c>
      <c r="AU66" s="14" t="str">
        <f>IF(ISERROR(HLOOKUP(X66,$BM$19:$BR74,$D66+1)),"",HLOOKUP(X66,$BM$19:$BR74,$D66+1))</f>
        <v/>
      </c>
      <c r="AV66" s="110" t="s">
        <v>207</v>
      </c>
      <c r="AW66" s="110" t="s">
        <v>207</v>
      </c>
    </row>
    <row r="67" spans="1:53" ht="27" customHeight="1">
      <c r="A67" s="24">
        <v>51</v>
      </c>
      <c r="B67" s="152"/>
      <c r="C67" s="149"/>
      <c r="D67" s="147"/>
      <c r="E67" s="148"/>
      <c r="F67" s="148"/>
      <c r="G67" s="148"/>
      <c r="H67" s="148"/>
      <c r="I67" s="148"/>
      <c r="J67" s="148"/>
      <c r="K67" s="148"/>
      <c r="L67" s="148"/>
      <c r="M67" s="148"/>
      <c r="N67" s="148"/>
      <c r="O67" s="148"/>
      <c r="P67" s="148"/>
      <c r="Q67" s="148"/>
      <c r="R67" s="148"/>
      <c r="S67" s="148"/>
      <c r="T67" s="148"/>
      <c r="U67" s="148"/>
      <c r="V67" s="148"/>
      <c r="W67" s="148"/>
      <c r="X67" s="148"/>
      <c r="Y67" s="159">
        <f t="shared" si="2"/>
        <v>0</v>
      </c>
      <c r="Z67" s="111"/>
      <c r="AA67" s="111"/>
      <c r="AB67" s="14" t="str">
        <f>IF(ISERROR(HLOOKUP(E67,$BM$19:$BR75,$D67+1)),"",HLOOKUP(E67,$BM$19:$BR75,$D67+1))</f>
        <v/>
      </c>
      <c r="AC67" s="14" t="str">
        <f>IF(ISERROR(HLOOKUP(F67,$BM$19:$BR75,$D67+1)),"",HLOOKUP(F67,$BM$19:$BR75,$D67+1))</f>
        <v/>
      </c>
      <c r="AD67" s="14" t="str">
        <f>IF(ISERROR(HLOOKUP(G67,$BM$19:$BR75,$D67+1)),"",HLOOKUP(G67,$BM$19:$BR75,$D67+1))</f>
        <v/>
      </c>
      <c r="AE67" s="14" t="str">
        <f>IF(ISERROR(HLOOKUP(H67,$BM$19:$BR75,$D67+1)),"",HLOOKUP(H67,$BM$19:$BR75,$D67+1))</f>
        <v/>
      </c>
      <c r="AF67" s="14" t="str">
        <f>IF(ISERROR(HLOOKUP(I67,$BM$19:$BR75,$D67+1)),"",HLOOKUP(I67,$BM$19:$BR75,$D67+1))</f>
        <v/>
      </c>
      <c r="AG67" s="14" t="str">
        <f>IF(ISERROR(HLOOKUP(J67,$BM$19:$BR75,$D67+1)),"",HLOOKUP(J67,$BM$19:$BR75,$D67+1))</f>
        <v/>
      </c>
      <c r="AH67" s="14" t="str">
        <f>IF(ISERROR(HLOOKUP(K67,$BM$19:$BR75,$D67+1)),"",HLOOKUP(K67,$BM$19:$BR75,$D67+1))</f>
        <v/>
      </c>
      <c r="AI67" s="14" t="str">
        <f>IF(ISERROR(HLOOKUP(L67,$BM$19:$BR75,$D67+1)),"",HLOOKUP(L67,$BM$19:$BR75,$D67+1))</f>
        <v/>
      </c>
      <c r="AJ67" s="14" t="str">
        <f>IF(ISERROR(HLOOKUP(M67,$BM$19:$BR75,$D67+1)),"",HLOOKUP(M67,$BM$19:$BR75,$D67+1))</f>
        <v/>
      </c>
      <c r="AK67" s="14" t="str">
        <f>IF(ISERROR(HLOOKUP(N67,$BM$19:$BR75,$D67+1)),"",HLOOKUP(N67,$BM$19:$BR75,$D67+1))</f>
        <v/>
      </c>
      <c r="AL67" s="14" t="str">
        <f>IF(ISERROR(HLOOKUP(O67,$BM$19:$BR75,$D67+1)),"",HLOOKUP(O67,$BM$19:$BR75,$D67+1))</f>
        <v/>
      </c>
      <c r="AM67" s="14" t="str">
        <f>IF(ISERROR(HLOOKUP(P67,$BM$19:$BR75,$D67+1)),"",HLOOKUP(P67,$BM$19:$BR75,$D67+1))</f>
        <v/>
      </c>
      <c r="AN67" s="14" t="str">
        <f>IF(ISERROR(HLOOKUP(Q67,$BM$19:$BR75,$D67+1)),"",HLOOKUP(Q67,$BM$19:$BR75,$D67+1))</f>
        <v/>
      </c>
      <c r="AO67" s="14" t="str">
        <f>IF(ISERROR(HLOOKUP(R67,$BM$19:$BR75,$D67+1)),"",HLOOKUP(R67,$BM$19:$BR75,$D67+1))</f>
        <v/>
      </c>
      <c r="AP67" s="14" t="str">
        <f>IF(ISERROR(HLOOKUP(S67,$BM$19:$BR75,$D67+1)),"",HLOOKUP(S67,$BM$19:$BR75,$D67+1))</f>
        <v/>
      </c>
      <c r="AQ67" s="14" t="str">
        <f>IF(ISERROR(HLOOKUP(T67,$BM$19:$BR75,$D67+1)),"",HLOOKUP(T67,$BM$19:$BR75,$D67+1))</f>
        <v/>
      </c>
      <c r="AR67" s="14" t="str">
        <f>IF(ISERROR(HLOOKUP(U67,$BM$19:$BR75,$D67+1)),"",HLOOKUP(U67,$BM$19:$BR75,$D67+1))</f>
        <v/>
      </c>
      <c r="AS67" s="14" t="str">
        <f>IF(ISERROR(HLOOKUP(V67,$BM$19:$BR75,$D67+1)),"",HLOOKUP(V67,$BM$19:$BR75,$D67+1))</f>
        <v/>
      </c>
      <c r="AT67" s="14" t="str">
        <f>IF(ISERROR(HLOOKUP(W67,$BM$19:$BR75,$D67+1)),"",HLOOKUP(W67,$BM$19:$BR75,$D67+1))</f>
        <v/>
      </c>
      <c r="AU67" s="14" t="str">
        <f>IF(ISERROR(HLOOKUP(X67,$BM$19:$BR75,$D67+1)),"",HLOOKUP(X67,$BM$19:$BR75,$D67+1))</f>
        <v/>
      </c>
      <c r="AV67" s="110" t="s">
        <v>207</v>
      </c>
      <c r="AW67" s="110" t="s">
        <v>207</v>
      </c>
    </row>
    <row r="68" spans="1:53" ht="27" customHeight="1">
      <c r="A68" s="24">
        <v>52</v>
      </c>
      <c r="B68" s="152"/>
      <c r="C68" s="149"/>
      <c r="D68" s="147"/>
      <c r="E68" s="148"/>
      <c r="F68" s="148"/>
      <c r="G68" s="148"/>
      <c r="H68" s="148"/>
      <c r="I68" s="148"/>
      <c r="J68" s="148"/>
      <c r="K68" s="148"/>
      <c r="L68" s="148"/>
      <c r="M68" s="148"/>
      <c r="N68" s="148"/>
      <c r="O68" s="148"/>
      <c r="P68" s="148"/>
      <c r="Q68" s="148"/>
      <c r="R68" s="148"/>
      <c r="S68" s="148"/>
      <c r="T68" s="148"/>
      <c r="U68" s="148"/>
      <c r="V68" s="148"/>
      <c r="W68" s="148"/>
      <c r="X68" s="148"/>
      <c r="Y68" s="159">
        <f t="shared" si="2"/>
        <v>0</v>
      </c>
      <c r="Z68" s="111"/>
      <c r="AA68" s="111"/>
      <c r="AB68" s="14" t="str">
        <f>IF(ISERROR(HLOOKUP(E68,$BM$19:$BR76,$D68+1)),"",HLOOKUP(E68,$BM$19:$BR76,$D68+1))</f>
        <v/>
      </c>
      <c r="AC68" s="14" t="str">
        <f>IF(ISERROR(HLOOKUP(F68,$BM$19:$BR76,$D68+1)),"",HLOOKUP(F68,$BM$19:$BR76,$D68+1))</f>
        <v/>
      </c>
      <c r="AD68" s="14" t="str">
        <f>IF(ISERROR(HLOOKUP(G68,$BM$19:$BR76,$D68+1)),"",HLOOKUP(G68,$BM$19:$BR76,$D68+1))</f>
        <v/>
      </c>
      <c r="AE68" s="14" t="str">
        <f>IF(ISERROR(HLOOKUP(H68,$BM$19:$BR76,$D68+1)),"",HLOOKUP(H68,$BM$19:$BR76,$D68+1))</f>
        <v/>
      </c>
      <c r="AF68" s="14" t="str">
        <f>IF(ISERROR(HLOOKUP(I68,$BM$19:$BR76,$D68+1)),"",HLOOKUP(I68,$BM$19:$BR76,$D68+1))</f>
        <v/>
      </c>
      <c r="AG68" s="14" t="str">
        <f>IF(ISERROR(HLOOKUP(J68,$BM$19:$BR76,$D68+1)),"",HLOOKUP(J68,$BM$19:$BR76,$D68+1))</f>
        <v/>
      </c>
      <c r="AH68" s="14" t="str">
        <f>IF(ISERROR(HLOOKUP(K68,$BM$19:$BR76,$D68+1)),"",HLOOKUP(K68,$BM$19:$BR76,$D68+1))</f>
        <v/>
      </c>
      <c r="AI68" s="14" t="str">
        <f>IF(ISERROR(HLOOKUP(L68,$BM$19:$BR76,$D68+1)),"",HLOOKUP(L68,$BM$19:$BR76,$D68+1))</f>
        <v/>
      </c>
      <c r="AJ68" s="14" t="str">
        <f>IF(ISERROR(HLOOKUP(M68,$BM$19:$BR76,$D68+1)),"",HLOOKUP(M68,$BM$19:$BR76,$D68+1))</f>
        <v/>
      </c>
      <c r="AK68" s="14" t="str">
        <f>IF(ISERROR(HLOOKUP(N68,$BM$19:$BR76,$D68+1)),"",HLOOKUP(N68,$BM$19:$BR76,$D68+1))</f>
        <v/>
      </c>
      <c r="AL68" s="14" t="str">
        <f>IF(ISERROR(HLOOKUP(O68,$BM$19:$BR76,$D68+1)),"",HLOOKUP(O68,$BM$19:$BR76,$D68+1))</f>
        <v/>
      </c>
      <c r="AM68" s="14" t="str">
        <f>IF(ISERROR(HLOOKUP(P68,$BM$19:$BR76,$D68+1)),"",HLOOKUP(P68,$BM$19:$BR76,$D68+1))</f>
        <v/>
      </c>
      <c r="AN68" s="14" t="str">
        <f>IF(ISERROR(HLOOKUP(Q68,$BM$19:$BR76,$D68+1)),"",HLOOKUP(Q68,$BM$19:$BR76,$D68+1))</f>
        <v/>
      </c>
      <c r="AO68" s="14" t="str">
        <f>IF(ISERROR(HLOOKUP(R68,$BM$19:$BR76,$D68+1)),"",HLOOKUP(R68,$BM$19:$BR76,$D68+1))</f>
        <v/>
      </c>
      <c r="AP68" s="14" t="str">
        <f>IF(ISERROR(HLOOKUP(S68,$BM$19:$BR76,$D68+1)),"",HLOOKUP(S68,$BM$19:$BR76,$D68+1))</f>
        <v/>
      </c>
      <c r="AQ68" s="14" t="str">
        <f>IF(ISERROR(HLOOKUP(T68,$BM$19:$BR76,$D68+1)),"",HLOOKUP(T68,$BM$19:$BR76,$D68+1))</f>
        <v/>
      </c>
      <c r="AR68" s="14" t="str">
        <f>IF(ISERROR(HLOOKUP(U68,$BM$19:$BR76,$D68+1)),"",HLOOKUP(U68,$BM$19:$BR76,$D68+1))</f>
        <v/>
      </c>
      <c r="AS68" s="14" t="str">
        <f>IF(ISERROR(HLOOKUP(V68,$BM$19:$BR76,$D68+1)),"",HLOOKUP(V68,$BM$19:$BR76,$D68+1))</f>
        <v/>
      </c>
      <c r="AT68" s="14" t="str">
        <f>IF(ISERROR(HLOOKUP(W68,$BM$19:$BR76,$D68+1)),"",HLOOKUP(W68,$BM$19:$BR76,$D68+1))</f>
        <v/>
      </c>
      <c r="AU68" s="14" t="str">
        <f>IF(ISERROR(HLOOKUP(X68,$BM$19:$BR76,$D68+1)),"",HLOOKUP(X68,$BM$19:$BR76,$D68+1))</f>
        <v/>
      </c>
      <c r="AV68" s="110" t="s">
        <v>207</v>
      </c>
      <c r="AW68" s="110" t="s">
        <v>207</v>
      </c>
    </row>
    <row r="69" spans="1:53" ht="27" customHeight="1">
      <c r="A69" s="24">
        <v>53</v>
      </c>
      <c r="B69" s="152"/>
      <c r="C69" s="149"/>
      <c r="D69" s="147"/>
      <c r="E69" s="148"/>
      <c r="F69" s="148"/>
      <c r="G69" s="148"/>
      <c r="H69" s="148"/>
      <c r="I69" s="148"/>
      <c r="J69" s="148"/>
      <c r="K69" s="148"/>
      <c r="L69" s="148"/>
      <c r="M69" s="148"/>
      <c r="N69" s="148"/>
      <c r="O69" s="148"/>
      <c r="P69" s="148"/>
      <c r="Q69" s="148"/>
      <c r="R69" s="148"/>
      <c r="S69" s="148"/>
      <c r="T69" s="148"/>
      <c r="U69" s="148"/>
      <c r="V69" s="148"/>
      <c r="W69" s="148"/>
      <c r="X69" s="148"/>
      <c r="Y69" s="159">
        <f t="shared" si="2"/>
        <v>0</v>
      </c>
      <c r="Z69" s="111"/>
      <c r="AA69" s="111"/>
      <c r="AB69" s="14" t="str">
        <f>IF(ISERROR(HLOOKUP(E69,$BM$19:$BR77,$D69+1)),"",HLOOKUP(E69,$BM$19:$BR77,$D69+1))</f>
        <v/>
      </c>
      <c r="AC69" s="14" t="str">
        <f>IF(ISERROR(HLOOKUP(F69,$BM$19:$BR77,$D69+1)),"",HLOOKUP(F69,$BM$19:$BR77,$D69+1))</f>
        <v/>
      </c>
      <c r="AD69" s="14" t="str">
        <f>IF(ISERROR(HLOOKUP(G69,$BM$19:$BR77,$D69+1)),"",HLOOKUP(G69,$BM$19:$BR77,$D69+1))</f>
        <v/>
      </c>
      <c r="AE69" s="14" t="str">
        <f>IF(ISERROR(HLOOKUP(H69,$BM$19:$BR77,$D69+1)),"",HLOOKUP(H69,$BM$19:$BR77,$D69+1))</f>
        <v/>
      </c>
      <c r="AF69" s="14" t="str">
        <f>IF(ISERROR(HLOOKUP(I69,$BM$19:$BR77,$D69+1)),"",HLOOKUP(I69,$BM$19:$BR77,$D69+1))</f>
        <v/>
      </c>
      <c r="AG69" s="14" t="str">
        <f>IF(ISERROR(HLOOKUP(J69,$BM$19:$BR77,$D69+1)),"",HLOOKUP(J69,$BM$19:$BR77,$D69+1))</f>
        <v/>
      </c>
      <c r="AH69" s="14" t="str">
        <f>IF(ISERROR(HLOOKUP(K69,$BM$19:$BR77,$D69+1)),"",HLOOKUP(K69,$BM$19:$BR77,$D69+1))</f>
        <v/>
      </c>
      <c r="AI69" s="14" t="str">
        <f>IF(ISERROR(HLOOKUP(L69,$BM$19:$BR77,$D69+1)),"",HLOOKUP(L69,$BM$19:$BR77,$D69+1))</f>
        <v/>
      </c>
      <c r="AJ69" s="14" t="str">
        <f>IF(ISERROR(HLOOKUP(M69,$BM$19:$BR77,$D69+1)),"",HLOOKUP(M69,$BM$19:$BR77,$D69+1))</f>
        <v/>
      </c>
      <c r="AK69" s="14" t="str">
        <f>IF(ISERROR(HLOOKUP(N69,$BM$19:$BR77,$D69+1)),"",HLOOKUP(N69,$BM$19:$BR77,$D69+1))</f>
        <v/>
      </c>
      <c r="AL69" s="14" t="str">
        <f>IF(ISERROR(HLOOKUP(O69,$BM$19:$BR77,$D69+1)),"",HLOOKUP(O69,$BM$19:$BR77,$D69+1))</f>
        <v/>
      </c>
      <c r="AM69" s="14" t="str">
        <f>IF(ISERROR(HLOOKUP(P69,$BM$19:$BR77,$D69+1)),"",HLOOKUP(P69,$BM$19:$BR77,$D69+1))</f>
        <v/>
      </c>
      <c r="AN69" s="14" t="str">
        <f>IF(ISERROR(HLOOKUP(Q69,$BM$19:$BR77,$D69+1)),"",HLOOKUP(Q69,$BM$19:$BR77,$D69+1))</f>
        <v/>
      </c>
      <c r="AO69" s="14" t="str">
        <f>IF(ISERROR(HLOOKUP(R69,$BM$19:$BR77,$D69+1)),"",HLOOKUP(R69,$BM$19:$BR77,$D69+1))</f>
        <v/>
      </c>
      <c r="AP69" s="14" t="str">
        <f>IF(ISERROR(HLOOKUP(S69,$BM$19:$BR77,$D69+1)),"",HLOOKUP(S69,$BM$19:$BR77,$D69+1))</f>
        <v/>
      </c>
      <c r="AQ69" s="14" t="str">
        <f>IF(ISERROR(HLOOKUP(T69,$BM$19:$BR77,$D69+1)),"",HLOOKUP(T69,$BM$19:$BR77,$D69+1))</f>
        <v/>
      </c>
      <c r="AR69" s="14" t="str">
        <f>IF(ISERROR(HLOOKUP(U69,$BM$19:$BR77,$D69+1)),"",HLOOKUP(U69,$BM$19:$BR77,$D69+1))</f>
        <v/>
      </c>
      <c r="AS69" s="14" t="str">
        <f>IF(ISERROR(HLOOKUP(V69,$BM$19:$BR77,$D69+1)),"",HLOOKUP(V69,$BM$19:$BR77,$D69+1))</f>
        <v/>
      </c>
      <c r="AT69" s="14" t="str">
        <f>IF(ISERROR(HLOOKUP(W69,$BM$19:$BR77,$D69+1)),"",HLOOKUP(W69,$BM$19:$BR77,$D69+1))</f>
        <v/>
      </c>
      <c r="AU69" s="14" t="str">
        <f>IF(ISERROR(HLOOKUP(X69,$BM$19:$BR77,$D69+1)),"",HLOOKUP(X69,$BM$19:$BR77,$D69+1))</f>
        <v/>
      </c>
      <c r="AV69" s="110" t="s">
        <v>207</v>
      </c>
      <c r="AW69" s="110" t="s">
        <v>207</v>
      </c>
    </row>
    <row r="70" spans="1:53" ht="27" customHeight="1">
      <c r="A70" s="24">
        <v>54</v>
      </c>
      <c r="B70" s="152"/>
      <c r="C70" s="149"/>
      <c r="D70" s="147"/>
      <c r="E70" s="148"/>
      <c r="F70" s="148"/>
      <c r="G70" s="148"/>
      <c r="H70" s="148"/>
      <c r="I70" s="148"/>
      <c r="J70" s="148"/>
      <c r="K70" s="148"/>
      <c r="L70" s="148"/>
      <c r="M70" s="148"/>
      <c r="N70" s="148"/>
      <c r="O70" s="148"/>
      <c r="P70" s="148"/>
      <c r="Q70" s="148"/>
      <c r="R70" s="148"/>
      <c r="S70" s="148"/>
      <c r="T70" s="148"/>
      <c r="U70" s="148"/>
      <c r="V70" s="148"/>
      <c r="W70" s="148"/>
      <c r="X70" s="148"/>
      <c r="Y70" s="159">
        <f t="shared" si="2"/>
        <v>0</v>
      </c>
      <c r="Z70" s="111"/>
      <c r="AA70" s="111"/>
      <c r="AB70" s="14" t="str">
        <f>IF(ISERROR(HLOOKUP(E70,$BM$19:$BR78,$D70+1)),"",HLOOKUP(E70,$BM$19:$BR78,$D70+1))</f>
        <v/>
      </c>
      <c r="AC70" s="14" t="str">
        <f>IF(ISERROR(HLOOKUP(F70,$BM$19:$BR78,$D70+1)),"",HLOOKUP(F70,$BM$19:$BR78,$D70+1))</f>
        <v/>
      </c>
      <c r="AD70" s="14" t="str">
        <f>IF(ISERROR(HLOOKUP(G70,$BM$19:$BR78,$D70+1)),"",HLOOKUP(G70,$BM$19:$BR78,$D70+1))</f>
        <v/>
      </c>
      <c r="AE70" s="14" t="str">
        <f>IF(ISERROR(HLOOKUP(H70,$BM$19:$BR78,$D70+1)),"",HLOOKUP(H70,$BM$19:$BR78,$D70+1))</f>
        <v/>
      </c>
      <c r="AF70" s="14" t="str">
        <f>IF(ISERROR(HLOOKUP(I70,$BM$19:$BR78,$D70+1)),"",HLOOKUP(I70,$BM$19:$BR78,$D70+1))</f>
        <v/>
      </c>
      <c r="AG70" s="14" t="str">
        <f>IF(ISERROR(HLOOKUP(J70,$BM$19:$BR78,$D70+1)),"",HLOOKUP(J70,$BM$19:$BR78,$D70+1))</f>
        <v/>
      </c>
      <c r="AH70" s="14" t="str">
        <f>IF(ISERROR(HLOOKUP(K70,$BM$19:$BR78,$D70+1)),"",HLOOKUP(K70,$BM$19:$BR78,$D70+1))</f>
        <v/>
      </c>
      <c r="AI70" s="14" t="str">
        <f>IF(ISERROR(HLOOKUP(L70,$BM$19:$BR78,$D70+1)),"",HLOOKUP(L70,$BM$19:$BR78,$D70+1))</f>
        <v/>
      </c>
      <c r="AJ70" s="14" t="str">
        <f>IF(ISERROR(HLOOKUP(M70,$BM$19:$BR78,$D70+1)),"",HLOOKUP(M70,$BM$19:$BR78,$D70+1))</f>
        <v/>
      </c>
      <c r="AK70" s="14" t="str">
        <f>IF(ISERROR(HLOOKUP(N70,$BM$19:$BR78,$D70+1)),"",HLOOKUP(N70,$BM$19:$BR78,$D70+1))</f>
        <v/>
      </c>
      <c r="AL70" s="14" t="str">
        <f>IF(ISERROR(HLOOKUP(O70,$BM$19:$BR78,$D70+1)),"",HLOOKUP(O70,$BM$19:$BR78,$D70+1))</f>
        <v/>
      </c>
      <c r="AM70" s="14" t="str">
        <f>IF(ISERROR(HLOOKUP(P70,$BM$19:$BR78,$D70+1)),"",HLOOKUP(P70,$BM$19:$BR78,$D70+1))</f>
        <v/>
      </c>
      <c r="AN70" s="14" t="str">
        <f>IF(ISERROR(HLOOKUP(Q70,$BM$19:$BR78,$D70+1)),"",HLOOKUP(Q70,$BM$19:$BR78,$D70+1))</f>
        <v/>
      </c>
      <c r="AO70" s="14" t="str">
        <f>IF(ISERROR(HLOOKUP(R70,$BM$19:$BR78,$D70+1)),"",HLOOKUP(R70,$BM$19:$BR78,$D70+1))</f>
        <v/>
      </c>
      <c r="AP70" s="14" t="str">
        <f>IF(ISERROR(HLOOKUP(S70,$BM$19:$BR78,$D70+1)),"",HLOOKUP(S70,$BM$19:$BR78,$D70+1))</f>
        <v/>
      </c>
      <c r="AQ70" s="14" t="str">
        <f>IF(ISERROR(HLOOKUP(T70,$BM$19:$BR78,$D70+1)),"",HLOOKUP(T70,$BM$19:$BR78,$D70+1))</f>
        <v/>
      </c>
      <c r="AR70" s="14" t="str">
        <f>IF(ISERROR(HLOOKUP(U70,$BM$19:$BR78,$D70+1)),"",HLOOKUP(U70,$BM$19:$BR78,$D70+1))</f>
        <v/>
      </c>
      <c r="AS70" s="14" t="str">
        <f>IF(ISERROR(HLOOKUP(V70,$BM$19:$BR78,$D70+1)),"",HLOOKUP(V70,$BM$19:$BR78,$D70+1))</f>
        <v/>
      </c>
      <c r="AT70" s="14" t="str">
        <f>IF(ISERROR(HLOOKUP(W70,$BM$19:$BR78,$D70+1)),"",HLOOKUP(W70,$BM$19:$BR78,$D70+1))</f>
        <v/>
      </c>
      <c r="AU70" s="14" t="str">
        <f>IF(ISERROR(HLOOKUP(X70,$BM$19:$BR78,$D70+1)),"",HLOOKUP(X70,$BM$19:$BR78,$D70+1))</f>
        <v/>
      </c>
      <c r="AV70" s="110" t="s">
        <v>207</v>
      </c>
      <c r="AW70" s="110" t="s">
        <v>207</v>
      </c>
    </row>
    <row r="71" spans="1:53" ht="27" customHeight="1">
      <c r="A71" s="24">
        <v>56</v>
      </c>
      <c r="B71" s="152"/>
      <c r="C71" s="149"/>
      <c r="D71" s="147"/>
      <c r="E71" s="148"/>
      <c r="F71" s="148"/>
      <c r="G71" s="148"/>
      <c r="H71" s="148"/>
      <c r="I71" s="148"/>
      <c r="J71" s="148"/>
      <c r="K71" s="148"/>
      <c r="L71" s="148"/>
      <c r="M71" s="148"/>
      <c r="N71" s="148"/>
      <c r="O71" s="148"/>
      <c r="P71" s="148"/>
      <c r="Q71" s="148"/>
      <c r="R71" s="148"/>
      <c r="S71" s="148"/>
      <c r="T71" s="148"/>
      <c r="U71" s="148"/>
      <c r="V71" s="148"/>
      <c r="W71" s="148"/>
      <c r="X71" s="148"/>
      <c r="Y71" s="159">
        <f t="shared" si="2"/>
        <v>0</v>
      </c>
      <c r="Z71" s="111"/>
      <c r="AA71" s="111"/>
      <c r="AB71" s="14" t="str">
        <f>IF(ISERROR(HLOOKUP(E71,$BM$19:$BR79,$D71+1)),"",HLOOKUP(E71,$BM$19:$BR79,$D71+1))</f>
        <v/>
      </c>
      <c r="AC71" s="14" t="str">
        <f>IF(ISERROR(HLOOKUP(F71,$BM$19:$BR79,$D71+1)),"",HLOOKUP(F71,$BM$19:$BR79,$D71+1))</f>
        <v/>
      </c>
      <c r="AD71" s="14" t="str">
        <f>IF(ISERROR(HLOOKUP(G71,$BM$19:$BR79,$D71+1)),"",HLOOKUP(G71,$BM$19:$BR79,$D71+1))</f>
        <v/>
      </c>
      <c r="AE71" s="14" t="str">
        <f>IF(ISERROR(HLOOKUP(H71,$BM$19:$BR79,$D71+1)),"",HLOOKUP(H71,$BM$19:$BR79,$D71+1))</f>
        <v/>
      </c>
      <c r="AF71" s="14" t="str">
        <f>IF(ISERROR(HLOOKUP(I71,$BM$19:$BR79,$D71+1)),"",HLOOKUP(I71,$BM$19:$BR79,$D71+1))</f>
        <v/>
      </c>
      <c r="AG71" s="14" t="str">
        <f>IF(ISERROR(HLOOKUP(J71,$BM$19:$BR79,$D71+1)),"",HLOOKUP(J71,$BM$19:$BR79,$D71+1))</f>
        <v/>
      </c>
      <c r="AH71" s="14" t="str">
        <f>IF(ISERROR(HLOOKUP(K71,$BM$19:$BR79,$D71+1)),"",HLOOKUP(K71,$BM$19:$BR79,$D71+1))</f>
        <v/>
      </c>
      <c r="AI71" s="14" t="str">
        <f>IF(ISERROR(HLOOKUP(L71,$BM$19:$BR79,$D71+1)),"",HLOOKUP(L71,$BM$19:$BR79,$D71+1))</f>
        <v/>
      </c>
      <c r="AJ71" s="14" t="str">
        <f>IF(ISERROR(HLOOKUP(M71,$BM$19:$BR79,$D71+1)),"",HLOOKUP(M71,$BM$19:$BR79,$D71+1))</f>
        <v/>
      </c>
      <c r="AK71" s="14" t="str">
        <f>IF(ISERROR(HLOOKUP(N71,$BM$19:$BR79,$D71+1)),"",HLOOKUP(N71,$BM$19:$BR79,$D71+1))</f>
        <v/>
      </c>
      <c r="AL71" s="14" t="str">
        <f>IF(ISERROR(HLOOKUP(O71,$BM$19:$BR79,$D71+1)),"",HLOOKUP(O71,$BM$19:$BR79,$D71+1))</f>
        <v/>
      </c>
      <c r="AM71" s="14" t="str">
        <f>IF(ISERROR(HLOOKUP(P71,$BM$19:$BR79,$D71+1)),"",HLOOKUP(P71,$BM$19:$BR79,$D71+1))</f>
        <v/>
      </c>
      <c r="AN71" s="14" t="str">
        <f>IF(ISERROR(HLOOKUP(Q71,$BM$19:$BR79,$D71+1)),"",HLOOKUP(Q71,$BM$19:$BR79,$D71+1))</f>
        <v/>
      </c>
      <c r="AO71" s="14" t="str">
        <f>IF(ISERROR(HLOOKUP(R71,$BM$19:$BR79,$D71+1)),"",HLOOKUP(R71,$BM$19:$BR79,$D71+1))</f>
        <v/>
      </c>
      <c r="AP71" s="14" t="str">
        <f>IF(ISERROR(HLOOKUP(S71,$BM$19:$BR79,$D71+1)),"",HLOOKUP(S71,$BM$19:$BR79,$D71+1))</f>
        <v/>
      </c>
      <c r="AQ71" s="14" t="str">
        <f>IF(ISERROR(HLOOKUP(T71,$BM$19:$BR79,$D71+1)),"",HLOOKUP(T71,$BM$19:$BR79,$D71+1))</f>
        <v/>
      </c>
      <c r="AR71" s="14" t="str">
        <f>IF(ISERROR(HLOOKUP(U71,$BM$19:$BR79,$D71+1)),"",HLOOKUP(U71,$BM$19:$BR79,$D71+1))</f>
        <v/>
      </c>
      <c r="AS71" s="14" t="str">
        <f>IF(ISERROR(HLOOKUP(V71,$BM$19:$BR79,$D71+1)),"",HLOOKUP(V71,$BM$19:$BR79,$D71+1))</f>
        <v/>
      </c>
      <c r="AT71" s="14" t="str">
        <f>IF(ISERROR(HLOOKUP(W71,$BM$19:$BR79,$D71+1)),"",HLOOKUP(W71,$BM$19:$BR79,$D71+1))</f>
        <v/>
      </c>
      <c r="AU71" s="14" t="str">
        <f>IF(ISERROR(HLOOKUP(X71,$BM$19:$BR79,$D71+1)),"",HLOOKUP(X71,$BM$19:$BR79,$D71+1))</f>
        <v/>
      </c>
      <c r="AV71" s="110" t="s">
        <v>207</v>
      </c>
      <c r="AW71" s="110" t="s">
        <v>207</v>
      </c>
    </row>
    <row r="72" spans="1:53" ht="27" customHeight="1">
      <c r="A72" s="24">
        <v>57</v>
      </c>
      <c r="B72" s="152"/>
      <c r="C72" s="149"/>
      <c r="D72" s="147"/>
      <c r="E72" s="148"/>
      <c r="F72" s="148"/>
      <c r="G72" s="148"/>
      <c r="H72" s="148"/>
      <c r="I72" s="148"/>
      <c r="J72" s="148"/>
      <c r="K72" s="148"/>
      <c r="L72" s="148"/>
      <c r="M72" s="148"/>
      <c r="N72" s="148"/>
      <c r="O72" s="148"/>
      <c r="P72" s="148"/>
      <c r="Q72" s="148"/>
      <c r="R72" s="148"/>
      <c r="S72" s="148"/>
      <c r="T72" s="148"/>
      <c r="U72" s="148"/>
      <c r="V72" s="148"/>
      <c r="W72" s="148"/>
      <c r="X72" s="148"/>
      <c r="Y72" s="159">
        <f t="shared" si="2"/>
        <v>0</v>
      </c>
      <c r="Z72" s="111"/>
      <c r="AA72" s="111"/>
      <c r="AB72" s="14" t="str">
        <f>IF(ISERROR(HLOOKUP(E72,$BM$19:$BR80,$D72+1)),"",HLOOKUP(E72,$BM$19:$BR80,$D72+1))</f>
        <v/>
      </c>
      <c r="AC72" s="14" t="str">
        <f>IF(ISERROR(HLOOKUP(F72,$BM$19:$BR80,$D72+1)),"",HLOOKUP(F72,$BM$19:$BR80,$D72+1))</f>
        <v/>
      </c>
      <c r="AD72" s="14" t="str">
        <f>IF(ISERROR(HLOOKUP(G72,$BM$19:$BR80,$D72+1)),"",HLOOKUP(G72,$BM$19:$BR80,$D72+1))</f>
        <v/>
      </c>
      <c r="AE72" s="14" t="str">
        <f>IF(ISERROR(HLOOKUP(H72,$BM$19:$BR80,$D72+1)),"",HLOOKUP(H72,$BM$19:$BR80,$D72+1))</f>
        <v/>
      </c>
      <c r="AF72" s="14" t="str">
        <f>IF(ISERROR(HLOOKUP(I72,$BM$19:$BR80,$D72+1)),"",HLOOKUP(I72,$BM$19:$BR80,$D72+1))</f>
        <v/>
      </c>
      <c r="AG72" s="14" t="str">
        <f>IF(ISERROR(HLOOKUP(J72,$BM$19:$BR80,$D72+1)),"",HLOOKUP(J72,$BM$19:$BR80,$D72+1))</f>
        <v/>
      </c>
      <c r="AH72" s="14" t="str">
        <f>IF(ISERROR(HLOOKUP(K72,$BM$19:$BR80,$D72+1)),"",HLOOKUP(K72,$BM$19:$BR80,$D72+1))</f>
        <v/>
      </c>
      <c r="AI72" s="14" t="str">
        <f>IF(ISERROR(HLOOKUP(L72,$BM$19:$BR80,$D72+1)),"",HLOOKUP(L72,$BM$19:$BR80,$D72+1))</f>
        <v/>
      </c>
      <c r="AJ72" s="14" t="str">
        <f>IF(ISERROR(HLOOKUP(M72,$BM$19:$BR80,$D72+1)),"",HLOOKUP(M72,$BM$19:$BR80,$D72+1))</f>
        <v/>
      </c>
      <c r="AK72" s="14" t="str">
        <f>IF(ISERROR(HLOOKUP(N72,$BM$19:$BR80,$D72+1)),"",HLOOKUP(N72,$BM$19:$BR80,$D72+1))</f>
        <v/>
      </c>
      <c r="AL72" s="14" t="str">
        <f>IF(ISERROR(HLOOKUP(O72,$BM$19:$BR80,$D72+1)),"",HLOOKUP(O72,$BM$19:$BR80,$D72+1))</f>
        <v/>
      </c>
      <c r="AM72" s="14" t="str">
        <f>IF(ISERROR(HLOOKUP(P72,$BM$19:$BR80,$D72+1)),"",HLOOKUP(P72,$BM$19:$BR80,$D72+1))</f>
        <v/>
      </c>
      <c r="AN72" s="14" t="str">
        <f>IF(ISERROR(HLOOKUP(Q72,$BM$19:$BR80,$D72+1)),"",HLOOKUP(Q72,$BM$19:$BR80,$D72+1))</f>
        <v/>
      </c>
      <c r="AO72" s="14" t="str">
        <f>IF(ISERROR(HLOOKUP(R72,$BM$19:$BR80,$D72+1)),"",HLOOKUP(R72,$BM$19:$BR80,$D72+1))</f>
        <v/>
      </c>
      <c r="AP72" s="14" t="str">
        <f>IF(ISERROR(HLOOKUP(S72,$BM$19:$BR80,$D72+1)),"",HLOOKUP(S72,$BM$19:$BR80,$D72+1))</f>
        <v/>
      </c>
      <c r="AQ72" s="14" t="str">
        <f>IF(ISERROR(HLOOKUP(T72,$BM$19:$BR80,$D72+1)),"",HLOOKUP(T72,$BM$19:$BR80,$D72+1))</f>
        <v/>
      </c>
      <c r="AR72" s="14" t="str">
        <f>IF(ISERROR(HLOOKUP(U72,$BM$19:$BR80,$D72+1)),"",HLOOKUP(U72,$BM$19:$BR80,$D72+1))</f>
        <v/>
      </c>
      <c r="AS72" s="14" t="str">
        <f>IF(ISERROR(HLOOKUP(V72,$BM$19:$BR80,$D72+1)),"",HLOOKUP(V72,$BM$19:$BR80,$D72+1))</f>
        <v/>
      </c>
      <c r="AT72" s="14" t="str">
        <f>IF(ISERROR(HLOOKUP(W72,$BM$19:$BR80,$D72+1)),"",HLOOKUP(W72,$BM$19:$BR80,$D72+1))</f>
        <v/>
      </c>
      <c r="AU72" s="14" t="str">
        <f>IF(ISERROR(HLOOKUP(X72,$BM$19:$BR80,$D72+1)),"",HLOOKUP(X72,$BM$19:$BR80,$D72+1))</f>
        <v/>
      </c>
      <c r="AV72" s="110" t="s">
        <v>207</v>
      </c>
      <c r="AW72" s="110" t="s">
        <v>207</v>
      </c>
    </row>
    <row r="73" spans="1:53" ht="27" customHeight="1">
      <c r="A73" s="24">
        <v>58</v>
      </c>
      <c r="B73" s="152"/>
      <c r="C73" s="149"/>
      <c r="D73" s="147"/>
      <c r="E73" s="148"/>
      <c r="F73" s="148"/>
      <c r="G73" s="148"/>
      <c r="H73" s="148"/>
      <c r="I73" s="148"/>
      <c r="J73" s="148"/>
      <c r="K73" s="148"/>
      <c r="L73" s="148"/>
      <c r="M73" s="148"/>
      <c r="N73" s="148"/>
      <c r="O73" s="148"/>
      <c r="P73" s="148"/>
      <c r="Q73" s="148"/>
      <c r="R73" s="148"/>
      <c r="S73" s="148"/>
      <c r="T73" s="148"/>
      <c r="U73" s="148"/>
      <c r="V73" s="148"/>
      <c r="W73" s="148"/>
      <c r="X73" s="148"/>
      <c r="Y73" s="159">
        <f t="shared" si="2"/>
        <v>0</v>
      </c>
      <c r="Z73" s="111"/>
      <c r="AA73" s="111"/>
      <c r="AB73" s="14" t="str">
        <f>IF(ISERROR(HLOOKUP(E73,$BM$19:$BR81,$D73+1)),"",HLOOKUP(E73,$BM$19:$BR81,$D73+1))</f>
        <v/>
      </c>
      <c r="AC73" s="14" t="str">
        <f>IF(ISERROR(HLOOKUP(F73,$BM$19:$BR81,$D73+1)),"",HLOOKUP(F73,$BM$19:$BR81,$D73+1))</f>
        <v/>
      </c>
      <c r="AD73" s="14" t="str">
        <f>IF(ISERROR(HLOOKUP(G73,$BM$19:$BR81,$D73+1)),"",HLOOKUP(G73,$BM$19:$BR81,$D73+1))</f>
        <v/>
      </c>
      <c r="AE73" s="14" t="str">
        <f>IF(ISERROR(HLOOKUP(H73,$BM$19:$BR81,$D73+1)),"",HLOOKUP(H73,$BM$19:$BR81,$D73+1))</f>
        <v/>
      </c>
      <c r="AF73" s="14" t="str">
        <f>IF(ISERROR(HLOOKUP(I73,$BM$19:$BR81,$D73+1)),"",HLOOKUP(I73,$BM$19:$BR81,$D73+1))</f>
        <v/>
      </c>
      <c r="AG73" s="14" t="str">
        <f>IF(ISERROR(HLOOKUP(J73,$BM$19:$BR81,$D73+1)),"",HLOOKUP(J73,$BM$19:$BR81,$D73+1))</f>
        <v/>
      </c>
      <c r="AH73" s="14" t="str">
        <f>IF(ISERROR(HLOOKUP(K73,$BM$19:$BR81,$D73+1)),"",HLOOKUP(K73,$BM$19:$BR81,$D73+1))</f>
        <v/>
      </c>
      <c r="AI73" s="14" t="str">
        <f>IF(ISERROR(HLOOKUP(L73,$BM$19:$BR81,$D73+1)),"",HLOOKUP(L73,$BM$19:$BR81,$D73+1))</f>
        <v/>
      </c>
      <c r="AJ73" s="14" t="str">
        <f>IF(ISERROR(HLOOKUP(M73,$BM$19:$BR81,$D73+1)),"",HLOOKUP(M73,$BM$19:$BR81,$D73+1))</f>
        <v/>
      </c>
      <c r="AK73" s="14" t="str">
        <f>IF(ISERROR(HLOOKUP(N73,$BM$19:$BR81,$D73+1)),"",HLOOKUP(N73,$BM$19:$BR81,$D73+1))</f>
        <v/>
      </c>
      <c r="AL73" s="14" t="str">
        <f>IF(ISERROR(HLOOKUP(O73,$BM$19:$BR81,$D73+1)),"",HLOOKUP(O73,$BM$19:$BR81,$D73+1))</f>
        <v/>
      </c>
      <c r="AM73" s="14" t="str">
        <f>IF(ISERROR(HLOOKUP(P73,$BM$19:$BR81,$D73+1)),"",HLOOKUP(P73,$BM$19:$BR81,$D73+1))</f>
        <v/>
      </c>
      <c r="AN73" s="14" t="str">
        <f>IF(ISERROR(HLOOKUP(Q73,$BM$19:$BR81,$D73+1)),"",HLOOKUP(Q73,$BM$19:$BR81,$D73+1))</f>
        <v/>
      </c>
      <c r="AO73" s="14" t="str">
        <f>IF(ISERROR(HLOOKUP(R73,$BM$19:$BR81,$D73+1)),"",HLOOKUP(R73,$BM$19:$BR81,$D73+1))</f>
        <v/>
      </c>
      <c r="AP73" s="14" t="str">
        <f>IF(ISERROR(HLOOKUP(S73,$BM$19:$BR81,$D73+1)),"",HLOOKUP(S73,$BM$19:$BR81,$D73+1))</f>
        <v/>
      </c>
      <c r="AQ73" s="14" t="str">
        <f>IF(ISERROR(HLOOKUP(T73,$BM$19:$BR81,$D73+1)),"",HLOOKUP(T73,$BM$19:$BR81,$D73+1))</f>
        <v/>
      </c>
      <c r="AR73" s="14" t="str">
        <f>IF(ISERROR(HLOOKUP(U73,$BM$19:$BR81,$D73+1)),"",HLOOKUP(U73,$BM$19:$BR81,$D73+1))</f>
        <v/>
      </c>
      <c r="AS73" s="14" t="str">
        <f>IF(ISERROR(HLOOKUP(V73,$BM$19:$BR81,$D73+1)),"",HLOOKUP(V73,$BM$19:$BR81,$D73+1))</f>
        <v/>
      </c>
      <c r="AT73" s="14" t="str">
        <f>IF(ISERROR(HLOOKUP(W73,$BM$19:$BR81,$D73+1)),"",HLOOKUP(W73,$BM$19:$BR81,$D73+1))</f>
        <v/>
      </c>
      <c r="AU73" s="14" t="str">
        <f>IF(ISERROR(HLOOKUP(X73,$BM$19:$BR81,$D73+1)),"",HLOOKUP(X73,$BM$19:$BR81,$D73+1))</f>
        <v/>
      </c>
      <c r="AV73" s="110" t="s">
        <v>207</v>
      </c>
      <c r="AW73" s="110" t="s">
        <v>207</v>
      </c>
    </row>
    <row r="74" spans="1:53" ht="27" customHeight="1">
      <c r="A74" s="24">
        <v>59</v>
      </c>
      <c r="B74" s="152"/>
      <c r="C74" s="149"/>
      <c r="D74" s="147"/>
      <c r="E74" s="148"/>
      <c r="F74" s="148"/>
      <c r="G74" s="148"/>
      <c r="H74" s="148"/>
      <c r="I74" s="148"/>
      <c r="J74" s="148"/>
      <c r="K74" s="148"/>
      <c r="L74" s="148"/>
      <c r="M74" s="148"/>
      <c r="N74" s="148"/>
      <c r="O74" s="148"/>
      <c r="P74" s="148"/>
      <c r="Q74" s="148"/>
      <c r="R74" s="148"/>
      <c r="S74" s="148"/>
      <c r="T74" s="148"/>
      <c r="U74" s="148"/>
      <c r="V74" s="148"/>
      <c r="W74" s="148"/>
      <c r="X74" s="148"/>
      <c r="Y74" s="159">
        <f t="shared" si="2"/>
        <v>0</v>
      </c>
      <c r="Z74" s="111"/>
      <c r="AA74" s="111"/>
      <c r="AB74" s="14" t="str">
        <f>IF(ISERROR(HLOOKUP(E74,$BM$19:$BR82,$D74+1)),"",HLOOKUP(E74,$BM$19:$BR82,$D74+1))</f>
        <v/>
      </c>
      <c r="AC74" s="14" t="str">
        <f>IF(ISERROR(HLOOKUP(F74,$BM$19:$BR82,$D74+1)),"",HLOOKUP(F74,$BM$19:$BR82,$D74+1))</f>
        <v/>
      </c>
      <c r="AD74" s="14" t="str">
        <f>IF(ISERROR(HLOOKUP(G74,$BM$19:$BR82,$D74+1)),"",HLOOKUP(G74,$BM$19:$BR82,$D74+1))</f>
        <v/>
      </c>
      <c r="AE74" s="14" t="str">
        <f>IF(ISERROR(HLOOKUP(H74,$BM$19:$BR82,$D74+1)),"",HLOOKUP(H74,$BM$19:$BR82,$D74+1))</f>
        <v/>
      </c>
      <c r="AF74" s="14" t="str">
        <f>IF(ISERROR(HLOOKUP(I74,$BM$19:$BR82,$D74+1)),"",HLOOKUP(I74,$BM$19:$BR82,$D74+1))</f>
        <v/>
      </c>
      <c r="AG74" s="14" t="str">
        <f>IF(ISERROR(HLOOKUP(J74,$BM$19:$BR82,$D74+1)),"",HLOOKUP(J74,$BM$19:$BR82,$D74+1))</f>
        <v/>
      </c>
      <c r="AH74" s="14" t="str">
        <f>IF(ISERROR(HLOOKUP(K74,$BM$19:$BR82,$D74+1)),"",HLOOKUP(K74,$BM$19:$BR82,$D74+1))</f>
        <v/>
      </c>
      <c r="AI74" s="14" t="str">
        <f>IF(ISERROR(HLOOKUP(L74,$BM$19:$BR82,$D74+1)),"",HLOOKUP(L74,$BM$19:$BR82,$D74+1))</f>
        <v/>
      </c>
      <c r="AJ74" s="14" t="str">
        <f>IF(ISERROR(HLOOKUP(M74,$BM$19:$BR82,$D74+1)),"",HLOOKUP(M74,$BM$19:$BR82,$D74+1))</f>
        <v/>
      </c>
      <c r="AK74" s="14" t="str">
        <f>IF(ISERROR(HLOOKUP(N74,$BM$19:$BR82,$D74+1)),"",HLOOKUP(N74,$BM$19:$BR82,$D74+1))</f>
        <v/>
      </c>
      <c r="AL74" s="14" t="str">
        <f>IF(ISERROR(HLOOKUP(O74,$BM$19:$BR82,$D74+1)),"",HLOOKUP(O74,$BM$19:$BR82,$D74+1))</f>
        <v/>
      </c>
      <c r="AM74" s="14" t="str">
        <f>IF(ISERROR(HLOOKUP(P74,$BM$19:$BR82,$D74+1)),"",HLOOKUP(P74,$BM$19:$BR82,$D74+1))</f>
        <v/>
      </c>
      <c r="AN74" s="14" t="str">
        <f>IF(ISERROR(HLOOKUP(Q74,$BM$19:$BR82,$D74+1)),"",HLOOKUP(Q74,$BM$19:$BR82,$D74+1))</f>
        <v/>
      </c>
      <c r="AO74" s="14" t="str">
        <f>IF(ISERROR(HLOOKUP(R74,$BM$19:$BR82,$D74+1)),"",HLOOKUP(R74,$BM$19:$BR82,$D74+1))</f>
        <v/>
      </c>
      <c r="AP74" s="14" t="str">
        <f>IF(ISERROR(HLOOKUP(S74,$BM$19:$BR82,$D74+1)),"",HLOOKUP(S74,$BM$19:$BR82,$D74+1))</f>
        <v/>
      </c>
      <c r="AQ74" s="14" t="str">
        <f>IF(ISERROR(HLOOKUP(T74,$BM$19:$BR82,$D74+1)),"",HLOOKUP(T74,$BM$19:$BR82,$D74+1))</f>
        <v/>
      </c>
      <c r="AR74" s="14" t="str">
        <f>IF(ISERROR(HLOOKUP(U74,$BM$19:$BR82,$D74+1)),"",HLOOKUP(U74,$BM$19:$BR82,$D74+1))</f>
        <v/>
      </c>
      <c r="AS74" s="14" t="str">
        <f>IF(ISERROR(HLOOKUP(V74,$BM$19:$BR82,$D74+1)),"",HLOOKUP(V74,$BM$19:$BR82,$D74+1))</f>
        <v/>
      </c>
      <c r="AT74" s="14" t="str">
        <f>IF(ISERROR(HLOOKUP(W74,$BM$19:$BR82,$D74+1)),"",HLOOKUP(W74,$BM$19:$BR82,$D74+1))</f>
        <v/>
      </c>
      <c r="AU74" s="14" t="str">
        <f>IF(ISERROR(HLOOKUP(X74,$BM$19:$BR82,$D74+1)),"",HLOOKUP(X74,$BM$19:$BR82,$D74+1))</f>
        <v/>
      </c>
      <c r="AV74" s="110" t="s">
        <v>207</v>
      </c>
      <c r="AW74" s="110" t="s">
        <v>207</v>
      </c>
    </row>
    <row r="75" spans="1:53" ht="27" customHeight="1">
      <c r="A75" s="24">
        <v>60</v>
      </c>
      <c r="B75" s="152"/>
      <c r="C75" s="149"/>
      <c r="D75" s="147"/>
      <c r="E75" s="148"/>
      <c r="F75" s="148"/>
      <c r="G75" s="148"/>
      <c r="H75" s="148"/>
      <c r="I75" s="148"/>
      <c r="J75" s="148"/>
      <c r="K75" s="148"/>
      <c r="L75" s="148"/>
      <c r="M75" s="148"/>
      <c r="N75" s="148"/>
      <c r="O75" s="148"/>
      <c r="P75" s="148"/>
      <c r="Q75" s="148"/>
      <c r="R75" s="148"/>
      <c r="S75" s="148"/>
      <c r="T75" s="148"/>
      <c r="U75" s="148"/>
      <c r="V75" s="148"/>
      <c r="W75" s="148"/>
      <c r="X75" s="148"/>
      <c r="Y75" s="159">
        <f t="shared" si="2"/>
        <v>0</v>
      </c>
      <c r="Z75" s="111"/>
      <c r="AA75" s="111"/>
      <c r="AB75" s="14" t="str">
        <f>IF(ISERROR(HLOOKUP(E75,$BM$19:$BR83,$D75+1)),"",HLOOKUP(E75,$BM$19:$BR83,$D75+1))</f>
        <v/>
      </c>
      <c r="AC75" s="14" t="str">
        <f>IF(ISERROR(HLOOKUP(F75,$BM$19:$BR83,$D75+1)),"",HLOOKUP(F75,$BM$19:$BR83,$D75+1))</f>
        <v/>
      </c>
      <c r="AD75" s="14" t="str">
        <f>IF(ISERROR(HLOOKUP(G75,$BM$19:$BR83,$D75+1)),"",HLOOKUP(G75,$BM$19:$BR83,$D75+1))</f>
        <v/>
      </c>
      <c r="AE75" s="14" t="str">
        <f>IF(ISERROR(HLOOKUP(H75,$BM$19:$BR83,$D75+1)),"",HLOOKUP(H75,$BM$19:$BR83,$D75+1))</f>
        <v/>
      </c>
      <c r="AF75" s="14" t="str">
        <f>IF(ISERROR(HLOOKUP(I75,$BM$19:$BR83,$D75+1)),"",HLOOKUP(I75,$BM$19:$BR83,$D75+1))</f>
        <v/>
      </c>
      <c r="AG75" s="14" t="str">
        <f>IF(ISERROR(HLOOKUP(J75,$BM$19:$BR83,$D75+1)),"",HLOOKUP(J75,$BM$19:$BR83,$D75+1))</f>
        <v/>
      </c>
      <c r="AH75" s="14" t="str">
        <f>IF(ISERROR(HLOOKUP(K75,$BM$19:$BR83,$D75+1)),"",HLOOKUP(K75,$BM$19:$BR83,$D75+1))</f>
        <v/>
      </c>
      <c r="AI75" s="14" t="str">
        <f>IF(ISERROR(HLOOKUP(L75,$BM$19:$BR83,$D75+1)),"",HLOOKUP(L75,$BM$19:$BR83,$D75+1))</f>
        <v/>
      </c>
      <c r="AJ75" s="14" t="str">
        <f>IF(ISERROR(HLOOKUP(M75,$BM$19:$BR83,$D75+1)),"",HLOOKUP(M75,$BM$19:$BR83,$D75+1))</f>
        <v/>
      </c>
      <c r="AK75" s="14" t="str">
        <f>IF(ISERROR(HLOOKUP(N75,$BM$19:$BR83,$D75+1)),"",HLOOKUP(N75,$BM$19:$BR83,$D75+1))</f>
        <v/>
      </c>
      <c r="AL75" s="14" t="str">
        <f>IF(ISERROR(HLOOKUP(O75,$BM$19:$BR83,$D75+1)),"",HLOOKUP(O75,$BM$19:$BR83,$D75+1))</f>
        <v/>
      </c>
      <c r="AM75" s="14" t="str">
        <f>IF(ISERROR(HLOOKUP(P75,$BM$19:$BR83,$D75+1)),"",HLOOKUP(P75,$BM$19:$BR83,$D75+1))</f>
        <v/>
      </c>
      <c r="AN75" s="14" t="str">
        <f>IF(ISERROR(HLOOKUP(Q75,$BM$19:$BR83,$D75+1)),"",HLOOKUP(Q75,$BM$19:$BR83,$D75+1))</f>
        <v/>
      </c>
      <c r="AO75" s="14" t="str">
        <f>IF(ISERROR(HLOOKUP(R75,$BM$19:$BR83,$D75+1)),"",HLOOKUP(R75,$BM$19:$BR83,$D75+1))</f>
        <v/>
      </c>
      <c r="AP75" s="14" t="str">
        <f>IF(ISERROR(HLOOKUP(S75,$BM$19:$BR83,$D75+1)),"",HLOOKUP(S75,$BM$19:$BR83,$D75+1))</f>
        <v/>
      </c>
      <c r="AQ75" s="14" t="str">
        <f>IF(ISERROR(HLOOKUP(T75,$BM$19:$BR83,$D75+1)),"",HLOOKUP(T75,$BM$19:$BR83,$D75+1))</f>
        <v/>
      </c>
      <c r="AR75" s="14" t="str">
        <f>IF(ISERROR(HLOOKUP(U75,$BM$19:$BR83,$D75+1)),"",HLOOKUP(U75,$BM$19:$BR83,$D75+1))</f>
        <v/>
      </c>
      <c r="AS75" s="14" t="str">
        <f>IF(ISERROR(HLOOKUP(V75,$BM$19:$BR83,$D75+1)),"",HLOOKUP(V75,$BM$19:$BR83,$D75+1))</f>
        <v/>
      </c>
      <c r="AT75" s="14" t="str">
        <f>IF(ISERROR(HLOOKUP(W75,$BM$19:$BR83,$D75+1)),"",HLOOKUP(W75,$BM$19:$BR83,$D75+1))</f>
        <v/>
      </c>
      <c r="AU75" s="14" t="str">
        <f>IF(ISERROR(HLOOKUP(X75,$BM$19:$BR83,$D75+1)),"",HLOOKUP(X75,$BM$19:$BR83,$D75+1))</f>
        <v/>
      </c>
      <c r="AV75" s="110" t="s">
        <v>207</v>
      </c>
      <c r="AW75" s="110" t="s">
        <v>207</v>
      </c>
    </row>
    <row r="76" spans="1:53" ht="27" customHeight="1">
      <c r="A76" s="24">
        <v>61</v>
      </c>
      <c r="B76" s="152"/>
      <c r="C76" s="149"/>
      <c r="D76" s="147"/>
      <c r="E76" s="148"/>
      <c r="F76" s="148"/>
      <c r="G76" s="148"/>
      <c r="H76" s="148"/>
      <c r="I76" s="148"/>
      <c r="J76" s="148"/>
      <c r="K76" s="148"/>
      <c r="L76" s="148"/>
      <c r="M76" s="148"/>
      <c r="N76" s="148"/>
      <c r="O76" s="148"/>
      <c r="P76" s="148"/>
      <c r="Q76" s="148"/>
      <c r="R76" s="148"/>
      <c r="S76" s="148"/>
      <c r="T76" s="148"/>
      <c r="U76" s="148"/>
      <c r="V76" s="148"/>
      <c r="W76" s="148"/>
      <c r="X76" s="148"/>
      <c r="Y76" s="159">
        <f t="shared" si="2"/>
        <v>0</v>
      </c>
      <c r="Z76" s="111"/>
      <c r="AA76" s="111"/>
      <c r="AB76" s="14" t="str">
        <f>IF(ISERROR(HLOOKUP(E76,$BM$19:$BR84,$D76+1)),"",HLOOKUP(E76,$BM$19:$BR84,$D76+1))</f>
        <v/>
      </c>
      <c r="AC76" s="14" t="str">
        <f>IF(ISERROR(HLOOKUP(F76,$BM$19:$BR84,$D76+1)),"",HLOOKUP(F76,$BM$19:$BR84,$D76+1))</f>
        <v/>
      </c>
      <c r="AD76" s="14" t="str">
        <f>IF(ISERROR(HLOOKUP(G76,$BM$19:$BR84,$D76+1)),"",HLOOKUP(G76,$BM$19:$BR84,$D76+1))</f>
        <v/>
      </c>
      <c r="AE76" s="14" t="str">
        <f>IF(ISERROR(HLOOKUP(H76,$BM$19:$BR84,$D76+1)),"",HLOOKUP(H76,$BM$19:$BR84,$D76+1))</f>
        <v/>
      </c>
      <c r="AF76" s="14" t="str">
        <f>IF(ISERROR(HLOOKUP(I76,$BM$19:$BR84,$D76+1)),"",HLOOKUP(I76,$BM$19:$BR84,$D76+1))</f>
        <v/>
      </c>
      <c r="AG76" s="14" t="str">
        <f>IF(ISERROR(HLOOKUP(J76,$BM$19:$BR84,$D76+1)),"",HLOOKUP(J76,$BM$19:$BR84,$D76+1))</f>
        <v/>
      </c>
      <c r="AH76" s="14" t="str">
        <f>IF(ISERROR(HLOOKUP(K76,$BM$19:$BR84,$D76+1)),"",HLOOKUP(K76,$BM$19:$BR84,$D76+1))</f>
        <v/>
      </c>
      <c r="AI76" s="14" t="str">
        <f>IF(ISERROR(HLOOKUP(L76,$BM$19:$BR84,$D76+1)),"",HLOOKUP(L76,$BM$19:$BR84,$D76+1))</f>
        <v/>
      </c>
      <c r="AJ76" s="14" t="str">
        <f>IF(ISERROR(HLOOKUP(M76,$BM$19:$BR84,$D76+1)),"",HLOOKUP(M76,$BM$19:$BR84,$D76+1))</f>
        <v/>
      </c>
      <c r="AK76" s="14" t="str">
        <f>IF(ISERROR(HLOOKUP(N76,$BM$19:$BR84,$D76+1)),"",HLOOKUP(N76,$BM$19:$BR84,$D76+1))</f>
        <v/>
      </c>
      <c r="AL76" s="14" t="str">
        <f>IF(ISERROR(HLOOKUP(O76,$BM$19:$BR84,$D76+1)),"",HLOOKUP(O76,$BM$19:$BR84,$D76+1))</f>
        <v/>
      </c>
      <c r="AM76" s="14" t="str">
        <f>IF(ISERROR(HLOOKUP(P76,$BM$19:$BR84,$D76+1)),"",HLOOKUP(P76,$BM$19:$BR84,$D76+1))</f>
        <v/>
      </c>
      <c r="AN76" s="14" t="str">
        <f>IF(ISERROR(HLOOKUP(Q76,$BM$19:$BR84,$D76+1)),"",HLOOKUP(Q76,$BM$19:$BR84,$D76+1))</f>
        <v/>
      </c>
      <c r="AO76" s="14" t="str">
        <f>IF(ISERROR(HLOOKUP(R76,$BM$19:$BR84,$D76+1)),"",HLOOKUP(R76,$BM$19:$BR84,$D76+1))</f>
        <v/>
      </c>
      <c r="AP76" s="14" t="str">
        <f>IF(ISERROR(HLOOKUP(S76,$BM$19:$BR84,$D76+1)),"",HLOOKUP(S76,$BM$19:$BR84,$D76+1))</f>
        <v/>
      </c>
      <c r="AQ76" s="14" t="str">
        <f>IF(ISERROR(HLOOKUP(T76,$BM$19:$BR84,$D76+1)),"",HLOOKUP(T76,$BM$19:$BR84,$D76+1))</f>
        <v/>
      </c>
      <c r="AR76" s="14" t="str">
        <f>IF(ISERROR(HLOOKUP(U76,$BM$19:$BR84,$D76+1)),"",HLOOKUP(U76,$BM$19:$BR84,$D76+1))</f>
        <v/>
      </c>
      <c r="AS76" s="14" t="str">
        <f>IF(ISERROR(HLOOKUP(V76,$BM$19:$BR84,$D76+1)),"",HLOOKUP(V76,$BM$19:$BR84,$D76+1))</f>
        <v/>
      </c>
      <c r="AT76" s="14" t="str">
        <f>IF(ISERROR(HLOOKUP(W76,$BM$19:$BR84,$D76+1)),"",HLOOKUP(W76,$BM$19:$BR84,$D76+1))</f>
        <v/>
      </c>
      <c r="AU76" s="14" t="str">
        <f>IF(ISERROR(HLOOKUP(X76,$BM$19:$BR84,$D76+1)),"",HLOOKUP(X76,$BM$19:$BR84,$D76+1))</f>
        <v/>
      </c>
      <c r="AV76" s="110" t="s">
        <v>207</v>
      </c>
      <c r="AW76" s="110" t="s">
        <v>207</v>
      </c>
    </row>
    <row r="77" spans="1:53" ht="27" customHeight="1">
      <c r="A77" s="24">
        <v>62</v>
      </c>
      <c r="B77" s="152"/>
      <c r="C77" s="149"/>
      <c r="D77" s="147"/>
      <c r="E77" s="148"/>
      <c r="F77" s="148"/>
      <c r="G77" s="148"/>
      <c r="H77" s="148"/>
      <c r="I77" s="148"/>
      <c r="J77" s="148"/>
      <c r="K77" s="148"/>
      <c r="L77" s="148"/>
      <c r="M77" s="148"/>
      <c r="N77" s="148"/>
      <c r="O77" s="148"/>
      <c r="P77" s="148"/>
      <c r="Q77" s="148"/>
      <c r="R77" s="148"/>
      <c r="S77" s="148"/>
      <c r="T77" s="148"/>
      <c r="U77" s="148"/>
      <c r="V77" s="148"/>
      <c r="W77" s="148"/>
      <c r="X77" s="148"/>
      <c r="Y77" s="159">
        <f t="shared" si="2"/>
        <v>0</v>
      </c>
      <c r="Z77" s="111"/>
      <c r="AA77" s="111"/>
      <c r="AB77" s="14" t="str">
        <f>IF(ISERROR(HLOOKUP(E77,$BM$19:$BR85,$D77+1)),"",HLOOKUP(E77,$BM$19:$BR85,$D77+1))</f>
        <v/>
      </c>
      <c r="AC77" s="14" t="str">
        <f>IF(ISERROR(HLOOKUP(F77,$BM$19:$BR85,$D77+1)),"",HLOOKUP(F77,$BM$19:$BR85,$D77+1))</f>
        <v/>
      </c>
      <c r="AD77" s="14" t="str">
        <f>IF(ISERROR(HLOOKUP(G77,$BM$19:$BR85,$D77+1)),"",HLOOKUP(G77,$BM$19:$BR85,$D77+1))</f>
        <v/>
      </c>
      <c r="AE77" s="14" t="str">
        <f>IF(ISERROR(HLOOKUP(H77,$BM$19:$BR85,$D77+1)),"",HLOOKUP(H77,$BM$19:$BR85,$D77+1))</f>
        <v/>
      </c>
      <c r="AF77" s="14" t="str">
        <f>IF(ISERROR(HLOOKUP(I77,$BM$19:$BR85,$D77+1)),"",HLOOKUP(I77,$BM$19:$BR85,$D77+1))</f>
        <v/>
      </c>
      <c r="AG77" s="14" t="str">
        <f>IF(ISERROR(HLOOKUP(J77,$BM$19:$BR85,$D77+1)),"",HLOOKUP(J77,$BM$19:$BR85,$D77+1))</f>
        <v/>
      </c>
      <c r="AH77" s="14" t="str">
        <f>IF(ISERROR(HLOOKUP(K77,$BM$19:$BR85,$D77+1)),"",HLOOKUP(K77,$BM$19:$BR85,$D77+1))</f>
        <v/>
      </c>
      <c r="AI77" s="14" t="str">
        <f>IF(ISERROR(HLOOKUP(L77,$BM$19:$BR85,$D77+1)),"",HLOOKUP(L77,$BM$19:$BR85,$D77+1))</f>
        <v/>
      </c>
      <c r="AJ77" s="14" t="str">
        <f>IF(ISERROR(HLOOKUP(M77,$BM$19:$BR85,$D77+1)),"",HLOOKUP(M77,$BM$19:$BR85,$D77+1))</f>
        <v/>
      </c>
      <c r="AK77" s="14" t="str">
        <f>IF(ISERROR(HLOOKUP(N77,$BM$19:$BR85,$D77+1)),"",HLOOKUP(N77,$BM$19:$BR85,$D77+1))</f>
        <v/>
      </c>
      <c r="AL77" s="14" t="str">
        <f>IF(ISERROR(HLOOKUP(O77,$BM$19:$BR85,$D77+1)),"",HLOOKUP(O77,$BM$19:$BR85,$D77+1))</f>
        <v/>
      </c>
      <c r="AM77" s="14" t="str">
        <f>IF(ISERROR(HLOOKUP(P77,$BM$19:$BR85,$D77+1)),"",HLOOKUP(P77,$BM$19:$BR85,$D77+1))</f>
        <v/>
      </c>
      <c r="AN77" s="14" t="str">
        <f>IF(ISERROR(HLOOKUP(Q77,$BM$19:$BR85,$D77+1)),"",HLOOKUP(Q77,$BM$19:$BR85,$D77+1))</f>
        <v/>
      </c>
      <c r="AO77" s="14" t="str">
        <f>IF(ISERROR(HLOOKUP(R77,$BM$19:$BR85,$D77+1)),"",HLOOKUP(R77,$BM$19:$BR85,$D77+1))</f>
        <v/>
      </c>
      <c r="AP77" s="14" t="str">
        <f>IF(ISERROR(HLOOKUP(S77,$BM$19:$BR85,$D77+1)),"",HLOOKUP(S77,$BM$19:$BR85,$D77+1))</f>
        <v/>
      </c>
      <c r="AQ77" s="14" t="str">
        <f>IF(ISERROR(HLOOKUP(T77,$BM$19:$BR85,$D77+1)),"",HLOOKUP(T77,$BM$19:$BR85,$D77+1))</f>
        <v/>
      </c>
      <c r="AR77" s="14" t="str">
        <f>IF(ISERROR(HLOOKUP(U77,$BM$19:$BR85,$D77+1)),"",HLOOKUP(U77,$BM$19:$BR85,$D77+1))</f>
        <v/>
      </c>
      <c r="AS77" s="14" t="str">
        <f>IF(ISERROR(HLOOKUP(V77,$BM$19:$BR85,$D77+1)),"",HLOOKUP(V77,$BM$19:$BR85,$D77+1))</f>
        <v/>
      </c>
      <c r="AT77" s="14" t="str">
        <f>IF(ISERROR(HLOOKUP(W77,$BM$19:$BR85,$D77+1)),"",HLOOKUP(W77,$BM$19:$BR85,$D77+1))</f>
        <v/>
      </c>
      <c r="AU77" s="14" t="str">
        <f>IF(ISERROR(HLOOKUP(X77,$BM$19:$BR85,$D77+1)),"",HLOOKUP(X77,$BM$19:$BR85,$D77+1))</f>
        <v/>
      </c>
      <c r="AV77" s="110" t="s">
        <v>207</v>
      </c>
      <c r="AW77" s="110" t="s">
        <v>207</v>
      </c>
    </row>
    <row r="78" spans="1:53" ht="27" customHeight="1">
      <c r="A78" s="24">
        <v>63</v>
      </c>
      <c r="B78" s="152"/>
      <c r="C78" s="149"/>
      <c r="D78" s="147"/>
      <c r="E78" s="148"/>
      <c r="F78" s="148"/>
      <c r="G78" s="148"/>
      <c r="H78" s="148"/>
      <c r="I78" s="148"/>
      <c r="J78" s="148"/>
      <c r="K78" s="148"/>
      <c r="L78" s="148"/>
      <c r="M78" s="148"/>
      <c r="N78" s="148"/>
      <c r="O78" s="148"/>
      <c r="P78" s="148"/>
      <c r="Q78" s="148"/>
      <c r="R78" s="148"/>
      <c r="S78" s="148"/>
      <c r="T78" s="148"/>
      <c r="U78" s="148"/>
      <c r="V78" s="148"/>
      <c r="W78" s="148"/>
      <c r="X78" s="148"/>
      <c r="Y78" s="159">
        <f t="shared" si="2"/>
        <v>0</v>
      </c>
      <c r="Z78" s="111"/>
      <c r="AA78" s="111"/>
      <c r="AB78" s="14" t="str">
        <f>IF(ISERROR(HLOOKUP(E78,$BM$19:$BR86,$D78+1)),"",HLOOKUP(E78,$BM$19:$BR86,$D78+1))</f>
        <v/>
      </c>
      <c r="AC78" s="14" t="str">
        <f>IF(ISERROR(HLOOKUP(F78,$BM$19:$BR86,$D78+1)),"",HLOOKUP(F78,$BM$19:$BR86,$D78+1))</f>
        <v/>
      </c>
      <c r="AD78" s="14" t="str">
        <f>IF(ISERROR(HLOOKUP(G78,$BM$19:$BR86,$D78+1)),"",HLOOKUP(G78,$BM$19:$BR86,$D78+1))</f>
        <v/>
      </c>
      <c r="AE78" s="14" t="str">
        <f>IF(ISERROR(HLOOKUP(H78,$BM$19:$BR86,$D78+1)),"",HLOOKUP(H78,$BM$19:$BR86,$D78+1))</f>
        <v/>
      </c>
      <c r="AF78" s="14" t="str">
        <f>IF(ISERROR(HLOOKUP(I78,$BM$19:$BR86,$D78+1)),"",HLOOKUP(I78,$BM$19:$BR86,$D78+1))</f>
        <v/>
      </c>
      <c r="AG78" s="14" t="str">
        <f>IF(ISERROR(HLOOKUP(J78,$BM$19:$BR86,$D78+1)),"",HLOOKUP(J78,$BM$19:$BR86,$D78+1))</f>
        <v/>
      </c>
      <c r="AH78" s="14" t="str">
        <f>IF(ISERROR(HLOOKUP(K78,$BM$19:$BR86,$D78+1)),"",HLOOKUP(K78,$BM$19:$BR86,$D78+1))</f>
        <v/>
      </c>
      <c r="AI78" s="14" t="str">
        <f>IF(ISERROR(HLOOKUP(L78,$BM$19:$BR86,$D78+1)),"",HLOOKUP(L78,$BM$19:$BR86,$D78+1))</f>
        <v/>
      </c>
      <c r="AJ78" s="14" t="str">
        <f>IF(ISERROR(HLOOKUP(M78,$BM$19:$BR86,$D78+1)),"",HLOOKUP(M78,$BM$19:$BR86,$D78+1))</f>
        <v/>
      </c>
      <c r="AK78" s="14" t="str">
        <f>IF(ISERROR(HLOOKUP(N78,$BM$19:$BR86,$D78+1)),"",HLOOKUP(N78,$BM$19:$BR86,$D78+1))</f>
        <v/>
      </c>
      <c r="AL78" s="14" t="str">
        <f>IF(ISERROR(HLOOKUP(O78,$BM$19:$BR86,$D78+1)),"",HLOOKUP(O78,$BM$19:$BR86,$D78+1))</f>
        <v/>
      </c>
      <c r="AM78" s="14" t="str">
        <f>IF(ISERROR(HLOOKUP(P78,$BM$19:$BR86,$D78+1)),"",HLOOKUP(P78,$BM$19:$BR86,$D78+1))</f>
        <v/>
      </c>
      <c r="AN78" s="14" t="str">
        <f>IF(ISERROR(HLOOKUP(Q78,$BM$19:$BR86,$D78+1)),"",HLOOKUP(Q78,$BM$19:$BR86,$D78+1))</f>
        <v/>
      </c>
      <c r="AO78" s="14" t="str">
        <f>IF(ISERROR(HLOOKUP(R78,$BM$19:$BR86,$D78+1)),"",HLOOKUP(R78,$BM$19:$BR86,$D78+1))</f>
        <v/>
      </c>
      <c r="AP78" s="14" t="str">
        <f>IF(ISERROR(HLOOKUP(S78,$BM$19:$BR86,$D78+1)),"",HLOOKUP(S78,$BM$19:$BR86,$D78+1))</f>
        <v/>
      </c>
      <c r="AQ78" s="14" t="str">
        <f>IF(ISERROR(HLOOKUP(T78,$BM$19:$BR86,$D78+1)),"",HLOOKUP(T78,$BM$19:$BR86,$D78+1))</f>
        <v/>
      </c>
      <c r="AR78" s="14" t="str">
        <f>IF(ISERROR(HLOOKUP(U78,$BM$19:$BR86,$D78+1)),"",HLOOKUP(U78,$BM$19:$BR86,$D78+1))</f>
        <v/>
      </c>
      <c r="AS78" s="14" t="str">
        <f>IF(ISERROR(HLOOKUP(V78,$BM$19:$BR86,$D78+1)),"",HLOOKUP(V78,$BM$19:$BR86,$D78+1))</f>
        <v/>
      </c>
      <c r="AT78" s="14" t="str">
        <f>IF(ISERROR(HLOOKUP(W78,$BM$19:$BR86,$D78+1)),"",HLOOKUP(W78,$BM$19:$BR86,$D78+1))</f>
        <v/>
      </c>
      <c r="AU78" s="14" t="str">
        <f>IF(ISERROR(HLOOKUP(X78,$BM$19:$BR86,$D78+1)),"",HLOOKUP(X78,$BM$19:$BR86,$D78+1))</f>
        <v/>
      </c>
      <c r="AV78" s="110" t="s">
        <v>207</v>
      </c>
      <c r="AW78" s="110" t="s">
        <v>207</v>
      </c>
    </row>
    <row r="79" spans="1:53" ht="27" customHeight="1">
      <c r="A79" s="24">
        <v>64</v>
      </c>
      <c r="B79" s="152"/>
      <c r="C79" s="149"/>
      <c r="D79" s="147"/>
      <c r="E79" s="148"/>
      <c r="F79" s="148"/>
      <c r="G79" s="148"/>
      <c r="H79" s="148"/>
      <c r="I79" s="148"/>
      <c r="J79" s="148"/>
      <c r="K79" s="148"/>
      <c r="L79" s="148"/>
      <c r="M79" s="148"/>
      <c r="N79" s="148"/>
      <c r="O79" s="148"/>
      <c r="P79" s="148"/>
      <c r="Q79" s="148"/>
      <c r="R79" s="148"/>
      <c r="S79" s="148"/>
      <c r="T79" s="148"/>
      <c r="U79" s="148"/>
      <c r="V79" s="148"/>
      <c r="W79" s="148"/>
      <c r="X79" s="148"/>
      <c r="Y79" s="159">
        <f t="shared" si="2"/>
        <v>0</v>
      </c>
      <c r="Z79" s="111"/>
      <c r="AA79" s="111"/>
      <c r="AB79" s="14" t="str">
        <f>IF(ISERROR(HLOOKUP(E79,$BM$19:$BR87,$D79+1)),"",HLOOKUP(E79,$BM$19:$BR87,$D79+1))</f>
        <v/>
      </c>
      <c r="AC79" s="14" t="str">
        <f>IF(ISERROR(HLOOKUP(F79,$BM$19:$BR87,$D79+1)),"",HLOOKUP(F79,$BM$19:$BR87,$D79+1))</f>
        <v/>
      </c>
      <c r="AD79" s="14" t="str">
        <f>IF(ISERROR(HLOOKUP(G79,$BM$19:$BR87,$D79+1)),"",HLOOKUP(G79,$BM$19:$BR87,$D79+1))</f>
        <v/>
      </c>
      <c r="AE79" s="14" t="str">
        <f>IF(ISERROR(HLOOKUP(H79,$BM$19:$BR87,$D79+1)),"",HLOOKUP(H79,$BM$19:$BR87,$D79+1))</f>
        <v/>
      </c>
      <c r="AF79" s="14" t="str">
        <f>IF(ISERROR(HLOOKUP(I79,$BM$19:$BR87,$D79+1)),"",HLOOKUP(I79,$BM$19:$BR87,$D79+1))</f>
        <v/>
      </c>
      <c r="AG79" s="14" t="str">
        <f>IF(ISERROR(HLOOKUP(J79,$BM$19:$BR87,$D79+1)),"",HLOOKUP(J79,$BM$19:$BR87,$D79+1))</f>
        <v/>
      </c>
      <c r="AH79" s="14" t="str">
        <f>IF(ISERROR(HLOOKUP(K79,$BM$19:$BR87,$D79+1)),"",HLOOKUP(K79,$BM$19:$BR87,$D79+1))</f>
        <v/>
      </c>
      <c r="AI79" s="14" t="str">
        <f>IF(ISERROR(HLOOKUP(L79,$BM$19:$BR87,$D79+1)),"",HLOOKUP(L79,$BM$19:$BR87,$D79+1))</f>
        <v/>
      </c>
      <c r="AJ79" s="14" t="str">
        <f>IF(ISERROR(HLOOKUP(M79,$BM$19:$BR87,$D79+1)),"",HLOOKUP(M79,$BM$19:$BR87,$D79+1))</f>
        <v/>
      </c>
      <c r="AK79" s="14" t="str">
        <f>IF(ISERROR(HLOOKUP(N79,$BM$19:$BR87,$D79+1)),"",HLOOKUP(N79,$BM$19:$BR87,$D79+1))</f>
        <v/>
      </c>
      <c r="AL79" s="14" t="str">
        <f>IF(ISERROR(HLOOKUP(O79,$BM$19:$BR87,$D79+1)),"",HLOOKUP(O79,$BM$19:$BR87,$D79+1))</f>
        <v/>
      </c>
      <c r="AM79" s="14" t="str">
        <f>IF(ISERROR(HLOOKUP(P79,$BM$19:$BR87,$D79+1)),"",HLOOKUP(P79,$BM$19:$BR87,$D79+1))</f>
        <v/>
      </c>
      <c r="AN79" s="14" t="str">
        <f>IF(ISERROR(HLOOKUP(Q79,$BM$19:$BR87,$D79+1)),"",HLOOKUP(Q79,$BM$19:$BR87,$D79+1))</f>
        <v/>
      </c>
      <c r="AO79" s="14" t="str">
        <f>IF(ISERROR(HLOOKUP(R79,$BM$19:$BR87,$D79+1)),"",HLOOKUP(R79,$BM$19:$BR87,$D79+1))</f>
        <v/>
      </c>
      <c r="AP79" s="14" t="str">
        <f>IF(ISERROR(HLOOKUP(S79,$BM$19:$BR87,$D79+1)),"",HLOOKUP(S79,$BM$19:$BR87,$D79+1))</f>
        <v/>
      </c>
      <c r="AQ79" s="14" t="str">
        <f>IF(ISERROR(HLOOKUP(T79,$BM$19:$BR87,$D79+1)),"",HLOOKUP(T79,$BM$19:$BR87,$D79+1))</f>
        <v/>
      </c>
      <c r="AR79" s="14" t="str">
        <f>IF(ISERROR(HLOOKUP(U79,$BM$19:$BR87,$D79+1)),"",HLOOKUP(U79,$BM$19:$BR87,$D79+1))</f>
        <v/>
      </c>
      <c r="AS79" s="14" t="str">
        <f>IF(ISERROR(HLOOKUP(V79,$BM$19:$BR87,$D79+1)),"",HLOOKUP(V79,$BM$19:$BR87,$D79+1))</f>
        <v/>
      </c>
      <c r="AT79" s="14" t="str">
        <f>IF(ISERROR(HLOOKUP(W79,$BM$19:$BR87,$D79+1)),"",HLOOKUP(W79,$BM$19:$BR87,$D79+1))</f>
        <v/>
      </c>
      <c r="AU79" s="14" t="str">
        <f>IF(ISERROR(HLOOKUP(X79,$BM$19:$BR87,$D79+1)),"",HLOOKUP(X79,$BM$19:$BR87,$D79+1))</f>
        <v/>
      </c>
      <c r="AV79" s="110" t="s">
        <v>207</v>
      </c>
      <c r="AW79" s="110" t="s">
        <v>207</v>
      </c>
    </row>
    <row r="80" spans="1:53" ht="27" customHeight="1">
      <c r="A80" s="24">
        <v>65</v>
      </c>
      <c r="B80" s="152"/>
      <c r="C80" s="149"/>
      <c r="D80" s="147"/>
      <c r="E80" s="148"/>
      <c r="F80" s="148"/>
      <c r="G80" s="148"/>
      <c r="H80" s="148"/>
      <c r="I80" s="148"/>
      <c r="J80" s="148"/>
      <c r="K80" s="148"/>
      <c r="L80" s="148"/>
      <c r="M80" s="148"/>
      <c r="N80" s="148"/>
      <c r="O80" s="148"/>
      <c r="P80" s="148"/>
      <c r="Q80" s="148"/>
      <c r="R80" s="148"/>
      <c r="S80" s="148"/>
      <c r="T80" s="148"/>
      <c r="U80" s="148"/>
      <c r="V80" s="148"/>
      <c r="W80" s="148"/>
      <c r="X80" s="148"/>
      <c r="Y80" s="159">
        <f t="shared" si="2"/>
        <v>0</v>
      </c>
      <c r="Z80" s="111"/>
      <c r="AA80" s="111"/>
      <c r="AB80" s="14" t="str">
        <f>IF(ISERROR(HLOOKUP(E80,$BM$19:$BR88,$D80+1)),"",HLOOKUP(E80,$BM$19:$BR88,$D80+1))</f>
        <v/>
      </c>
      <c r="AC80" s="14" t="str">
        <f>IF(ISERROR(HLOOKUP(F80,$BM$19:$BR88,$D80+1)),"",HLOOKUP(F80,$BM$19:$BR88,$D80+1))</f>
        <v/>
      </c>
      <c r="AD80" s="14" t="str">
        <f>IF(ISERROR(HLOOKUP(G80,$BM$19:$BR88,$D80+1)),"",HLOOKUP(G80,$BM$19:$BR88,$D80+1))</f>
        <v/>
      </c>
      <c r="AE80" s="14" t="str">
        <f>IF(ISERROR(HLOOKUP(H80,$BM$19:$BR88,$D80+1)),"",HLOOKUP(H80,$BM$19:$BR88,$D80+1))</f>
        <v/>
      </c>
      <c r="AF80" s="14" t="str">
        <f>IF(ISERROR(HLOOKUP(I80,$BM$19:$BR88,$D80+1)),"",HLOOKUP(I80,$BM$19:$BR88,$D80+1))</f>
        <v/>
      </c>
      <c r="AG80" s="14" t="str">
        <f>IF(ISERROR(HLOOKUP(J80,$BM$19:$BR88,$D80+1)),"",HLOOKUP(J80,$BM$19:$BR88,$D80+1))</f>
        <v/>
      </c>
      <c r="AH80" s="14" t="str">
        <f>IF(ISERROR(HLOOKUP(K80,$BM$19:$BR88,$D80+1)),"",HLOOKUP(K80,$BM$19:$BR88,$D80+1))</f>
        <v/>
      </c>
      <c r="AI80" s="14" t="str">
        <f>IF(ISERROR(HLOOKUP(L80,$BM$19:$BR88,$D80+1)),"",HLOOKUP(L80,$BM$19:$BR88,$D80+1))</f>
        <v/>
      </c>
      <c r="AJ80" s="14" t="str">
        <f>IF(ISERROR(HLOOKUP(M80,$BM$19:$BR88,$D80+1)),"",HLOOKUP(M80,$BM$19:$BR88,$D80+1))</f>
        <v/>
      </c>
      <c r="AK80" s="14" t="str">
        <f>IF(ISERROR(HLOOKUP(N80,$BM$19:$BR88,$D80+1)),"",HLOOKUP(N80,$BM$19:$BR88,$D80+1))</f>
        <v/>
      </c>
      <c r="AL80" s="14" t="str">
        <f>IF(ISERROR(HLOOKUP(O80,$BM$19:$BR88,$D80+1)),"",HLOOKUP(O80,$BM$19:$BR88,$D80+1))</f>
        <v/>
      </c>
      <c r="AM80" s="14" t="str">
        <f>IF(ISERROR(HLOOKUP(P80,$BM$19:$BR88,$D80+1)),"",HLOOKUP(P80,$BM$19:$BR88,$D80+1))</f>
        <v/>
      </c>
      <c r="AN80" s="14" t="str">
        <f>IF(ISERROR(HLOOKUP(Q80,$BM$19:$BR88,$D80+1)),"",HLOOKUP(Q80,$BM$19:$BR88,$D80+1))</f>
        <v/>
      </c>
      <c r="AO80" s="14" t="str">
        <f>IF(ISERROR(HLOOKUP(R80,$BM$19:$BR88,$D80+1)),"",HLOOKUP(R80,$BM$19:$BR88,$D80+1))</f>
        <v/>
      </c>
      <c r="AP80" s="14" t="str">
        <f>IF(ISERROR(HLOOKUP(S80,$BM$19:$BR88,$D80+1)),"",HLOOKUP(S80,$BM$19:$BR88,$D80+1))</f>
        <v/>
      </c>
      <c r="AQ80" s="14" t="str">
        <f>IF(ISERROR(HLOOKUP(T80,$BM$19:$BR88,$D80+1)),"",HLOOKUP(T80,$BM$19:$BR88,$D80+1))</f>
        <v/>
      </c>
      <c r="AR80" s="14" t="str">
        <f>IF(ISERROR(HLOOKUP(U80,$BM$19:$BR88,$D80+1)),"",HLOOKUP(U80,$BM$19:$BR88,$D80+1))</f>
        <v/>
      </c>
      <c r="AS80" s="14" t="str">
        <f>IF(ISERROR(HLOOKUP(V80,$BM$19:$BR88,$D80+1)),"",HLOOKUP(V80,$BM$19:$BR88,$D80+1))</f>
        <v/>
      </c>
      <c r="AT80" s="14" t="str">
        <f>IF(ISERROR(HLOOKUP(W80,$BM$19:$BR88,$D80+1)),"",HLOOKUP(W80,$BM$19:$BR88,$D80+1))</f>
        <v/>
      </c>
      <c r="AU80" s="14" t="str">
        <f>IF(ISERROR(HLOOKUP(X80,$BM$19:$BR88,$D80+1)),"",HLOOKUP(X80,$BM$19:$BR88,$D80+1))</f>
        <v/>
      </c>
      <c r="AV80" s="110" t="s">
        <v>207</v>
      </c>
      <c r="AW80" s="110" t="s">
        <v>207</v>
      </c>
    </row>
    <row r="81" spans="1:49" ht="27" customHeight="1">
      <c r="A81" s="24">
        <v>66</v>
      </c>
      <c r="B81" s="152"/>
      <c r="C81" s="149"/>
      <c r="D81" s="147"/>
      <c r="E81" s="148"/>
      <c r="F81" s="148"/>
      <c r="G81" s="148"/>
      <c r="H81" s="148"/>
      <c r="I81" s="148"/>
      <c r="J81" s="148"/>
      <c r="K81" s="148"/>
      <c r="L81" s="148"/>
      <c r="M81" s="148"/>
      <c r="N81" s="148"/>
      <c r="O81" s="148"/>
      <c r="P81" s="148"/>
      <c r="Q81" s="148"/>
      <c r="R81" s="148"/>
      <c r="S81" s="148"/>
      <c r="T81" s="148"/>
      <c r="U81" s="148"/>
      <c r="V81" s="148"/>
      <c r="W81" s="148"/>
      <c r="X81" s="148"/>
      <c r="Y81" s="159">
        <f t="shared" ref="Y81:Y115" si="3">SUM(AB81:AW81)</f>
        <v>0</v>
      </c>
      <c r="Z81" s="111"/>
      <c r="AA81" s="111"/>
      <c r="AB81" s="14" t="str">
        <f>IF(ISERROR(HLOOKUP(E81,$BM$19:$BR89,$D81+1)),"",HLOOKUP(E81,$BM$19:$BR89,$D81+1))</f>
        <v/>
      </c>
      <c r="AC81" s="14" t="str">
        <f>IF(ISERROR(HLOOKUP(F81,$BM$19:$BR89,$D81+1)),"",HLOOKUP(F81,$BM$19:$BR89,$D81+1))</f>
        <v/>
      </c>
      <c r="AD81" s="14" t="str">
        <f>IF(ISERROR(HLOOKUP(G81,$BM$19:$BR89,$D81+1)),"",HLOOKUP(G81,$BM$19:$BR89,$D81+1))</f>
        <v/>
      </c>
      <c r="AE81" s="14" t="str">
        <f>IF(ISERROR(HLOOKUP(H81,$BM$19:$BR89,$D81+1)),"",HLOOKUP(H81,$BM$19:$BR89,$D81+1))</f>
        <v/>
      </c>
      <c r="AF81" s="14" t="str">
        <f>IF(ISERROR(HLOOKUP(I81,$BM$19:$BR89,$D81+1)),"",HLOOKUP(I81,$BM$19:$BR89,$D81+1))</f>
        <v/>
      </c>
      <c r="AG81" s="14" t="str">
        <f>IF(ISERROR(HLOOKUP(J81,$BM$19:$BR89,$D81+1)),"",HLOOKUP(J81,$BM$19:$BR89,$D81+1))</f>
        <v/>
      </c>
      <c r="AH81" s="14" t="str">
        <f>IF(ISERROR(HLOOKUP(K81,$BM$19:$BR89,$D81+1)),"",HLOOKUP(K81,$BM$19:$BR89,$D81+1))</f>
        <v/>
      </c>
      <c r="AI81" s="14" t="str">
        <f>IF(ISERROR(HLOOKUP(L81,$BM$19:$BR89,$D81+1)),"",HLOOKUP(L81,$BM$19:$BR89,$D81+1))</f>
        <v/>
      </c>
      <c r="AJ81" s="14" t="str">
        <f>IF(ISERROR(HLOOKUP(M81,$BM$19:$BR89,$D81+1)),"",HLOOKUP(M81,$BM$19:$BR89,$D81+1))</f>
        <v/>
      </c>
      <c r="AK81" s="14" t="str">
        <f>IF(ISERROR(HLOOKUP(N81,$BM$19:$BR89,$D81+1)),"",HLOOKUP(N81,$BM$19:$BR89,$D81+1))</f>
        <v/>
      </c>
      <c r="AL81" s="14" t="str">
        <f>IF(ISERROR(HLOOKUP(O81,$BM$19:$BR89,$D81+1)),"",HLOOKUP(O81,$BM$19:$BR89,$D81+1))</f>
        <v/>
      </c>
      <c r="AM81" s="14" t="str">
        <f>IF(ISERROR(HLOOKUP(P81,$BM$19:$BR89,$D81+1)),"",HLOOKUP(P81,$BM$19:$BR89,$D81+1))</f>
        <v/>
      </c>
      <c r="AN81" s="14" t="str">
        <f>IF(ISERROR(HLOOKUP(Q81,$BM$19:$BR89,$D81+1)),"",HLOOKUP(Q81,$BM$19:$BR89,$D81+1))</f>
        <v/>
      </c>
      <c r="AO81" s="14" t="str">
        <f>IF(ISERROR(HLOOKUP(R81,$BM$19:$BR89,$D81+1)),"",HLOOKUP(R81,$BM$19:$BR89,$D81+1))</f>
        <v/>
      </c>
      <c r="AP81" s="14" t="str">
        <f>IF(ISERROR(HLOOKUP(S81,$BM$19:$BR89,$D81+1)),"",HLOOKUP(S81,$BM$19:$BR89,$D81+1))</f>
        <v/>
      </c>
      <c r="AQ81" s="14" t="str">
        <f>IF(ISERROR(HLOOKUP(T81,$BM$19:$BR89,$D81+1)),"",HLOOKUP(T81,$BM$19:$BR89,$D81+1))</f>
        <v/>
      </c>
      <c r="AR81" s="14" t="str">
        <f>IF(ISERROR(HLOOKUP(U81,$BM$19:$BR89,$D81+1)),"",HLOOKUP(U81,$BM$19:$BR89,$D81+1))</f>
        <v/>
      </c>
      <c r="AS81" s="14" t="str">
        <f>IF(ISERROR(HLOOKUP(V81,$BM$19:$BR89,$D81+1)),"",HLOOKUP(V81,$BM$19:$BR89,$D81+1))</f>
        <v/>
      </c>
      <c r="AT81" s="14" t="str">
        <f>IF(ISERROR(HLOOKUP(W81,$BM$19:$BR89,$D81+1)),"",HLOOKUP(W81,$BM$19:$BR89,$D81+1))</f>
        <v/>
      </c>
      <c r="AU81" s="14" t="str">
        <f>IF(ISERROR(HLOOKUP(X81,$BM$19:$BR89,$D81+1)),"",HLOOKUP(X81,$BM$19:$BR89,$D81+1))</f>
        <v/>
      </c>
      <c r="AV81" s="110" t="s">
        <v>207</v>
      </c>
      <c r="AW81" s="110" t="s">
        <v>207</v>
      </c>
    </row>
    <row r="82" spans="1:49" ht="27" customHeight="1">
      <c r="A82" s="24">
        <v>67</v>
      </c>
      <c r="B82" s="152"/>
      <c r="C82" s="149"/>
      <c r="D82" s="147"/>
      <c r="E82" s="148"/>
      <c r="F82" s="148"/>
      <c r="G82" s="148"/>
      <c r="H82" s="148"/>
      <c r="I82" s="148"/>
      <c r="J82" s="148"/>
      <c r="K82" s="148"/>
      <c r="L82" s="148"/>
      <c r="M82" s="148"/>
      <c r="N82" s="148"/>
      <c r="O82" s="148"/>
      <c r="P82" s="148"/>
      <c r="Q82" s="148"/>
      <c r="R82" s="148"/>
      <c r="S82" s="148"/>
      <c r="T82" s="148"/>
      <c r="U82" s="148"/>
      <c r="V82" s="148"/>
      <c r="W82" s="148"/>
      <c r="X82" s="148"/>
      <c r="Y82" s="159">
        <f t="shared" si="3"/>
        <v>0</v>
      </c>
      <c r="Z82" s="111"/>
      <c r="AA82" s="111"/>
      <c r="AB82" s="14" t="str">
        <f>IF(ISERROR(HLOOKUP(E82,$BM$19:$BR90,$D82+1)),"",HLOOKUP(E82,$BM$19:$BR90,$D82+1))</f>
        <v/>
      </c>
      <c r="AC82" s="14" t="str">
        <f>IF(ISERROR(HLOOKUP(F82,$BM$19:$BR90,$D82+1)),"",HLOOKUP(F82,$BM$19:$BR90,$D82+1))</f>
        <v/>
      </c>
      <c r="AD82" s="14" t="str">
        <f>IF(ISERROR(HLOOKUP(G82,$BM$19:$BR90,$D82+1)),"",HLOOKUP(G82,$BM$19:$BR90,$D82+1))</f>
        <v/>
      </c>
      <c r="AE82" s="14" t="str">
        <f>IF(ISERROR(HLOOKUP(H82,$BM$19:$BR90,$D82+1)),"",HLOOKUP(H82,$BM$19:$BR90,$D82+1))</f>
        <v/>
      </c>
      <c r="AF82" s="14" t="str">
        <f>IF(ISERROR(HLOOKUP(I82,$BM$19:$BR90,$D82+1)),"",HLOOKUP(I82,$BM$19:$BR90,$D82+1))</f>
        <v/>
      </c>
      <c r="AG82" s="14" t="str">
        <f>IF(ISERROR(HLOOKUP(J82,$BM$19:$BR90,$D82+1)),"",HLOOKUP(J82,$BM$19:$BR90,$D82+1))</f>
        <v/>
      </c>
      <c r="AH82" s="14" t="str">
        <f>IF(ISERROR(HLOOKUP(K82,$BM$19:$BR90,$D82+1)),"",HLOOKUP(K82,$BM$19:$BR90,$D82+1))</f>
        <v/>
      </c>
      <c r="AI82" s="14" t="str">
        <f>IF(ISERROR(HLOOKUP(L82,$BM$19:$BR90,$D82+1)),"",HLOOKUP(L82,$BM$19:$BR90,$D82+1))</f>
        <v/>
      </c>
      <c r="AJ82" s="14" t="str">
        <f>IF(ISERROR(HLOOKUP(M82,$BM$19:$BR90,$D82+1)),"",HLOOKUP(M82,$BM$19:$BR90,$D82+1))</f>
        <v/>
      </c>
      <c r="AK82" s="14" t="str">
        <f>IF(ISERROR(HLOOKUP(N82,$BM$19:$BR90,$D82+1)),"",HLOOKUP(N82,$BM$19:$BR90,$D82+1))</f>
        <v/>
      </c>
      <c r="AL82" s="14" t="str">
        <f>IF(ISERROR(HLOOKUP(O82,$BM$19:$BR90,$D82+1)),"",HLOOKUP(O82,$BM$19:$BR90,$D82+1))</f>
        <v/>
      </c>
      <c r="AM82" s="14" t="str">
        <f>IF(ISERROR(HLOOKUP(P82,$BM$19:$BR90,$D82+1)),"",HLOOKUP(P82,$BM$19:$BR90,$D82+1))</f>
        <v/>
      </c>
      <c r="AN82" s="14" t="str">
        <f>IF(ISERROR(HLOOKUP(Q82,$BM$19:$BR90,$D82+1)),"",HLOOKUP(Q82,$BM$19:$BR90,$D82+1))</f>
        <v/>
      </c>
      <c r="AO82" s="14" t="str">
        <f>IF(ISERROR(HLOOKUP(R82,$BM$19:$BR90,$D82+1)),"",HLOOKUP(R82,$BM$19:$BR90,$D82+1))</f>
        <v/>
      </c>
      <c r="AP82" s="14" t="str">
        <f>IF(ISERROR(HLOOKUP(S82,$BM$19:$BR90,$D82+1)),"",HLOOKUP(S82,$BM$19:$BR90,$D82+1))</f>
        <v/>
      </c>
      <c r="AQ82" s="14" t="str">
        <f>IF(ISERROR(HLOOKUP(T82,$BM$19:$BR90,$D82+1)),"",HLOOKUP(T82,$BM$19:$BR90,$D82+1))</f>
        <v/>
      </c>
      <c r="AR82" s="14" t="str">
        <f>IF(ISERROR(HLOOKUP(U82,$BM$19:$BR90,$D82+1)),"",HLOOKUP(U82,$BM$19:$BR90,$D82+1))</f>
        <v/>
      </c>
      <c r="AS82" s="14" t="str">
        <f>IF(ISERROR(HLOOKUP(V82,$BM$19:$BR90,$D82+1)),"",HLOOKUP(V82,$BM$19:$BR90,$D82+1))</f>
        <v/>
      </c>
      <c r="AT82" s="14" t="str">
        <f>IF(ISERROR(HLOOKUP(W82,$BM$19:$BR90,$D82+1)),"",HLOOKUP(W82,$BM$19:$BR90,$D82+1))</f>
        <v/>
      </c>
      <c r="AU82" s="14" t="str">
        <f>IF(ISERROR(HLOOKUP(X82,$BM$19:$BR90,$D82+1)),"",HLOOKUP(X82,$BM$19:$BR90,$D82+1))</f>
        <v/>
      </c>
      <c r="AV82" s="110" t="s">
        <v>207</v>
      </c>
      <c r="AW82" s="110" t="s">
        <v>207</v>
      </c>
    </row>
    <row r="83" spans="1:49" ht="27" customHeight="1">
      <c r="A83" s="24">
        <v>68</v>
      </c>
      <c r="B83" s="152"/>
      <c r="C83" s="149"/>
      <c r="D83" s="147"/>
      <c r="E83" s="148"/>
      <c r="F83" s="148"/>
      <c r="G83" s="148"/>
      <c r="H83" s="148"/>
      <c r="I83" s="148"/>
      <c r="J83" s="148"/>
      <c r="K83" s="148"/>
      <c r="L83" s="148"/>
      <c r="M83" s="148"/>
      <c r="N83" s="148"/>
      <c r="O83" s="148"/>
      <c r="P83" s="148"/>
      <c r="Q83" s="148"/>
      <c r="R83" s="148"/>
      <c r="S83" s="148"/>
      <c r="T83" s="148"/>
      <c r="U83" s="148"/>
      <c r="V83" s="148"/>
      <c r="W83" s="148"/>
      <c r="X83" s="148"/>
      <c r="Y83" s="159">
        <f t="shared" si="3"/>
        <v>0</v>
      </c>
      <c r="Z83" s="111"/>
      <c r="AA83" s="111"/>
      <c r="AB83" s="14" t="str">
        <f>IF(ISERROR(HLOOKUP(E83,$BM$19:$BR91,$D83+1)),"",HLOOKUP(E83,$BM$19:$BR91,$D83+1))</f>
        <v/>
      </c>
      <c r="AC83" s="14" t="str">
        <f>IF(ISERROR(HLOOKUP(F83,$BM$19:$BR91,$D83+1)),"",HLOOKUP(F83,$BM$19:$BR91,$D83+1))</f>
        <v/>
      </c>
      <c r="AD83" s="14" t="str">
        <f>IF(ISERROR(HLOOKUP(G83,$BM$19:$BR91,$D83+1)),"",HLOOKUP(G83,$BM$19:$BR91,$D83+1))</f>
        <v/>
      </c>
      <c r="AE83" s="14" t="str">
        <f>IF(ISERROR(HLOOKUP(H83,$BM$19:$BR91,$D83+1)),"",HLOOKUP(H83,$BM$19:$BR91,$D83+1))</f>
        <v/>
      </c>
      <c r="AF83" s="14" t="str">
        <f>IF(ISERROR(HLOOKUP(I83,$BM$19:$BR91,$D83+1)),"",HLOOKUP(I83,$BM$19:$BR91,$D83+1))</f>
        <v/>
      </c>
      <c r="AG83" s="14" t="str">
        <f>IF(ISERROR(HLOOKUP(J83,$BM$19:$BR91,$D83+1)),"",HLOOKUP(J83,$BM$19:$BR91,$D83+1))</f>
        <v/>
      </c>
      <c r="AH83" s="14" t="str">
        <f>IF(ISERROR(HLOOKUP(K83,$BM$19:$BR91,$D83+1)),"",HLOOKUP(K83,$BM$19:$BR91,$D83+1))</f>
        <v/>
      </c>
      <c r="AI83" s="14" t="str">
        <f>IF(ISERROR(HLOOKUP(L83,$BM$19:$BR91,$D83+1)),"",HLOOKUP(L83,$BM$19:$BR91,$D83+1))</f>
        <v/>
      </c>
      <c r="AJ83" s="14" t="str">
        <f>IF(ISERROR(HLOOKUP(M83,$BM$19:$BR91,$D83+1)),"",HLOOKUP(M83,$BM$19:$BR91,$D83+1))</f>
        <v/>
      </c>
      <c r="AK83" s="14" t="str">
        <f>IF(ISERROR(HLOOKUP(N83,$BM$19:$BR91,$D83+1)),"",HLOOKUP(N83,$BM$19:$BR91,$D83+1))</f>
        <v/>
      </c>
      <c r="AL83" s="14" t="str">
        <f>IF(ISERROR(HLOOKUP(O83,$BM$19:$BR91,$D83+1)),"",HLOOKUP(O83,$BM$19:$BR91,$D83+1))</f>
        <v/>
      </c>
      <c r="AM83" s="14" t="str">
        <f>IF(ISERROR(HLOOKUP(P83,$BM$19:$BR91,$D83+1)),"",HLOOKUP(P83,$BM$19:$BR91,$D83+1))</f>
        <v/>
      </c>
      <c r="AN83" s="14" t="str">
        <f>IF(ISERROR(HLOOKUP(Q83,$BM$19:$BR91,$D83+1)),"",HLOOKUP(Q83,$BM$19:$BR91,$D83+1))</f>
        <v/>
      </c>
      <c r="AO83" s="14" t="str">
        <f>IF(ISERROR(HLOOKUP(R83,$BM$19:$BR91,$D83+1)),"",HLOOKUP(R83,$BM$19:$BR91,$D83+1))</f>
        <v/>
      </c>
      <c r="AP83" s="14" t="str">
        <f>IF(ISERROR(HLOOKUP(S83,$BM$19:$BR91,$D83+1)),"",HLOOKUP(S83,$BM$19:$BR91,$D83+1))</f>
        <v/>
      </c>
      <c r="AQ83" s="14" t="str">
        <f>IF(ISERROR(HLOOKUP(T83,$BM$19:$BR91,$D83+1)),"",HLOOKUP(T83,$BM$19:$BR91,$D83+1))</f>
        <v/>
      </c>
      <c r="AR83" s="14" t="str">
        <f>IF(ISERROR(HLOOKUP(U83,$BM$19:$BR91,$D83+1)),"",HLOOKUP(U83,$BM$19:$BR91,$D83+1))</f>
        <v/>
      </c>
      <c r="AS83" s="14" t="str">
        <f>IF(ISERROR(HLOOKUP(V83,$BM$19:$BR91,$D83+1)),"",HLOOKUP(V83,$BM$19:$BR91,$D83+1))</f>
        <v/>
      </c>
      <c r="AT83" s="14" t="str">
        <f>IF(ISERROR(HLOOKUP(W83,$BM$19:$BR91,$D83+1)),"",HLOOKUP(W83,$BM$19:$BR91,$D83+1))</f>
        <v/>
      </c>
      <c r="AU83" s="14" t="str">
        <f>IF(ISERROR(HLOOKUP(X83,$BM$19:$BR91,$D83+1)),"",HLOOKUP(X83,$BM$19:$BR91,$D83+1))</f>
        <v/>
      </c>
      <c r="AV83" s="110" t="s">
        <v>207</v>
      </c>
      <c r="AW83" s="110" t="s">
        <v>207</v>
      </c>
    </row>
    <row r="84" spans="1:49" ht="27" customHeight="1">
      <c r="A84" s="24">
        <v>69</v>
      </c>
      <c r="B84" s="152"/>
      <c r="C84" s="149"/>
      <c r="D84" s="147"/>
      <c r="E84" s="148"/>
      <c r="F84" s="148"/>
      <c r="G84" s="148"/>
      <c r="H84" s="148"/>
      <c r="I84" s="148"/>
      <c r="J84" s="148"/>
      <c r="K84" s="148"/>
      <c r="L84" s="148"/>
      <c r="M84" s="148"/>
      <c r="N84" s="148"/>
      <c r="O84" s="148"/>
      <c r="P84" s="148"/>
      <c r="Q84" s="148"/>
      <c r="R84" s="148"/>
      <c r="S84" s="148"/>
      <c r="T84" s="148"/>
      <c r="U84" s="148"/>
      <c r="V84" s="148"/>
      <c r="W84" s="148"/>
      <c r="X84" s="148"/>
      <c r="Y84" s="159">
        <f t="shared" si="3"/>
        <v>0</v>
      </c>
      <c r="Z84" s="111"/>
      <c r="AA84" s="111"/>
      <c r="AB84" s="14" t="str">
        <f>IF(ISERROR(HLOOKUP(E84,$BM$19:$BR92,$D84+1)),"",HLOOKUP(E84,$BM$19:$BR92,$D84+1))</f>
        <v/>
      </c>
      <c r="AC84" s="14" t="str">
        <f>IF(ISERROR(HLOOKUP(F84,$BM$19:$BR92,$D84+1)),"",HLOOKUP(F84,$BM$19:$BR92,$D84+1))</f>
        <v/>
      </c>
      <c r="AD84" s="14" t="str">
        <f>IF(ISERROR(HLOOKUP(G84,$BM$19:$BR92,$D84+1)),"",HLOOKUP(G84,$BM$19:$BR92,$D84+1))</f>
        <v/>
      </c>
      <c r="AE84" s="14" t="str">
        <f>IF(ISERROR(HLOOKUP(H84,$BM$19:$BR92,$D84+1)),"",HLOOKUP(H84,$BM$19:$BR92,$D84+1))</f>
        <v/>
      </c>
      <c r="AF84" s="14" t="str">
        <f>IF(ISERROR(HLOOKUP(I84,$BM$19:$BR92,$D84+1)),"",HLOOKUP(I84,$BM$19:$BR92,$D84+1))</f>
        <v/>
      </c>
      <c r="AG84" s="14" t="str">
        <f>IF(ISERROR(HLOOKUP(J84,$BM$19:$BR92,$D84+1)),"",HLOOKUP(J84,$BM$19:$BR92,$D84+1))</f>
        <v/>
      </c>
      <c r="AH84" s="14" t="str">
        <f>IF(ISERROR(HLOOKUP(K84,$BM$19:$BR92,$D84+1)),"",HLOOKUP(K84,$BM$19:$BR92,$D84+1))</f>
        <v/>
      </c>
      <c r="AI84" s="14" t="str">
        <f>IF(ISERROR(HLOOKUP(L84,$BM$19:$BR92,$D84+1)),"",HLOOKUP(L84,$BM$19:$BR92,$D84+1))</f>
        <v/>
      </c>
      <c r="AJ84" s="14" t="str">
        <f>IF(ISERROR(HLOOKUP(M84,$BM$19:$BR92,$D84+1)),"",HLOOKUP(M84,$BM$19:$BR92,$D84+1))</f>
        <v/>
      </c>
      <c r="AK84" s="14" t="str">
        <f>IF(ISERROR(HLOOKUP(N84,$BM$19:$BR92,$D84+1)),"",HLOOKUP(N84,$BM$19:$BR92,$D84+1))</f>
        <v/>
      </c>
      <c r="AL84" s="14" t="str">
        <f>IF(ISERROR(HLOOKUP(O84,$BM$19:$BR92,$D84+1)),"",HLOOKUP(O84,$BM$19:$BR92,$D84+1))</f>
        <v/>
      </c>
      <c r="AM84" s="14" t="str">
        <f>IF(ISERROR(HLOOKUP(P84,$BM$19:$BR92,$D84+1)),"",HLOOKUP(P84,$BM$19:$BR92,$D84+1))</f>
        <v/>
      </c>
      <c r="AN84" s="14" t="str">
        <f>IF(ISERROR(HLOOKUP(Q84,$BM$19:$BR92,$D84+1)),"",HLOOKUP(Q84,$BM$19:$BR92,$D84+1))</f>
        <v/>
      </c>
      <c r="AO84" s="14" t="str">
        <f>IF(ISERROR(HLOOKUP(R84,$BM$19:$BR92,$D84+1)),"",HLOOKUP(R84,$BM$19:$BR92,$D84+1))</f>
        <v/>
      </c>
      <c r="AP84" s="14" t="str">
        <f>IF(ISERROR(HLOOKUP(S84,$BM$19:$BR92,$D84+1)),"",HLOOKUP(S84,$BM$19:$BR92,$D84+1))</f>
        <v/>
      </c>
      <c r="AQ84" s="14" t="str">
        <f>IF(ISERROR(HLOOKUP(T84,$BM$19:$BR92,$D84+1)),"",HLOOKUP(T84,$BM$19:$BR92,$D84+1))</f>
        <v/>
      </c>
      <c r="AR84" s="14" t="str">
        <f>IF(ISERROR(HLOOKUP(U84,$BM$19:$BR92,$D84+1)),"",HLOOKUP(U84,$BM$19:$BR92,$D84+1))</f>
        <v/>
      </c>
      <c r="AS84" s="14" t="str">
        <f>IF(ISERROR(HLOOKUP(V84,$BM$19:$BR92,$D84+1)),"",HLOOKUP(V84,$BM$19:$BR92,$D84+1))</f>
        <v/>
      </c>
      <c r="AT84" s="14" t="str">
        <f>IF(ISERROR(HLOOKUP(W84,$BM$19:$BR92,$D84+1)),"",HLOOKUP(W84,$BM$19:$BR92,$D84+1))</f>
        <v/>
      </c>
      <c r="AU84" s="14" t="str">
        <f>IF(ISERROR(HLOOKUP(X84,$BM$19:$BR92,$D84+1)),"",HLOOKUP(X84,$BM$19:$BR92,$D84+1))</f>
        <v/>
      </c>
      <c r="AV84" s="110" t="s">
        <v>207</v>
      </c>
      <c r="AW84" s="110" t="s">
        <v>207</v>
      </c>
    </row>
    <row r="85" spans="1:49" ht="27" customHeight="1">
      <c r="A85" s="24">
        <v>70</v>
      </c>
      <c r="B85" s="152"/>
      <c r="C85" s="149"/>
      <c r="D85" s="147"/>
      <c r="E85" s="148"/>
      <c r="F85" s="148"/>
      <c r="G85" s="148"/>
      <c r="H85" s="148"/>
      <c r="I85" s="148"/>
      <c r="J85" s="148"/>
      <c r="K85" s="148"/>
      <c r="L85" s="148"/>
      <c r="M85" s="148"/>
      <c r="N85" s="148"/>
      <c r="O85" s="148"/>
      <c r="P85" s="148"/>
      <c r="Q85" s="148"/>
      <c r="R85" s="148"/>
      <c r="S85" s="148"/>
      <c r="T85" s="148"/>
      <c r="U85" s="148"/>
      <c r="V85" s="148"/>
      <c r="W85" s="148"/>
      <c r="X85" s="148"/>
      <c r="Y85" s="159">
        <f t="shared" si="3"/>
        <v>0</v>
      </c>
      <c r="Z85" s="111"/>
      <c r="AA85" s="111"/>
      <c r="AB85" s="14" t="str">
        <f>IF(ISERROR(HLOOKUP(E85,$BM$19:$BR93,$D85+1)),"",HLOOKUP(E85,$BM$19:$BR93,$D85+1))</f>
        <v/>
      </c>
      <c r="AC85" s="14" t="str">
        <f>IF(ISERROR(HLOOKUP(F85,$BM$19:$BR93,$D85+1)),"",HLOOKUP(F85,$BM$19:$BR93,$D85+1))</f>
        <v/>
      </c>
      <c r="AD85" s="14" t="str">
        <f>IF(ISERROR(HLOOKUP(G85,$BM$19:$BR93,$D85+1)),"",HLOOKUP(G85,$BM$19:$BR93,$D85+1))</f>
        <v/>
      </c>
      <c r="AE85" s="14" t="str">
        <f>IF(ISERROR(HLOOKUP(H85,$BM$19:$BR93,$D85+1)),"",HLOOKUP(H85,$BM$19:$BR93,$D85+1))</f>
        <v/>
      </c>
      <c r="AF85" s="14" t="str">
        <f>IF(ISERROR(HLOOKUP(I85,$BM$19:$BR93,$D85+1)),"",HLOOKUP(I85,$BM$19:$BR93,$D85+1))</f>
        <v/>
      </c>
      <c r="AG85" s="14" t="str">
        <f>IF(ISERROR(HLOOKUP(J85,$BM$19:$BR93,$D85+1)),"",HLOOKUP(J85,$BM$19:$BR93,$D85+1))</f>
        <v/>
      </c>
      <c r="AH85" s="14" t="str">
        <f>IF(ISERROR(HLOOKUP(K85,$BM$19:$BR93,$D85+1)),"",HLOOKUP(K85,$BM$19:$BR93,$D85+1))</f>
        <v/>
      </c>
      <c r="AI85" s="14" t="str">
        <f>IF(ISERROR(HLOOKUP(L85,$BM$19:$BR93,$D85+1)),"",HLOOKUP(L85,$BM$19:$BR93,$D85+1))</f>
        <v/>
      </c>
      <c r="AJ85" s="14" t="str">
        <f>IF(ISERROR(HLOOKUP(M85,$BM$19:$BR93,$D85+1)),"",HLOOKUP(M85,$BM$19:$BR93,$D85+1))</f>
        <v/>
      </c>
      <c r="AK85" s="14" t="str">
        <f>IF(ISERROR(HLOOKUP(N85,$BM$19:$BR93,$D85+1)),"",HLOOKUP(N85,$BM$19:$BR93,$D85+1))</f>
        <v/>
      </c>
      <c r="AL85" s="14" t="str">
        <f>IF(ISERROR(HLOOKUP(O85,$BM$19:$BR93,$D85+1)),"",HLOOKUP(O85,$BM$19:$BR93,$D85+1))</f>
        <v/>
      </c>
      <c r="AM85" s="14" t="str">
        <f>IF(ISERROR(HLOOKUP(P85,$BM$19:$BR93,$D85+1)),"",HLOOKUP(P85,$BM$19:$BR93,$D85+1))</f>
        <v/>
      </c>
      <c r="AN85" s="14" t="str">
        <f>IF(ISERROR(HLOOKUP(Q85,$BM$19:$BR93,$D85+1)),"",HLOOKUP(Q85,$BM$19:$BR93,$D85+1))</f>
        <v/>
      </c>
      <c r="AO85" s="14" t="str">
        <f>IF(ISERROR(HLOOKUP(R85,$BM$19:$BR93,$D85+1)),"",HLOOKUP(R85,$BM$19:$BR93,$D85+1))</f>
        <v/>
      </c>
      <c r="AP85" s="14" t="str">
        <f>IF(ISERROR(HLOOKUP(S85,$BM$19:$BR93,$D85+1)),"",HLOOKUP(S85,$BM$19:$BR93,$D85+1))</f>
        <v/>
      </c>
      <c r="AQ85" s="14" t="str">
        <f>IF(ISERROR(HLOOKUP(T85,$BM$19:$BR93,$D85+1)),"",HLOOKUP(T85,$BM$19:$BR93,$D85+1))</f>
        <v/>
      </c>
      <c r="AR85" s="14" t="str">
        <f>IF(ISERROR(HLOOKUP(U85,$BM$19:$BR93,$D85+1)),"",HLOOKUP(U85,$BM$19:$BR93,$D85+1))</f>
        <v/>
      </c>
      <c r="AS85" s="14" t="str">
        <f>IF(ISERROR(HLOOKUP(V85,$BM$19:$BR93,$D85+1)),"",HLOOKUP(V85,$BM$19:$BR93,$D85+1))</f>
        <v/>
      </c>
      <c r="AT85" s="14" t="str">
        <f>IF(ISERROR(HLOOKUP(W85,$BM$19:$BR93,$D85+1)),"",HLOOKUP(W85,$BM$19:$BR93,$D85+1))</f>
        <v/>
      </c>
      <c r="AU85" s="14" t="str">
        <f>IF(ISERROR(HLOOKUP(X85,$BM$19:$BR93,$D85+1)),"",HLOOKUP(X85,$BM$19:$BR93,$D85+1))</f>
        <v/>
      </c>
      <c r="AV85" s="110" t="s">
        <v>207</v>
      </c>
      <c r="AW85" s="110" t="s">
        <v>207</v>
      </c>
    </row>
    <row r="86" spans="1:49" ht="27" customHeight="1">
      <c r="A86" s="24">
        <v>71</v>
      </c>
      <c r="B86" s="152"/>
      <c r="C86" s="149"/>
      <c r="D86" s="147"/>
      <c r="E86" s="148"/>
      <c r="F86" s="148"/>
      <c r="G86" s="148"/>
      <c r="H86" s="148"/>
      <c r="I86" s="148"/>
      <c r="J86" s="148"/>
      <c r="K86" s="148"/>
      <c r="L86" s="148"/>
      <c r="M86" s="148"/>
      <c r="N86" s="148"/>
      <c r="O86" s="148"/>
      <c r="P86" s="148"/>
      <c r="Q86" s="148"/>
      <c r="R86" s="148"/>
      <c r="S86" s="148"/>
      <c r="T86" s="148"/>
      <c r="U86" s="148"/>
      <c r="V86" s="148"/>
      <c r="W86" s="148"/>
      <c r="X86" s="148"/>
      <c r="Y86" s="159">
        <f t="shared" si="3"/>
        <v>0</v>
      </c>
      <c r="Z86" s="111"/>
      <c r="AA86" s="111"/>
      <c r="AB86" s="14" t="str">
        <f>IF(ISERROR(HLOOKUP(E86,$BM$19:$BR94,$D86+1)),"",HLOOKUP(E86,$BM$19:$BR94,$D86+1))</f>
        <v/>
      </c>
      <c r="AC86" s="14" t="str">
        <f>IF(ISERROR(HLOOKUP(F86,$BM$19:$BR94,$D86+1)),"",HLOOKUP(F86,$BM$19:$BR94,$D86+1))</f>
        <v/>
      </c>
      <c r="AD86" s="14" t="str">
        <f>IF(ISERROR(HLOOKUP(G86,$BM$19:$BR94,$D86+1)),"",HLOOKUP(G86,$BM$19:$BR94,$D86+1))</f>
        <v/>
      </c>
      <c r="AE86" s="14" t="str">
        <f>IF(ISERROR(HLOOKUP(H86,$BM$19:$BR94,$D86+1)),"",HLOOKUP(H86,$BM$19:$BR94,$D86+1))</f>
        <v/>
      </c>
      <c r="AF86" s="14" t="str">
        <f>IF(ISERROR(HLOOKUP(I86,$BM$19:$BR94,$D86+1)),"",HLOOKUP(I86,$BM$19:$BR94,$D86+1))</f>
        <v/>
      </c>
      <c r="AG86" s="14" t="str">
        <f>IF(ISERROR(HLOOKUP(J86,$BM$19:$BR94,$D86+1)),"",HLOOKUP(J86,$BM$19:$BR94,$D86+1))</f>
        <v/>
      </c>
      <c r="AH86" s="14" t="str">
        <f>IF(ISERROR(HLOOKUP(K86,$BM$19:$BR94,$D86+1)),"",HLOOKUP(K86,$BM$19:$BR94,$D86+1))</f>
        <v/>
      </c>
      <c r="AI86" s="14" t="str">
        <f>IF(ISERROR(HLOOKUP(L86,$BM$19:$BR94,$D86+1)),"",HLOOKUP(L86,$BM$19:$BR94,$D86+1))</f>
        <v/>
      </c>
      <c r="AJ86" s="14" t="str">
        <f>IF(ISERROR(HLOOKUP(M86,$BM$19:$BR94,$D86+1)),"",HLOOKUP(M86,$BM$19:$BR94,$D86+1))</f>
        <v/>
      </c>
      <c r="AK86" s="14" t="str">
        <f>IF(ISERROR(HLOOKUP(N86,$BM$19:$BR94,$D86+1)),"",HLOOKUP(N86,$BM$19:$BR94,$D86+1))</f>
        <v/>
      </c>
      <c r="AL86" s="14" t="str">
        <f>IF(ISERROR(HLOOKUP(O86,$BM$19:$BR94,$D86+1)),"",HLOOKUP(O86,$BM$19:$BR94,$D86+1))</f>
        <v/>
      </c>
      <c r="AM86" s="14" t="str">
        <f>IF(ISERROR(HLOOKUP(P86,$BM$19:$BR94,$D86+1)),"",HLOOKUP(P86,$BM$19:$BR94,$D86+1))</f>
        <v/>
      </c>
      <c r="AN86" s="14" t="str">
        <f>IF(ISERROR(HLOOKUP(Q86,$BM$19:$BR94,$D86+1)),"",HLOOKUP(Q86,$BM$19:$BR94,$D86+1))</f>
        <v/>
      </c>
      <c r="AO86" s="14" t="str">
        <f>IF(ISERROR(HLOOKUP(R86,$BM$19:$BR94,$D86+1)),"",HLOOKUP(R86,$BM$19:$BR94,$D86+1))</f>
        <v/>
      </c>
      <c r="AP86" s="14" t="str">
        <f>IF(ISERROR(HLOOKUP(S86,$BM$19:$BR94,$D86+1)),"",HLOOKUP(S86,$BM$19:$BR94,$D86+1))</f>
        <v/>
      </c>
      <c r="AQ86" s="14" t="str">
        <f>IF(ISERROR(HLOOKUP(T86,$BM$19:$BR94,$D86+1)),"",HLOOKUP(T86,$BM$19:$BR94,$D86+1))</f>
        <v/>
      </c>
      <c r="AR86" s="14" t="str">
        <f>IF(ISERROR(HLOOKUP(U86,$BM$19:$BR94,$D86+1)),"",HLOOKUP(U86,$BM$19:$BR94,$D86+1))</f>
        <v/>
      </c>
      <c r="AS86" s="14" t="str">
        <f>IF(ISERROR(HLOOKUP(V86,$BM$19:$BR94,$D86+1)),"",HLOOKUP(V86,$BM$19:$BR94,$D86+1))</f>
        <v/>
      </c>
      <c r="AT86" s="14" t="str">
        <f>IF(ISERROR(HLOOKUP(W86,$BM$19:$BR94,$D86+1)),"",HLOOKUP(W86,$BM$19:$BR94,$D86+1))</f>
        <v/>
      </c>
      <c r="AU86" s="14" t="str">
        <f>IF(ISERROR(HLOOKUP(X86,$BM$19:$BR94,$D86+1)),"",HLOOKUP(X86,$BM$19:$BR94,$D86+1))</f>
        <v/>
      </c>
      <c r="AV86" s="110" t="s">
        <v>207</v>
      </c>
      <c r="AW86" s="110" t="s">
        <v>207</v>
      </c>
    </row>
    <row r="87" spans="1:49" ht="27" customHeight="1">
      <c r="A87" s="24">
        <v>72</v>
      </c>
      <c r="B87" s="152"/>
      <c r="C87" s="149"/>
      <c r="D87" s="147"/>
      <c r="E87" s="148"/>
      <c r="F87" s="148"/>
      <c r="G87" s="148"/>
      <c r="H87" s="148"/>
      <c r="I87" s="148"/>
      <c r="J87" s="148"/>
      <c r="K87" s="148"/>
      <c r="L87" s="148"/>
      <c r="M87" s="148"/>
      <c r="N87" s="148"/>
      <c r="O87" s="148"/>
      <c r="P87" s="148"/>
      <c r="Q87" s="148"/>
      <c r="R87" s="148"/>
      <c r="S87" s="148"/>
      <c r="T87" s="148"/>
      <c r="U87" s="148"/>
      <c r="V87" s="148"/>
      <c r="W87" s="148"/>
      <c r="X87" s="148"/>
      <c r="Y87" s="159">
        <f t="shared" si="3"/>
        <v>0</v>
      </c>
      <c r="Z87" s="111"/>
      <c r="AA87" s="111"/>
      <c r="AB87" s="14" t="str">
        <f>IF(ISERROR(HLOOKUP(E87,$BM$19:$BR95,$D87+1)),"",HLOOKUP(E87,$BM$19:$BR95,$D87+1))</f>
        <v/>
      </c>
      <c r="AC87" s="14" t="str">
        <f>IF(ISERROR(HLOOKUP(F87,$BM$19:$BR95,$D87+1)),"",HLOOKUP(F87,$BM$19:$BR95,$D87+1))</f>
        <v/>
      </c>
      <c r="AD87" s="14" t="str">
        <f>IF(ISERROR(HLOOKUP(G87,$BM$19:$BR95,$D87+1)),"",HLOOKUP(G87,$BM$19:$BR95,$D87+1))</f>
        <v/>
      </c>
      <c r="AE87" s="14" t="str">
        <f>IF(ISERROR(HLOOKUP(H87,$BM$19:$BR95,$D87+1)),"",HLOOKUP(H87,$BM$19:$BR95,$D87+1))</f>
        <v/>
      </c>
      <c r="AF87" s="14" t="str">
        <f>IF(ISERROR(HLOOKUP(I87,$BM$19:$BR95,$D87+1)),"",HLOOKUP(I87,$BM$19:$BR95,$D87+1))</f>
        <v/>
      </c>
      <c r="AG87" s="14" t="str">
        <f>IF(ISERROR(HLOOKUP(J87,$BM$19:$BR95,$D87+1)),"",HLOOKUP(J87,$BM$19:$BR95,$D87+1))</f>
        <v/>
      </c>
      <c r="AH87" s="14" t="str">
        <f>IF(ISERROR(HLOOKUP(K87,$BM$19:$BR95,$D87+1)),"",HLOOKUP(K87,$BM$19:$BR95,$D87+1))</f>
        <v/>
      </c>
      <c r="AI87" s="14" t="str">
        <f>IF(ISERROR(HLOOKUP(L87,$BM$19:$BR95,$D87+1)),"",HLOOKUP(L87,$BM$19:$BR95,$D87+1))</f>
        <v/>
      </c>
      <c r="AJ87" s="14" t="str">
        <f>IF(ISERROR(HLOOKUP(M87,$BM$19:$BR95,$D87+1)),"",HLOOKUP(M87,$BM$19:$BR95,$D87+1))</f>
        <v/>
      </c>
      <c r="AK87" s="14" t="str">
        <f>IF(ISERROR(HLOOKUP(N87,$BM$19:$BR95,$D87+1)),"",HLOOKUP(N87,$BM$19:$BR95,$D87+1))</f>
        <v/>
      </c>
      <c r="AL87" s="14" t="str">
        <f>IF(ISERROR(HLOOKUP(O87,$BM$19:$BR95,$D87+1)),"",HLOOKUP(O87,$BM$19:$BR95,$D87+1))</f>
        <v/>
      </c>
      <c r="AM87" s="14" t="str">
        <f>IF(ISERROR(HLOOKUP(P87,$BM$19:$BR95,$D87+1)),"",HLOOKUP(P87,$BM$19:$BR95,$D87+1))</f>
        <v/>
      </c>
      <c r="AN87" s="14" t="str">
        <f>IF(ISERROR(HLOOKUP(Q87,$BM$19:$BR95,$D87+1)),"",HLOOKUP(Q87,$BM$19:$BR95,$D87+1))</f>
        <v/>
      </c>
      <c r="AO87" s="14" t="str">
        <f>IF(ISERROR(HLOOKUP(R87,$BM$19:$BR95,$D87+1)),"",HLOOKUP(R87,$BM$19:$BR95,$D87+1))</f>
        <v/>
      </c>
      <c r="AP87" s="14" t="str">
        <f>IF(ISERROR(HLOOKUP(S87,$BM$19:$BR95,$D87+1)),"",HLOOKUP(S87,$BM$19:$BR95,$D87+1))</f>
        <v/>
      </c>
      <c r="AQ87" s="14" t="str">
        <f>IF(ISERROR(HLOOKUP(T87,$BM$19:$BR95,$D87+1)),"",HLOOKUP(T87,$BM$19:$BR95,$D87+1))</f>
        <v/>
      </c>
      <c r="AR87" s="14" t="str">
        <f>IF(ISERROR(HLOOKUP(U87,$BM$19:$BR95,$D87+1)),"",HLOOKUP(U87,$BM$19:$BR95,$D87+1))</f>
        <v/>
      </c>
      <c r="AS87" s="14" t="str">
        <f>IF(ISERROR(HLOOKUP(V87,$BM$19:$BR95,$D87+1)),"",HLOOKUP(V87,$BM$19:$BR95,$D87+1))</f>
        <v/>
      </c>
      <c r="AT87" s="14" t="str">
        <f>IF(ISERROR(HLOOKUP(W87,$BM$19:$BR95,$D87+1)),"",HLOOKUP(W87,$BM$19:$BR95,$D87+1))</f>
        <v/>
      </c>
      <c r="AU87" s="14" t="str">
        <f>IF(ISERROR(HLOOKUP(X87,$BM$19:$BR95,$D87+1)),"",HLOOKUP(X87,$BM$19:$BR95,$D87+1))</f>
        <v/>
      </c>
      <c r="AV87" s="110" t="s">
        <v>207</v>
      </c>
      <c r="AW87" s="110" t="s">
        <v>207</v>
      </c>
    </row>
    <row r="88" spans="1:49" ht="27" customHeight="1">
      <c r="A88" s="24">
        <v>73</v>
      </c>
      <c r="B88" s="152"/>
      <c r="C88" s="149"/>
      <c r="D88" s="147"/>
      <c r="E88" s="148"/>
      <c r="F88" s="148"/>
      <c r="G88" s="148"/>
      <c r="H88" s="148"/>
      <c r="I88" s="148"/>
      <c r="J88" s="148"/>
      <c r="K88" s="148"/>
      <c r="L88" s="148"/>
      <c r="M88" s="148"/>
      <c r="N88" s="148"/>
      <c r="O88" s="148"/>
      <c r="P88" s="148"/>
      <c r="Q88" s="148"/>
      <c r="R88" s="148"/>
      <c r="S88" s="148"/>
      <c r="T88" s="148"/>
      <c r="U88" s="148"/>
      <c r="V88" s="148"/>
      <c r="W88" s="148"/>
      <c r="X88" s="148"/>
      <c r="Y88" s="159">
        <f t="shared" si="3"/>
        <v>0</v>
      </c>
      <c r="Z88" s="111"/>
      <c r="AA88" s="111"/>
      <c r="AB88" s="14" t="str">
        <f>IF(ISERROR(HLOOKUP(E88,$BM$19:$BR96,$D88+1)),"",HLOOKUP(E88,$BM$19:$BR96,$D88+1))</f>
        <v/>
      </c>
      <c r="AC88" s="14" t="str">
        <f>IF(ISERROR(HLOOKUP(F88,$BM$19:$BR96,$D88+1)),"",HLOOKUP(F88,$BM$19:$BR96,$D88+1))</f>
        <v/>
      </c>
      <c r="AD88" s="14" t="str">
        <f>IF(ISERROR(HLOOKUP(G88,$BM$19:$BR96,$D88+1)),"",HLOOKUP(G88,$BM$19:$BR96,$D88+1))</f>
        <v/>
      </c>
      <c r="AE88" s="14" t="str">
        <f>IF(ISERROR(HLOOKUP(H88,$BM$19:$BR96,$D88+1)),"",HLOOKUP(H88,$BM$19:$BR96,$D88+1))</f>
        <v/>
      </c>
      <c r="AF88" s="14" t="str">
        <f>IF(ISERROR(HLOOKUP(I88,$BM$19:$BR96,$D88+1)),"",HLOOKUP(I88,$BM$19:$BR96,$D88+1))</f>
        <v/>
      </c>
      <c r="AG88" s="14" t="str">
        <f>IF(ISERROR(HLOOKUP(J88,$BM$19:$BR96,$D88+1)),"",HLOOKUP(J88,$BM$19:$BR96,$D88+1))</f>
        <v/>
      </c>
      <c r="AH88" s="14" t="str">
        <f>IF(ISERROR(HLOOKUP(K88,$BM$19:$BR96,$D88+1)),"",HLOOKUP(K88,$BM$19:$BR96,$D88+1))</f>
        <v/>
      </c>
      <c r="AI88" s="14" t="str">
        <f>IF(ISERROR(HLOOKUP(L88,$BM$19:$BR96,$D88+1)),"",HLOOKUP(L88,$BM$19:$BR96,$D88+1))</f>
        <v/>
      </c>
      <c r="AJ88" s="14" t="str">
        <f>IF(ISERROR(HLOOKUP(M88,$BM$19:$BR96,$D88+1)),"",HLOOKUP(M88,$BM$19:$BR96,$D88+1))</f>
        <v/>
      </c>
      <c r="AK88" s="14" t="str">
        <f>IF(ISERROR(HLOOKUP(N88,$BM$19:$BR96,$D88+1)),"",HLOOKUP(N88,$BM$19:$BR96,$D88+1))</f>
        <v/>
      </c>
      <c r="AL88" s="14" t="str">
        <f>IF(ISERROR(HLOOKUP(O88,$BM$19:$BR96,$D88+1)),"",HLOOKUP(O88,$BM$19:$BR96,$D88+1))</f>
        <v/>
      </c>
      <c r="AM88" s="14" t="str">
        <f>IF(ISERROR(HLOOKUP(P88,$BM$19:$BR96,$D88+1)),"",HLOOKUP(P88,$BM$19:$BR96,$D88+1))</f>
        <v/>
      </c>
      <c r="AN88" s="14" t="str">
        <f>IF(ISERROR(HLOOKUP(Q88,$BM$19:$BR96,$D88+1)),"",HLOOKUP(Q88,$BM$19:$BR96,$D88+1))</f>
        <v/>
      </c>
      <c r="AO88" s="14" t="str">
        <f>IF(ISERROR(HLOOKUP(R88,$BM$19:$BR96,$D88+1)),"",HLOOKUP(R88,$BM$19:$BR96,$D88+1))</f>
        <v/>
      </c>
      <c r="AP88" s="14" t="str">
        <f>IF(ISERROR(HLOOKUP(S88,$BM$19:$BR96,$D88+1)),"",HLOOKUP(S88,$BM$19:$BR96,$D88+1))</f>
        <v/>
      </c>
      <c r="AQ88" s="14" t="str">
        <f>IF(ISERROR(HLOOKUP(T88,$BM$19:$BR96,$D88+1)),"",HLOOKUP(T88,$BM$19:$BR96,$D88+1))</f>
        <v/>
      </c>
      <c r="AR88" s="14" t="str">
        <f>IF(ISERROR(HLOOKUP(U88,$BM$19:$BR96,$D88+1)),"",HLOOKUP(U88,$BM$19:$BR96,$D88+1))</f>
        <v/>
      </c>
      <c r="AS88" s="14" t="str">
        <f>IF(ISERROR(HLOOKUP(V88,$BM$19:$BR96,$D88+1)),"",HLOOKUP(V88,$BM$19:$BR96,$D88+1))</f>
        <v/>
      </c>
      <c r="AT88" s="14" t="str">
        <f>IF(ISERROR(HLOOKUP(W88,$BM$19:$BR96,$D88+1)),"",HLOOKUP(W88,$BM$19:$BR96,$D88+1))</f>
        <v/>
      </c>
      <c r="AU88" s="14" t="str">
        <f>IF(ISERROR(HLOOKUP(X88,$BM$19:$BR96,$D88+1)),"",HLOOKUP(X88,$BM$19:$BR96,$D88+1))</f>
        <v/>
      </c>
      <c r="AV88" s="110" t="s">
        <v>207</v>
      </c>
      <c r="AW88" s="110" t="s">
        <v>207</v>
      </c>
    </row>
    <row r="89" spans="1:49" ht="27" customHeight="1">
      <c r="A89" s="24">
        <v>74</v>
      </c>
      <c r="B89" s="152"/>
      <c r="C89" s="149"/>
      <c r="D89" s="147"/>
      <c r="E89" s="148"/>
      <c r="F89" s="148"/>
      <c r="G89" s="148"/>
      <c r="H89" s="148"/>
      <c r="I89" s="148"/>
      <c r="J89" s="148"/>
      <c r="K89" s="148"/>
      <c r="L89" s="148"/>
      <c r="M89" s="148"/>
      <c r="N89" s="148"/>
      <c r="O89" s="148"/>
      <c r="P89" s="148"/>
      <c r="Q89" s="148"/>
      <c r="R89" s="148"/>
      <c r="S89" s="148"/>
      <c r="T89" s="148"/>
      <c r="U89" s="148"/>
      <c r="V89" s="148"/>
      <c r="W89" s="148"/>
      <c r="X89" s="148"/>
      <c r="Y89" s="159">
        <f t="shared" si="3"/>
        <v>0</v>
      </c>
      <c r="Z89" s="111"/>
      <c r="AA89" s="111"/>
      <c r="AB89" s="14" t="str">
        <f>IF(ISERROR(HLOOKUP(E89,$BM$19:$BR97,$D89+1)),"",HLOOKUP(E89,$BM$19:$BR97,$D89+1))</f>
        <v/>
      </c>
      <c r="AC89" s="14" t="str">
        <f>IF(ISERROR(HLOOKUP(F89,$BM$19:$BR97,$D89+1)),"",HLOOKUP(F89,$BM$19:$BR97,$D89+1))</f>
        <v/>
      </c>
      <c r="AD89" s="14" t="str">
        <f>IF(ISERROR(HLOOKUP(G89,$BM$19:$BR97,$D89+1)),"",HLOOKUP(G89,$BM$19:$BR97,$D89+1))</f>
        <v/>
      </c>
      <c r="AE89" s="14" t="str">
        <f>IF(ISERROR(HLOOKUP(H89,$BM$19:$BR97,$D89+1)),"",HLOOKUP(H89,$BM$19:$BR97,$D89+1))</f>
        <v/>
      </c>
      <c r="AF89" s="14" t="str">
        <f>IF(ISERROR(HLOOKUP(I89,$BM$19:$BR97,$D89+1)),"",HLOOKUP(I89,$BM$19:$BR97,$D89+1))</f>
        <v/>
      </c>
      <c r="AG89" s="14" t="str">
        <f>IF(ISERROR(HLOOKUP(J89,$BM$19:$BR97,$D89+1)),"",HLOOKUP(J89,$BM$19:$BR97,$D89+1))</f>
        <v/>
      </c>
      <c r="AH89" s="14" t="str">
        <f>IF(ISERROR(HLOOKUP(K89,$BM$19:$BR97,$D89+1)),"",HLOOKUP(K89,$BM$19:$BR97,$D89+1))</f>
        <v/>
      </c>
      <c r="AI89" s="14" t="str">
        <f>IF(ISERROR(HLOOKUP(L89,$BM$19:$BR97,$D89+1)),"",HLOOKUP(L89,$BM$19:$BR97,$D89+1))</f>
        <v/>
      </c>
      <c r="AJ89" s="14" t="str">
        <f>IF(ISERROR(HLOOKUP(M89,$BM$19:$BR97,$D89+1)),"",HLOOKUP(M89,$BM$19:$BR97,$D89+1))</f>
        <v/>
      </c>
      <c r="AK89" s="14" t="str">
        <f>IF(ISERROR(HLOOKUP(N89,$BM$19:$BR97,$D89+1)),"",HLOOKUP(N89,$BM$19:$BR97,$D89+1))</f>
        <v/>
      </c>
      <c r="AL89" s="14" t="str">
        <f>IF(ISERROR(HLOOKUP(O89,$BM$19:$BR97,$D89+1)),"",HLOOKUP(O89,$BM$19:$BR97,$D89+1))</f>
        <v/>
      </c>
      <c r="AM89" s="14" t="str">
        <f>IF(ISERROR(HLOOKUP(P89,$BM$19:$BR97,$D89+1)),"",HLOOKUP(P89,$BM$19:$BR97,$D89+1))</f>
        <v/>
      </c>
      <c r="AN89" s="14" t="str">
        <f>IF(ISERROR(HLOOKUP(Q89,$BM$19:$BR97,$D89+1)),"",HLOOKUP(Q89,$BM$19:$BR97,$D89+1))</f>
        <v/>
      </c>
      <c r="AO89" s="14" t="str">
        <f>IF(ISERROR(HLOOKUP(R89,$BM$19:$BR97,$D89+1)),"",HLOOKUP(R89,$BM$19:$BR97,$D89+1))</f>
        <v/>
      </c>
      <c r="AP89" s="14" t="str">
        <f>IF(ISERROR(HLOOKUP(S89,$BM$19:$BR97,$D89+1)),"",HLOOKUP(S89,$BM$19:$BR97,$D89+1))</f>
        <v/>
      </c>
      <c r="AQ89" s="14" t="str">
        <f>IF(ISERROR(HLOOKUP(T89,$BM$19:$BR97,$D89+1)),"",HLOOKUP(T89,$BM$19:$BR97,$D89+1))</f>
        <v/>
      </c>
      <c r="AR89" s="14" t="str">
        <f>IF(ISERROR(HLOOKUP(U89,$BM$19:$BR97,$D89+1)),"",HLOOKUP(U89,$BM$19:$BR97,$D89+1))</f>
        <v/>
      </c>
      <c r="AS89" s="14" t="str">
        <f>IF(ISERROR(HLOOKUP(V89,$BM$19:$BR97,$D89+1)),"",HLOOKUP(V89,$BM$19:$BR97,$D89+1))</f>
        <v/>
      </c>
      <c r="AT89" s="14" t="str">
        <f>IF(ISERROR(HLOOKUP(W89,$BM$19:$BR97,$D89+1)),"",HLOOKUP(W89,$BM$19:$BR97,$D89+1))</f>
        <v/>
      </c>
      <c r="AU89" s="14" t="str">
        <f>IF(ISERROR(HLOOKUP(X89,$BM$19:$BR97,$D89+1)),"",HLOOKUP(X89,$BM$19:$BR97,$D89+1))</f>
        <v/>
      </c>
      <c r="AV89" s="110" t="s">
        <v>207</v>
      </c>
      <c r="AW89" s="110" t="s">
        <v>207</v>
      </c>
    </row>
    <row r="90" spans="1:49" ht="27" customHeight="1">
      <c r="A90" s="24">
        <v>75</v>
      </c>
      <c r="B90" s="152"/>
      <c r="C90" s="149"/>
      <c r="D90" s="147"/>
      <c r="E90" s="148"/>
      <c r="F90" s="148"/>
      <c r="G90" s="148"/>
      <c r="H90" s="148"/>
      <c r="I90" s="148"/>
      <c r="J90" s="148"/>
      <c r="K90" s="148"/>
      <c r="L90" s="148"/>
      <c r="M90" s="148"/>
      <c r="N90" s="148"/>
      <c r="O90" s="148"/>
      <c r="P90" s="148"/>
      <c r="Q90" s="148"/>
      <c r="R90" s="148"/>
      <c r="S90" s="148"/>
      <c r="T90" s="148"/>
      <c r="U90" s="148"/>
      <c r="V90" s="148"/>
      <c r="W90" s="148"/>
      <c r="X90" s="148"/>
      <c r="Y90" s="159">
        <f t="shared" si="3"/>
        <v>0</v>
      </c>
      <c r="Z90" s="111"/>
      <c r="AA90" s="111"/>
      <c r="AB90" s="14" t="str">
        <f>IF(ISERROR(HLOOKUP(E90,$BM$19:$BR98,$D90+1)),"",HLOOKUP(E90,$BM$19:$BR98,$D90+1))</f>
        <v/>
      </c>
      <c r="AC90" s="14" t="str">
        <f>IF(ISERROR(HLOOKUP(F90,$BM$19:$BR98,$D90+1)),"",HLOOKUP(F90,$BM$19:$BR98,$D90+1))</f>
        <v/>
      </c>
      <c r="AD90" s="14" t="str">
        <f>IF(ISERROR(HLOOKUP(G90,$BM$19:$BR98,$D90+1)),"",HLOOKUP(G90,$BM$19:$BR98,$D90+1))</f>
        <v/>
      </c>
      <c r="AE90" s="14" t="str">
        <f>IF(ISERROR(HLOOKUP(H90,$BM$19:$BR98,$D90+1)),"",HLOOKUP(H90,$BM$19:$BR98,$D90+1))</f>
        <v/>
      </c>
      <c r="AF90" s="14" t="str">
        <f>IF(ISERROR(HLOOKUP(I90,$BM$19:$BR98,$D90+1)),"",HLOOKUP(I90,$BM$19:$BR98,$D90+1))</f>
        <v/>
      </c>
      <c r="AG90" s="14" t="str">
        <f>IF(ISERROR(HLOOKUP(J90,$BM$19:$BR98,$D90+1)),"",HLOOKUP(J90,$BM$19:$BR98,$D90+1))</f>
        <v/>
      </c>
      <c r="AH90" s="14" t="str">
        <f>IF(ISERROR(HLOOKUP(K90,$BM$19:$BR98,$D90+1)),"",HLOOKUP(K90,$BM$19:$BR98,$D90+1))</f>
        <v/>
      </c>
      <c r="AI90" s="14" t="str">
        <f>IF(ISERROR(HLOOKUP(L90,$BM$19:$BR98,$D90+1)),"",HLOOKUP(L90,$BM$19:$BR98,$D90+1))</f>
        <v/>
      </c>
      <c r="AJ90" s="14" t="str">
        <f>IF(ISERROR(HLOOKUP(M90,$BM$19:$BR98,$D90+1)),"",HLOOKUP(M90,$BM$19:$BR98,$D90+1))</f>
        <v/>
      </c>
      <c r="AK90" s="14" t="str">
        <f>IF(ISERROR(HLOOKUP(N90,$BM$19:$BR98,$D90+1)),"",HLOOKUP(N90,$BM$19:$BR98,$D90+1))</f>
        <v/>
      </c>
      <c r="AL90" s="14" t="str">
        <f>IF(ISERROR(HLOOKUP(O90,$BM$19:$BR98,$D90+1)),"",HLOOKUP(O90,$BM$19:$BR98,$D90+1))</f>
        <v/>
      </c>
      <c r="AM90" s="14" t="str">
        <f>IF(ISERROR(HLOOKUP(P90,$BM$19:$BR98,$D90+1)),"",HLOOKUP(P90,$BM$19:$BR98,$D90+1))</f>
        <v/>
      </c>
      <c r="AN90" s="14" t="str">
        <f>IF(ISERROR(HLOOKUP(Q90,$BM$19:$BR98,$D90+1)),"",HLOOKUP(Q90,$BM$19:$BR98,$D90+1))</f>
        <v/>
      </c>
      <c r="AO90" s="14" t="str">
        <f>IF(ISERROR(HLOOKUP(R90,$BM$19:$BR98,$D90+1)),"",HLOOKUP(R90,$BM$19:$BR98,$D90+1))</f>
        <v/>
      </c>
      <c r="AP90" s="14" t="str">
        <f>IF(ISERROR(HLOOKUP(S90,$BM$19:$BR98,$D90+1)),"",HLOOKUP(S90,$BM$19:$BR98,$D90+1))</f>
        <v/>
      </c>
      <c r="AQ90" s="14" t="str">
        <f>IF(ISERROR(HLOOKUP(T90,$BM$19:$BR98,$D90+1)),"",HLOOKUP(T90,$BM$19:$BR98,$D90+1))</f>
        <v/>
      </c>
      <c r="AR90" s="14" t="str">
        <f>IF(ISERROR(HLOOKUP(U90,$BM$19:$BR98,$D90+1)),"",HLOOKUP(U90,$BM$19:$BR98,$D90+1))</f>
        <v/>
      </c>
      <c r="AS90" s="14" t="str">
        <f>IF(ISERROR(HLOOKUP(V90,$BM$19:$BR98,$D90+1)),"",HLOOKUP(V90,$BM$19:$BR98,$D90+1))</f>
        <v/>
      </c>
      <c r="AT90" s="14" t="str">
        <f>IF(ISERROR(HLOOKUP(W90,$BM$19:$BR98,$D90+1)),"",HLOOKUP(W90,$BM$19:$BR98,$D90+1))</f>
        <v/>
      </c>
      <c r="AU90" s="14" t="str">
        <f>IF(ISERROR(HLOOKUP(X90,$BM$19:$BR98,$D90+1)),"",HLOOKUP(X90,$BM$19:$BR98,$D90+1))</f>
        <v/>
      </c>
      <c r="AV90" s="110" t="s">
        <v>207</v>
      </c>
      <c r="AW90" s="110" t="s">
        <v>207</v>
      </c>
    </row>
    <row r="91" spans="1:49" ht="27" customHeight="1">
      <c r="A91" s="24">
        <v>76</v>
      </c>
      <c r="B91" s="152"/>
      <c r="C91" s="149"/>
      <c r="D91" s="147"/>
      <c r="E91" s="148"/>
      <c r="F91" s="148"/>
      <c r="G91" s="148"/>
      <c r="H91" s="148"/>
      <c r="I91" s="148"/>
      <c r="J91" s="148"/>
      <c r="K91" s="148"/>
      <c r="L91" s="148"/>
      <c r="M91" s="148"/>
      <c r="N91" s="148"/>
      <c r="O91" s="148"/>
      <c r="P91" s="148"/>
      <c r="Q91" s="148"/>
      <c r="R91" s="148"/>
      <c r="S91" s="148"/>
      <c r="T91" s="148"/>
      <c r="U91" s="148"/>
      <c r="V91" s="148"/>
      <c r="W91" s="148"/>
      <c r="X91" s="148"/>
      <c r="Y91" s="159">
        <f t="shared" si="3"/>
        <v>0</v>
      </c>
      <c r="Z91" s="111"/>
      <c r="AA91" s="111"/>
      <c r="AB91" s="14" t="str">
        <f>IF(ISERROR(HLOOKUP(E91,$BM$19:$BR99,$D91+1)),"",HLOOKUP(E91,$BM$19:$BR99,$D91+1))</f>
        <v/>
      </c>
      <c r="AC91" s="14" t="str">
        <f>IF(ISERROR(HLOOKUP(F91,$BM$19:$BR99,$D91+1)),"",HLOOKUP(F91,$BM$19:$BR99,$D91+1))</f>
        <v/>
      </c>
      <c r="AD91" s="14" t="str">
        <f>IF(ISERROR(HLOOKUP(G91,$BM$19:$BR99,$D91+1)),"",HLOOKUP(G91,$BM$19:$BR99,$D91+1))</f>
        <v/>
      </c>
      <c r="AE91" s="14" t="str">
        <f>IF(ISERROR(HLOOKUP(H91,$BM$19:$BR99,$D91+1)),"",HLOOKUP(H91,$BM$19:$BR99,$D91+1))</f>
        <v/>
      </c>
      <c r="AF91" s="14" t="str">
        <f>IF(ISERROR(HLOOKUP(I91,$BM$19:$BR99,$D91+1)),"",HLOOKUP(I91,$BM$19:$BR99,$D91+1))</f>
        <v/>
      </c>
      <c r="AG91" s="14" t="str">
        <f>IF(ISERROR(HLOOKUP(J91,$BM$19:$BR99,$D91+1)),"",HLOOKUP(J91,$BM$19:$BR99,$D91+1))</f>
        <v/>
      </c>
      <c r="AH91" s="14" t="str">
        <f>IF(ISERROR(HLOOKUP(K91,$BM$19:$BR99,$D91+1)),"",HLOOKUP(K91,$BM$19:$BR99,$D91+1))</f>
        <v/>
      </c>
      <c r="AI91" s="14" t="str">
        <f>IF(ISERROR(HLOOKUP(L91,$BM$19:$BR99,$D91+1)),"",HLOOKUP(L91,$BM$19:$BR99,$D91+1))</f>
        <v/>
      </c>
      <c r="AJ91" s="14" t="str">
        <f>IF(ISERROR(HLOOKUP(M91,$BM$19:$BR99,$D91+1)),"",HLOOKUP(M91,$BM$19:$BR99,$D91+1))</f>
        <v/>
      </c>
      <c r="AK91" s="14" t="str">
        <f>IF(ISERROR(HLOOKUP(N91,$BM$19:$BR99,$D91+1)),"",HLOOKUP(N91,$BM$19:$BR99,$D91+1))</f>
        <v/>
      </c>
      <c r="AL91" s="14" t="str">
        <f>IF(ISERROR(HLOOKUP(O91,$BM$19:$BR99,$D91+1)),"",HLOOKUP(O91,$BM$19:$BR99,$D91+1))</f>
        <v/>
      </c>
      <c r="AM91" s="14" t="str">
        <f>IF(ISERROR(HLOOKUP(P91,$BM$19:$BR99,$D91+1)),"",HLOOKUP(P91,$BM$19:$BR99,$D91+1))</f>
        <v/>
      </c>
      <c r="AN91" s="14" t="str">
        <f>IF(ISERROR(HLOOKUP(Q91,$BM$19:$BR99,$D91+1)),"",HLOOKUP(Q91,$BM$19:$BR99,$D91+1))</f>
        <v/>
      </c>
      <c r="AO91" s="14" t="str">
        <f>IF(ISERROR(HLOOKUP(R91,$BM$19:$BR99,$D91+1)),"",HLOOKUP(R91,$BM$19:$BR99,$D91+1))</f>
        <v/>
      </c>
      <c r="AP91" s="14" t="str">
        <f>IF(ISERROR(HLOOKUP(S91,$BM$19:$BR99,$D91+1)),"",HLOOKUP(S91,$BM$19:$BR99,$D91+1))</f>
        <v/>
      </c>
      <c r="AQ91" s="14" t="str">
        <f>IF(ISERROR(HLOOKUP(T91,$BM$19:$BR99,$D91+1)),"",HLOOKUP(T91,$BM$19:$BR99,$D91+1))</f>
        <v/>
      </c>
      <c r="AR91" s="14" t="str">
        <f>IF(ISERROR(HLOOKUP(U91,$BM$19:$BR99,$D91+1)),"",HLOOKUP(U91,$BM$19:$BR99,$D91+1))</f>
        <v/>
      </c>
      <c r="AS91" s="14" t="str">
        <f>IF(ISERROR(HLOOKUP(V91,$BM$19:$BR99,$D91+1)),"",HLOOKUP(V91,$BM$19:$BR99,$D91+1))</f>
        <v/>
      </c>
      <c r="AT91" s="14" t="str">
        <f>IF(ISERROR(HLOOKUP(W91,$BM$19:$BR99,$D91+1)),"",HLOOKUP(W91,$BM$19:$BR99,$D91+1))</f>
        <v/>
      </c>
      <c r="AU91" s="14" t="str">
        <f>IF(ISERROR(HLOOKUP(X91,$BM$19:$BR99,$D91+1)),"",HLOOKUP(X91,$BM$19:$BR99,$D91+1))</f>
        <v/>
      </c>
      <c r="AV91" s="110" t="s">
        <v>207</v>
      </c>
      <c r="AW91" s="110" t="s">
        <v>207</v>
      </c>
    </row>
    <row r="92" spans="1:49" ht="27" customHeight="1">
      <c r="A92" s="24">
        <v>77</v>
      </c>
      <c r="B92" s="152"/>
      <c r="C92" s="149"/>
      <c r="D92" s="147"/>
      <c r="E92" s="148"/>
      <c r="F92" s="148"/>
      <c r="G92" s="148"/>
      <c r="H92" s="148"/>
      <c r="I92" s="148"/>
      <c r="J92" s="148"/>
      <c r="K92" s="148"/>
      <c r="L92" s="148"/>
      <c r="M92" s="148"/>
      <c r="N92" s="148"/>
      <c r="O92" s="148"/>
      <c r="P92" s="148"/>
      <c r="Q92" s="148"/>
      <c r="R92" s="148"/>
      <c r="S92" s="148"/>
      <c r="T92" s="148"/>
      <c r="U92" s="148"/>
      <c r="V92" s="148"/>
      <c r="W92" s="148"/>
      <c r="X92" s="148"/>
      <c r="Y92" s="159">
        <f t="shared" si="3"/>
        <v>0</v>
      </c>
      <c r="Z92" s="111"/>
      <c r="AA92" s="111"/>
      <c r="AB92" s="14" t="str">
        <f>IF(ISERROR(HLOOKUP(E92,$BM$19:$BR100,$D92+1)),"",HLOOKUP(E92,$BM$19:$BR100,$D92+1))</f>
        <v/>
      </c>
      <c r="AC92" s="14" t="str">
        <f>IF(ISERROR(HLOOKUP(F92,$BM$19:$BR100,$D92+1)),"",HLOOKUP(F92,$BM$19:$BR100,$D92+1))</f>
        <v/>
      </c>
      <c r="AD92" s="14" t="str">
        <f>IF(ISERROR(HLOOKUP(G92,$BM$19:$BR100,$D92+1)),"",HLOOKUP(G92,$BM$19:$BR100,$D92+1))</f>
        <v/>
      </c>
      <c r="AE92" s="14" t="str">
        <f>IF(ISERROR(HLOOKUP(H92,$BM$19:$BR100,$D92+1)),"",HLOOKUP(H92,$BM$19:$BR100,$D92+1))</f>
        <v/>
      </c>
      <c r="AF92" s="14" t="str">
        <f>IF(ISERROR(HLOOKUP(I92,$BM$19:$BR100,$D92+1)),"",HLOOKUP(I92,$BM$19:$BR100,$D92+1))</f>
        <v/>
      </c>
      <c r="AG92" s="14" t="str">
        <f>IF(ISERROR(HLOOKUP(J92,$BM$19:$BR100,$D92+1)),"",HLOOKUP(J92,$BM$19:$BR100,$D92+1))</f>
        <v/>
      </c>
      <c r="AH92" s="14" t="str">
        <f>IF(ISERROR(HLOOKUP(K92,$BM$19:$BR100,$D92+1)),"",HLOOKUP(K92,$BM$19:$BR100,$D92+1))</f>
        <v/>
      </c>
      <c r="AI92" s="14" t="str">
        <f>IF(ISERROR(HLOOKUP(L92,$BM$19:$BR100,$D92+1)),"",HLOOKUP(L92,$BM$19:$BR100,$D92+1))</f>
        <v/>
      </c>
      <c r="AJ92" s="14" t="str">
        <f>IF(ISERROR(HLOOKUP(M92,$BM$19:$BR100,$D92+1)),"",HLOOKUP(M92,$BM$19:$BR100,$D92+1))</f>
        <v/>
      </c>
      <c r="AK92" s="14" t="str">
        <f>IF(ISERROR(HLOOKUP(N92,$BM$19:$BR100,$D92+1)),"",HLOOKUP(N92,$BM$19:$BR100,$D92+1))</f>
        <v/>
      </c>
      <c r="AL92" s="14" t="str">
        <f>IF(ISERROR(HLOOKUP(O92,$BM$19:$BR100,$D92+1)),"",HLOOKUP(O92,$BM$19:$BR100,$D92+1))</f>
        <v/>
      </c>
      <c r="AM92" s="14" t="str">
        <f>IF(ISERROR(HLOOKUP(P92,$BM$19:$BR100,$D92+1)),"",HLOOKUP(P92,$BM$19:$BR100,$D92+1))</f>
        <v/>
      </c>
      <c r="AN92" s="14" t="str">
        <f>IF(ISERROR(HLOOKUP(Q92,$BM$19:$BR100,$D92+1)),"",HLOOKUP(Q92,$BM$19:$BR100,$D92+1))</f>
        <v/>
      </c>
      <c r="AO92" s="14" t="str">
        <f>IF(ISERROR(HLOOKUP(R92,$BM$19:$BR100,$D92+1)),"",HLOOKUP(R92,$BM$19:$BR100,$D92+1))</f>
        <v/>
      </c>
      <c r="AP92" s="14" t="str">
        <f>IF(ISERROR(HLOOKUP(S92,$BM$19:$BR100,$D92+1)),"",HLOOKUP(S92,$BM$19:$BR100,$D92+1))</f>
        <v/>
      </c>
      <c r="AQ92" s="14" t="str">
        <f>IF(ISERROR(HLOOKUP(T92,$BM$19:$BR100,$D92+1)),"",HLOOKUP(T92,$BM$19:$BR100,$D92+1))</f>
        <v/>
      </c>
      <c r="AR92" s="14" t="str">
        <f>IF(ISERROR(HLOOKUP(U92,$BM$19:$BR100,$D92+1)),"",HLOOKUP(U92,$BM$19:$BR100,$D92+1))</f>
        <v/>
      </c>
      <c r="AS92" s="14" t="str">
        <f>IF(ISERROR(HLOOKUP(V92,$BM$19:$BR100,$D92+1)),"",HLOOKUP(V92,$BM$19:$BR100,$D92+1))</f>
        <v/>
      </c>
      <c r="AT92" s="14" t="str">
        <f>IF(ISERROR(HLOOKUP(W92,$BM$19:$BR100,$D92+1)),"",HLOOKUP(W92,$BM$19:$BR100,$D92+1))</f>
        <v/>
      </c>
      <c r="AU92" s="14" t="str">
        <f>IF(ISERROR(HLOOKUP(X92,$BM$19:$BR100,$D92+1)),"",HLOOKUP(X92,$BM$19:$BR100,$D92+1))</f>
        <v/>
      </c>
      <c r="AV92" s="110" t="s">
        <v>207</v>
      </c>
      <c r="AW92" s="110" t="s">
        <v>207</v>
      </c>
    </row>
    <row r="93" spans="1:49" ht="27" customHeight="1">
      <c r="A93" s="24">
        <v>78</v>
      </c>
      <c r="B93" s="152"/>
      <c r="C93" s="149"/>
      <c r="D93" s="147"/>
      <c r="E93" s="148"/>
      <c r="F93" s="148"/>
      <c r="G93" s="148"/>
      <c r="H93" s="148"/>
      <c r="I93" s="148"/>
      <c r="J93" s="148"/>
      <c r="K93" s="148"/>
      <c r="L93" s="148"/>
      <c r="M93" s="148"/>
      <c r="N93" s="148"/>
      <c r="O93" s="148"/>
      <c r="P93" s="148"/>
      <c r="Q93" s="148"/>
      <c r="R93" s="148"/>
      <c r="S93" s="148"/>
      <c r="T93" s="148"/>
      <c r="U93" s="148"/>
      <c r="V93" s="148"/>
      <c r="W93" s="148"/>
      <c r="X93" s="148"/>
      <c r="Y93" s="159">
        <f t="shared" si="3"/>
        <v>0</v>
      </c>
      <c r="Z93" s="111"/>
      <c r="AA93" s="111"/>
      <c r="AB93" s="14" t="str">
        <f>IF(ISERROR(HLOOKUP(E93,$BM$19:$BR101,$D93+1)),"",HLOOKUP(E93,$BM$19:$BR101,$D93+1))</f>
        <v/>
      </c>
      <c r="AC93" s="14" t="str">
        <f>IF(ISERROR(HLOOKUP(F93,$BM$19:$BR101,$D93+1)),"",HLOOKUP(F93,$BM$19:$BR101,$D93+1))</f>
        <v/>
      </c>
      <c r="AD93" s="14" t="str">
        <f>IF(ISERROR(HLOOKUP(G93,$BM$19:$BR101,$D93+1)),"",HLOOKUP(G93,$BM$19:$BR101,$D93+1))</f>
        <v/>
      </c>
      <c r="AE93" s="14" t="str">
        <f>IF(ISERROR(HLOOKUP(H93,$BM$19:$BR101,$D93+1)),"",HLOOKUP(H93,$BM$19:$BR101,$D93+1))</f>
        <v/>
      </c>
      <c r="AF93" s="14" t="str">
        <f>IF(ISERROR(HLOOKUP(I93,$BM$19:$BR101,$D93+1)),"",HLOOKUP(I93,$BM$19:$BR101,$D93+1))</f>
        <v/>
      </c>
      <c r="AG93" s="14" t="str">
        <f>IF(ISERROR(HLOOKUP(J93,$BM$19:$BR101,$D93+1)),"",HLOOKUP(J93,$BM$19:$BR101,$D93+1))</f>
        <v/>
      </c>
      <c r="AH93" s="14" t="str">
        <f>IF(ISERROR(HLOOKUP(K93,$BM$19:$BR101,$D93+1)),"",HLOOKUP(K93,$BM$19:$BR101,$D93+1))</f>
        <v/>
      </c>
      <c r="AI93" s="14" t="str">
        <f>IF(ISERROR(HLOOKUP(L93,$BM$19:$BR101,$D93+1)),"",HLOOKUP(L93,$BM$19:$BR101,$D93+1))</f>
        <v/>
      </c>
      <c r="AJ93" s="14" t="str">
        <f>IF(ISERROR(HLOOKUP(M93,$BM$19:$BR101,$D93+1)),"",HLOOKUP(M93,$BM$19:$BR101,$D93+1))</f>
        <v/>
      </c>
      <c r="AK93" s="14" t="str">
        <f>IF(ISERROR(HLOOKUP(N93,$BM$19:$BR101,$D93+1)),"",HLOOKUP(N93,$BM$19:$BR101,$D93+1))</f>
        <v/>
      </c>
      <c r="AL93" s="14" t="str">
        <f>IF(ISERROR(HLOOKUP(O93,$BM$19:$BR101,$D93+1)),"",HLOOKUP(O93,$BM$19:$BR101,$D93+1))</f>
        <v/>
      </c>
      <c r="AM93" s="14" t="str">
        <f>IF(ISERROR(HLOOKUP(P93,$BM$19:$BR101,$D93+1)),"",HLOOKUP(P93,$BM$19:$BR101,$D93+1))</f>
        <v/>
      </c>
      <c r="AN93" s="14" t="str">
        <f>IF(ISERROR(HLOOKUP(Q93,$BM$19:$BR101,$D93+1)),"",HLOOKUP(Q93,$BM$19:$BR101,$D93+1))</f>
        <v/>
      </c>
      <c r="AO93" s="14" t="str">
        <f>IF(ISERROR(HLOOKUP(R93,$BM$19:$BR101,$D93+1)),"",HLOOKUP(R93,$BM$19:$BR101,$D93+1))</f>
        <v/>
      </c>
      <c r="AP93" s="14" t="str">
        <f>IF(ISERROR(HLOOKUP(S93,$BM$19:$BR101,$D93+1)),"",HLOOKUP(S93,$BM$19:$BR101,$D93+1))</f>
        <v/>
      </c>
      <c r="AQ93" s="14" t="str">
        <f>IF(ISERROR(HLOOKUP(T93,$BM$19:$BR101,$D93+1)),"",HLOOKUP(T93,$BM$19:$BR101,$D93+1))</f>
        <v/>
      </c>
      <c r="AR93" s="14" t="str">
        <f>IF(ISERROR(HLOOKUP(U93,$BM$19:$BR101,$D93+1)),"",HLOOKUP(U93,$BM$19:$BR101,$D93+1))</f>
        <v/>
      </c>
      <c r="AS93" s="14" t="str">
        <f>IF(ISERROR(HLOOKUP(V93,$BM$19:$BR101,$D93+1)),"",HLOOKUP(V93,$BM$19:$BR101,$D93+1))</f>
        <v/>
      </c>
      <c r="AT93" s="14" t="str">
        <f>IF(ISERROR(HLOOKUP(W93,$BM$19:$BR101,$D93+1)),"",HLOOKUP(W93,$BM$19:$BR101,$D93+1))</f>
        <v/>
      </c>
      <c r="AU93" s="14" t="str">
        <f>IF(ISERROR(HLOOKUP(X93,$BM$19:$BR101,$D93+1)),"",HLOOKUP(X93,$BM$19:$BR101,$D93+1))</f>
        <v/>
      </c>
      <c r="AV93" s="110" t="s">
        <v>207</v>
      </c>
      <c r="AW93" s="110" t="s">
        <v>207</v>
      </c>
    </row>
    <row r="94" spans="1:49" ht="27" customHeight="1">
      <c r="A94" s="24">
        <v>79</v>
      </c>
      <c r="B94" s="152"/>
      <c r="C94" s="149"/>
      <c r="D94" s="147"/>
      <c r="E94" s="148"/>
      <c r="F94" s="148"/>
      <c r="G94" s="148"/>
      <c r="H94" s="148"/>
      <c r="I94" s="148"/>
      <c r="J94" s="148"/>
      <c r="K94" s="148"/>
      <c r="L94" s="148"/>
      <c r="M94" s="148"/>
      <c r="N94" s="148"/>
      <c r="O94" s="148"/>
      <c r="P94" s="148"/>
      <c r="Q94" s="148"/>
      <c r="R94" s="148"/>
      <c r="S94" s="148"/>
      <c r="T94" s="148"/>
      <c r="U94" s="148"/>
      <c r="V94" s="148"/>
      <c r="W94" s="148"/>
      <c r="X94" s="148"/>
      <c r="Y94" s="159">
        <f t="shared" si="3"/>
        <v>0</v>
      </c>
      <c r="Z94" s="111"/>
      <c r="AA94" s="111"/>
      <c r="AB94" s="14" t="str">
        <f>IF(ISERROR(HLOOKUP(E94,$BM$19:$BR102,$D94+1)),"",HLOOKUP(E94,$BM$19:$BR102,$D94+1))</f>
        <v/>
      </c>
      <c r="AC94" s="14" t="str">
        <f>IF(ISERROR(HLOOKUP(F94,$BM$19:$BR102,$D94+1)),"",HLOOKUP(F94,$BM$19:$BR102,$D94+1))</f>
        <v/>
      </c>
      <c r="AD94" s="14" t="str">
        <f>IF(ISERROR(HLOOKUP(G94,$BM$19:$BR102,$D94+1)),"",HLOOKUP(G94,$BM$19:$BR102,$D94+1))</f>
        <v/>
      </c>
      <c r="AE94" s="14" t="str">
        <f>IF(ISERROR(HLOOKUP(H94,$BM$19:$BR102,$D94+1)),"",HLOOKUP(H94,$BM$19:$BR102,$D94+1))</f>
        <v/>
      </c>
      <c r="AF94" s="14" t="str">
        <f>IF(ISERROR(HLOOKUP(I94,$BM$19:$BR102,$D94+1)),"",HLOOKUP(I94,$BM$19:$BR102,$D94+1))</f>
        <v/>
      </c>
      <c r="AG94" s="14" t="str">
        <f>IF(ISERROR(HLOOKUP(J94,$BM$19:$BR102,$D94+1)),"",HLOOKUP(J94,$BM$19:$BR102,$D94+1))</f>
        <v/>
      </c>
      <c r="AH94" s="14" t="str">
        <f>IF(ISERROR(HLOOKUP(K94,$BM$19:$BR102,$D94+1)),"",HLOOKUP(K94,$BM$19:$BR102,$D94+1))</f>
        <v/>
      </c>
      <c r="AI94" s="14" t="str">
        <f>IF(ISERROR(HLOOKUP(L94,$BM$19:$BR102,$D94+1)),"",HLOOKUP(L94,$BM$19:$BR102,$D94+1))</f>
        <v/>
      </c>
      <c r="AJ94" s="14" t="str">
        <f>IF(ISERROR(HLOOKUP(M94,$BM$19:$BR102,$D94+1)),"",HLOOKUP(M94,$BM$19:$BR102,$D94+1))</f>
        <v/>
      </c>
      <c r="AK94" s="14" t="str">
        <f>IF(ISERROR(HLOOKUP(N94,$BM$19:$BR102,$D94+1)),"",HLOOKUP(N94,$BM$19:$BR102,$D94+1))</f>
        <v/>
      </c>
      <c r="AL94" s="14" t="str">
        <f>IF(ISERROR(HLOOKUP(O94,$BM$19:$BR102,$D94+1)),"",HLOOKUP(O94,$BM$19:$BR102,$D94+1))</f>
        <v/>
      </c>
      <c r="AM94" s="14" t="str">
        <f>IF(ISERROR(HLOOKUP(P94,$BM$19:$BR102,$D94+1)),"",HLOOKUP(P94,$BM$19:$BR102,$D94+1))</f>
        <v/>
      </c>
      <c r="AN94" s="14" t="str">
        <f>IF(ISERROR(HLOOKUP(Q94,$BM$19:$BR102,$D94+1)),"",HLOOKUP(Q94,$BM$19:$BR102,$D94+1))</f>
        <v/>
      </c>
      <c r="AO94" s="14" t="str">
        <f>IF(ISERROR(HLOOKUP(R94,$BM$19:$BR102,$D94+1)),"",HLOOKUP(R94,$BM$19:$BR102,$D94+1))</f>
        <v/>
      </c>
      <c r="AP94" s="14" t="str">
        <f>IF(ISERROR(HLOOKUP(S94,$BM$19:$BR102,$D94+1)),"",HLOOKUP(S94,$BM$19:$BR102,$D94+1))</f>
        <v/>
      </c>
      <c r="AQ94" s="14" t="str">
        <f>IF(ISERROR(HLOOKUP(T94,$BM$19:$BR102,$D94+1)),"",HLOOKUP(T94,$BM$19:$BR102,$D94+1))</f>
        <v/>
      </c>
      <c r="AR94" s="14" t="str">
        <f>IF(ISERROR(HLOOKUP(U94,$BM$19:$BR102,$D94+1)),"",HLOOKUP(U94,$BM$19:$BR102,$D94+1))</f>
        <v/>
      </c>
      <c r="AS94" s="14" t="str">
        <f>IF(ISERROR(HLOOKUP(V94,$BM$19:$BR102,$D94+1)),"",HLOOKUP(V94,$BM$19:$BR102,$D94+1))</f>
        <v/>
      </c>
      <c r="AT94" s="14" t="str">
        <f>IF(ISERROR(HLOOKUP(W94,$BM$19:$BR102,$D94+1)),"",HLOOKUP(W94,$BM$19:$BR102,$D94+1))</f>
        <v/>
      </c>
      <c r="AU94" s="14" t="str">
        <f>IF(ISERROR(HLOOKUP(X94,$BM$19:$BR102,$D94+1)),"",HLOOKUP(X94,$BM$19:$BR102,$D94+1))</f>
        <v/>
      </c>
      <c r="AV94" s="110" t="s">
        <v>207</v>
      </c>
      <c r="AW94" s="110" t="s">
        <v>207</v>
      </c>
    </row>
    <row r="95" spans="1:49" ht="27" customHeight="1">
      <c r="A95" s="24">
        <v>80</v>
      </c>
      <c r="B95" s="152"/>
      <c r="C95" s="149"/>
      <c r="D95" s="147"/>
      <c r="E95" s="148"/>
      <c r="F95" s="148"/>
      <c r="G95" s="148"/>
      <c r="H95" s="148"/>
      <c r="I95" s="148"/>
      <c r="J95" s="148"/>
      <c r="K95" s="148"/>
      <c r="L95" s="148"/>
      <c r="M95" s="148"/>
      <c r="N95" s="148"/>
      <c r="O95" s="148"/>
      <c r="P95" s="148"/>
      <c r="Q95" s="148"/>
      <c r="R95" s="148"/>
      <c r="S95" s="148"/>
      <c r="T95" s="148"/>
      <c r="U95" s="148"/>
      <c r="V95" s="148"/>
      <c r="W95" s="148"/>
      <c r="X95" s="148"/>
      <c r="Y95" s="159">
        <f t="shared" si="3"/>
        <v>0</v>
      </c>
      <c r="Z95" s="111"/>
      <c r="AA95" s="111"/>
      <c r="AB95" s="14" t="str">
        <f>IF(ISERROR(HLOOKUP(E95,$BM$19:$BR103,$D95+1)),"",HLOOKUP(E95,$BM$19:$BR103,$D95+1))</f>
        <v/>
      </c>
      <c r="AC95" s="14" t="str">
        <f>IF(ISERROR(HLOOKUP(F95,$BM$19:$BR103,$D95+1)),"",HLOOKUP(F95,$BM$19:$BR103,$D95+1))</f>
        <v/>
      </c>
      <c r="AD95" s="14" t="str">
        <f>IF(ISERROR(HLOOKUP(G95,$BM$19:$BR103,$D95+1)),"",HLOOKUP(G95,$BM$19:$BR103,$D95+1))</f>
        <v/>
      </c>
      <c r="AE95" s="14" t="str">
        <f>IF(ISERROR(HLOOKUP(H95,$BM$19:$BR103,$D95+1)),"",HLOOKUP(H95,$BM$19:$BR103,$D95+1))</f>
        <v/>
      </c>
      <c r="AF95" s="14" t="str">
        <f>IF(ISERROR(HLOOKUP(I95,$BM$19:$BR103,$D95+1)),"",HLOOKUP(I95,$BM$19:$BR103,$D95+1))</f>
        <v/>
      </c>
      <c r="AG95" s="14" t="str">
        <f>IF(ISERROR(HLOOKUP(J95,$BM$19:$BR103,$D95+1)),"",HLOOKUP(J95,$BM$19:$BR103,$D95+1))</f>
        <v/>
      </c>
      <c r="AH95" s="14" t="str">
        <f>IF(ISERROR(HLOOKUP(K95,$BM$19:$BR103,$D95+1)),"",HLOOKUP(K95,$BM$19:$BR103,$D95+1))</f>
        <v/>
      </c>
      <c r="AI95" s="14" t="str">
        <f>IF(ISERROR(HLOOKUP(L95,$BM$19:$BR103,$D95+1)),"",HLOOKUP(L95,$BM$19:$BR103,$D95+1))</f>
        <v/>
      </c>
      <c r="AJ95" s="14" t="str">
        <f>IF(ISERROR(HLOOKUP(M95,$BM$19:$BR103,$D95+1)),"",HLOOKUP(M95,$BM$19:$BR103,$D95+1))</f>
        <v/>
      </c>
      <c r="AK95" s="14" t="str">
        <f>IF(ISERROR(HLOOKUP(N95,$BM$19:$BR103,$D95+1)),"",HLOOKUP(N95,$BM$19:$BR103,$D95+1))</f>
        <v/>
      </c>
      <c r="AL95" s="14" t="str">
        <f>IF(ISERROR(HLOOKUP(O95,$BM$19:$BR103,$D95+1)),"",HLOOKUP(O95,$BM$19:$BR103,$D95+1))</f>
        <v/>
      </c>
      <c r="AM95" s="14" t="str">
        <f>IF(ISERROR(HLOOKUP(P95,$BM$19:$BR103,$D95+1)),"",HLOOKUP(P95,$BM$19:$BR103,$D95+1))</f>
        <v/>
      </c>
      <c r="AN95" s="14" t="str">
        <f>IF(ISERROR(HLOOKUP(Q95,$BM$19:$BR103,$D95+1)),"",HLOOKUP(Q95,$BM$19:$BR103,$D95+1))</f>
        <v/>
      </c>
      <c r="AO95" s="14" t="str">
        <f>IF(ISERROR(HLOOKUP(R95,$BM$19:$BR103,$D95+1)),"",HLOOKUP(R95,$BM$19:$BR103,$D95+1))</f>
        <v/>
      </c>
      <c r="AP95" s="14" t="str">
        <f>IF(ISERROR(HLOOKUP(S95,$BM$19:$BR103,$D95+1)),"",HLOOKUP(S95,$BM$19:$BR103,$D95+1))</f>
        <v/>
      </c>
      <c r="AQ95" s="14" t="str">
        <f>IF(ISERROR(HLOOKUP(T95,$BM$19:$BR103,$D95+1)),"",HLOOKUP(T95,$BM$19:$BR103,$D95+1))</f>
        <v/>
      </c>
      <c r="AR95" s="14" t="str">
        <f>IF(ISERROR(HLOOKUP(U95,$BM$19:$BR103,$D95+1)),"",HLOOKUP(U95,$BM$19:$BR103,$D95+1))</f>
        <v/>
      </c>
      <c r="AS95" s="14" t="str">
        <f>IF(ISERROR(HLOOKUP(V95,$BM$19:$BR103,$D95+1)),"",HLOOKUP(V95,$BM$19:$BR103,$D95+1))</f>
        <v/>
      </c>
      <c r="AT95" s="14" t="str">
        <f>IF(ISERROR(HLOOKUP(W95,$BM$19:$BR103,$D95+1)),"",HLOOKUP(W95,$BM$19:$BR103,$D95+1))</f>
        <v/>
      </c>
      <c r="AU95" s="14" t="str">
        <f>IF(ISERROR(HLOOKUP(X95,$BM$19:$BR103,$D95+1)),"",HLOOKUP(X95,$BM$19:$BR103,$D95+1))</f>
        <v/>
      </c>
      <c r="AV95" s="110" t="s">
        <v>207</v>
      </c>
      <c r="AW95" s="110" t="s">
        <v>207</v>
      </c>
    </row>
    <row r="96" spans="1:49" ht="27" customHeight="1">
      <c r="A96" s="24">
        <v>81</v>
      </c>
      <c r="B96" s="152"/>
      <c r="C96" s="149"/>
      <c r="D96" s="147"/>
      <c r="E96" s="148"/>
      <c r="F96" s="148"/>
      <c r="G96" s="148"/>
      <c r="H96" s="148"/>
      <c r="I96" s="148"/>
      <c r="J96" s="148"/>
      <c r="K96" s="148"/>
      <c r="L96" s="148"/>
      <c r="M96" s="148"/>
      <c r="N96" s="148"/>
      <c r="O96" s="148"/>
      <c r="P96" s="148"/>
      <c r="Q96" s="148"/>
      <c r="R96" s="148"/>
      <c r="S96" s="148"/>
      <c r="T96" s="148"/>
      <c r="U96" s="148"/>
      <c r="V96" s="148"/>
      <c r="W96" s="148"/>
      <c r="X96" s="148"/>
      <c r="Y96" s="159">
        <f t="shared" si="3"/>
        <v>0</v>
      </c>
      <c r="Z96" s="111"/>
      <c r="AA96" s="111"/>
      <c r="AB96" s="14" t="str">
        <f>IF(ISERROR(HLOOKUP(E96,$BM$19:$BR104,$D96+1)),"",HLOOKUP(E96,$BM$19:$BR104,$D96+1))</f>
        <v/>
      </c>
      <c r="AC96" s="14" t="str">
        <f>IF(ISERROR(HLOOKUP(F96,$BM$19:$BR104,$D96+1)),"",HLOOKUP(F96,$BM$19:$BR104,$D96+1))</f>
        <v/>
      </c>
      <c r="AD96" s="14" t="str">
        <f>IF(ISERROR(HLOOKUP(G96,$BM$19:$BR104,$D96+1)),"",HLOOKUP(G96,$BM$19:$BR104,$D96+1))</f>
        <v/>
      </c>
      <c r="AE96" s="14" t="str">
        <f>IF(ISERROR(HLOOKUP(H96,$BM$19:$BR104,$D96+1)),"",HLOOKUP(H96,$BM$19:$BR104,$D96+1))</f>
        <v/>
      </c>
      <c r="AF96" s="14" t="str">
        <f>IF(ISERROR(HLOOKUP(I96,$BM$19:$BR104,$D96+1)),"",HLOOKUP(I96,$BM$19:$BR104,$D96+1))</f>
        <v/>
      </c>
      <c r="AG96" s="14" t="str">
        <f>IF(ISERROR(HLOOKUP(J96,$BM$19:$BR104,$D96+1)),"",HLOOKUP(J96,$BM$19:$BR104,$D96+1))</f>
        <v/>
      </c>
      <c r="AH96" s="14" t="str">
        <f>IF(ISERROR(HLOOKUP(K96,$BM$19:$BR104,$D96+1)),"",HLOOKUP(K96,$BM$19:$BR104,$D96+1))</f>
        <v/>
      </c>
      <c r="AI96" s="14" t="str">
        <f>IF(ISERROR(HLOOKUP(L96,$BM$19:$BR104,$D96+1)),"",HLOOKUP(L96,$BM$19:$BR104,$D96+1))</f>
        <v/>
      </c>
      <c r="AJ96" s="14" t="str">
        <f>IF(ISERROR(HLOOKUP(M96,$BM$19:$BR104,$D96+1)),"",HLOOKUP(M96,$BM$19:$BR104,$D96+1))</f>
        <v/>
      </c>
      <c r="AK96" s="14" t="str">
        <f>IF(ISERROR(HLOOKUP(N96,$BM$19:$BR104,$D96+1)),"",HLOOKUP(N96,$BM$19:$BR104,$D96+1))</f>
        <v/>
      </c>
      <c r="AL96" s="14" t="str">
        <f>IF(ISERROR(HLOOKUP(O96,$BM$19:$BR104,$D96+1)),"",HLOOKUP(O96,$BM$19:$BR104,$D96+1))</f>
        <v/>
      </c>
      <c r="AM96" s="14" t="str">
        <f>IF(ISERROR(HLOOKUP(P96,$BM$19:$BR104,$D96+1)),"",HLOOKUP(P96,$BM$19:$BR104,$D96+1))</f>
        <v/>
      </c>
      <c r="AN96" s="14" t="str">
        <f>IF(ISERROR(HLOOKUP(Q96,$BM$19:$BR104,$D96+1)),"",HLOOKUP(Q96,$BM$19:$BR104,$D96+1))</f>
        <v/>
      </c>
      <c r="AO96" s="14" t="str">
        <f>IF(ISERROR(HLOOKUP(R96,$BM$19:$BR104,$D96+1)),"",HLOOKUP(R96,$BM$19:$BR104,$D96+1))</f>
        <v/>
      </c>
      <c r="AP96" s="14" t="str">
        <f>IF(ISERROR(HLOOKUP(S96,$BM$19:$BR104,$D96+1)),"",HLOOKUP(S96,$BM$19:$BR104,$D96+1))</f>
        <v/>
      </c>
      <c r="AQ96" s="14" t="str">
        <f>IF(ISERROR(HLOOKUP(T96,$BM$19:$BR104,$D96+1)),"",HLOOKUP(T96,$BM$19:$BR104,$D96+1))</f>
        <v/>
      </c>
      <c r="AR96" s="14" t="str">
        <f>IF(ISERROR(HLOOKUP(U96,$BM$19:$BR104,$D96+1)),"",HLOOKUP(U96,$BM$19:$BR104,$D96+1))</f>
        <v/>
      </c>
      <c r="AS96" s="14" t="str">
        <f>IF(ISERROR(HLOOKUP(V96,$BM$19:$BR104,$D96+1)),"",HLOOKUP(V96,$BM$19:$BR104,$D96+1))</f>
        <v/>
      </c>
      <c r="AT96" s="14" t="str">
        <f>IF(ISERROR(HLOOKUP(W96,$BM$19:$BR104,$D96+1)),"",HLOOKUP(W96,$BM$19:$BR104,$D96+1))</f>
        <v/>
      </c>
      <c r="AU96" s="14" t="str">
        <f>IF(ISERROR(HLOOKUP(X96,$BM$19:$BR104,$D96+1)),"",HLOOKUP(X96,$BM$19:$BR104,$D96+1))</f>
        <v/>
      </c>
      <c r="AV96" s="110" t="s">
        <v>207</v>
      </c>
      <c r="AW96" s="110" t="s">
        <v>207</v>
      </c>
    </row>
    <row r="97" spans="1:49" ht="27" customHeight="1">
      <c r="A97" s="24">
        <v>82</v>
      </c>
      <c r="B97" s="152"/>
      <c r="C97" s="149"/>
      <c r="D97" s="147"/>
      <c r="E97" s="148"/>
      <c r="F97" s="148"/>
      <c r="G97" s="148"/>
      <c r="H97" s="148"/>
      <c r="I97" s="148"/>
      <c r="J97" s="148"/>
      <c r="K97" s="148"/>
      <c r="L97" s="148"/>
      <c r="M97" s="148"/>
      <c r="N97" s="148"/>
      <c r="O97" s="148"/>
      <c r="P97" s="148"/>
      <c r="Q97" s="148"/>
      <c r="R97" s="148"/>
      <c r="S97" s="148"/>
      <c r="T97" s="148"/>
      <c r="U97" s="148"/>
      <c r="V97" s="148"/>
      <c r="W97" s="148"/>
      <c r="X97" s="148"/>
      <c r="Y97" s="159">
        <f t="shared" si="3"/>
        <v>0</v>
      </c>
      <c r="Z97" s="111"/>
      <c r="AA97" s="111"/>
      <c r="AB97" s="14" t="str">
        <f>IF(ISERROR(HLOOKUP(E97,$BM$19:$BR105,$D97+1)),"",HLOOKUP(E97,$BM$19:$BR105,$D97+1))</f>
        <v/>
      </c>
      <c r="AC97" s="14" t="str">
        <f>IF(ISERROR(HLOOKUP(F97,$BM$19:$BR105,$D97+1)),"",HLOOKUP(F97,$BM$19:$BR105,$D97+1))</f>
        <v/>
      </c>
      <c r="AD97" s="14" t="str">
        <f>IF(ISERROR(HLOOKUP(G97,$BM$19:$BR105,$D97+1)),"",HLOOKUP(G97,$BM$19:$BR105,$D97+1))</f>
        <v/>
      </c>
      <c r="AE97" s="14" t="str">
        <f>IF(ISERROR(HLOOKUP(H97,$BM$19:$BR105,$D97+1)),"",HLOOKUP(H97,$BM$19:$BR105,$D97+1))</f>
        <v/>
      </c>
      <c r="AF97" s="14" t="str">
        <f>IF(ISERROR(HLOOKUP(I97,$BM$19:$BR105,$D97+1)),"",HLOOKUP(I97,$BM$19:$BR105,$D97+1))</f>
        <v/>
      </c>
      <c r="AG97" s="14" t="str">
        <f>IF(ISERROR(HLOOKUP(J97,$BM$19:$BR105,$D97+1)),"",HLOOKUP(J97,$BM$19:$BR105,$D97+1))</f>
        <v/>
      </c>
      <c r="AH97" s="14" t="str">
        <f>IF(ISERROR(HLOOKUP(K97,$BM$19:$BR105,$D97+1)),"",HLOOKUP(K97,$BM$19:$BR105,$D97+1))</f>
        <v/>
      </c>
      <c r="AI97" s="14" t="str">
        <f>IF(ISERROR(HLOOKUP(L97,$BM$19:$BR105,$D97+1)),"",HLOOKUP(L97,$BM$19:$BR105,$D97+1))</f>
        <v/>
      </c>
      <c r="AJ97" s="14" t="str">
        <f>IF(ISERROR(HLOOKUP(M97,$BM$19:$BR105,$D97+1)),"",HLOOKUP(M97,$BM$19:$BR105,$D97+1))</f>
        <v/>
      </c>
      <c r="AK97" s="14" t="str">
        <f>IF(ISERROR(HLOOKUP(N97,$BM$19:$BR105,$D97+1)),"",HLOOKUP(N97,$BM$19:$BR105,$D97+1))</f>
        <v/>
      </c>
      <c r="AL97" s="14" t="str">
        <f>IF(ISERROR(HLOOKUP(O97,$BM$19:$BR105,$D97+1)),"",HLOOKUP(O97,$BM$19:$BR105,$D97+1))</f>
        <v/>
      </c>
      <c r="AM97" s="14" t="str">
        <f>IF(ISERROR(HLOOKUP(P97,$BM$19:$BR105,$D97+1)),"",HLOOKUP(P97,$BM$19:$BR105,$D97+1))</f>
        <v/>
      </c>
      <c r="AN97" s="14" t="str">
        <f>IF(ISERROR(HLOOKUP(Q97,$BM$19:$BR105,$D97+1)),"",HLOOKUP(Q97,$BM$19:$BR105,$D97+1))</f>
        <v/>
      </c>
      <c r="AO97" s="14" t="str">
        <f>IF(ISERROR(HLOOKUP(R97,$BM$19:$BR105,$D97+1)),"",HLOOKUP(R97,$BM$19:$BR105,$D97+1))</f>
        <v/>
      </c>
      <c r="AP97" s="14" t="str">
        <f>IF(ISERROR(HLOOKUP(S97,$BM$19:$BR105,$D97+1)),"",HLOOKUP(S97,$BM$19:$BR105,$D97+1))</f>
        <v/>
      </c>
      <c r="AQ97" s="14" t="str">
        <f>IF(ISERROR(HLOOKUP(T97,$BM$19:$BR105,$D97+1)),"",HLOOKUP(T97,$BM$19:$BR105,$D97+1))</f>
        <v/>
      </c>
      <c r="AR97" s="14" t="str">
        <f>IF(ISERROR(HLOOKUP(U97,$BM$19:$BR105,$D97+1)),"",HLOOKUP(U97,$BM$19:$BR105,$D97+1))</f>
        <v/>
      </c>
      <c r="AS97" s="14" t="str">
        <f>IF(ISERROR(HLOOKUP(V97,$BM$19:$BR105,$D97+1)),"",HLOOKUP(V97,$BM$19:$BR105,$D97+1))</f>
        <v/>
      </c>
      <c r="AT97" s="14" t="str">
        <f>IF(ISERROR(HLOOKUP(W97,$BM$19:$BR105,$D97+1)),"",HLOOKUP(W97,$BM$19:$BR105,$D97+1))</f>
        <v/>
      </c>
      <c r="AU97" s="14" t="str">
        <f>IF(ISERROR(HLOOKUP(X97,$BM$19:$BR105,$D97+1)),"",HLOOKUP(X97,$BM$19:$BR105,$D97+1))</f>
        <v/>
      </c>
      <c r="AV97" s="110" t="s">
        <v>207</v>
      </c>
      <c r="AW97" s="110" t="s">
        <v>207</v>
      </c>
    </row>
    <row r="98" spans="1:49" ht="27" customHeight="1">
      <c r="A98" s="24">
        <v>83</v>
      </c>
      <c r="B98" s="152"/>
      <c r="C98" s="149"/>
      <c r="D98" s="147"/>
      <c r="E98" s="148"/>
      <c r="F98" s="148"/>
      <c r="G98" s="148"/>
      <c r="H98" s="148"/>
      <c r="I98" s="148"/>
      <c r="J98" s="148"/>
      <c r="K98" s="148"/>
      <c r="L98" s="148"/>
      <c r="M98" s="148"/>
      <c r="N98" s="148"/>
      <c r="O98" s="148"/>
      <c r="P98" s="148"/>
      <c r="Q98" s="148"/>
      <c r="R98" s="148"/>
      <c r="S98" s="148"/>
      <c r="T98" s="148"/>
      <c r="U98" s="148"/>
      <c r="V98" s="148"/>
      <c r="W98" s="148"/>
      <c r="X98" s="148"/>
      <c r="Y98" s="159">
        <f t="shared" si="3"/>
        <v>0</v>
      </c>
      <c r="Z98" s="111"/>
      <c r="AA98" s="111"/>
      <c r="AB98" s="14" t="str">
        <f>IF(ISERROR(HLOOKUP(E98,$BM$19:$BR106,$D98+1)),"",HLOOKUP(E98,$BM$19:$BR106,$D98+1))</f>
        <v/>
      </c>
      <c r="AC98" s="14" t="str">
        <f>IF(ISERROR(HLOOKUP(F98,$BM$19:$BR106,$D98+1)),"",HLOOKUP(F98,$BM$19:$BR106,$D98+1))</f>
        <v/>
      </c>
      <c r="AD98" s="14" t="str">
        <f>IF(ISERROR(HLOOKUP(G98,$BM$19:$BR106,$D98+1)),"",HLOOKUP(G98,$BM$19:$BR106,$D98+1))</f>
        <v/>
      </c>
      <c r="AE98" s="14" t="str">
        <f>IF(ISERROR(HLOOKUP(H98,$BM$19:$BR106,$D98+1)),"",HLOOKUP(H98,$BM$19:$BR106,$D98+1))</f>
        <v/>
      </c>
      <c r="AF98" s="14" t="str">
        <f>IF(ISERROR(HLOOKUP(I98,$BM$19:$BR106,$D98+1)),"",HLOOKUP(I98,$BM$19:$BR106,$D98+1))</f>
        <v/>
      </c>
      <c r="AG98" s="14" t="str">
        <f>IF(ISERROR(HLOOKUP(J98,$BM$19:$BR106,$D98+1)),"",HLOOKUP(J98,$BM$19:$BR106,$D98+1))</f>
        <v/>
      </c>
      <c r="AH98" s="14" t="str">
        <f>IF(ISERROR(HLOOKUP(K98,$BM$19:$BR106,$D98+1)),"",HLOOKUP(K98,$BM$19:$BR106,$D98+1))</f>
        <v/>
      </c>
      <c r="AI98" s="14" t="str">
        <f>IF(ISERROR(HLOOKUP(L98,$BM$19:$BR106,$D98+1)),"",HLOOKUP(L98,$BM$19:$BR106,$D98+1))</f>
        <v/>
      </c>
      <c r="AJ98" s="14" t="str">
        <f>IF(ISERROR(HLOOKUP(M98,$BM$19:$BR106,$D98+1)),"",HLOOKUP(M98,$BM$19:$BR106,$D98+1))</f>
        <v/>
      </c>
      <c r="AK98" s="14" t="str">
        <f>IF(ISERROR(HLOOKUP(N98,$BM$19:$BR106,$D98+1)),"",HLOOKUP(N98,$BM$19:$BR106,$D98+1))</f>
        <v/>
      </c>
      <c r="AL98" s="14" t="str">
        <f>IF(ISERROR(HLOOKUP(O98,$BM$19:$BR106,$D98+1)),"",HLOOKUP(O98,$BM$19:$BR106,$D98+1))</f>
        <v/>
      </c>
      <c r="AM98" s="14" t="str">
        <f>IF(ISERROR(HLOOKUP(P98,$BM$19:$BR106,$D98+1)),"",HLOOKUP(P98,$BM$19:$BR106,$D98+1))</f>
        <v/>
      </c>
      <c r="AN98" s="14" t="str">
        <f>IF(ISERROR(HLOOKUP(Q98,$BM$19:$BR106,$D98+1)),"",HLOOKUP(Q98,$BM$19:$BR106,$D98+1))</f>
        <v/>
      </c>
      <c r="AO98" s="14" t="str">
        <f>IF(ISERROR(HLOOKUP(R98,$BM$19:$BR106,$D98+1)),"",HLOOKUP(R98,$BM$19:$BR106,$D98+1))</f>
        <v/>
      </c>
      <c r="AP98" s="14" t="str">
        <f>IF(ISERROR(HLOOKUP(S98,$BM$19:$BR106,$D98+1)),"",HLOOKUP(S98,$BM$19:$BR106,$D98+1))</f>
        <v/>
      </c>
      <c r="AQ98" s="14" t="str">
        <f>IF(ISERROR(HLOOKUP(T98,$BM$19:$BR106,$D98+1)),"",HLOOKUP(T98,$BM$19:$BR106,$D98+1))</f>
        <v/>
      </c>
      <c r="AR98" s="14" t="str">
        <f>IF(ISERROR(HLOOKUP(U98,$BM$19:$BR106,$D98+1)),"",HLOOKUP(U98,$BM$19:$BR106,$D98+1))</f>
        <v/>
      </c>
      <c r="AS98" s="14" t="str">
        <f>IF(ISERROR(HLOOKUP(V98,$BM$19:$BR106,$D98+1)),"",HLOOKUP(V98,$BM$19:$BR106,$D98+1))</f>
        <v/>
      </c>
      <c r="AT98" s="14" t="str">
        <f>IF(ISERROR(HLOOKUP(W98,$BM$19:$BR106,$D98+1)),"",HLOOKUP(W98,$BM$19:$BR106,$D98+1))</f>
        <v/>
      </c>
      <c r="AU98" s="14" t="str">
        <f>IF(ISERROR(HLOOKUP(X98,$BM$19:$BR106,$D98+1)),"",HLOOKUP(X98,$BM$19:$BR106,$D98+1))</f>
        <v/>
      </c>
      <c r="AV98" s="110" t="s">
        <v>207</v>
      </c>
      <c r="AW98" s="110" t="s">
        <v>207</v>
      </c>
    </row>
    <row r="99" spans="1:49" ht="27" customHeight="1">
      <c r="A99" s="24">
        <v>84</v>
      </c>
      <c r="B99" s="152"/>
      <c r="C99" s="149"/>
      <c r="D99" s="147"/>
      <c r="E99" s="148"/>
      <c r="F99" s="148"/>
      <c r="G99" s="148"/>
      <c r="H99" s="148"/>
      <c r="I99" s="148"/>
      <c r="J99" s="148"/>
      <c r="K99" s="148"/>
      <c r="L99" s="148"/>
      <c r="M99" s="148"/>
      <c r="N99" s="148"/>
      <c r="O99" s="148"/>
      <c r="P99" s="148"/>
      <c r="Q99" s="148"/>
      <c r="R99" s="148"/>
      <c r="S99" s="148"/>
      <c r="T99" s="148"/>
      <c r="U99" s="148"/>
      <c r="V99" s="148"/>
      <c r="W99" s="148"/>
      <c r="X99" s="148"/>
      <c r="Y99" s="159">
        <f t="shared" si="3"/>
        <v>0</v>
      </c>
      <c r="Z99" s="111"/>
      <c r="AA99" s="111"/>
      <c r="AB99" s="14" t="str">
        <f>IF(ISERROR(HLOOKUP(E99,$BM$19:$BR107,$D99+1)),"",HLOOKUP(E99,$BM$19:$BR107,$D99+1))</f>
        <v/>
      </c>
      <c r="AC99" s="14" t="str">
        <f>IF(ISERROR(HLOOKUP(F99,$BM$19:$BR107,$D99+1)),"",HLOOKUP(F99,$BM$19:$BR107,$D99+1))</f>
        <v/>
      </c>
      <c r="AD99" s="14" t="str">
        <f>IF(ISERROR(HLOOKUP(G99,$BM$19:$BR107,$D99+1)),"",HLOOKUP(G99,$BM$19:$BR107,$D99+1))</f>
        <v/>
      </c>
      <c r="AE99" s="14" t="str">
        <f>IF(ISERROR(HLOOKUP(H99,$BM$19:$BR107,$D99+1)),"",HLOOKUP(H99,$BM$19:$BR107,$D99+1))</f>
        <v/>
      </c>
      <c r="AF99" s="14" t="str">
        <f>IF(ISERROR(HLOOKUP(I99,$BM$19:$BR107,$D99+1)),"",HLOOKUP(I99,$BM$19:$BR107,$D99+1))</f>
        <v/>
      </c>
      <c r="AG99" s="14" t="str">
        <f>IF(ISERROR(HLOOKUP(J99,$BM$19:$BR107,$D99+1)),"",HLOOKUP(J99,$BM$19:$BR107,$D99+1))</f>
        <v/>
      </c>
      <c r="AH99" s="14" t="str">
        <f>IF(ISERROR(HLOOKUP(K99,$BM$19:$BR107,$D99+1)),"",HLOOKUP(K99,$BM$19:$BR107,$D99+1))</f>
        <v/>
      </c>
      <c r="AI99" s="14" t="str">
        <f>IF(ISERROR(HLOOKUP(L99,$BM$19:$BR107,$D99+1)),"",HLOOKUP(L99,$BM$19:$BR107,$D99+1))</f>
        <v/>
      </c>
      <c r="AJ99" s="14" t="str">
        <f>IF(ISERROR(HLOOKUP(M99,$BM$19:$BR107,$D99+1)),"",HLOOKUP(M99,$BM$19:$BR107,$D99+1))</f>
        <v/>
      </c>
      <c r="AK99" s="14" t="str">
        <f>IF(ISERROR(HLOOKUP(N99,$BM$19:$BR107,$D99+1)),"",HLOOKUP(N99,$BM$19:$BR107,$D99+1))</f>
        <v/>
      </c>
      <c r="AL99" s="14" t="str">
        <f>IF(ISERROR(HLOOKUP(O99,$BM$19:$BR107,$D99+1)),"",HLOOKUP(O99,$BM$19:$BR107,$D99+1))</f>
        <v/>
      </c>
      <c r="AM99" s="14" t="str">
        <f>IF(ISERROR(HLOOKUP(P99,$BM$19:$BR107,$D99+1)),"",HLOOKUP(P99,$BM$19:$BR107,$D99+1))</f>
        <v/>
      </c>
      <c r="AN99" s="14" t="str">
        <f>IF(ISERROR(HLOOKUP(Q99,$BM$19:$BR107,$D99+1)),"",HLOOKUP(Q99,$BM$19:$BR107,$D99+1))</f>
        <v/>
      </c>
      <c r="AO99" s="14" t="str">
        <f>IF(ISERROR(HLOOKUP(R99,$BM$19:$BR107,$D99+1)),"",HLOOKUP(R99,$BM$19:$BR107,$D99+1))</f>
        <v/>
      </c>
      <c r="AP99" s="14" t="str">
        <f>IF(ISERROR(HLOOKUP(S99,$BM$19:$BR107,$D99+1)),"",HLOOKUP(S99,$BM$19:$BR107,$D99+1))</f>
        <v/>
      </c>
      <c r="AQ99" s="14" t="str">
        <f>IF(ISERROR(HLOOKUP(T99,$BM$19:$BR107,$D99+1)),"",HLOOKUP(T99,$BM$19:$BR107,$D99+1))</f>
        <v/>
      </c>
      <c r="AR99" s="14" t="str">
        <f>IF(ISERROR(HLOOKUP(U99,$BM$19:$BR107,$D99+1)),"",HLOOKUP(U99,$BM$19:$BR107,$D99+1))</f>
        <v/>
      </c>
      <c r="AS99" s="14" t="str">
        <f>IF(ISERROR(HLOOKUP(V99,$BM$19:$BR107,$D99+1)),"",HLOOKUP(V99,$BM$19:$BR107,$D99+1))</f>
        <v/>
      </c>
      <c r="AT99" s="14" t="str">
        <f>IF(ISERROR(HLOOKUP(W99,$BM$19:$BR107,$D99+1)),"",HLOOKUP(W99,$BM$19:$BR107,$D99+1))</f>
        <v/>
      </c>
      <c r="AU99" s="14" t="str">
        <f>IF(ISERROR(HLOOKUP(X99,$BM$19:$BR107,$D99+1)),"",HLOOKUP(X99,$BM$19:$BR107,$D99+1))</f>
        <v/>
      </c>
      <c r="AV99" s="110" t="s">
        <v>207</v>
      </c>
      <c r="AW99" s="110" t="s">
        <v>207</v>
      </c>
    </row>
    <row r="100" spans="1:49" ht="27" customHeight="1">
      <c r="A100" s="24">
        <v>85</v>
      </c>
      <c r="B100" s="152"/>
      <c r="C100" s="149"/>
      <c r="D100" s="147"/>
      <c r="E100" s="148"/>
      <c r="F100" s="148"/>
      <c r="G100" s="148"/>
      <c r="H100" s="148"/>
      <c r="I100" s="148"/>
      <c r="J100" s="148"/>
      <c r="K100" s="148"/>
      <c r="L100" s="148"/>
      <c r="M100" s="148"/>
      <c r="N100" s="148"/>
      <c r="O100" s="148"/>
      <c r="P100" s="148"/>
      <c r="Q100" s="148"/>
      <c r="R100" s="148"/>
      <c r="S100" s="148"/>
      <c r="T100" s="148"/>
      <c r="U100" s="148"/>
      <c r="V100" s="148"/>
      <c r="W100" s="148"/>
      <c r="X100" s="148"/>
      <c r="Y100" s="159">
        <f t="shared" si="3"/>
        <v>0</v>
      </c>
      <c r="Z100" s="111"/>
      <c r="AA100" s="111"/>
      <c r="AB100" s="14" t="str">
        <f>IF(ISERROR(HLOOKUP(E100,$BM$19:$BR108,$D100+1)),"",HLOOKUP(E100,$BM$19:$BR108,$D100+1))</f>
        <v/>
      </c>
      <c r="AC100" s="14" t="str">
        <f>IF(ISERROR(HLOOKUP(F100,$BM$19:$BR108,$D100+1)),"",HLOOKUP(F100,$BM$19:$BR108,$D100+1))</f>
        <v/>
      </c>
      <c r="AD100" s="14" t="str">
        <f>IF(ISERROR(HLOOKUP(G100,$BM$19:$BR108,$D100+1)),"",HLOOKUP(G100,$BM$19:$BR108,$D100+1))</f>
        <v/>
      </c>
      <c r="AE100" s="14" t="str">
        <f>IF(ISERROR(HLOOKUP(H100,$BM$19:$BR108,$D100+1)),"",HLOOKUP(H100,$BM$19:$BR108,$D100+1))</f>
        <v/>
      </c>
      <c r="AF100" s="14" t="str">
        <f>IF(ISERROR(HLOOKUP(I100,$BM$19:$BR108,$D100+1)),"",HLOOKUP(I100,$BM$19:$BR108,$D100+1))</f>
        <v/>
      </c>
      <c r="AG100" s="14" t="str">
        <f>IF(ISERROR(HLOOKUP(J100,$BM$19:$BR108,$D100+1)),"",HLOOKUP(J100,$BM$19:$BR108,$D100+1))</f>
        <v/>
      </c>
      <c r="AH100" s="14" t="str">
        <f>IF(ISERROR(HLOOKUP(K100,$BM$19:$BR108,$D100+1)),"",HLOOKUP(K100,$BM$19:$BR108,$D100+1))</f>
        <v/>
      </c>
      <c r="AI100" s="14" t="str">
        <f>IF(ISERROR(HLOOKUP(L100,$BM$19:$BR108,$D100+1)),"",HLOOKUP(L100,$BM$19:$BR108,$D100+1))</f>
        <v/>
      </c>
      <c r="AJ100" s="14" t="str">
        <f>IF(ISERROR(HLOOKUP(M100,$BM$19:$BR108,$D100+1)),"",HLOOKUP(M100,$BM$19:$BR108,$D100+1))</f>
        <v/>
      </c>
      <c r="AK100" s="14" t="str">
        <f>IF(ISERROR(HLOOKUP(N100,$BM$19:$BR108,$D100+1)),"",HLOOKUP(N100,$BM$19:$BR108,$D100+1))</f>
        <v/>
      </c>
      <c r="AL100" s="14" t="str">
        <f>IF(ISERROR(HLOOKUP(O100,$BM$19:$BR108,$D100+1)),"",HLOOKUP(O100,$BM$19:$BR108,$D100+1))</f>
        <v/>
      </c>
      <c r="AM100" s="14" t="str">
        <f>IF(ISERROR(HLOOKUP(P100,$BM$19:$BR108,$D100+1)),"",HLOOKUP(P100,$BM$19:$BR108,$D100+1))</f>
        <v/>
      </c>
      <c r="AN100" s="14" t="str">
        <f>IF(ISERROR(HLOOKUP(Q100,$BM$19:$BR108,$D100+1)),"",HLOOKUP(Q100,$BM$19:$BR108,$D100+1))</f>
        <v/>
      </c>
      <c r="AO100" s="14" t="str">
        <f>IF(ISERROR(HLOOKUP(R100,$BM$19:$BR108,$D100+1)),"",HLOOKUP(R100,$BM$19:$BR108,$D100+1))</f>
        <v/>
      </c>
      <c r="AP100" s="14" t="str">
        <f>IF(ISERROR(HLOOKUP(S100,$BM$19:$BR108,$D100+1)),"",HLOOKUP(S100,$BM$19:$BR108,$D100+1))</f>
        <v/>
      </c>
      <c r="AQ100" s="14" t="str">
        <f>IF(ISERROR(HLOOKUP(T100,$BM$19:$BR108,$D100+1)),"",HLOOKUP(T100,$BM$19:$BR108,$D100+1))</f>
        <v/>
      </c>
      <c r="AR100" s="14" t="str">
        <f>IF(ISERROR(HLOOKUP(U100,$BM$19:$BR108,$D100+1)),"",HLOOKUP(U100,$BM$19:$BR108,$D100+1))</f>
        <v/>
      </c>
      <c r="AS100" s="14" t="str">
        <f>IF(ISERROR(HLOOKUP(V100,$BM$19:$BR108,$D100+1)),"",HLOOKUP(V100,$BM$19:$BR108,$D100+1))</f>
        <v/>
      </c>
      <c r="AT100" s="14" t="str">
        <f>IF(ISERROR(HLOOKUP(W100,$BM$19:$BR108,$D100+1)),"",HLOOKUP(W100,$BM$19:$BR108,$D100+1))</f>
        <v/>
      </c>
      <c r="AU100" s="14" t="str">
        <f>IF(ISERROR(HLOOKUP(X100,$BM$19:$BR108,$D100+1)),"",HLOOKUP(X100,$BM$19:$BR108,$D100+1))</f>
        <v/>
      </c>
      <c r="AV100" s="110" t="s">
        <v>207</v>
      </c>
      <c r="AW100" s="110" t="s">
        <v>207</v>
      </c>
    </row>
    <row r="101" spans="1:49" ht="27" customHeight="1">
      <c r="A101" s="24">
        <v>86</v>
      </c>
      <c r="B101" s="152"/>
      <c r="C101" s="149"/>
      <c r="D101" s="147"/>
      <c r="E101" s="148"/>
      <c r="F101" s="148"/>
      <c r="G101" s="148"/>
      <c r="H101" s="148"/>
      <c r="I101" s="148"/>
      <c r="J101" s="148"/>
      <c r="K101" s="148"/>
      <c r="L101" s="148"/>
      <c r="M101" s="148"/>
      <c r="N101" s="148"/>
      <c r="O101" s="148"/>
      <c r="P101" s="148"/>
      <c r="Q101" s="148"/>
      <c r="R101" s="148"/>
      <c r="S101" s="148"/>
      <c r="T101" s="148"/>
      <c r="U101" s="148"/>
      <c r="V101" s="148"/>
      <c r="W101" s="148"/>
      <c r="X101" s="148"/>
      <c r="Y101" s="159">
        <f t="shared" si="3"/>
        <v>0</v>
      </c>
      <c r="Z101" s="111"/>
      <c r="AA101" s="111"/>
      <c r="AB101" s="14" t="str">
        <f>IF(ISERROR(HLOOKUP(E101,$BM$19:$BR109,$D101+1)),"",HLOOKUP(E101,$BM$19:$BR109,$D101+1))</f>
        <v/>
      </c>
      <c r="AC101" s="14" t="str">
        <f>IF(ISERROR(HLOOKUP(F101,$BM$19:$BR109,$D101+1)),"",HLOOKUP(F101,$BM$19:$BR109,$D101+1))</f>
        <v/>
      </c>
      <c r="AD101" s="14" t="str">
        <f>IF(ISERROR(HLOOKUP(G101,$BM$19:$BR109,$D101+1)),"",HLOOKUP(G101,$BM$19:$BR109,$D101+1))</f>
        <v/>
      </c>
      <c r="AE101" s="14" t="str">
        <f>IF(ISERROR(HLOOKUP(H101,$BM$19:$BR109,$D101+1)),"",HLOOKUP(H101,$BM$19:$BR109,$D101+1))</f>
        <v/>
      </c>
      <c r="AF101" s="14" t="str">
        <f>IF(ISERROR(HLOOKUP(I101,$BM$19:$BR109,$D101+1)),"",HLOOKUP(I101,$BM$19:$BR109,$D101+1))</f>
        <v/>
      </c>
      <c r="AG101" s="14" t="str">
        <f>IF(ISERROR(HLOOKUP(J101,$BM$19:$BR109,$D101+1)),"",HLOOKUP(J101,$BM$19:$BR109,$D101+1))</f>
        <v/>
      </c>
      <c r="AH101" s="14" t="str">
        <f>IF(ISERROR(HLOOKUP(K101,$BM$19:$BR109,$D101+1)),"",HLOOKUP(K101,$BM$19:$BR109,$D101+1))</f>
        <v/>
      </c>
      <c r="AI101" s="14" t="str">
        <f>IF(ISERROR(HLOOKUP(L101,$BM$19:$BR109,$D101+1)),"",HLOOKUP(L101,$BM$19:$BR109,$D101+1))</f>
        <v/>
      </c>
      <c r="AJ101" s="14" t="str">
        <f>IF(ISERROR(HLOOKUP(M101,$BM$19:$BR109,$D101+1)),"",HLOOKUP(M101,$BM$19:$BR109,$D101+1))</f>
        <v/>
      </c>
      <c r="AK101" s="14" t="str">
        <f>IF(ISERROR(HLOOKUP(N101,$BM$19:$BR109,$D101+1)),"",HLOOKUP(N101,$BM$19:$BR109,$D101+1))</f>
        <v/>
      </c>
      <c r="AL101" s="14" t="str">
        <f>IF(ISERROR(HLOOKUP(O101,$BM$19:$BR109,$D101+1)),"",HLOOKUP(O101,$BM$19:$BR109,$D101+1))</f>
        <v/>
      </c>
      <c r="AM101" s="14" t="str">
        <f>IF(ISERROR(HLOOKUP(P101,$BM$19:$BR109,$D101+1)),"",HLOOKUP(P101,$BM$19:$BR109,$D101+1))</f>
        <v/>
      </c>
      <c r="AN101" s="14" t="str">
        <f>IF(ISERROR(HLOOKUP(Q101,$BM$19:$BR109,$D101+1)),"",HLOOKUP(Q101,$BM$19:$BR109,$D101+1))</f>
        <v/>
      </c>
      <c r="AO101" s="14" t="str">
        <f>IF(ISERROR(HLOOKUP(R101,$BM$19:$BR109,$D101+1)),"",HLOOKUP(R101,$BM$19:$BR109,$D101+1))</f>
        <v/>
      </c>
      <c r="AP101" s="14" t="str">
        <f>IF(ISERROR(HLOOKUP(S101,$BM$19:$BR109,$D101+1)),"",HLOOKUP(S101,$BM$19:$BR109,$D101+1))</f>
        <v/>
      </c>
      <c r="AQ101" s="14" t="str">
        <f>IF(ISERROR(HLOOKUP(T101,$BM$19:$BR109,$D101+1)),"",HLOOKUP(T101,$BM$19:$BR109,$D101+1))</f>
        <v/>
      </c>
      <c r="AR101" s="14" t="str">
        <f>IF(ISERROR(HLOOKUP(U101,$BM$19:$BR109,$D101+1)),"",HLOOKUP(U101,$BM$19:$BR109,$D101+1))</f>
        <v/>
      </c>
      <c r="AS101" s="14" t="str">
        <f>IF(ISERROR(HLOOKUP(V101,$BM$19:$BR109,$D101+1)),"",HLOOKUP(V101,$BM$19:$BR109,$D101+1))</f>
        <v/>
      </c>
      <c r="AT101" s="14" t="str">
        <f>IF(ISERROR(HLOOKUP(W101,$BM$19:$BR109,$D101+1)),"",HLOOKUP(W101,$BM$19:$BR109,$D101+1))</f>
        <v/>
      </c>
      <c r="AU101" s="14" t="str">
        <f>IF(ISERROR(HLOOKUP(X101,$BM$19:$BR109,$D101+1)),"",HLOOKUP(X101,$BM$19:$BR109,$D101+1))</f>
        <v/>
      </c>
      <c r="AV101" s="110" t="s">
        <v>207</v>
      </c>
      <c r="AW101" s="110" t="s">
        <v>207</v>
      </c>
    </row>
    <row r="102" spans="1:49" ht="27" customHeight="1">
      <c r="A102" s="24">
        <v>87</v>
      </c>
      <c r="B102" s="152"/>
      <c r="C102" s="149"/>
      <c r="D102" s="147"/>
      <c r="E102" s="148"/>
      <c r="F102" s="148"/>
      <c r="G102" s="148"/>
      <c r="H102" s="148"/>
      <c r="I102" s="148"/>
      <c r="J102" s="148"/>
      <c r="K102" s="148"/>
      <c r="L102" s="148"/>
      <c r="M102" s="148"/>
      <c r="N102" s="148"/>
      <c r="O102" s="148"/>
      <c r="P102" s="148"/>
      <c r="Q102" s="148"/>
      <c r="R102" s="148"/>
      <c r="S102" s="148"/>
      <c r="T102" s="148"/>
      <c r="U102" s="148"/>
      <c r="V102" s="148"/>
      <c r="W102" s="148"/>
      <c r="X102" s="148"/>
      <c r="Y102" s="159">
        <f t="shared" si="3"/>
        <v>0</v>
      </c>
      <c r="Z102" s="111"/>
      <c r="AA102" s="111"/>
      <c r="AB102" s="14" t="str">
        <f>IF(ISERROR(HLOOKUP(E102,$BM$19:$BR110,$D102+1)),"",HLOOKUP(E102,$BM$19:$BR110,$D102+1))</f>
        <v/>
      </c>
      <c r="AC102" s="14" t="str">
        <f>IF(ISERROR(HLOOKUP(F102,$BM$19:$BR110,$D102+1)),"",HLOOKUP(F102,$BM$19:$BR110,$D102+1))</f>
        <v/>
      </c>
      <c r="AD102" s="14" t="str">
        <f>IF(ISERROR(HLOOKUP(G102,$BM$19:$BR110,$D102+1)),"",HLOOKUP(G102,$BM$19:$BR110,$D102+1))</f>
        <v/>
      </c>
      <c r="AE102" s="14" t="str">
        <f>IF(ISERROR(HLOOKUP(H102,$BM$19:$BR110,$D102+1)),"",HLOOKUP(H102,$BM$19:$BR110,$D102+1))</f>
        <v/>
      </c>
      <c r="AF102" s="14" t="str">
        <f>IF(ISERROR(HLOOKUP(I102,$BM$19:$BR110,$D102+1)),"",HLOOKUP(I102,$BM$19:$BR110,$D102+1))</f>
        <v/>
      </c>
      <c r="AG102" s="14" t="str">
        <f>IF(ISERROR(HLOOKUP(J102,$BM$19:$BR110,$D102+1)),"",HLOOKUP(J102,$BM$19:$BR110,$D102+1))</f>
        <v/>
      </c>
      <c r="AH102" s="14" t="str">
        <f>IF(ISERROR(HLOOKUP(K102,$BM$19:$BR110,$D102+1)),"",HLOOKUP(K102,$BM$19:$BR110,$D102+1))</f>
        <v/>
      </c>
      <c r="AI102" s="14" t="str">
        <f>IF(ISERROR(HLOOKUP(L102,$BM$19:$BR110,$D102+1)),"",HLOOKUP(L102,$BM$19:$BR110,$D102+1))</f>
        <v/>
      </c>
      <c r="AJ102" s="14" t="str">
        <f>IF(ISERROR(HLOOKUP(M102,$BM$19:$BR110,$D102+1)),"",HLOOKUP(M102,$BM$19:$BR110,$D102+1))</f>
        <v/>
      </c>
      <c r="AK102" s="14" t="str">
        <f>IF(ISERROR(HLOOKUP(N102,$BM$19:$BR110,$D102+1)),"",HLOOKUP(N102,$BM$19:$BR110,$D102+1))</f>
        <v/>
      </c>
      <c r="AL102" s="14" t="str">
        <f>IF(ISERROR(HLOOKUP(O102,$BM$19:$BR110,$D102+1)),"",HLOOKUP(O102,$BM$19:$BR110,$D102+1))</f>
        <v/>
      </c>
      <c r="AM102" s="14" t="str">
        <f>IF(ISERROR(HLOOKUP(P102,$BM$19:$BR110,$D102+1)),"",HLOOKUP(P102,$BM$19:$BR110,$D102+1))</f>
        <v/>
      </c>
      <c r="AN102" s="14" t="str">
        <f>IF(ISERROR(HLOOKUP(Q102,$BM$19:$BR110,$D102+1)),"",HLOOKUP(Q102,$BM$19:$BR110,$D102+1))</f>
        <v/>
      </c>
      <c r="AO102" s="14" t="str">
        <f>IF(ISERROR(HLOOKUP(R102,$BM$19:$BR110,$D102+1)),"",HLOOKUP(R102,$BM$19:$BR110,$D102+1))</f>
        <v/>
      </c>
      <c r="AP102" s="14" t="str">
        <f>IF(ISERROR(HLOOKUP(S102,$BM$19:$BR110,$D102+1)),"",HLOOKUP(S102,$BM$19:$BR110,$D102+1))</f>
        <v/>
      </c>
      <c r="AQ102" s="14" t="str">
        <f>IF(ISERROR(HLOOKUP(T102,$BM$19:$BR110,$D102+1)),"",HLOOKUP(T102,$BM$19:$BR110,$D102+1))</f>
        <v/>
      </c>
      <c r="AR102" s="14" t="str">
        <f>IF(ISERROR(HLOOKUP(U102,$BM$19:$BR110,$D102+1)),"",HLOOKUP(U102,$BM$19:$BR110,$D102+1))</f>
        <v/>
      </c>
      <c r="AS102" s="14" t="str">
        <f>IF(ISERROR(HLOOKUP(V102,$BM$19:$BR110,$D102+1)),"",HLOOKUP(V102,$BM$19:$BR110,$D102+1))</f>
        <v/>
      </c>
      <c r="AT102" s="14" t="str">
        <f>IF(ISERROR(HLOOKUP(W102,$BM$19:$BR110,$D102+1)),"",HLOOKUP(W102,$BM$19:$BR110,$D102+1))</f>
        <v/>
      </c>
      <c r="AU102" s="14" t="str">
        <f>IF(ISERROR(HLOOKUP(X102,$BM$19:$BR110,$D102+1)),"",HLOOKUP(X102,$BM$19:$BR110,$D102+1))</f>
        <v/>
      </c>
      <c r="AV102" s="110" t="s">
        <v>207</v>
      </c>
      <c r="AW102" s="110" t="s">
        <v>207</v>
      </c>
    </row>
    <row r="103" spans="1:49" ht="27" customHeight="1">
      <c r="A103" s="24">
        <v>88</v>
      </c>
      <c r="B103" s="152"/>
      <c r="C103" s="149"/>
      <c r="D103" s="147"/>
      <c r="E103" s="148"/>
      <c r="F103" s="148"/>
      <c r="G103" s="148"/>
      <c r="H103" s="148"/>
      <c r="I103" s="148"/>
      <c r="J103" s="148"/>
      <c r="K103" s="148"/>
      <c r="L103" s="148"/>
      <c r="M103" s="148"/>
      <c r="N103" s="148"/>
      <c r="O103" s="148"/>
      <c r="P103" s="148"/>
      <c r="Q103" s="148"/>
      <c r="R103" s="148"/>
      <c r="S103" s="148"/>
      <c r="T103" s="148"/>
      <c r="U103" s="148"/>
      <c r="V103" s="148"/>
      <c r="W103" s="148"/>
      <c r="X103" s="148"/>
      <c r="Y103" s="159">
        <f t="shared" si="3"/>
        <v>0</v>
      </c>
      <c r="Z103" s="111"/>
      <c r="AA103" s="111"/>
      <c r="AB103" s="14" t="str">
        <f>IF(ISERROR(HLOOKUP(E103,$BM$19:$BR111,$D103+1)),"",HLOOKUP(E103,$BM$19:$BR111,$D103+1))</f>
        <v/>
      </c>
      <c r="AC103" s="14" t="str">
        <f>IF(ISERROR(HLOOKUP(F103,$BM$19:$BR111,$D103+1)),"",HLOOKUP(F103,$BM$19:$BR111,$D103+1))</f>
        <v/>
      </c>
      <c r="AD103" s="14" t="str">
        <f>IF(ISERROR(HLOOKUP(G103,$BM$19:$BR111,$D103+1)),"",HLOOKUP(G103,$BM$19:$BR111,$D103+1))</f>
        <v/>
      </c>
      <c r="AE103" s="14" t="str">
        <f>IF(ISERROR(HLOOKUP(H103,$BM$19:$BR111,$D103+1)),"",HLOOKUP(H103,$BM$19:$BR111,$D103+1))</f>
        <v/>
      </c>
      <c r="AF103" s="14" t="str">
        <f>IF(ISERROR(HLOOKUP(I103,$BM$19:$BR111,$D103+1)),"",HLOOKUP(I103,$BM$19:$BR111,$D103+1))</f>
        <v/>
      </c>
      <c r="AG103" s="14" t="str">
        <f>IF(ISERROR(HLOOKUP(J103,$BM$19:$BR111,$D103+1)),"",HLOOKUP(J103,$BM$19:$BR111,$D103+1))</f>
        <v/>
      </c>
      <c r="AH103" s="14" t="str">
        <f>IF(ISERROR(HLOOKUP(K103,$BM$19:$BR111,$D103+1)),"",HLOOKUP(K103,$BM$19:$BR111,$D103+1))</f>
        <v/>
      </c>
      <c r="AI103" s="14" t="str">
        <f>IF(ISERROR(HLOOKUP(L103,$BM$19:$BR111,$D103+1)),"",HLOOKUP(L103,$BM$19:$BR111,$D103+1))</f>
        <v/>
      </c>
      <c r="AJ103" s="14" t="str">
        <f>IF(ISERROR(HLOOKUP(M103,$BM$19:$BR111,$D103+1)),"",HLOOKUP(M103,$BM$19:$BR111,$D103+1))</f>
        <v/>
      </c>
      <c r="AK103" s="14" t="str">
        <f>IF(ISERROR(HLOOKUP(N103,$BM$19:$BR111,$D103+1)),"",HLOOKUP(N103,$BM$19:$BR111,$D103+1))</f>
        <v/>
      </c>
      <c r="AL103" s="14" t="str">
        <f>IF(ISERROR(HLOOKUP(O103,$BM$19:$BR111,$D103+1)),"",HLOOKUP(O103,$BM$19:$BR111,$D103+1))</f>
        <v/>
      </c>
      <c r="AM103" s="14" t="str">
        <f>IF(ISERROR(HLOOKUP(P103,$BM$19:$BR111,$D103+1)),"",HLOOKUP(P103,$BM$19:$BR111,$D103+1))</f>
        <v/>
      </c>
      <c r="AN103" s="14" t="str">
        <f>IF(ISERROR(HLOOKUP(Q103,$BM$19:$BR111,$D103+1)),"",HLOOKUP(Q103,$BM$19:$BR111,$D103+1))</f>
        <v/>
      </c>
      <c r="AO103" s="14" t="str">
        <f>IF(ISERROR(HLOOKUP(R103,$BM$19:$BR111,$D103+1)),"",HLOOKUP(R103,$BM$19:$BR111,$D103+1))</f>
        <v/>
      </c>
      <c r="AP103" s="14" t="str">
        <f>IF(ISERROR(HLOOKUP(S103,$BM$19:$BR111,$D103+1)),"",HLOOKUP(S103,$BM$19:$BR111,$D103+1))</f>
        <v/>
      </c>
      <c r="AQ103" s="14" t="str">
        <f>IF(ISERROR(HLOOKUP(T103,$BM$19:$BR111,$D103+1)),"",HLOOKUP(T103,$BM$19:$BR111,$D103+1))</f>
        <v/>
      </c>
      <c r="AR103" s="14" t="str">
        <f>IF(ISERROR(HLOOKUP(U103,$BM$19:$BR111,$D103+1)),"",HLOOKUP(U103,$BM$19:$BR111,$D103+1))</f>
        <v/>
      </c>
      <c r="AS103" s="14" t="str">
        <f>IF(ISERROR(HLOOKUP(V103,$BM$19:$BR111,$D103+1)),"",HLOOKUP(V103,$BM$19:$BR111,$D103+1))</f>
        <v/>
      </c>
      <c r="AT103" s="14" t="str">
        <f>IF(ISERROR(HLOOKUP(W103,$BM$19:$BR111,$D103+1)),"",HLOOKUP(W103,$BM$19:$BR111,$D103+1))</f>
        <v/>
      </c>
      <c r="AU103" s="14" t="str">
        <f>IF(ISERROR(HLOOKUP(X103,$BM$19:$BR111,$D103+1)),"",HLOOKUP(X103,$BM$19:$BR111,$D103+1))</f>
        <v/>
      </c>
      <c r="AV103" s="110" t="s">
        <v>207</v>
      </c>
      <c r="AW103" s="110" t="s">
        <v>207</v>
      </c>
    </row>
    <row r="104" spans="1:49" ht="27" customHeight="1">
      <c r="A104" s="24">
        <v>89</v>
      </c>
      <c r="B104" s="152"/>
      <c r="C104" s="149"/>
      <c r="D104" s="147"/>
      <c r="E104" s="148"/>
      <c r="F104" s="148"/>
      <c r="G104" s="148"/>
      <c r="H104" s="148"/>
      <c r="I104" s="148"/>
      <c r="J104" s="148"/>
      <c r="K104" s="148"/>
      <c r="L104" s="148"/>
      <c r="M104" s="148"/>
      <c r="N104" s="148"/>
      <c r="O104" s="148"/>
      <c r="P104" s="148"/>
      <c r="Q104" s="148"/>
      <c r="R104" s="148"/>
      <c r="S104" s="148"/>
      <c r="T104" s="148"/>
      <c r="U104" s="148"/>
      <c r="V104" s="148"/>
      <c r="W104" s="148"/>
      <c r="X104" s="148"/>
      <c r="Y104" s="159">
        <f t="shared" si="3"/>
        <v>0</v>
      </c>
      <c r="Z104" s="111"/>
      <c r="AA104" s="111"/>
      <c r="AB104" s="14" t="str">
        <f>IF(ISERROR(HLOOKUP(E104,$BM$19:$BR112,$D104+1)),"",HLOOKUP(E104,$BM$19:$BR112,$D104+1))</f>
        <v/>
      </c>
      <c r="AC104" s="14" t="str">
        <f>IF(ISERROR(HLOOKUP(F104,$BM$19:$BR112,$D104+1)),"",HLOOKUP(F104,$BM$19:$BR112,$D104+1))</f>
        <v/>
      </c>
      <c r="AD104" s="14" t="str">
        <f>IF(ISERROR(HLOOKUP(G104,$BM$19:$BR112,$D104+1)),"",HLOOKUP(G104,$BM$19:$BR112,$D104+1))</f>
        <v/>
      </c>
      <c r="AE104" s="14" t="str">
        <f>IF(ISERROR(HLOOKUP(H104,$BM$19:$BR112,$D104+1)),"",HLOOKUP(H104,$BM$19:$BR112,$D104+1))</f>
        <v/>
      </c>
      <c r="AF104" s="14" t="str">
        <f>IF(ISERROR(HLOOKUP(I104,$BM$19:$BR112,$D104+1)),"",HLOOKUP(I104,$BM$19:$BR112,$D104+1))</f>
        <v/>
      </c>
      <c r="AG104" s="14" t="str">
        <f>IF(ISERROR(HLOOKUP(J104,$BM$19:$BR112,$D104+1)),"",HLOOKUP(J104,$BM$19:$BR112,$D104+1))</f>
        <v/>
      </c>
      <c r="AH104" s="14" t="str">
        <f>IF(ISERROR(HLOOKUP(K104,$BM$19:$BR112,$D104+1)),"",HLOOKUP(K104,$BM$19:$BR112,$D104+1))</f>
        <v/>
      </c>
      <c r="AI104" s="14" t="str">
        <f>IF(ISERROR(HLOOKUP(L104,$BM$19:$BR112,$D104+1)),"",HLOOKUP(L104,$BM$19:$BR112,$D104+1))</f>
        <v/>
      </c>
      <c r="AJ104" s="14" t="str">
        <f>IF(ISERROR(HLOOKUP(M104,$BM$19:$BR112,$D104+1)),"",HLOOKUP(M104,$BM$19:$BR112,$D104+1))</f>
        <v/>
      </c>
      <c r="AK104" s="14" t="str">
        <f>IF(ISERROR(HLOOKUP(N104,$BM$19:$BR112,$D104+1)),"",HLOOKUP(N104,$BM$19:$BR112,$D104+1))</f>
        <v/>
      </c>
      <c r="AL104" s="14" t="str">
        <f>IF(ISERROR(HLOOKUP(O104,$BM$19:$BR112,$D104+1)),"",HLOOKUP(O104,$BM$19:$BR112,$D104+1))</f>
        <v/>
      </c>
      <c r="AM104" s="14" t="str">
        <f>IF(ISERROR(HLOOKUP(P104,$BM$19:$BR112,$D104+1)),"",HLOOKUP(P104,$BM$19:$BR112,$D104+1))</f>
        <v/>
      </c>
      <c r="AN104" s="14" t="str">
        <f>IF(ISERROR(HLOOKUP(Q104,$BM$19:$BR112,$D104+1)),"",HLOOKUP(Q104,$BM$19:$BR112,$D104+1))</f>
        <v/>
      </c>
      <c r="AO104" s="14" t="str">
        <f>IF(ISERROR(HLOOKUP(R104,$BM$19:$BR112,$D104+1)),"",HLOOKUP(R104,$BM$19:$BR112,$D104+1))</f>
        <v/>
      </c>
      <c r="AP104" s="14" t="str">
        <f>IF(ISERROR(HLOOKUP(S104,$BM$19:$BR112,$D104+1)),"",HLOOKUP(S104,$BM$19:$BR112,$D104+1))</f>
        <v/>
      </c>
      <c r="AQ104" s="14" t="str">
        <f>IF(ISERROR(HLOOKUP(T104,$BM$19:$BR112,$D104+1)),"",HLOOKUP(T104,$BM$19:$BR112,$D104+1))</f>
        <v/>
      </c>
      <c r="AR104" s="14" t="str">
        <f>IF(ISERROR(HLOOKUP(U104,$BM$19:$BR112,$D104+1)),"",HLOOKUP(U104,$BM$19:$BR112,$D104+1))</f>
        <v/>
      </c>
      <c r="AS104" s="14" t="str">
        <f>IF(ISERROR(HLOOKUP(V104,$BM$19:$BR112,$D104+1)),"",HLOOKUP(V104,$BM$19:$BR112,$D104+1))</f>
        <v/>
      </c>
      <c r="AT104" s="14" t="str">
        <f>IF(ISERROR(HLOOKUP(W104,$BM$19:$BR112,$D104+1)),"",HLOOKUP(W104,$BM$19:$BR112,$D104+1))</f>
        <v/>
      </c>
      <c r="AU104" s="14" t="str">
        <f>IF(ISERROR(HLOOKUP(X104,$BM$19:$BR112,$D104+1)),"",HLOOKUP(X104,$BM$19:$BR112,$D104+1))</f>
        <v/>
      </c>
      <c r="AV104" s="110" t="s">
        <v>207</v>
      </c>
      <c r="AW104" s="110" t="s">
        <v>207</v>
      </c>
    </row>
    <row r="105" spans="1:49" ht="27" customHeight="1">
      <c r="A105" s="24">
        <v>90</v>
      </c>
      <c r="B105" s="152"/>
      <c r="C105" s="149"/>
      <c r="D105" s="147"/>
      <c r="E105" s="148"/>
      <c r="F105" s="148"/>
      <c r="G105" s="148"/>
      <c r="H105" s="148"/>
      <c r="I105" s="148"/>
      <c r="J105" s="148"/>
      <c r="K105" s="148"/>
      <c r="L105" s="148"/>
      <c r="M105" s="148"/>
      <c r="N105" s="148"/>
      <c r="O105" s="148"/>
      <c r="P105" s="148"/>
      <c r="Q105" s="148"/>
      <c r="R105" s="148"/>
      <c r="S105" s="148"/>
      <c r="T105" s="148"/>
      <c r="U105" s="148"/>
      <c r="V105" s="148"/>
      <c r="W105" s="148"/>
      <c r="X105" s="148"/>
      <c r="Y105" s="159">
        <f t="shared" si="3"/>
        <v>0</v>
      </c>
      <c r="Z105" s="111"/>
      <c r="AA105" s="111"/>
      <c r="AB105" s="14" t="str">
        <f>IF(ISERROR(HLOOKUP(E105,$BM$19:$BR113,$D105+1)),"",HLOOKUP(E105,$BM$19:$BR113,$D105+1))</f>
        <v/>
      </c>
      <c r="AC105" s="14" t="str">
        <f>IF(ISERROR(HLOOKUP(F105,$BM$19:$BR113,$D105+1)),"",HLOOKUP(F105,$BM$19:$BR113,$D105+1))</f>
        <v/>
      </c>
      <c r="AD105" s="14" t="str">
        <f>IF(ISERROR(HLOOKUP(G105,$BM$19:$BR113,$D105+1)),"",HLOOKUP(G105,$BM$19:$BR113,$D105+1))</f>
        <v/>
      </c>
      <c r="AE105" s="14" t="str">
        <f>IF(ISERROR(HLOOKUP(H105,$BM$19:$BR113,$D105+1)),"",HLOOKUP(H105,$BM$19:$BR113,$D105+1))</f>
        <v/>
      </c>
      <c r="AF105" s="14" t="str">
        <f>IF(ISERROR(HLOOKUP(I105,$BM$19:$BR113,$D105+1)),"",HLOOKUP(I105,$BM$19:$BR113,$D105+1))</f>
        <v/>
      </c>
      <c r="AG105" s="14" t="str">
        <f>IF(ISERROR(HLOOKUP(J105,$BM$19:$BR113,$D105+1)),"",HLOOKUP(J105,$BM$19:$BR113,$D105+1))</f>
        <v/>
      </c>
      <c r="AH105" s="14" t="str">
        <f>IF(ISERROR(HLOOKUP(K105,$BM$19:$BR113,$D105+1)),"",HLOOKUP(K105,$BM$19:$BR113,$D105+1))</f>
        <v/>
      </c>
      <c r="AI105" s="14" t="str">
        <f>IF(ISERROR(HLOOKUP(L105,$BM$19:$BR113,$D105+1)),"",HLOOKUP(L105,$BM$19:$BR113,$D105+1))</f>
        <v/>
      </c>
      <c r="AJ105" s="14" t="str">
        <f>IF(ISERROR(HLOOKUP(M105,$BM$19:$BR113,$D105+1)),"",HLOOKUP(M105,$BM$19:$BR113,$D105+1))</f>
        <v/>
      </c>
      <c r="AK105" s="14" t="str">
        <f>IF(ISERROR(HLOOKUP(N105,$BM$19:$BR113,$D105+1)),"",HLOOKUP(N105,$BM$19:$BR113,$D105+1))</f>
        <v/>
      </c>
      <c r="AL105" s="14" t="str">
        <f>IF(ISERROR(HLOOKUP(O105,$BM$19:$BR113,$D105+1)),"",HLOOKUP(O105,$BM$19:$BR113,$D105+1))</f>
        <v/>
      </c>
      <c r="AM105" s="14" t="str">
        <f>IF(ISERROR(HLOOKUP(P105,$BM$19:$BR113,$D105+1)),"",HLOOKUP(P105,$BM$19:$BR113,$D105+1))</f>
        <v/>
      </c>
      <c r="AN105" s="14" t="str">
        <f>IF(ISERROR(HLOOKUP(Q105,$BM$19:$BR113,$D105+1)),"",HLOOKUP(Q105,$BM$19:$BR113,$D105+1))</f>
        <v/>
      </c>
      <c r="AO105" s="14" t="str">
        <f>IF(ISERROR(HLOOKUP(R105,$BM$19:$BR113,$D105+1)),"",HLOOKUP(R105,$BM$19:$BR113,$D105+1))</f>
        <v/>
      </c>
      <c r="AP105" s="14" t="str">
        <f>IF(ISERROR(HLOOKUP(S105,$BM$19:$BR113,$D105+1)),"",HLOOKUP(S105,$BM$19:$BR113,$D105+1))</f>
        <v/>
      </c>
      <c r="AQ105" s="14" t="str">
        <f>IF(ISERROR(HLOOKUP(T105,$BM$19:$BR113,$D105+1)),"",HLOOKUP(T105,$BM$19:$BR113,$D105+1))</f>
        <v/>
      </c>
      <c r="AR105" s="14" t="str">
        <f>IF(ISERROR(HLOOKUP(U105,$BM$19:$BR113,$D105+1)),"",HLOOKUP(U105,$BM$19:$BR113,$D105+1))</f>
        <v/>
      </c>
      <c r="AS105" s="14" t="str">
        <f>IF(ISERROR(HLOOKUP(V105,$BM$19:$BR113,$D105+1)),"",HLOOKUP(V105,$BM$19:$BR113,$D105+1))</f>
        <v/>
      </c>
      <c r="AT105" s="14" t="str">
        <f>IF(ISERROR(HLOOKUP(W105,$BM$19:$BR113,$D105+1)),"",HLOOKUP(W105,$BM$19:$BR113,$D105+1))</f>
        <v/>
      </c>
      <c r="AU105" s="14" t="str">
        <f>IF(ISERROR(HLOOKUP(X105,$BM$19:$BR113,$D105+1)),"",HLOOKUP(X105,$BM$19:$BR113,$D105+1))</f>
        <v/>
      </c>
      <c r="AV105" s="110" t="s">
        <v>207</v>
      </c>
      <c r="AW105" s="110" t="s">
        <v>207</v>
      </c>
    </row>
    <row r="106" spans="1:49" ht="27" customHeight="1">
      <c r="A106" s="24">
        <v>91</v>
      </c>
      <c r="B106" s="152"/>
      <c r="C106" s="149"/>
      <c r="D106" s="147"/>
      <c r="E106" s="148"/>
      <c r="F106" s="148"/>
      <c r="G106" s="148"/>
      <c r="H106" s="148"/>
      <c r="I106" s="148"/>
      <c r="J106" s="148"/>
      <c r="K106" s="148"/>
      <c r="L106" s="148"/>
      <c r="M106" s="148"/>
      <c r="N106" s="148"/>
      <c r="O106" s="148"/>
      <c r="P106" s="148"/>
      <c r="Q106" s="148"/>
      <c r="R106" s="148"/>
      <c r="S106" s="148"/>
      <c r="T106" s="148"/>
      <c r="U106" s="148"/>
      <c r="V106" s="148"/>
      <c r="W106" s="148"/>
      <c r="X106" s="148"/>
      <c r="Y106" s="159">
        <f t="shared" si="3"/>
        <v>0</v>
      </c>
      <c r="Z106" s="111"/>
      <c r="AA106" s="111"/>
      <c r="AB106" s="14" t="str">
        <f>IF(ISERROR(HLOOKUP(E106,$BM$19:$BR114,$D106+1)),"",HLOOKUP(E106,$BM$19:$BR114,$D106+1))</f>
        <v/>
      </c>
      <c r="AC106" s="14" t="str">
        <f>IF(ISERROR(HLOOKUP(F106,$BM$19:$BR114,$D106+1)),"",HLOOKUP(F106,$BM$19:$BR114,$D106+1))</f>
        <v/>
      </c>
      <c r="AD106" s="14" t="str">
        <f>IF(ISERROR(HLOOKUP(G106,$BM$19:$BR114,$D106+1)),"",HLOOKUP(G106,$BM$19:$BR114,$D106+1))</f>
        <v/>
      </c>
      <c r="AE106" s="14" t="str">
        <f>IF(ISERROR(HLOOKUP(H106,$BM$19:$BR114,$D106+1)),"",HLOOKUP(H106,$BM$19:$BR114,$D106+1))</f>
        <v/>
      </c>
      <c r="AF106" s="14" t="str">
        <f>IF(ISERROR(HLOOKUP(I106,$BM$19:$BR114,$D106+1)),"",HLOOKUP(I106,$BM$19:$BR114,$D106+1))</f>
        <v/>
      </c>
      <c r="AG106" s="14" t="str">
        <f>IF(ISERROR(HLOOKUP(J106,$BM$19:$BR114,$D106+1)),"",HLOOKUP(J106,$BM$19:$BR114,$D106+1))</f>
        <v/>
      </c>
      <c r="AH106" s="14" t="str">
        <f>IF(ISERROR(HLOOKUP(K106,$BM$19:$BR114,$D106+1)),"",HLOOKUP(K106,$BM$19:$BR114,$D106+1))</f>
        <v/>
      </c>
      <c r="AI106" s="14" t="str">
        <f>IF(ISERROR(HLOOKUP(L106,$BM$19:$BR114,$D106+1)),"",HLOOKUP(L106,$BM$19:$BR114,$D106+1))</f>
        <v/>
      </c>
      <c r="AJ106" s="14" t="str">
        <f>IF(ISERROR(HLOOKUP(M106,$BM$19:$BR114,$D106+1)),"",HLOOKUP(M106,$BM$19:$BR114,$D106+1))</f>
        <v/>
      </c>
      <c r="AK106" s="14" t="str">
        <f>IF(ISERROR(HLOOKUP(N106,$BM$19:$BR114,$D106+1)),"",HLOOKUP(N106,$BM$19:$BR114,$D106+1))</f>
        <v/>
      </c>
      <c r="AL106" s="14" t="str">
        <f>IF(ISERROR(HLOOKUP(O106,$BM$19:$BR114,$D106+1)),"",HLOOKUP(O106,$BM$19:$BR114,$D106+1))</f>
        <v/>
      </c>
      <c r="AM106" s="14" t="str">
        <f>IF(ISERROR(HLOOKUP(P106,$BM$19:$BR114,$D106+1)),"",HLOOKUP(P106,$BM$19:$BR114,$D106+1))</f>
        <v/>
      </c>
      <c r="AN106" s="14" t="str">
        <f>IF(ISERROR(HLOOKUP(Q106,$BM$19:$BR114,$D106+1)),"",HLOOKUP(Q106,$BM$19:$BR114,$D106+1))</f>
        <v/>
      </c>
      <c r="AO106" s="14" t="str">
        <f>IF(ISERROR(HLOOKUP(R106,$BM$19:$BR114,$D106+1)),"",HLOOKUP(R106,$BM$19:$BR114,$D106+1))</f>
        <v/>
      </c>
      <c r="AP106" s="14" t="str">
        <f>IF(ISERROR(HLOOKUP(S106,$BM$19:$BR114,$D106+1)),"",HLOOKUP(S106,$BM$19:$BR114,$D106+1))</f>
        <v/>
      </c>
      <c r="AQ106" s="14" t="str">
        <f>IF(ISERROR(HLOOKUP(T106,$BM$19:$BR114,$D106+1)),"",HLOOKUP(T106,$BM$19:$BR114,$D106+1))</f>
        <v/>
      </c>
      <c r="AR106" s="14" t="str">
        <f>IF(ISERROR(HLOOKUP(U106,$BM$19:$BR114,$D106+1)),"",HLOOKUP(U106,$BM$19:$BR114,$D106+1))</f>
        <v/>
      </c>
      <c r="AS106" s="14" t="str">
        <f>IF(ISERROR(HLOOKUP(V106,$BM$19:$BR114,$D106+1)),"",HLOOKUP(V106,$BM$19:$BR114,$D106+1))</f>
        <v/>
      </c>
      <c r="AT106" s="14" t="str">
        <f>IF(ISERROR(HLOOKUP(W106,$BM$19:$BR114,$D106+1)),"",HLOOKUP(W106,$BM$19:$BR114,$D106+1))</f>
        <v/>
      </c>
      <c r="AU106" s="14" t="str">
        <f>IF(ISERROR(HLOOKUP(X106,$BM$19:$BR114,$D106+1)),"",HLOOKUP(X106,$BM$19:$BR114,$D106+1))</f>
        <v/>
      </c>
      <c r="AV106" s="110" t="s">
        <v>207</v>
      </c>
      <c r="AW106" s="110" t="s">
        <v>207</v>
      </c>
    </row>
    <row r="107" spans="1:49" ht="27" customHeight="1">
      <c r="A107" s="24">
        <v>92</v>
      </c>
      <c r="B107" s="152"/>
      <c r="C107" s="149"/>
      <c r="D107" s="147"/>
      <c r="E107" s="148"/>
      <c r="F107" s="148"/>
      <c r="G107" s="148"/>
      <c r="H107" s="148"/>
      <c r="I107" s="148"/>
      <c r="J107" s="148"/>
      <c r="K107" s="148"/>
      <c r="L107" s="148"/>
      <c r="M107" s="148"/>
      <c r="N107" s="148"/>
      <c r="O107" s="148"/>
      <c r="P107" s="148"/>
      <c r="Q107" s="148"/>
      <c r="R107" s="148"/>
      <c r="S107" s="148"/>
      <c r="T107" s="148"/>
      <c r="U107" s="148"/>
      <c r="V107" s="148"/>
      <c r="W107" s="148"/>
      <c r="X107" s="148"/>
      <c r="Y107" s="159">
        <f t="shared" si="3"/>
        <v>0</v>
      </c>
      <c r="Z107" s="111"/>
      <c r="AA107" s="111"/>
      <c r="AB107" s="14" t="str">
        <f>IF(ISERROR(HLOOKUP(E107,$BM$19:$BR115,$D107+1)),"",HLOOKUP(E107,$BM$19:$BR115,$D107+1))</f>
        <v/>
      </c>
      <c r="AC107" s="14" t="str">
        <f>IF(ISERROR(HLOOKUP(F107,$BM$19:$BR115,$D107+1)),"",HLOOKUP(F107,$BM$19:$BR115,$D107+1))</f>
        <v/>
      </c>
      <c r="AD107" s="14" t="str">
        <f>IF(ISERROR(HLOOKUP(G107,$BM$19:$BR115,$D107+1)),"",HLOOKUP(G107,$BM$19:$BR115,$D107+1))</f>
        <v/>
      </c>
      <c r="AE107" s="14" t="str">
        <f>IF(ISERROR(HLOOKUP(H107,$BM$19:$BR115,$D107+1)),"",HLOOKUP(H107,$BM$19:$BR115,$D107+1))</f>
        <v/>
      </c>
      <c r="AF107" s="14" t="str">
        <f>IF(ISERROR(HLOOKUP(I107,$BM$19:$BR115,$D107+1)),"",HLOOKUP(I107,$BM$19:$BR115,$D107+1))</f>
        <v/>
      </c>
      <c r="AG107" s="14" t="str">
        <f>IF(ISERROR(HLOOKUP(J107,$BM$19:$BR115,$D107+1)),"",HLOOKUP(J107,$BM$19:$BR115,$D107+1))</f>
        <v/>
      </c>
      <c r="AH107" s="14" t="str">
        <f>IF(ISERROR(HLOOKUP(K107,$BM$19:$BR115,$D107+1)),"",HLOOKUP(K107,$BM$19:$BR115,$D107+1))</f>
        <v/>
      </c>
      <c r="AI107" s="14" t="str">
        <f>IF(ISERROR(HLOOKUP(L107,$BM$19:$BR115,$D107+1)),"",HLOOKUP(L107,$BM$19:$BR115,$D107+1))</f>
        <v/>
      </c>
      <c r="AJ107" s="14" t="str">
        <f>IF(ISERROR(HLOOKUP(M107,$BM$19:$BR115,$D107+1)),"",HLOOKUP(M107,$BM$19:$BR115,$D107+1))</f>
        <v/>
      </c>
      <c r="AK107" s="14" t="str">
        <f>IF(ISERROR(HLOOKUP(N107,$BM$19:$BR115,$D107+1)),"",HLOOKUP(N107,$BM$19:$BR115,$D107+1))</f>
        <v/>
      </c>
      <c r="AL107" s="14" t="str">
        <f>IF(ISERROR(HLOOKUP(O107,$BM$19:$BR115,$D107+1)),"",HLOOKUP(O107,$BM$19:$BR115,$D107+1))</f>
        <v/>
      </c>
      <c r="AM107" s="14" t="str">
        <f>IF(ISERROR(HLOOKUP(P107,$BM$19:$BR115,$D107+1)),"",HLOOKUP(P107,$BM$19:$BR115,$D107+1))</f>
        <v/>
      </c>
      <c r="AN107" s="14" t="str">
        <f>IF(ISERROR(HLOOKUP(Q107,$BM$19:$BR115,$D107+1)),"",HLOOKUP(Q107,$BM$19:$BR115,$D107+1))</f>
        <v/>
      </c>
      <c r="AO107" s="14" t="str">
        <f>IF(ISERROR(HLOOKUP(R107,$BM$19:$BR115,$D107+1)),"",HLOOKUP(R107,$BM$19:$BR115,$D107+1))</f>
        <v/>
      </c>
      <c r="AP107" s="14" t="str">
        <f>IF(ISERROR(HLOOKUP(S107,$BM$19:$BR115,$D107+1)),"",HLOOKUP(S107,$BM$19:$BR115,$D107+1))</f>
        <v/>
      </c>
      <c r="AQ107" s="14" t="str">
        <f>IF(ISERROR(HLOOKUP(T107,$BM$19:$BR115,$D107+1)),"",HLOOKUP(T107,$BM$19:$BR115,$D107+1))</f>
        <v/>
      </c>
      <c r="AR107" s="14" t="str">
        <f>IF(ISERROR(HLOOKUP(U107,$BM$19:$BR115,$D107+1)),"",HLOOKUP(U107,$BM$19:$BR115,$D107+1))</f>
        <v/>
      </c>
      <c r="AS107" s="14" t="str">
        <f>IF(ISERROR(HLOOKUP(V107,$BM$19:$BR115,$D107+1)),"",HLOOKUP(V107,$BM$19:$BR115,$D107+1))</f>
        <v/>
      </c>
      <c r="AT107" s="14" t="str">
        <f>IF(ISERROR(HLOOKUP(W107,$BM$19:$BR115,$D107+1)),"",HLOOKUP(W107,$BM$19:$BR115,$D107+1))</f>
        <v/>
      </c>
      <c r="AU107" s="14" t="str">
        <f>IF(ISERROR(HLOOKUP(X107,$BM$19:$BR115,$D107+1)),"",HLOOKUP(X107,$BM$19:$BR115,$D107+1))</f>
        <v/>
      </c>
      <c r="AV107" s="110" t="s">
        <v>207</v>
      </c>
      <c r="AW107" s="110" t="s">
        <v>207</v>
      </c>
    </row>
    <row r="108" spans="1:49" ht="27" customHeight="1">
      <c r="A108" s="24">
        <v>93</v>
      </c>
      <c r="B108" s="152"/>
      <c r="C108" s="149"/>
      <c r="D108" s="147"/>
      <c r="E108" s="148"/>
      <c r="F108" s="148"/>
      <c r="G108" s="148"/>
      <c r="H108" s="148"/>
      <c r="I108" s="148"/>
      <c r="J108" s="148"/>
      <c r="K108" s="148"/>
      <c r="L108" s="148"/>
      <c r="M108" s="148"/>
      <c r="N108" s="148"/>
      <c r="O108" s="148"/>
      <c r="P108" s="148"/>
      <c r="Q108" s="148"/>
      <c r="R108" s="148"/>
      <c r="S108" s="148"/>
      <c r="T108" s="148"/>
      <c r="U108" s="148"/>
      <c r="V108" s="148"/>
      <c r="W108" s="148"/>
      <c r="X108" s="148"/>
      <c r="Y108" s="159">
        <f t="shared" si="3"/>
        <v>0</v>
      </c>
      <c r="Z108" s="111"/>
      <c r="AA108" s="111"/>
      <c r="AB108" s="14" t="str">
        <f>IF(ISERROR(HLOOKUP(E108,$BM$19:$BR116,$D108+1)),"",HLOOKUP(E108,$BM$19:$BR116,$D108+1))</f>
        <v/>
      </c>
      <c r="AC108" s="14" t="str">
        <f>IF(ISERROR(HLOOKUP(F108,$BM$19:$BR116,$D108+1)),"",HLOOKUP(F108,$BM$19:$BR116,$D108+1))</f>
        <v/>
      </c>
      <c r="AD108" s="14" t="str">
        <f>IF(ISERROR(HLOOKUP(G108,$BM$19:$BR116,$D108+1)),"",HLOOKUP(G108,$BM$19:$BR116,$D108+1))</f>
        <v/>
      </c>
      <c r="AE108" s="14" t="str">
        <f>IF(ISERROR(HLOOKUP(H108,$BM$19:$BR116,$D108+1)),"",HLOOKUP(H108,$BM$19:$BR116,$D108+1))</f>
        <v/>
      </c>
      <c r="AF108" s="14" t="str">
        <f>IF(ISERROR(HLOOKUP(I108,$BM$19:$BR116,$D108+1)),"",HLOOKUP(I108,$BM$19:$BR116,$D108+1))</f>
        <v/>
      </c>
      <c r="AG108" s="14" t="str">
        <f>IF(ISERROR(HLOOKUP(J108,$BM$19:$BR116,$D108+1)),"",HLOOKUP(J108,$BM$19:$BR116,$D108+1))</f>
        <v/>
      </c>
      <c r="AH108" s="14" t="str">
        <f>IF(ISERROR(HLOOKUP(K108,$BM$19:$BR116,$D108+1)),"",HLOOKUP(K108,$BM$19:$BR116,$D108+1))</f>
        <v/>
      </c>
      <c r="AI108" s="14" t="str">
        <f>IF(ISERROR(HLOOKUP(L108,$BM$19:$BR116,$D108+1)),"",HLOOKUP(L108,$BM$19:$BR116,$D108+1))</f>
        <v/>
      </c>
      <c r="AJ108" s="14" t="str">
        <f>IF(ISERROR(HLOOKUP(M108,$BM$19:$BR116,$D108+1)),"",HLOOKUP(M108,$BM$19:$BR116,$D108+1))</f>
        <v/>
      </c>
      <c r="AK108" s="14" t="str">
        <f>IF(ISERROR(HLOOKUP(N108,$BM$19:$BR116,$D108+1)),"",HLOOKUP(N108,$BM$19:$BR116,$D108+1))</f>
        <v/>
      </c>
      <c r="AL108" s="14" t="str">
        <f>IF(ISERROR(HLOOKUP(O108,$BM$19:$BR116,$D108+1)),"",HLOOKUP(O108,$BM$19:$BR116,$D108+1))</f>
        <v/>
      </c>
      <c r="AM108" s="14" t="str">
        <f>IF(ISERROR(HLOOKUP(P108,$BM$19:$BR116,$D108+1)),"",HLOOKUP(P108,$BM$19:$BR116,$D108+1))</f>
        <v/>
      </c>
      <c r="AN108" s="14" t="str">
        <f>IF(ISERROR(HLOOKUP(Q108,$BM$19:$BR116,$D108+1)),"",HLOOKUP(Q108,$BM$19:$BR116,$D108+1))</f>
        <v/>
      </c>
      <c r="AO108" s="14" t="str">
        <f>IF(ISERROR(HLOOKUP(R108,$BM$19:$BR116,$D108+1)),"",HLOOKUP(R108,$BM$19:$BR116,$D108+1))</f>
        <v/>
      </c>
      <c r="AP108" s="14" t="str">
        <f>IF(ISERROR(HLOOKUP(S108,$BM$19:$BR116,$D108+1)),"",HLOOKUP(S108,$BM$19:$BR116,$D108+1))</f>
        <v/>
      </c>
      <c r="AQ108" s="14" t="str">
        <f>IF(ISERROR(HLOOKUP(T108,$BM$19:$BR116,$D108+1)),"",HLOOKUP(T108,$BM$19:$BR116,$D108+1))</f>
        <v/>
      </c>
      <c r="AR108" s="14" t="str">
        <f>IF(ISERROR(HLOOKUP(U108,$BM$19:$BR116,$D108+1)),"",HLOOKUP(U108,$BM$19:$BR116,$D108+1))</f>
        <v/>
      </c>
      <c r="AS108" s="14" t="str">
        <f>IF(ISERROR(HLOOKUP(V108,$BM$19:$BR116,$D108+1)),"",HLOOKUP(V108,$BM$19:$BR116,$D108+1))</f>
        <v/>
      </c>
      <c r="AT108" s="14" t="str">
        <f>IF(ISERROR(HLOOKUP(W108,$BM$19:$BR116,$D108+1)),"",HLOOKUP(W108,$BM$19:$BR116,$D108+1))</f>
        <v/>
      </c>
      <c r="AU108" s="14" t="str">
        <f>IF(ISERROR(HLOOKUP(X108,$BM$19:$BR116,$D108+1)),"",HLOOKUP(X108,$BM$19:$BR116,$D108+1))</f>
        <v/>
      </c>
      <c r="AV108" s="110" t="s">
        <v>207</v>
      </c>
      <c r="AW108" s="110" t="s">
        <v>207</v>
      </c>
    </row>
    <row r="109" spans="1:49" ht="27" customHeight="1">
      <c r="A109" s="24">
        <v>94</v>
      </c>
      <c r="B109" s="152"/>
      <c r="C109" s="149"/>
      <c r="D109" s="147"/>
      <c r="E109" s="148"/>
      <c r="F109" s="148"/>
      <c r="G109" s="148"/>
      <c r="H109" s="148"/>
      <c r="I109" s="148"/>
      <c r="J109" s="148"/>
      <c r="K109" s="148"/>
      <c r="L109" s="148"/>
      <c r="M109" s="148"/>
      <c r="N109" s="148"/>
      <c r="O109" s="148"/>
      <c r="P109" s="148"/>
      <c r="Q109" s="148"/>
      <c r="R109" s="148"/>
      <c r="S109" s="148"/>
      <c r="T109" s="148"/>
      <c r="U109" s="148"/>
      <c r="V109" s="148"/>
      <c r="W109" s="148"/>
      <c r="X109" s="148"/>
      <c r="Y109" s="159">
        <f t="shared" si="3"/>
        <v>0</v>
      </c>
      <c r="Z109" s="111"/>
      <c r="AA109" s="111"/>
      <c r="AB109" s="14" t="str">
        <f>IF(ISERROR(HLOOKUP(E109,$BM$19:$BR117,$D109+1)),"",HLOOKUP(E109,$BM$19:$BR117,$D109+1))</f>
        <v/>
      </c>
      <c r="AC109" s="14" t="str">
        <f>IF(ISERROR(HLOOKUP(F109,$BM$19:$BR117,$D109+1)),"",HLOOKUP(F109,$BM$19:$BR117,$D109+1))</f>
        <v/>
      </c>
      <c r="AD109" s="14" t="str">
        <f>IF(ISERROR(HLOOKUP(G109,$BM$19:$BR117,$D109+1)),"",HLOOKUP(G109,$BM$19:$BR117,$D109+1))</f>
        <v/>
      </c>
      <c r="AE109" s="14" t="str">
        <f>IF(ISERROR(HLOOKUP(H109,$BM$19:$BR117,$D109+1)),"",HLOOKUP(H109,$BM$19:$BR117,$D109+1))</f>
        <v/>
      </c>
      <c r="AF109" s="14" t="str">
        <f>IF(ISERROR(HLOOKUP(I109,$BM$19:$BR117,$D109+1)),"",HLOOKUP(I109,$BM$19:$BR117,$D109+1))</f>
        <v/>
      </c>
      <c r="AG109" s="14" t="str">
        <f>IF(ISERROR(HLOOKUP(J109,$BM$19:$BR117,$D109+1)),"",HLOOKUP(J109,$BM$19:$BR117,$D109+1))</f>
        <v/>
      </c>
      <c r="AH109" s="14" t="str">
        <f>IF(ISERROR(HLOOKUP(K109,$BM$19:$BR117,$D109+1)),"",HLOOKUP(K109,$BM$19:$BR117,$D109+1))</f>
        <v/>
      </c>
      <c r="AI109" s="14" t="str">
        <f>IF(ISERROR(HLOOKUP(L109,$BM$19:$BR117,$D109+1)),"",HLOOKUP(L109,$BM$19:$BR117,$D109+1))</f>
        <v/>
      </c>
      <c r="AJ109" s="14" t="str">
        <f>IF(ISERROR(HLOOKUP(M109,$BM$19:$BR117,$D109+1)),"",HLOOKUP(M109,$BM$19:$BR117,$D109+1))</f>
        <v/>
      </c>
      <c r="AK109" s="14" t="str">
        <f>IF(ISERROR(HLOOKUP(N109,$BM$19:$BR117,$D109+1)),"",HLOOKUP(N109,$BM$19:$BR117,$D109+1))</f>
        <v/>
      </c>
      <c r="AL109" s="14" t="str">
        <f>IF(ISERROR(HLOOKUP(O109,$BM$19:$BR117,$D109+1)),"",HLOOKUP(O109,$BM$19:$BR117,$D109+1))</f>
        <v/>
      </c>
      <c r="AM109" s="14" t="str">
        <f>IF(ISERROR(HLOOKUP(P109,$BM$19:$BR117,$D109+1)),"",HLOOKUP(P109,$BM$19:$BR117,$D109+1))</f>
        <v/>
      </c>
      <c r="AN109" s="14" t="str">
        <f>IF(ISERROR(HLOOKUP(Q109,$BM$19:$BR117,$D109+1)),"",HLOOKUP(Q109,$BM$19:$BR117,$D109+1))</f>
        <v/>
      </c>
      <c r="AO109" s="14" t="str">
        <f>IF(ISERROR(HLOOKUP(R109,$BM$19:$BR117,$D109+1)),"",HLOOKUP(R109,$BM$19:$BR117,$D109+1))</f>
        <v/>
      </c>
      <c r="AP109" s="14" t="str">
        <f>IF(ISERROR(HLOOKUP(S109,$BM$19:$BR117,$D109+1)),"",HLOOKUP(S109,$BM$19:$BR117,$D109+1))</f>
        <v/>
      </c>
      <c r="AQ109" s="14" t="str">
        <f>IF(ISERROR(HLOOKUP(T109,$BM$19:$BR117,$D109+1)),"",HLOOKUP(T109,$BM$19:$BR117,$D109+1))</f>
        <v/>
      </c>
      <c r="AR109" s="14" t="str">
        <f>IF(ISERROR(HLOOKUP(U109,$BM$19:$BR117,$D109+1)),"",HLOOKUP(U109,$BM$19:$BR117,$D109+1))</f>
        <v/>
      </c>
      <c r="AS109" s="14" t="str">
        <f>IF(ISERROR(HLOOKUP(V109,$BM$19:$BR117,$D109+1)),"",HLOOKUP(V109,$BM$19:$BR117,$D109+1))</f>
        <v/>
      </c>
      <c r="AT109" s="14" t="str">
        <f>IF(ISERROR(HLOOKUP(W109,$BM$19:$BR117,$D109+1)),"",HLOOKUP(W109,$BM$19:$BR117,$D109+1))</f>
        <v/>
      </c>
      <c r="AU109" s="14" t="str">
        <f>IF(ISERROR(HLOOKUP(X109,$BM$19:$BR117,$D109+1)),"",HLOOKUP(X109,$BM$19:$BR117,$D109+1))</f>
        <v/>
      </c>
      <c r="AV109" s="110" t="s">
        <v>207</v>
      </c>
      <c r="AW109" s="110" t="s">
        <v>207</v>
      </c>
    </row>
    <row r="110" spans="1:49" ht="27" customHeight="1">
      <c r="A110" s="24">
        <v>95</v>
      </c>
      <c r="B110" s="152"/>
      <c r="C110" s="149"/>
      <c r="D110" s="147"/>
      <c r="E110" s="148"/>
      <c r="F110" s="148"/>
      <c r="G110" s="148"/>
      <c r="H110" s="148"/>
      <c r="I110" s="148"/>
      <c r="J110" s="148"/>
      <c r="K110" s="148"/>
      <c r="L110" s="148"/>
      <c r="M110" s="148"/>
      <c r="N110" s="148"/>
      <c r="O110" s="148"/>
      <c r="P110" s="148"/>
      <c r="Q110" s="148"/>
      <c r="R110" s="148"/>
      <c r="S110" s="148"/>
      <c r="T110" s="148"/>
      <c r="U110" s="148"/>
      <c r="V110" s="148"/>
      <c r="W110" s="148"/>
      <c r="X110" s="148"/>
      <c r="Y110" s="159">
        <f t="shared" si="3"/>
        <v>0</v>
      </c>
      <c r="Z110" s="111"/>
      <c r="AA110" s="111"/>
      <c r="AB110" s="14" t="str">
        <f>IF(ISERROR(HLOOKUP(E110,$BM$19:$BR118,$D110+1)),"",HLOOKUP(E110,$BM$19:$BR118,$D110+1))</f>
        <v/>
      </c>
      <c r="AC110" s="14" t="str">
        <f>IF(ISERROR(HLOOKUP(F110,$BM$19:$BR118,$D110+1)),"",HLOOKUP(F110,$BM$19:$BR118,$D110+1))</f>
        <v/>
      </c>
      <c r="AD110" s="14" t="str">
        <f>IF(ISERROR(HLOOKUP(G110,$BM$19:$BR118,$D110+1)),"",HLOOKUP(G110,$BM$19:$BR118,$D110+1))</f>
        <v/>
      </c>
      <c r="AE110" s="14" t="str">
        <f>IF(ISERROR(HLOOKUP(H110,$BM$19:$BR118,$D110+1)),"",HLOOKUP(H110,$BM$19:$BR118,$D110+1))</f>
        <v/>
      </c>
      <c r="AF110" s="14" t="str">
        <f>IF(ISERROR(HLOOKUP(I110,$BM$19:$BR118,$D110+1)),"",HLOOKUP(I110,$BM$19:$BR118,$D110+1))</f>
        <v/>
      </c>
      <c r="AG110" s="14" t="str">
        <f>IF(ISERROR(HLOOKUP(J110,$BM$19:$BR118,$D110+1)),"",HLOOKUP(J110,$BM$19:$BR118,$D110+1))</f>
        <v/>
      </c>
      <c r="AH110" s="14" t="str">
        <f>IF(ISERROR(HLOOKUP(K110,$BM$19:$BR118,$D110+1)),"",HLOOKUP(K110,$BM$19:$BR118,$D110+1))</f>
        <v/>
      </c>
      <c r="AI110" s="14" t="str">
        <f>IF(ISERROR(HLOOKUP(L110,$BM$19:$BR118,$D110+1)),"",HLOOKUP(L110,$BM$19:$BR118,$D110+1))</f>
        <v/>
      </c>
      <c r="AJ110" s="14" t="str">
        <f>IF(ISERROR(HLOOKUP(M110,$BM$19:$BR118,$D110+1)),"",HLOOKUP(M110,$BM$19:$BR118,$D110+1))</f>
        <v/>
      </c>
      <c r="AK110" s="14" t="str">
        <f>IF(ISERROR(HLOOKUP(N110,$BM$19:$BR118,$D110+1)),"",HLOOKUP(N110,$BM$19:$BR118,$D110+1))</f>
        <v/>
      </c>
      <c r="AL110" s="14" t="str">
        <f>IF(ISERROR(HLOOKUP(O110,$BM$19:$BR118,$D110+1)),"",HLOOKUP(O110,$BM$19:$BR118,$D110+1))</f>
        <v/>
      </c>
      <c r="AM110" s="14" t="str">
        <f>IF(ISERROR(HLOOKUP(P110,$BM$19:$BR118,$D110+1)),"",HLOOKUP(P110,$BM$19:$BR118,$D110+1))</f>
        <v/>
      </c>
      <c r="AN110" s="14" t="str">
        <f>IF(ISERROR(HLOOKUP(Q110,$BM$19:$BR118,$D110+1)),"",HLOOKUP(Q110,$BM$19:$BR118,$D110+1))</f>
        <v/>
      </c>
      <c r="AO110" s="14" t="str">
        <f>IF(ISERROR(HLOOKUP(R110,$BM$19:$BR118,$D110+1)),"",HLOOKUP(R110,$BM$19:$BR118,$D110+1))</f>
        <v/>
      </c>
      <c r="AP110" s="14" t="str">
        <f>IF(ISERROR(HLOOKUP(S110,$BM$19:$BR118,$D110+1)),"",HLOOKUP(S110,$BM$19:$BR118,$D110+1))</f>
        <v/>
      </c>
      <c r="AQ110" s="14" t="str">
        <f>IF(ISERROR(HLOOKUP(T110,$BM$19:$BR118,$D110+1)),"",HLOOKUP(T110,$BM$19:$BR118,$D110+1))</f>
        <v/>
      </c>
      <c r="AR110" s="14" t="str">
        <f>IF(ISERROR(HLOOKUP(U110,$BM$19:$BR118,$D110+1)),"",HLOOKUP(U110,$BM$19:$BR118,$D110+1))</f>
        <v/>
      </c>
      <c r="AS110" s="14" t="str">
        <f>IF(ISERROR(HLOOKUP(V110,$BM$19:$BR118,$D110+1)),"",HLOOKUP(V110,$BM$19:$BR118,$D110+1))</f>
        <v/>
      </c>
      <c r="AT110" s="14" t="str">
        <f>IF(ISERROR(HLOOKUP(W110,$BM$19:$BR118,$D110+1)),"",HLOOKUP(W110,$BM$19:$BR118,$D110+1))</f>
        <v/>
      </c>
      <c r="AU110" s="14" t="str">
        <f>IF(ISERROR(HLOOKUP(X110,$BM$19:$BR118,$D110+1)),"",HLOOKUP(X110,$BM$19:$BR118,$D110+1))</f>
        <v/>
      </c>
      <c r="AV110" s="110" t="s">
        <v>207</v>
      </c>
      <c r="AW110" s="110" t="s">
        <v>207</v>
      </c>
    </row>
    <row r="111" spans="1:49" ht="27" customHeight="1">
      <c r="A111" s="24">
        <v>96</v>
      </c>
      <c r="B111" s="152"/>
      <c r="C111" s="149"/>
      <c r="D111" s="147"/>
      <c r="E111" s="148"/>
      <c r="F111" s="148"/>
      <c r="G111" s="148"/>
      <c r="H111" s="148"/>
      <c r="I111" s="148"/>
      <c r="J111" s="148"/>
      <c r="K111" s="148"/>
      <c r="L111" s="148"/>
      <c r="M111" s="148"/>
      <c r="N111" s="148"/>
      <c r="O111" s="148"/>
      <c r="P111" s="148"/>
      <c r="Q111" s="148"/>
      <c r="R111" s="148"/>
      <c r="S111" s="148"/>
      <c r="T111" s="148"/>
      <c r="U111" s="148"/>
      <c r="V111" s="148"/>
      <c r="W111" s="148"/>
      <c r="X111" s="148"/>
      <c r="Y111" s="159">
        <f t="shared" si="3"/>
        <v>0</v>
      </c>
      <c r="Z111" s="111"/>
      <c r="AA111" s="111"/>
      <c r="AB111" s="14" t="str">
        <f>IF(ISERROR(HLOOKUP(E111,$BM$19:$BR119,$D111+1)),"",HLOOKUP(E111,$BM$19:$BR119,$D111+1))</f>
        <v/>
      </c>
      <c r="AC111" s="14" t="str">
        <f>IF(ISERROR(HLOOKUP(F111,$BM$19:$BR119,$D111+1)),"",HLOOKUP(F111,$BM$19:$BR119,$D111+1))</f>
        <v/>
      </c>
      <c r="AD111" s="14" t="str">
        <f>IF(ISERROR(HLOOKUP(G111,$BM$19:$BR119,$D111+1)),"",HLOOKUP(G111,$BM$19:$BR119,$D111+1))</f>
        <v/>
      </c>
      <c r="AE111" s="14" t="str">
        <f>IF(ISERROR(HLOOKUP(H111,$BM$19:$BR119,$D111+1)),"",HLOOKUP(H111,$BM$19:$BR119,$D111+1))</f>
        <v/>
      </c>
      <c r="AF111" s="14" t="str">
        <f>IF(ISERROR(HLOOKUP(I111,$BM$19:$BR119,$D111+1)),"",HLOOKUP(I111,$BM$19:$BR119,$D111+1))</f>
        <v/>
      </c>
      <c r="AG111" s="14" t="str">
        <f>IF(ISERROR(HLOOKUP(J111,$BM$19:$BR119,$D111+1)),"",HLOOKUP(J111,$BM$19:$BR119,$D111+1))</f>
        <v/>
      </c>
      <c r="AH111" s="14" t="str">
        <f>IF(ISERROR(HLOOKUP(K111,$BM$19:$BR119,$D111+1)),"",HLOOKUP(K111,$BM$19:$BR119,$D111+1))</f>
        <v/>
      </c>
      <c r="AI111" s="14" t="str">
        <f>IF(ISERROR(HLOOKUP(L111,$BM$19:$BR119,$D111+1)),"",HLOOKUP(L111,$BM$19:$BR119,$D111+1))</f>
        <v/>
      </c>
      <c r="AJ111" s="14" t="str">
        <f>IF(ISERROR(HLOOKUP(M111,$BM$19:$BR119,$D111+1)),"",HLOOKUP(M111,$BM$19:$BR119,$D111+1))</f>
        <v/>
      </c>
      <c r="AK111" s="14" t="str">
        <f>IF(ISERROR(HLOOKUP(N111,$BM$19:$BR119,$D111+1)),"",HLOOKUP(N111,$BM$19:$BR119,$D111+1))</f>
        <v/>
      </c>
      <c r="AL111" s="14" t="str">
        <f>IF(ISERROR(HLOOKUP(O111,$BM$19:$BR119,$D111+1)),"",HLOOKUP(O111,$BM$19:$BR119,$D111+1))</f>
        <v/>
      </c>
      <c r="AM111" s="14" t="str">
        <f>IF(ISERROR(HLOOKUP(P111,$BM$19:$BR119,$D111+1)),"",HLOOKUP(P111,$BM$19:$BR119,$D111+1))</f>
        <v/>
      </c>
      <c r="AN111" s="14" t="str">
        <f>IF(ISERROR(HLOOKUP(Q111,$BM$19:$BR119,$D111+1)),"",HLOOKUP(Q111,$BM$19:$BR119,$D111+1))</f>
        <v/>
      </c>
      <c r="AO111" s="14" t="str">
        <f>IF(ISERROR(HLOOKUP(R111,$BM$19:$BR119,$D111+1)),"",HLOOKUP(R111,$BM$19:$BR119,$D111+1))</f>
        <v/>
      </c>
      <c r="AP111" s="14" t="str">
        <f>IF(ISERROR(HLOOKUP(S111,$BM$19:$BR119,$D111+1)),"",HLOOKUP(S111,$BM$19:$BR119,$D111+1))</f>
        <v/>
      </c>
      <c r="AQ111" s="14" t="str">
        <f>IF(ISERROR(HLOOKUP(T111,$BM$19:$BR119,$D111+1)),"",HLOOKUP(T111,$BM$19:$BR119,$D111+1))</f>
        <v/>
      </c>
      <c r="AR111" s="14" t="str">
        <f>IF(ISERROR(HLOOKUP(U111,$BM$19:$BR119,$D111+1)),"",HLOOKUP(U111,$BM$19:$BR119,$D111+1))</f>
        <v/>
      </c>
      <c r="AS111" s="14" t="str">
        <f>IF(ISERROR(HLOOKUP(V111,$BM$19:$BR119,$D111+1)),"",HLOOKUP(V111,$BM$19:$BR119,$D111+1))</f>
        <v/>
      </c>
      <c r="AT111" s="14" t="str">
        <f>IF(ISERROR(HLOOKUP(W111,$BM$19:$BR119,$D111+1)),"",HLOOKUP(W111,$BM$19:$BR119,$D111+1))</f>
        <v/>
      </c>
      <c r="AU111" s="14" t="str">
        <f>IF(ISERROR(HLOOKUP(X111,$BM$19:$BR119,$D111+1)),"",HLOOKUP(X111,$BM$19:$BR119,$D111+1))</f>
        <v/>
      </c>
      <c r="AV111" s="110" t="s">
        <v>207</v>
      </c>
      <c r="AW111" s="110" t="s">
        <v>207</v>
      </c>
    </row>
    <row r="112" spans="1:49" ht="27" customHeight="1">
      <c r="A112" s="24">
        <v>97</v>
      </c>
      <c r="B112" s="152"/>
      <c r="C112" s="149"/>
      <c r="D112" s="147"/>
      <c r="E112" s="148"/>
      <c r="F112" s="148"/>
      <c r="G112" s="148"/>
      <c r="H112" s="148"/>
      <c r="I112" s="148"/>
      <c r="J112" s="148"/>
      <c r="K112" s="148"/>
      <c r="L112" s="148"/>
      <c r="M112" s="148"/>
      <c r="N112" s="148"/>
      <c r="O112" s="148"/>
      <c r="P112" s="148"/>
      <c r="Q112" s="148"/>
      <c r="R112" s="148"/>
      <c r="S112" s="148"/>
      <c r="T112" s="148"/>
      <c r="U112" s="148"/>
      <c r="V112" s="148"/>
      <c r="W112" s="148"/>
      <c r="X112" s="148"/>
      <c r="Y112" s="158">
        <f t="shared" si="3"/>
        <v>0</v>
      </c>
      <c r="Z112" s="111"/>
      <c r="AA112" s="111"/>
      <c r="AB112" s="14" t="str">
        <f>IF(ISERROR(HLOOKUP(E112,$BM$19:$BR120,$D112+1)),"",HLOOKUP(E112,$BM$19:$BR120,$D112+1))</f>
        <v/>
      </c>
      <c r="AC112" s="14" t="str">
        <f>IF(ISERROR(HLOOKUP(F112,$BM$19:$BR120,$D112+1)),"",HLOOKUP(F112,$BM$19:$BR120,$D112+1))</f>
        <v/>
      </c>
      <c r="AD112" s="14" t="str">
        <f>IF(ISERROR(HLOOKUP(G112,$BM$19:$BR120,$D112+1)),"",HLOOKUP(G112,$BM$19:$BR120,$D112+1))</f>
        <v/>
      </c>
      <c r="AE112" s="14" t="str">
        <f>IF(ISERROR(HLOOKUP(H112,$BM$19:$BR120,$D112+1)),"",HLOOKUP(H112,$BM$19:$BR120,$D112+1))</f>
        <v/>
      </c>
      <c r="AF112" s="14" t="str">
        <f>IF(ISERROR(HLOOKUP(I112,$BM$19:$BR120,$D112+1)),"",HLOOKUP(I112,$BM$19:$BR120,$D112+1))</f>
        <v/>
      </c>
      <c r="AG112" s="14" t="str">
        <f>IF(ISERROR(HLOOKUP(J112,$BM$19:$BR120,$D112+1)),"",HLOOKUP(J112,$BM$19:$BR120,$D112+1))</f>
        <v/>
      </c>
      <c r="AH112" s="14" t="str">
        <f>IF(ISERROR(HLOOKUP(K112,$BM$19:$BR120,$D112+1)),"",HLOOKUP(K112,$BM$19:$BR120,$D112+1))</f>
        <v/>
      </c>
      <c r="AI112" s="14" t="str">
        <f>IF(ISERROR(HLOOKUP(L112,$BM$19:$BR120,$D112+1)),"",HLOOKUP(L112,$BM$19:$BR120,$D112+1))</f>
        <v/>
      </c>
      <c r="AJ112" s="14" t="str">
        <f>IF(ISERROR(HLOOKUP(M112,$BM$19:$BR120,$D112+1)),"",HLOOKUP(M112,$BM$19:$BR120,$D112+1))</f>
        <v/>
      </c>
      <c r="AK112" s="14" t="str">
        <f>IF(ISERROR(HLOOKUP(N112,$BM$19:$BR120,$D112+1)),"",HLOOKUP(N112,$BM$19:$BR120,$D112+1))</f>
        <v/>
      </c>
      <c r="AL112" s="14" t="str">
        <f>IF(ISERROR(HLOOKUP(O112,$BM$19:$BR120,$D112+1)),"",HLOOKUP(O112,$BM$19:$BR120,$D112+1))</f>
        <v/>
      </c>
      <c r="AM112" s="14" t="str">
        <f>IF(ISERROR(HLOOKUP(P112,$BM$19:$BR120,$D112+1)),"",HLOOKUP(P112,$BM$19:$BR120,$D112+1))</f>
        <v/>
      </c>
      <c r="AN112" s="14" t="str">
        <f>IF(ISERROR(HLOOKUP(Q112,$BM$19:$BR120,$D112+1)),"",HLOOKUP(Q112,$BM$19:$BR120,$D112+1))</f>
        <v/>
      </c>
      <c r="AO112" s="14" t="str">
        <f>IF(ISERROR(HLOOKUP(R112,$BM$19:$BR120,$D112+1)),"",HLOOKUP(R112,$BM$19:$BR120,$D112+1))</f>
        <v/>
      </c>
      <c r="AP112" s="14" t="str">
        <f>IF(ISERROR(HLOOKUP(S112,$BM$19:$BR120,$D112+1)),"",HLOOKUP(S112,$BM$19:$BR120,$D112+1))</f>
        <v/>
      </c>
      <c r="AQ112" s="14" t="str">
        <f>IF(ISERROR(HLOOKUP(T112,$BM$19:$BR120,$D112+1)),"",HLOOKUP(T112,$BM$19:$BR120,$D112+1))</f>
        <v/>
      </c>
      <c r="AR112" s="14" t="str">
        <f>IF(ISERROR(HLOOKUP(U112,$BM$19:$BR120,$D112+1)),"",HLOOKUP(U112,$BM$19:$BR120,$D112+1))</f>
        <v/>
      </c>
      <c r="AS112" s="14" t="str">
        <f>IF(ISERROR(HLOOKUP(V112,$BM$19:$BR120,$D112+1)),"",HLOOKUP(V112,$BM$19:$BR120,$D112+1))</f>
        <v/>
      </c>
      <c r="AT112" s="14" t="str">
        <f>IF(ISERROR(HLOOKUP(W112,$BM$19:$BR120,$D112+1)),"",HLOOKUP(W112,$BM$19:$BR120,$D112+1))</f>
        <v/>
      </c>
      <c r="AU112" s="14" t="str">
        <f>IF(ISERROR(HLOOKUP(X112,$BM$19:$BR120,$D112+1)),"",HLOOKUP(X112,$BM$19:$BR120,$D112+1))</f>
        <v/>
      </c>
      <c r="AV112" s="14" t="s">
        <v>207</v>
      </c>
      <c r="AW112" s="14" t="s">
        <v>207</v>
      </c>
    </row>
    <row r="113" spans="1:49" ht="27" customHeight="1">
      <c r="A113" s="24">
        <v>98</v>
      </c>
      <c r="B113" s="152"/>
      <c r="C113" s="149"/>
      <c r="D113" s="147"/>
      <c r="E113" s="148"/>
      <c r="F113" s="148"/>
      <c r="G113" s="148"/>
      <c r="H113" s="148"/>
      <c r="I113" s="148"/>
      <c r="J113" s="148"/>
      <c r="K113" s="148"/>
      <c r="L113" s="148"/>
      <c r="M113" s="148"/>
      <c r="N113" s="148"/>
      <c r="O113" s="148"/>
      <c r="P113" s="148"/>
      <c r="Q113" s="148"/>
      <c r="R113" s="148"/>
      <c r="S113" s="148"/>
      <c r="T113" s="148"/>
      <c r="U113" s="148"/>
      <c r="V113" s="148"/>
      <c r="W113" s="148"/>
      <c r="X113" s="148"/>
      <c r="Y113" s="158">
        <f t="shared" si="3"/>
        <v>0</v>
      </c>
      <c r="Z113" s="111"/>
      <c r="AA113" s="111"/>
      <c r="AB113" s="14" t="str">
        <f>IF(ISERROR(HLOOKUP(E113,$BM$19:$BR121,$D113+1)),"",HLOOKUP(E113,$BM$19:$BR121,$D113+1))</f>
        <v/>
      </c>
      <c r="AC113" s="14" t="str">
        <f>IF(ISERROR(HLOOKUP(F113,$BM$19:$BR121,$D113+1)),"",HLOOKUP(F113,$BM$19:$BR121,$D113+1))</f>
        <v/>
      </c>
      <c r="AD113" s="14" t="str">
        <f>IF(ISERROR(HLOOKUP(G113,$BM$19:$BR121,$D113+1)),"",HLOOKUP(G113,$BM$19:$BR121,$D113+1))</f>
        <v/>
      </c>
      <c r="AE113" s="14" t="str">
        <f>IF(ISERROR(HLOOKUP(H113,$BM$19:$BR121,$D113+1)),"",HLOOKUP(H113,$BM$19:$BR121,$D113+1))</f>
        <v/>
      </c>
      <c r="AF113" s="14" t="str">
        <f>IF(ISERROR(HLOOKUP(I113,$BM$19:$BR121,$D113+1)),"",HLOOKUP(I113,$BM$19:$BR121,$D113+1))</f>
        <v/>
      </c>
      <c r="AG113" s="14" t="str">
        <f>IF(ISERROR(HLOOKUP(J113,$BM$19:$BR121,$D113+1)),"",HLOOKUP(J113,$BM$19:$BR121,$D113+1))</f>
        <v/>
      </c>
      <c r="AH113" s="14" t="str">
        <f>IF(ISERROR(HLOOKUP(K113,$BM$19:$BR121,$D113+1)),"",HLOOKUP(K113,$BM$19:$BR121,$D113+1))</f>
        <v/>
      </c>
      <c r="AI113" s="14" t="str">
        <f>IF(ISERROR(HLOOKUP(L113,$BM$19:$BR121,$D113+1)),"",HLOOKUP(L113,$BM$19:$BR121,$D113+1))</f>
        <v/>
      </c>
      <c r="AJ113" s="14" t="str">
        <f>IF(ISERROR(HLOOKUP(M113,$BM$19:$BR121,$D113+1)),"",HLOOKUP(M113,$BM$19:$BR121,$D113+1))</f>
        <v/>
      </c>
      <c r="AK113" s="14" t="str">
        <f>IF(ISERROR(HLOOKUP(N113,$BM$19:$BR121,$D113+1)),"",HLOOKUP(N113,$BM$19:$BR121,$D113+1))</f>
        <v/>
      </c>
      <c r="AL113" s="14" t="str">
        <f>IF(ISERROR(HLOOKUP(O113,$BM$19:$BR121,$D113+1)),"",HLOOKUP(O113,$BM$19:$BR121,$D113+1))</f>
        <v/>
      </c>
      <c r="AM113" s="14" t="str">
        <f>IF(ISERROR(HLOOKUP(P113,$BM$19:$BR121,$D113+1)),"",HLOOKUP(P113,$BM$19:$BR121,$D113+1))</f>
        <v/>
      </c>
      <c r="AN113" s="14" t="str">
        <f>IF(ISERROR(HLOOKUP(Q113,$BM$19:$BR121,$D113+1)),"",HLOOKUP(Q113,$BM$19:$BR121,$D113+1))</f>
        <v/>
      </c>
      <c r="AO113" s="14" t="str">
        <f>IF(ISERROR(HLOOKUP(R113,$BM$19:$BR121,$D113+1)),"",HLOOKUP(R113,$BM$19:$BR121,$D113+1))</f>
        <v/>
      </c>
      <c r="AP113" s="14" t="str">
        <f>IF(ISERROR(HLOOKUP(S113,$BM$19:$BR121,$D113+1)),"",HLOOKUP(S113,$BM$19:$BR121,$D113+1))</f>
        <v/>
      </c>
      <c r="AQ113" s="14" t="str">
        <f>IF(ISERROR(HLOOKUP(T113,$BM$19:$BR121,$D113+1)),"",HLOOKUP(T113,$BM$19:$BR121,$D113+1))</f>
        <v/>
      </c>
      <c r="AR113" s="14" t="str">
        <f>IF(ISERROR(HLOOKUP(U113,$BM$19:$BR121,$D113+1)),"",HLOOKUP(U113,$BM$19:$BR121,$D113+1))</f>
        <v/>
      </c>
      <c r="AS113" s="14" t="str">
        <f>IF(ISERROR(HLOOKUP(V113,$BM$19:$BR121,$D113+1)),"",HLOOKUP(V113,$BM$19:$BR121,$D113+1))</f>
        <v/>
      </c>
      <c r="AT113" s="14" t="str">
        <f>IF(ISERROR(HLOOKUP(W113,$BM$19:$BR121,$D113+1)),"",HLOOKUP(W113,$BM$19:$BR121,$D113+1))</f>
        <v/>
      </c>
      <c r="AU113" s="14" t="str">
        <f>IF(ISERROR(HLOOKUP(X113,$BM$19:$BR121,$D113+1)),"",HLOOKUP(X113,$BM$19:$BR121,$D113+1))</f>
        <v/>
      </c>
      <c r="AV113" s="14" t="s">
        <v>207</v>
      </c>
      <c r="AW113" s="14" t="s">
        <v>207</v>
      </c>
    </row>
    <row r="114" spans="1:49" ht="27" customHeight="1">
      <c r="A114" s="24">
        <v>99</v>
      </c>
      <c r="B114" s="152"/>
      <c r="C114" s="149"/>
      <c r="D114" s="147"/>
      <c r="E114" s="148"/>
      <c r="F114" s="148"/>
      <c r="G114" s="148"/>
      <c r="H114" s="148"/>
      <c r="I114" s="148"/>
      <c r="J114" s="148"/>
      <c r="K114" s="148"/>
      <c r="L114" s="148"/>
      <c r="M114" s="148"/>
      <c r="N114" s="148"/>
      <c r="O114" s="148"/>
      <c r="P114" s="148"/>
      <c r="Q114" s="148"/>
      <c r="R114" s="148"/>
      <c r="S114" s="148"/>
      <c r="T114" s="148"/>
      <c r="U114" s="148"/>
      <c r="V114" s="148"/>
      <c r="W114" s="148"/>
      <c r="X114" s="148"/>
      <c r="Y114" s="158">
        <f t="shared" si="3"/>
        <v>0</v>
      </c>
      <c r="Z114" s="111"/>
      <c r="AA114" s="111"/>
      <c r="AB114" s="14" t="str">
        <f>IF(ISERROR(HLOOKUP(E114,$BM$19:$BR122,$D114+1)),"",HLOOKUP(E114,$BM$19:$BR122,$D114+1))</f>
        <v/>
      </c>
      <c r="AC114" s="14" t="str">
        <f>IF(ISERROR(HLOOKUP(F114,$BM$19:$BR122,$D114+1)),"",HLOOKUP(F114,$BM$19:$BR122,$D114+1))</f>
        <v/>
      </c>
      <c r="AD114" s="14" t="str">
        <f>IF(ISERROR(HLOOKUP(G114,$BM$19:$BR122,$D114+1)),"",HLOOKUP(G114,$BM$19:$BR122,$D114+1))</f>
        <v/>
      </c>
      <c r="AE114" s="14" t="str">
        <f>IF(ISERROR(HLOOKUP(H114,$BM$19:$BR122,$D114+1)),"",HLOOKUP(H114,$BM$19:$BR122,$D114+1))</f>
        <v/>
      </c>
      <c r="AF114" s="14" t="str">
        <f>IF(ISERROR(HLOOKUP(I114,$BM$19:$BR122,$D114+1)),"",HLOOKUP(I114,$BM$19:$BR122,$D114+1))</f>
        <v/>
      </c>
      <c r="AG114" s="14" t="str">
        <f>IF(ISERROR(HLOOKUP(J114,$BM$19:$BR122,$D114+1)),"",HLOOKUP(J114,$BM$19:$BR122,$D114+1))</f>
        <v/>
      </c>
      <c r="AH114" s="14" t="str">
        <f>IF(ISERROR(HLOOKUP(K114,$BM$19:$BR122,$D114+1)),"",HLOOKUP(K114,$BM$19:$BR122,$D114+1))</f>
        <v/>
      </c>
      <c r="AI114" s="14" t="str">
        <f>IF(ISERROR(HLOOKUP(L114,$BM$19:$BR122,$D114+1)),"",HLOOKUP(L114,$BM$19:$BR122,$D114+1))</f>
        <v/>
      </c>
      <c r="AJ114" s="14" t="str">
        <f>IF(ISERROR(HLOOKUP(M114,$BM$19:$BR122,$D114+1)),"",HLOOKUP(M114,$BM$19:$BR122,$D114+1))</f>
        <v/>
      </c>
      <c r="AK114" s="14" t="str">
        <f>IF(ISERROR(HLOOKUP(N114,$BM$19:$BR122,$D114+1)),"",HLOOKUP(N114,$BM$19:$BR122,$D114+1))</f>
        <v/>
      </c>
      <c r="AL114" s="14" t="str">
        <f>IF(ISERROR(HLOOKUP(O114,$BM$19:$BR122,$D114+1)),"",HLOOKUP(O114,$BM$19:$BR122,$D114+1))</f>
        <v/>
      </c>
      <c r="AM114" s="14" t="str">
        <f>IF(ISERROR(HLOOKUP(P114,$BM$19:$BR122,$D114+1)),"",HLOOKUP(P114,$BM$19:$BR122,$D114+1))</f>
        <v/>
      </c>
      <c r="AN114" s="14" t="str">
        <f>IF(ISERROR(HLOOKUP(Q114,$BM$19:$BR122,$D114+1)),"",HLOOKUP(Q114,$BM$19:$BR122,$D114+1))</f>
        <v/>
      </c>
      <c r="AO114" s="14" t="str">
        <f>IF(ISERROR(HLOOKUP(R114,$BM$19:$BR122,$D114+1)),"",HLOOKUP(R114,$BM$19:$BR122,$D114+1))</f>
        <v/>
      </c>
      <c r="AP114" s="14" t="str">
        <f>IF(ISERROR(HLOOKUP(S114,$BM$19:$BR122,$D114+1)),"",HLOOKUP(S114,$BM$19:$BR122,$D114+1))</f>
        <v/>
      </c>
      <c r="AQ114" s="14" t="str">
        <f>IF(ISERROR(HLOOKUP(T114,$BM$19:$BR122,$D114+1)),"",HLOOKUP(T114,$BM$19:$BR122,$D114+1))</f>
        <v/>
      </c>
      <c r="AR114" s="14" t="str">
        <f>IF(ISERROR(HLOOKUP(U114,$BM$19:$BR122,$D114+1)),"",HLOOKUP(U114,$BM$19:$BR122,$D114+1))</f>
        <v/>
      </c>
      <c r="AS114" s="14" t="str">
        <f>IF(ISERROR(HLOOKUP(V114,$BM$19:$BR122,$D114+1)),"",HLOOKUP(V114,$BM$19:$BR122,$D114+1))</f>
        <v/>
      </c>
      <c r="AT114" s="14" t="str">
        <f>IF(ISERROR(HLOOKUP(W114,$BM$19:$BR122,$D114+1)),"",HLOOKUP(W114,$BM$19:$BR122,$D114+1))</f>
        <v/>
      </c>
      <c r="AU114" s="14" t="str">
        <f>IF(ISERROR(HLOOKUP(X114,$BM$19:$BR122,$D114+1)),"",HLOOKUP(X114,$BM$19:$BR122,$D114+1))</f>
        <v/>
      </c>
      <c r="AV114" s="14" t="s">
        <v>207</v>
      </c>
      <c r="AW114" s="14" t="s">
        <v>207</v>
      </c>
    </row>
    <row r="115" spans="1:49" ht="27" customHeight="1">
      <c r="A115" s="24">
        <v>100</v>
      </c>
      <c r="B115" s="152"/>
      <c r="C115" s="149"/>
      <c r="D115" s="147"/>
      <c r="E115" s="148"/>
      <c r="F115" s="148"/>
      <c r="G115" s="148"/>
      <c r="H115" s="148"/>
      <c r="I115" s="148"/>
      <c r="J115" s="148"/>
      <c r="K115" s="148"/>
      <c r="L115" s="148"/>
      <c r="M115" s="148"/>
      <c r="N115" s="148"/>
      <c r="O115" s="148"/>
      <c r="P115" s="148"/>
      <c r="Q115" s="148"/>
      <c r="R115" s="148"/>
      <c r="S115" s="148"/>
      <c r="T115" s="148"/>
      <c r="U115" s="148"/>
      <c r="V115" s="148"/>
      <c r="W115" s="148"/>
      <c r="X115" s="148"/>
      <c r="Y115" s="159">
        <f t="shared" si="3"/>
        <v>0</v>
      </c>
      <c r="Z115" s="111"/>
      <c r="AA115" s="111"/>
      <c r="AB115" s="14" t="str">
        <f>IF(ISERROR(HLOOKUP(E115,$BM$19:$BR123,$D115+1)),"",HLOOKUP(E115,$BM$19:$BR123,$D115+1))</f>
        <v/>
      </c>
      <c r="AC115" s="14" t="str">
        <f>IF(ISERROR(HLOOKUP(F115,$BM$19:$BR123,$D115+1)),"",HLOOKUP(F115,$BM$19:$BR123,$D115+1))</f>
        <v/>
      </c>
      <c r="AD115" s="14" t="str">
        <f>IF(ISERROR(HLOOKUP(G115,$BM$19:$BR123,$D115+1)),"",HLOOKUP(G115,$BM$19:$BR123,$D115+1))</f>
        <v/>
      </c>
      <c r="AE115" s="14" t="str">
        <f>IF(ISERROR(HLOOKUP(H115,$BM$19:$BR123,$D115+1)),"",HLOOKUP(H115,$BM$19:$BR123,$D115+1))</f>
        <v/>
      </c>
      <c r="AF115" s="14" t="str">
        <f>IF(ISERROR(HLOOKUP(I115,$BM$19:$BR123,$D115+1)),"",HLOOKUP(I115,$BM$19:$BR123,$D115+1))</f>
        <v/>
      </c>
      <c r="AG115" s="14" t="str">
        <f>IF(ISERROR(HLOOKUP(J115,$BM$19:$BR123,$D115+1)),"",HLOOKUP(J115,$BM$19:$BR123,$D115+1))</f>
        <v/>
      </c>
      <c r="AH115" s="14" t="str">
        <f>IF(ISERROR(HLOOKUP(K115,$BM$19:$BR123,$D115+1)),"",HLOOKUP(K115,$BM$19:$BR123,$D115+1))</f>
        <v/>
      </c>
      <c r="AI115" s="14" t="str">
        <f>IF(ISERROR(HLOOKUP(L115,$BM$19:$BR123,$D115+1)),"",HLOOKUP(L115,$BM$19:$BR123,$D115+1))</f>
        <v/>
      </c>
      <c r="AJ115" s="14" t="str">
        <f>IF(ISERROR(HLOOKUP(M115,$BM$19:$BR123,$D115+1)),"",HLOOKUP(M115,$BM$19:$BR123,$D115+1))</f>
        <v/>
      </c>
      <c r="AK115" s="14" t="str">
        <f>IF(ISERROR(HLOOKUP(N115,$BM$19:$BR123,$D115+1)),"",HLOOKUP(N115,$BM$19:$BR123,$D115+1))</f>
        <v/>
      </c>
      <c r="AL115" s="14" t="str">
        <f>IF(ISERROR(HLOOKUP(O115,$BM$19:$BR123,$D115+1)),"",HLOOKUP(O115,$BM$19:$BR123,$D115+1))</f>
        <v/>
      </c>
      <c r="AM115" s="14" t="str">
        <f>IF(ISERROR(HLOOKUP(P115,$BM$19:$BR123,$D115+1)),"",HLOOKUP(P115,$BM$19:$BR123,$D115+1))</f>
        <v/>
      </c>
      <c r="AN115" s="14" t="str">
        <f>IF(ISERROR(HLOOKUP(Q115,$BM$19:$BR123,$D115+1)),"",HLOOKUP(Q115,$BM$19:$BR123,$D115+1))</f>
        <v/>
      </c>
      <c r="AO115" s="14" t="str">
        <f>IF(ISERROR(HLOOKUP(R115,$BM$19:$BR123,$D115+1)),"",HLOOKUP(R115,$BM$19:$BR123,$D115+1))</f>
        <v/>
      </c>
      <c r="AP115" s="14" t="str">
        <f>IF(ISERROR(HLOOKUP(S115,$BM$19:$BR123,$D115+1)),"",HLOOKUP(S115,$BM$19:$BR123,$D115+1))</f>
        <v/>
      </c>
      <c r="AQ115" s="14" t="str">
        <f>IF(ISERROR(HLOOKUP(T115,$BM$19:$BR123,$D115+1)),"",HLOOKUP(T115,$BM$19:$BR123,$D115+1))</f>
        <v/>
      </c>
      <c r="AR115" s="14" t="str">
        <f>IF(ISERROR(HLOOKUP(U115,$BM$19:$BR123,$D115+1)),"",HLOOKUP(U115,$BM$19:$BR123,$D115+1))</f>
        <v/>
      </c>
      <c r="AS115" s="14" t="str">
        <f>IF(ISERROR(HLOOKUP(V115,$BM$19:$BR123,$D115+1)),"",HLOOKUP(V115,$BM$19:$BR123,$D115+1))</f>
        <v/>
      </c>
      <c r="AT115" s="14" t="str">
        <f>IF(ISERROR(HLOOKUP(W115,$BM$19:$BR123,$D115+1)),"",HLOOKUP(W115,$BM$19:$BR123,$D115+1))</f>
        <v/>
      </c>
      <c r="AU115" s="14" t="str">
        <f>IF(ISERROR(HLOOKUP(X115,$BM$19:$BR123,$D115+1)),"",HLOOKUP(X115,$BM$19:$BR123,$D115+1))</f>
        <v/>
      </c>
      <c r="AV115" s="110" t="s">
        <v>207</v>
      </c>
      <c r="AW115" s="110" t="s">
        <v>207</v>
      </c>
    </row>
    <row r="116" spans="1:49">
      <c r="B116" s="17"/>
    </row>
    <row r="117" spans="1:49">
      <c r="B117" s="17"/>
    </row>
    <row r="118" spans="1:49">
      <c r="B118" s="17"/>
    </row>
    <row r="119" spans="1:49">
      <c r="B119" s="17"/>
    </row>
    <row r="120" spans="1:49">
      <c r="B120" s="17"/>
    </row>
    <row r="121" spans="1:49">
      <c r="B121" s="17"/>
    </row>
    <row r="122" spans="1:49">
      <c r="B122" s="17"/>
    </row>
  </sheetData>
  <mergeCells count="31">
    <mergeCell ref="BH19:BJ20"/>
    <mergeCell ref="BG18:BJ18"/>
    <mergeCell ref="BC20:BE20"/>
    <mergeCell ref="BC21:BE21"/>
    <mergeCell ref="BC22:BE22"/>
    <mergeCell ref="AW13:BA13"/>
    <mergeCell ref="E14:AV14"/>
    <mergeCell ref="CE13:CI13"/>
    <mergeCell ref="AW14:BA14"/>
    <mergeCell ref="CE14:CI14"/>
    <mergeCell ref="B2:R2"/>
    <mergeCell ref="E13:AV13"/>
    <mergeCell ref="B13:B16"/>
    <mergeCell ref="C13:C16"/>
    <mergeCell ref="D13:D16"/>
    <mergeCell ref="BN18:BR18"/>
    <mergeCell ref="BL20:BL25"/>
    <mergeCell ref="BG27:BG28"/>
    <mergeCell ref="BH27:BJ28"/>
    <mergeCell ref="BC23:BE23"/>
    <mergeCell ref="BC24:BE24"/>
    <mergeCell ref="BC25:BE25"/>
    <mergeCell ref="BH25:BJ26"/>
    <mergeCell ref="BG25:BG26"/>
    <mergeCell ref="BH23:BJ24"/>
    <mergeCell ref="BG23:BG24"/>
    <mergeCell ref="BB18:BE18"/>
    <mergeCell ref="BC19:BE19"/>
    <mergeCell ref="BH21:BJ22"/>
    <mergeCell ref="BG21:BG22"/>
    <mergeCell ref="BG19:BG20"/>
  </mergeCells>
  <phoneticPr fontId="41" type="noConversion"/>
  <conditionalFormatting sqref="E17:P34 E35:E44 J35:P44 E45:P115 Q17:X115">
    <cfRule type="cellIs" dxfId="420" priority="18" operator="equal">
      <formula>1</formula>
    </cfRule>
    <cfRule type="cellIs" dxfId="419" priority="19" operator="equal">
      <formula>2</formula>
    </cfRule>
    <cfRule type="cellIs" dxfId="418" priority="20" operator="equal">
      <formula>5</formula>
    </cfRule>
    <cfRule type="cellIs" dxfId="417" priority="21" operator="equal">
      <formula>4</formula>
    </cfRule>
    <cfRule type="cellIs" dxfId="416" priority="22" operator="equal">
      <formula>3</formula>
    </cfRule>
  </conditionalFormatting>
  <conditionalFormatting sqref="Y18:AA115 Y17 Z16">
    <cfRule type="cellIs" dxfId="415" priority="16" operator="equal">
      <formula>0</formula>
    </cfRule>
  </conditionalFormatting>
  <dataValidations count="3">
    <dataValidation type="list" allowBlank="1" showInputMessage="1" showErrorMessage="1" sqref="E28:E115 F45:I115 F28:I34 E17:X27 J28:X115">
      <formula1>$H$4:$H$9</formula1>
    </dataValidation>
    <dataValidation type="list" allowBlank="1" showInputMessage="1" showErrorMessage="1" sqref="C17:C115">
      <formula1>"Oper, Main"</formula1>
    </dataValidation>
    <dataValidation type="list" allowBlank="1" showInputMessage="1" showErrorMessage="1" sqref="D17:D115">
      <formula1>$D$4:$D$12</formula1>
    </dataValidation>
  </dataValidations>
  <hyperlinks>
    <hyperlink ref="CJ2:CN2" location="'OMAT%20Process%20Map'!A8" display="'OMAT%20Process%20Map'!A8"/>
    <hyperlink ref="E16" location="'DPRefs'!B4" display="Fall from height"/>
    <hyperlink ref="F16" location="'DPRefs'!C4" display="Fall on same level"/>
    <hyperlink ref="H16" location="'DPRefs'!E4" display="Struck by/contact with materials, substances or moving objects"/>
    <hyperlink ref="I16" location="'DPRefs'!F4" display="Caught between moving objects"/>
    <hyperlink ref="J16" location="'DPRefs'!G4" display="Rim or tire failure"/>
    <hyperlink ref="K16" location="'DPRefs'!H4" display="Fire arising from damage to electrical cables, hydraulic hoses, fuel lines"/>
    <hyperlink ref="L16" location="'DPRefs'!I4" display="Musculoskeletal injury from manual tasks risk factors "/>
    <hyperlink ref="M16" location="'DPRefs'!J4" display="Collisions due to restricted visibility"/>
    <hyperlink ref="N16" location="'DPRefs'!K4" display="Loss of machine stability"/>
    <hyperlink ref="O16" location="'DPRefs'!L4" display="Inadvertent/erroneous operation of controls"/>
    <hyperlink ref="P16" location="'DPRefs'!M4" display="Incorrect understanding of displays or labels"/>
    <hyperlink ref="R16" location="'DPRefs'!o4" display="Harm due to  extreme temperature exposure"/>
    <hyperlink ref="S16" location="'DPRefs'!p4" display="Harm due to dust exposure"/>
    <hyperlink ref="T16" location="'DPRefs'!q4" display="Harm due to DPMs or other particulates exposure"/>
    <hyperlink ref="U16" location="'DPRefs'!r4" display="Harm due to noise exposure"/>
    <hyperlink ref="V16" location="'DPRefs'!s4" display="Harm due to whole-body or peripheral vibration exposure "/>
    <hyperlink ref="X16" location="'DPRefs'!u4" display="Asphyxiation in confined space"/>
    <hyperlink ref="G16" location="'DPRefs'!D4" display="Blocked access/ egress"/>
    <hyperlink ref="W16" location="'DPRefs'!t4" display="Failure of control systems"/>
    <hyperlink ref="Q16" location="'DPRefs'!N4" display="Failure to respond to alarm"/>
  </hyperlinks>
  <pageMargins left="0.70866141732283472" right="0.70866141732283472" top="0.74803149606299213" bottom="0.74803149606299213" header="0.31496062992125984" footer="0.31496062992125984"/>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I501"/>
  <sheetViews>
    <sheetView topLeftCell="A5" workbookViewId="0">
      <selection activeCell="A51" sqref="A51:L51"/>
    </sheetView>
  </sheetViews>
  <sheetFormatPr baseColWidth="10" defaultColWidth="8.83203125" defaultRowHeight="18" x14ac:dyDescent="0"/>
  <cols>
    <col min="1" max="1" width="8.6640625" style="127" customWidth="1"/>
    <col min="2" max="2" width="14.1640625" customWidth="1"/>
    <col min="3" max="3" width="21.6640625" customWidth="1"/>
    <col min="4" max="4" width="11.5" customWidth="1"/>
    <col min="5" max="5" width="13.6640625" customWidth="1"/>
    <col min="6" max="6" width="14.5" customWidth="1"/>
    <col min="7" max="7" width="11" customWidth="1"/>
    <col min="8" max="8" width="57.33203125" customWidth="1"/>
    <col min="9" max="9" width="40" customWidth="1"/>
    <col min="10" max="10" width="48.5" customWidth="1"/>
    <col min="11" max="11" width="33.33203125" customWidth="1"/>
    <col min="12" max="13" width="10.5" customWidth="1"/>
    <col min="14" max="14" width="51.6640625" customWidth="1"/>
    <col min="15" max="15" width="17.6640625" customWidth="1"/>
    <col min="16" max="16" width="31.1640625" customWidth="1"/>
    <col min="17" max="17" width="15.5" hidden="1" customWidth="1"/>
    <col min="18" max="22" width="11.5" hidden="1" customWidth="1"/>
    <col min="23" max="35" width="8.83203125" hidden="1" customWidth="1"/>
  </cols>
  <sheetData>
    <row r="2" spans="1:35" ht="80" customHeight="1">
      <c r="C2" s="198" t="s">
        <v>214</v>
      </c>
      <c r="D2" s="199"/>
      <c r="E2" s="199"/>
      <c r="F2" s="199"/>
      <c r="G2" s="199"/>
      <c r="H2" s="199"/>
      <c r="I2" s="199"/>
      <c r="J2" s="199"/>
      <c r="K2" s="199"/>
      <c r="L2" s="199"/>
      <c r="M2" s="199"/>
      <c r="N2" s="199"/>
      <c r="O2" s="199"/>
      <c r="P2" s="199"/>
      <c r="Q2" s="199"/>
      <c r="R2" s="199"/>
      <c r="S2" s="199"/>
      <c r="T2" s="199"/>
      <c r="U2" s="199"/>
      <c r="V2" s="199"/>
      <c r="W2" s="199"/>
    </row>
    <row r="3" spans="1:35" ht="46" customHeight="1">
      <c r="A3" s="174"/>
      <c r="B3" s="169" t="s">
        <v>254</v>
      </c>
      <c r="C3" s="167"/>
      <c r="D3" s="167"/>
      <c r="E3" s="167"/>
      <c r="F3" s="167"/>
      <c r="G3" s="167"/>
      <c r="H3" s="168"/>
      <c r="I3" s="168"/>
      <c r="J3" s="168"/>
      <c r="K3" s="168"/>
      <c r="L3" s="236"/>
      <c r="M3" s="135"/>
      <c r="N3" s="135"/>
      <c r="O3" s="135"/>
      <c r="P3" s="126"/>
      <c r="Q3" s="126"/>
      <c r="R3" s="126"/>
      <c r="S3" s="126"/>
      <c r="T3" s="126"/>
      <c r="U3" s="126"/>
      <c r="V3" s="126"/>
      <c r="W3" s="126"/>
    </row>
    <row r="4" spans="1:35">
      <c r="A4" s="174" t="s">
        <v>197</v>
      </c>
      <c r="B4" s="215" t="s">
        <v>255</v>
      </c>
      <c r="C4" s="215"/>
      <c r="D4" s="215"/>
      <c r="E4" s="215"/>
      <c r="F4" s="215"/>
      <c r="G4" s="215"/>
      <c r="H4" s="215"/>
      <c r="I4" s="233" t="s">
        <v>30</v>
      </c>
      <c r="J4" s="234"/>
      <c r="K4" s="235"/>
      <c r="L4" s="236"/>
    </row>
    <row r="5" spans="1:35">
      <c r="A5" s="174" t="s">
        <v>246</v>
      </c>
      <c r="B5" s="215" t="s">
        <v>244</v>
      </c>
      <c r="C5" s="215"/>
      <c r="D5" s="215"/>
      <c r="E5" s="215"/>
      <c r="F5" s="215"/>
      <c r="G5" s="215"/>
      <c r="H5" s="215"/>
      <c r="I5" s="233" t="s">
        <v>31</v>
      </c>
      <c r="J5" s="234"/>
      <c r="K5" s="235"/>
      <c r="L5" s="236"/>
    </row>
    <row r="6" spans="1:35">
      <c r="A6" s="174"/>
      <c r="B6" s="215" t="s">
        <v>247</v>
      </c>
      <c r="C6" s="215"/>
      <c r="D6" s="215"/>
      <c r="E6" s="215"/>
      <c r="F6" s="215"/>
      <c r="G6" s="215"/>
      <c r="H6" s="215"/>
      <c r="I6" s="237" t="s">
        <v>271</v>
      </c>
      <c r="J6" s="238"/>
      <c r="K6" s="173"/>
      <c r="L6" s="236"/>
    </row>
    <row r="7" spans="1:35" s="19" customFormat="1" ht="46" thickBot="1">
      <c r="A7" s="175">
        <v>1</v>
      </c>
      <c r="B7" s="95" t="s">
        <v>32</v>
      </c>
      <c r="C7" s="95" t="s">
        <v>190</v>
      </c>
      <c r="D7" s="95" t="s">
        <v>33</v>
      </c>
      <c r="E7" s="95" t="s">
        <v>36</v>
      </c>
      <c r="F7" s="95" t="s">
        <v>196</v>
      </c>
      <c r="G7" s="95" t="s">
        <v>37</v>
      </c>
      <c r="H7" s="95" t="s">
        <v>34</v>
      </c>
      <c r="I7" s="95" t="s">
        <v>250</v>
      </c>
      <c r="J7" s="95" t="s">
        <v>35</v>
      </c>
      <c r="K7" s="95" t="s">
        <v>191</v>
      </c>
      <c r="L7" s="236"/>
      <c r="M7" s="128"/>
      <c r="N7" s="141" t="s">
        <v>248</v>
      </c>
      <c r="O7" s="128"/>
      <c r="P7" s="138"/>
      <c r="AC7" s="19" t="e">
        <f t="shared" ref="AC7:AC24" si="0">VLOOKUP(F8,Z$10:AA$14,2,FALSE)</f>
        <v>#N/A</v>
      </c>
      <c r="AI7" s="19" t="e">
        <f>VLOOKUP(G8,$AF$8:$AG$12,2,FALSE)</f>
        <v>#N/A</v>
      </c>
    </row>
    <row r="8" spans="1:35" ht="22" thickBot="1">
      <c r="A8" s="174"/>
      <c r="B8" s="121"/>
      <c r="C8" s="121"/>
      <c r="D8" s="121"/>
      <c r="E8" s="121" t="s">
        <v>201</v>
      </c>
      <c r="F8" s="121" t="s">
        <v>201</v>
      </c>
      <c r="G8" s="121" t="str">
        <f>IF(ISERROR(VLOOKUP(E8,Q$10:V$14,AC7+1,FALSE)),"",VLOOKUP(E8,Q$10:V$14,AC7+1,FALSE))</f>
        <v/>
      </c>
      <c r="H8" s="121"/>
      <c r="I8" s="121"/>
      <c r="J8" s="121"/>
      <c r="K8" s="121"/>
      <c r="L8" s="236"/>
      <c r="M8" s="142" t="s">
        <v>240</v>
      </c>
      <c r="N8" s="139"/>
      <c r="O8" s="139"/>
      <c r="P8" s="140"/>
      <c r="Q8" s="20"/>
      <c r="R8" s="212" t="s">
        <v>38</v>
      </c>
      <c r="S8" s="213"/>
      <c r="T8" s="213"/>
      <c r="U8" s="213"/>
      <c r="V8" s="214"/>
      <c r="AC8" s="19" t="e">
        <f t="shared" si="0"/>
        <v>#N/A</v>
      </c>
      <c r="AF8" s="100" t="s">
        <v>47</v>
      </c>
      <c r="AG8">
        <v>1</v>
      </c>
    </row>
    <row r="9" spans="1:35" ht="24" thickBot="1">
      <c r="A9" s="174"/>
      <c r="B9" s="121"/>
      <c r="C9" s="121"/>
      <c r="D9" s="121"/>
      <c r="E9" s="121" t="s">
        <v>201</v>
      </c>
      <c r="F9" s="121" t="s">
        <v>201</v>
      </c>
      <c r="G9" s="121" t="str">
        <f>IF(ISERROR(VLOOKUP(E9,Q$10:V$14,AC8+1,FALSE)),"",VLOOKUP(E9,Q$10:V$14,AC8+1,FALSE))</f>
        <v/>
      </c>
      <c r="H9" s="121"/>
      <c r="I9" s="121"/>
      <c r="J9" s="121"/>
      <c r="K9" s="121"/>
      <c r="L9" s="236"/>
      <c r="M9" s="137">
        <v>1</v>
      </c>
      <c r="N9" s="137"/>
      <c r="O9" s="139"/>
      <c r="P9" s="140"/>
      <c r="Q9" s="23" t="s">
        <v>39</v>
      </c>
      <c r="R9" s="22" t="s">
        <v>40</v>
      </c>
      <c r="S9" s="22" t="s">
        <v>44</v>
      </c>
      <c r="T9" s="22" t="s">
        <v>241</v>
      </c>
      <c r="U9" s="22" t="s">
        <v>41</v>
      </c>
      <c r="V9" s="22" t="s">
        <v>42</v>
      </c>
      <c r="W9" s="125" t="s">
        <v>201</v>
      </c>
      <c r="AC9" s="19" t="e">
        <f t="shared" si="0"/>
        <v>#N/A</v>
      </c>
      <c r="AF9" s="99" t="s">
        <v>46</v>
      </c>
      <c r="AG9">
        <v>2</v>
      </c>
    </row>
    <row r="10" spans="1:35" ht="24" thickBot="1">
      <c r="A10" s="174"/>
      <c r="B10" s="121"/>
      <c r="C10" s="121"/>
      <c r="D10" s="121"/>
      <c r="E10" s="121" t="s">
        <v>201</v>
      </c>
      <c r="F10" s="121" t="s">
        <v>201</v>
      </c>
      <c r="G10" s="121" t="str">
        <f t="shared" ref="G10:G25" si="1">IF(ISERROR(VLOOKUP(E10,Q$10:V$14,AC9+1,FALSE)),"",VLOOKUP(E10,Q$10:V$14,AC9+1,FALSE))</f>
        <v/>
      </c>
      <c r="H10" s="121"/>
      <c r="I10" s="121"/>
      <c r="J10" s="121"/>
      <c r="K10" s="121"/>
      <c r="L10" s="236"/>
      <c r="M10" s="137">
        <v>2</v>
      </c>
      <c r="N10" s="137"/>
      <c r="O10" s="139"/>
      <c r="P10" s="140"/>
      <c r="Q10" s="21" t="s">
        <v>242</v>
      </c>
      <c r="R10" s="99" t="s">
        <v>256</v>
      </c>
      <c r="S10" s="97" t="s">
        <v>45</v>
      </c>
      <c r="T10" s="172" t="s">
        <v>257</v>
      </c>
      <c r="U10" s="172" t="s">
        <v>257</v>
      </c>
      <c r="V10" s="172" t="s">
        <v>257</v>
      </c>
      <c r="Z10" s="22" t="s">
        <v>40</v>
      </c>
      <c r="AA10">
        <v>1</v>
      </c>
      <c r="AC10" s="19" t="e">
        <f t="shared" si="0"/>
        <v>#N/A</v>
      </c>
      <c r="AF10" s="98" t="s">
        <v>44</v>
      </c>
      <c r="AG10">
        <v>3</v>
      </c>
    </row>
    <row r="11" spans="1:35" ht="24" thickBot="1">
      <c r="A11" s="174"/>
      <c r="B11" s="121"/>
      <c r="C11" s="121"/>
      <c r="D11" s="121"/>
      <c r="E11" s="121" t="s">
        <v>201</v>
      </c>
      <c r="F11" s="121" t="s">
        <v>201</v>
      </c>
      <c r="G11" s="121" t="str">
        <f t="shared" si="1"/>
        <v/>
      </c>
      <c r="H11" s="121"/>
      <c r="I11" s="121"/>
      <c r="J11" s="121"/>
      <c r="K11" s="121"/>
      <c r="L11" s="236"/>
      <c r="M11" s="137">
        <v>3</v>
      </c>
      <c r="N11" s="137"/>
      <c r="O11" s="139"/>
      <c r="P11" s="140"/>
      <c r="Q11" s="21" t="s">
        <v>48</v>
      </c>
      <c r="R11" s="99" t="s">
        <v>256</v>
      </c>
      <c r="S11" s="97" t="s">
        <v>45</v>
      </c>
      <c r="T11" s="97" t="s">
        <v>45</v>
      </c>
      <c r="U11" s="172" t="s">
        <v>257</v>
      </c>
      <c r="V11" s="172" t="s">
        <v>257</v>
      </c>
      <c r="Z11" s="22" t="s">
        <v>44</v>
      </c>
      <c r="AA11">
        <v>2</v>
      </c>
      <c r="AC11" s="19" t="e">
        <f t="shared" si="0"/>
        <v>#N/A</v>
      </c>
      <c r="AF11" s="97" t="s">
        <v>45</v>
      </c>
      <c r="AG11">
        <v>4</v>
      </c>
    </row>
    <row r="12" spans="1:35" ht="24" thickBot="1">
      <c r="A12" s="174"/>
      <c r="B12" s="121"/>
      <c r="C12" s="121"/>
      <c r="D12" s="121"/>
      <c r="E12" s="121" t="s">
        <v>201</v>
      </c>
      <c r="F12" s="121" t="s">
        <v>201</v>
      </c>
      <c r="G12" s="121" t="str">
        <f t="shared" si="1"/>
        <v/>
      </c>
      <c r="H12" s="121"/>
      <c r="I12" s="121"/>
      <c r="J12" s="121"/>
      <c r="K12" s="121"/>
      <c r="L12" s="236"/>
      <c r="M12" s="137">
        <v>4</v>
      </c>
      <c r="N12" s="137"/>
      <c r="O12" s="139"/>
      <c r="P12" s="140"/>
      <c r="Q12" s="21" t="s">
        <v>49</v>
      </c>
      <c r="R12" s="99" t="s">
        <v>46</v>
      </c>
      <c r="S12" s="99" t="s">
        <v>256</v>
      </c>
      <c r="T12" s="98" t="s">
        <v>45</v>
      </c>
      <c r="U12" s="172" t="s">
        <v>257</v>
      </c>
      <c r="V12" s="172" t="s">
        <v>257</v>
      </c>
      <c r="Z12" s="22" t="s">
        <v>241</v>
      </c>
      <c r="AA12">
        <v>3</v>
      </c>
      <c r="AC12" s="19" t="e">
        <f t="shared" si="0"/>
        <v>#N/A</v>
      </c>
      <c r="AF12" s="96" t="s">
        <v>43</v>
      </c>
      <c r="AG12">
        <v>5</v>
      </c>
    </row>
    <row r="13" spans="1:35" ht="24" thickBot="1">
      <c r="A13" s="174"/>
      <c r="B13" s="121"/>
      <c r="C13" s="121"/>
      <c r="D13" s="121"/>
      <c r="E13" s="121" t="s">
        <v>201</v>
      </c>
      <c r="F13" s="121" t="s">
        <v>201</v>
      </c>
      <c r="G13" s="121" t="str">
        <f t="shared" si="1"/>
        <v/>
      </c>
      <c r="H13" s="121"/>
      <c r="I13" s="121"/>
      <c r="J13" s="121"/>
      <c r="K13" s="121"/>
      <c r="L13" s="236"/>
      <c r="M13" s="137">
        <v>5</v>
      </c>
      <c r="N13" s="137"/>
      <c r="O13" s="139"/>
      <c r="P13" s="140"/>
      <c r="Q13" s="21" t="s">
        <v>50</v>
      </c>
      <c r="R13" s="99" t="s">
        <v>46</v>
      </c>
      <c r="S13" s="99" t="s">
        <v>46</v>
      </c>
      <c r="T13" s="99" t="s">
        <v>256</v>
      </c>
      <c r="U13" s="98" t="s">
        <v>45</v>
      </c>
      <c r="V13" s="172" t="s">
        <v>257</v>
      </c>
      <c r="Z13" s="22" t="s">
        <v>41</v>
      </c>
      <c r="AA13">
        <v>4</v>
      </c>
      <c r="AC13" s="19" t="e">
        <f t="shared" si="0"/>
        <v>#N/A</v>
      </c>
    </row>
    <row r="14" spans="1:35" ht="24" thickBot="1">
      <c r="A14" s="174"/>
      <c r="B14" s="121"/>
      <c r="C14" s="121"/>
      <c r="D14" s="121"/>
      <c r="E14" s="121" t="s">
        <v>201</v>
      </c>
      <c r="F14" s="121" t="s">
        <v>201</v>
      </c>
      <c r="G14" s="121" t="str">
        <f t="shared" si="1"/>
        <v/>
      </c>
      <c r="H14" s="121"/>
      <c r="I14" s="121"/>
      <c r="J14" s="121"/>
      <c r="K14" s="121"/>
      <c r="L14" s="236"/>
      <c r="M14" s="137">
        <v>6</v>
      </c>
      <c r="N14" s="137"/>
      <c r="O14" s="139"/>
      <c r="P14" s="140"/>
      <c r="Q14" s="21" t="s">
        <v>243</v>
      </c>
      <c r="R14" s="100" t="s">
        <v>46</v>
      </c>
      <c r="S14" s="99" t="s">
        <v>46</v>
      </c>
      <c r="T14" s="99" t="s">
        <v>256</v>
      </c>
      <c r="U14" s="98" t="s">
        <v>45</v>
      </c>
      <c r="V14" s="98" t="s">
        <v>45</v>
      </c>
      <c r="Z14" s="22" t="s">
        <v>42</v>
      </c>
      <c r="AA14">
        <v>5</v>
      </c>
      <c r="AC14" s="19" t="e">
        <f t="shared" si="0"/>
        <v>#N/A</v>
      </c>
    </row>
    <row r="15" spans="1:35" ht="23">
      <c r="A15" s="174"/>
      <c r="B15" s="121"/>
      <c r="C15" s="121"/>
      <c r="D15" s="121"/>
      <c r="E15" s="121" t="s">
        <v>201</v>
      </c>
      <c r="F15" s="121" t="s">
        <v>201</v>
      </c>
      <c r="G15" s="121" t="str">
        <f t="shared" si="1"/>
        <v/>
      </c>
      <c r="H15" s="121"/>
      <c r="I15" s="121"/>
      <c r="J15" s="121"/>
      <c r="K15" s="121"/>
      <c r="L15" s="236"/>
      <c r="M15" s="137">
        <v>7</v>
      </c>
      <c r="N15" s="137"/>
      <c r="O15" s="139"/>
      <c r="P15" s="140"/>
      <c r="Q15" s="124" t="s">
        <v>201</v>
      </c>
      <c r="AC15" s="19" t="e">
        <f t="shared" si="0"/>
        <v>#N/A</v>
      </c>
    </row>
    <row r="16" spans="1:35" ht="23">
      <c r="A16" s="174"/>
      <c r="B16" s="121"/>
      <c r="C16" s="121"/>
      <c r="D16" s="121"/>
      <c r="E16" s="121" t="s">
        <v>201</v>
      </c>
      <c r="F16" s="121" t="s">
        <v>201</v>
      </c>
      <c r="G16" s="121" t="str">
        <f t="shared" si="1"/>
        <v/>
      </c>
      <c r="H16" s="121"/>
      <c r="I16" s="121"/>
      <c r="J16" s="121"/>
      <c r="K16" s="121"/>
      <c r="L16" s="236"/>
      <c r="M16" s="137">
        <v>8</v>
      </c>
      <c r="N16" s="137"/>
      <c r="O16" s="139"/>
      <c r="P16" s="140"/>
      <c r="AC16" s="19" t="e">
        <f t="shared" si="0"/>
        <v>#N/A</v>
      </c>
    </row>
    <row r="17" spans="1:35" ht="25" customHeight="1">
      <c r="A17" s="174"/>
      <c r="B17" s="121"/>
      <c r="C17" s="121"/>
      <c r="D17" s="121"/>
      <c r="E17" s="121" t="s">
        <v>201</v>
      </c>
      <c r="F17" s="121" t="s">
        <v>201</v>
      </c>
      <c r="G17" s="121" t="str">
        <f t="shared" si="1"/>
        <v/>
      </c>
      <c r="H17" s="121"/>
      <c r="I17" s="121"/>
      <c r="J17" s="121"/>
      <c r="K17" s="121"/>
      <c r="L17" s="236"/>
      <c r="M17" s="137">
        <v>9</v>
      </c>
      <c r="N17" s="137"/>
      <c r="O17" s="139"/>
      <c r="P17" s="140"/>
      <c r="AC17" s="19" t="e">
        <f t="shared" si="0"/>
        <v>#N/A</v>
      </c>
    </row>
    <row r="18" spans="1:35" ht="24" customHeight="1">
      <c r="A18" s="174"/>
      <c r="B18" s="121"/>
      <c r="C18" s="121"/>
      <c r="D18" s="121"/>
      <c r="E18" s="121" t="s">
        <v>201</v>
      </c>
      <c r="F18" s="121" t="s">
        <v>201</v>
      </c>
      <c r="G18" s="121" t="str">
        <f t="shared" si="1"/>
        <v/>
      </c>
      <c r="H18" s="121"/>
      <c r="I18" s="121"/>
      <c r="J18" s="121"/>
      <c r="K18" s="121"/>
      <c r="L18" s="236"/>
      <c r="M18" s="137">
        <v>10</v>
      </c>
      <c r="N18" s="137"/>
      <c r="O18" s="139"/>
      <c r="P18" s="140"/>
      <c r="AC18" s="19" t="e">
        <f t="shared" si="0"/>
        <v>#N/A</v>
      </c>
    </row>
    <row r="19" spans="1:35" ht="24" customHeight="1">
      <c r="A19" s="174"/>
      <c r="B19" s="121"/>
      <c r="C19" s="121"/>
      <c r="D19" s="121"/>
      <c r="E19" s="121" t="s">
        <v>201</v>
      </c>
      <c r="F19" s="121" t="s">
        <v>201</v>
      </c>
      <c r="G19" s="121" t="str">
        <f t="shared" si="1"/>
        <v/>
      </c>
      <c r="H19" s="121"/>
      <c r="I19" s="121"/>
      <c r="J19" s="121"/>
      <c r="K19" s="121"/>
      <c r="L19" s="236"/>
      <c r="M19" s="139"/>
      <c r="N19" s="139"/>
      <c r="O19" s="139"/>
      <c r="P19" s="140"/>
      <c r="AC19" s="19" t="e">
        <f t="shared" si="0"/>
        <v>#N/A</v>
      </c>
    </row>
    <row r="20" spans="1:35" ht="21">
      <c r="A20" s="174"/>
      <c r="B20" s="121"/>
      <c r="C20" s="121"/>
      <c r="D20" s="121"/>
      <c r="E20" s="121" t="s">
        <v>201</v>
      </c>
      <c r="F20" s="121" t="s">
        <v>201</v>
      </c>
      <c r="G20" s="121" t="str">
        <f t="shared" si="1"/>
        <v/>
      </c>
      <c r="H20" s="121"/>
      <c r="I20" s="121"/>
      <c r="J20" s="121"/>
      <c r="K20" s="121"/>
      <c r="L20" s="236"/>
      <c r="M20" s="139"/>
      <c r="N20" s="139"/>
      <c r="O20" s="139"/>
      <c r="P20" s="140"/>
      <c r="AC20" s="19" t="e">
        <f t="shared" si="0"/>
        <v>#N/A</v>
      </c>
    </row>
    <row r="21" spans="1:35" ht="21">
      <c r="A21" s="174"/>
      <c r="B21" s="121"/>
      <c r="C21" s="121"/>
      <c r="D21" s="121"/>
      <c r="E21" s="121" t="s">
        <v>201</v>
      </c>
      <c r="F21" s="121" t="s">
        <v>201</v>
      </c>
      <c r="G21" s="121" t="str">
        <f t="shared" si="1"/>
        <v/>
      </c>
      <c r="H21" s="121"/>
      <c r="I21" s="121"/>
      <c r="J21" s="121"/>
      <c r="K21" s="121"/>
      <c r="L21" s="236"/>
      <c r="M21" s="139"/>
      <c r="N21" s="139"/>
      <c r="O21" s="139"/>
      <c r="P21" s="140"/>
      <c r="AC21" s="19" t="e">
        <f t="shared" si="0"/>
        <v>#N/A</v>
      </c>
    </row>
    <row r="22" spans="1:35" ht="21">
      <c r="A22" s="174"/>
      <c r="B22" s="121"/>
      <c r="C22" s="121"/>
      <c r="D22" s="121"/>
      <c r="E22" s="121" t="s">
        <v>201</v>
      </c>
      <c r="F22" s="121" t="s">
        <v>201</v>
      </c>
      <c r="G22" s="121" t="str">
        <f t="shared" si="1"/>
        <v/>
      </c>
      <c r="H22" s="121"/>
      <c r="I22" s="121"/>
      <c r="J22" s="121"/>
      <c r="K22" s="121"/>
      <c r="L22" s="236"/>
      <c r="M22" s="139"/>
      <c r="N22" s="139"/>
      <c r="O22" s="139"/>
      <c r="P22" s="140"/>
      <c r="AC22" s="19" t="e">
        <f t="shared" si="0"/>
        <v>#N/A</v>
      </c>
    </row>
    <row r="23" spans="1:35" ht="21">
      <c r="A23" s="174"/>
      <c r="B23" s="121"/>
      <c r="C23" s="121"/>
      <c r="D23" s="121"/>
      <c r="E23" s="121" t="s">
        <v>201</v>
      </c>
      <c r="F23" s="121" t="s">
        <v>201</v>
      </c>
      <c r="G23" s="121" t="str">
        <f t="shared" si="1"/>
        <v/>
      </c>
      <c r="H23" s="121"/>
      <c r="I23" s="121"/>
      <c r="J23" s="121"/>
      <c r="K23" s="121"/>
      <c r="L23" s="236"/>
      <c r="M23" s="139"/>
      <c r="N23" s="139"/>
      <c r="O23" s="139"/>
      <c r="P23" s="140"/>
      <c r="AC23" s="19" t="e">
        <f t="shared" si="0"/>
        <v>#N/A</v>
      </c>
    </row>
    <row r="24" spans="1:35" ht="21">
      <c r="A24" s="174"/>
      <c r="B24" s="121"/>
      <c r="C24" s="121"/>
      <c r="D24" s="121"/>
      <c r="E24" s="121" t="s">
        <v>201</v>
      </c>
      <c r="F24" s="121" t="s">
        <v>201</v>
      </c>
      <c r="G24" s="121" t="str">
        <f t="shared" si="1"/>
        <v/>
      </c>
      <c r="H24" s="121"/>
      <c r="I24" s="121"/>
      <c r="J24" s="121"/>
      <c r="K24" s="121"/>
      <c r="L24" s="236"/>
      <c r="M24" s="139"/>
      <c r="N24" s="139"/>
      <c r="O24" s="139"/>
      <c r="P24" s="140"/>
      <c r="AC24" s="19" t="e">
        <f t="shared" si="0"/>
        <v>#N/A</v>
      </c>
    </row>
    <row r="25" spans="1:35" ht="21">
      <c r="A25" s="174"/>
      <c r="B25" s="121"/>
      <c r="C25" s="121"/>
      <c r="D25" s="121"/>
      <c r="E25" s="121" t="s">
        <v>201</v>
      </c>
      <c r="F25" s="121" t="s">
        <v>201</v>
      </c>
      <c r="G25" s="121" t="str">
        <f t="shared" si="1"/>
        <v/>
      </c>
      <c r="H25" s="121"/>
      <c r="I25" s="121"/>
      <c r="J25" s="121"/>
      <c r="K25" s="121"/>
      <c r="L25" s="236"/>
      <c r="M25" s="139"/>
      <c r="N25" s="139"/>
      <c r="O25" s="139"/>
      <c r="P25" s="140"/>
      <c r="AC25" s="19"/>
    </row>
    <row r="26" spans="1:35">
      <c r="A26" s="236"/>
      <c r="B26" s="236"/>
      <c r="C26" s="236"/>
      <c r="D26" s="236"/>
      <c r="E26" s="236"/>
      <c r="F26" s="236"/>
      <c r="G26" s="236"/>
      <c r="H26" s="236"/>
      <c r="I26" s="236"/>
      <c r="J26" s="236"/>
      <c r="K26" s="236"/>
      <c r="L26" s="236"/>
      <c r="AC26" s="19"/>
    </row>
    <row r="28" spans="1:35" ht="46" customHeight="1">
      <c r="A28" s="174"/>
      <c r="B28" s="169" t="s">
        <v>254</v>
      </c>
      <c r="C28" s="167"/>
      <c r="D28" s="167"/>
      <c r="E28" s="167"/>
      <c r="F28" s="167"/>
      <c r="G28" s="167"/>
      <c r="H28" s="168"/>
      <c r="I28" s="168"/>
      <c r="J28" s="168"/>
      <c r="K28" s="168"/>
      <c r="L28" s="236"/>
      <c r="M28" s="165"/>
      <c r="N28" s="165"/>
      <c r="O28" s="165"/>
      <c r="P28" s="165"/>
      <c r="Q28" s="165"/>
      <c r="R28" s="165"/>
      <c r="S28" s="165"/>
      <c r="T28" s="165"/>
      <c r="U28" s="165"/>
      <c r="V28" s="165"/>
      <c r="W28" s="165"/>
    </row>
    <row r="29" spans="1:35">
      <c r="A29" s="174" t="s">
        <v>197</v>
      </c>
      <c r="B29" s="215" t="s">
        <v>255</v>
      </c>
      <c r="C29" s="215"/>
      <c r="D29" s="215"/>
      <c r="E29" s="215"/>
      <c r="F29" s="215"/>
      <c r="G29" s="215"/>
      <c r="H29" s="215"/>
      <c r="I29" s="215" t="s">
        <v>30</v>
      </c>
      <c r="J29" s="215"/>
      <c r="K29" s="170"/>
      <c r="L29" s="236"/>
    </row>
    <row r="30" spans="1:35">
      <c r="A30" s="174" t="s">
        <v>246</v>
      </c>
      <c r="B30" s="215" t="s">
        <v>244</v>
      </c>
      <c r="C30" s="215"/>
      <c r="D30" s="215"/>
      <c r="E30" s="215"/>
      <c r="F30" s="215"/>
      <c r="G30" s="215"/>
      <c r="H30" s="215"/>
      <c r="I30" s="215" t="s">
        <v>31</v>
      </c>
      <c r="J30" s="215"/>
      <c r="K30" s="170"/>
      <c r="L30" s="236"/>
    </row>
    <row r="31" spans="1:35">
      <c r="A31" s="174"/>
      <c r="B31" s="215" t="s">
        <v>247</v>
      </c>
      <c r="C31" s="215"/>
      <c r="D31" s="215"/>
      <c r="E31" s="215"/>
      <c r="F31" s="215"/>
      <c r="G31" s="215"/>
      <c r="H31" s="215"/>
      <c r="I31" s="215" t="s">
        <v>29</v>
      </c>
      <c r="J31" s="215"/>
      <c r="K31" s="173"/>
      <c r="L31" s="236"/>
    </row>
    <row r="32" spans="1:35" s="19" customFormat="1" ht="46" thickBot="1">
      <c r="A32" s="175">
        <f>A7+1</f>
        <v>2</v>
      </c>
      <c r="B32" s="95" t="s">
        <v>32</v>
      </c>
      <c r="C32" s="95" t="s">
        <v>190</v>
      </c>
      <c r="D32" s="95" t="s">
        <v>33</v>
      </c>
      <c r="E32" s="95" t="s">
        <v>36</v>
      </c>
      <c r="F32" s="95" t="s">
        <v>196</v>
      </c>
      <c r="G32" s="95" t="s">
        <v>37</v>
      </c>
      <c r="H32" s="95" t="s">
        <v>34</v>
      </c>
      <c r="I32" s="95" t="s">
        <v>250</v>
      </c>
      <c r="J32" s="95" t="s">
        <v>35</v>
      </c>
      <c r="K32" s="95" t="s">
        <v>191</v>
      </c>
      <c r="L32" s="236"/>
      <c r="M32" s="128"/>
      <c r="N32" s="141" t="s">
        <v>248</v>
      </c>
      <c r="O32" s="128"/>
      <c r="P32" s="138"/>
      <c r="AC32" s="19" t="e">
        <f t="shared" ref="AC32:AC49" si="2">VLOOKUP(F33,Z$10:AA$14,2,FALSE)</f>
        <v>#N/A</v>
      </c>
      <c r="AI32" s="19" t="e">
        <f>VLOOKUP(G33,$AF$8:$AG$12,2,FALSE)</f>
        <v>#N/A</v>
      </c>
    </row>
    <row r="33" spans="1:33" ht="22" thickBot="1">
      <c r="A33" s="174"/>
      <c r="B33" s="121"/>
      <c r="C33" s="121"/>
      <c r="D33" s="121"/>
      <c r="E33" s="121" t="s">
        <v>201</v>
      </c>
      <c r="F33" s="121" t="s">
        <v>201</v>
      </c>
      <c r="G33" s="121" t="str">
        <f>IF(ISERROR(VLOOKUP(E33,Q$10:V$14,AC32+1,FALSE)),"",VLOOKUP(E33,Q$10:V$14,AC32+1,FALSE))</f>
        <v/>
      </c>
      <c r="H33" s="121"/>
      <c r="I33" s="121"/>
      <c r="J33" s="121"/>
      <c r="K33" s="121"/>
      <c r="L33" s="236"/>
      <c r="M33" s="142" t="s">
        <v>240</v>
      </c>
      <c r="N33" s="139"/>
      <c r="O33" s="139"/>
      <c r="P33" s="140"/>
      <c r="Q33" s="20"/>
      <c r="R33" s="212" t="s">
        <v>38</v>
      </c>
      <c r="S33" s="213"/>
      <c r="T33" s="213"/>
      <c r="U33" s="213"/>
      <c r="V33" s="214"/>
      <c r="AC33" s="19" t="e">
        <f t="shared" si="2"/>
        <v>#N/A</v>
      </c>
      <c r="AF33" s="100" t="s">
        <v>47</v>
      </c>
      <c r="AG33">
        <v>1</v>
      </c>
    </row>
    <row r="34" spans="1:33" ht="24" thickBot="1">
      <c r="A34" s="174"/>
      <c r="B34" s="121"/>
      <c r="C34" s="121"/>
      <c r="D34" s="121"/>
      <c r="E34" s="121" t="s">
        <v>201</v>
      </c>
      <c r="F34" s="121" t="s">
        <v>201</v>
      </c>
      <c r="G34" s="121" t="str">
        <f>IF(ISERROR(VLOOKUP(E34,Q$10:V$14,AC33+1,FALSE)),"",VLOOKUP(E34,Q$10:V$14,AC33+1,FALSE))</f>
        <v/>
      </c>
      <c r="H34" s="121"/>
      <c r="I34" s="121"/>
      <c r="J34" s="121"/>
      <c r="K34" s="121"/>
      <c r="L34" s="236"/>
      <c r="M34" s="137">
        <v>1</v>
      </c>
      <c r="N34" s="137"/>
      <c r="O34" s="139"/>
      <c r="P34" s="140"/>
      <c r="Q34" s="23" t="s">
        <v>39</v>
      </c>
      <c r="R34" s="22" t="s">
        <v>40</v>
      </c>
      <c r="S34" s="22" t="s">
        <v>44</v>
      </c>
      <c r="T34" s="22" t="s">
        <v>241</v>
      </c>
      <c r="U34" s="22" t="s">
        <v>41</v>
      </c>
      <c r="V34" s="22" t="s">
        <v>42</v>
      </c>
      <c r="W34" s="125" t="s">
        <v>201</v>
      </c>
      <c r="AC34" s="19" t="e">
        <f t="shared" si="2"/>
        <v>#N/A</v>
      </c>
      <c r="AF34" s="99" t="s">
        <v>46</v>
      </c>
      <c r="AG34">
        <v>2</v>
      </c>
    </row>
    <row r="35" spans="1:33" ht="24" thickBot="1">
      <c r="A35" s="174"/>
      <c r="B35" s="121"/>
      <c r="C35" s="121"/>
      <c r="D35" s="121"/>
      <c r="E35" s="121" t="s">
        <v>201</v>
      </c>
      <c r="F35" s="121" t="s">
        <v>201</v>
      </c>
      <c r="G35" s="121" t="str">
        <f t="shared" ref="G35:G50" si="3">IF(ISERROR(VLOOKUP(E35,Q$10:V$14,AC34+1,FALSE)),"",VLOOKUP(E35,Q$10:V$14,AC34+1,FALSE))</f>
        <v/>
      </c>
      <c r="H35" s="121"/>
      <c r="I35" s="121"/>
      <c r="J35" s="121"/>
      <c r="K35" s="121"/>
      <c r="L35" s="236"/>
      <c r="M35" s="137">
        <v>2</v>
      </c>
      <c r="N35" s="137"/>
      <c r="O35" s="139"/>
      <c r="P35" s="140"/>
      <c r="Q35" s="21" t="s">
        <v>242</v>
      </c>
      <c r="R35" s="99" t="s">
        <v>256</v>
      </c>
      <c r="S35" s="97" t="s">
        <v>45</v>
      </c>
      <c r="T35" s="172" t="s">
        <v>257</v>
      </c>
      <c r="U35" s="172" t="s">
        <v>257</v>
      </c>
      <c r="V35" s="172" t="s">
        <v>257</v>
      </c>
      <c r="Z35" s="22" t="s">
        <v>40</v>
      </c>
      <c r="AA35">
        <v>1</v>
      </c>
      <c r="AC35" s="19" t="e">
        <f t="shared" si="2"/>
        <v>#N/A</v>
      </c>
      <c r="AF35" s="98" t="s">
        <v>44</v>
      </c>
      <c r="AG35">
        <v>3</v>
      </c>
    </row>
    <row r="36" spans="1:33" ht="24" thickBot="1">
      <c r="A36" s="174"/>
      <c r="B36" s="121"/>
      <c r="C36" s="121"/>
      <c r="D36" s="121"/>
      <c r="E36" s="121" t="s">
        <v>201</v>
      </c>
      <c r="F36" s="121" t="s">
        <v>201</v>
      </c>
      <c r="G36" s="121" t="str">
        <f t="shared" si="3"/>
        <v/>
      </c>
      <c r="H36" s="121"/>
      <c r="I36" s="121"/>
      <c r="J36" s="121"/>
      <c r="K36" s="121"/>
      <c r="L36" s="236"/>
      <c r="M36" s="137">
        <v>3</v>
      </c>
      <c r="N36" s="137"/>
      <c r="O36" s="139"/>
      <c r="P36" s="140"/>
      <c r="Q36" s="21" t="s">
        <v>48</v>
      </c>
      <c r="R36" s="99" t="s">
        <v>256</v>
      </c>
      <c r="S36" s="97" t="s">
        <v>45</v>
      </c>
      <c r="T36" s="97" t="s">
        <v>45</v>
      </c>
      <c r="U36" s="172" t="s">
        <v>257</v>
      </c>
      <c r="V36" s="172" t="s">
        <v>257</v>
      </c>
      <c r="Z36" s="22" t="s">
        <v>44</v>
      </c>
      <c r="AA36">
        <v>2</v>
      </c>
      <c r="AC36" s="19" t="e">
        <f t="shared" si="2"/>
        <v>#N/A</v>
      </c>
      <c r="AF36" s="97" t="s">
        <v>45</v>
      </c>
      <c r="AG36">
        <v>4</v>
      </c>
    </row>
    <row r="37" spans="1:33" ht="24" thickBot="1">
      <c r="A37" s="174"/>
      <c r="B37" s="121"/>
      <c r="C37" s="121"/>
      <c r="D37" s="121"/>
      <c r="E37" s="121" t="s">
        <v>201</v>
      </c>
      <c r="F37" s="121" t="s">
        <v>201</v>
      </c>
      <c r="G37" s="121" t="str">
        <f t="shared" si="3"/>
        <v/>
      </c>
      <c r="H37" s="121"/>
      <c r="I37" s="121"/>
      <c r="J37" s="121"/>
      <c r="K37" s="121"/>
      <c r="L37" s="236"/>
      <c r="M37" s="137">
        <v>4</v>
      </c>
      <c r="N37" s="137"/>
      <c r="O37" s="139"/>
      <c r="P37" s="140"/>
      <c r="Q37" s="21" t="s">
        <v>49</v>
      </c>
      <c r="R37" s="99" t="s">
        <v>46</v>
      </c>
      <c r="S37" s="99" t="s">
        <v>256</v>
      </c>
      <c r="T37" s="98" t="s">
        <v>45</v>
      </c>
      <c r="U37" s="172" t="s">
        <v>257</v>
      </c>
      <c r="V37" s="172" t="s">
        <v>257</v>
      </c>
      <c r="Z37" s="22" t="s">
        <v>241</v>
      </c>
      <c r="AA37">
        <v>3</v>
      </c>
      <c r="AC37" s="19" t="e">
        <f t="shared" si="2"/>
        <v>#N/A</v>
      </c>
      <c r="AF37" s="96" t="s">
        <v>43</v>
      </c>
      <c r="AG37">
        <v>5</v>
      </c>
    </row>
    <row r="38" spans="1:33" ht="24" thickBot="1">
      <c r="A38" s="174"/>
      <c r="B38" s="121"/>
      <c r="C38" s="121"/>
      <c r="D38" s="121"/>
      <c r="E38" s="121" t="s">
        <v>201</v>
      </c>
      <c r="F38" s="121" t="s">
        <v>201</v>
      </c>
      <c r="G38" s="121" t="str">
        <f t="shared" si="3"/>
        <v/>
      </c>
      <c r="H38" s="121"/>
      <c r="I38" s="121"/>
      <c r="J38" s="121"/>
      <c r="K38" s="121"/>
      <c r="L38" s="236"/>
      <c r="M38" s="137">
        <v>5</v>
      </c>
      <c r="N38" s="137"/>
      <c r="O38" s="139"/>
      <c r="P38" s="140"/>
      <c r="Q38" s="21" t="s">
        <v>50</v>
      </c>
      <c r="R38" s="99" t="s">
        <v>46</v>
      </c>
      <c r="S38" s="99" t="s">
        <v>46</v>
      </c>
      <c r="T38" s="99" t="s">
        <v>256</v>
      </c>
      <c r="U38" s="98" t="s">
        <v>45</v>
      </c>
      <c r="V38" s="172" t="s">
        <v>257</v>
      </c>
      <c r="Z38" s="22" t="s">
        <v>41</v>
      </c>
      <c r="AA38">
        <v>4</v>
      </c>
      <c r="AC38" s="19" t="e">
        <f t="shared" si="2"/>
        <v>#N/A</v>
      </c>
    </row>
    <row r="39" spans="1:33" ht="24" thickBot="1">
      <c r="A39" s="174"/>
      <c r="B39" s="121"/>
      <c r="C39" s="121"/>
      <c r="D39" s="121"/>
      <c r="E39" s="121" t="s">
        <v>201</v>
      </c>
      <c r="F39" s="121" t="s">
        <v>201</v>
      </c>
      <c r="G39" s="121" t="str">
        <f t="shared" si="3"/>
        <v/>
      </c>
      <c r="H39" s="121"/>
      <c r="I39" s="121"/>
      <c r="J39" s="121"/>
      <c r="K39" s="121"/>
      <c r="L39" s="236"/>
      <c r="M39" s="137">
        <v>6</v>
      </c>
      <c r="N39" s="137"/>
      <c r="O39" s="139"/>
      <c r="P39" s="140"/>
      <c r="Q39" s="21" t="s">
        <v>243</v>
      </c>
      <c r="R39" s="100" t="s">
        <v>46</v>
      </c>
      <c r="S39" s="99" t="s">
        <v>46</v>
      </c>
      <c r="T39" s="99" t="s">
        <v>256</v>
      </c>
      <c r="U39" s="98" t="s">
        <v>45</v>
      </c>
      <c r="V39" s="98" t="s">
        <v>45</v>
      </c>
      <c r="Z39" s="22" t="s">
        <v>42</v>
      </c>
      <c r="AA39">
        <v>5</v>
      </c>
      <c r="AC39" s="19" t="e">
        <f t="shared" si="2"/>
        <v>#N/A</v>
      </c>
    </row>
    <row r="40" spans="1:33" ht="23">
      <c r="A40" s="174"/>
      <c r="B40" s="121"/>
      <c r="C40" s="121"/>
      <c r="D40" s="121"/>
      <c r="E40" s="121" t="s">
        <v>201</v>
      </c>
      <c r="F40" s="121" t="s">
        <v>201</v>
      </c>
      <c r="G40" s="121" t="str">
        <f t="shared" si="3"/>
        <v/>
      </c>
      <c r="H40" s="121"/>
      <c r="I40" s="121"/>
      <c r="J40" s="121"/>
      <c r="K40" s="121"/>
      <c r="L40" s="236"/>
      <c r="M40" s="137">
        <v>7</v>
      </c>
      <c r="N40" s="137"/>
      <c r="O40" s="139"/>
      <c r="P40" s="140"/>
      <c r="Q40" s="124" t="s">
        <v>201</v>
      </c>
      <c r="AC40" s="19" t="e">
        <f t="shared" si="2"/>
        <v>#N/A</v>
      </c>
    </row>
    <row r="41" spans="1:33" ht="23">
      <c r="A41" s="174"/>
      <c r="B41" s="121"/>
      <c r="C41" s="121"/>
      <c r="D41" s="121"/>
      <c r="E41" s="121" t="s">
        <v>201</v>
      </c>
      <c r="F41" s="121" t="s">
        <v>201</v>
      </c>
      <c r="G41" s="121" t="str">
        <f t="shared" si="3"/>
        <v/>
      </c>
      <c r="H41" s="121"/>
      <c r="I41" s="121"/>
      <c r="J41" s="121"/>
      <c r="K41" s="121"/>
      <c r="L41" s="236"/>
      <c r="M41" s="137">
        <v>8</v>
      </c>
      <c r="N41" s="137"/>
      <c r="O41" s="139"/>
      <c r="P41" s="140"/>
      <c r="AC41" s="19" t="e">
        <f t="shared" si="2"/>
        <v>#N/A</v>
      </c>
    </row>
    <row r="42" spans="1:33" ht="25" customHeight="1">
      <c r="A42" s="174"/>
      <c r="B42" s="121"/>
      <c r="C42" s="121"/>
      <c r="D42" s="121"/>
      <c r="E42" s="121" t="s">
        <v>201</v>
      </c>
      <c r="F42" s="121" t="s">
        <v>201</v>
      </c>
      <c r="G42" s="121" t="str">
        <f t="shared" si="3"/>
        <v/>
      </c>
      <c r="H42" s="121"/>
      <c r="I42" s="121"/>
      <c r="J42" s="121"/>
      <c r="K42" s="121"/>
      <c r="L42" s="236"/>
      <c r="M42" s="137">
        <v>9</v>
      </c>
      <c r="N42" s="137"/>
      <c r="O42" s="139"/>
      <c r="P42" s="140"/>
      <c r="AC42" s="19" t="e">
        <f t="shared" si="2"/>
        <v>#N/A</v>
      </c>
    </row>
    <row r="43" spans="1:33" ht="24" customHeight="1">
      <c r="A43" s="174"/>
      <c r="B43" s="121"/>
      <c r="C43" s="121"/>
      <c r="D43" s="121"/>
      <c r="E43" s="121" t="s">
        <v>201</v>
      </c>
      <c r="F43" s="121" t="s">
        <v>201</v>
      </c>
      <c r="G43" s="121" t="str">
        <f t="shared" si="3"/>
        <v/>
      </c>
      <c r="H43" s="121"/>
      <c r="I43" s="121"/>
      <c r="J43" s="121"/>
      <c r="K43" s="121"/>
      <c r="L43" s="236"/>
      <c r="M43" s="137">
        <v>10</v>
      </c>
      <c r="N43" s="137"/>
      <c r="O43" s="139"/>
      <c r="P43" s="140"/>
      <c r="AC43" s="19" t="e">
        <f t="shared" si="2"/>
        <v>#N/A</v>
      </c>
    </row>
    <row r="44" spans="1:33" ht="24" customHeight="1">
      <c r="A44" s="174"/>
      <c r="B44" s="121"/>
      <c r="C44" s="121"/>
      <c r="D44" s="121"/>
      <c r="E44" s="121" t="s">
        <v>201</v>
      </c>
      <c r="F44" s="121" t="s">
        <v>201</v>
      </c>
      <c r="G44" s="121" t="str">
        <f t="shared" si="3"/>
        <v/>
      </c>
      <c r="H44" s="121"/>
      <c r="I44" s="121"/>
      <c r="J44" s="121"/>
      <c r="K44" s="121"/>
      <c r="L44" s="236"/>
      <c r="M44" s="139"/>
      <c r="N44" s="139"/>
      <c r="O44" s="139"/>
      <c r="P44" s="140"/>
      <c r="AC44" s="19" t="e">
        <f t="shared" si="2"/>
        <v>#N/A</v>
      </c>
    </row>
    <row r="45" spans="1:33" ht="21">
      <c r="A45" s="174"/>
      <c r="B45" s="121"/>
      <c r="C45" s="121"/>
      <c r="D45" s="121"/>
      <c r="E45" s="121" t="s">
        <v>201</v>
      </c>
      <c r="F45" s="121" t="s">
        <v>201</v>
      </c>
      <c r="G45" s="121" t="str">
        <f t="shared" si="3"/>
        <v/>
      </c>
      <c r="H45" s="121"/>
      <c r="I45" s="121"/>
      <c r="J45" s="121"/>
      <c r="K45" s="121"/>
      <c r="L45" s="236"/>
      <c r="M45" s="139"/>
      <c r="N45" s="139"/>
      <c r="O45" s="139"/>
      <c r="P45" s="140"/>
      <c r="AC45" s="19" t="e">
        <f t="shared" si="2"/>
        <v>#N/A</v>
      </c>
    </row>
    <row r="46" spans="1:33" ht="21">
      <c r="A46" s="174"/>
      <c r="B46" s="121"/>
      <c r="C46" s="121"/>
      <c r="D46" s="121"/>
      <c r="E46" s="121" t="s">
        <v>201</v>
      </c>
      <c r="F46" s="121" t="s">
        <v>201</v>
      </c>
      <c r="G46" s="121" t="str">
        <f t="shared" si="3"/>
        <v/>
      </c>
      <c r="H46" s="121"/>
      <c r="I46" s="121"/>
      <c r="J46" s="121"/>
      <c r="K46" s="121"/>
      <c r="L46" s="236"/>
      <c r="M46" s="139"/>
      <c r="N46" s="139"/>
      <c r="O46" s="139"/>
      <c r="P46" s="140"/>
      <c r="AC46" s="19" t="e">
        <f t="shared" si="2"/>
        <v>#N/A</v>
      </c>
    </row>
    <row r="47" spans="1:33" ht="21">
      <c r="A47" s="174"/>
      <c r="B47" s="121"/>
      <c r="C47" s="121"/>
      <c r="D47" s="121"/>
      <c r="E47" s="121" t="s">
        <v>201</v>
      </c>
      <c r="F47" s="121" t="s">
        <v>201</v>
      </c>
      <c r="G47" s="121" t="str">
        <f t="shared" si="3"/>
        <v/>
      </c>
      <c r="H47" s="121"/>
      <c r="I47" s="121"/>
      <c r="J47" s="121"/>
      <c r="K47" s="121"/>
      <c r="L47" s="236"/>
      <c r="M47" s="139"/>
      <c r="N47" s="139"/>
      <c r="O47" s="139"/>
      <c r="P47" s="140"/>
      <c r="AC47" s="19" t="e">
        <f t="shared" si="2"/>
        <v>#N/A</v>
      </c>
    </row>
    <row r="48" spans="1:33" ht="21">
      <c r="A48" s="174"/>
      <c r="B48" s="121"/>
      <c r="C48" s="121"/>
      <c r="D48" s="121"/>
      <c r="E48" s="121" t="s">
        <v>201</v>
      </c>
      <c r="F48" s="121" t="s">
        <v>201</v>
      </c>
      <c r="G48" s="121" t="str">
        <f t="shared" si="3"/>
        <v/>
      </c>
      <c r="H48" s="121"/>
      <c r="I48" s="121"/>
      <c r="J48" s="121"/>
      <c r="K48" s="121"/>
      <c r="L48" s="236"/>
      <c r="M48" s="139"/>
      <c r="N48" s="139"/>
      <c r="O48" s="139"/>
      <c r="P48" s="140"/>
      <c r="AC48" s="19" t="e">
        <f t="shared" si="2"/>
        <v>#N/A</v>
      </c>
    </row>
    <row r="49" spans="1:35" ht="21">
      <c r="A49" s="174"/>
      <c r="B49" s="121"/>
      <c r="C49" s="121"/>
      <c r="D49" s="121"/>
      <c r="E49" s="121" t="s">
        <v>201</v>
      </c>
      <c r="F49" s="121" t="s">
        <v>201</v>
      </c>
      <c r="G49" s="121" t="str">
        <f t="shared" si="3"/>
        <v/>
      </c>
      <c r="H49" s="121"/>
      <c r="I49" s="121"/>
      <c r="J49" s="121"/>
      <c r="K49" s="121"/>
      <c r="L49" s="236"/>
      <c r="M49" s="139"/>
      <c r="N49" s="139"/>
      <c r="O49" s="139"/>
      <c r="P49" s="140"/>
      <c r="AC49" s="19" t="e">
        <f t="shared" si="2"/>
        <v>#N/A</v>
      </c>
    </row>
    <row r="50" spans="1:35" ht="21">
      <c r="A50" s="174"/>
      <c r="B50" s="121"/>
      <c r="C50" s="121"/>
      <c r="D50" s="121"/>
      <c r="E50" s="121" t="s">
        <v>201</v>
      </c>
      <c r="F50" s="121" t="s">
        <v>201</v>
      </c>
      <c r="G50" s="121" t="str">
        <f t="shared" si="3"/>
        <v/>
      </c>
      <c r="H50" s="121"/>
      <c r="I50" s="121"/>
      <c r="J50" s="121"/>
      <c r="K50" s="121"/>
      <c r="L50" s="236"/>
      <c r="M50" s="139"/>
      <c r="N50" s="139"/>
      <c r="O50" s="139"/>
      <c r="P50" s="140"/>
      <c r="AC50" s="19"/>
    </row>
    <row r="51" spans="1:35">
      <c r="A51" s="236"/>
      <c r="B51" s="236"/>
      <c r="C51" s="236"/>
      <c r="D51" s="236"/>
      <c r="E51" s="236"/>
      <c r="F51" s="236"/>
      <c r="G51" s="236"/>
      <c r="H51" s="236"/>
      <c r="I51" s="236"/>
      <c r="J51" s="236"/>
      <c r="K51" s="236"/>
      <c r="L51" s="236"/>
    </row>
    <row r="53" spans="1:35" ht="46" customHeight="1">
      <c r="A53" s="174"/>
      <c r="B53" s="169" t="s">
        <v>254</v>
      </c>
      <c r="C53" s="167"/>
      <c r="D53" s="167"/>
      <c r="E53" s="167"/>
      <c r="F53" s="167"/>
      <c r="G53" s="167"/>
      <c r="H53" s="168"/>
      <c r="I53" s="168"/>
      <c r="J53" s="168"/>
      <c r="K53" s="168"/>
      <c r="L53" s="236"/>
      <c r="M53" s="165"/>
      <c r="N53" s="165"/>
      <c r="O53" s="165"/>
      <c r="P53" s="165"/>
      <c r="Q53" s="165"/>
      <c r="R53" s="165"/>
      <c r="S53" s="165"/>
      <c r="T53" s="165"/>
      <c r="U53" s="165"/>
      <c r="V53" s="165"/>
      <c r="W53" s="165"/>
    </row>
    <row r="54" spans="1:35">
      <c r="A54" s="174" t="s">
        <v>197</v>
      </c>
      <c r="B54" s="215" t="s">
        <v>255</v>
      </c>
      <c r="C54" s="215"/>
      <c r="D54" s="215"/>
      <c r="E54" s="215"/>
      <c r="F54" s="215"/>
      <c r="G54" s="215"/>
      <c r="H54" s="215"/>
      <c r="I54" s="215" t="s">
        <v>30</v>
      </c>
      <c r="J54" s="215"/>
      <c r="K54" s="170"/>
      <c r="L54" s="236"/>
    </row>
    <row r="55" spans="1:35">
      <c r="A55" s="174" t="s">
        <v>246</v>
      </c>
      <c r="B55" s="215" t="s">
        <v>244</v>
      </c>
      <c r="C55" s="215"/>
      <c r="D55" s="215"/>
      <c r="E55" s="215"/>
      <c r="F55" s="215"/>
      <c r="G55" s="215"/>
      <c r="H55" s="215"/>
      <c r="I55" s="215" t="s">
        <v>31</v>
      </c>
      <c r="J55" s="215"/>
      <c r="K55" s="170"/>
      <c r="L55" s="236"/>
    </row>
    <row r="56" spans="1:35">
      <c r="A56" s="174"/>
      <c r="B56" s="215" t="s">
        <v>247</v>
      </c>
      <c r="C56" s="215"/>
      <c r="D56" s="215"/>
      <c r="E56" s="215"/>
      <c r="F56" s="215"/>
      <c r="G56" s="215"/>
      <c r="H56" s="215"/>
      <c r="I56" s="215" t="s">
        <v>29</v>
      </c>
      <c r="J56" s="215"/>
      <c r="K56" s="173"/>
      <c r="L56" s="236"/>
    </row>
    <row r="57" spans="1:35" s="19" customFormat="1" ht="46" thickBot="1">
      <c r="A57" s="175">
        <f>A32+1</f>
        <v>3</v>
      </c>
      <c r="B57" s="95" t="s">
        <v>32</v>
      </c>
      <c r="C57" s="95" t="s">
        <v>190</v>
      </c>
      <c r="D57" s="95" t="s">
        <v>33</v>
      </c>
      <c r="E57" s="95" t="s">
        <v>36</v>
      </c>
      <c r="F57" s="95" t="s">
        <v>196</v>
      </c>
      <c r="G57" s="95" t="s">
        <v>37</v>
      </c>
      <c r="H57" s="95" t="s">
        <v>34</v>
      </c>
      <c r="I57" s="95" t="s">
        <v>250</v>
      </c>
      <c r="J57" s="95" t="s">
        <v>35</v>
      </c>
      <c r="K57" s="95" t="s">
        <v>191</v>
      </c>
      <c r="L57" s="236"/>
      <c r="M57" s="128"/>
      <c r="N57" s="141" t="s">
        <v>248</v>
      </c>
      <c r="O57" s="128"/>
      <c r="P57" s="138"/>
      <c r="AC57" s="19" t="e">
        <f t="shared" ref="AC57:AC74" si="4">VLOOKUP(F58,Z$10:AA$14,2,FALSE)</f>
        <v>#N/A</v>
      </c>
      <c r="AI57" s="19" t="e">
        <f>VLOOKUP(G58,$AF$8:$AG$12,2,FALSE)</f>
        <v>#N/A</v>
      </c>
    </row>
    <row r="58" spans="1:35" ht="22" thickBot="1">
      <c r="A58" s="174"/>
      <c r="B58" s="121"/>
      <c r="C58" s="121"/>
      <c r="D58" s="121"/>
      <c r="E58" s="121" t="s">
        <v>201</v>
      </c>
      <c r="F58" s="121" t="s">
        <v>201</v>
      </c>
      <c r="G58" s="121" t="str">
        <f>IF(ISERROR(VLOOKUP(E58,Q$10:V$14,AC57+1,FALSE)),"",VLOOKUP(E58,Q$10:V$14,AC57+1,FALSE))</f>
        <v/>
      </c>
      <c r="H58" s="121"/>
      <c r="I58" s="121"/>
      <c r="J58" s="121"/>
      <c r="K58" s="121"/>
      <c r="L58" s="236"/>
      <c r="M58" s="142" t="s">
        <v>240</v>
      </c>
      <c r="N58" s="139"/>
      <c r="O58" s="139"/>
      <c r="P58" s="140"/>
      <c r="Q58" s="20"/>
      <c r="R58" s="212" t="s">
        <v>38</v>
      </c>
      <c r="S58" s="213"/>
      <c r="T58" s="213"/>
      <c r="U58" s="213"/>
      <c r="V58" s="214"/>
      <c r="AC58" s="19" t="e">
        <f t="shared" si="4"/>
        <v>#N/A</v>
      </c>
      <c r="AF58" s="100" t="s">
        <v>47</v>
      </c>
      <c r="AG58">
        <v>1</v>
      </c>
    </row>
    <row r="59" spans="1:35" ht="24" thickBot="1">
      <c r="A59" s="174"/>
      <c r="B59" s="121"/>
      <c r="C59" s="121"/>
      <c r="D59" s="121"/>
      <c r="E59" s="121" t="s">
        <v>201</v>
      </c>
      <c r="F59" s="121" t="s">
        <v>201</v>
      </c>
      <c r="G59" s="121" t="str">
        <f>IF(ISERROR(VLOOKUP(E59,Q$10:V$14,AC58+1,FALSE)),"",VLOOKUP(E59,Q$10:V$14,AC58+1,FALSE))</f>
        <v/>
      </c>
      <c r="H59" s="121"/>
      <c r="I59" s="121"/>
      <c r="J59" s="121"/>
      <c r="K59" s="121"/>
      <c r="L59" s="236"/>
      <c r="M59" s="137">
        <v>1</v>
      </c>
      <c r="N59" s="137"/>
      <c r="O59" s="139"/>
      <c r="P59" s="140"/>
      <c r="Q59" s="23" t="s">
        <v>39</v>
      </c>
      <c r="R59" s="22" t="s">
        <v>40</v>
      </c>
      <c r="S59" s="22" t="s">
        <v>44</v>
      </c>
      <c r="T59" s="22" t="s">
        <v>241</v>
      </c>
      <c r="U59" s="22" t="s">
        <v>41</v>
      </c>
      <c r="V59" s="22" t="s">
        <v>42</v>
      </c>
      <c r="W59" s="125" t="s">
        <v>201</v>
      </c>
      <c r="AC59" s="19" t="e">
        <f t="shared" si="4"/>
        <v>#N/A</v>
      </c>
      <c r="AF59" s="99" t="s">
        <v>46</v>
      </c>
      <c r="AG59">
        <v>2</v>
      </c>
    </row>
    <row r="60" spans="1:35" ht="24" thickBot="1">
      <c r="A60" s="174"/>
      <c r="B60" s="121"/>
      <c r="C60" s="121"/>
      <c r="D60" s="121"/>
      <c r="E60" s="121" t="s">
        <v>201</v>
      </c>
      <c r="F60" s="121" t="s">
        <v>201</v>
      </c>
      <c r="G60" s="121" t="str">
        <f t="shared" ref="G60:G75" si="5">IF(ISERROR(VLOOKUP(E60,Q$10:V$14,AC59+1,FALSE)),"",VLOOKUP(E60,Q$10:V$14,AC59+1,FALSE))</f>
        <v/>
      </c>
      <c r="H60" s="121"/>
      <c r="I60" s="121"/>
      <c r="J60" s="121"/>
      <c r="K60" s="121"/>
      <c r="L60" s="236"/>
      <c r="M60" s="137">
        <v>2</v>
      </c>
      <c r="N60" s="137"/>
      <c r="O60" s="139"/>
      <c r="P60" s="140"/>
      <c r="Q60" s="21" t="s">
        <v>242</v>
      </c>
      <c r="R60" s="99" t="s">
        <v>256</v>
      </c>
      <c r="S60" s="97" t="s">
        <v>45</v>
      </c>
      <c r="T60" s="172" t="s">
        <v>257</v>
      </c>
      <c r="U60" s="172" t="s">
        <v>257</v>
      </c>
      <c r="V60" s="172" t="s">
        <v>257</v>
      </c>
      <c r="Z60" s="22" t="s">
        <v>40</v>
      </c>
      <c r="AA60">
        <v>1</v>
      </c>
      <c r="AC60" s="19" t="e">
        <f t="shared" si="4"/>
        <v>#N/A</v>
      </c>
      <c r="AF60" s="98" t="s">
        <v>44</v>
      </c>
      <c r="AG60">
        <v>3</v>
      </c>
    </row>
    <row r="61" spans="1:35" ht="24" thickBot="1">
      <c r="A61" s="174"/>
      <c r="B61" s="121"/>
      <c r="C61" s="121"/>
      <c r="D61" s="121"/>
      <c r="E61" s="121" t="s">
        <v>201</v>
      </c>
      <c r="F61" s="121" t="s">
        <v>201</v>
      </c>
      <c r="G61" s="121" t="str">
        <f t="shared" si="5"/>
        <v/>
      </c>
      <c r="H61" s="121"/>
      <c r="I61" s="121"/>
      <c r="J61" s="121"/>
      <c r="K61" s="121"/>
      <c r="L61" s="236"/>
      <c r="M61" s="137">
        <v>3</v>
      </c>
      <c r="N61" s="137"/>
      <c r="O61" s="139"/>
      <c r="P61" s="140"/>
      <c r="Q61" s="21" t="s">
        <v>48</v>
      </c>
      <c r="R61" s="99" t="s">
        <v>256</v>
      </c>
      <c r="S61" s="97" t="s">
        <v>45</v>
      </c>
      <c r="T61" s="97" t="s">
        <v>45</v>
      </c>
      <c r="U61" s="172" t="s">
        <v>257</v>
      </c>
      <c r="V61" s="172" t="s">
        <v>257</v>
      </c>
      <c r="Z61" s="22" t="s">
        <v>44</v>
      </c>
      <c r="AA61">
        <v>2</v>
      </c>
      <c r="AC61" s="19" t="e">
        <f t="shared" si="4"/>
        <v>#N/A</v>
      </c>
      <c r="AF61" s="97" t="s">
        <v>45</v>
      </c>
      <c r="AG61">
        <v>4</v>
      </c>
    </row>
    <row r="62" spans="1:35" ht="24" thickBot="1">
      <c r="A62" s="174"/>
      <c r="B62" s="121"/>
      <c r="C62" s="121"/>
      <c r="D62" s="121"/>
      <c r="E62" s="121" t="s">
        <v>201</v>
      </c>
      <c r="F62" s="121" t="s">
        <v>201</v>
      </c>
      <c r="G62" s="121" t="str">
        <f t="shared" si="5"/>
        <v/>
      </c>
      <c r="H62" s="121"/>
      <c r="I62" s="121"/>
      <c r="J62" s="121"/>
      <c r="K62" s="121"/>
      <c r="L62" s="236"/>
      <c r="M62" s="137">
        <v>4</v>
      </c>
      <c r="N62" s="137"/>
      <c r="O62" s="139"/>
      <c r="P62" s="140"/>
      <c r="Q62" s="21" t="s">
        <v>49</v>
      </c>
      <c r="R62" s="99" t="s">
        <v>46</v>
      </c>
      <c r="S62" s="99" t="s">
        <v>256</v>
      </c>
      <c r="T62" s="98" t="s">
        <v>45</v>
      </c>
      <c r="U62" s="172" t="s">
        <v>257</v>
      </c>
      <c r="V62" s="172" t="s">
        <v>257</v>
      </c>
      <c r="Z62" s="22" t="s">
        <v>241</v>
      </c>
      <c r="AA62">
        <v>3</v>
      </c>
      <c r="AC62" s="19" t="e">
        <f t="shared" si="4"/>
        <v>#N/A</v>
      </c>
      <c r="AF62" s="96" t="s">
        <v>43</v>
      </c>
      <c r="AG62">
        <v>5</v>
      </c>
    </row>
    <row r="63" spans="1:35" ht="24" thickBot="1">
      <c r="A63" s="174"/>
      <c r="B63" s="121"/>
      <c r="C63" s="121"/>
      <c r="D63" s="121"/>
      <c r="E63" s="121" t="s">
        <v>201</v>
      </c>
      <c r="F63" s="121" t="s">
        <v>201</v>
      </c>
      <c r="G63" s="121" t="str">
        <f t="shared" si="5"/>
        <v/>
      </c>
      <c r="H63" s="121"/>
      <c r="I63" s="121"/>
      <c r="J63" s="121"/>
      <c r="K63" s="121"/>
      <c r="L63" s="236"/>
      <c r="M63" s="137">
        <v>5</v>
      </c>
      <c r="N63" s="137"/>
      <c r="O63" s="139"/>
      <c r="P63" s="140"/>
      <c r="Q63" s="21" t="s">
        <v>50</v>
      </c>
      <c r="R63" s="99" t="s">
        <v>46</v>
      </c>
      <c r="S63" s="99" t="s">
        <v>46</v>
      </c>
      <c r="T63" s="99" t="s">
        <v>256</v>
      </c>
      <c r="U63" s="98" t="s">
        <v>45</v>
      </c>
      <c r="V63" s="172" t="s">
        <v>257</v>
      </c>
      <c r="Z63" s="22" t="s">
        <v>41</v>
      </c>
      <c r="AA63">
        <v>4</v>
      </c>
      <c r="AC63" s="19" t="e">
        <f t="shared" si="4"/>
        <v>#N/A</v>
      </c>
    </row>
    <row r="64" spans="1:35" ht="24" thickBot="1">
      <c r="A64" s="174"/>
      <c r="B64" s="121"/>
      <c r="C64" s="121"/>
      <c r="D64" s="121"/>
      <c r="E64" s="121" t="s">
        <v>201</v>
      </c>
      <c r="F64" s="121" t="s">
        <v>201</v>
      </c>
      <c r="G64" s="121" t="str">
        <f t="shared" si="5"/>
        <v/>
      </c>
      <c r="H64" s="121"/>
      <c r="I64" s="121"/>
      <c r="J64" s="121"/>
      <c r="K64" s="121"/>
      <c r="L64" s="236"/>
      <c r="M64" s="137">
        <v>6</v>
      </c>
      <c r="N64" s="137"/>
      <c r="O64" s="139"/>
      <c r="P64" s="140"/>
      <c r="Q64" s="21" t="s">
        <v>243</v>
      </c>
      <c r="R64" s="100" t="s">
        <v>46</v>
      </c>
      <c r="S64" s="99" t="s">
        <v>46</v>
      </c>
      <c r="T64" s="99" t="s">
        <v>256</v>
      </c>
      <c r="U64" s="98" t="s">
        <v>45</v>
      </c>
      <c r="V64" s="98" t="s">
        <v>45</v>
      </c>
      <c r="Z64" s="22" t="s">
        <v>42</v>
      </c>
      <c r="AA64">
        <v>5</v>
      </c>
      <c r="AC64" s="19" t="e">
        <f t="shared" si="4"/>
        <v>#N/A</v>
      </c>
    </row>
    <row r="65" spans="1:29" ht="23">
      <c r="A65" s="174"/>
      <c r="B65" s="121"/>
      <c r="C65" s="121"/>
      <c r="D65" s="121"/>
      <c r="E65" s="121" t="s">
        <v>201</v>
      </c>
      <c r="F65" s="121" t="s">
        <v>201</v>
      </c>
      <c r="G65" s="121" t="str">
        <f t="shared" si="5"/>
        <v/>
      </c>
      <c r="H65" s="121"/>
      <c r="I65" s="121"/>
      <c r="J65" s="121"/>
      <c r="K65" s="121"/>
      <c r="L65" s="236"/>
      <c r="M65" s="137">
        <v>7</v>
      </c>
      <c r="N65" s="137"/>
      <c r="O65" s="139"/>
      <c r="P65" s="140"/>
      <c r="Q65" s="124" t="s">
        <v>201</v>
      </c>
      <c r="AC65" s="19" t="e">
        <f t="shared" si="4"/>
        <v>#N/A</v>
      </c>
    </row>
    <row r="66" spans="1:29" ht="23">
      <c r="A66" s="174"/>
      <c r="B66" s="121"/>
      <c r="C66" s="121"/>
      <c r="D66" s="121"/>
      <c r="E66" s="121" t="s">
        <v>201</v>
      </c>
      <c r="F66" s="121" t="s">
        <v>201</v>
      </c>
      <c r="G66" s="121" t="str">
        <f t="shared" si="5"/>
        <v/>
      </c>
      <c r="H66" s="121"/>
      <c r="I66" s="121"/>
      <c r="J66" s="121"/>
      <c r="K66" s="121"/>
      <c r="L66" s="236"/>
      <c r="M66" s="137">
        <v>8</v>
      </c>
      <c r="N66" s="137"/>
      <c r="O66" s="139"/>
      <c r="P66" s="140"/>
      <c r="AC66" s="19" t="e">
        <f t="shared" si="4"/>
        <v>#N/A</v>
      </c>
    </row>
    <row r="67" spans="1:29" ht="25" customHeight="1">
      <c r="A67" s="174"/>
      <c r="B67" s="121"/>
      <c r="C67" s="121"/>
      <c r="D67" s="121"/>
      <c r="E67" s="121" t="s">
        <v>201</v>
      </c>
      <c r="F67" s="121" t="s">
        <v>201</v>
      </c>
      <c r="G67" s="121" t="str">
        <f t="shared" si="5"/>
        <v/>
      </c>
      <c r="H67" s="121"/>
      <c r="I67" s="121"/>
      <c r="J67" s="121"/>
      <c r="K67" s="121"/>
      <c r="L67" s="236"/>
      <c r="M67" s="137">
        <v>9</v>
      </c>
      <c r="N67" s="137"/>
      <c r="O67" s="139"/>
      <c r="P67" s="140"/>
      <c r="AC67" s="19" t="e">
        <f t="shared" si="4"/>
        <v>#N/A</v>
      </c>
    </row>
    <row r="68" spans="1:29" ht="24" customHeight="1">
      <c r="A68" s="174"/>
      <c r="B68" s="121"/>
      <c r="C68" s="121"/>
      <c r="D68" s="121"/>
      <c r="E68" s="121" t="s">
        <v>201</v>
      </c>
      <c r="F68" s="121" t="s">
        <v>201</v>
      </c>
      <c r="G68" s="121" t="str">
        <f t="shared" si="5"/>
        <v/>
      </c>
      <c r="H68" s="121"/>
      <c r="I68" s="121"/>
      <c r="J68" s="121"/>
      <c r="K68" s="121"/>
      <c r="L68" s="236"/>
      <c r="M68" s="137">
        <v>10</v>
      </c>
      <c r="N68" s="137"/>
      <c r="O68" s="139"/>
      <c r="P68" s="140"/>
      <c r="AC68" s="19" t="e">
        <f t="shared" si="4"/>
        <v>#N/A</v>
      </c>
    </row>
    <row r="69" spans="1:29" ht="24" customHeight="1">
      <c r="A69" s="174"/>
      <c r="B69" s="121"/>
      <c r="C69" s="121"/>
      <c r="D69" s="121"/>
      <c r="E69" s="121" t="s">
        <v>201</v>
      </c>
      <c r="F69" s="121" t="s">
        <v>201</v>
      </c>
      <c r="G69" s="121" t="str">
        <f t="shared" si="5"/>
        <v/>
      </c>
      <c r="H69" s="121"/>
      <c r="I69" s="121"/>
      <c r="J69" s="121"/>
      <c r="K69" s="121"/>
      <c r="L69" s="236"/>
      <c r="M69" s="139"/>
      <c r="N69" s="139"/>
      <c r="O69" s="139"/>
      <c r="P69" s="140"/>
      <c r="AC69" s="19" t="e">
        <f t="shared" si="4"/>
        <v>#N/A</v>
      </c>
    </row>
    <row r="70" spans="1:29" ht="21">
      <c r="A70" s="174"/>
      <c r="B70" s="121"/>
      <c r="C70" s="121"/>
      <c r="D70" s="121"/>
      <c r="E70" s="121" t="s">
        <v>201</v>
      </c>
      <c r="F70" s="121" t="s">
        <v>201</v>
      </c>
      <c r="G70" s="121" t="str">
        <f t="shared" si="5"/>
        <v/>
      </c>
      <c r="H70" s="121"/>
      <c r="I70" s="121"/>
      <c r="J70" s="121"/>
      <c r="K70" s="121"/>
      <c r="L70" s="236"/>
      <c r="M70" s="139"/>
      <c r="N70" s="139"/>
      <c r="O70" s="139"/>
      <c r="P70" s="140"/>
      <c r="AC70" s="19" t="e">
        <f t="shared" si="4"/>
        <v>#N/A</v>
      </c>
    </row>
    <row r="71" spans="1:29" ht="21">
      <c r="A71" s="174"/>
      <c r="B71" s="121"/>
      <c r="C71" s="121"/>
      <c r="D71" s="121"/>
      <c r="E71" s="121" t="s">
        <v>201</v>
      </c>
      <c r="F71" s="121" t="s">
        <v>201</v>
      </c>
      <c r="G71" s="121" t="str">
        <f t="shared" si="5"/>
        <v/>
      </c>
      <c r="H71" s="121"/>
      <c r="I71" s="121"/>
      <c r="J71" s="121"/>
      <c r="K71" s="121"/>
      <c r="L71" s="236"/>
      <c r="M71" s="139"/>
      <c r="N71" s="139"/>
      <c r="O71" s="139"/>
      <c r="P71" s="140"/>
      <c r="AC71" s="19" t="e">
        <f t="shared" si="4"/>
        <v>#N/A</v>
      </c>
    </row>
    <row r="72" spans="1:29" ht="21">
      <c r="A72" s="174"/>
      <c r="B72" s="121"/>
      <c r="C72" s="121"/>
      <c r="D72" s="121"/>
      <c r="E72" s="121" t="s">
        <v>201</v>
      </c>
      <c r="F72" s="121" t="s">
        <v>201</v>
      </c>
      <c r="G72" s="121" t="str">
        <f t="shared" si="5"/>
        <v/>
      </c>
      <c r="H72" s="121"/>
      <c r="I72" s="121"/>
      <c r="J72" s="121"/>
      <c r="K72" s="121"/>
      <c r="L72" s="236"/>
      <c r="M72" s="139"/>
      <c r="N72" s="139"/>
      <c r="O72" s="139"/>
      <c r="P72" s="140"/>
      <c r="AC72" s="19" t="e">
        <f t="shared" si="4"/>
        <v>#N/A</v>
      </c>
    </row>
    <row r="73" spans="1:29" ht="21">
      <c r="A73" s="174"/>
      <c r="B73" s="121"/>
      <c r="C73" s="121"/>
      <c r="D73" s="121"/>
      <c r="E73" s="121" t="s">
        <v>201</v>
      </c>
      <c r="F73" s="121" t="s">
        <v>201</v>
      </c>
      <c r="G73" s="121" t="str">
        <f t="shared" si="5"/>
        <v/>
      </c>
      <c r="H73" s="121"/>
      <c r="I73" s="121"/>
      <c r="J73" s="121"/>
      <c r="K73" s="121"/>
      <c r="L73" s="236"/>
      <c r="M73" s="139"/>
      <c r="N73" s="139"/>
      <c r="O73" s="139"/>
      <c r="P73" s="140"/>
      <c r="AC73" s="19" t="e">
        <f t="shared" si="4"/>
        <v>#N/A</v>
      </c>
    </row>
    <row r="74" spans="1:29" ht="21">
      <c r="A74" s="174"/>
      <c r="B74" s="121"/>
      <c r="C74" s="121"/>
      <c r="D74" s="121"/>
      <c r="E74" s="121" t="s">
        <v>201</v>
      </c>
      <c r="F74" s="121" t="s">
        <v>201</v>
      </c>
      <c r="G74" s="121" t="str">
        <f t="shared" si="5"/>
        <v/>
      </c>
      <c r="H74" s="121"/>
      <c r="I74" s="121"/>
      <c r="J74" s="121"/>
      <c r="K74" s="121"/>
      <c r="L74" s="236"/>
      <c r="M74" s="139"/>
      <c r="N74" s="139"/>
      <c r="O74" s="139"/>
      <c r="P74" s="140"/>
      <c r="AC74" s="19" t="e">
        <f t="shared" si="4"/>
        <v>#N/A</v>
      </c>
    </row>
    <row r="75" spans="1:29" ht="21">
      <c r="A75" s="174"/>
      <c r="B75" s="121"/>
      <c r="C75" s="121"/>
      <c r="D75" s="121"/>
      <c r="E75" s="121" t="s">
        <v>201</v>
      </c>
      <c r="F75" s="121" t="s">
        <v>201</v>
      </c>
      <c r="G75" s="121" t="str">
        <f t="shared" si="5"/>
        <v/>
      </c>
      <c r="H75" s="121"/>
      <c r="I75" s="121"/>
      <c r="J75" s="121"/>
      <c r="K75" s="121"/>
      <c r="L75" s="236"/>
      <c r="M75" s="139"/>
      <c r="N75" s="139"/>
      <c r="O75" s="139"/>
      <c r="P75" s="140"/>
      <c r="AC75" s="19"/>
    </row>
    <row r="76" spans="1:29">
      <c r="A76" s="236"/>
      <c r="B76" s="236"/>
      <c r="C76" s="236"/>
      <c r="D76" s="236"/>
      <c r="E76" s="236"/>
      <c r="F76" s="236"/>
      <c r="G76" s="236"/>
      <c r="H76" s="236"/>
      <c r="I76" s="236"/>
      <c r="J76" s="236"/>
      <c r="K76" s="236"/>
      <c r="L76" s="236"/>
    </row>
    <row r="78" spans="1:29" ht="46" customHeight="1">
      <c r="A78" s="174"/>
      <c r="B78" s="169" t="s">
        <v>254</v>
      </c>
      <c r="C78" s="167"/>
      <c r="D78" s="167"/>
      <c r="E78" s="167"/>
      <c r="F78" s="167"/>
      <c r="G78" s="167"/>
      <c r="H78" s="168"/>
      <c r="I78" s="168"/>
      <c r="J78" s="168"/>
      <c r="K78" s="168"/>
      <c r="L78" s="236"/>
      <c r="M78" s="165"/>
      <c r="N78" s="165"/>
      <c r="O78" s="165"/>
      <c r="P78" s="165"/>
      <c r="Q78" s="165"/>
      <c r="R78" s="165"/>
      <c r="S78" s="165"/>
      <c r="T78" s="165"/>
      <c r="U78" s="165"/>
      <c r="V78" s="165"/>
      <c r="W78" s="165"/>
    </row>
    <row r="79" spans="1:29">
      <c r="A79" s="174" t="s">
        <v>197</v>
      </c>
      <c r="B79" s="215" t="s">
        <v>255</v>
      </c>
      <c r="C79" s="215"/>
      <c r="D79" s="215"/>
      <c r="E79" s="215"/>
      <c r="F79" s="215"/>
      <c r="G79" s="215"/>
      <c r="H79" s="215"/>
      <c r="I79" s="215" t="s">
        <v>30</v>
      </c>
      <c r="J79" s="215"/>
      <c r="K79" s="170"/>
      <c r="L79" s="236"/>
    </row>
    <row r="80" spans="1:29">
      <c r="A80" s="174" t="s">
        <v>246</v>
      </c>
      <c r="B80" s="215" t="s">
        <v>244</v>
      </c>
      <c r="C80" s="215"/>
      <c r="D80" s="215"/>
      <c r="E80" s="215"/>
      <c r="F80" s="215"/>
      <c r="G80" s="215"/>
      <c r="H80" s="215"/>
      <c r="I80" s="215" t="s">
        <v>31</v>
      </c>
      <c r="J80" s="215"/>
      <c r="K80" s="170"/>
      <c r="L80" s="236"/>
    </row>
    <row r="81" spans="1:35">
      <c r="A81" s="174"/>
      <c r="B81" s="215" t="s">
        <v>247</v>
      </c>
      <c r="C81" s="215"/>
      <c r="D81" s="215"/>
      <c r="E81" s="215"/>
      <c r="F81" s="215"/>
      <c r="G81" s="215"/>
      <c r="H81" s="215"/>
      <c r="I81" s="215" t="s">
        <v>29</v>
      </c>
      <c r="J81" s="215"/>
      <c r="K81" s="173"/>
      <c r="L81" s="236"/>
    </row>
    <row r="82" spans="1:35" s="19" customFormat="1" ht="46" thickBot="1">
      <c r="A82" s="175">
        <f>A57+1</f>
        <v>4</v>
      </c>
      <c r="B82" s="95" t="s">
        <v>32</v>
      </c>
      <c r="C82" s="95" t="s">
        <v>190</v>
      </c>
      <c r="D82" s="95" t="s">
        <v>33</v>
      </c>
      <c r="E82" s="95" t="s">
        <v>36</v>
      </c>
      <c r="F82" s="95" t="s">
        <v>196</v>
      </c>
      <c r="G82" s="95" t="s">
        <v>37</v>
      </c>
      <c r="H82" s="95" t="s">
        <v>34</v>
      </c>
      <c r="I82" s="95" t="s">
        <v>250</v>
      </c>
      <c r="J82" s="95" t="s">
        <v>35</v>
      </c>
      <c r="K82" s="95" t="s">
        <v>191</v>
      </c>
      <c r="L82" s="236"/>
      <c r="M82" s="128"/>
      <c r="N82" s="141" t="s">
        <v>248</v>
      </c>
      <c r="O82" s="128"/>
      <c r="P82" s="138"/>
      <c r="AC82" s="19" t="e">
        <f t="shared" ref="AC82:AC99" si="6">VLOOKUP(F83,Z$10:AA$14,2,FALSE)</f>
        <v>#N/A</v>
      </c>
      <c r="AI82" s="19" t="e">
        <f>VLOOKUP(G83,$AF$8:$AG$12,2,FALSE)</f>
        <v>#N/A</v>
      </c>
    </row>
    <row r="83" spans="1:35" ht="22" thickBot="1">
      <c r="A83" s="174"/>
      <c r="B83" s="121"/>
      <c r="C83" s="121"/>
      <c r="D83" s="121"/>
      <c r="E83" s="121" t="s">
        <v>201</v>
      </c>
      <c r="F83" s="121" t="s">
        <v>201</v>
      </c>
      <c r="G83" s="121" t="str">
        <f>IF(ISERROR(VLOOKUP(E83,Q$10:V$14,AC82+1,FALSE)),"",VLOOKUP(E83,Q$10:V$14,AC82+1,FALSE))</f>
        <v/>
      </c>
      <c r="H83" s="121"/>
      <c r="I83" s="121"/>
      <c r="J83" s="121"/>
      <c r="K83" s="121"/>
      <c r="L83" s="236"/>
      <c r="M83" s="142" t="s">
        <v>240</v>
      </c>
      <c r="N83" s="139"/>
      <c r="O83" s="139"/>
      <c r="P83" s="140"/>
      <c r="Q83" s="20"/>
      <c r="R83" s="212" t="s">
        <v>38</v>
      </c>
      <c r="S83" s="213"/>
      <c r="T83" s="213"/>
      <c r="U83" s="213"/>
      <c r="V83" s="214"/>
      <c r="AC83" s="19" t="e">
        <f t="shared" si="6"/>
        <v>#N/A</v>
      </c>
      <c r="AF83" s="100" t="s">
        <v>47</v>
      </c>
      <c r="AG83">
        <v>1</v>
      </c>
    </row>
    <row r="84" spans="1:35" ht="24" thickBot="1">
      <c r="A84" s="174"/>
      <c r="B84" s="121"/>
      <c r="C84" s="121"/>
      <c r="D84" s="121"/>
      <c r="E84" s="121" t="s">
        <v>201</v>
      </c>
      <c r="F84" s="121" t="s">
        <v>201</v>
      </c>
      <c r="G84" s="121" t="str">
        <f>IF(ISERROR(VLOOKUP(E84,Q$10:V$14,AC83+1,FALSE)),"",VLOOKUP(E84,Q$10:V$14,AC83+1,FALSE))</f>
        <v/>
      </c>
      <c r="H84" s="121"/>
      <c r="I84" s="121"/>
      <c r="J84" s="121"/>
      <c r="K84" s="121"/>
      <c r="L84" s="236"/>
      <c r="M84" s="137">
        <v>1</v>
      </c>
      <c r="N84" s="137"/>
      <c r="O84" s="139"/>
      <c r="P84" s="140"/>
      <c r="Q84" s="23" t="s">
        <v>39</v>
      </c>
      <c r="R84" s="22" t="s">
        <v>40</v>
      </c>
      <c r="S84" s="22" t="s">
        <v>44</v>
      </c>
      <c r="T84" s="22" t="s">
        <v>241</v>
      </c>
      <c r="U84" s="22" t="s">
        <v>41</v>
      </c>
      <c r="V84" s="22" t="s">
        <v>42</v>
      </c>
      <c r="W84" s="125" t="s">
        <v>201</v>
      </c>
      <c r="AC84" s="19" t="e">
        <f t="shared" si="6"/>
        <v>#N/A</v>
      </c>
      <c r="AF84" s="99" t="s">
        <v>46</v>
      </c>
      <c r="AG84">
        <v>2</v>
      </c>
    </row>
    <row r="85" spans="1:35" ht="24" thickBot="1">
      <c r="A85" s="174"/>
      <c r="B85" s="121"/>
      <c r="C85" s="121"/>
      <c r="D85" s="121"/>
      <c r="E85" s="121" t="s">
        <v>201</v>
      </c>
      <c r="F85" s="121" t="s">
        <v>201</v>
      </c>
      <c r="G85" s="121" t="str">
        <f t="shared" ref="G85:G100" si="7">IF(ISERROR(VLOOKUP(E85,Q$10:V$14,AC84+1,FALSE)),"",VLOOKUP(E85,Q$10:V$14,AC84+1,FALSE))</f>
        <v/>
      </c>
      <c r="H85" s="121"/>
      <c r="I85" s="121"/>
      <c r="J85" s="121"/>
      <c r="K85" s="121"/>
      <c r="L85" s="236"/>
      <c r="M85" s="137">
        <v>2</v>
      </c>
      <c r="N85" s="137"/>
      <c r="O85" s="139"/>
      <c r="P85" s="140"/>
      <c r="Q85" s="21" t="s">
        <v>242</v>
      </c>
      <c r="R85" s="99" t="s">
        <v>256</v>
      </c>
      <c r="S85" s="97" t="s">
        <v>45</v>
      </c>
      <c r="T85" s="172" t="s">
        <v>257</v>
      </c>
      <c r="U85" s="172" t="s">
        <v>257</v>
      </c>
      <c r="V85" s="172" t="s">
        <v>257</v>
      </c>
      <c r="Z85" s="22" t="s">
        <v>40</v>
      </c>
      <c r="AA85">
        <v>1</v>
      </c>
      <c r="AC85" s="19" t="e">
        <f t="shared" si="6"/>
        <v>#N/A</v>
      </c>
      <c r="AF85" s="98" t="s">
        <v>44</v>
      </c>
      <c r="AG85">
        <v>3</v>
      </c>
    </row>
    <row r="86" spans="1:35" ht="24" thickBot="1">
      <c r="A86" s="174"/>
      <c r="B86" s="121"/>
      <c r="C86" s="121"/>
      <c r="D86" s="121"/>
      <c r="E86" s="121" t="s">
        <v>201</v>
      </c>
      <c r="F86" s="121" t="s">
        <v>201</v>
      </c>
      <c r="G86" s="121" t="str">
        <f t="shared" si="7"/>
        <v/>
      </c>
      <c r="H86" s="121"/>
      <c r="I86" s="121"/>
      <c r="J86" s="121"/>
      <c r="K86" s="121"/>
      <c r="L86" s="236"/>
      <c r="M86" s="137">
        <v>3</v>
      </c>
      <c r="N86" s="137"/>
      <c r="O86" s="139"/>
      <c r="P86" s="140"/>
      <c r="Q86" s="21" t="s">
        <v>48</v>
      </c>
      <c r="R86" s="99" t="s">
        <v>256</v>
      </c>
      <c r="S86" s="97" t="s">
        <v>45</v>
      </c>
      <c r="T86" s="97" t="s">
        <v>45</v>
      </c>
      <c r="U86" s="172" t="s">
        <v>257</v>
      </c>
      <c r="V86" s="172" t="s">
        <v>257</v>
      </c>
      <c r="Z86" s="22" t="s">
        <v>44</v>
      </c>
      <c r="AA86">
        <v>2</v>
      </c>
      <c r="AC86" s="19" t="e">
        <f t="shared" si="6"/>
        <v>#N/A</v>
      </c>
      <c r="AF86" s="97" t="s">
        <v>45</v>
      </c>
      <c r="AG86">
        <v>4</v>
      </c>
    </row>
    <row r="87" spans="1:35" ht="24" thickBot="1">
      <c r="A87" s="174"/>
      <c r="B87" s="121"/>
      <c r="C87" s="121"/>
      <c r="D87" s="121"/>
      <c r="E87" s="121" t="s">
        <v>201</v>
      </c>
      <c r="F87" s="121" t="s">
        <v>201</v>
      </c>
      <c r="G87" s="121" t="str">
        <f t="shared" si="7"/>
        <v/>
      </c>
      <c r="H87" s="121"/>
      <c r="I87" s="121"/>
      <c r="J87" s="121"/>
      <c r="K87" s="121"/>
      <c r="L87" s="236"/>
      <c r="M87" s="137">
        <v>4</v>
      </c>
      <c r="N87" s="137"/>
      <c r="O87" s="139"/>
      <c r="P87" s="140"/>
      <c r="Q87" s="21" t="s">
        <v>49</v>
      </c>
      <c r="R87" s="99" t="s">
        <v>46</v>
      </c>
      <c r="S87" s="99" t="s">
        <v>256</v>
      </c>
      <c r="T87" s="98" t="s">
        <v>45</v>
      </c>
      <c r="U87" s="172" t="s">
        <v>257</v>
      </c>
      <c r="V87" s="172" t="s">
        <v>257</v>
      </c>
      <c r="Z87" s="22" t="s">
        <v>241</v>
      </c>
      <c r="AA87">
        <v>3</v>
      </c>
      <c r="AC87" s="19" t="e">
        <f t="shared" si="6"/>
        <v>#N/A</v>
      </c>
      <c r="AF87" s="96" t="s">
        <v>43</v>
      </c>
      <c r="AG87">
        <v>5</v>
      </c>
    </row>
    <row r="88" spans="1:35" ht="24" thickBot="1">
      <c r="A88" s="174"/>
      <c r="B88" s="121"/>
      <c r="C88" s="121"/>
      <c r="D88" s="121"/>
      <c r="E88" s="121" t="s">
        <v>201</v>
      </c>
      <c r="F88" s="121" t="s">
        <v>201</v>
      </c>
      <c r="G88" s="121" t="str">
        <f t="shared" si="7"/>
        <v/>
      </c>
      <c r="H88" s="121"/>
      <c r="I88" s="121"/>
      <c r="J88" s="121"/>
      <c r="K88" s="121"/>
      <c r="L88" s="236"/>
      <c r="M88" s="137">
        <v>5</v>
      </c>
      <c r="N88" s="137"/>
      <c r="O88" s="139"/>
      <c r="P88" s="140"/>
      <c r="Q88" s="21" t="s">
        <v>50</v>
      </c>
      <c r="R88" s="99" t="s">
        <v>46</v>
      </c>
      <c r="S88" s="99" t="s">
        <v>46</v>
      </c>
      <c r="T88" s="99" t="s">
        <v>256</v>
      </c>
      <c r="U88" s="98" t="s">
        <v>45</v>
      </c>
      <c r="V88" s="172" t="s">
        <v>257</v>
      </c>
      <c r="Z88" s="22" t="s">
        <v>41</v>
      </c>
      <c r="AA88">
        <v>4</v>
      </c>
      <c r="AC88" s="19" t="e">
        <f t="shared" si="6"/>
        <v>#N/A</v>
      </c>
    </row>
    <row r="89" spans="1:35" ht="24" thickBot="1">
      <c r="A89" s="174"/>
      <c r="B89" s="121"/>
      <c r="C89" s="121"/>
      <c r="D89" s="121"/>
      <c r="E89" s="121" t="s">
        <v>201</v>
      </c>
      <c r="F89" s="121" t="s">
        <v>201</v>
      </c>
      <c r="G89" s="121" t="str">
        <f t="shared" si="7"/>
        <v/>
      </c>
      <c r="H89" s="121"/>
      <c r="I89" s="121"/>
      <c r="J89" s="121"/>
      <c r="K89" s="121"/>
      <c r="L89" s="236"/>
      <c r="M89" s="137">
        <v>6</v>
      </c>
      <c r="N89" s="137"/>
      <c r="O89" s="139"/>
      <c r="P89" s="140"/>
      <c r="Q89" s="21" t="s">
        <v>243</v>
      </c>
      <c r="R89" s="100" t="s">
        <v>46</v>
      </c>
      <c r="S89" s="99" t="s">
        <v>46</v>
      </c>
      <c r="T89" s="99" t="s">
        <v>256</v>
      </c>
      <c r="U89" s="98" t="s">
        <v>45</v>
      </c>
      <c r="V89" s="98" t="s">
        <v>45</v>
      </c>
      <c r="Z89" s="22" t="s">
        <v>42</v>
      </c>
      <c r="AA89">
        <v>5</v>
      </c>
      <c r="AC89" s="19" t="e">
        <f t="shared" si="6"/>
        <v>#N/A</v>
      </c>
    </row>
    <row r="90" spans="1:35" ht="23">
      <c r="A90" s="174"/>
      <c r="B90" s="121"/>
      <c r="C90" s="121"/>
      <c r="D90" s="121"/>
      <c r="E90" s="121" t="s">
        <v>201</v>
      </c>
      <c r="F90" s="121" t="s">
        <v>201</v>
      </c>
      <c r="G90" s="121" t="str">
        <f t="shared" si="7"/>
        <v/>
      </c>
      <c r="H90" s="121"/>
      <c r="I90" s="121"/>
      <c r="J90" s="121"/>
      <c r="K90" s="121"/>
      <c r="L90" s="236"/>
      <c r="M90" s="137">
        <v>7</v>
      </c>
      <c r="N90" s="137"/>
      <c r="O90" s="139"/>
      <c r="P90" s="140"/>
      <c r="Q90" s="124" t="s">
        <v>201</v>
      </c>
      <c r="AC90" s="19" t="e">
        <f t="shared" si="6"/>
        <v>#N/A</v>
      </c>
    </row>
    <row r="91" spans="1:35" ht="23">
      <c r="A91" s="174"/>
      <c r="B91" s="121"/>
      <c r="C91" s="121"/>
      <c r="D91" s="121"/>
      <c r="E91" s="121" t="s">
        <v>201</v>
      </c>
      <c r="F91" s="121" t="s">
        <v>201</v>
      </c>
      <c r="G91" s="121" t="str">
        <f t="shared" si="7"/>
        <v/>
      </c>
      <c r="H91" s="121"/>
      <c r="I91" s="121"/>
      <c r="J91" s="121"/>
      <c r="K91" s="121"/>
      <c r="L91" s="236"/>
      <c r="M91" s="137">
        <v>8</v>
      </c>
      <c r="N91" s="137"/>
      <c r="O91" s="139"/>
      <c r="P91" s="140"/>
      <c r="AC91" s="19" t="e">
        <f t="shared" si="6"/>
        <v>#N/A</v>
      </c>
    </row>
    <row r="92" spans="1:35" ht="25" customHeight="1">
      <c r="A92" s="174"/>
      <c r="B92" s="121"/>
      <c r="C92" s="121"/>
      <c r="D92" s="121"/>
      <c r="E92" s="121" t="s">
        <v>201</v>
      </c>
      <c r="F92" s="121" t="s">
        <v>201</v>
      </c>
      <c r="G92" s="121" t="str">
        <f t="shared" si="7"/>
        <v/>
      </c>
      <c r="H92" s="121"/>
      <c r="I92" s="121"/>
      <c r="J92" s="121"/>
      <c r="K92" s="121"/>
      <c r="L92" s="236"/>
      <c r="M92" s="137">
        <v>9</v>
      </c>
      <c r="N92" s="137"/>
      <c r="O92" s="139"/>
      <c r="P92" s="140"/>
      <c r="AC92" s="19" t="e">
        <f t="shared" si="6"/>
        <v>#N/A</v>
      </c>
    </row>
    <row r="93" spans="1:35" ht="24" customHeight="1">
      <c r="A93" s="174"/>
      <c r="B93" s="121"/>
      <c r="C93" s="121"/>
      <c r="D93" s="121"/>
      <c r="E93" s="121" t="s">
        <v>201</v>
      </c>
      <c r="F93" s="121" t="s">
        <v>201</v>
      </c>
      <c r="G93" s="121" t="str">
        <f t="shared" si="7"/>
        <v/>
      </c>
      <c r="H93" s="121"/>
      <c r="I93" s="121"/>
      <c r="J93" s="121"/>
      <c r="K93" s="121"/>
      <c r="L93" s="236"/>
      <c r="M93" s="137">
        <v>10</v>
      </c>
      <c r="N93" s="137"/>
      <c r="O93" s="139"/>
      <c r="P93" s="140"/>
      <c r="AC93" s="19" t="e">
        <f t="shared" si="6"/>
        <v>#N/A</v>
      </c>
    </row>
    <row r="94" spans="1:35" ht="24" customHeight="1">
      <c r="A94" s="174"/>
      <c r="B94" s="121"/>
      <c r="C94" s="121"/>
      <c r="D94" s="121"/>
      <c r="E94" s="121" t="s">
        <v>201</v>
      </c>
      <c r="F94" s="121" t="s">
        <v>201</v>
      </c>
      <c r="G94" s="121" t="str">
        <f t="shared" si="7"/>
        <v/>
      </c>
      <c r="H94" s="121"/>
      <c r="I94" s="121"/>
      <c r="J94" s="121"/>
      <c r="K94" s="121"/>
      <c r="L94" s="236"/>
      <c r="M94" s="139"/>
      <c r="N94" s="139"/>
      <c r="O94" s="139"/>
      <c r="P94" s="140"/>
      <c r="AC94" s="19" t="e">
        <f t="shared" si="6"/>
        <v>#N/A</v>
      </c>
    </row>
    <row r="95" spans="1:35" ht="21">
      <c r="A95" s="174"/>
      <c r="B95" s="121"/>
      <c r="C95" s="121"/>
      <c r="D95" s="121"/>
      <c r="E95" s="121" t="s">
        <v>201</v>
      </c>
      <c r="F95" s="121" t="s">
        <v>201</v>
      </c>
      <c r="G95" s="121" t="str">
        <f t="shared" si="7"/>
        <v/>
      </c>
      <c r="H95" s="121"/>
      <c r="I95" s="121"/>
      <c r="J95" s="121"/>
      <c r="K95" s="121"/>
      <c r="L95" s="236"/>
      <c r="M95" s="139"/>
      <c r="N95" s="139"/>
      <c r="O95" s="139"/>
      <c r="P95" s="140"/>
      <c r="AC95" s="19" t="e">
        <f t="shared" si="6"/>
        <v>#N/A</v>
      </c>
    </row>
    <row r="96" spans="1:35" ht="21">
      <c r="A96" s="174"/>
      <c r="B96" s="121"/>
      <c r="C96" s="121"/>
      <c r="D96" s="121"/>
      <c r="E96" s="121" t="s">
        <v>201</v>
      </c>
      <c r="F96" s="121" t="s">
        <v>201</v>
      </c>
      <c r="G96" s="121" t="str">
        <f t="shared" si="7"/>
        <v/>
      </c>
      <c r="H96" s="121"/>
      <c r="I96" s="121"/>
      <c r="J96" s="121"/>
      <c r="K96" s="121"/>
      <c r="L96" s="236"/>
      <c r="M96" s="139"/>
      <c r="N96" s="139"/>
      <c r="O96" s="139"/>
      <c r="P96" s="140"/>
      <c r="AC96" s="19" t="e">
        <f t="shared" si="6"/>
        <v>#N/A</v>
      </c>
    </row>
    <row r="97" spans="1:35" ht="21">
      <c r="A97" s="174"/>
      <c r="B97" s="121"/>
      <c r="C97" s="121"/>
      <c r="D97" s="121"/>
      <c r="E97" s="121" t="s">
        <v>201</v>
      </c>
      <c r="F97" s="121" t="s">
        <v>201</v>
      </c>
      <c r="G97" s="121" t="str">
        <f t="shared" si="7"/>
        <v/>
      </c>
      <c r="H97" s="121"/>
      <c r="I97" s="121"/>
      <c r="J97" s="121"/>
      <c r="K97" s="121"/>
      <c r="L97" s="236"/>
      <c r="M97" s="139"/>
      <c r="N97" s="139"/>
      <c r="O97" s="139"/>
      <c r="P97" s="140"/>
      <c r="AC97" s="19" t="e">
        <f t="shared" si="6"/>
        <v>#N/A</v>
      </c>
    </row>
    <row r="98" spans="1:35" ht="21">
      <c r="A98" s="174"/>
      <c r="B98" s="121"/>
      <c r="C98" s="121"/>
      <c r="D98" s="121"/>
      <c r="E98" s="121" t="s">
        <v>201</v>
      </c>
      <c r="F98" s="121" t="s">
        <v>201</v>
      </c>
      <c r="G98" s="121" t="str">
        <f t="shared" si="7"/>
        <v/>
      </c>
      <c r="H98" s="121"/>
      <c r="I98" s="121"/>
      <c r="J98" s="121"/>
      <c r="K98" s="121"/>
      <c r="L98" s="236"/>
      <c r="M98" s="139"/>
      <c r="N98" s="139"/>
      <c r="O98" s="139"/>
      <c r="P98" s="140"/>
      <c r="AC98" s="19" t="e">
        <f t="shared" si="6"/>
        <v>#N/A</v>
      </c>
    </row>
    <row r="99" spans="1:35" ht="21">
      <c r="A99" s="174"/>
      <c r="B99" s="121"/>
      <c r="C99" s="121"/>
      <c r="D99" s="121"/>
      <c r="E99" s="121" t="s">
        <v>201</v>
      </c>
      <c r="F99" s="121" t="s">
        <v>201</v>
      </c>
      <c r="G99" s="121" t="str">
        <f t="shared" si="7"/>
        <v/>
      </c>
      <c r="H99" s="121"/>
      <c r="I99" s="121"/>
      <c r="J99" s="121"/>
      <c r="K99" s="121"/>
      <c r="L99" s="236"/>
      <c r="M99" s="139"/>
      <c r="N99" s="139"/>
      <c r="O99" s="139"/>
      <c r="P99" s="140"/>
      <c r="AC99" s="19" t="e">
        <f t="shared" si="6"/>
        <v>#N/A</v>
      </c>
    </row>
    <row r="100" spans="1:35" ht="21">
      <c r="A100" s="174"/>
      <c r="B100" s="121"/>
      <c r="C100" s="121"/>
      <c r="D100" s="121"/>
      <c r="E100" s="121" t="s">
        <v>201</v>
      </c>
      <c r="F100" s="121" t="s">
        <v>201</v>
      </c>
      <c r="G100" s="121" t="str">
        <f t="shared" si="7"/>
        <v/>
      </c>
      <c r="H100" s="121"/>
      <c r="I100" s="121"/>
      <c r="J100" s="121"/>
      <c r="K100" s="121"/>
      <c r="L100" s="236"/>
      <c r="M100" s="139"/>
      <c r="N100" s="139"/>
      <c r="O100" s="139"/>
      <c r="P100" s="140"/>
      <c r="AC100" s="19"/>
    </row>
    <row r="101" spans="1:35">
      <c r="A101" s="236"/>
      <c r="B101" s="236"/>
      <c r="C101" s="236"/>
      <c r="D101" s="236"/>
      <c r="E101" s="236"/>
      <c r="F101" s="236"/>
      <c r="G101" s="236"/>
      <c r="H101" s="236"/>
      <c r="I101" s="236"/>
      <c r="J101" s="236"/>
      <c r="K101" s="236"/>
      <c r="L101" s="236"/>
    </row>
    <row r="103" spans="1:35" ht="46" customHeight="1">
      <c r="A103" s="174"/>
      <c r="B103" s="169" t="s">
        <v>254</v>
      </c>
      <c r="C103" s="167"/>
      <c r="D103" s="167"/>
      <c r="E103" s="167"/>
      <c r="F103" s="167"/>
      <c r="G103" s="167"/>
      <c r="H103" s="168"/>
      <c r="I103" s="168"/>
      <c r="J103" s="168"/>
      <c r="K103" s="168"/>
      <c r="L103" s="236"/>
      <c r="M103" s="165"/>
      <c r="N103" s="165"/>
      <c r="O103" s="165"/>
      <c r="P103" s="165"/>
      <c r="Q103" s="165"/>
      <c r="R103" s="165"/>
      <c r="S103" s="165"/>
      <c r="T103" s="165"/>
      <c r="U103" s="165"/>
      <c r="V103" s="165"/>
      <c r="W103" s="165"/>
    </row>
    <row r="104" spans="1:35">
      <c r="A104" s="174" t="s">
        <v>197</v>
      </c>
      <c r="B104" s="215" t="s">
        <v>255</v>
      </c>
      <c r="C104" s="215"/>
      <c r="D104" s="215"/>
      <c r="E104" s="215"/>
      <c r="F104" s="215"/>
      <c r="G104" s="215"/>
      <c r="H104" s="215"/>
      <c r="I104" s="215" t="s">
        <v>30</v>
      </c>
      <c r="J104" s="215"/>
      <c r="K104" s="170"/>
      <c r="L104" s="236"/>
    </row>
    <row r="105" spans="1:35">
      <c r="A105" s="174" t="s">
        <v>246</v>
      </c>
      <c r="B105" s="215" t="s">
        <v>244</v>
      </c>
      <c r="C105" s="215"/>
      <c r="D105" s="215"/>
      <c r="E105" s="215"/>
      <c r="F105" s="215"/>
      <c r="G105" s="215"/>
      <c r="H105" s="215"/>
      <c r="I105" s="215" t="s">
        <v>31</v>
      </c>
      <c r="J105" s="215"/>
      <c r="K105" s="170"/>
      <c r="L105" s="236"/>
    </row>
    <row r="106" spans="1:35">
      <c r="A106" s="174"/>
      <c r="B106" s="215" t="s">
        <v>247</v>
      </c>
      <c r="C106" s="215"/>
      <c r="D106" s="215"/>
      <c r="E106" s="215"/>
      <c r="F106" s="215"/>
      <c r="G106" s="215"/>
      <c r="H106" s="215"/>
      <c r="I106" s="215" t="s">
        <v>29</v>
      </c>
      <c r="J106" s="215"/>
      <c r="K106" s="173"/>
      <c r="L106" s="236"/>
    </row>
    <row r="107" spans="1:35" s="19" customFormat="1" ht="46" thickBot="1">
      <c r="A107" s="175">
        <f>A82+1</f>
        <v>5</v>
      </c>
      <c r="B107" s="95" t="s">
        <v>32</v>
      </c>
      <c r="C107" s="95" t="s">
        <v>190</v>
      </c>
      <c r="D107" s="95" t="s">
        <v>33</v>
      </c>
      <c r="E107" s="95" t="s">
        <v>36</v>
      </c>
      <c r="F107" s="95" t="s">
        <v>196</v>
      </c>
      <c r="G107" s="95" t="s">
        <v>37</v>
      </c>
      <c r="H107" s="95" t="s">
        <v>34</v>
      </c>
      <c r="I107" s="95" t="s">
        <v>250</v>
      </c>
      <c r="J107" s="95" t="s">
        <v>35</v>
      </c>
      <c r="K107" s="95" t="s">
        <v>191</v>
      </c>
      <c r="L107" s="236"/>
      <c r="M107" s="128"/>
      <c r="N107" s="141" t="s">
        <v>248</v>
      </c>
      <c r="O107" s="128"/>
      <c r="P107" s="138"/>
      <c r="AC107" s="19" t="e">
        <f t="shared" ref="AC107:AC124" si="8">VLOOKUP(F108,Z$10:AA$14,2,FALSE)</f>
        <v>#N/A</v>
      </c>
      <c r="AI107" s="19" t="e">
        <f>VLOOKUP(G108,$AF$8:$AG$12,2,FALSE)</f>
        <v>#N/A</v>
      </c>
    </row>
    <row r="108" spans="1:35" ht="22" thickBot="1">
      <c r="A108" s="174"/>
      <c r="B108" s="121"/>
      <c r="C108" s="121"/>
      <c r="D108" s="121"/>
      <c r="E108" s="121" t="s">
        <v>201</v>
      </c>
      <c r="F108" s="121" t="s">
        <v>201</v>
      </c>
      <c r="G108" s="121" t="str">
        <f>IF(ISERROR(VLOOKUP(E108,Q$10:V$14,AC107+1,FALSE)),"",VLOOKUP(E108,Q$10:V$14,AC107+1,FALSE))</f>
        <v/>
      </c>
      <c r="H108" s="121"/>
      <c r="I108" s="121"/>
      <c r="J108" s="121"/>
      <c r="K108" s="121"/>
      <c r="L108" s="236"/>
      <c r="M108" s="142" t="s">
        <v>240</v>
      </c>
      <c r="N108" s="139"/>
      <c r="O108" s="139"/>
      <c r="P108" s="140"/>
      <c r="Q108" s="20"/>
      <c r="R108" s="212" t="s">
        <v>38</v>
      </c>
      <c r="S108" s="213"/>
      <c r="T108" s="213"/>
      <c r="U108" s="213"/>
      <c r="V108" s="214"/>
      <c r="AC108" s="19" t="e">
        <f t="shared" si="8"/>
        <v>#N/A</v>
      </c>
      <c r="AF108" s="100" t="s">
        <v>47</v>
      </c>
      <c r="AG108">
        <v>1</v>
      </c>
    </row>
    <row r="109" spans="1:35" ht="24" thickBot="1">
      <c r="A109" s="174"/>
      <c r="B109" s="121"/>
      <c r="C109" s="121"/>
      <c r="D109" s="121"/>
      <c r="E109" s="121" t="s">
        <v>201</v>
      </c>
      <c r="F109" s="121" t="s">
        <v>201</v>
      </c>
      <c r="G109" s="121" t="str">
        <f>IF(ISERROR(VLOOKUP(E109,Q$10:V$14,AC108+1,FALSE)),"",VLOOKUP(E109,Q$10:V$14,AC108+1,FALSE))</f>
        <v/>
      </c>
      <c r="H109" s="121"/>
      <c r="I109" s="121"/>
      <c r="J109" s="121"/>
      <c r="K109" s="121"/>
      <c r="L109" s="236"/>
      <c r="M109" s="137">
        <v>1</v>
      </c>
      <c r="N109" s="137"/>
      <c r="O109" s="139"/>
      <c r="P109" s="140"/>
      <c r="Q109" s="23" t="s">
        <v>39</v>
      </c>
      <c r="R109" s="22" t="s">
        <v>40</v>
      </c>
      <c r="S109" s="22" t="s">
        <v>44</v>
      </c>
      <c r="T109" s="22" t="s">
        <v>241</v>
      </c>
      <c r="U109" s="22" t="s">
        <v>41</v>
      </c>
      <c r="V109" s="22" t="s">
        <v>42</v>
      </c>
      <c r="W109" s="125" t="s">
        <v>201</v>
      </c>
      <c r="AC109" s="19" t="e">
        <f t="shared" si="8"/>
        <v>#N/A</v>
      </c>
      <c r="AF109" s="99" t="s">
        <v>46</v>
      </c>
      <c r="AG109">
        <v>2</v>
      </c>
    </row>
    <row r="110" spans="1:35" ht="24" thickBot="1">
      <c r="A110" s="174"/>
      <c r="B110" s="121"/>
      <c r="C110" s="121"/>
      <c r="D110" s="121"/>
      <c r="E110" s="121" t="s">
        <v>201</v>
      </c>
      <c r="F110" s="121" t="s">
        <v>201</v>
      </c>
      <c r="G110" s="121" t="str">
        <f t="shared" ref="G110:G125" si="9">IF(ISERROR(VLOOKUP(E110,Q$10:V$14,AC109+1,FALSE)),"",VLOOKUP(E110,Q$10:V$14,AC109+1,FALSE))</f>
        <v/>
      </c>
      <c r="H110" s="121"/>
      <c r="I110" s="121"/>
      <c r="J110" s="121"/>
      <c r="K110" s="121"/>
      <c r="L110" s="236"/>
      <c r="M110" s="137">
        <v>2</v>
      </c>
      <c r="N110" s="137"/>
      <c r="O110" s="139"/>
      <c r="P110" s="140"/>
      <c r="Q110" s="21" t="s">
        <v>242</v>
      </c>
      <c r="R110" s="99" t="s">
        <v>256</v>
      </c>
      <c r="S110" s="97" t="s">
        <v>45</v>
      </c>
      <c r="T110" s="172" t="s">
        <v>257</v>
      </c>
      <c r="U110" s="172" t="s">
        <v>257</v>
      </c>
      <c r="V110" s="172" t="s">
        <v>257</v>
      </c>
      <c r="Z110" s="22" t="s">
        <v>40</v>
      </c>
      <c r="AA110">
        <v>1</v>
      </c>
      <c r="AC110" s="19" t="e">
        <f t="shared" si="8"/>
        <v>#N/A</v>
      </c>
      <c r="AF110" s="98" t="s">
        <v>44</v>
      </c>
      <c r="AG110">
        <v>3</v>
      </c>
    </row>
    <row r="111" spans="1:35" ht="24" thickBot="1">
      <c r="A111" s="174"/>
      <c r="B111" s="121"/>
      <c r="C111" s="121"/>
      <c r="D111" s="121"/>
      <c r="E111" s="121" t="s">
        <v>201</v>
      </c>
      <c r="F111" s="121" t="s">
        <v>201</v>
      </c>
      <c r="G111" s="121" t="str">
        <f t="shared" si="9"/>
        <v/>
      </c>
      <c r="H111" s="121"/>
      <c r="I111" s="121"/>
      <c r="J111" s="121"/>
      <c r="K111" s="121"/>
      <c r="L111" s="236"/>
      <c r="M111" s="137">
        <v>3</v>
      </c>
      <c r="N111" s="137"/>
      <c r="O111" s="139"/>
      <c r="P111" s="140"/>
      <c r="Q111" s="21" t="s">
        <v>48</v>
      </c>
      <c r="R111" s="99" t="s">
        <v>256</v>
      </c>
      <c r="S111" s="97" t="s">
        <v>45</v>
      </c>
      <c r="T111" s="97" t="s">
        <v>45</v>
      </c>
      <c r="U111" s="172" t="s">
        <v>257</v>
      </c>
      <c r="V111" s="172" t="s">
        <v>257</v>
      </c>
      <c r="Z111" s="22" t="s">
        <v>44</v>
      </c>
      <c r="AA111">
        <v>2</v>
      </c>
      <c r="AC111" s="19" t="e">
        <f t="shared" si="8"/>
        <v>#N/A</v>
      </c>
      <c r="AF111" s="97" t="s">
        <v>45</v>
      </c>
      <c r="AG111">
        <v>4</v>
      </c>
    </row>
    <row r="112" spans="1:35" ht="24" thickBot="1">
      <c r="A112" s="174"/>
      <c r="B112" s="121"/>
      <c r="C112" s="121"/>
      <c r="D112" s="121"/>
      <c r="E112" s="121" t="s">
        <v>201</v>
      </c>
      <c r="F112" s="121" t="s">
        <v>201</v>
      </c>
      <c r="G112" s="121" t="str">
        <f t="shared" si="9"/>
        <v/>
      </c>
      <c r="H112" s="121"/>
      <c r="I112" s="121"/>
      <c r="J112" s="121"/>
      <c r="K112" s="121"/>
      <c r="L112" s="236"/>
      <c r="M112" s="137">
        <v>4</v>
      </c>
      <c r="N112" s="137"/>
      <c r="O112" s="139"/>
      <c r="P112" s="140"/>
      <c r="Q112" s="21" t="s">
        <v>49</v>
      </c>
      <c r="R112" s="99" t="s">
        <v>46</v>
      </c>
      <c r="S112" s="99" t="s">
        <v>256</v>
      </c>
      <c r="T112" s="98" t="s">
        <v>45</v>
      </c>
      <c r="U112" s="172" t="s">
        <v>257</v>
      </c>
      <c r="V112" s="172" t="s">
        <v>257</v>
      </c>
      <c r="Z112" s="22" t="s">
        <v>241</v>
      </c>
      <c r="AA112">
        <v>3</v>
      </c>
      <c r="AC112" s="19" t="e">
        <f t="shared" si="8"/>
        <v>#N/A</v>
      </c>
      <c r="AF112" s="96" t="s">
        <v>43</v>
      </c>
      <c r="AG112">
        <v>5</v>
      </c>
    </row>
    <row r="113" spans="1:29" ht="24" thickBot="1">
      <c r="A113" s="174"/>
      <c r="B113" s="121"/>
      <c r="C113" s="121"/>
      <c r="D113" s="121"/>
      <c r="E113" s="121" t="s">
        <v>201</v>
      </c>
      <c r="F113" s="121" t="s">
        <v>201</v>
      </c>
      <c r="G113" s="121" t="str">
        <f t="shared" si="9"/>
        <v/>
      </c>
      <c r="H113" s="121"/>
      <c r="I113" s="121"/>
      <c r="J113" s="121"/>
      <c r="K113" s="121"/>
      <c r="L113" s="236"/>
      <c r="M113" s="137">
        <v>5</v>
      </c>
      <c r="N113" s="137"/>
      <c r="O113" s="139"/>
      <c r="P113" s="140"/>
      <c r="Q113" s="21" t="s">
        <v>50</v>
      </c>
      <c r="R113" s="99" t="s">
        <v>46</v>
      </c>
      <c r="S113" s="99" t="s">
        <v>46</v>
      </c>
      <c r="T113" s="99" t="s">
        <v>256</v>
      </c>
      <c r="U113" s="98" t="s">
        <v>45</v>
      </c>
      <c r="V113" s="172" t="s">
        <v>257</v>
      </c>
      <c r="Z113" s="22" t="s">
        <v>41</v>
      </c>
      <c r="AA113">
        <v>4</v>
      </c>
      <c r="AC113" s="19" t="e">
        <f t="shared" si="8"/>
        <v>#N/A</v>
      </c>
    </row>
    <row r="114" spans="1:29" ht="24" thickBot="1">
      <c r="A114" s="174"/>
      <c r="B114" s="121"/>
      <c r="C114" s="121"/>
      <c r="D114" s="121"/>
      <c r="E114" s="121" t="s">
        <v>201</v>
      </c>
      <c r="F114" s="121" t="s">
        <v>201</v>
      </c>
      <c r="G114" s="121" t="str">
        <f t="shared" si="9"/>
        <v/>
      </c>
      <c r="H114" s="121"/>
      <c r="I114" s="121"/>
      <c r="J114" s="121"/>
      <c r="K114" s="121"/>
      <c r="L114" s="236"/>
      <c r="M114" s="137">
        <v>6</v>
      </c>
      <c r="N114" s="137"/>
      <c r="O114" s="139"/>
      <c r="P114" s="140"/>
      <c r="Q114" s="21" t="s">
        <v>243</v>
      </c>
      <c r="R114" s="100" t="s">
        <v>46</v>
      </c>
      <c r="S114" s="99" t="s">
        <v>46</v>
      </c>
      <c r="T114" s="99" t="s">
        <v>256</v>
      </c>
      <c r="U114" s="98" t="s">
        <v>45</v>
      </c>
      <c r="V114" s="98" t="s">
        <v>45</v>
      </c>
      <c r="Z114" s="22" t="s">
        <v>42</v>
      </c>
      <c r="AA114">
        <v>5</v>
      </c>
      <c r="AC114" s="19" t="e">
        <f t="shared" si="8"/>
        <v>#N/A</v>
      </c>
    </row>
    <row r="115" spans="1:29" ht="23">
      <c r="A115" s="174"/>
      <c r="B115" s="121"/>
      <c r="C115" s="121"/>
      <c r="D115" s="121"/>
      <c r="E115" s="121" t="s">
        <v>201</v>
      </c>
      <c r="F115" s="121" t="s">
        <v>201</v>
      </c>
      <c r="G115" s="121" t="str">
        <f t="shared" si="9"/>
        <v/>
      </c>
      <c r="H115" s="121"/>
      <c r="I115" s="121"/>
      <c r="J115" s="121"/>
      <c r="K115" s="121"/>
      <c r="L115" s="236"/>
      <c r="M115" s="137">
        <v>7</v>
      </c>
      <c r="N115" s="137"/>
      <c r="O115" s="139"/>
      <c r="P115" s="140"/>
      <c r="Q115" s="124" t="s">
        <v>201</v>
      </c>
      <c r="AC115" s="19" t="e">
        <f t="shared" si="8"/>
        <v>#N/A</v>
      </c>
    </row>
    <row r="116" spans="1:29" ht="23">
      <c r="A116" s="174"/>
      <c r="B116" s="121"/>
      <c r="C116" s="121"/>
      <c r="D116" s="121"/>
      <c r="E116" s="121" t="s">
        <v>201</v>
      </c>
      <c r="F116" s="121" t="s">
        <v>201</v>
      </c>
      <c r="G116" s="121" t="str">
        <f t="shared" si="9"/>
        <v/>
      </c>
      <c r="H116" s="121"/>
      <c r="I116" s="121"/>
      <c r="J116" s="121"/>
      <c r="K116" s="121"/>
      <c r="L116" s="236"/>
      <c r="M116" s="137">
        <v>8</v>
      </c>
      <c r="N116" s="137"/>
      <c r="O116" s="139"/>
      <c r="P116" s="140"/>
      <c r="AC116" s="19" t="e">
        <f t="shared" si="8"/>
        <v>#N/A</v>
      </c>
    </row>
    <row r="117" spans="1:29" ht="25" customHeight="1">
      <c r="A117" s="174"/>
      <c r="B117" s="121"/>
      <c r="C117" s="121"/>
      <c r="D117" s="121"/>
      <c r="E117" s="121" t="s">
        <v>201</v>
      </c>
      <c r="F117" s="121" t="s">
        <v>201</v>
      </c>
      <c r="G117" s="121" t="str">
        <f t="shared" si="9"/>
        <v/>
      </c>
      <c r="H117" s="121"/>
      <c r="I117" s="121"/>
      <c r="J117" s="121"/>
      <c r="K117" s="121"/>
      <c r="L117" s="236"/>
      <c r="M117" s="137">
        <v>9</v>
      </c>
      <c r="N117" s="137"/>
      <c r="O117" s="139"/>
      <c r="P117" s="140"/>
      <c r="AC117" s="19" t="e">
        <f t="shared" si="8"/>
        <v>#N/A</v>
      </c>
    </row>
    <row r="118" spans="1:29" ht="24" customHeight="1">
      <c r="A118" s="174"/>
      <c r="B118" s="121"/>
      <c r="C118" s="121"/>
      <c r="D118" s="121"/>
      <c r="E118" s="121" t="s">
        <v>201</v>
      </c>
      <c r="F118" s="121" t="s">
        <v>201</v>
      </c>
      <c r="G118" s="121" t="str">
        <f t="shared" si="9"/>
        <v/>
      </c>
      <c r="H118" s="121"/>
      <c r="I118" s="121"/>
      <c r="J118" s="121"/>
      <c r="K118" s="121"/>
      <c r="L118" s="236"/>
      <c r="M118" s="137">
        <v>10</v>
      </c>
      <c r="N118" s="137"/>
      <c r="O118" s="139"/>
      <c r="P118" s="140"/>
      <c r="AC118" s="19" t="e">
        <f t="shared" si="8"/>
        <v>#N/A</v>
      </c>
    </row>
    <row r="119" spans="1:29" ht="24" customHeight="1">
      <c r="A119" s="174"/>
      <c r="B119" s="121"/>
      <c r="C119" s="121"/>
      <c r="D119" s="121"/>
      <c r="E119" s="121" t="s">
        <v>201</v>
      </c>
      <c r="F119" s="121" t="s">
        <v>201</v>
      </c>
      <c r="G119" s="121" t="str">
        <f t="shared" si="9"/>
        <v/>
      </c>
      <c r="H119" s="121"/>
      <c r="I119" s="121"/>
      <c r="J119" s="121"/>
      <c r="K119" s="121"/>
      <c r="L119" s="236"/>
      <c r="M119" s="139"/>
      <c r="N119" s="139"/>
      <c r="O119" s="139"/>
      <c r="P119" s="140"/>
      <c r="AC119" s="19" t="e">
        <f t="shared" si="8"/>
        <v>#N/A</v>
      </c>
    </row>
    <row r="120" spans="1:29" ht="21">
      <c r="A120" s="174"/>
      <c r="B120" s="121"/>
      <c r="C120" s="121"/>
      <c r="D120" s="121"/>
      <c r="E120" s="121" t="s">
        <v>201</v>
      </c>
      <c r="F120" s="121" t="s">
        <v>201</v>
      </c>
      <c r="G120" s="121" t="str">
        <f t="shared" si="9"/>
        <v/>
      </c>
      <c r="H120" s="121"/>
      <c r="I120" s="121"/>
      <c r="J120" s="121"/>
      <c r="K120" s="121"/>
      <c r="L120" s="236"/>
      <c r="M120" s="139"/>
      <c r="N120" s="139"/>
      <c r="O120" s="139"/>
      <c r="P120" s="140"/>
      <c r="AC120" s="19" t="e">
        <f t="shared" si="8"/>
        <v>#N/A</v>
      </c>
    </row>
    <row r="121" spans="1:29" ht="21">
      <c r="A121" s="174"/>
      <c r="B121" s="121"/>
      <c r="C121" s="121"/>
      <c r="D121" s="121"/>
      <c r="E121" s="121" t="s">
        <v>201</v>
      </c>
      <c r="F121" s="121" t="s">
        <v>201</v>
      </c>
      <c r="G121" s="121" t="str">
        <f t="shared" si="9"/>
        <v/>
      </c>
      <c r="H121" s="121"/>
      <c r="I121" s="121"/>
      <c r="J121" s="121"/>
      <c r="K121" s="121"/>
      <c r="L121" s="236"/>
      <c r="M121" s="139"/>
      <c r="N121" s="139"/>
      <c r="O121" s="139"/>
      <c r="P121" s="140"/>
      <c r="AC121" s="19" t="e">
        <f t="shared" si="8"/>
        <v>#N/A</v>
      </c>
    </row>
    <row r="122" spans="1:29" ht="21">
      <c r="A122" s="174"/>
      <c r="B122" s="121"/>
      <c r="C122" s="121"/>
      <c r="D122" s="121"/>
      <c r="E122" s="121" t="s">
        <v>201</v>
      </c>
      <c r="F122" s="121" t="s">
        <v>201</v>
      </c>
      <c r="G122" s="121" t="str">
        <f t="shared" si="9"/>
        <v/>
      </c>
      <c r="H122" s="121"/>
      <c r="I122" s="121"/>
      <c r="J122" s="121"/>
      <c r="K122" s="121"/>
      <c r="L122" s="236"/>
      <c r="M122" s="139"/>
      <c r="N122" s="139"/>
      <c r="O122" s="139"/>
      <c r="P122" s="140"/>
      <c r="AC122" s="19" t="e">
        <f t="shared" si="8"/>
        <v>#N/A</v>
      </c>
    </row>
    <row r="123" spans="1:29" ht="21">
      <c r="A123" s="174"/>
      <c r="B123" s="121"/>
      <c r="C123" s="121"/>
      <c r="D123" s="121"/>
      <c r="E123" s="121" t="s">
        <v>201</v>
      </c>
      <c r="F123" s="121" t="s">
        <v>201</v>
      </c>
      <c r="G123" s="121" t="str">
        <f t="shared" si="9"/>
        <v/>
      </c>
      <c r="H123" s="121"/>
      <c r="I123" s="121"/>
      <c r="J123" s="121"/>
      <c r="K123" s="121"/>
      <c r="L123" s="236"/>
      <c r="M123" s="139"/>
      <c r="N123" s="139"/>
      <c r="O123" s="139"/>
      <c r="P123" s="140"/>
      <c r="AC123" s="19" t="e">
        <f t="shared" si="8"/>
        <v>#N/A</v>
      </c>
    </row>
    <row r="124" spans="1:29" ht="21">
      <c r="A124" s="174"/>
      <c r="B124" s="121"/>
      <c r="C124" s="121"/>
      <c r="D124" s="121"/>
      <c r="E124" s="121" t="s">
        <v>201</v>
      </c>
      <c r="F124" s="121" t="s">
        <v>201</v>
      </c>
      <c r="G124" s="121" t="str">
        <f t="shared" si="9"/>
        <v/>
      </c>
      <c r="H124" s="121"/>
      <c r="I124" s="121"/>
      <c r="J124" s="121"/>
      <c r="K124" s="121"/>
      <c r="L124" s="236"/>
      <c r="M124" s="139"/>
      <c r="N124" s="139"/>
      <c r="O124" s="139"/>
      <c r="P124" s="140"/>
      <c r="AC124" s="19" t="e">
        <f t="shared" si="8"/>
        <v>#N/A</v>
      </c>
    </row>
    <row r="125" spans="1:29" ht="21">
      <c r="A125" s="174"/>
      <c r="B125" s="121"/>
      <c r="C125" s="121"/>
      <c r="D125" s="121"/>
      <c r="E125" s="121" t="s">
        <v>201</v>
      </c>
      <c r="F125" s="121" t="s">
        <v>201</v>
      </c>
      <c r="G125" s="121" t="str">
        <f t="shared" si="9"/>
        <v/>
      </c>
      <c r="H125" s="121"/>
      <c r="I125" s="121"/>
      <c r="J125" s="121"/>
      <c r="K125" s="121"/>
      <c r="L125" s="236"/>
      <c r="M125" s="139"/>
      <c r="N125" s="139"/>
      <c r="O125" s="139"/>
      <c r="P125" s="140"/>
      <c r="AC125" s="19"/>
    </row>
    <row r="126" spans="1:29">
      <c r="A126" s="236"/>
      <c r="B126" s="236"/>
      <c r="C126" s="236"/>
      <c r="D126" s="236"/>
      <c r="E126" s="236"/>
      <c r="F126" s="236"/>
      <c r="G126" s="236"/>
      <c r="H126" s="236"/>
      <c r="I126" s="236"/>
      <c r="J126" s="236"/>
      <c r="K126" s="236"/>
      <c r="L126" s="236"/>
    </row>
    <row r="128" spans="1:29" ht="46" customHeight="1">
      <c r="A128" s="174"/>
      <c r="B128" s="169" t="s">
        <v>254</v>
      </c>
      <c r="C128" s="167"/>
      <c r="D128" s="167"/>
      <c r="E128" s="167"/>
      <c r="F128" s="167"/>
      <c r="G128" s="167"/>
      <c r="H128" s="168"/>
      <c r="I128" s="168"/>
      <c r="J128" s="168"/>
      <c r="K128" s="168"/>
      <c r="L128" s="236"/>
      <c r="M128" s="165"/>
      <c r="N128" s="165"/>
      <c r="O128" s="165"/>
      <c r="P128" s="165"/>
      <c r="Q128" s="165"/>
      <c r="R128" s="165"/>
      <c r="S128" s="165"/>
      <c r="T128" s="165"/>
      <c r="U128" s="165"/>
      <c r="V128" s="165"/>
      <c r="W128" s="165"/>
    </row>
    <row r="129" spans="1:35">
      <c r="A129" s="174" t="s">
        <v>197</v>
      </c>
      <c r="B129" s="215" t="s">
        <v>255</v>
      </c>
      <c r="C129" s="215"/>
      <c r="D129" s="215"/>
      <c r="E129" s="215"/>
      <c r="F129" s="215"/>
      <c r="G129" s="215"/>
      <c r="H129" s="215"/>
      <c r="I129" s="215" t="s">
        <v>30</v>
      </c>
      <c r="J129" s="215"/>
      <c r="K129" s="170"/>
      <c r="L129" s="236"/>
    </row>
    <row r="130" spans="1:35">
      <c r="A130" s="174" t="s">
        <v>246</v>
      </c>
      <c r="B130" s="215" t="s">
        <v>244</v>
      </c>
      <c r="C130" s="215"/>
      <c r="D130" s="215"/>
      <c r="E130" s="215"/>
      <c r="F130" s="215"/>
      <c r="G130" s="215"/>
      <c r="H130" s="215"/>
      <c r="I130" s="215" t="s">
        <v>31</v>
      </c>
      <c r="J130" s="215"/>
      <c r="K130" s="170"/>
      <c r="L130" s="236"/>
    </row>
    <row r="131" spans="1:35">
      <c r="A131" s="174"/>
      <c r="B131" s="215" t="s">
        <v>247</v>
      </c>
      <c r="C131" s="215"/>
      <c r="D131" s="215"/>
      <c r="E131" s="215"/>
      <c r="F131" s="215"/>
      <c r="G131" s="215"/>
      <c r="H131" s="215"/>
      <c r="I131" s="215" t="s">
        <v>29</v>
      </c>
      <c r="J131" s="215"/>
      <c r="K131" s="173"/>
      <c r="L131" s="236"/>
    </row>
    <row r="132" spans="1:35" s="19" customFormat="1" ht="46" thickBot="1">
      <c r="A132" s="175">
        <f>A107+1</f>
        <v>6</v>
      </c>
      <c r="B132" s="95" t="s">
        <v>32</v>
      </c>
      <c r="C132" s="95" t="s">
        <v>190</v>
      </c>
      <c r="D132" s="95" t="s">
        <v>33</v>
      </c>
      <c r="E132" s="95" t="s">
        <v>36</v>
      </c>
      <c r="F132" s="95" t="s">
        <v>196</v>
      </c>
      <c r="G132" s="95" t="s">
        <v>37</v>
      </c>
      <c r="H132" s="95" t="s">
        <v>34</v>
      </c>
      <c r="I132" s="95" t="s">
        <v>250</v>
      </c>
      <c r="J132" s="95" t="s">
        <v>35</v>
      </c>
      <c r="K132" s="95" t="s">
        <v>191</v>
      </c>
      <c r="L132" s="236"/>
      <c r="M132" s="128"/>
      <c r="N132" s="141" t="s">
        <v>248</v>
      </c>
      <c r="O132" s="128"/>
      <c r="P132" s="138"/>
      <c r="AC132" s="19" t="e">
        <f t="shared" ref="AC132:AC149" si="10">VLOOKUP(F133,Z$10:AA$14,2,FALSE)</f>
        <v>#N/A</v>
      </c>
      <c r="AI132" s="19" t="e">
        <f>VLOOKUP(G133,$AF$8:$AG$12,2,FALSE)</f>
        <v>#N/A</v>
      </c>
    </row>
    <row r="133" spans="1:35" ht="22" thickBot="1">
      <c r="A133" s="174"/>
      <c r="B133" s="121"/>
      <c r="C133" s="121"/>
      <c r="D133" s="121"/>
      <c r="E133" s="121" t="s">
        <v>201</v>
      </c>
      <c r="F133" s="121" t="s">
        <v>201</v>
      </c>
      <c r="G133" s="121" t="str">
        <f>IF(ISERROR(VLOOKUP(E133,Q$10:V$14,AC132+1,FALSE)),"",VLOOKUP(E133,Q$10:V$14,AC132+1,FALSE))</f>
        <v/>
      </c>
      <c r="H133" s="121"/>
      <c r="I133" s="121"/>
      <c r="J133" s="121"/>
      <c r="K133" s="121"/>
      <c r="L133" s="236"/>
      <c r="M133" s="142" t="s">
        <v>240</v>
      </c>
      <c r="N133" s="139"/>
      <c r="O133" s="139"/>
      <c r="P133" s="140"/>
      <c r="Q133" s="20"/>
      <c r="R133" s="212" t="s">
        <v>38</v>
      </c>
      <c r="S133" s="213"/>
      <c r="T133" s="213"/>
      <c r="U133" s="213"/>
      <c r="V133" s="214"/>
      <c r="AC133" s="19" t="e">
        <f t="shared" si="10"/>
        <v>#N/A</v>
      </c>
      <c r="AF133" s="100" t="s">
        <v>47</v>
      </c>
      <c r="AG133">
        <v>1</v>
      </c>
    </row>
    <row r="134" spans="1:35" ht="24" thickBot="1">
      <c r="A134" s="174"/>
      <c r="B134" s="121"/>
      <c r="C134" s="121"/>
      <c r="D134" s="121"/>
      <c r="E134" s="121" t="s">
        <v>201</v>
      </c>
      <c r="F134" s="121" t="s">
        <v>201</v>
      </c>
      <c r="G134" s="121" t="str">
        <f>IF(ISERROR(VLOOKUP(E134,Q$10:V$14,AC133+1,FALSE)),"",VLOOKUP(E134,Q$10:V$14,AC133+1,FALSE))</f>
        <v/>
      </c>
      <c r="H134" s="121"/>
      <c r="I134" s="121"/>
      <c r="J134" s="121"/>
      <c r="K134" s="121"/>
      <c r="L134" s="236"/>
      <c r="M134" s="137">
        <v>1</v>
      </c>
      <c r="N134" s="137"/>
      <c r="O134" s="139"/>
      <c r="P134" s="140"/>
      <c r="Q134" s="23" t="s">
        <v>39</v>
      </c>
      <c r="R134" s="22" t="s">
        <v>40</v>
      </c>
      <c r="S134" s="22" t="s">
        <v>44</v>
      </c>
      <c r="T134" s="22" t="s">
        <v>241</v>
      </c>
      <c r="U134" s="22" t="s">
        <v>41</v>
      </c>
      <c r="V134" s="22" t="s">
        <v>42</v>
      </c>
      <c r="W134" s="125" t="s">
        <v>201</v>
      </c>
      <c r="AC134" s="19" t="e">
        <f t="shared" si="10"/>
        <v>#N/A</v>
      </c>
      <c r="AF134" s="99" t="s">
        <v>46</v>
      </c>
      <c r="AG134">
        <v>2</v>
      </c>
    </row>
    <row r="135" spans="1:35" ht="24" thickBot="1">
      <c r="A135" s="174"/>
      <c r="B135" s="121"/>
      <c r="C135" s="121"/>
      <c r="D135" s="121"/>
      <c r="E135" s="121" t="s">
        <v>201</v>
      </c>
      <c r="F135" s="121" t="s">
        <v>201</v>
      </c>
      <c r="G135" s="121" t="str">
        <f t="shared" ref="G135:G150" si="11">IF(ISERROR(VLOOKUP(E135,Q$10:V$14,AC134+1,FALSE)),"",VLOOKUP(E135,Q$10:V$14,AC134+1,FALSE))</f>
        <v/>
      </c>
      <c r="H135" s="121"/>
      <c r="I135" s="121"/>
      <c r="J135" s="121"/>
      <c r="K135" s="121"/>
      <c r="L135" s="236"/>
      <c r="M135" s="137">
        <v>2</v>
      </c>
      <c r="N135" s="137"/>
      <c r="O135" s="139"/>
      <c r="P135" s="140"/>
      <c r="Q135" s="21" t="s">
        <v>242</v>
      </c>
      <c r="R135" s="99" t="s">
        <v>256</v>
      </c>
      <c r="S135" s="97" t="s">
        <v>45</v>
      </c>
      <c r="T135" s="172" t="s">
        <v>257</v>
      </c>
      <c r="U135" s="172" t="s">
        <v>257</v>
      </c>
      <c r="V135" s="172" t="s">
        <v>257</v>
      </c>
      <c r="Z135" s="22" t="s">
        <v>40</v>
      </c>
      <c r="AA135">
        <v>1</v>
      </c>
      <c r="AC135" s="19" t="e">
        <f t="shared" si="10"/>
        <v>#N/A</v>
      </c>
      <c r="AF135" s="98" t="s">
        <v>44</v>
      </c>
      <c r="AG135">
        <v>3</v>
      </c>
    </row>
    <row r="136" spans="1:35" ht="24" thickBot="1">
      <c r="A136" s="174"/>
      <c r="B136" s="121"/>
      <c r="C136" s="121"/>
      <c r="D136" s="121"/>
      <c r="E136" s="121" t="s">
        <v>201</v>
      </c>
      <c r="F136" s="121" t="s">
        <v>201</v>
      </c>
      <c r="G136" s="121" t="str">
        <f t="shared" si="11"/>
        <v/>
      </c>
      <c r="H136" s="121"/>
      <c r="I136" s="121"/>
      <c r="J136" s="121"/>
      <c r="K136" s="121"/>
      <c r="L136" s="236"/>
      <c r="M136" s="137">
        <v>3</v>
      </c>
      <c r="N136" s="137"/>
      <c r="O136" s="139"/>
      <c r="P136" s="140"/>
      <c r="Q136" s="21" t="s">
        <v>48</v>
      </c>
      <c r="R136" s="99" t="s">
        <v>256</v>
      </c>
      <c r="S136" s="97" t="s">
        <v>45</v>
      </c>
      <c r="T136" s="97" t="s">
        <v>45</v>
      </c>
      <c r="U136" s="172" t="s">
        <v>257</v>
      </c>
      <c r="V136" s="172" t="s">
        <v>257</v>
      </c>
      <c r="Z136" s="22" t="s">
        <v>44</v>
      </c>
      <c r="AA136">
        <v>2</v>
      </c>
      <c r="AC136" s="19" t="e">
        <f t="shared" si="10"/>
        <v>#N/A</v>
      </c>
      <c r="AF136" s="97" t="s">
        <v>45</v>
      </c>
      <c r="AG136">
        <v>4</v>
      </c>
    </row>
    <row r="137" spans="1:35" ht="24" thickBot="1">
      <c r="A137" s="174"/>
      <c r="B137" s="121"/>
      <c r="C137" s="121"/>
      <c r="D137" s="121"/>
      <c r="E137" s="121" t="s">
        <v>201</v>
      </c>
      <c r="F137" s="121" t="s">
        <v>201</v>
      </c>
      <c r="G137" s="121" t="str">
        <f t="shared" si="11"/>
        <v/>
      </c>
      <c r="H137" s="121"/>
      <c r="I137" s="121"/>
      <c r="J137" s="121"/>
      <c r="K137" s="121"/>
      <c r="L137" s="236"/>
      <c r="M137" s="137">
        <v>4</v>
      </c>
      <c r="N137" s="137"/>
      <c r="O137" s="139"/>
      <c r="P137" s="140"/>
      <c r="Q137" s="21" t="s">
        <v>49</v>
      </c>
      <c r="R137" s="99" t="s">
        <v>46</v>
      </c>
      <c r="S137" s="99" t="s">
        <v>256</v>
      </c>
      <c r="T137" s="98" t="s">
        <v>45</v>
      </c>
      <c r="U137" s="172" t="s">
        <v>257</v>
      </c>
      <c r="V137" s="172" t="s">
        <v>257</v>
      </c>
      <c r="Z137" s="22" t="s">
        <v>241</v>
      </c>
      <c r="AA137">
        <v>3</v>
      </c>
      <c r="AC137" s="19" t="e">
        <f t="shared" si="10"/>
        <v>#N/A</v>
      </c>
      <c r="AF137" s="96" t="s">
        <v>43</v>
      </c>
      <c r="AG137">
        <v>5</v>
      </c>
    </row>
    <row r="138" spans="1:35" ht="24" thickBot="1">
      <c r="A138" s="174"/>
      <c r="B138" s="121"/>
      <c r="C138" s="121"/>
      <c r="D138" s="121"/>
      <c r="E138" s="121" t="s">
        <v>201</v>
      </c>
      <c r="F138" s="121" t="s">
        <v>201</v>
      </c>
      <c r="G138" s="121" t="str">
        <f t="shared" si="11"/>
        <v/>
      </c>
      <c r="H138" s="121"/>
      <c r="I138" s="121"/>
      <c r="J138" s="121"/>
      <c r="K138" s="121"/>
      <c r="L138" s="236"/>
      <c r="M138" s="137">
        <v>5</v>
      </c>
      <c r="N138" s="137"/>
      <c r="O138" s="139"/>
      <c r="P138" s="140"/>
      <c r="Q138" s="21" t="s">
        <v>50</v>
      </c>
      <c r="R138" s="99" t="s">
        <v>46</v>
      </c>
      <c r="S138" s="99" t="s">
        <v>46</v>
      </c>
      <c r="T138" s="99" t="s">
        <v>256</v>
      </c>
      <c r="U138" s="98" t="s">
        <v>45</v>
      </c>
      <c r="V138" s="172" t="s">
        <v>257</v>
      </c>
      <c r="Z138" s="22" t="s">
        <v>41</v>
      </c>
      <c r="AA138">
        <v>4</v>
      </c>
      <c r="AC138" s="19" t="e">
        <f t="shared" si="10"/>
        <v>#N/A</v>
      </c>
    </row>
    <row r="139" spans="1:35" ht="24" thickBot="1">
      <c r="A139" s="174"/>
      <c r="B139" s="121"/>
      <c r="C139" s="121"/>
      <c r="D139" s="121"/>
      <c r="E139" s="121" t="s">
        <v>201</v>
      </c>
      <c r="F139" s="121" t="s">
        <v>201</v>
      </c>
      <c r="G139" s="121" t="str">
        <f t="shared" si="11"/>
        <v/>
      </c>
      <c r="H139" s="121"/>
      <c r="I139" s="121"/>
      <c r="J139" s="121"/>
      <c r="K139" s="121"/>
      <c r="L139" s="236"/>
      <c r="M139" s="137">
        <v>6</v>
      </c>
      <c r="N139" s="137"/>
      <c r="O139" s="139"/>
      <c r="P139" s="140"/>
      <c r="Q139" s="21" t="s">
        <v>243</v>
      </c>
      <c r="R139" s="100" t="s">
        <v>46</v>
      </c>
      <c r="S139" s="99" t="s">
        <v>46</v>
      </c>
      <c r="T139" s="99" t="s">
        <v>256</v>
      </c>
      <c r="U139" s="98" t="s">
        <v>45</v>
      </c>
      <c r="V139" s="98" t="s">
        <v>45</v>
      </c>
      <c r="Z139" s="22" t="s">
        <v>42</v>
      </c>
      <c r="AA139">
        <v>5</v>
      </c>
      <c r="AC139" s="19" t="e">
        <f t="shared" si="10"/>
        <v>#N/A</v>
      </c>
    </row>
    <row r="140" spans="1:35" ht="23">
      <c r="A140" s="174"/>
      <c r="B140" s="121"/>
      <c r="C140" s="121"/>
      <c r="D140" s="121"/>
      <c r="E140" s="121" t="s">
        <v>201</v>
      </c>
      <c r="F140" s="121" t="s">
        <v>201</v>
      </c>
      <c r="G140" s="121" t="str">
        <f t="shared" si="11"/>
        <v/>
      </c>
      <c r="H140" s="121"/>
      <c r="I140" s="121"/>
      <c r="J140" s="121"/>
      <c r="K140" s="121"/>
      <c r="L140" s="236"/>
      <c r="M140" s="137">
        <v>7</v>
      </c>
      <c r="N140" s="137"/>
      <c r="O140" s="139"/>
      <c r="P140" s="140"/>
      <c r="Q140" s="124" t="s">
        <v>201</v>
      </c>
      <c r="AC140" s="19" t="e">
        <f t="shared" si="10"/>
        <v>#N/A</v>
      </c>
    </row>
    <row r="141" spans="1:35" ht="23">
      <c r="A141" s="174"/>
      <c r="B141" s="121"/>
      <c r="C141" s="121"/>
      <c r="D141" s="121"/>
      <c r="E141" s="121" t="s">
        <v>201</v>
      </c>
      <c r="F141" s="121" t="s">
        <v>201</v>
      </c>
      <c r="G141" s="121" t="str">
        <f t="shared" si="11"/>
        <v/>
      </c>
      <c r="H141" s="121"/>
      <c r="I141" s="121"/>
      <c r="J141" s="121"/>
      <c r="K141" s="121"/>
      <c r="L141" s="236"/>
      <c r="M141" s="137">
        <v>8</v>
      </c>
      <c r="N141" s="137"/>
      <c r="O141" s="139"/>
      <c r="P141" s="140"/>
      <c r="AC141" s="19" t="e">
        <f t="shared" si="10"/>
        <v>#N/A</v>
      </c>
    </row>
    <row r="142" spans="1:35" ht="25" customHeight="1">
      <c r="A142" s="174"/>
      <c r="B142" s="121"/>
      <c r="C142" s="121"/>
      <c r="D142" s="121"/>
      <c r="E142" s="121" t="s">
        <v>201</v>
      </c>
      <c r="F142" s="121" t="s">
        <v>201</v>
      </c>
      <c r="G142" s="121" t="str">
        <f t="shared" si="11"/>
        <v/>
      </c>
      <c r="H142" s="121"/>
      <c r="I142" s="121"/>
      <c r="J142" s="121"/>
      <c r="K142" s="121"/>
      <c r="L142" s="236"/>
      <c r="M142" s="137">
        <v>9</v>
      </c>
      <c r="N142" s="137"/>
      <c r="O142" s="139"/>
      <c r="P142" s="140"/>
      <c r="AC142" s="19" t="e">
        <f t="shared" si="10"/>
        <v>#N/A</v>
      </c>
    </row>
    <row r="143" spans="1:35" ht="24" customHeight="1">
      <c r="A143" s="174"/>
      <c r="B143" s="121"/>
      <c r="C143" s="121"/>
      <c r="D143" s="121"/>
      <c r="E143" s="121" t="s">
        <v>201</v>
      </c>
      <c r="F143" s="121" t="s">
        <v>201</v>
      </c>
      <c r="G143" s="121" t="str">
        <f t="shared" si="11"/>
        <v/>
      </c>
      <c r="H143" s="121"/>
      <c r="I143" s="121"/>
      <c r="J143" s="121"/>
      <c r="K143" s="121"/>
      <c r="L143" s="236"/>
      <c r="M143" s="137">
        <v>10</v>
      </c>
      <c r="N143" s="137"/>
      <c r="O143" s="139"/>
      <c r="P143" s="140"/>
      <c r="AC143" s="19" t="e">
        <f t="shared" si="10"/>
        <v>#N/A</v>
      </c>
    </row>
    <row r="144" spans="1:35" ht="24" customHeight="1">
      <c r="A144" s="174"/>
      <c r="B144" s="121"/>
      <c r="C144" s="121"/>
      <c r="D144" s="121"/>
      <c r="E144" s="121" t="s">
        <v>201</v>
      </c>
      <c r="F144" s="121" t="s">
        <v>201</v>
      </c>
      <c r="G144" s="121" t="str">
        <f t="shared" si="11"/>
        <v/>
      </c>
      <c r="H144" s="121"/>
      <c r="I144" s="121"/>
      <c r="J144" s="121"/>
      <c r="K144" s="121"/>
      <c r="L144" s="236"/>
      <c r="M144" s="139"/>
      <c r="N144" s="139"/>
      <c r="O144" s="139"/>
      <c r="P144" s="140"/>
      <c r="AC144" s="19" t="e">
        <f t="shared" si="10"/>
        <v>#N/A</v>
      </c>
    </row>
    <row r="145" spans="1:35" ht="21">
      <c r="A145" s="174"/>
      <c r="B145" s="121"/>
      <c r="C145" s="121"/>
      <c r="D145" s="121"/>
      <c r="E145" s="121" t="s">
        <v>201</v>
      </c>
      <c r="F145" s="121" t="s">
        <v>201</v>
      </c>
      <c r="G145" s="121" t="str">
        <f t="shared" si="11"/>
        <v/>
      </c>
      <c r="H145" s="121"/>
      <c r="I145" s="121"/>
      <c r="J145" s="121"/>
      <c r="K145" s="121"/>
      <c r="L145" s="236"/>
      <c r="M145" s="139"/>
      <c r="N145" s="139"/>
      <c r="O145" s="139"/>
      <c r="P145" s="140"/>
      <c r="AC145" s="19" t="e">
        <f t="shared" si="10"/>
        <v>#N/A</v>
      </c>
    </row>
    <row r="146" spans="1:35" ht="21">
      <c r="A146" s="174"/>
      <c r="B146" s="121"/>
      <c r="C146" s="121"/>
      <c r="D146" s="121"/>
      <c r="E146" s="121" t="s">
        <v>201</v>
      </c>
      <c r="F146" s="121" t="s">
        <v>201</v>
      </c>
      <c r="G146" s="121" t="str">
        <f t="shared" si="11"/>
        <v/>
      </c>
      <c r="H146" s="121"/>
      <c r="I146" s="121"/>
      <c r="J146" s="121"/>
      <c r="K146" s="121"/>
      <c r="L146" s="236"/>
      <c r="M146" s="139"/>
      <c r="N146" s="139"/>
      <c r="O146" s="139"/>
      <c r="P146" s="140"/>
      <c r="AC146" s="19" t="e">
        <f t="shared" si="10"/>
        <v>#N/A</v>
      </c>
    </row>
    <row r="147" spans="1:35" ht="21">
      <c r="A147" s="174"/>
      <c r="B147" s="121"/>
      <c r="C147" s="121"/>
      <c r="D147" s="121"/>
      <c r="E147" s="121" t="s">
        <v>201</v>
      </c>
      <c r="F147" s="121" t="s">
        <v>201</v>
      </c>
      <c r="G147" s="121" t="str">
        <f t="shared" si="11"/>
        <v/>
      </c>
      <c r="H147" s="121"/>
      <c r="I147" s="121"/>
      <c r="J147" s="121"/>
      <c r="K147" s="121"/>
      <c r="L147" s="236"/>
      <c r="M147" s="139"/>
      <c r="N147" s="139"/>
      <c r="O147" s="139"/>
      <c r="P147" s="140"/>
      <c r="AC147" s="19" t="e">
        <f t="shared" si="10"/>
        <v>#N/A</v>
      </c>
    </row>
    <row r="148" spans="1:35" ht="21">
      <c r="A148" s="174"/>
      <c r="B148" s="121"/>
      <c r="C148" s="121"/>
      <c r="D148" s="121"/>
      <c r="E148" s="121" t="s">
        <v>201</v>
      </c>
      <c r="F148" s="121" t="s">
        <v>201</v>
      </c>
      <c r="G148" s="121" t="str">
        <f t="shared" si="11"/>
        <v/>
      </c>
      <c r="H148" s="121"/>
      <c r="I148" s="121"/>
      <c r="J148" s="121"/>
      <c r="K148" s="121"/>
      <c r="L148" s="236"/>
      <c r="M148" s="139"/>
      <c r="N148" s="139"/>
      <c r="O148" s="139"/>
      <c r="P148" s="140"/>
      <c r="AC148" s="19" t="e">
        <f t="shared" si="10"/>
        <v>#N/A</v>
      </c>
    </row>
    <row r="149" spans="1:35" ht="21">
      <c r="A149" s="174"/>
      <c r="B149" s="121"/>
      <c r="C149" s="121"/>
      <c r="D149" s="121"/>
      <c r="E149" s="121" t="s">
        <v>201</v>
      </c>
      <c r="F149" s="121" t="s">
        <v>201</v>
      </c>
      <c r="G149" s="121" t="str">
        <f t="shared" si="11"/>
        <v/>
      </c>
      <c r="H149" s="121"/>
      <c r="I149" s="121"/>
      <c r="J149" s="121"/>
      <c r="K149" s="121"/>
      <c r="L149" s="236"/>
      <c r="M149" s="139"/>
      <c r="N149" s="139"/>
      <c r="O149" s="139"/>
      <c r="P149" s="140"/>
      <c r="AC149" s="19" t="e">
        <f t="shared" si="10"/>
        <v>#N/A</v>
      </c>
    </row>
    <row r="150" spans="1:35" ht="21">
      <c r="A150" s="174"/>
      <c r="B150" s="121"/>
      <c r="C150" s="121"/>
      <c r="D150" s="121"/>
      <c r="E150" s="121" t="s">
        <v>201</v>
      </c>
      <c r="F150" s="121" t="s">
        <v>201</v>
      </c>
      <c r="G150" s="121" t="str">
        <f t="shared" si="11"/>
        <v/>
      </c>
      <c r="H150" s="121"/>
      <c r="I150" s="121"/>
      <c r="J150" s="121"/>
      <c r="K150" s="121"/>
      <c r="L150" s="236"/>
      <c r="M150" s="139"/>
      <c r="N150" s="139"/>
      <c r="O150" s="139"/>
      <c r="P150" s="140"/>
      <c r="AC150" s="19"/>
    </row>
    <row r="151" spans="1:35">
      <c r="A151" s="236"/>
      <c r="B151" s="236"/>
      <c r="C151" s="236"/>
      <c r="D151" s="236"/>
      <c r="E151" s="236"/>
      <c r="F151" s="236"/>
      <c r="G151" s="236"/>
      <c r="H151" s="236"/>
      <c r="I151" s="236"/>
      <c r="J151" s="236"/>
      <c r="K151" s="236"/>
      <c r="L151" s="236"/>
    </row>
    <row r="153" spans="1:35" ht="46" customHeight="1">
      <c r="A153" s="174"/>
      <c r="B153" s="169" t="s">
        <v>254</v>
      </c>
      <c r="C153" s="167"/>
      <c r="D153" s="167"/>
      <c r="E153" s="167"/>
      <c r="F153" s="167"/>
      <c r="G153" s="167"/>
      <c r="H153" s="168"/>
      <c r="I153" s="168"/>
      <c r="J153" s="168"/>
      <c r="K153" s="168"/>
      <c r="L153" s="236"/>
      <c r="M153" s="165"/>
      <c r="N153" s="165"/>
      <c r="O153" s="165"/>
      <c r="P153" s="165"/>
      <c r="Q153" s="165"/>
      <c r="R153" s="165"/>
      <c r="S153" s="165"/>
      <c r="T153" s="165"/>
      <c r="U153" s="165"/>
      <c r="V153" s="165"/>
      <c r="W153" s="165"/>
    </row>
    <row r="154" spans="1:35">
      <c r="A154" s="174" t="s">
        <v>197</v>
      </c>
      <c r="B154" s="215" t="s">
        <v>255</v>
      </c>
      <c r="C154" s="215"/>
      <c r="D154" s="215"/>
      <c r="E154" s="215"/>
      <c r="F154" s="215"/>
      <c r="G154" s="215"/>
      <c r="H154" s="215"/>
      <c r="I154" s="215" t="s">
        <v>30</v>
      </c>
      <c r="J154" s="215"/>
      <c r="K154" s="170"/>
      <c r="L154" s="236"/>
    </row>
    <row r="155" spans="1:35">
      <c r="A155" s="174" t="s">
        <v>246</v>
      </c>
      <c r="B155" s="215" t="s">
        <v>244</v>
      </c>
      <c r="C155" s="215"/>
      <c r="D155" s="215"/>
      <c r="E155" s="215"/>
      <c r="F155" s="215"/>
      <c r="G155" s="215"/>
      <c r="H155" s="215"/>
      <c r="I155" s="215" t="s">
        <v>31</v>
      </c>
      <c r="J155" s="215"/>
      <c r="K155" s="170"/>
      <c r="L155" s="236"/>
    </row>
    <row r="156" spans="1:35">
      <c r="A156" s="174"/>
      <c r="B156" s="215" t="s">
        <v>247</v>
      </c>
      <c r="C156" s="215"/>
      <c r="D156" s="215"/>
      <c r="E156" s="215"/>
      <c r="F156" s="215"/>
      <c r="G156" s="215"/>
      <c r="H156" s="215"/>
      <c r="I156" s="215" t="s">
        <v>29</v>
      </c>
      <c r="J156" s="215"/>
      <c r="K156" s="173"/>
      <c r="L156" s="236"/>
    </row>
    <row r="157" spans="1:35" s="19" customFormat="1" ht="46" thickBot="1">
      <c r="A157" s="175">
        <f>A132+1</f>
        <v>7</v>
      </c>
      <c r="B157" s="95" t="s">
        <v>32</v>
      </c>
      <c r="C157" s="95" t="s">
        <v>190</v>
      </c>
      <c r="D157" s="95" t="s">
        <v>33</v>
      </c>
      <c r="E157" s="95" t="s">
        <v>36</v>
      </c>
      <c r="F157" s="95" t="s">
        <v>196</v>
      </c>
      <c r="G157" s="95" t="s">
        <v>37</v>
      </c>
      <c r="H157" s="95" t="s">
        <v>34</v>
      </c>
      <c r="I157" s="95" t="s">
        <v>250</v>
      </c>
      <c r="J157" s="95" t="s">
        <v>35</v>
      </c>
      <c r="K157" s="95" t="s">
        <v>191</v>
      </c>
      <c r="L157" s="236"/>
      <c r="M157" s="128"/>
      <c r="N157" s="141" t="s">
        <v>248</v>
      </c>
      <c r="O157" s="128"/>
      <c r="P157" s="138"/>
      <c r="AC157" s="19" t="e">
        <f t="shared" ref="AC157:AC174" si="12">VLOOKUP(F158,Z$10:AA$14,2,FALSE)</f>
        <v>#N/A</v>
      </c>
      <c r="AI157" s="19" t="e">
        <f>VLOOKUP(G158,$AF$8:$AG$12,2,FALSE)</f>
        <v>#N/A</v>
      </c>
    </row>
    <row r="158" spans="1:35" ht="22" thickBot="1">
      <c r="A158" s="174"/>
      <c r="B158" s="121"/>
      <c r="C158" s="121"/>
      <c r="D158" s="121"/>
      <c r="E158" s="121" t="s">
        <v>201</v>
      </c>
      <c r="F158" s="121" t="s">
        <v>201</v>
      </c>
      <c r="G158" s="121" t="str">
        <f>IF(ISERROR(VLOOKUP(E158,Q$10:V$14,AC157+1,FALSE)),"",VLOOKUP(E158,Q$10:V$14,AC157+1,FALSE))</f>
        <v/>
      </c>
      <c r="H158" s="121"/>
      <c r="I158" s="121"/>
      <c r="J158" s="121"/>
      <c r="K158" s="121"/>
      <c r="L158" s="236"/>
      <c r="M158" s="142" t="s">
        <v>240</v>
      </c>
      <c r="N158" s="139"/>
      <c r="O158" s="139"/>
      <c r="P158" s="140"/>
      <c r="Q158" s="20"/>
      <c r="R158" s="212" t="s">
        <v>38</v>
      </c>
      <c r="S158" s="213"/>
      <c r="T158" s="213"/>
      <c r="U158" s="213"/>
      <c r="V158" s="214"/>
      <c r="AC158" s="19" t="e">
        <f t="shared" si="12"/>
        <v>#N/A</v>
      </c>
      <c r="AF158" s="100" t="s">
        <v>47</v>
      </c>
      <c r="AG158">
        <v>1</v>
      </c>
    </row>
    <row r="159" spans="1:35" ht="24" thickBot="1">
      <c r="A159" s="174"/>
      <c r="B159" s="121"/>
      <c r="C159" s="121"/>
      <c r="D159" s="121"/>
      <c r="E159" s="121" t="s">
        <v>201</v>
      </c>
      <c r="F159" s="121" t="s">
        <v>201</v>
      </c>
      <c r="G159" s="121" t="str">
        <f>IF(ISERROR(VLOOKUP(E159,Q$10:V$14,AC158+1,FALSE)),"",VLOOKUP(E159,Q$10:V$14,AC158+1,FALSE))</f>
        <v/>
      </c>
      <c r="H159" s="121"/>
      <c r="I159" s="121"/>
      <c r="J159" s="121"/>
      <c r="K159" s="121"/>
      <c r="L159" s="236"/>
      <c r="M159" s="137">
        <v>1</v>
      </c>
      <c r="N159" s="137"/>
      <c r="O159" s="139"/>
      <c r="P159" s="140"/>
      <c r="Q159" s="23" t="s">
        <v>39</v>
      </c>
      <c r="R159" s="22" t="s">
        <v>40</v>
      </c>
      <c r="S159" s="22" t="s">
        <v>44</v>
      </c>
      <c r="T159" s="22" t="s">
        <v>241</v>
      </c>
      <c r="U159" s="22" t="s">
        <v>41</v>
      </c>
      <c r="V159" s="22" t="s">
        <v>42</v>
      </c>
      <c r="W159" s="125" t="s">
        <v>201</v>
      </c>
      <c r="AC159" s="19" t="e">
        <f t="shared" si="12"/>
        <v>#N/A</v>
      </c>
      <c r="AF159" s="99" t="s">
        <v>46</v>
      </c>
      <c r="AG159">
        <v>2</v>
      </c>
    </row>
    <row r="160" spans="1:35" ht="24" thickBot="1">
      <c r="A160" s="174"/>
      <c r="B160" s="121"/>
      <c r="C160" s="121"/>
      <c r="D160" s="121"/>
      <c r="E160" s="121" t="s">
        <v>201</v>
      </c>
      <c r="F160" s="121" t="s">
        <v>201</v>
      </c>
      <c r="G160" s="121" t="str">
        <f t="shared" ref="G160:G175" si="13">IF(ISERROR(VLOOKUP(E160,Q$10:V$14,AC159+1,FALSE)),"",VLOOKUP(E160,Q$10:V$14,AC159+1,FALSE))</f>
        <v/>
      </c>
      <c r="H160" s="121"/>
      <c r="I160" s="121"/>
      <c r="J160" s="121"/>
      <c r="K160" s="121"/>
      <c r="L160" s="236"/>
      <c r="M160" s="137">
        <v>2</v>
      </c>
      <c r="N160" s="137"/>
      <c r="O160" s="139"/>
      <c r="P160" s="140"/>
      <c r="Q160" s="21" t="s">
        <v>242</v>
      </c>
      <c r="R160" s="99" t="s">
        <v>256</v>
      </c>
      <c r="S160" s="97" t="s">
        <v>45</v>
      </c>
      <c r="T160" s="172" t="s">
        <v>257</v>
      </c>
      <c r="U160" s="172" t="s">
        <v>257</v>
      </c>
      <c r="V160" s="172" t="s">
        <v>257</v>
      </c>
      <c r="Z160" s="22" t="s">
        <v>40</v>
      </c>
      <c r="AA160">
        <v>1</v>
      </c>
      <c r="AC160" s="19" t="e">
        <f t="shared" si="12"/>
        <v>#N/A</v>
      </c>
      <c r="AF160" s="98" t="s">
        <v>44</v>
      </c>
      <c r="AG160">
        <v>3</v>
      </c>
    </row>
    <row r="161" spans="1:33" ht="24" thickBot="1">
      <c r="A161" s="174"/>
      <c r="B161" s="121"/>
      <c r="C161" s="121"/>
      <c r="D161" s="121"/>
      <c r="E161" s="121" t="s">
        <v>201</v>
      </c>
      <c r="F161" s="121" t="s">
        <v>201</v>
      </c>
      <c r="G161" s="121" t="str">
        <f t="shared" si="13"/>
        <v/>
      </c>
      <c r="H161" s="121"/>
      <c r="I161" s="121"/>
      <c r="J161" s="121"/>
      <c r="K161" s="121"/>
      <c r="L161" s="236"/>
      <c r="M161" s="137">
        <v>3</v>
      </c>
      <c r="N161" s="137"/>
      <c r="O161" s="139"/>
      <c r="P161" s="140"/>
      <c r="Q161" s="21" t="s">
        <v>48</v>
      </c>
      <c r="R161" s="99" t="s">
        <v>256</v>
      </c>
      <c r="S161" s="97" t="s">
        <v>45</v>
      </c>
      <c r="T161" s="97" t="s">
        <v>45</v>
      </c>
      <c r="U161" s="172" t="s">
        <v>257</v>
      </c>
      <c r="V161" s="172" t="s">
        <v>257</v>
      </c>
      <c r="Z161" s="22" t="s">
        <v>44</v>
      </c>
      <c r="AA161">
        <v>2</v>
      </c>
      <c r="AC161" s="19" t="e">
        <f t="shared" si="12"/>
        <v>#N/A</v>
      </c>
      <c r="AF161" s="97" t="s">
        <v>45</v>
      </c>
      <c r="AG161">
        <v>4</v>
      </c>
    </row>
    <row r="162" spans="1:33" ht="24" thickBot="1">
      <c r="A162" s="174"/>
      <c r="B162" s="121"/>
      <c r="C162" s="121"/>
      <c r="D162" s="121"/>
      <c r="E162" s="121" t="s">
        <v>201</v>
      </c>
      <c r="F162" s="121" t="s">
        <v>201</v>
      </c>
      <c r="G162" s="121" t="str">
        <f t="shared" si="13"/>
        <v/>
      </c>
      <c r="H162" s="121"/>
      <c r="I162" s="121"/>
      <c r="J162" s="121"/>
      <c r="K162" s="121"/>
      <c r="L162" s="236"/>
      <c r="M162" s="137">
        <v>4</v>
      </c>
      <c r="N162" s="137"/>
      <c r="O162" s="139"/>
      <c r="P162" s="140"/>
      <c r="Q162" s="21" t="s">
        <v>49</v>
      </c>
      <c r="R162" s="99" t="s">
        <v>46</v>
      </c>
      <c r="S162" s="99" t="s">
        <v>256</v>
      </c>
      <c r="T162" s="98" t="s">
        <v>45</v>
      </c>
      <c r="U162" s="172" t="s">
        <v>257</v>
      </c>
      <c r="V162" s="172" t="s">
        <v>257</v>
      </c>
      <c r="Z162" s="22" t="s">
        <v>241</v>
      </c>
      <c r="AA162">
        <v>3</v>
      </c>
      <c r="AC162" s="19" t="e">
        <f t="shared" si="12"/>
        <v>#N/A</v>
      </c>
      <c r="AF162" s="96" t="s">
        <v>43</v>
      </c>
      <c r="AG162">
        <v>5</v>
      </c>
    </row>
    <row r="163" spans="1:33" ht="24" thickBot="1">
      <c r="A163" s="174"/>
      <c r="B163" s="121"/>
      <c r="C163" s="121"/>
      <c r="D163" s="121"/>
      <c r="E163" s="121" t="s">
        <v>201</v>
      </c>
      <c r="F163" s="121" t="s">
        <v>201</v>
      </c>
      <c r="G163" s="121" t="str">
        <f t="shared" si="13"/>
        <v/>
      </c>
      <c r="H163" s="121"/>
      <c r="I163" s="121"/>
      <c r="J163" s="121"/>
      <c r="K163" s="121"/>
      <c r="L163" s="236"/>
      <c r="M163" s="137">
        <v>5</v>
      </c>
      <c r="N163" s="137"/>
      <c r="O163" s="139"/>
      <c r="P163" s="140"/>
      <c r="Q163" s="21" t="s">
        <v>50</v>
      </c>
      <c r="R163" s="99" t="s">
        <v>46</v>
      </c>
      <c r="S163" s="99" t="s">
        <v>46</v>
      </c>
      <c r="T163" s="99" t="s">
        <v>256</v>
      </c>
      <c r="U163" s="98" t="s">
        <v>45</v>
      </c>
      <c r="V163" s="172" t="s">
        <v>257</v>
      </c>
      <c r="Z163" s="22" t="s">
        <v>41</v>
      </c>
      <c r="AA163">
        <v>4</v>
      </c>
      <c r="AC163" s="19" t="e">
        <f t="shared" si="12"/>
        <v>#N/A</v>
      </c>
    </row>
    <row r="164" spans="1:33" ht="24" thickBot="1">
      <c r="A164" s="174"/>
      <c r="B164" s="121"/>
      <c r="C164" s="121"/>
      <c r="D164" s="121"/>
      <c r="E164" s="121" t="s">
        <v>201</v>
      </c>
      <c r="F164" s="121" t="s">
        <v>201</v>
      </c>
      <c r="G164" s="121" t="str">
        <f t="shared" si="13"/>
        <v/>
      </c>
      <c r="H164" s="121"/>
      <c r="I164" s="121"/>
      <c r="J164" s="121"/>
      <c r="K164" s="121"/>
      <c r="L164" s="236"/>
      <c r="M164" s="137">
        <v>6</v>
      </c>
      <c r="N164" s="137"/>
      <c r="O164" s="139"/>
      <c r="P164" s="140"/>
      <c r="Q164" s="21" t="s">
        <v>243</v>
      </c>
      <c r="R164" s="100" t="s">
        <v>46</v>
      </c>
      <c r="S164" s="99" t="s">
        <v>46</v>
      </c>
      <c r="T164" s="99" t="s">
        <v>256</v>
      </c>
      <c r="U164" s="98" t="s">
        <v>45</v>
      </c>
      <c r="V164" s="98" t="s">
        <v>45</v>
      </c>
      <c r="Z164" s="22" t="s">
        <v>42</v>
      </c>
      <c r="AA164">
        <v>5</v>
      </c>
      <c r="AC164" s="19" t="e">
        <f t="shared" si="12"/>
        <v>#N/A</v>
      </c>
    </row>
    <row r="165" spans="1:33" ht="23">
      <c r="A165" s="174"/>
      <c r="B165" s="121"/>
      <c r="C165" s="121"/>
      <c r="D165" s="121"/>
      <c r="E165" s="121" t="s">
        <v>201</v>
      </c>
      <c r="F165" s="121" t="s">
        <v>201</v>
      </c>
      <c r="G165" s="121" t="str">
        <f t="shared" si="13"/>
        <v/>
      </c>
      <c r="H165" s="121"/>
      <c r="I165" s="121"/>
      <c r="J165" s="121"/>
      <c r="K165" s="121"/>
      <c r="L165" s="236"/>
      <c r="M165" s="137">
        <v>7</v>
      </c>
      <c r="N165" s="137"/>
      <c r="O165" s="139"/>
      <c r="P165" s="140"/>
      <c r="Q165" s="124" t="s">
        <v>201</v>
      </c>
      <c r="AC165" s="19" t="e">
        <f t="shared" si="12"/>
        <v>#N/A</v>
      </c>
    </row>
    <row r="166" spans="1:33" ht="23">
      <c r="A166" s="174"/>
      <c r="B166" s="121"/>
      <c r="C166" s="121"/>
      <c r="D166" s="121"/>
      <c r="E166" s="121" t="s">
        <v>201</v>
      </c>
      <c r="F166" s="121" t="s">
        <v>201</v>
      </c>
      <c r="G166" s="121" t="str">
        <f t="shared" si="13"/>
        <v/>
      </c>
      <c r="H166" s="121"/>
      <c r="I166" s="121"/>
      <c r="J166" s="121"/>
      <c r="K166" s="121"/>
      <c r="L166" s="236"/>
      <c r="M166" s="137">
        <v>8</v>
      </c>
      <c r="N166" s="137"/>
      <c r="O166" s="139"/>
      <c r="P166" s="140"/>
      <c r="AC166" s="19" t="e">
        <f t="shared" si="12"/>
        <v>#N/A</v>
      </c>
    </row>
    <row r="167" spans="1:33" ht="25" customHeight="1">
      <c r="A167" s="174"/>
      <c r="B167" s="121"/>
      <c r="C167" s="121"/>
      <c r="D167" s="121"/>
      <c r="E167" s="121" t="s">
        <v>201</v>
      </c>
      <c r="F167" s="121" t="s">
        <v>201</v>
      </c>
      <c r="G167" s="121" t="str">
        <f t="shared" si="13"/>
        <v/>
      </c>
      <c r="H167" s="121"/>
      <c r="I167" s="121"/>
      <c r="J167" s="121"/>
      <c r="K167" s="121"/>
      <c r="L167" s="236"/>
      <c r="M167" s="137">
        <v>9</v>
      </c>
      <c r="N167" s="137"/>
      <c r="O167" s="139"/>
      <c r="P167" s="140"/>
      <c r="AC167" s="19" t="e">
        <f t="shared" si="12"/>
        <v>#N/A</v>
      </c>
    </row>
    <row r="168" spans="1:33" ht="24" customHeight="1">
      <c r="A168" s="174"/>
      <c r="B168" s="121"/>
      <c r="C168" s="121"/>
      <c r="D168" s="121"/>
      <c r="E168" s="121" t="s">
        <v>201</v>
      </c>
      <c r="F168" s="121" t="s">
        <v>201</v>
      </c>
      <c r="G168" s="121" t="str">
        <f t="shared" si="13"/>
        <v/>
      </c>
      <c r="H168" s="121"/>
      <c r="I168" s="121"/>
      <c r="J168" s="121"/>
      <c r="K168" s="121"/>
      <c r="L168" s="236"/>
      <c r="M168" s="137">
        <v>10</v>
      </c>
      <c r="N168" s="137"/>
      <c r="O168" s="139"/>
      <c r="P168" s="140"/>
      <c r="AC168" s="19" t="e">
        <f t="shared" si="12"/>
        <v>#N/A</v>
      </c>
    </row>
    <row r="169" spans="1:33" ht="24" customHeight="1">
      <c r="A169" s="174"/>
      <c r="B169" s="121"/>
      <c r="C169" s="121"/>
      <c r="D169" s="121"/>
      <c r="E169" s="121" t="s">
        <v>201</v>
      </c>
      <c r="F169" s="121" t="s">
        <v>201</v>
      </c>
      <c r="G169" s="121" t="str">
        <f t="shared" si="13"/>
        <v/>
      </c>
      <c r="H169" s="121"/>
      <c r="I169" s="121"/>
      <c r="J169" s="121"/>
      <c r="K169" s="121"/>
      <c r="L169" s="236"/>
      <c r="M169" s="139"/>
      <c r="N169" s="139"/>
      <c r="O169" s="139"/>
      <c r="P169" s="140"/>
      <c r="AC169" s="19" t="e">
        <f t="shared" si="12"/>
        <v>#N/A</v>
      </c>
    </row>
    <row r="170" spans="1:33" ht="21">
      <c r="A170" s="174"/>
      <c r="B170" s="121"/>
      <c r="C170" s="121"/>
      <c r="D170" s="121"/>
      <c r="E170" s="121" t="s">
        <v>201</v>
      </c>
      <c r="F170" s="121" t="s">
        <v>201</v>
      </c>
      <c r="G170" s="121" t="str">
        <f t="shared" si="13"/>
        <v/>
      </c>
      <c r="H170" s="121"/>
      <c r="I170" s="121"/>
      <c r="J170" s="121"/>
      <c r="K170" s="121"/>
      <c r="L170" s="236"/>
      <c r="M170" s="139"/>
      <c r="N170" s="139"/>
      <c r="O170" s="139"/>
      <c r="P170" s="140"/>
      <c r="AC170" s="19" t="e">
        <f t="shared" si="12"/>
        <v>#N/A</v>
      </c>
    </row>
    <row r="171" spans="1:33" ht="21">
      <c r="A171" s="174"/>
      <c r="B171" s="121"/>
      <c r="C171" s="121"/>
      <c r="D171" s="121"/>
      <c r="E171" s="121" t="s">
        <v>201</v>
      </c>
      <c r="F171" s="121" t="s">
        <v>201</v>
      </c>
      <c r="G171" s="121" t="str">
        <f t="shared" si="13"/>
        <v/>
      </c>
      <c r="H171" s="121"/>
      <c r="I171" s="121"/>
      <c r="J171" s="121"/>
      <c r="K171" s="121"/>
      <c r="L171" s="236"/>
      <c r="M171" s="139"/>
      <c r="N171" s="139"/>
      <c r="O171" s="139"/>
      <c r="P171" s="140"/>
      <c r="AC171" s="19" t="e">
        <f t="shared" si="12"/>
        <v>#N/A</v>
      </c>
    </row>
    <row r="172" spans="1:33" ht="21">
      <c r="A172" s="174"/>
      <c r="B172" s="121"/>
      <c r="C172" s="121"/>
      <c r="D172" s="121"/>
      <c r="E172" s="121" t="s">
        <v>201</v>
      </c>
      <c r="F172" s="121" t="s">
        <v>201</v>
      </c>
      <c r="G172" s="121" t="str">
        <f t="shared" si="13"/>
        <v/>
      </c>
      <c r="H172" s="121"/>
      <c r="I172" s="121"/>
      <c r="J172" s="121"/>
      <c r="K172" s="121"/>
      <c r="L172" s="236"/>
      <c r="M172" s="139"/>
      <c r="N172" s="139"/>
      <c r="O172" s="139"/>
      <c r="P172" s="140"/>
      <c r="AC172" s="19" t="e">
        <f t="shared" si="12"/>
        <v>#N/A</v>
      </c>
    </row>
    <row r="173" spans="1:33" ht="21">
      <c r="A173" s="174"/>
      <c r="B173" s="121"/>
      <c r="C173" s="121"/>
      <c r="D173" s="121"/>
      <c r="E173" s="121" t="s">
        <v>201</v>
      </c>
      <c r="F173" s="121" t="s">
        <v>201</v>
      </c>
      <c r="G173" s="121" t="str">
        <f t="shared" si="13"/>
        <v/>
      </c>
      <c r="H173" s="121"/>
      <c r="I173" s="121"/>
      <c r="J173" s="121"/>
      <c r="K173" s="121"/>
      <c r="L173" s="236"/>
      <c r="M173" s="139"/>
      <c r="N173" s="139"/>
      <c r="O173" s="139"/>
      <c r="P173" s="140"/>
      <c r="AC173" s="19" t="e">
        <f t="shared" si="12"/>
        <v>#N/A</v>
      </c>
    </row>
    <row r="174" spans="1:33" ht="21">
      <c r="A174" s="174"/>
      <c r="B174" s="121"/>
      <c r="C174" s="121"/>
      <c r="D174" s="121"/>
      <c r="E174" s="121" t="s">
        <v>201</v>
      </c>
      <c r="F174" s="121" t="s">
        <v>201</v>
      </c>
      <c r="G174" s="121" t="str">
        <f t="shared" si="13"/>
        <v/>
      </c>
      <c r="H174" s="121"/>
      <c r="I174" s="121"/>
      <c r="J174" s="121"/>
      <c r="K174" s="121"/>
      <c r="L174" s="236"/>
      <c r="M174" s="139"/>
      <c r="N174" s="139"/>
      <c r="O174" s="139"/>
      <c r="P174" s="140"/>
      <c r="AC174" s="19" t="e">
        <f t="shared" si="12"/>
        <v>#N/A</v>
      </c>
    </row>
    <row r="175" spans="1:33" ht="21">
      <c r="A175" s="174"/>
      <c r="B175" s="121"/>
      <c r="C175" s="121"/>
      <c r="D175" s="121"/>
      <c r="E175" s="121" t="s">
        <v>201</v>
      </c>
      <c r="F175" s="121" t="s">
        <v>201</v>
      </c>
      <c r="G175" s="121" t="str">
        <f t="shared" si="13"/>
        <v/>
      </c>
      <c r="H175" s="121"/>
      <c r="I175" s="121"/>
      <c r="J175" s="121"/>
      <c r="K175" s="121"/>
      <c r="L175" s="236"/>
      <c r="M175" s="139"/>
      <c r="N175" s="139"/>
      <c r="O175" s="139"/>
      <c r="P175" s="140"/>
      <c r="AC175" s="19"/>
    </row>
    <row r="176" spans="1:33">
      <c r="A176" s="236"/>
      <c r="B176" s="236"/>
      <c r="C176" s="236"/>
      <c r="D176" s="236"/>
      <c r="E176" s="236"/>
      <c r="F176" s="236"/>
      <c r="G176" s="236"/>
      <c r="H176" s="236"/>
      <c r="I176" s="236"/>
      <c r="J176" s="236"/>
      <c r="K176" s="236"/>
      <c r="L176" s="236"/>
    </row>
    <row r="178" spans="1:35" ht="46" customHeight="1">
      <c r="A178" s="174"/>
      <c r="B178" s="169" t="s">
        <v>254</v>
      </c>
      <c r="C178" s="167"/>
      <c r="D178" s="167"/>
      <c r="E178" s="167"/>
      <c r="F178" s="167"/>
      <c r="G178" s="167"/>
      <c r="H178" s="168"/>
      <c r="I178" s="168"/>
      <c r="J178" s="168"/>
      <c r="K178" s="168"/>
      <c r="L178" s="236"/>
      <c r="M178" s="165"/>
      <c r="N178" s="165"/>
      <c r="O178" s="165"/>
      <c r="P178" s="165"/>
      <c r="Q178" s="165"/>
      <c r="R178" s="165"/>
      <c r="S178" s="165"/>
      <c r="T178" s="165"/>
      <c r="U178" s="165"/>
      <c r="V178" s="165"/>
      <c r="W178" s="165"/>
    </row>
    <row r="179" spans="1:35">
      <c r="A179" s="174" t="s">
        <v>197</v>
      </c>
      <c r="B179" s="215" t="s">
        <v>255</v>
      </c>
      <c r="C179" s="215"/>
      <c r="D179" s="215"/>
      <c r="E179" s="215"/>
      <c r="F179" s="215"/>
      <c r="G179" s="215"/>
      <c r="H179" s="215"/>
      <c r="I179" s="215" t="s">
        <v>30</v>
      </c>
      <c r="J179" s="215"/>
      <c r="K179" s="170"/>
      <c r="L179" s="236"/>
    </row>
    <row r="180" spans="1:35">
      <c r="A180" s="174" t="s">
        <v>246</v>
      </c>
      <c r="B180" s="215" t="s">
        <v>244</v>
      </c>
      <c r="C180" s="215"/>
      <c r="D180" s="215"/>
      <c r="E180" s="215"/>
      <c r="F180" s="215"/>
      <c r="G180" s="215"/>
      <c r="H180" s="215"/>
      <c r="I180" s="215" t="s">
        <v>31</v>
      </c>
      <c r="J180" s="215"/>
      <c r="K180" s="170"/>
      <c r="L180" s="236"/>
    </row>
    <row r="181" spans="1:35">
      <c r="A181" s="174"/>
      <c r="B181" s="215" t="s">
        <v>247</v>
      </c>
      <c r="C181" s="215"/>
      <c r="D181" s="215"/>
      <c r="E181" s="215"/>
      <c r="F181" s="215"/>
      <c r="G181" s="215"/>
      <c r="H181" s="215"/>
      <c r="I181" s="215" t="s">
        <v>29</v>
      </c>
      <c r="J181" s="215"/>
      <c r="K181" s="173"/>
      <c r="L181" s="236"/>
    </row>
    <row r="182" spans="1:35" s="19" customFormat="1" ht="46" thickBot="1">
      <c r="A182" s="175">
        <f>A157+1</f>
        <v>8</v>
      </c>
      <c r="B182" s="95" t="s">
        <v>32</v>
      </c>
      <c r="C182" s="95" t="s">
        <v>190</v>
      </c>
      <c r="D182" s="95" t="s">
        <v>33</v>
      </c>
      <c r="E182" s="95" t="s">
        <v>36</v>
      </c>
      <c r="F182" s="95" t="s">
        <v>196</v>
      </c>
      <c r="G182" s="95" t="s">
        <v>37</v>
      </c>
      <c r="H182" s="95" t="s">
        <v>34</v>
      </c>
      <c r="I182" s="95" t="s">
        <v>250</v>
      </c>
      <c r="J182" s="95" t="s">
        <v>35</v>
      </c>
      <c r="K182" s="95" t="s">
        <v>191</v>
      </c>
      <c r="L182" s="236"/>
      <c r="M182" s="128"/>
      <c r="N182" s="141" t="s">
        <v>248</v>
      </c>
      <c r="O182" s="128"/>
      <c r="P182" s="138"/>
      <c r="AC182" s="19" t="e">
        <f t="shared" ref="AC182:AC199" si="14">VLOOKUP(F183,Z$10:AA$14,2,FALSE)</f>
        <v>#N/A</v>
      </c>
      <c r="AI182" s="19" t="e">
        <f>VLOOKUP(G183,$AF$8:$AG$12,2,FALSE)</f>
        <v>#N/A</v>
      </c>
    </row>
    <row r="183" spans="1:35" ht="22" thickBot="1">
      <c r="A183" s="174"/>
      <c r="B183" s="121"/>
      <c r="C183" s="121"/>
      <c r="D183" s="121"/>
      <c r="E183" s="121" t="s">
        <v>201</v>
      </c>
      <c r="F183" s="121" t="s">
        <v>201</v>
      </c>
      <c r="G183" s="121" t="str">
        <f>IF(ISERROR(VLOOKUP(E183,Q$10:V$14,AC182+1,FALSE)),"",VLOOKUP(E183,Q$10:V$14,AC182+1,FALSE))</f>
        <v/>
      </c>
      <c r="H183" s="121"/>
      <c r="I183" s="121"/>
      <c r="J183" s="121"/>
      <c r="K183" s="121"/>
      <c r="L183" s="236"/>
      <c r="M183" s="142" t="s">
        <v>240</v>
      </c>
      <c r="N183" s="139"/>
      <c r="O183" s="139"/>
      <c r="P183" s="140"/>
      <c r="Q183" s="20"/>
      <c r="R183" s="212" t="s">
        <v>38</v>
      </c>
      <c r="S183" s="213"/>
      <c r="T183" s="213"/>
      <c r="U183" s="213"/>
      <c r="V183" s="214"/>
      <c r="AC183" s="19" t="e">
        <f t="shared" si="14"/>
        <v>#N/A</v>
      </c>
      <c r="AF183" s="100" t="s">
        <v>47</v>
      </c>
      <c r="AG183">
        <v>1</v>
      </c>
    </row>
    <row r="184" spans="1:35" ht="24" thickBot="1">
      <c r="A184" s="174"/>
      <c r="B184" s="121"/>
      <c r="C184" s="121"/>
      <c r="D184" s="121"/>
      <c r="E184" s="121" t="s">
        <v>201</v>
      </c>
      <c r="F184" s="121" t="s">
        <v>201</v>
      </c>
      <c r="G184" s="121" t="str">
        <f>IF(ISERROR(VLOOKUP(E184,Q$10:V$14,AC183+1,FALSE)),"",VLOOKUP(E184,Q$10:V$14,AC183+1,FALSE))</f>
        <v/>
      </c>
      <c r="H184" s="121"/>
      <c r="I184" s="121"/>
      <c r="J184" s="121"/>
      <c r="K184" s="121"/>
      <c r="L184" s="236"/>
      <c r="M184" s="137">
        <v>1</v>
      </c>
      <c r="N184" s="137"/>
      <c r="O184" s="139"/>
      <c r="P184" s="140"/>
      <c r="Q184" s="23" t="s">
        <v>39</v>
      </c>
      <c r="R184" s="22" t="s">
        <v>40</v>
      </c>
      <c r="S184" s="22" t="s">
        <v>44</v>
      </c>
      <c r="T184" s="22" t="s">
        <v>241</v>
      </c>
      <c r="U184" s="22" t="s">
        <v>41</v>
      </c>
      <c r="V184" s="22" t="s">
        <v>42</v>
      </c>
      <c r="W184" s="125" t="s">
        <v>201</v>
      </c>
      <c r="AC184" s="19" t="e">
        <f t="shared" si="14"/>
        <v>#N/A</v>
      </c>
      <c r="AF184" s="99" t="s">
        <v>46</v>
      </c>
      <c r="AG184">
        <v>2</v>
      </c>
    </row>
    <row r="185" spans="1:35" ht="24" thickBot="1">
      <c r="A185" s="174"/>
      <c r="B185" s="121"/>
      <c r="C185" s="121"/>
      <c r="D185" s="121"/>
      <c r="E185" s="121" t="s">
        <v>201</v>
      </c>
      <c r="F185" s="121" t="s">
        <v>201</v>
      </c>
      <c r="G185" s="121" t="str">
        <f t="shared" ref="G185:G200" si="15">IF(ISERROR(VLOOKUP(E185,Q$10:V$14,AC184+1,FALSE)),"",VLOOKUP(E185,Q$10:V$14,AC184+1,FALSE))</f>
        <v/>
      </c>
      <c r="H185" s="121"/>
      <c r="I185" s="121"/>
      <c r="J185" s="121"/>
      <c r="K185" s="121"/>
      <c r="L185" s="236"/>
      <c r="M185" s="137">
        <v>2</v>
      </c>
      <c r="N185" s="137"/>
      <c r="O185" s="139"/>
      <c r="P185" s="140"/>
      <c r="Q185" s="21" t="s">
        <v>242</v>
      </c>
      <c r="R185" s="99" t="s">
        <v>256</v>
      </c>
      <c r="S185" s="97" t="s">
        <v>45</v>
      </c>
      <c r="T185" s="172" t="s">
        <v>257</v>
      </c>
      <c r="U185" s="172" t="s">
        <v>257</v>
      </c>
      <c r="V185" s="172" t="s">
        <v>257</v>
      </c>
      <c r="Z185" s="22" t="s">
        <v>40</v>
      </c>
      <c r="AA185">
        <v>1</v>
      </c>
      <c r="AC185" s="19" t="e">
        <f t="shared" si="14"/>
        <v>#N/A</v>
      </c>
      <c r="AF185" s="98" t="s">
        <v>44</v>
      </c>
      <c r="AG185">
        <v>3</v>
      </c>
    </row>
    <row r="186" spans="1:35" ht="24" thickBot="1">
      <c r="A186" s="174"/>
      <c r="B186" s="121"/>
      <c r="C186" s="121"/>
      <c r="D186" s="121"/>
      <c r="E186" s="121" t="s">
        <v>201</v>
      </c>
      <c r="F186" s="121" t="s">
        <v>201</v>
      </c>
      <c r="G186" s="121" t="str">
        <f t="shared" si="15"/>
        <v/>
      </c>
      <c r="H186" s="121"/>
      <c r="I186" s="121"/>
      <c r="J186" s="121"/>
      <c r="K186" s="121"/>
      <c r="L186" s="236"/>
      <c r="M186" s="137">
        <v>3</v>
      </c>
      <c r="N186" s="137"/>
      <c r="O186" s="139"/>
      <c r="P186" s="140"/>
      <c r="Q186" s="21" t="s">
        <v>48</v>
      </c>
      <c r="R186" s="99" t="s">
        <v>256</v>
      </c>
      <c r="S186" s="97" t="s">
        <v>45</v>
      </c>
      <c r="T186" s="97" t="s">
        <v>45</v>
      </c>
      <c r="U186" s="172" t="s">
        <v>257</v>
      </c>
      <c r="V186" s="172" t="s">
        <v>257</v>
      </c>
      <c r="Z186" s="22" t="s">
        <v>44</v>
      </c>
      <c r="AA186">
        <v>2</v>
      </c>
      <c r="AC186" s="19" t="e">
        <f t="shared" si="14"/>
        <v>#N/A</v>
      </c>
      <c r="AF186" s="97" t="s">
        <v>45</v>
      </c>
      <c r="AG186">
        <v>4</v>
      </c>
    </row>
    <row r="187" spans="1:35" ht="24" thickBot="1">
      <c r="A187" s="174"/>
      <c r="B187" s="121"/>
      <c r="C187" s="121"/>
      <c r="D187" s="121"/>
      <c r="E187" s="121" t="s">
        <v>201</v>
      </c>
      <c r="F187" s="121" t="s">
        <v>201</v>
      </c>
      <c r="G187" s="121" t="str">
        <f t="shared" si="15"/>
        <v/>
      </c>
      <c r="H187" s="121"/>
      <c r="I187" s="121"/>
      <c r="J187" s="121"/>
      <c r="K187" s="121"/>
      <c r="L187" s="236"/>
      <c r="M187" s="137">
        <v>4</v>
      </c>
      <c r="N187" s="137"/>
      <c r="O187" s="139"/>
      <c r="P187" s="140"/>
      <c r="Q187" s="21" t="s">
        <v>49</v>
      </c>
      <c r="R187" s="99" t="s">
        <v>46</v>
      </c>
      <c r="S187" s="99" t="s">
        <v>256</v>
      </c>
      <c r="T187" s="98" t="s">
        <v>45</v>
      </c>
      <c r="U187" s="172" t="s">
        <v>257</v>
      </c>
      <c r="V187" s="172" t="s">
        <v>257</v>
      </c>
      <c r="Z187" s="22" t="s">
        <v>241</v>
      </c>
      <c r="AA187">
        <v>3</v>
      </c>
      <c r="AC187" s="19" t="e">
        <f t="shared" si="14"/>
        <v>#N/A</v>
      </c>
      <c r="AF187" s="96" t="s">
        <v>43</v>
      </c>
      <c r="AG187">
        <v>5</v>
      </c>
    </row>
    <row r="188" spans="1:35" ht="24" thickBot="1">
      <c r="A188" s="174"/>
      <c r="B188" s="121"/>
      <c r="C188" s="121"/>
      <c r="D188" s="121"/>
      <c r="E188" s="121" t="s">
        <v>201</v>
      </c>
      <c r="F188" s="121" t="s">
        <v>201</v>
      </c>
      <c r="G188" s="121" t="str">
        <f t="shared" si="15"/>
        <v/>
      </c>
      <c r="H188" s="121"/>
      <c r="I188" s="121"/>
      <c r="J188" s="121"/>
      <c r="K188" s="121"/>
      <c r="L188" s="236"/>
      <c r="M188" s="137">
        <v>5</v>
      </c>
      <c r="N188" s="137"/>
      <c r="O188" s="139"/>
      <c r="P188" s="140"/>
      <c r="Q188" s="21" t="s">
        <v>50</v>
      </c>
      <c r="R188" s="99" t="s">
        <v>46</v>
      </c>
      <c r="S188" s="99" t="s">
        <v>46</v>
      </c>
      <c r="T188" s="99" t="s">
        <v>256</v>
      </c>
      <c r="U188" s="98" t="s">
        <v>45</v>
      </c>
      <c r="V188" s="172" t="s">
        <v>257</v>
      </c>
      <c r="Z188" s="22" t="s">
        <v>41</v>
      </c>
      <c r="AA188">
        <v>4</v>
      </c>
      <c r="AC188" s="19" t="e">
        <f t="shared" si="14"/>
        <v>#N/A</v>
      </c>
    </row>
    <row r="189" spans="1:35" ht="24" thickBot="1">
      <c r="A189" s="174"/>
      <c r="B189" s="121"/>
      <c r="C189" s="121"/>
      <c r="D189" s="121"/>
      <c r="E189" s="121" t="s">
        <v>201</v>
      </c>
      <c r="F189" s="121" t="s">
        <v>201</v>
      </c>
      <c r="G189" s="121" t="str">
        <f t="shared" si="15"/>
        <v/>
      </c>
      <c r="H189" s="121"/>
      <c r="I189" s="121"/>
      <c r="J189" s="121"/>
      <c r="K189" s="121"/>
      <c r="L189" s="236"/>
      <c r="M189" s="137">
        <v>6</v>
      </c>
      <c r="N189" s="137"/>
      <c r="O189" s="139"/>
      <c r="P189" s="140"/>
      <c r="Q189" s="21" t="s">
        <v>243</v>
      </c>
      <c r="R189" s="100" t="s">
        <v>46</v>
      </c>
      <c r="S189" s="99" t="s">
        <v>46</v>
      </c>
      <c r="T189" s="99" t="s">
        <v>256</v>
      </c>
      <c r="U189" s="98" t="s">
        <v>45</v>
      </c>
      <c r="V189" s="98" t="s">
        <v>45</v>
      </c>
      <c r="Z189" s="22" t="s">
        <v>42</v>
      </c>
      <c r="AA189">
        <v>5</v>
      </c>
      <c r="AC189" s="19" t="e">
        <f t="shared" si="14"/>
        <v>#N/A</v>
      </c>
    </row>
    <row r="190" spans="1:35" ht="23">
      <c r="A190" s="174"/>
      <c r="B190" s="121"/>
      <c r="C190" s="121"/>
      <c r="D190" s="121"/>
      <c r="E190" s="121" t="s">
        <v>201</v>
      </c>
      <c r="F190" s="121" t="s">
        <v>201</v>
      </c>
      <c r="G190" s="121" t="str">
        <f t="shared" si="15"/>
        <v/>
      </c>
      <c r="H190" s="121"/>
      <c r="I190" s="121"/>
      <c r="J190" s="121"/>
      <c r="K190" s="121"/>
      <c r="L190" s="236"/>
      <c r="M190" s="137">
        <v>7</v>
      </c>
      <c r="N190" s="137"/>
      <c r="O190" s="139"/>
      <c r="P190" s="140"/>
      <c r="Q190" s="124" t="s">
        <v>201</v>
      </c>
      <c r="AC190" s="19" t="e">
        <f t="shared" si="14"/>
        <v>#N/A</v>
      </c>
    </row>
    <row r="191" spans="1:35" ht="23">
      <c r="A191" s="174"/>
      <c r="B191" s="121"/>
      <c r="C191" s="121"/>
      <c r="D191" s="121"/>
      <c r="E191" s="121" t="s">
        <v>201</v>
      </c>
      <c r="F191" s="121" t="s">
        <v>201</v>
      </c>
      <c r="G191" s="121" t="str">
        <f t="shared" si="15"/>
        <v/>
      </c>
      <c r="H191" s="121"/>
      <c r="I191" s="121"/>
      <c r="J191" s="121"/>
      <c r="K191" s="121"/>
      <c r="L191" s="236"/>
      <c r="M191" s="137">
        <v>8</v>
      </c>
      <c r="N191" s="137"/>
      <c r="O191" s="139"/>
      <c r="P191" s="140"/>
      <c r="AC191" s="19" t="e">
        <f t="shared" si="14"/>
        <v>#N/A</v>
      </c>
    </row>
    <row r="192" spans="1:35" ht="25" customHeight="1">
      <c r="A192" s="174"/>
      <c r="B192" s="121"/>
      <c r="C192" s="121"/>
      <c r="D192" s="121"/>
      <c r="E192" s="121" t="s">
        <v>201</v>
      </c>
      <c r="F192" s="121" t="s">
        <v>201</v>
      </c>
      <c r="G192" s="121" t="str">
        <f t="shared" si="15"/>
        <v/>
      </c>
      <c r="H192" s="121"/>
      <c r="I192" s="121"/>
      <c r="J192" s="121"/>
      <c r="K192" s="121"/>
      <c r="L192" s="236"/>
      <c r="M192" s="137">
        <v>9</v>
      </c>
      <c r="N192" s="137"/>
      <c r="O192" s="139"/>
      <c r="P192" s="140"/>
      <c r="AC192" s="19" t="e">
        <f t="shared" si="14"/>
        <v>#N/A</v>
      </c>
    </row>
    <row r="193" spans="1:35" ht="24" customHeight="1">
      <c r="A193" s="174"/>
      <c r="B193" s="121"/>
      <c r="C193" s="121"/>
      <c r="D193" s="121"/>
      <c r="E193" s="121" t="s">
        <v>201</v>
      </c>
      <c r="F193" s="121" t="s">
        <v>201</v>
      </c>
      <c r="G193" s="121" t="str">
        <f t="shared" si="15"/>
        <v/>
      </c>
      <c r="H193" s="121"/>
      <c r="I193" s="121"/>
      <c r="J193" s="121"/>
      <c r="K193" s="121"/>
      <c r="L193" s="236"/>
      <c r="M193" s="137">
        <v>10</v>
      </c>
      <c r="N193" s="137"/>
      <c r="O193" s="139"/>
      <c r="P193" s="140"/>
      <c r="AC193" s="19" t="e">
        <f t="shared" si="14"/>
        <v>#N/A</v>
      </c>
    </row>
    <row r="194" spans="1:35" ht="24" customHeight="1">
      <c r="A194" s="174"/>
      <c r="B194" s="121"/>
      <c r="C194" s="121"/>
      <c r="D194" s="121"/>
      <c r="E194" s="121" t="s">
        <v>201</v>
      </c>
      <c r="F194" s="121" t="s">
        <v>201</v>
      </c>
      <c r="G194" s="121" t="str">
        <f t="shared" si="15"/>
        <v/>
      </c>
      <c r="H194" s="121"/>
      <c r="I194" s="121"/>
      <c r="J194" s="121"/>
      <c r="K194" s="121"/>
      <c r="L194" s="236"/>
      <c r="M194" s="139"/>
      <c r="N194" s="139"/>
      <c r="O194" s="139"/>
      <c r="P194" s="140"/>
      <c r="AC194" s="19" t="e">
        <f t="shared" si="14"/>
        <v>#N/A</v>
      </c>
    </row>
    <row r="195" spans="1:35" ht="21">
      <c r="A195" s="174"/>
      <c r="B195" s="121"/>
      <c r="C195" s="121"/>
      <c r="D195" s="121"/>
      <c r="E195" s="121" t="s">
        <v>201</v>
      </c>
      <c r="F195" s="121" t="s">
        <v>201</v>
      </c>
      <c r="G195" s="121" t="str">
        <f t="shared" si="15"/>
        <v/>
      </c>
      <c r="H195" s="121"/>
      <c r="I195" s="121"/>
      <c r="J195" s="121"/>
      <c r="K195" s="121"/>
      <c r="L195" s="236"/>
      <c r="M195" s="139"/>
      <c r="N195" s="139"/>
      <c r="O195" s="139"/>
      <c r="P195" s="140"/>
      <c r="AC195" s="19" t="e">
        <f t="shared" si="14"/>
        <v>#N/A</v>
      </c>
    </row>
    <row r="196" spans="1:35" ht="21">
      <c r="A196" s="174"/>
      <c r="B196" s="121"/>
      <c r="C196" s="121"/>
      <c r="D196" s="121"/>
      <c r="E196" s="121" t="s">
        <v>201</v>
      </c>
      <c r="F196" s="121" t="s">
        <v>201</v>
      </c>
      <c r="G196" s="121" t="str">
        <f t="shared" si="15"/>
        <v/>
      </c>
      <c r="H196" s="121"/>
      <c r="I196" s="121"/>
      <c r="J196" s="121"/>
      <c r="K196" s="121"/>
      <c r="L196" s="236"/>
      <c r="M196" s="139"/>
      <c r="N196" s="139"/>
      <c r="O196" s="139"/>
      <c r="P196" s="140"/>
      <c r="AC196" s="19" t="e">
        <f t="shared" si="14"/>
        <v>#N/A</v>
      </c>
    </row>
    <row r="197" spans="1:35" ht="21">
      <c r="A197" s="174"/>
      <c r="B197" s="121"/>
      <c r="C197" s="121"/>
      <c r="D197" s="121"/>
      <c r="E197" s="121" t="s">
        <v>201</v>
      </c>
      <c r="F197" s="121" t="s">
        <v>201</v>
      </c>
      <c r="G197" s="121" t="str">
        <f t="shared" si="15"/>
        <v/>
      </c>
      <c r="H197" s="121"/>
      <c r="I197" s="121"/>
      <c r="J197" s="121"/>
      <c r="K197" s="121"/>
      <c r="L197" s="236"/>
      <c r="M197" s="139"/>
      <c r="N197" s="139"/>
      <c r="O197" s="139"/>
      <c r="P197" s="140"/>
      <c r="AC197" s="19" t="e">
        <f t="shared" si="14"/>
        <v>#N/A</v>
      </c>
    </row>
    <row r="198" spans="1:35" ht="21">
      <c r="A198" s="174"/>
      <c r="B198" s="121"/>
      <c r="C198" s="121"/>
      <c r="D198" s="121"/>
      <c r="E198" s="121" t="s">
        <v>201</v>
      </c>
      <c r="F198" s="121" t="s">
        <v>201</v>
      </c>
      <c r="G198" s="121" t="str">
        <f t="shared" si="15"/>
        <v/>
      </c>
      <c r="H198" s="121"/>
      <c r="I198" s="121"/>
      <c r="J198" s="121"/>
      <c r="K198" s="121"/>
      <c r="L198" s="236"/>
      <c r="M198" s="139"/>
      <c r="N198" s="139"/>
      <c r="O198" s="139"/>
      <c r="P198" s="140"/>
      <c r="AC198" s="19" t="e">
        <f t="shared" si="14"/>
        <v>#N/A</v>
      </c>
    </row>
    <row r="199" spans="1:35" ht="21">
      <c r="A199" s="174"/>
      <c r="B199" s="121"/>
      <c r="C199" s="121"/>
      <c r="D199" s="121"/>
      <c r="E199" s="121" t="s">
        <v>201</v>
      </c>
      <c r="F199" s="121" t="s">
        <v>201</v>
      </c>
      <c r="G199" s="121" t="str">
        <f t="shared" si="15"/>
        <v/>
      </c>
      <c r="H199" s="121"/>
      <c r="I199" s="121"/>
      <c r="J199" s="121"/>
      <c r="K199" s="121"/>
      <c r="L199" s="236"/>
      <c r="M199" s="139"/>
      <c r="N199" s="139"/>
      <c r="O199" s="139"/>
      <c r="P199" s="140"/>
      <c r="AC199" s="19" t="e">
        <f t="shared" si="14"/>
        <v>#N/A</v>
      </c>
    </row>
    <row r="200" spans="1:35" ht="21">
      <c r="A200" s="174"/>
      <c r="B200" s="121"/>
      <c r="C200" s="121"/>
      <c r="D200" s="121"/>
      <c r="E200" s="121" t="s">
        <v>201</v>
      </c>
      <c r="F200" s="121" t="s">
        <v>201</v>
      </c>
      <c r="G200" s="121" t="str">
        <f t="shared" si="15"/>
        <v/>
      </c>
      <c r="H200" s="121"/>
      <c r="I200" s="121"/>
      <c r="J200" s="121"/>
      <c r="K200" s="121"/>
      <c r="L200" s="236"/>
      <c r="M200" s="139"/>
      <c r="N200" s="139"/>
      <c r="O200" s="139"/>
      <c r="P200" s="140"/>
      <c r="AC200" s="19"/>
    </row>
    <row r="201" spans="1:35">
      <c r="A201" s="236"/>
      <c r="B201" s="236"/>
      <c r="C201" s="236"/>
      <c r="D201" s="236"/>
      <c r="E201" s="236"/>
      <c r="F201" s="236"/>
      <c r="G201" s="236"/>
      <c r="H201" s="236"/>
      <c r="I201" s="236"/>
      <c r="J201" s="236"/>
      <c r="K201" s="236"/>
      <c r="L201" s="236"/>
    </row>
    <row r="203" spans="1:35" ht="46" customHeight="1">
      <c r="A203" s="174"/>
      <c r="B203" s="169" t="s">
        <v>254</v>
      </c>
      <c r="C203" s="167"/>
      <c r="D203" s="167"/>
      <c r="E203" s="167"/>
      <c r="F203" s="167"/>
      <c r="G203" s="167"/>
      <c r="H203" s="168"/>
      <c r="I203" s="168"/>
      <c r="J203" s="168"/>
      <c r="K203" s="168"/>
      <c r="L203" s="236"/>
      <c r="M203" s="165"/>
      <c r="N203" s="165"/>
      <c r="O203" s="165"/>
      <c r="P203" s="165"/>
      <c r="Q203" s="165"/>
      <c r="R203" s="165"/>
      <c r="S203" s="165"/>
      <c r="T203" s="165"/>
      <c r="U203" s="165"/>
      <c r="V203" s="165"/>
      <c r="W203" s="165"/>
    </row>
    <row r="204" spans="1:35">
      <c r="A204" s="174" t="s">
        <v>197</v>
      </c>
      <c r="B204" s="215" t="s">
        <v>255</v>
      </c>
      <c r="C204" s="215"/>
      <c r="D204" s="215"/>
      <c r="E204" s="215"/>
      <c r="F204" s="215"/>
      <c r="G204" s="215"/>
      <c r="H204" s="215"/>
      <c r="I204" s="215" t="s">
        <v>30</v>
      </c>
      <c r="J204" s="215"/>
      <c r="K204" s="170"/>
      <c r="L204" s="236"/>
    </row>
    <row r="205" spans="1:35">
      <c r="A205" s="174" t="s">
        <v>246</v>
      </c>
      <c r="B205" s="215" t="s">
        <v>244</v>
      </c>
      <c r="C205" s="215"/>
      <c r="D205" s="215"/>
      <c r="E205" s="215"/>
      <c r="F205" s="215"/>
      <c r="G205" s="215"/>
      <c r="H205" s="215"/>
      <c r="I205" s="215" t="s">
        <v>31</v>
      </c>
      <c r="J205" s="215"/>
      <c r="K205" s="170"/>
      <c r="L205" s="236"/>
    </row>
    <row r="206" spans="1:35">
      <c r="A206" s="174"/>
      <c r="B206" s="215" t="s">
        <v>247</v>
      </c>
      <c r="C206" s="215"/>
      <c r="D206" s="215"/>
      <c r="E206" s="215"/>
      <c r="F206" s="215"/>
      <c r="G206" s="215"/>
      <c r="H206" s="215"/>
      <c r="I206" s="215" t="s">
        <v>29</v>
      </c>
      <c r="J206" s="215"/>
      <c r="K206" s="173"/>
      <c r="L206" s="236"/>
    </row>
    <row r="207" spans="1:35" s="19" customFormat="1" ht="46" thickBot="1">
      <c r="A207" s="175">
        <f>A182+1</f>
        <v>9</v>
      </c>
      <c r="B207" s="95" t="s">
        <v>32</v>
      </c>
      <c r="C207" s="95" t="s">
        <v>190</v>
      </c>
      <c r="D207" s="95" t="s">
        <v>33</v>
      </c>
      <c r="E207" s="95" t="s">
        <v>36</v>
      </c>
      <c r="F207" s="95" t="s">
        <v>196</v>
      </c>
      <c r="G207" s="95" t="s">
        <v>37</v>
      </c>
      <c r="H207" s="95" t="s">
        <v>34</v>
      </c>
      <c r="I207" s="95" t="s">
        <v>250</v>
      </c>
      <c r="J207" s="95" t="s">
        <v>35</v>
      </c>
      <c r="K207" s="95" t="s">
        <v>191</v>
      </c>
      <c r="L207" s="236"/>
      <c r="M207" s="128"/>
      <c r="N207" s="141" t="s">
        <v>248</v>
      </c>
      <c r="O207" s="128"/>
      <c r="P207" s="138"/>
      <c r="AC207" s="19" t="e">
        <f t="shared" ref="AC207:AC224" si="16">VLOOKUP(F208,Z$10:AA$14,2,FALSE)</f>
        <v>#N/A</v>
      </c>
      <c r="AI207" s="19" t="e">
        <f>VLOOKUP(G208,$AF$8:$AG$12,2,FALSE)</f>
        <v>#N/A</v>
      </c>
    </row>
    <row r="208" spans="1:35" ht="22" thickBot="1">
      <c r="A208" s="174"/>
      <c r="B208" s="121"/>
      <c r="C208" s="121"/>
      <c r="D208" s="121"/>
      <c r="E208" s="121" t="s">
        <v>201</v>
      </c>
      <c r="F208" s="121" t="s">
        <v>201</v>
      </c>
      <c r="G208" s="121" t="str">
        <f>IF(ISERROR(VLOOKUP(E208,Q$10:V$14,AC207+1,FALSE)),"",VLOOKUP(E208,Q$10:V$14,AC207+1,FALSE))</f>
        <v/>
      </c>
      <c r="H208" s="121"/>
      <c r="I208" s="121"/>
      <c r="J208" s="121"/>
      <c r="K208" s="121"/>
      <c r="L208" s="236"/>
      <c r="M208" s="142" t="s">
        <v>240</v>
      </c>
      <c r="N208" s="139"/>
      <c r="O208" s="139"/>
      <c r="P208" s="140"/>
      <c r="Q208" s="20"/>
      <c r="R208" s="212" t="s">
        <v>38</v>
      </c>
      <c r="S208" s="213"/>
      <c r="T208" s="213"/>
      <c r="U208" s="213"/>
      <c r="V208" s="214"/>
      <c r="AC208" s="19" t="e">
        <f t="shared" si="16"/>
        <v>#N/A</v>
      </c>
      <c r="AF208" s="100" t="s">
        <v>47</v>
      </c>
      <c r="AG208">
        <v>1</v>
      </c>
    </row>
    <row r="209" spans="1:33" ht="24" thickBot="1">
      <c r="A209" s="174"/>
      <c r="B209" s="121"/>
      <c r="C209" s="121"/>
      <c r="D209" s="121"/>
      <c r="E209" s="121" t="s">
        <v>201</v>
      </c>
      <c r="F209" s="121" t="s">
        <v>201</v>
      </c>
      <c r="G209" s="121" t="str">
        <f>IF(ISERROR(VLOOKUP(E209,Q$10:V$14,AC208+1,FALSE)),"",VLOOKUP(E209,Q$10:V$14,AC208+1,FALSE))</f>
        <v/>
      </c>
      <c r="H209" s="121"/>
      <c r="I209" s="121"/>
      <c r="J209" s="121"/>
      <c r="K209" s="121"/>
      <c r="L209" s="236"/>
      <c r="M209" s="137">
        <v>1</v>
      </c>
      <c r="N209" s="137"/>
      <c r="O209" s="139"/>
      <c r="P209" s="140"/>
      <c r="Q209" s="23" t="s">
        <v>39</v>
      </c>
      <c r="R209" s="22" t="s">
        <v>40</v>
      </c>
      <c r="S209" s="22" t="s">
        <v>44</v>
      </c>
      <c r="T209" s="22" t="s">
        <v>241</v>
      </c>
      <c r="U209" s="22" t="s">
        <v>41</v>
      </c>
      <c r="V209" s="22" t="s">
        <v>42</v>
      </c>
      <c r="W209" s="125" t="s">
        <v>201</v>
      </c>
      <c r="AC209" s="19" t="e">
        <f t="shared" si="16"/>
        <v>#N/A</v>
      </c>
      <c r="AF209" s="99" t="s">
        <v>46</v>
      </c>
      <c r="AG209">
        <v>2</v>
      </c>
    </row>
    <row r="210" spans="1:33" ht="24" thickBot="1">
      <c r="A210" s="174"/>
      <c r="B210" s="121"/>
      <c r="C210" s="121"/>
      <c r="D210" s="121"/>
      <c r="E210" s="121" t="s">
        <v>201</v>
      </c>
      <c r="F210" s="121" t="s">
        <v>201</v>
      </c>
      <c r="G210" s="121" t="str">
        <f t="shared" ref="G210:G225" si="17">IF(ISERROR(VLOOKUP(E210,Q$10:V$14,AC209+1,FALSE)),"",VLOOKUP(E210,Q$10:V$14,AC209+1,FALSE))</f>
        <v/>
      </c>
      <c r="H210" s="121"/>
      <c r="I210" s="121"/>
      <c r="J210" s="121"/>
      <c r="K210" s="121"/>
      <c r="L210" s="236"/>
      <c r="M210" s="137">
        <v>2</v>
      </c>
      <c r="N210" s="137"/>
      <c r="O210" s="139"/>
      <c r="P210" s="140"/>
      <c r="Q210" s="21" t="s">
        <v>242</v>
      </c>
      <c r="R210" s="99" t="s">
        <v>256</v>
      </c>
      <c r="S210" s="97" t="s">
        <v>45</v>
      </c>
      <c r="T210" s="172" t="s">
        <v>257</v>
      </c>
      <c r="U210" s="172" t="s">
        <v>257</v>
      </c>
      <c r="V210" s="172" t="s">
        <v>257</v>
      </c>
      <c r="Z210" s="22" t="s">
        <v>40</v>
      </c>
      <c r="AA210">
        <v>1</v>
      </c>
      <c r="AC210" s="19" t="e">
        <f t="shared" si="16"/>
        <v>#N/A</v>
      </c>
      <c r="AF210" s="98" t="s">
        <v>44</v>
      </c>
      <c r="AG210">
        <v>3</v>
      </c>
    </row>
    <row r="211" spans="1:33" ht="24" thickBot="1">
      <c r="A211" s="174"/>
      <c r="B211" s="121"/>
      <c r="C211" s="121"/>
      <c r="D211" s="121"/>
      <c r="E211" s="121" t="s">
        <v>201</v>
      </c>
      <c r="F211" s="121" t="s">
        <v>201</v>
      </c>
      <c r="G211" s="121" t="str">
        <f t="shared" si="17"/>
        <v/>
      </c>
      <c r="H211" s="121"/>
      <c r="I211" s="121"/>
      <c r="J211" s="121"/>
      <c r="K211" s="121"/>
      <c r="L211" s="236"/>
      <c r="M211" s="137">
        <v>3</v>
      </c>
      <c r="N211" s="137"/>
      <c r="O211" s="139"/>
      <c r="P211" s="140"/>
      <c r="Q211" s="21" t="s">
        <v>48</v>
      </c>
      <c r="R211" s="99" t="s">
        <v>256</v>
      </c>
      <c r="S211" s="97" t="s">
        <v>45</v>
      </c>
      <c r="T211" s="97" t="s">
        <v>45</v>
      </c>
      <c r="U211" s="172" t="s">
        <v>257</v>
      </c>
      <c r="V211" s="172" t="s">
        <v>257</v>
      </c>
      <c r="Z211" s="22" t="s">
        <v>44</v>
      </c>
      <c r="AA211">
        <v>2</v>
      </c>
      <c r="AC211" s="19" t="e">
        <f t="shared" si="16"/>
        <v>#N/A</v>
      </c>
      <c r="AF211" s="97" t="s">
        <v>45</v>
      </c>
      <c r="AG211">
        <v>4</v>
      </c>
    </row>
    <row r="212" spans="1:33" ht="24" thickBot="1">
      <c r="A212" s="174"/>
      <c r="B212" s="121"/>
      <c r="C212" s="121"/>
      <c r="D212" s="121"/>
      <c r="E212" s="121" t="s">
        <v>201</v>
      </c>
      <c r="F212" s="121" t="s">
        <v>201</v>
      </c>
      <c r="G212" s="121" t="str">
        <f t="shared" si="17"/>
        <v/>
      </c>
      <c r="H212" s="121"/>
      <c r="I212" s="121"/>
      <c r="J212" s="121"/>
      <c r="K212" s="121"/>
      <c r="L212" s="236"/>
      <c r="M212" s="137">
        <v>4</v>
      </c>
      <c r="N212" s="137"/>
      <c r="O212" s="139"/>
      <c r="P212" s="140"/>
      <c r="Q212" s="21" t="s">
        <v>49</v>
      </c>
      <c r="R212" s="99" t="s">
        <v>46</v>
      </c>
      <c r="S212" s="99" t="s">
        <v>256</v>
      </c>
      <c r="T212" s="98" t="s">
        <v>45</v>
      </c>
      <c r="U212" s="172" t="s">
        <v>257</v>
      </c>
      <c r="V212" s="172" t="s">
        <v>257</v>
      </c>
      <c r="Z212" s="22" t="s">
        <v>241</v>
      </c>
      <c r="AA212">
        <v>3</v>
      </c>
      <c r="AC212" s="19" t="e">
        <f t="shared" si="16"/>
        <v>#N/A</v>
      </c>
      <c r="AF212" s="96" t="s">
        <v>43</v>
      </c>
      <c r="AG212">
        <v>5</v>
      </c>
    </row>
    <row r="213" spans="1:33" ht="24" thickBot="1">
      <c r="A213" s="174"/>
      <c r="B213" s="121"/>
      <c r="C213" s="121"/>
      <c r="D213" s="121"/>
      <c r="E213" s="121" t="s">
        <v>201</v>
      </c>
      <c r="F213" s="121" t="s">
        <v>201</v>
      </c>
      <c r="G213" s="121" t="str">
        <f t="shared" si="17"/>
        <v/>
      </c>
      <c r="H213" s="121"/>
      <c r="I213" s="121"/>
      <c r="J213" s="121"/>
      <c r="K213" s="121"/>
      <c r="L213" s="236"/>
      <c r="M213" s="137">
        <v>5</v>
      </c>
      <c r="N213" s="137"/>
      <c r="O213" s="139"/>
      <c r="P213" s="140"/>
      <c r="Q213" s="21" t="s">
        <v>50</v>
      </c>
      <c r="R213" s="99" t="s">
        <v>46</v>
      </c>
      <c r="S213" s="99" t="s">
        <v>46</v>
      </c>
      <c r="T213" s="99" t="s">
        <v>256</v>
      </c>
      <c r="U213" s="98" t="s">
        <v>45</v>
      </c>
      <c r="V213" s="172" t="s">
        <v>257</v>
      </c>
      <c r="Z213" s="22" t="s">
        <v>41</v>
      </c>
      <c r="AA213">
        <v>4</v>
      </c>
      <c r="AC213" s="19" t="e">
        <f t="shared" si="16"/>
        <v>#N/A</v>
      </c>
    </row>
    <row r="214" spans="1:33" ht="24" thickBot="1">
      <c r="A214" s="174"/>
      <c r="B214" s="121"/>
      <c r="C214" s="121"/>
      <c r="D214" s="121"/>
      <c r="E214" s="121" t="s">
        <v>201</v>
      </c>
      <c r="F214" s="121" t="s">
        <v>201</v>
      </c>
      <c r="G214" s="121" t="str">
        <f t="shared" si="17"/>
        <v/>
      </c>
      <c r="H214" s="121"/>
      <c r="I214" s="121"/>
      <c r="J214" s="121"/>
      <c r="K214" s="121"/>
      <c r="L214" s="236"/>
      <c r="M214" s="137">
        <v>6</v>
      </c>
      <c r="N214" s="137"/>
      <c r="O214" s="139"/>
      <c r="P214" s="140"/>
      <c r="Q214" s="21" t="s">
        <v>243</v>
      </c>
      <c r="R214" s="100" t="s">
        <v>46</v>
      </c>
      <c r="S214" s="99" t="s">
        <v>46</v>
      </c>
      <c r="T214" s="99" t="s">
        <v>256</v>
      </c>
      <c r="U214" s="98" t="s">
        <v>45</v>
      </c>
      <c r="V214" s="98" t="s">
        <v>45</v>
      </c>
      <c r="Z214" s="22" t="s">
        <v>42</v>
      </c>
      <c r="AA214">
        <v>5</v>
      </c>
      <c r="AC214" s="19" t="e">
        <f t="shared" si="16"/>
        <v>#N/A</v>
      </c>
    </row>
    <row r="215" spans="1:33" ht="23">
      <c r="A215" s="174"/>
      <c r="B215" s="121"/>
      <c r="C215" s="121"/>
      <c r="D215" s="121"/>
      <c r="E215" s="121" t="s">
        <v>201</v>
      </c>
      <c r="F215" s="121" t="s">
        <v>201</v>
      </c>
      <c r="G215" s="121" t="str">
        <f t="shared" si="17"/>
        <v/>
      </c>
      <c r="H215" s="121"/>
      <c r="I215" s="121"/>
      <c r="J215" s="121"/>
      <c r="K215" s="121"/>
      <c r="L215" s="236"/>
      <c r="M215" s="137">
        <v>7</v>
      </c>
      <c r="N215" s="137"/>
      <c r="O215" s="139"/>
      <c r="P215" s="140"/>
      <c r="Q215" s="124" t="s">
        <v>201</v>
      </c>
      <c r="AC215" s="19" t="e">
        <f t="shared" si="16"/>
        <v>#N/A</v>
      </c>
    </row>
    <row r="216" spans="1:33" ht="23">
      <c r="A216" s="174"/>
      <c r="B216" s="121"/>
      <c r="C216" s="121"/>
      <c r="D216" s="121"/>
      <c r="E216" s="121" t="s">
        <v>201</v>
      </c>
      <c r="F216" s="121" t="s">
        <v>201</v>
      </c>
      <c r="G216" s="121" t="str">
        <f t="shared" si="17"/>
        <v/>
      </c>
      <c r="H216" s="121"/>
      <c r="I216" s="121"/>
      <c r="J216" s="121"/>
      <c r="K216" s="121"/>
      <c r="L216" s="236"/>
      <c r="M216" s="137">
        <v>8</v>
      </c>
      <c r="N216" s="137"/>
      <c r="O216" s="139"/>
      <c r="P216" s="140"/>
      <c r="AC216" s="19" t="e">
        <f t="shared" si="16"/>
        <v>#N/A</v>
      </c>
    </row>
    <row r="217" spans="1:33" ht="25" customHeight="1">
      <c r="A217" s="174"/>
      <c r="B217" s="121"/>
      <c r="C217" s="121"/>
      <c r="D217" s="121"/>
      <c r="E217" s="121" t="s">
        <v>201</v>
      </c>
      <c r="F217" s="121" t="s">
        <v>201</v>
      </c>
      <c r="G217" s="121" t="str">
        <f t="shared" si="17"/>
        <v/>
      </c>
      <c r="H217" s="121"/>
      <c r="I217" s="121"/>
      <c r="J217" s="121"/>
      <c r="K217" s="121"/>
      <c r="L217" s="236"/>
      <c r="M217" s="137">
        <v>9</v>
      </c>
      <c r="N217" s="137"/>
      <c r="O217" s="139"/>
      <c r="P217" s="140"/>
      <c r="AC217" s="19" t="e">
        <f t="shared" si="16"/>
        <v>#N/A</v>
      </c>
    </row>
    <row r="218" spans="1:33" ht="24" customHeight="1">
      <c r="A218" s="174"/>
      <c r="B218" s="121"/>
      <c r="C218" s="121"/>
      <c r="D218" s="121"/>
      <c r="E218" s="121" t="s">
        <v>201</v>
      </c>
      <c r="F218" s="121" t="s">
        <v>201</v>
      </c>
      <c r="G218" s="121" t="str">
        <f t="shared" si="17"/>
        <v/>
      </c>
      <c r="H218" s="121"/>
      <c r="I218" s="121"/>
      <c r="J218" s="121"/>
      <c r="K218" s="121"/>
      <c r="L218" s="236"/>
      <c r="M218" s="137">
        <v>10</v>
      </c>
      <c r="N218" s="137"/>
      <c r="O218" s="139"/>
      <c r="P218" s="140"/>
      <c r="AC218" s="19" t="e">
        <f t="shared" si="16"/>
        <v>#N/A</v>
      </c>
    </row>
    <row r="219" spans="1:33" ht="24" customHeight="1">
      <c r="A219" s="174"/>
      <c r="B219" s="121"/>
      <c r="C219" s="121"/>
      <c r="D219" s="121"/>
      <c r="E219" s="121" t="s">
        <v>201</v>
      </c>
      <c r="F219" s="121" t="s">
        <v>201</v>
      </c>
      <c r="G219" s="121" t="str">
        <f t="shared" si="17"/>
        <v/>
      </c>
      <c r="H219" s="121"/>
      <c r="I219" s="121"/>
      <c r="J219" s="121"/>
      <c r="K219" s="121"/>
      <c r="L219" s="236"/>
      <c r="M219" s="139"/>
      <c r="N219" s="139"/>
      <c r="O219" s="139"/>
      <c r="P219" s="140"/>
      <c r="AC219" s="19" t="e">
        <f t="shared" si="16"/>
        <v>#N/A</v>
      </c>
    </row>
    <row r="220" spans="1:33" ht="21">
      <c r="A220" s="174"/>
      <c r="B220" s="121"/>
      <c r="C220" s="121"/>
      <c r="D220" s="121"/>
      <c r="E220" s="121" t="s">
        <v>201</v>
      </c>
      <c r="F220" s="121" t="s">
        <v>201</v>
      </c>
      <c r="G220" s="121" t="str">
        <f t="shared" si="17"/>
        <v/>
      </c>
      <c r="H220" s="121"/>
      <c r="I220" s="121"/>
      <c r="J220" s="121"/>
      <c r="K220" s="121"/>
      <c r="L220" s="236"/>
      <c r="M220" s="139"/>
      <c r="N220" s="139"/>
      <c r="O220" s="139"/>
      <c r="P220" s="140"/>
      <c r="AC220" s="19" t="e">
        <f t="shared" si="16"/>
        <v>#N/A</v>
      </c>
    </row>
    <row r="221" spans="1:33" ht="21">
      <c r="A221" s="174"/>
      <c r="B221" s="121"/>
      <c r="C221" s="121"/>
      <c r="D221" s="121"/>
      <c r="E221" s="121" t="s">
        <v>201</v>
      </c>
      <c r="F221" s="121" t="s">
        <v>201</v>
      </c>
      <c r="G221" s="121" t="str">
        <f t="shared" si="17"/>
        <v/>
      </c>
      <c r="H221" s="121"/>
      <c r="I221" s="121"/>
      <c r="J221" s="121"/>
      <c r="K221" s="121"/>
      <c r="L221" s="236"/>
      <c r="M221" s="139"/>
      <c r="N221" s="139"/>
      <c r="O221" s="139"/>
      <c r="P221" s="140"/>
      <c r="AC221" s="19" t="e">
        <f t="shared" si="16"/>
        <v>#N/A</v>
      </c>
    </row>
    <row r="222" spans="1:33" ht="21">
      <c r="A222" s="174"/>
      <c r="B222" s="121"/>
      <c r="C222" s="121"/>
      <c r="D222" s="121"/>
      <c r="E222" s="121" t="s">
        <v>201</v>
      </c>
      <c r="F222" s="121" t="s">
        <v>201</v>
      </c>
      <c r="G222" s="121" t="str">
        <f t="shared" si="17"/>
        <v/>
      </c>
      <c r="H222" s="121"/>
      <c r="I222" s="121"/>
      <c r="J222" s="121"/>
      <c r="K222" s="121"/>
      <c r="L222" s="236"/>
      <c r="M222" s="139"/>
      <c r="N222" s="139"/>
      <c r="O222" s="139"/>
      <c r="P222" s="140"/>
      <c r="AC222" s="19" t="e">
        <f t="shared" si="16"/>
        <v>#N/A</v>
      </c>
    </row>
    <row r="223" spans="1:33" ht="21">
      <c r="A223" s="174"/>
      <c r="B223" s="121"/>
      <c r="C223" s="121"/>
      <c r="D223" s="121"/>
      <c r="E223" s="121" t="s">
        <v>201</v>
      </c>
      <c r="F223" s="121" t="s">
        <v>201</v>
      </c>
      <c r="G223" s="121" t="str">
        <f t="shared" si="17"/>
        <v/>
      </c>
      <c r="H223" s="121"/>
      <c r="I223" s="121"/>
      <c r="J223" s="121"/>
      <c r="K223" s="121"/>
      <c r="L223" s="236"/>
      <c r="M223" s="139"/>
      <c r="N223" s="139"/>
      <c r="O223" s="139"/>
      <c r="P223" s="140"/>
      <c r="AC223" s="19" t="e">
        <f t="shared" si="16"/>
        <v>#N/A</v>
      </c>
    </row>
    <row r="224" spans="1:33" ht="21">
      <c r="A224" s="174"/>
      <c r="B224" s="121"/>
      <c r="C224" s="121"/>
      <c r="D224" s="121"/>
      <c r="E224" s="121" t="s">
        <v>201</v>
      </c>
      <c r="F224" s="121" t="s">
        <v>201</v>
      </c>
      <c r="G224" s="121" t="str">
        <f t="shared" si="17"/>
        <v/>
      </c>
      <c r="H224" s="121"/>
      <c r="I224" s="121"/>
      <c r="J224" s="121"/>
      <c r="K224" s="121"/>
      <c r="L224" s="236"/>
      <c r="M224" s="139"/>
      <c r="N224" s="139"/>
      <c r="O224" s="139"/>
      <c r="P224" s="140"/>
      <c r="AC224" s="19" t="e">
        <f t="shared" si="16"/>
        <v>#N/A</v>
      </c>
    </row>
    <row r="225" spans="1:35" ht="21">
      <c r="A225" s="174"/>
      <c r="B225" s="121"/>
      <c r="C225" s="121"/>
      <c r="D225" s="121"/>
      <c r="E225" s="121" t="s">
        <v>201</v>
      </c>
      <c r="F225" s="121" t="s">
        <v>201</v>
      </c>
      <c r="G225" s="121" t="str">
        <f t="shared" si="17"/>
        <v/>
      </c>
      <c r="H225" s="121"/>
      <c r="I225" s="121"/>
      <c r="J225" s="121"/>
      <c r="K225" s="121"/>
      <c r="L225" s="236"/>
      <c r="M225" s="139"/>
      <c r="N225" s="139"/>
      <c r="O225" s="139"/>
      <c r="P225" s="140"/>
      <c r="AC225" s="19"/>
    </row>
    <row r="226" spans="1:35">
      <c r="A226" s="236"/>
      <c r="B226" s="236"/>
      <c r="C226" s="236"/>
      <c r="D226" s="236"/>
      <c r="E226" s="236"/>
      <c r="F226" s="236"/>
      <c r="G226" s="236"/>
      <c r="H226" s="236"/>
      <c r="I226" s="236"/>
      <c r="J226" s="236"/>
      <c r="K226" s="236"/>
      <c r="L226" s="236"/>
    </row>
    <row r="228" spans="1:35" ht="46" customHeight="1">
      <c r="A228" s="174"/>
      <c r="B228" s="169" t="s">
        <v>254</v>
      </c>
      <c r="C228" s="167"/>
      <c r="D228" s="167"/>
      <c r="E228" s="167"/>
      <c r="F228" s="167"/>
      <c r="G228" s="167"/>
      <c r="H228" s="168"/>
      <c r="I228" s="168"/>
      <c r="J228" s="168"/>
      <c r="K228" s="168"/>
      <c r="L228" s="236"/>
      <c r="M228" s="165"/>
      <c r="N228" s="165"/>
      <c r="O228" s="165"/>
      <c r="P228" s="165"/>
      <c r="Q228" s="165"/>
      <c r="R228" s="165"/>
      <c r="S228" s="165"/>
      <c r="T228" s="165"/>
      <c r="U228" s="165"/>
      <c r="V228" s="165"/>
      <c r="W228" s="165"/>
    </row>
    <row r="229" spans="1:35">
      <c r="A229" s="174" t="s">
        <v>197</v>
      </c>
      <c r="B229" s="215" t="s">
        <v>255</v>
      </c>
      <c r="C229" s="215"/>
      <c r="D229" s="215"/>
      <c r="E229" s="215"/>
      <c r="F229" s="215"/>
      <c r="G229" s="215"/>
      <c r="H229" s="215"/>
      <c r="I229" s="215" t="s">
        <v>30</v>
      </c>
      <c r="J229" s="215"/>
      <c r="K229" s="170"/>
      <c r="L229" s="236"/>
    </row>
    <row r="230" spans="1:35">
      <c r="A230" s="174" t="s">
        <v>246</v>
      </c>
      <c r="B230" s="215" t="s">
        <v>244</v>
      </c>
      <c r="C230" s="215"/>
      <c r="D230" s="215"/>
      <c r="E230" s="215"/>
      <c r="F230" s="215"/>
      <c r="G230" s="215"/>
      <c r="H230" s="215"/>
      <c r="I230" s="215" t="s">
        <v>31</v>
      </c>
      <c r="J230" s="215"/>
      <c r="K230" s="170"/>
      <c r="L230" s="236"/>
    </row>
    <row r="231" spans="1:35">
      <c r="A231" s="174"/>
      <c r="B231" s="215" t="s">
        <v>247</v>
      </c>
      <c r="C231" s="215"/>
      <c r="D231" s="215"/>
      <c r="E231" s="215"/>
      <c r="F231" s="215"/>
      <c r="G231" s="215"/>
      <c r="H231" s="215"/>
      <c r="I231" s="215" t="s">
        <v>29</v>
      </c>
      <c r="J231" s="215"/>
      <c r="K231" s="173"/>
      <c r="L231" s="236"/>
    </row>
    <row r="232" spans="1:35" s="19" customFormat="1" ht="46" thickBot="1">
      <c r="A232" s="175">
        <f>A207+1</f>
        <v>10</v>
      </c>
      <c r="B232" s="95" t="s">
        <v>32</v>
      </c>
      <c r="C232" s="95" t="s">
        <v>190</v>
      </c>
      <c r="D232" s="95" t="s">
        <v>33</v>
      </c>
      <c r="E232" s="95" t="s">
        <v>36</v>
      </c>
      <c r="F232" s="95" t="s">
        <v>196</v>
      </c>
      <c r="G232" s="95" t="s">
        <v>37</v>
      </c>
      <c r="H232" s="95" t="s">
        <v>34</v>
      </c>
      <c r="I232" s="95" t="s">
        <v>250</v>
      </c>
      <c r="J232" s="95" t="s">
        <v>35</v>
      </c>
      <c r="K232" s="95" t="s">
        <v>191</v>
      </c>
      <c r="L232" s="236"/>
      <c r="M232" s="128"/>
      <c r="N232" s="141" t="s">
        <v>248</v>
      </c>
      <c r="O232" s="128"/>
      <c r="P232" s="138"/>
      <c r="AC232" s="19" t="e">
        <f t="shared" ref="AC232:AC249" si="18">VLOOKUP(F233,Z$10:AA$14,2,FALSE)</f>
        <v>#N/A</v>
      </c>
      <c r="AI232" s="19" t="e">
        <f>VLOOKUP(G233,$AF$8:$AG$12,2,FALSE)</f>
        <v>#N/A</v>
      </c>
    </row>
    <row r="233" spans="1:35" ht="22" thickBot="1">
      <c r="A233" s="174"/>
      <c r="B233" s="121"/>
      <c r="C233" s="121"/>
      <c r="D233" s="121"/>
      <c r="E233" s="121" t="s">
        <v>201</v>
      </c>
      <c r="F233" s="121" t="s">
        <v>201</v>
      </c>
      <c r="G233" s="121" t="str">
        <f>IF(ISERROR(VLOOKUP(E233,Q$10:V$14,AC232+1,FALSE)),"",VLOOKUP(E233,Q$10:V$14,AC232+1,FALSE))</f>
        <v/>
      </c>
      <c r="H233" s="121"/>
      <c r="I233" s="121"/>
      <c r="J233" s="121"/>
      <c r="K233" s="121"/>
      <c r="L233" s="236"/>
      <c r="M233" s="142" t="s">
        <v>240</v>
      </c>
      <c r="N233" s="139"/>
      <c r="O233" s="139"/>
      <c r="P233" s="140"/>
      <c r="Q233" s="20"/>
      <c r="R233" s="212" t="s">
        <v>38</v>
      </c>
      <c r="S233" s="213"/>
      <c r="T233" s="213"/>
      <c r="U233" s="213"/>
      <c r="V233" s="214"/>
      <c r="AC233" s="19" t="e">
        <f t="shared" si="18"/>
        <v>#N/A</v>
      </c>
      <c r="AF233" s="100" t="s">
        <v>47</v>
      </c>
      <c r="AG233">
        <v>1</v>
      </c>
    </row>
    <row r="234" spans="1:35" ht="24" thickBot="1">
      <c r="A234" s="174"/>
      <c r="B234" s="121"/>
      <c r="C234" s="121"/>
      <c r="D234" s="121"/>
      <c r="E234" s="121" t="s">
        <v>201</v>
      </c>
      <c r="F234" s="121" t="s">
        <v>201</v>
      </c>
      <c r="G234" s="121" t="str">
        <f>IF(ISERROR(VLOOKUP(E234,Q$10:V$14,AC233+1,FALSE)),"",VLOOKUP(E234,Q$10:V$14,AC233+1,FALSE))</f>
        <v/>
      </c>
      <c r="H234" s="121"/>
      <c r="I234" s="121"/>
      <c r="J234" s="121"/>
      <c r="K234" s="121"/>
      <c r="L234" s="236"/>
      <c r="M234" s="137">
        <v>1</v>
      </c>
      <c r="N234" s="137"/>
      <c r="O234" s="139"/>
      <c r="P234" s="140"/>
      <c r="Q234" s="23" t="s">
        <v>39</v>
      </c>
      <c r="R234" s="22" t="s">
        <v>40</v>
      </c>
      <c r="S234" s="22" t="s">
        <v>44</v>
      </c>
      <c r="T234" s="22" t="s">
        <v>241</v>
      </c>
      <c r="U234" s="22" t="s">
        <v>41</v>
      </c>
      <c r="V234" s="22" t="s">
        <v>42</v>
      </c>
      <c r="W234" s="125" t="s">
        <v>201</v>
      </c>
      <c r="AC234" s="19" t="e">
        <f t="shared" si="18"/>
        <v>#N/A</v>
      </c>
      <c r="AF234" s="99" t="s">
        <v>46</v>
      </c>
      <c r="AG234">
        <v>2</v>
      </c>
    </row>
    <row r="235" spans="1:35" ht="24" thickBot="1">
      <c r="A235" s="174"/>
      <c r="B235" s="121"/>
      <c r="C235" s="121"/>
      <c r="D235" s="121"/>
      <c r="E235" s="121" t="s">
        <v>201</v>
      </c>
      <c r="F235" s="121" t="s">
        <v>201</v>
      </c>
      <c r="G235" s="121" t="str">
        <f t="shared" ref="G235:G250" si="19">IF(ISERROR(VLOOKUP(E235,Q$10:V$14,AC234+1,FALSE)),"",VLOOKUP(E235,Q$10:V$14,AC234+1,FALSE))</f>
        <v/>
      </c>
      <c r="H235" s="121"/>
      <c r="I235" s="121"/>
      <c r="J235" s="121"/>
      <c r="K235" s="121"/>
      <c r="L235" s="236"/>
      <c r="M235" s="137">
        <v>2</v>
      </c>
      <c r="N235" s="137"/>
      <c r="O235" s="139"/>
      <c r="P235" s="140"/>
      <c r="Q235" s="21" t="s">
        <v>242</v>
      </c>
      <c r="R235" s="99" t="s">
        <v>256</v>
      </c>
      <c r="S235" s="97" t="s">
        <v>45</v>
      </c>
      <c r="T235" s="172" t="s">
        <v>257</v>
      </c>
      <c r="U235" s="172" t="s">
        <v>257</v>
      </c>
      <c r="V235" s="172" t="s">
        <v>257</v>
      </c>
      <c r="Z235" s="22" t="s">
        <v>40</v>
      </c>
      <c r="AA235">
        <v>1</v>
      </c>
      <c r="AC235" s="19" t="e">
        <f t="shared" si="18"/>
        <v>#N/A</v>
      </c>
      <c r="AF235" s="98" t="s">
        <v>44</v>
      </c>
      <c r="AG235">
        <v>3</v>
      </c>
    </row>
    <row r="236" spans="1:35" ht="24" thickBot="1">
      <c r="A236" s="174"/>
      <c r="B236" s="121"/>
      <c r="C236" s="121"/>
      <c r="D236" s="121"/>
      <c r="E236" s="121" t="s">
        <v>201</v>
      </c>
      <c r="F236" s="121" t="s">
        <v>201</v>
      </c>
      <c r="G236" s="121" t="str">
        <f t="shared" si="19"/>
        <v/>
      </c>
      <c r="H236" s="121"/>
      <c r="I236" s="121"/>
      <c r="J236" s="121"/>
      <c r="K236" s="121"/>
      <c r="L236" s="236"/>
      <c r="M236" s="137">
        <v>3</v>
      </c>
      <c r="N236" s="137"/>
      <c r="O236" s="139"/>
      <c r="P236" s="140"/>
      <c r="Q236" s="21" t="s">
        <v>48</v>
      </c>
      <c r="R236" s="99" t="s">
        <v>256</v>
      </c>
      <c r="S236" s="97" t="s">
        <v>45</v>
      </c>
      <c r="T236" s="97" t="s">
        <v>45</v>
      </c>
      <c r="U236" s="172" t="s">
        <v>257</v>
      </c>
      <c r="V236" s="172" t="s">
        <v>257</v>
      </c>
      <c r="Z236" s="22" t="s">
        <v>44</v>
      </c>
      <c r="AA236">
        <v>2</v>
      </c>
      <c r="AC236" s="19" t="e">
        <f t="shared" si="18"/>
        <v>#N/A</v>
      </c>
      <c r="AF236" s="97" t="s">
        <v>45</v>
      </c>
      <c r="AG236">
        <v>4</v>
      </c>
    </row>
    <row r="237" spans="1:35" ht="24" thickBot="1">
      <c r="A237" s="174"/>
      <c r="B237" s="121"/>
      <c r="C237" s="121"/>
      <c r="D237" s="121"/>
      <c r="E237" s="121" t="s">
        <v>201</v>
      </c>
      <c r="F237" s="121" t="s">
        <v>201</v>
      </c>
      <c r="G237" s="121" t="str">
        <f t="shared" si="19"/>
        <v/>
      </c>
      <c r="H237" s="121"/>
      <c r="I237" s="121"/>
      <c r="J237" s="121"/>
      <c r="K237" s="121"/>
      <c r="L237" s="236"/>
      <c r="M237" s="137">
        <v>4</v>
      </c>
      <c r="N237" s="137"/>
      <c r="O237" s="139"/>
      <c r="P237" s="140"/>
      <c r="Q237" s="21" t="s">
        <v>49</v>
      </c>
      <c r="R237" s="99" t="s">
        <v>46</v>
      </c>
      <c r="S237" s="99" t="s">
        <v>256</v>
      </c>
      <c r="T237" s="98" t="s">
        <v>45</v>
      </c>
      <c r="U237" s="172" t="s">
        <v>257</v>
      </c>
      <c r="V237" s="172" t="s">
        <v>257</v>
      </c>
      <c r="Z237" s="22" t="s">
        <v>241</v>
      </c>
      <c r="AA237">
        <v>3</v>
      </c>
      <c r="AC237" s="19" t="e">
        <f t="shared" si="18"/>
        <v>#N/A</v>
      </c>
      <c r="AF237" s="96" t="s">
        <v>43</v>
      </c>
      <c r="AG237">
        <v>5</v>
      </c>
    </row>
    <row r="238" spans="1:35" ht="24" thickBot="1">
      <c r="A238" s="174"/>
      <c r="B238" s="121"/>
      <c r="C238" s="121"/>
      <c r="D238" s="121"/>
      <c r="E238" s="121" t="s">
        <v>201</v>
      </c>
      <c r="F238" s="121" t="s">
        <v>201</v>
      </c>
      <c r="G238" s="121" t="str">
        <f t="shared" si="19"/>
        <v/>
      </c>
      <c r="H238" s="121"/>
      <c r="I238" s="121"/>
      <c r="J238" s="121"/>
      <c r="K238" s="121"/>
      <c r="L238" s="236"/>
      <c r="M238" s="137">
        <v>5</v>
      </c>
      <c r="N238" s="137"/>
      <c r="O238" s="139"/>
      <c r="P238" s="140"/>
      <c r="Q238" s="21" t="s">
        <v>50</v>
      </c>
      <c r="R238" s="99" t="s">
        <v>46</v>
      </c>
      <c r="S238" s="99" t="s">
        <v>46</v>
      </c>
      <c r="T238" s="99" t="s">
        <v>256</v>
      </c>
      <c r="U238" s="98" t="s">
        <v>45</v>
      </c>
      <c r="V238" s="172" t="s">
        <v>257</v>
      </c>
      <c r="Z238" s="22" t="s">
        <v>41</v>
      </c>
      <c r="AA238">
        <v>4</v>
      </c>
      <c r="AC238" s="19" t="e">
        <f t="shared" si="18"/>
        <v>#N/A</v>
      </c>
    </row>
    <row r="239" spans="1:35" ht="24" thickBot="1">
      <c r="A239" s="174"/>
      <c r="B239" s="121"/>
      <c r="C239" s="121"/>
      <c r="D239" s="121"/>
      <c r="E239" s="121" t="s">
        <v>201</v>
      </c>
      <c r="F239" s="121" t="s">
        <v>201</v>
      </c>
      <c r="G239" s="121" t="str">
        <f t="shared" si="19"/>
        <v/>
      </c>
      <c r="H239" s="121"/>
      <c r="I239" s="121"/>
      <c r="J239" s="121"/>
      <c r="K239" s="121"/>
      <c r="L239" s="236"/>
      <c r="M239" s="137">
        <v>6</v>
      </c>
      <c r="N239" s="137"/>
      <c r="O239" s="139"/>
      <c r="P239" s="140"/>
      <c r="Q239" s="21" t="s">
        <v>243</v>
      </c>
      <c r="R239" s="100" t="s">
        <v>46</v>
      </c>
      <c r="S239" s="99" t="s">
        <v>46</v>
      </c>
      <c r="T239" s="99" t="s">
        <v>256</v>
      </c>
      <c r="U239" s="98" t="s">
        <v>45</v>
      </c>
      <c r="V239" s="98" t="s">
        <v>45</v>
      </c>
      <c r="Z239" s="22" t="s">
        <v>42</v>
      </c>
      <c r="AA239">
        <v>5</v>
      </c>
      <c r="AC239" s="19" t="e">
        <f t="shared" si="18"/>
        <v>#N/A</v>
      </c>
    </row>
    <row r="240" spans="1:35" ht="23">
      <c r="A240" s="174"/>
      <c r="B240" s="121"/>
      <c r="C240" s="121"/>
      <c r="D240" s="121"/>
      <c r="E240" s="121" t="s">
        <v>201</v>
      </c>
      <c r="F240" s="121" t="s">
        <v>201</v>
      </c>
      <c r="G240" s="121" t="str">
        <f t="shared" si="19"/>
        <v/>
      </c>
      <c r="H240" s="121"/>
      <c r="I240" s="121"/>
      <c r="J240" s="121"/>
      <c r="K240" s="121"/>
      <c r="L240" s="236"/>
      <c r="M240" s="137">
        <v>7</v>
      </c>
      <c r="N240" s="137"/>
      <c r="O240" s="139"/>
      <c r="P240" s="140"/>
      <c r="Q240" s="124" t="s">
        <v>201</v>
      </c>
      <c r="AC240" s="19" t="e">
        <f t="shared" si="18"/>
        <v>#N/A</v>
      </c>
    </row>
    <row r="241" spans="1:29" ht="23">
      <c r="A241" s="174"/>
      <c r="B241" s="121"/>
      <c r="C241" s="121"/>
      <c r="D241" s="121"/>
      <c r="E241" s="121" t="s">
        <v>201</v>
      </c>
      <c r="F241" s="121" t="s">
        <v>201</v>
      </c>
      <c r="G241" s="121" t="str">
        <f t="shared" si="19"/>
        <v/>
      </c>
      <c r="H241" s="121"/>
      <c r="I241" s="121"/>
      <c r="J241" s="121"/>
      <c r="K241" s="121"/>
      <c r="L241" s="236"/>
      <c r="M241" s="137">
        <v>8</v>
      </c>
      <c r="N241" s="137"/>
      <c r="O241" s="139"/>
      <c r="P241" s="140"/>
      <c r="AC241" s="19" t="e">
        <f t="shared" si="18"/>
        <v>#N/A</v>
      </c>
    </row>
    <row r="242" spans="1:29" ht="25" customHeight="1">
      <c r="A242" s="174"/>
      <c r="B242" s="121"/>
      <c r="C242" s="121"/>
      <c r="D242" s="121"/>
      <c r="E242" s="121" t="s">
        <v>201</v>
      </c>
      <c r="F242" s="121" t="s">
        <v>201</v>
      </c>
      <c r="G242" s="121" t="str">
        <f t="shared" si="19"/>
        <v/>
      </c>
      <c r="H242" s="121"/>
      <c r="I242" s="121"/>
      <c r="J242" s="121"/>
      <c r="K242" s="121"/>
      <c r="L242" s="236"/>
      <c r="M242" s="137">
        <v>9</v>
      </c>
      <c r="N242" s="137"/>
      <c r="O242" s="139"/>
      <c r="P242" s="140"/>
      <c r="AC242" s="19" t="e">
        <f t="shared" si="18"/>
        <v>#N/A</v>
      </c>
    </row>
    <row r="243" spans="1:29" ht="24" customHeight="1">
      <c r="A243" s="174"/>
      <c r="B243" s="121"/>
      <c r="C243" s="121"/>
      <c r="D243" s="121"/>
      <c r="E243" s="121" t="s">
        <v>201</v>
      </c>
      <c r="F243" s="121" t="s">
        <v>201</v>
      </c>
      <c r="G243" s="121" t="str">
        <f t="shared" si="19"/>
        <v/>
      </c>
      <c r="H243" s="121"/>
      <c r="I243" s="121"/>
      <c r="J243" s="121"/>
      <c r="K243" s="121"/>
      <c r="L243" s="236"/>
      <c r="M243" s="137">
        <v>10</v>
      </c>
      <c r="N243" s="137"/>
      <c r="O243" s="139"/>
      <c r="P243" s="140"/>
      <c r="AC243" s="19" t="e">
        <f t="shared" si="18"/>
        <v>#N/A</v>
      </c>
    </row>
    <row r="244" spans="1:29" ht="24" customHeight="1">
      <c r="A244" s="174"/>
      <c r="B244" s="121"/>
      <c r="C244" s="121"/>
      <c r="D244" s="121"/>
      <c r="E244" s="121" t="s">
        <v>201</v>
      </c>
      <c r="F244" s="121" t="s">
        <v>201</v>
      </c>
      <c r="G244" s="121" t="str">
        <f t="shared" si="19"/>
        <v/>
      </c>
      <c r="H244" s="121"/>
      <c r="I244" s="121"/>
      <c r="J244" s="121"/>
      <c r="K244" s="121"/>
      <c r="L244" s="236"/>
      <c r="M244" s="139"/>
      <c r="N244" s="139"/>
      <c r="O244" s="139"/>
      <c r="P244" s="140"/>
      <c r="AC244" s="19" t="e">
        <f t="shared" si="18"/>
        <v>#N/A</v>
      </c>
    </row>
    <row r="245" spans="1:29" ht="21">
      <c r="A245" s="174"/>
      <c r="B245" s="121"/>
      <c r="C245" s="121"/>
      <c r="D245" s="121"/>
      <c r="E245" s="121" t="s">
        <v>201</v>
      </c>
      <c r="F245" s="121" t="s">
        <v>201</v>
      </c>
      <c r="G245" s="121" t="str">
        <f t="shared" si="19"/>
        <v/>
      </c>
      <c r="H245" s="121"/>
      <c r="I245" s="121"/>
      <c r="J245" s="121"/>
      <c r="K245" s="121"/>
      <c r="L245" s="236"/>
      <c r="M245" s="139"/>
      <c r="N245" s="139"/>
      <c r="O245" s="139"/>
      <c r="P245" s="140"/>
      <c r="AC245" s="19" t="e">
        <f t="shared" si="18"/>
        <v>#N/A</v>
      </c>
    </row>
    <row r="246" spans="1:29" ht="21">
      <c r="A246" s="174"/>
      <c r="B246" s="121"/>
      <c r="C246" s="121"/>
      <c r="D246" s="121"/>
      <c r="E246" s="121" t="s">
        <v>201</v>
      </c>
      <c r="F246" s="121" t="s">
        <v>201</v>
      </c>
      <c r="G246" s="121" t="str">
        <f t="shared" si="19"/>
        <v/>
      </c>
      <c r="H246" s="121"/>
      <c r="I246" s="121"/>
      <c r="J246" s="121"/>
      <c r="K246" s="121"/>
      <c r="L246" s="236"/>
      <c r="M246" s="139"/>
      <c r="N246" s="139"/>
      <c r="O246" s="139"/>
      <c r="P246" s="140"/>
      <c r="AC246" s="19" t="e">
        <f t="shared" si="18"/>
        <v>#N/A</v>
      </c>
    </row>
    <row r="247" spans="1:29" ht="21">
      <c r="A247" s="174"/>
      <c r="B247" s="121"/>
      <c r="C247" s="121"/>
      <c r="D247" s="121"/>
      <c r="E247" s="121" t="s">
        <v>201</v>
      </c>
      <c r="F247" s="121" t="s">
        <v>201</v>
      </c>
      <c r="G247" s="121" t="str">
        <f t="shared" si="19"/>
        <v/>
      </c>
      <c r="H247" s="121"/>
      <c r="I247" s="121"/>
      <c r="J247" s="121"/>
      <c r="K247" s="121"/>
      <c r="L247" s="236"/>
      <c r="M247" s="139"/>
      <c r="N247" s="139"/>
      <c r="O247" s="139"/>
      <c r="P247" s="140"/>
      <c r="AC247" s="19" t="e">
        <f t="shared" si="18"/>
        <v>#N/A</v>
      </c>
    </row>
    <row r="248" spans="1:29" ht="21">
      <c r="A248" s="174"/>
      <c r="B248" s="121"/>
      <c r="C248" s="121"/>
      <c r="D248" s="121"/>
      <c r="E248" s="121" t="s">
        <v>201</v>
      </c>
      <c r="F248" s="121" t="s">
        <v>201</v>
      </c>
      <c r="G248" s="121" t="str">
        <f t="shared" si="19"/>
        <v/>
      </c>
      <c r="H248" s="121"/>
      <c r="I248" s="121"/>
      <c r="J248" s="121"/>
      <c r="K248" s="121"/>
      <c r="L248" s="236"/>
      <c r="M248" s="139"/>
      <c r="N248" s="139"/>
      <c r="O248" s="139"/>
      <c r="P248" s="140"/>
      <c r="AC248" s="19" t="e">
        <f t="shared" si="18"/>
        <v>#N/A</v>
      </c>
    </row>
    <row r="249" spans="1:29" ht="21">
      <c r="A249" s="174"/>
      <c r="B249" s="121"/>
      <c r="C249" s="121"/>
      <c r="D249" s="121"/>
      <c r="E249" s="121" t="s">
        <v>201</v>
      </c>
      <c r="F249" s="121" t="s">
        <v>201</v>
      </c>
      <c r="G249" s="121" t="str">
        <f t="shared" si="19"/>
        <v/>
      </c>
      <c r="H249" s="121"/>
      <c r="I249" s="121"/>
      <c r="J249" s="121"/>
      <c r="K249" s="121"/>
      <c r="L249" s="236"/>
      <c r="M249" s="139"/>
      <c r="N249" s="139"/>
      <c r="O249" s="139"/>
      <c r="P249" s="140"/>
      <c r="AC249" s="19" t="e">
        <f t="shared" si="18"/>
        <v>#N/A</v>
      </c>
    </row>
    <row r="250" spans="1:29" ht="21">
      <c r="A250" s="174"/>
      <c r="B250" s="121"/>
      <c r="C250" s="121"/>
      <c r="D250" s="121"/>
      <c r="E250" s="121" t="s">
        <v>201</v>
      </c>
      <c r="F250" s="121" t="s">
        <v>201</v>
      </c>
      <c r="G250" s="121" t="str">
        <f t="shared" si="19"/>
        <v/>
      </c>
      <c r="H250" s="121"/>
      <c r="I250" s="121"/>
      <c r="J250" s="121"/>
      <c r="K250" s="121"/>
      <c r="L250" s="236"/>
      <c r="M250" s="139"/>
      <c r="N250" s="139"/>
      <c r="O250" s="139"/>
      <c r="P250" s="140"/>
      <c r="AC250" s="19"/>
    </row>
    <row r="251" spans="1:29">
      <c r="A251" s="236"/>
      <c r="B251" s="236"/>
      <c r="C251" s="236"/>
      <c r="D251" s="236"/>
      <c r="E251" s="236"/>
      <c r="F251" s="236"/>
      <c r="G251" s="236"/>
      <c r="H251" s="236"/>
      <c r="I251" s="236"/>
      <c r="J251" s="236"/>
      <c r="K251" s="236"/>
      <c r="L251" s="236"/>
    </row>
    <row r="253" spans="1:29" ht="46" customHeight="1">
      <c r="A253" s="174"/>
      <c r="B253" s="169" t="s">
        <v>254</v>
      </c>
      <c r="C253" s="167"/>
      <c r="D253" s="167"/>
      <c r="E253" s="167"/>
      <c r="F253" s="167"/>
      <c r="G253" s="167"/>
      <c r="H253" s="168"/>
      <c r="I253" s="168"/>
      <c r="J253" s="168"/>
      <c r="K253" s="168"/>
      <c r="L253" s="236"/>
      <c r="M253" s="165"/>
      <c r="N253" s="165"/>
      <c r="O253" s="165"/>
      <c r="P253" s="165"/>
      <c r="Q253" s="165"/>
      <c r="R253" s="165"/>
      <c r="S253" s="165"/>
      <c r="T253" s="165"/>
      <c r="U253" s="165"/>
      <c r="V253" s="165"/>
      <c r="W253" s="165"/>
    </row>
    <row r="254" spans="1:29">
      <c r="A254" s="174" t="s">
        <v>197</v>
      </c>
      <c r="B254" s="215" t="s">
        <v>255</v>
      </c>
      <c r="C254" s="215"/>
      <c r="D254" s="215"/>
      <c r="E254" s="215"/>
      <c r="F254" s="215"/>
      <c r="G254" s="215"/>
      <c r="H254" s="215"/>
      <c r="I254" s="215" t="s">
        <v>30</v>
      </c>
      <c r="J254" s="215"/>
      <c r="K254" s="170"/>
      <c r="L254" s="236"/>
    </row>
    <row r="255" spans="1:29">
      <c r="A255" s="174" t="s">
        <v>246</v>
      </c>
      <c r="B255" s="215" t="s">
        <v>244</v>
      </c>
      <c r="C255" s="215"/>
      <c r="D255" s="215"/>
      <c r="E255" s="215"/>
      <c r="F255" s="215"/>
      <c r="G255" s="215"/>
      <c r="H255" s="215"/>
      <c r="I255" s="215" t="s">
        <v>31</v>
      </c>
      <c r="J255" s="215"/>
      <c r="K255" s="170"/>
      <c r="L255" s="236"/>
    </row>
    <row r="256" spans="1:29">
      <c r="A256" s="174"/>
      <c r="B256" s="215" t="s">
        <v>247</v>
      </c>
      <c r="C256" s="215"/>
      <c r="D256" s="215"/>
      <c r="E256" s="215"/>
      <c r="F256" s="215"/>
      <c r="G256" s="215"/>
      <c r="H256" s="215"/>
      <c r="I256" s="215" t="s">
        <v>29</v>
      </c>
      <c r="J256" s="215"/>
      <c r="K256" s="173"/>
      <c r="L256" s="236"/>
    </row>
    <row r="257" spans="1:35" s="19" customFormat="1" ht="46" thickBot="1">
      <c r="A257" s="175">
        <f>A232+1</f>
        <v>11</v>
      </c>
      <c r="B257" s="95" t="s">
        <v>32</v>
      </c>
      <c r="C257" s="95" t="s">
        <v>190</v>
      </c>
      <c r="D257" s="95" t="s">
        <v>33</v>
      </c>
      <c r="E257" s="95" t="s">
        <v>36</v>
      </c>
      <c r="F257" s="95" t="s">
        <v>196</v>
      </c>
      <c r="G257" s="95" t="s">
        <v>37</v>
      </c>
      <c r="H257" s="95" t="s">
        <v>34</v>
      </c>
      <c r="I257" s="95" t="s">
        <v>250</v>
      </c>
      <c r="J257" s="95" t="s">
        <v>35</v>
      </c>
      <c r="K257" s="95" t="s">
        <v>191</v>
      </c>
      <c r="L257" s="236"/>
      <c r="M257" s="128"/>
      <c r="N257" s="141" t="s">
        <v>248</v>
      </c>
      <c r="O257" s="128"/>
      <c r="P257" s="138"/>
      <c r="AC257" s="19" t="e">
        <f t="shared" ref="AC257:AC274" si="20">VLOOKUP(F258,Z$10:AA$14,2,FALSE)</f>
        <v>#N/A</v>
      </c>
      <c r="AI257" s="19" t="e">
        <f>VLOOKUP(G258,$AF$8:$AG$12,2,FALSE)</f>
        <v>#N/A</v>
      </c>
    </row>
    <row r="258" spans="1:35" ht="22" thickBot="1">
      <c r="A258" s="174"/>
      <c r="B258" s="121"/>
      <c r="C258" s="121"/>
      <c r="D258" s="121"/>
      <c r="E258" s="121" t="s">
        <v>201</v>
      </c>
      <c r="F258" s="121" t="s">
        <v>201</v>
      </c>
      <c r="G258" s="121" t="str">
        <f>IF(ISERROR(VLOOKUP(E258,Q$10:V$14,AC257+1,FALSE)),"",VLOOKUP(E258,Q$10:V$14,AC257+1,FALSE))</f>
        <v/>
      </c>
      <c r="H258" s="121"/>
      <c r="I258" s="121"/>
      <c r="J258" s="121"/>
      <c r="K258" s="121"/>
      <c r="L258" s="236"/>
      <c r="M258" s="142" t="s">
        <v>240</v>
      </c>
      <c r="N258" s="139"/>
      <c r="O258" s="139"/>
      <c r="P258" s="140"/>
      <c r="Q258" s="20"/>
      <c r="R258" s="212" t="s">
        <v>38</v>
      </c>
      <c r="S258" s="213"/>
      <c r="T258" s="213"/>
      <c r="U258" s="213"/>
      <c r="V258" s="214"/>
      <c r="AC258" s="19" t="e">
        <f t="shared" si="20"/>
        <v>#N/A</v>
      </c>
      <c r="AF258" s="100" t="s">
        <v>47</v>
      </c>
      <c r="AG258">
        <v>1</v>
      </c>
    </row>
    <row r="259" spans="1:35" ht="24" thickBot="1">
      <c r="A259" s="174"/>
      <c r="B259" s="121"/>
      <c r="C259" s="121"/>
      <c r="D259" s="121"/>
      <c r="E259" s="121" t="s">
        <v>201</v>
      </c>
      <c r="F259" s="121" t="s">
        <v>201</v>
      </c>
      <c r="G259" s="121" t="str">
        <f>IF(ISERROR(VLOOKUP(E259,Q$10:V$14,AC258+1,FALSE)),"",VLOOKUP(E259,Q$10:V$14,AC258+1,FALSE))</f>
        <v/>
      </c>
      <c r="H259" s="121"/>
      <c r="I259" s="121"/>
      <c r="J259" s="121"/>
      <c r="K259" s="121"/>
      <c r="L259" s="236"/>
      <c r="M259" s="137">
        <v>1</v>
      </c>
      <c r="N259" s="137"/>
      <c r="O259" s="139"/>
      <c r="P259" s="140"/>
      <c r="Q259" s="23" t="s">
        <v>39</v>
      </c>
      <c r="R259" s="22" t="s">
        <v>40</v>
      </c>
      <c r="S259" s="22" t="s">
        <v>44</v>
      </c>
      <c r="T259" s="22" t="s">
        <v>241</v>
      </c>
      <c r="U259" s="22" t="s">
        <v>41</v>
      </c>
      <c r="V259" s="22" t="s">
        <v>42</v>
      </c>
      <c r="W259" s="125" t="s">
        <v>201</v>
      </c>
      <c r="AC259" s="19" t="e">
        <f t="shared" si="20"/>
        <v>#N/A</v>
      </c>
      <c r="AF259" s="99" t="s">
        <v>46</v>
      </c>
      <c r="AG259">
        <v>2</v>
      </c>
    </row>
    <row r="260" spans="1:35" ht="24" thickBot="1">
      <c r="A260" s="174"/>
      <c r="B260" s="121"/>
      <c r="C260" s="121"/>
      <c r="D260" s="121"/>
      <c r="E260" s="121" t="s">
        <v>201</v>
      </c>
      <c r="F260" s="121" t="s">
        <v>201</v>
      </c>
      <c r="G260" s="121" t="str">
        <f t="shared" ref="G260:G275" si="21">IF(ISERROR(VLOOKUP(E260,Q$10:V$14,AC259+1,FALSE)),"",VLOOKUP(E260,Q$10:V$14,AC259+1,FALSE))</f>
        <v/>
      </c>
      <c r="H260" s="121"/>
      <c r="I260" s="121"/>
      <c r="J260" s="121"/>
      <c r="K260" s="121"/>
      <c r="L260" s="236"/>
      <c r="M260" s="137">
        <v>2</v>
      </c>
      <c r="N260" s="137"/>
      <c r="O260" s="139"/>
      <c r="P260" s="140"/>
      <c r="Q260" s="21" t="s">
        <v>242</v>
      </c>
      <c r="R260" s="99" t="s">
        <v>256</v>
      </c>
      <c r="S260" s="97" t="s">
        <v>45</v>
      </c>
      <c r="T260" s="172" t="s">
        <v>257</v>
      </c>
      <c r="U260" s="172" t="s">
        <v>257</v>
      </c>
      <c r="V260" s="172" t="s">
        <v>257</v>
      </c>
      <c r="Z260" s="22" t="s">
        <v>40</v>
      </c>
      <c r="AA260">
        <v>1</v>
      </c>
      <c r="AC260" s="19" t="e">
        <f t="shared" si="20"/>
        <v>#N/A</v>
      </c>
      <c r="AF260" s="98" t="s">
        <v>44</v>
      </c>
      <c r="AG260">
        <v>3</v>
      </c>
    </row>
    <row r="261" spans="1:35" ht="24" thickBot="1">
      <c r="A261" s="174"/>
      <c r="B261" s="121"/>
      <c r="C261" s="121"/>
      <c r="D261" s="121"/>
      <c r="E261" s="121" t="s">
        <v>201</v>
      </c>
      <c r="F261" s="121" t="s">
        <v>201</v>
      </c>
      <c r="G261" s="121" t="str">
        <f t="shared" si="21"/>
        <v/>
      </c>
      <c r="H261" s="121"/>
      <c r="I261" s="121"/>
      <c r="J261" s="121"/>
      <c r="K261" s="121"/>
      <c r="L261" s="236"/>
      <c r="M261" s="137">
        <v>3</v>
      </c>
      <c r="N261" s="137"/>
      <c r="O261" s="139"/>
      <c r="P261" s="140"/>
      <c r="Q261" s="21" t="s">
        <v>48</v>
      </c>
      <c r="R261" s="99" t="s">
        <v>256</v>
      </c>
      <c r="S261" s="97" t="s">
        <v>45</v>
      </c>
      <c r="T261" s="97" t="s">
        <v>45</v>
      </c>
      <c r="U261" s="172" t="s">
        <v>257</v>
      </c>
      <c r="V261" s="172" t="s">
        <v>257</v>
      </c>
      <c r="Z261" s="22" t="s">
        <v>44</v>
      </c>
      <c r="AA261">
        <v>2</v>
      </c>
      <c r="AC261" s="19" t="e">
        <f t="shared" si="20"/>
        <v>#N/A</v>
      </c>
      <c r="AF261" s="97" t="s">
        <v>45</v>
      </c>
      <c r="AG261">
        <v>4</v>
      </c>
    </row>
    <row r="262" spans="1:35" ht="24" thickBot="1">
      <c r="A262" s="174"/>
      <c r="B262" s="121"/>
      <c r="C262" s="121"/>
      <c r="D262" s="121"/>
      <c r="E262" s="121" t="s">
        <v>201</v>
      </c>
      <c r="F262" s="121" t="s">
        <v>201</v>
      </c>
      <c r="G262" s="121" t="str">
        <f t="shared" si="21"/>
        <v/>
      </c>
      <c r="H262" s="121"/>
      <c r="I262" s="121"/>
      <c r="J262" s="121"/>
      <c r="K262" s="121"/>
      <c r="L262" s="236"/>
      <c r="M262" s="137">
        <v>4</v>
      </c>
      <c r="N262" s="137"/>
      <c r="O262" s="139"/>
      <c r="P262" s="140"/>
      <c r="Q262" s="21" t="s">
        <v>49</v>
      </c>
      <c r="R262" s="99" t="s">
        <v>46</v>
      </c>
      <c r="S262" s="99" t="s">
        <v>256</v>
      </c>
      <c r="T262" s="98" t="s">
        <v>45</v>
      </c>
      <c r="U262" s="172" t="s">
        <v>257</v>
      </c>
      <c r="V262" s="172" t="s">
        <v>257</v>
      </c>
      <c r="Z262" s="22" t="s">
        <v>241</v>
      </c>
      <c r="AA262">
        <v>3</v>
      </c>
      <c r="AC262" s="19" t="e">
        <f t="shared" si="20"/>
        <v>#N/A</v>
      </c>
      <c r="AF262" s="96" t="s">
        <v>43</v>
      </c>
      <c r="AG262">
        <v>5</v>
      </c>
    </row>
    <row r="263" spans="1:35" ht="24" thickBot="1">
      <c r="A263" s="174"/>
      <c r="B263" s="121"/>
      <c r="C263" s="121"/>
      <c r="D263" s="121"/>
      <c r="E263" s="121" t="s">
        <v>201</v>
      </c>
      <c r="F263" s="121" t="s">
        <v>201</v>
      </c>
      <c r="G263" s="121" t="str">
        <f t="shared" si="21"/>
        <v/>
      </c>
      <c r="H263" s="121"/>
      <c r="I263" s="121"/>
      <c r="J263" s="121"/>
      <c r="K263" s="121"/>
      <c r="L263" s="236"/>
      <c r="M263" s="137">
        <v>5</v>
      </c>
      <c r="N263" s="137"/>
      <c r="O263" s="139"/>
      <c r="P263" s="140"/>
      <c r="Q263" s="21" t="s">
        <v>50</v>
      </c>
      <c r="R263" s="99" t="s">
        <v>46</v>
      </c>
      <c r="S263" s="99" t="s">
        <v>46</v>
      </c>
      <c r="T263" s="99" t="s">
        <v>256</v>
      </c>
      <c r="U263" s="98" t="s">
        <v>45</v>
      </c>
      <c r="V263" s="172" t="s">
        <v>257</v>
      </c>
      <c r="Z263" s="22" t="s">
        <v>41</v>
      </c>
      <c r="AA263">
        <v>4</v>
      </c>
      <c r="AC263" s="19" t="e">
        <f t="shared" si="20"/>
        <v>#N/A</v>
      </c>
    </row>
    <row r="264" spans="1:35" ht="24" thickBot="1">
      <c r="A264" s="174"/>
      <c r="B264" s="121"/>
      <c r="C264" s="121"/>
      <c r="D264" s="121"/>
      <c r="E264" s="121" t="s">
        <v>201</v>
      </c>
      <c r="F264" s="121" t="s">
        <v>201</v>
      </c>
      <c r="G264" s="121" t="str">
        <f t="shared" si="21"/>
        <v/>
      </c>
      <c r="H264" s="121"/>
      <c r="I264" s="121"/>
      <c r="J264" s="121"/>
      <c r="K264" s="121"/>
      <c r="L264" s="236"/>
      <c r="M264" s="137">
        <v>6</v>
      </c>
      <c r="N264" s="137"/>
      <c r="O264" s="139"/>
      <c r="P264" s="140"/>
      <c r="Q264" s="21" t="s">
        <v>243</v>
      </c>
      <c r="R264" s="100" t="s">
        <v>46</v>
      </c>
      <c r="S264" s="99" t="s">
        <v>46</v>
      </c>
      <c r="T264" s="99" t="s">
        <v>256</v>
      </c>
      <c r="U264" s="98" t="s">
        <v>45</v>
      </c>
      <c r="V264" s="98" t="s">
        <v>45</v>
      </c>
      <c r="Z264" s="22" t="s">
        <v>42</v>
      </c>
      <c r="AA264">
        <v>5</v>
      </c>
      <c r="AC264" s="19" t="e">
        <f t="shared" si="20"/>
        <v>#N/A</v>
      </c>
    </row>
    <row r="265" spans="1:35" ht="23">
      <c r="A265" s="174"/>
      <c r="B265" s="121"/>
      <c r="C265" s="121"/>
      <c r="D265" s="121"/>
      <c r="E265" s="121" t="s">
        <v>201</v>
      </c>
      <c r="F265" s="121" t="s">
        <v>201</v>
      </c>
      <c r="G265" s="121" t="str">
        <f t="shared" si="21"/>
        <v/>
      </c>
      <c r="H265" s="121"/>
      <c r="I265" s="121"/>
      <c r="J265" s="121"/>
      <c r="K265" s="121"/>
      <c r="L265" s="236"/>
      <c r="M265" s="137">
        <v>7</v>
      </c>
      <c r="N265" s="137"/>
      <c r="O265" s="139"/>
      <c r="P265" s="140"/>
      <c r="Q265" s="124" t="s">
        <v>201</v>
      </c>
      <c r="AC265" s="19" t="e">
        <f t="shared" si="20"/>
        <v>#N/A</v>
      </c>
    </row>
    <row r="266" spans="1:35" ht="23">
      <c r="A266" s="174"/>
      <c r="B266" s="121"/>
      <c r="C266" s="121"/>
      <c r="D266" s="121"/>
      <c r="E266" s="121" t="s">
        <v>201</v>
      </c>
      <c r="F266" s="121" t="s">
        <v>201</v>
      </c>
      <c r="G266" s="121" t="str">
        <f t="shared" si="21"/>
        <v/>
      </c>
      <c r="H266" s="121"/>
      <c r="I266" s="121"/>
      <c r="J266" s="121"/>
      <c r="K266" s="121"/>
      <c r="L266" s="236"/>
      <c r="M266" s="137">
        <v>8</v>
      </c>
      <c r="N266" s="137"/>
      <c r="O266" s="139"/>
      <c r="P266" s="140"/>
      <c r="AC266" s="19" t="e">
        <f t="shared" si="20"/>
        <v>#N/A</v>
      </c>
    </row>
    <row r="267" spans="1:35" ht="25" customHeight="1">
      <c r="A267" s="174"/>
      <c r="B267" s="121"/>
      <c r="C267" s="121"/>
      <c r="D267" s="121"/>
      <c r="E267" s="121" t="s">
        <v>201</v>
      </c>
      <c r="F267" s="121" t="s">
        <v>201</v>
      </c>
      <c r="G267" s="121" t="str">
        <f t="shared" si="21"/>
        <v/>
      </c>
      <c r="H267" s="121"/>
      <c r="I267" s="121"/>
      <c r="J267" s="121"/>
      <c r="K267" s="121"/>
      <c r="L267" s="236"/>
      <c r="M267" s="137">
        <v>9</v>
      </c>
      <c r="N267" s="137"/>
      <c r="O267" s="139"/>
      <c r="P267" s="140"/>
      <c r="AC267" s="19" t="e">
        <f t="shared" si="20"/>
        <v>#N/A</v>
      </c>
    </row>
    <row r="268" spans="1:35" ht="24" customHeight="1">
      <c r="A268" s="174"/>
      <c r="B268" s="121"/>
      <c r="C268" s="121"/>
      <c r="D268" s="121"/>
      <c r="E268" s="121" t="s">
        <v>201</v>
      </c>
      <c r="F268" s="121" t="s">
        <v>201</v>
      </c>
      <c r="G268" s="121" t="str">
        <f t="shared" si="21"/>
        <v/>
      </c>
      <c r="H268" s="121"/>
      <c r="I268" s="121"/>
      <c r="J268" s="121"/>
      <c r="K268" s="121"/>
      <c r="L268" s="236"/>
      <c r="M268" s="137">
        <v>10</v>
      </c>
      <c r="N268" s="137"/>
      <c r="O268" s="139"/>
      <c r="P268" s="140"/>
      <c r="AC268" s="19" t="e">
        <f t="shared" si="20"/>
        <v>#N/A</v>
      </c>
    </row>
    <row r="269" spans="1:35" ht="24" customHeight="1">
      <c r="A269" s="174"/>
      <c r="B269" s="121"/>
      <c r="C269" s="121"/>
      <c r="D269" s="121"/>
      <c r="E269" s="121" t="s">
        <v>201</v>
      </c>
      <c r="F269" s="121" t="s">
        <v>201</v>
      </c>
      <c r="G269" s="121" t="str">
        <f t="shared" si="21"/>
        <v/>
      </c>
      <c r="H269" s="121"/>
      <c r="I269" s="121"/>
      <c r="J269" s="121"/>
      <c r="K269" s="121"/>
      <c r="L269" s="236"/>
      <c r="M269" s="139"/>
      <c r="N269" s="139"/>
      <c r="O269" s="139"/>
      <c r="P269" s="140"/>
      <c r="AC269" s="19" t="e">
        <f t="shared" si="20"/>
        <v>#N/A</v>
      </c>
    </row>
    <row r="270" spans="1:35" ht="21">
      <c r="A270" s="174"/>
      <c r="B270" s="121"/>
      <c r="C270" s="121"/>
      <c r="D270" s="121"/>
      <c r="E270" s="121" t="s">
        <v>201</v>
      </c>
      <c r="F270" s="121" t="s">
        <v>201</v>
      </c>
      <c r="G270" s="121" t="str">
        <f t="shared" si="21"/>
        <v/>
      </c>
      <c r="H270" s="121"/>
      <c r="I270" s="121"/>
      <c r="J270" s="121"/>
      <c r="K270" s="121"/>
      <c r="L270" s="236"/>
      <c r="M270" s="139"/>
      <c r="N270" s="139"/>
      <c r="O270" s="139"/>
      <c r="P270" s="140"/>
      <c r="AC270" s="19" t="e">
        <f t="shared" si="20"/>
        <v>#N/A</v>
      </c>
    </row>
    <row r="271" spans="1:35" ht="21">
      <c r="A271" s="174"/>
      <c r="B271" s="121"/>
      <c r="C271" s="121"/>
      <c r="D271" s="121"/>
      <c r="E271" s="121" t="s">
        <v>201</v>
      </c>
      <c r="F271" s="121" t="s">
        <v>201</v>
      </c>
      <c r="G271" s="121" t="str">
        <f t="shared" si="21"/>
        <v/>
      </c>
      <c r="H271" s="121"/>
      <c r="I271" s="121"/>
      <c r="J271" s="121"/>
      <c r="K271" s="121"/>
      <c r="L271" s="236"/>
      <c r="M271" s="139"/>
      <c r="N271" s="139"/>
      <c r="O271" s="139"/>
      <c r="P271" s="140"/>
      <c r="AC271" s="19" t="e">
        <f t="shared" si="20"/>
        <v>#N/A</v>
      </c>
    </row>
    <row r="272" spans="1:35" ht="21">
      <c r="A272" s="174"/>
      <c r="B272" s="121"/>
      <c r="C272" s="121"/>
      <c r="D272" s="121"/>
      <c r="E272" s="121" t="s">
        <v>201</v>
      </c>
      <c r="F272" s="121" t="s">
        <v>201</v>
      </c>
      <c r="G272" s="121" t="str">
        <f t="shared" si="21"/>
        <v/>
      </c>
      <c r="H272" s="121"/>
      <c r="I272" s="121"/>
      <c r="J272" s="121"/>
      <c r="K272" s="121"/>
      <c r="L272" s="236"/>
      <c r="M272" s="139"/>
      <c r="N272" s="139"/>
      <c r="O272" s="139"/>
      <c r="P272" s="140"/>
      <c r="AC272" s="19" t="e">
        <f t="shared" si="20"/>
        <v>#N/A</v>
      </c>
    </row>
    <row r="273" spans="1:35" ht="21">
      <c r="A273" s="174"/>
      <c r="B273" s="121"/>
      <c r="C273" s="121"/>
      <c r="D273" s="121"/>
      <c r="E273" s="121" t="s">
        <v>201</v>
      </c>
      <c r="F273" s="121" t="s">
        <v>201</v>
      </c>
      <c r="G273" s="121" t="str">
        <f t="shared" si="21"/>
        <v/>
      </c>
      <c r="H273" s="121"/>
      <c r="I273" s="121"/>
      <c r="J273" s="121"/>
      <c r="K273" s="121"/>
      <c r="L273" s="236"/>
      <c r="M273" s="139"/>
      <c r="N273" s="139"/>
      <c r="O273" s="139"/>
      <c r="P273" s="140"/>
      <c r="AC273" s="19" t="e">
        <f t="shared" si="20"/>
        <v>#N/A</v>
      </c>
    </row>
    <row r="274" spans="1:35" ht="21">
      <c r="A274" s="174"/>
      <c r="B274" s="121"/>
      <c r="C274" s="121"/>
      <c r="D274" s="121"/>
      <c r="E274" s="121" t="s">
        <v>201</v>
      </c>
      <c r="F274" s="121" t="s">
        <v>201</v>
      </c>
      <c r="G274" s="121" t="str">
        <f t="shared" si="21"/>
        <v/>
      </c>
      <c r="H274" s="121"/>
      <c r="I274" s="121"/>
      <c r="J274" s="121"/>
      <c r="K274" s="121"/>
      <c r="L274" s="236"/>
      <c r="M274" s="139"/>
      <c r="N274" s="139"/>
      <c r="O274" s="139"/>
      <c r="P274" s="140"/>
      <c r="AC274" s="19" t="e">
        <f t="shared" si="20"/>
        <v>#N/A</v>
      </c>
    </row>
    <row r="275" spans="1:35" ht="21">
      <c r="A275" s="174"/>
      <c r="B275" s="121"/>
      <c r="C275" s="121"/>
      <c r="D275" s="121"/>
      <c r="E275" s="121" t="s">
        <v>201</v>
      </c>
      <c r="F275" s="121" t="s">
        <v>201</v>
      </c>
      <c r="G275" s="121" t="str">
        <f t="shared" si="21"/>
        <v/>
      </c>
      <c r="H275" s="121"/>
      <c r="I275" s="121"/>
      <c r="J275" s="121"/>
      <c r="K275" s="121"/>
      <c r="L275" s="236"/>
      <c r="M275" s="139"/>
      <c r="N275" s="139"/>
      <c r="O275" s="139"/>
      <c r="P275" s="140"/>
      <c r="AC275" s="19"/>
    </row>
    <row r="276" spans="1:35">
      <c r="A276" s="236"/>
      <c r="B276" s="236"/>
      <c r="C276" s="236"/>
      <c r="D276" s="236"/>
      <c r="E276" s="236"/>
      <c r="F276" s="236"/>
      <c r="G276" s="236"/>
      <c r="H276" s="236"/>
      <c r="I276" s="236"/>
      <c r="J276" s="236"/>
      <c r="K276" s="236"/>
      <c r="L276" s="236"/>
    </row>
    <row r="278" spans="1:35" ht="46" customHeight="1">
      <c r="A278" s="174"/>
      <c r="B278" s="169" t="s">
        <v>254</v>
      </c>
      <c r="C278" s="167"/>
      <c r="D278" s="167"/>
      <c r="E278" s="167"/>
      <c r="F278" s="167"/>
      <c r="G278" s="167"/>
      <c r="H278" s="168"/>
      <c r="I278" s="168"/>
      <c r="J278" s="168"/>
      <c r="K278" s="168"/>
      <c r="L278" s="236"/>
      <c r="M278" s="165"/>
      <c r="N278" s="165"/>
      <c r="O278" s="165"/>
      <c r="P278" s="165"/>
      <c r="Q278" s="165"/>
      <c r="R278" s="165"/>
      <c r="S278" s="165"/>
      <c r="T278" s="165"/>
      <c r="U278" s="165"/>
      <c r="V278" s="165"/>
      <c r="W278" s="165"/>
    </row>
    <row r="279" spans="1:35">
      <c r="A279" s="174" t="s">
        <v>197</v>
      </c>
      <c r="B279" s="215" t="s">
        <v>255</v>
      </c>
      <c r="C279" s="215"/>
      <c r="D279" s="215"/>
      <c r="E279" s="215"/>
      <c r="F279" s="215"/>
      <c r="G279" s="215"/>
      <c r="H279" s="215"/>
      <c r="I279" s="215" t="s">
        <v>30</v>
      </c>
      <c r="J279" s="215"/>
      <c r="K279" s="170"/>
      <c r="L279" s="236"/>
    </row>
    <row r="280" spans="1:35">
      <c r="A280" s="174" t="s">
        <v>246</v>
      </c>
      <c r="B280" s="215" t="s">
        <v>244</v>
      </c>
      <c r="C280" s="215"/>
      <c r="D280" s="215"/>
      <c r="E280" s="215"/>
      <c r="F280" s="215"/>
      <c r="G280" s="215"/>
      <c r="H280" s="215"/>
      <c r="I280" s="215" t="s">
        <v>31</v>
      </c>
      <c r="J280" s="215"/>
      <c r="K280" s="170"/>
      <c r="L280" s="236"/>
    </row>
    <row r="281" spans="1:35">
      <c r="A281" s="174"/>
      <c r="B281" s="215" t="s">
        <v>247</v>
      </c>
      <c r="C281" s="215"/>
      <c r="D281" s="215"/>
      <c r="E281" s="215"/>
      <c r="F281" s="215"/>
      <c r="G281" s="215"/>
      <c r="H281" s="215"/>
      <c r="I281" s="215" t="s">
        <v>29</v>
      </c>
      <c r="J281" s="215"/>
      <c r="K281" s="173"/>
      <c r="L281" s="236"/>
    </row>
    <row r="282" spans="1:35" s="19" customFormat="1" ht="46" thickBot="1">
      <c r="A282" s="175">
        <f>A257+1</f>
        <v>12</v>
      </c>
      <c r="B282" s="95" t="s">
        <v>32</v>
      </c>
      <c r="C282" s="95" t="s">
        <v>190</v>
      </c>
      <c r="D282" s="95" t="s">
        <v>33</v>
      </c>
      <c r="E282" s="95" t="s">
        <v>36</v>
      </c>
      <c r="F282" s="95" t="s">
        <v>196</v>
      </c>
      <c r="G282" s="95" t="s">
        <v>37</v>
      </c>
      <c r="H282" s="95" t="s">
        <v>34</v>
      </c>
      <c r="I282" s="95" t="s">
        <v>250</v>
      </c>
      <c r="J282" s="95" t="s">
        <v>35</v>
      </c>
      <c r="K282" s="95" t="s">
        <v>191</v>
      </c>
      <c r="L282" s="236"/>
      <c r="M282" s="128"/>
      <c r="N282" s="141" t="s">
        <v>248</v>
      </c>
      <c r="O282" s="128"/>
      <c r="P282" s="138"/>
      <c r="AC282" s="19" t="e">
        <f t="shared" ref="AC282:AC299" si="22">VLOOKUP(F283,Z$10:AA$14,2,FALSE)</f>
        <v>#N/A</v>
      </c>
      <c r="AI282" s="19" t="e">
        <f>VLOOKUP(G283,$AF$8:$AG$12,2,FALSE)</f>
        <v>#N/A</v>
      </c>
    </row>
    <row r="283" spans="1:35" ht="22" thickBot="1">
      <c r="A283" s="174"/>
      <c r="B283" s="121"/>
      <c r="C283" s="121"/>
      <c r="D283" s="121"/>
      <c r="E283" s="121" t="s">
        <v>201</v>
      </c>
      <c r="F283" s="121" t="s">
        <v>201</v>
      </c>
      <c r="G283" s="121" t="str">
        <f>IF(ISERROR(VLOOKUP(E283,Q$10:V$14,AC282+1,FALSE)),"",VLOOKUP(E283,Q$10:V$14,AC282+1,FALSE))</f>
        <v/>
      </c>
      <c r="H283" s="121"/>
      <c r="I283" s="121"/>
      <c r="J283" s="121"/>
      <c r="K283" s="121"/>
      <c r="L283" s="236"/>
      <c r="M283" s="142" t="s">
        <v>240</v>
      </c>
      <c r="N283" s="139"/>
      <c r="O283" s="139"/>
      <c r="P283" s="140"/>
      <c r="Q283" s="20"/>
      <c r="R283" s="212" t="s">
        <v>38</v>
      </c>
      <c r="S283" s="213"/>
      <c r="T283" s="213"/>
      <c r="U283" s="213"/>
      <c r="V283" s="214"/>
      <c r="AC283" s="19" t="e">
        <f t="shared" si="22"/>
        <v>#N/A</v>
      </c>
      <c r="AF283" s="100" t="s">
        <v>47</v>
      </c>
      <c r="AG283">
        <v>1</v>
      </c>
    </row>
    <row r="284" spans="1:35" ht="24" thickBot="1">
      <c r="A284" s="174"/>
      <c r="B284" s="121"/>
      <c r="C284" s="121"/>
      <c r="D284" s="121"/>
      <c r="E284" s="121" t="s">
        <v>201</v>
      </c>
      <c r="F284" s="121" t="s">
        <v>201</v>
      </c>
      <c r="G284" s="121" t="str">
        <f>IF(ISERROR(VLOOKUP(E284,Q$10:V$14,AC283+1,FALSE)),"",VLOOKUP(E284,Q$10:V$14,AC283+1,FALSE))</f>
        <v/>
      </c>
      <c r="H284" s="121"/>
      <c r="I284" s="121"/>
      <c r="J284" s="121"/>
      <c r="K284" s="121"/>
      <c r="L284" s="236"/>
      <c r="M284" s="137">
        <v>1</v>
      </c>
      <c r="N284" s="137"/>
      <c r="O284" s="139"/>
      <c r="P284" s="140"/>
      <c r="Q284" s="23" t="s">
        <v>39</v>
      </c>
      <c r="R284" s="22" t="s">
        <v>40</v>
      </c>
      <c r="S284" s="22" t="s">
        <v>44</v>
      </c>
      <c r="T284" s="22" t="s">
        <v>241</v>
      </c>
      <c r="U284" s="22" t="s">
        <v>41</v>
      </c>
      <c r="V284" s="22" t="s">
        <v>42</v>
      </c>
      <c r="W284" s="125" t="s">
        <v>201</v>
      </c>
      <c r="AC284" s="19" t="e">
        <f t="shared" si="22"/>
        <v>#N/A</v>
      </c>
      <c r="AF284" s="99" t="s">
        <v>46</v>
      </c>
      <c r="AG284">
        <v>2</v>
      </c>
    </row>
    <row r="285" spans="1:35" ht="24" thickBot="1">
      <c r="A285" s="174"/>
      <c r="B285" s="121"/>
      <c r="C285" s="121"/>
      <c r="D285" s="121"/>
      <c r="E285" s="121" t="s">
        <v>201</v>
      </c>
      <c r="F285" s="121" t="s">
        <v>201</v>
      </c>
      <c r="G285" s="121" t="str">
        <f t="shared" ref="G285:G300" si="23">IF(ISERROR(VLOOKUP(E285,Q$10:V$14,AC284+1,FALSE)),"",VLOOKUP(E285,Q$10:V$14,AC284+1,FALSE))</f>
        <v/>
      </c>
      <c r="H285" s="121"/>
      <c r="I285" s="121"/>
      <c r="J285" s="121"/>
      <c r="K285" s="121"/>
      <c r="L285" s="236"/>
      <c r="M285" s="137">
        <v>2</v>
      </c>
      <c r="N285" s="137"/>
      <c r="O285" s="139"/>
      <c r="P285" s="140"/>
      <c r="Q285" s="21" t="s">
        <v>242</v>
      </c>
      <c r="R285" s="99" t="s">
        <v>256</v>
      </c>
      <c r="S285" s="97" t="s">
        <v>45</v>
      </c>
      <c r="T285" s="172" t="s">
        <v>257</v>
      </c>
      <c r="U285" s="172" t="s">
        <v>257</v>
      </c>
      <c r="V285" s="172" t="s">
        <v>257</v>
      </c>
      <c r="Z285" s="22" t="s">
        <v>40</v>
      </c>
      <c r="AA285">
        <v>1</v>
      </c>
      <c r="AC285" s="19" t="e">
        <f t="shared" si="22"/>
        <v>#N/A</v>
      </c>
      <c r="AF285" s="98" t="s">
        <v>44</v>
      </c>
      <c r="AG285">
        <v>3</v>
      </c>
    </row>
    <row r="286" spans="1:35" ht="24" thickBot="1">
      <c r="A286" s="174"/>
      <c r="B286" s="121"/>
      <c r="C286" s="121"/>
      <c r="D286" s="121"/>
      <c r="E286" s="121" t="s">
        <v>201</v>
      </c>
      <c r="F286" s="121" t="s">
        <v>201</v>
      </c>
      <c r="G286" s="121" t="str">
        <f t="shared" si="23"/>
        <v/>
      </c>
      <c r="H286" s="121"/>
      <c r="I286" s="121"/>
      <c r="J286" s="121"/>
      <c r="K286" s="121"/>
      <c r="L286" s="236"/>
      <c r="M286" s="137">
        <v>3</v>
      </c>
      <c r="N286" s="137"/>
      <c r="O286" s="139"/>
      <c r="P286" s="140"/>
      <c r="Q286" s="21" t="s">
        <v>48</v>
      </c>
      <c r="R286" s="99" t="s">
        <v>256</v>
      </c>
      <c r="S286" s="97" t="s">
        <v>45</v>
      </c>
      <c r="T286" s="97" t="s">
        <v>45</v>
      </c>
      <c r="U286" s="172" t="s">
        <v>257</v>
      </c>
      <c r="V286" s="172" t="s">
        <v>257</v>
      </c>
      <c r="Z286" s="22" t="s">
        <v>44</v>
      </c>
      <c r="AA286">
        <v>2</v>
      </c>
      <c r="AC286" s="19" t="e">
        <f t="shared" si="22"/>
        <v>#N/A</v>
      </c>
      <c r="AF286" s="97" t="s">
        <v>45</v>
      </c>
      <c r="AG286">
        <v>4</v>
      </c>
    </row>
    <row r="287" spans="1:35" ht="24" thickBot="1">
      <c r="A287" s="174"/>
      <c r="B287" s="121"/>
      <c r="C287" s="121"/>
      <c r="D287" s="121"/>
      <c r="E287" s="121" t="s">
        <v>201</v>
      </c>
      <c r="F287" s="121" t="s">
        <v>201</v>
      </c>
      <c r="G287" s="121" t="str">
        <f t="shared" si="23"/>
        <v/>
      </c>
      <c r="H287" s="121"/>
      <c r="I287" s="121"/>
      <c r="J287" s="121"/>
      <c r="K287" s="121"/>
      <c r="L287" s="236"/>
      <c r="M287" s="137">
        <v>4</v>
      </c>
      <c r="N287" s="137"/>
      <c r="O287" s="139"/>
      <c r="P287" s="140"/>
      <c r="Q287" s="21" t="s">
        <v>49</v>
      </c>
      <c r="R287" s="99" t="s">
        <v>46</v>
      </c>
      <c r="S287" s="99" t="s">
        <v>256</v>
      </c>
      <c r="T287" s="98" t="s">
        <v>45</v>
      </c>
      <c r="U287" s="172" t="s">
        <v>257</v>
      </c>
      <c r="V287" s="172" t="s">
        <v>257</v>
      </c>
      <c r="Z287" s="22" t="s">
        <v>241</v>
      </c>
      <c r="AA287">
        <v>3</v>
      </c>
      <c r="AC287" s="19" t="e">
        <f t="shared" si="22"/>
        <v>#N/A</v>
      </c>
      <c r="AF287" s="96" t="s">
        <v>43</v>
      </c>
      <c r="AG287">
        <v>5</v>
      </c>
    </row>
    <row r="288" spans="1:35" ht="24" thickBot="1">
      <c r="A288" s="174"/>
      <c r="B288" s="121"/>
      <c r="C288" s="121"/>
      <c r="D288" s="121"/>
      <c r="E288" s="121" t="s">
        <v>201</v>
      </c>
      <c r="F288" s="121" t="s">
        <v>201</v>
      </c>
      <c r="G288" s="121" t="str">
        <f t="shared" si="23"/>
        <v/>
      </c>
      <c r="H288" s="121"/>
      <c r="I288" s="121"/>
      <c r="J288" s="121"/>
      <c r="K288" s="121"/>
      <c r="L288" s="236"/>
      <c r="M288" s="137">
        <v>5</v>
      </c>
      <c r="N288" s="137"/>
      <c r="O288" s="139"/>
      <c r="P288" s="140"/>
      <c r="Q288" s="21" t="s">
        <v>50</v>
      </c>
      <c r="R288" s="99" t="s">
        <v>46</v>
      </c>
      <c r="S288" s="99" t="s">
        <v>46</v>
      </c>
      <c r="T288" s="99" t="s">
        <v>256</v>
      </c>
      <c r="U288" s="98" t="s">
        <v>45</v>
      </c>
      <c r="V288" s="172" t="s">
        <v>257</v>
      </c>
      <c r="Z288" s="22" t="s">
        <v>41</v>
      </c>
      <c r="AA288">
        <v>4</v>
      </c>
      <c r="AC288" s="19" t="e">
        <f t="shared" si="22"/>
        <v>#N/A</v>
      </c>
    </row>
    <row r="289" spans="1:29" ht="24" thickBot="1">
      <c r="A289" s="174"/>
      <c r="B289" s="121"/>
      <c r="C289" s="121"/>
      <c r="D289" s="121"/>
      <c r="E289" s="121" t="s">
        <v>201</v>
      </c>
      <c r="F289" s="121" t="s">
        <v>201</v>
      </c>
      <c r="G289" s="121" t="str">
        <f t="shared" si="23"/>
        <v/>
      </c>
      <c r="H289" s="121"/>
      <c r="I289" s="121"/>
      <c r="J289" s="121"/>
      <c r="K289" s="121"/>
      <c r="L289" s="236"/>
      <c r="M289" s="137">
        <v>6</v>
      </c>
      <c r="N289" s="137"/>
      <c r="O289" s="139"/>
      <c r="P289" s="140"/>
      <c r="Q289" s="21" t="s">
        <v>243</v>
      </c>
      <c r="R289" s="100" t="s">
        <v>46</v>
      </c>
      <c r="S289" s="99" t="s">
        <v>46</v>
      </c>
      <c r="T289" s="99" t="s">
        <v>256</v>
      </c>
      <c r="U289" s="98" t="s">
        <v>45</v>
      </c>
      <c r="V289" s="98" t="s">
        <v>45</v>
      </c>
      <c r="Z289" s="22" t="s">
        <v>42</v>
      </c>
      <c r="AA289">
        <v>5</v>
      </c>
      <c r="AC289" s="19" t="e">
        <f t="shared" si="22"/>
        <v>#N/A</v>
      </c>
    </row>
    <row r="290" spans="1:29" ht="23">
      <c r="A290" s="174"/>
      <c r="B290" s="121"/>
      <c r="C290" s="121"/>
      <c r="D290" s="121"/>
      <c r="E290" s="121" t="s">
        <v>201</v>
      </c>
      <c r="F290" s="121" t="s">
        <v>201</v>
      </c>
      <c r="G290" s="121" t="str">
        <f t="shared" si="23"/>
        <v/>
      </c>
      <c r="H290" s="121"/>
      <c r="I290" s="121"/>
      <c r="J290" s="121"/>
      <c r="K290" s="121"/>
      <c r="L290" s="236"/>
      <c r="M290" s="137">
        <v>7</v>
      </c>
      <c r="N290" s="137"/>
      <c r="O290" s="139"/>
      <c r="P290" s="140"/>
      <c r="Q290" s="124" t="s">
        <v>201</v>
      </c>
      <c r="AC290" s="19" t="e">
        <f t="shared" si="22"/>
        <v>#N/A</v>
      </c>
    </row>
    <row r="291" spans="1:29" ht="23">
      <c r="A291" s="174"/>
      <c r="B291" s="121"/>
      <c r="C291" s="121"/>
      <c r="D291" s="121"/>
      <c r="E291" s="121" t="s">
        <v>201</v>
      </c>
      <c r="F291" s="121" t="s">
        <v>201</v>
      </c>
      <c r="G291" s="121" t="str">
        <f t="shared" si="23"/>
        <v/>
      </c>
      <c r="H291" s="121"/>
      <c r="I291" s="121"/>
      <c r="J291" s="121"/>
      <c r="K291" s="121"/>
      <c r="L291" s="236"/>
      <c r="M291" s="137">
        <v>8</v>
      </c>
      <c r="N291" s="137"/>
      <c r="O291" s="139"/>
      <c r="P291" s="140"/>
      <c r="AC291" s="19" t="e">
        <f t="shared" si="22"/>
        <v>#N/A</v>
      </c>
    </row>
    <row r="292" spans="1:29" ht="25" customHeight="1">
      <c r="A292" s="174"/>
      <c r="B292" s="121"/>
      <c r="C292" s="121"/>
      <c r="D292" s="121"/>
      <c r="E292" s="121" t="s">
        <v>201</v>
      </c>
      <c r="F292" s="121" t="s">
        <v>201</v>
      </c>
      <c r="G292" s="121" t="str">
        <f t="shared" si="23"/>
        <v/>
      </c>
      <c r="H292" s="121"/>
      <c r="I292" s="121"/>
      <c r="J292" s="121"/>
      <c r="K292" s="121"/>
      <c r="L292" s="236"/>
      <c r="M292" s="137">
        <v>9</v>
      </c>
      <c r="N292" s="137"/>
      <c r="O292" s="139"/>
      <c r="P292" s="140"/>
      <c r="AC292" s="19" t="e">
        <f t="shared" si="22"/>
        <v>#N/A</v>
      </c>
    </row>
    <row r="293" spans="1:29" ht="24" customHeight="1">
      <c r="A293" s="174"/>
      <c r="B293" s="121"/>
      <c r="C293" s="121"/>
      <c r="D293" s="121"/>
      <c r="E293" s="121" t="s">
        <v>201</v>
      </c>
      <c r="F293" s="121" t="s">
        <v>201</v>
      </c>
      <c r="G293" s="121" t="str">
        <f t="shared" si="23"/>
        <v/>
      </c>
      <c r="H293" s="121"/>
      <c r="I293" s="121"/>
      <c r="J293" s="121"/>
      <c r="K293" s="121"/>
      <c r="L293" s="236"/>
      <c r="M293" s="137">
        <v>10</v>
      </c>
      <c r="N293" s="137"/>
      <c r="O293" s="139"/>
      <c r="P293" s="140"/>
      <c r="AC293" s="19" t="e">
        <f t="shared" si="22"/>
        <v>#N/A</v>
      </c>
    </row>
    <row r="294" spans="1:29" ht="24" customHeight="1">
      <c r="A294" s="174"/>
      <c r="B294" s="121"/>
      <c r="C294" s="121"/>
      <c r="D294" s="121"/>
      <c r="E294" s="121" t="s">
        <v>201</v>
      </c>
      <c r="F294" s="121" t="s">
        <v>201</v>
      </c>
      <c r="G294" s="121" t="str">
        <f t="shared" si="23"/>
        <v/>
      </c>
      <c r="H294" s="121"/>
      <c r="I294" s="121"/>
      <c r="J294" s="121"/>
      <c r="K294" s="121"/>
      <c r="L294" s="236"/>
      <c r="M294" s="139"/>
      <c r="N294" s="139"/>
      <c r="O294" s="139"/>
      <c r="P294" s="140"/>
      <c r="AC294" s="19" t="e">
        <f t="shared" si="22"/>
        <v>#N/A</v>
      </c>
    </row>
    <row r="295" spans="1:29" ht="21">
      <c r="A295" s="174"/>
      <c r="B295" s="121"/>
      <c r="C295" s="121"/>
      <c r="D295" s="121"/>
      <c r="E295" s="121" t="s">
        <v>201</v>
      </c>
      <c r="F295" s="121" t="s">
        <v>201</v>
      </c>
      <c r="G295" s="121" t="str">
        <f t="shared" si="23"/>
        <v/>
      </c>
      <c r="H295" s="121"/>
      <c r="I295" s="121"/>
      <c r="J295" s="121"/>
      <c r="K295" s="121"/>
      <c r="L295" s="236"/>
      <c r="M295" s="139"/>
      <c r="N295" s="139"/>
      <c r="O295" s="139"/>
      <c r="P295" s="140"/>
      <c r="AC295" s="19" t="e">
        <f t="shared" si="22"/>
        <v>#N/A</v>
      </c>
    </row>
    <row r="296" spans="1:29" ht="21">
      <c r="A296" s="174"/>
      <c r="B296" s="121"/>
      <c r="C296" s="121"/>
      <c r="D296" s="121"/>
      <c r="E296" s="121" t="s">
        <v>201</v>
      </c>
      <c r="F296" s="121" t="s">
        <v>201</v>
      </c>
      <c r="G296" s="121" t="str">
        <f t="shared" si="23"/>
        <v/>
      </c>
      <c r="H296" s="121"/>
      <c r="I296" s="121"/>
      <c r="J296" s="121"/>
      <c r="K296" s="121"/>
      <c r="L296" s="236"/>
      <c r="M296" s="139"/>
      <c r="N296" s="139"/>
      <c r="O296" s="139"/>
      <c r="P296" s="140"/>
      <c r="AC296" s="19" t="e">
        <f t="shared" si="22"/>
        <v>#N/A</v>
      </c>
    </row>
    <row r="297" spans="1:29" ht="21">
      <c r="A297" s="174"/>
      <c r="B297" s="121"/>
      <c r="C297" s="121"/>
      <c r="D297" s="121"/>
      <c r="E297" s="121" t="s">
        <v>201</v>
      </c>
      <c r="F297" s="121" t="s">
        <v>201</v>
      </c>
      <c r="G297" s="121" t="str">
        <f t="shared" si="23"/>
        <v/>
      </c>
      <c r="H297" s="121"/>
      <c r="I297" s="121"/>
      <c r="J297" s="121"/>
      <c r="K297" s="121"/>
      <c r="L297" s="236"/>
      <c r="M297" s="139"/>
      <c r="N297" s="139"/>
      <c r="O297" s="139"/>
      <c r="P297" s="140"/>
      <c r="AC297" s="19" t="e">
        <f t="shared" si="22"/>
        <v>#N/A</v>
      </c>
    </row>
    <row r="298" spans="1:29" ht="21">
      <c r="A298" s="174"/>
      <c r="B298" s="121"/>
      <c r="C298" s="121"/>
      <c r="D298" s="121"/>
      <c r="E298" s="121" t="s">
        <v>201</v>
      </c>
      <c r="F298" s="121" t="s">
        <v>201</v>
      </c>
      <c r="G298" s="121" t="str">
        <f t="shared" si="23"/>
        <v/>
      </c>
      <c r="H298" s="121"/>
      <c r="I298" s="121"/>
      <c r="J298" s="121"/>
      <c r="K298" s="121"/>
      <c r="L298" s="236"/>
      <c r="M298" s="139"/>
      <c r="N298" s="139"/>
      <c r="O298" s="139"/>
      <c r="P298" s="140"/>
      <c r="AC298" s="19" t="e">
        <f t="shared" si="22"/>
        <v>#N/A</v>
      </c>
    </row>
    <row r="299" spans="1:29" ht="21">
      <c r="A299" s="174"/>
      <c r="B299" s="121"/>
      <c r="C299" s="121"/>
      <c r="D299" s="121"/>
      <c r="E299" s="121" t="s">
        <v>201</v>
      </c>
      <c r="F299" s="121" t="s">
        <v>201</v>
      </c>
      <c r="G299" s="121" t="str">
        <f t="shared" si="23"/>
        <v/>
      </c>
      <c r="H299" s="121"/>
      <c r="I299" s="121"/>
      <c r="J299" s="121"/>
      <c r="K299" s="121"/>
      <c r="L299" s="236"/>
      <c r="M299" s="139"/>
      <c r="N299" s="139"/>
      <c r="O299" s="139"/>
      <c r="P299" s="140"/>
      <c r="AC299" s="19" t="e">
        <f t="shared" si="22"/>
        <v>#N/A</v>
      </c>
    </row>
    <row r="300" spans="1:29" ht="21">
      <c r="A300" s="174"/>
      <c r="B300" s="121"/>
      <c r="C300" s="121"/>
      <c r="D300" s="121"/>
      <c r="E300" s="121" t="s">
        <v>201</v>
      </c>
      <c r="F300" s="121" t="s">
        <v>201</v>
      </c>
      <c r="G300" s="121" t="str">
        <f t="shared" si="23"/>
        <v/>
      </c>
      <c r="H300" s="121"/>
      <c r="I300" s="121"/>
      <c r="J300" s="121"/>
      <c r="K300" s="121"/>
      <c r="L300" s="236"/>
      <c r="M300" s="139"/>
      <c r="N300" s="139"/>
      <c r="O300" s="139"/>
      <c r="P300" s="140"/>
      <c r="AC300" s="19"/>
    </row>
    <row r="301" spans="1:29">
      <c r="A301" s="236"/>
      <c r="B301" s="236"/>
      <c r="C301" s="236"/>
      <c r="D301" s="236"/>
      <c r="E301" s="236"/>
      <c r="F301" s="236"/>
      <c r="G301" s="236"/>
      <c r="H301" s="236"/>
      <c r="I301" s="236"/>
      <c r="J301" s="236"/>
      <c r="K301" s="236"/>
      <c r="L301" s="236"/>
    </row>
    <row r="303" spans="1:29" ht="46" customHeight="1">
      <c r="A303" s="174"/>
      <c r="B303" s="169" t="s">
        <v>254</v>
      </c>
      <c r="C303" s="167"/>
      <c r="D303" s="167"/>
      <c r="E303" s="167"/>
      <c r="F303" s="167"/>
      <c r="G303" s="167"/>
      <c r="H303" s="168"/>
      <c r="I303" s="168"/>
      <c r="J303" s="168"/>
      <c r="K303" s="168"/>
      <c r="L303" s="236"/>
      <c r="M303" s="165"/>
      <c r="N303" s="165"/>
      <c r="O303" s="165"/>
      <c r="P303" s="165"/>
      <c r="Q303" s="165"/>
      <c r="R303" s="165"/>
      <c r="S303" s="165"/>
      <c r="T303" s="165"/>
      <c r="U303" s="165"/>
      <c r="V303" s="165"/>
      <c r="W303" s="165"/>
    </row>
    <row r="304" spans="1:29">
      <c r="A304" s="174" t="s">
        <v>197</v>
      </c>
      <c r="B304" s="215" t="s">
        <v>255</v>
      </c>
      <c r="C304" s="215"/>
      <c r="D304" s="215"/>
      <c r="E304" s="215"/>
      <c r="F304" s="215"/>
      <c r="G304" s="215"/>
      <c r="H304" s="215"/>
      <c r="I304" s="215" t="s">
        <v>30</v>
      </c>
      <c r="J304" s="215"/>
      <c r="K304" s="170"/>
      <c r="L304" s="236"/>
    </row>
    <row r="305" spans="1:35">
      <c r="A305" s="174" t="s">
        <v>246</v>
      </c>
      <c r="B305" s="215" t="s">
        <v>244</v>
      </c>
      <c r="C305" s="215"/>
      <c r="D305" s="215"/>
      <c r="E305" s="215"/>
      <c r="F305" s="215"/>
      <c r="G305" s="215"/>
      <c r="H305" s="215"/>
      <c r="I305" s="215" t="s">
        <v>31</v>
      </c>
      <c r="J305" s="215"/>
      <c r="K305" s="170"/>
      <c r="L305" s="236"/>
    </row>
    <row r="306" spans="1:35">
      <c r="A306" s="174"/>
      <c r="B306" s="215" t="s">
        <v>247</v>
      </c>
      <c r="C306" s="215"/>
      <c r="D306" s="215"/>
      <c r="E306" s="215"/>
      <c r="F306" s="215"/>
      <c r="G306" s="215"/>
      <c r="H306" s="215"/>
      <c r="I306" s="215" t="s">
        <v>29</v>
      </c>
      <c r="J306" s="215"/>
      <c r="K306" s="173"/>
      <c r="L306" s="236"/>
    </row>
    <row r="307" spans="1:35" s="19" customFormat="1" ht="46" thickBot="1">
      <c r="A307" s="175">
        <f>A282+1</f>
        <v>13</v>
      </c>
      <c r="B307" s="95" t="s">
        <v>32</v>
      </c>
      <c r="C307" s="95" t="s">
        <v>190</v>
      </c>
      <c r="D307" s="95" t="s">
        <v>33</v>
      </c>
      <c r="E307" s="95" t="s">
        <v>36</v>
      </c>
      <c r="F307" s="95" t="s">
        <v>196</v>
      </c>
      <c r="G307" s="95" t="s">
        <v>37</v>
      </c>
      <c r="H307" s="95" t="s">
        <v>34</v>
      </c>
      <c r="I307" s="95" t="s">
        <v>250</v>
      </c>
      <c r="J307" s="95" t="s">
        <v>35</v>
      </c>
      <c r="K307" s="95" t="s">
        <v>191</v>
      </c>
      <c r="L307" s="236"/>
      <c r="M307" s="128"/>
      <c r="N307" s="141" t="s">
        <v>248</v>
      </c>
      <c r="O307" s="128"/>
      <c r="P307" s="138"/>
      <c r="AC307" s="19" t="e">
        <f t="shared" ref="AC307:AC324" si="24">VLOOKUP(F308,Z$10:AA$14,2,FALSE)</f>
        <v>#N/A</v>
      </c>
      <c r="AI307" s="19" t="e">
        <f>VLOOKUP(G308,$AF$8:$AG$12,2,FALSE)</f>
        <v>#N/A</v>
      </c>
    </row>
    <row r="308" spans="1:35" ht="22" thickBot="1">
      <c r="A308" s="174"/>
      <c r="B308" s="121"/>
      <c r="C308" s="121"/>
      <c r="D308" s="121"/>
      <c r="E308" s="121" t="s">
        <v>201</v>
      </c>
      <c r="F308" s="121" t="s">
        <v>201</v>
      </c>
      <c r="G308" s="121" t="str">
        <f>IF(ISERROR(VLOOKUP(E308,Q$10:V$14,AC307+1,FALSE)),"",VLOOKUP(E308,Q$10:V$14,AC307+1,FALSE))</f>
        <v/>
      </c>
      <c r="H308" s="121"/>
      <c r="I308" s="121"/>
      <c r="J308" s="121"/>
      <c r="K308" s="121"/>
      <c r="L308" s="236"/>
      <c r="M308" s="142" t="s">
        <v>240</v>
      </c>
      <c r="N308" s="139"/>
      <c r="O308" s="139"/>
      <c r="P308" s="140"/>
      <c r="Q308" s="20"/>
      <c r="R308" s="212" t="s">
        <v>38</v>
      </c>
      <c r="S308" s="213"/>
      <c r="T308" s="213"/>
      <c r="U308" s="213"/>
      <c r="V308" s="214"/>
      <c r="AC308" s="19" t="e">
        <f t="shared" si="24"/>
        <v>#N/A</v>
      </c>
      <c r="AF308" s="100" t="s">
        <v>47</v>
      </c>
      <c r="AG308">
        <v>1</v>
      </c>
    </row>
    <row r="309" spans="1:35" ht="24" thickBot="1">
      <c r="A309" s="174"/>
      <c r="B309" s="121"/>
      <c r="C309" s="121"/>
      <c r="D309" s="121"/>
      <c r="E309" s="121" t="s">
        <v>201</v>
      </c>
      <c r="F309" s="121" t="s">
        <v>201</v>
      </c>
      <c r="G309" s="121" t="str">
        <f>IF(ISERROR(VLOOKUP(E309,Q$10:V$14,AC308+1,FALSE)),"",VLOOKUP(E309,Q$10:V$14,AC308+1,FALSE))</f>
        <v/>
      </c>
      <c r="H309" s="121"/>
      <c r="I309" s="121"/>
      <c r="J309" s="121"/>
      <c r="K309" s="121"/>
      <c r="L309" s="236"/>
      <c r="M309" s="137">
        <v>1</v>
      </c>
      <c r="N309" s="137"/>
      <c r="O309" s="139"/>
      <c r="P309" s="140"/>
      <c r="Q309" s="23" t="s">
        <v>39</v>
      </c>
      <c r="R309" s="22" t="s">
        <v>40</v>
      </c>
      <c r="S309" s="22" t="s">
        <v>44</v>
      </c>
      <c r="T309" s="22" t="s">
        <v>241</v>
      </c>
      <c r="U309" s="22" t="s">
        <v>41</v>
      </c>
      <c r="V309" s="22" t="s">
        <v>42</v>
      </c>
      <c r="W309" s="125" t="s">
        <v>201</v>
      </c>
      <c r="AC309" s="19" t="e">
        <f t="shared" si="24"/>
        <v>#N/A</v>
      </c>
      <c r="AF309" s="99" t="s">
        <v>46</v>
      </c>
      <c r="AG309">
        <v>2</v>
      </c>
    </row>
    <row r="310" spans="1:35" ht="24" thickBot="1">
      <c r="A310" s="174"/>
      <c r="B310" s="121"/>
      <c r="C310" s="121"/>
      <c r="D310" s="121"/>
      <c r="E310" s="121" t="s">
        <v>201</v>
      </c>
      <c r="F310" s="121" t="s">
        <v>201</v>
      </c>
      <c r="G310" s="121" t="str">
        <f t="shared" ref="G310:G325" si="25">IF(ISERROR(VLOOKUP(E310,Q$10:V$14,AC309+1,FALSE)),"",VLOOKUP(E310,Q$10:V$14,AC309+1,FALSE))</f>
        <v/>
      </c>
      <c r="H310" s="121"/>
      <c r="I310" s="121"/>
      <c r="J310" s="121"/>
      <c r="K310" s="121"/>
      <c r="L310" s="236"/>
      <c r="M310" s="137">
        <v>2</v>
      </c>
      <c r="N310" s="137"/>
      <c r="O310" s="139"/>
      <c r="P310" s="140"/>
      <c r="Q310" s="21" t="s">
        <v>242</v>
      </c>
      <c r="R310" s="99" t="s">
        <v>256</v>
      </c>
      <c r="S310" s="97" t="s">
        <v>45</v>
      </c>
      <c r="T310" s="172" t="s">
        <v>257</v>
      </c>
      <c r="U310" s="172" t="s">
        <v>257</v>
      </c>
      <c r="V310" s="172" t="s">
        <v>257</v>
      </c>
      <c r="Z310" s="22" t="s">
        <v>40</v>
      </c>
      <c r="AA310">
        <v>1</v>
      </c>
      <c r="AC310" s="19" t="e">
        <f t="shared" si="24"/>
        <v>#N/A</v>
      </c>
      <c r="AF310" s="98" t="s">
        <v>44</v>
      </c>
      <c r="AG310">
        <v>3</v>
      </c>
    </row>
    <row r="311" spans="1:35" ht="24" thickBot="1">
      <c r="A311" s="174"/>
      <c r="B311" s="121"/>
      <c r="C311" s="121"/>
      <c r="D311" s="121"/>
      <c r="E311" s="121" t="s">
        <v>201</v>
      </c>
      <c r="F311" s="121" t="s">
        <v>201</v>
      </c>
      <c r="G311" s="121" t="str">
        <f t="shared" si="25"/>
        <v/>
      </c>
      <c r="H311" s="121"/>
      <c r="I311" s="121"/>
      <c r="J311" s="121"/>
      <c r="K311" s="121"/>
      <c r="L311" s="236"/>
      <c r="M311" s="137">
        <v>3</v>
      </c>
      <c r="N311" s="137"/>
      <c r="O311" s="139"/>
      <c r="P311" s="140"/>
      <c r="Q311" s="21" t="s">
        <v>48</v>
      </c>
      <c r="R311" s="99" t="s">
        <v>256</v>
      </c>
      <c r="S311" s="97" t="s">
        <v>45</v>
      </c>
      <c r="T311" s="97" t="s">
        <v>45</v>
      </c>
      <c r="U311" s="172" t="s">
        <v>257</v>
      </c>
      <c r="V311" s="172" t="s">
        <v>257</v>
      </c>
      <c r="Z311" s="22" t="s">
        <v>44</v>
      </c>
      <c r="AA311">
        <v>2</v>
      </c>
      <c r="AC311" s="19" t="e">
        <f t="shared" si="24"/>
        <v>#N/A</v>
      </c>
      <c r="AF311" s="97" t="s">
        <v>45</v>
      </c>
      <c r="AG311">
        <v>4</v>
      </c>
    </row>
    <row r="312" spans="1:35" ht="24" thickBot="1">
      <c r="A312" s="174"/>
      <c r="B312" s="121"/>
      <c r="C312" s="121"/>
      <c r="D312" s="121"/>
      <c r="E312" s="121" t="s">
        <v>201</v>
      </c>
      <c r="F312" s="121" t="s">
        <v>201</v>
      </c>
      <c r="G312" s="121" t="str">
        <f t="shared" si="25"/>
        <v/>
      </c>
      <c r="H312" s="121"/>
      <c r="I312" s="121"/>
      <c r="J312" s="121"/>
      <c r="K312" s="121"/>
      <c r="L312" s="236"/>
      <c r="M312" s="137">
        <v>4</v>
      </c>
      <c r="N312" s="137"/>
      <c r="O312" s="139"/>
      <c r="P312" s="140"/>
      <c r="Q312" s="21" t="s">
        <v>49</v>
      </c>
      <c r="R312" s="99" t="s">
        <v>46</v>
      </c>
      <c r="S312" s="99" t="s">
        <v>256</v>
      </c>
      <c r="T312" s="98" t="s">
        <v>45</v>
      </c>
      <c r="U312" s="172" t="s">
        <v>257</v>
      </c>
      <c r="V312" s="172" t="s">
        <v>257</v>
      </c>
      <c r="Z312" s="22" t="s">
        <v>241</v>
      </c>
      <c r="AA312">
        <v>3</v>
      </c>
      <c r="AC312" s="19" t="e">
        <f t="shared" si="24"/>
        <v>#N/A</v>
      </c>
      <c r="AF312" s="96" t="s">
        <v>43</v>
      </c>
      <c r="AG312">
        <v>5</v>
      </c>
    </row>
    <row r="313" spans="1:35" ht="24" thickBot="1">
      <c r="A313" s="174"/>
      <c r="B313" s="121"/>
      <c r="C313" s="121"/>
      <c r="D313" s="121"/>
      <c r="E313" s="121" t="s">
        <v>201</v>
      </c>
      <c r="F313" s="121" t="s">
        <v>201</v>
      </c>
      <c r="G313" s="121" t="str">
        <f t="shared" si="25"/>
        <v/>
      </c>
      <c r="H313" s="121"/>
      <c r="I313" s="121"/>
      <c r="J313" s="121"/>
      <c r="K313" s="121"/>
      <c r="L313" s="236"/>
      <c r="M313" s="137">
        <v>5</v>
      </c>
      <c r="N313" s="137"/>
      <c r="O313" s="139"/>
      <c r="P313" s="140"/>
      <c r="Q313" s="21" t="s">
        <v>50</v>
      </c>
      <c r="R313" s="99" t="s">
        <v>46</v>
      </c>
      <c r="S313" s="99" t="s">
        <v>46</v>
      </c>
      <c r="T313" s="99" t="s">
        <v>256</v>
      </c>
      <c r="U313" s="98" t="s">
        <v>45</v>
      </c>
      <c r="V313" s="172" t="s">
        <v>257</v>
      </c>
      <c r="Z313" s="22" t="s">
        <v>41</v>
      </c>
      <c r="AA313">
        <v>4</v>
      </c>
      <c r="AC313" s="19" t="e">
        <f t="shared" si="24"/>
        <v>#N/A</v>
      </c>
    </row>
    <row r="314" spans="1:35" ht="24" thickBot="1">
      <c r="A314" s="174"/>
      <c r="B314" s="121"/>
      <c r="C314" s="121"/>
      <c r="D314" s="121"/>
      <c r="E314" s="121" t="s">
        <v>201</v>
      </c>
      <c r="F314" s="121" t="s">
        <v>201</v>
      </c>
      <c r="G314" s="121" t="str">
        <f t="shared" si="25"/>
        <v/>
      </c>
      <c r="H314" s="121"/>
      <c r="I314" s="121"/>
      <c r="J314" s="121"/>
      <c r="K314" s="121"/>
      <c r="L314" s="236"/>
      <c r="M314" s="137">
        <v>6</v>
      </c>
      <c r="N314" s="137"/>
      <c r="O314" s="139"/>
      <c r="P314" s="140"/>
      <c r="Q314" s="21" t="s">
        <v>243</v>
      </c>
      <c r="R314" s="100" t="s">
        <v>46</v>
      </c>
      <c r="S314" s="99" t="s">
        <v>46</v>
      </c>
      <c r="T314" s="99" t="s">
        <v>256</v>
      </c>
      <c r="U314" s="98" t="s">
        <v>45</v>
      </c>
      <c r="V314" s="98" t="s">
        <v>45</v>
      </c>
      <c r="Z314" s="22" t="s">
        <v>42</v>
      </c>
      <c r="AA314">
        <v>5</v>
      </c>
      <c r="AC314" s="19" t="e">
        <f t="shared" si="24"/>
        <v>#N/A</v>
      </c>
    </row>
    <row r="315" spans="1:35" ht="23">
      <c r="A315" s="174"/>
      <c r="B315" s="121"/>
      <c r="C315" s="121"/>
      <c r="D315" s="121"/>
      <c r="E315" s="121" t="s">
        <v>201</v>
      </c>
      <c r="F315" s="121" t="s">
        <v>201</v>
      </c>
      <c r="G315" s="121" t="str">
        <f t="shared" si="25"/>
        <v/>
      </c>
      <c r="H315" s="121"/>
      <c r="I315" s="121"/>
      <c r="J315" s="121"/>
      <c r="K315" s="121"/>
      <c r="L315" s="236"/>
      <c r="M315" s="137">
        <v>7</v>
      </c>
      <c r="N315" s="137"/>
      <c r="O315" s="139"/>
      <c r="P315" s="140"/>
      <c r="Q315" s="124" t="s">
        <v>201</v>
      </c>
      <c r="AC315" s="19" t="e">
        <f t="shared" si="24"/>
        <v>#N/A</v>
      </c>
    </row>
    <row r="316" spans="1:35" ht="23">
      <c r="A316" s="174"/>
      <c r="B316" s="121"/>
      <c r="C316" s="121"/>
      <c r="D316" s="121"/>
      <c r="E316" s="121" t="s">
        <v>201</v>
      </c>
      <c r="F316" s="121" t="s">
        <v>201</v>
      </c>
      <c r="G316" s="121" t="str">
        <f t="shared" si="25"/>
        <v/>
      </c>
      <c r="H316" s="121"/>
      <c r="I316" s="121"/>
      <c r="J316" s="121"/>
      <c r="K316" s="121"/>
      <c r="L316" s="236"/>
      <c r="M316" s="137">
        <v>8</v>
      </c>
      <c r="N316" s="137"/>
      <c r="O316" s="139"/>
      <c r="P316" s="140"/>
      <c r="AC316" s="19" t="e">
        <f t="shared" si="24"/>
        <v>#N/A</v>
      </c>
    </row>
    <row r="317" spans="1:35" ht="25" customHeight="1">
      <c r="A317" s="174"/>
      <c r="B317" s="121"/>
      <c r="C317" s="121"/>
      <c r="D317" s="121"/>
      <c r="E317" s="121" t="s">
        <v>201</v>
      </c>
      <c r="F317" s="121" t="s">
        <v>201</v>
      </c>
      <c r="G317" s="121" t="str">
        <f t="shared" si="25"/>
        <v/>
      </c>
      <c r="H317" s="121"/>
      <c r="I317" s="121"/>
      <c r="J317" s="121"/>
      <c r="K317" s="121"/>
      <c r="L317" s="236"/>
      <c r="M317" s="137">
        <v>9</v>
      </c>
      <c r="N317" s="137"/>
      <c r="O317" s="139"/>
      <c r="P317" s="140"/>
      <c r="AC317" s="19" t="e">
        <f t="shared" si="24"/>
        <v>#N/A</v>
      </c>
    </row>
    <row r="318" spans="1:35" ht="24" customHeight="1">
      <c r="A318" s="174"/>
      <c r="B318" s="121"/>
      <c r="C318" s="121"/>
      <c r="D318" s="121"/>
      <c r="E318" s="121" t="s">
        <v>201</v>
      </c>
      <c r="F318" s="121" t="s">
        <v>201</v>
      </c>
      <c r="G318" s="121" t="str">
        <f t="shared" si="25"/>
        <v/>
      </c>
      <c r="H318" s="121"/>
      <c r="I318" s="121"/>
      <c r="J318" s="121"/>
      <c r="K318" s="121"/>
      <c r="L318" s="236"/>
      <c r="M318" s="137">
        <v>10</v>
      </c>
      <c r="N318" s="137"/>
      <c r="O318" s="139"/>
      <c r="P318" s="140"/>
      <c r="AC318" s="19" t="e">
        <f t="shared" si="24"/>
        <v>#N/A</v>
      </c>
    </row>
    <row r="319" spans="1:35" ht="24" customHeight="1">
      <c r="A319" s="174"/>
      <c r="B319" s="121"/>
      <c r="C319" s="121"/>
      <c r="D319" s="121"/>
      <c r="E319" s="121" t="s">
        <v>201</v>
      </c>
      <c r="F319" s="121" t="s">
        <v>201</v>
      </c>
      <c r="G319" s="121" t="str">
        <f t="shared" si="25"/>
        <v/>
      </c>
      <c r="H319" s="121"/>
      <c r="I319" s="121"/>
      <c r="J319" s="121"/>
      <c r="K319" s="121"/>
      <c r="L319" s="236"/>
      <c r="M319" s="139"/>
      <c r="N319" s="139"/>
      <c r="O319" s="139"/>
      <c r="P319" s="140"/>
      <c r="AC319" s="19" t="e">
        <f t="shared" si="24"/>
        <v>#N/A</v>
      </c>
    </row>
    <row r="320" spans="1:35" ht="21">
      <c r="A320" s="174"/>
      <c r="B320" s="121"/>
      <c r="C320" s="121"/>
      <c r="D320" s="121"/>
      <c r="E320" s="121" t="s">
        <v>201</v>
      </c>
      <c r="F320" s="121" t="s">
        <v>201</v>
      </c>
      <c r="G320" s="121" t="str">
        <f t="shared" si="25"/>
        <v/>
      </c>
      <c r="H320" s="121"/>
      <c r="I320" s="121"/>
      <c r="J320" s="121"/>
      <c r="K320" s="121"/>
      <c r="L320" s="236"/>
      <c r="M320" s="139"/>
      <c r="N320" s="139"/>
      <c r="O320" s="139"/>
      <c r="P320" s="140"/>
      <c r="AC320" s="19" t="e">
        <f t="shared" si="24"/>
        <v>#N/A</v>
      </c>
    </row>
    <row r="321" spans="1:35" ht="21">
      <c r="A321" s="174"/>
      <c r="B321" s="121"/>
      <c r="C321" s="121"/>
      <c r="D321" s="121"/>
      <c r="E321" s="121" t="s">
        <v>201</v>
      </c>
      <c r="F321" s="121" t="s">
        <v>201</v>
      </c>
      <c r="G321" s="121" t="str">
        <f t="shared" si="25"/>
        <v/>
      </c>
      <c r="H321" s="121"/>
      <c r="I321" s="121"/>
      <c r="J321" s="121"/>
      <c r="K321" s="121"/>
      <c r="L321" s="236"/>
      <c r="M321" s="139"/>
      <c r="N321" s="139"/>
      <c r="O321" s="139"/>
      <c r="P321" s="140"/>
      <c r="AC321" s="19" t="e">
        <f t="shared" si="24"/>
        <v>#N/A</v>
      </c>
    </row>
    <row r="322" spans="1:35" ht="21">
      <c r="A322" s="174"/>
      <c r="B322" s="121"/>
      <c r="C322" s="121"/>
      <c r="D322" s="121"/>
      <c r="E322" s="121" t="s">
        <v>201</v>
      </c>
      <c r="F322" s="121" t="s">
        <v>201</v>
      </c>
      <c r="G322" s="121" t="str">
        <f t="shared" si="25"/>
        <v/>
      </c>
      <c r="H322" s="121"/>
      <c r="I322" s="121"/>
      <c r="J322" s="121"/>
      <c r="K322" s="121"/>
      <c r="L322" s="236"/>
      <c r="M322" s="139"/>
      <c r="N322" s="139"/>
      <c r="O322" s="139"/>
      <c r="P322" s="140"/>
      <c r="AC322" s="19" t="e">
        <f t="shared" si="24"/>
        <v>#N/A</v>
      </c>
    </row>
    <row r="323" spans="1:35" ht="21">
      <c r="A323" s="174"/>
      <c r="B323" s="121"/>
      <c r="C323" s="121"/>
      <c r="D323" s="121"/>
      <c r="E323" s="121" t="s">
        <v>201</v>
      </c>
      <c r="F323" s="121" t="s">
        <v>201</v>
      </c>
      <c r="G323" s="121" t="str">
        <f t="shared" si="25"/>
        <v/>
      </c>
      <c r="H323" s="121"/>
      <c r="I323" s="121"/>
      <c r="J323" s="121"/>
      <c r="K323" s="121"/>
      <c r="L323" s="236"/>
      <c r="M323" s="139"/>
      <c r="N323" s="139"/>
      <c r="O323" s="139"/>
      <c r="P323" s="140"/>
      <c r="AC323" s="19" t="e">
        <f t="shared" si="24"/>
        <v>#N/A</v>
      </c>
    </row>
    <row r="324" spans="1:35" ht="21">
      <c r="A324" s="174"/>
      <c r="B324" s="121"/>
      <c r="C324" s="121"/>
      <c r="D324" s="121"/>
      <c r="E324" s="121" t="s">
        <v>201</v>
      </c>
      <c r="F324" s="121" t="s">
        <v>201</v>
      </c>
      <c r="G324" s="121" t="str">
        <f t="shared" si="25"/>
        <v/>
      </c>
      <c r="H324" s="121"/>
      <c r="I324" s="121"/>
      <c r="J324" s="121"/>
      <c r="K324" s="121"/>
      <c r="L324" s="236"/>
      <c r="M324" s="139"/>
      <c r="N324" s="139"/>
      <c r="O324" s="139"/>
      <c r="P324" s="140"/>
      <c r="AC324" s="19" t="e">
        <f t="shared" si="24"/>
        <v>#N/A</v>
      </c>
    </row>
    <row r="325" spans="1:35" ht="21">
      <c r="A325" s="174"/>
      <c r="B325" s="121"/>
      <c r="C325" s="121"/>
      <c r="D325" s="121"/>
      <c r="E325" s="121" t="s">
        <v>201</v>
      </c>
      <c r="F325" s="121" t="s">
        <v>201</v>
      </c>
      <c r="G325" s="121" t="str">
        <f t="shared" si="25"/>
        <v/>
      </c>
      <c r="H325" s="121"/>
      <c r="I325" s="121"/>
      <c r="J325" s="121"/>
      <c r="K325" s="121"/>
      <c r="L325" s="236"/>
      <c r="M325" s="139"/>
      <c r="N325" s="139"/>
      <c r="O325" s="139"/>
      <c r="P325" s="140"/>
      <c r="AC325" s="19"/>
    </row>
    <row r="326" spans="1:35">
      <c r="A326" s="236"/>
      <c r="B326" s="236"/>
      <c r="C326" s="236"/>
      <c r="D326" s="236"/>
      <c r="E326" s="236"/>
      <c r="F326" s="236"/>
      <c r="G326" s="236"/>
      <c r="H326" s="236"/>
      <c r="I326" s="236"/>
      <c r="J326" s="236"/>
      <c r="K326" s="236"/>
      <c r="L326" s="236"/>
    </row>
    <row r="328" spans="1:35" ht="46" customHeight="1">
      <c r="A328" s="174"/>
      <c r="B328" s="169" t="s">
        <v>254</v>
      </c>
      <c r="C328" s="167"/>
      <c r="D328" s="167"/>
      <c r="E328" s="167"/>
      <c r="F328" s="167"/>
      <c r="G328" s="167"/>
      <c r="H328" s="168"/>
      <c r="I328" s="168"/>
      <c r="J328" s="168"/>
      <c r="K328" s="168"/>
      <c r="L328" s="236"/>
      <c r="M328" s="165"/>
      <c r="N328" s="165"/>
      <c r="O328" s="165"/>
      <c r="P328" s="165"/>
      <c r="Q328" s="165"/>
      <c r="R328" s="165"/>
      <c r="S328" s="165"/>
      <c r="T328" s="165"/>
      <c r="U328" s="165"/>
      <c r="V328" s="165"/>
      <c r="W328" s="165"/>
    </row>
    <row r="329" spans="1:35">
      <c r="A329" s="174" t="s">
        <v>197</v>
      </c>
      <c r="B329" s="215" t="s">
        <v>255</v>
      </c>
      <c r="C329" s="215"/>
      <c r="D329" s="215"/>
      <c r="E329" s="215"/>
      <c r="F329" s="215"/>
      <c r="G329" s="215"/>
      <c r="H329" s="215"/>
      <c r="I329" s="215" t="s">
        <v>30</v>
      </c>
      <c r="J329" s="215"/>
      <c r="K329" s="170"/>
      <c r="L329" s="236"/>
    </row>
    <row r="330" spans="1:35">
      <c r="A330" s="174" t="s">
        <v>246</v>
      </c>
      <c r="B330" s="215" t="s">
        <v>244</v>
      </c>
      <c r="C330" s="215"/>
      <c r="D330" s="215"/>
      <c r="E330" s="215"/>
      <c r="F330" s="215"/>
      <c r="G330" s="215"/>
      <c r="H330" s="215"/>
      <c r="I330" s="215" t="s">
        <v>31</v>
      </c>
      <c r="J330" s="215"/>
      <c r="K330" s="170"/>
      <c r="L330" s="236"/>
    </row>
    <row r="331" spans="1:35">
      <c r="A331" s="174"/>
      <c r="B331" s="215" t="s">
        <v>247</v>
      </c>
      <c r="C331" s="215"/>
      <c r="D331" s="215"/>
      <c r="E331" s="215"/>
      <c r="F331" s="215"/>
      <c r="G331" s="215"/>
      <c r="H331" s="215"/>
      <c r="I331" s="215" t="s">
        <v>29</v>
      </c>
      <c r="J331" s="215"/>
      <c r="K331" s="173"/>
      <c r="L331" s="236"/>
    </row>
    <row r="332" spans="1:35" s="19" customFormat="1" ht="46" thickBot="1">
      <c r="A332" s="175">
        <f>A307+1</f>
        <v>14</v>
      </c>
      <c r="B332" s="95" t="s">
        <v>32</v>
      </c>
      <c r="C332" s="95" t="s">
        <v>190</v>
      </c>
      <c r="D332" s="95" t="s">
        <v>33</v>
      </c>
      <c r="E332" s="95" t="s">
        <v>36</v>
      </c>
      <c r="F332" s="95" t="s">
        <v>196</v>
      </c>
      <c r="G332" s="95" t="s">
        <v>37</v>
      </c>
      <c r="H332" s="95" t="s">
        <v>34</v>
      </c>
      <c r="I332" s="95" t="s">
        <v>250</v>
      </c>
      <c r="J332" s="95" t="s">
        <v>35</v>
      </c>
      <c r="K332" s="95" t="s">
        <v>191</v>
      </c>
      <c r="L332" s="236"/>
      <c r="M332" s="128"/>
      <c r="N332" s="141" t="s">
        <v>248</v>
      </c>
      <c r="O332" s="128"/>
      <c r="P332" s="138"/>
      <c r="AC332" s="19" t="e">
        <f t="shared" ref="AC332:AC349" si="26">VLOOKUP(F333,Z$10:AA$14,2,FALSE)</f>
        <v>#N/A</v>
      </c>
      <c r="AI332" s="19" t="e">
        <f>VLOOKUP(G333,$AF$8:$AG$12,2,FALSE)</f>
        <v>#N/A</v>
      </c>
    </row>
    <row r="333" spans="1:35" ht="22" thickBot="1">
      <c r="A333" s="174"/>
      <c r="B333" s="121"/>
      <c r="C333" s="121"/>
      <c r="D333" s="121"/>
      <c r="E333" s="121" t="s">
        <v>201</v>
      </c>
      <c r="F333" s="121" t="s">
        <v>201</v>
      </c>
      <c r="G333" s="121" t="str">
        <f>IF(ISERROR(VLOOKUP(E333,Q$10:V$14,AC332+1,FALSE)),"",VLOOKUP(E333,Q$10:V$14,AC332+1,FALSE))</f>
        <v/>
      </c>
      <c r="H333" s="121"/>
      <c r="I333" s="121"/>
      <c r="J333" s="121"/>
      <c r="K333" s="121"/>
      <c r="L333" s="236"/>
      <c r="M333" s="142" t="s">
        <v>240</v>
      </c>
      <c r="N333" s="139"/>
      <c r="O333" s="139"/>
      <c r="P333" s="140"/>
      <c r="Q333" s="20"/>
      <c r="R333" s="212" t="s">
        <v>38</v>
      </c>
      <c r="S333" s="213"/>
      <c r="T333" s="213"/>
      <c r="U333" s="213"/>
      <c r="V333" s="214"/>
      <c r="AC333" s="19" t="e">
        <f t="shared" si="26"/>
        <v>#N/A</v>
      </c>
      <c r="AF333" s="100" t="s">
        <v>47</v>
      </c>
      <c r="AG333">
        <v>1</v>
      </c>
    </row>
    <row r="334" spans="1:35" ht="24" thickBot="1">
      <c r="A334" s="174"/>
      <c r="B334" s="121"/>
      <c r="C334" s="121"/>
      <c r="D334" s="121"/>
      <c r="E334" s="121" t="s">
        <v>201</v>
      </c>
      <c r="F334" s="121" t="s">
        <v>201</v>
      </c>
      <c r="G334" s="121" t="str">
        <f>IF(ISERROR(VLOOKUP(E334,Q$10:V$14,AC333+1,FALSE)),"",VLOOKUP(E334,Q$10:V$14,AC333+1,FALSE))</f>
        <v/>
      </c>
      <c r="H334" s="121"/>
      <c r="I334" s="121"/>
      <c r="J334" s="121"/>
      <c r="K334" s="121"/>
      <c r="L334" s="236"/>
      <c r="M334" s="137">
        <v>1</v>
      </c>
      <c r="N334" s="137"/>
      <c r="O334" s="139"/>
      <c r="P334" s="140"/>
      <c r="Q334" s="23" t="s">
        <v>39</v>
      </c>
      <c r="R334" s="22" t="s">
        <v>40</v>
      </c>
      <c r="S334" s="22" t="s">
        <v>44</v>
      </c>
      <c r="T334" s="22" t="s">
        <v>241</v>
      </c>
      <c r="U334" s="22" t="s">
        <v>41</v>
      </c>
      <c r="V334" s="22" t="s">
        <v>42</v>
      </c>
      <c r="W334" s="125" t="s">
        <v>201</v>
      </c>
      <c r="AC334" s="19" t="e">
        <f t="shared" si="26"/>
        <v>#N/A</v>
      </c>
      <c r="AF334" s="99" t="s">
        <v>46</v>
      </c>
      <c r="AG334">
        <v>2</v>
      </c>
    </row>
    <row r="335" spans="1:35" ht="24" thickBot="1">
      <c r="A335" s="174"/>
      <c r="B335" s="121"/>
      <c r="C335" s="121"/>
      <c r="D335" s="121"/>
      <c r="E335" s="121" t="s">
        <v>201</v>
      </c>
      <c r="F335" s="121" t="s">
        <v>201</v>
      </c>
      <c r="G335" s="121" t="str">
        <f t="shared" ref="G335:G350" si="27">IF(ISERROR(VLOOKUP(E335,Q$10:V$14,AC334+1,FALSE)),"",VLOOKUP(E335,Q$10:V$14,AC334+1,FALSE))</f>
        <v/>
      </c>
      <c r="H335" s="121"/>
      <c r="I335" s="121"/>
      <c r="J335" s="121"/>
      <c r="K335" s="121"/>
      <c r="L335" s="236"/>
      <c r="M335" s="137">
        <v>2</v>
      </c>
      <c r="N335" s="137"/>
      <c r="O335" s="139"/>
      <c r="P335" s="140"/>
      <c r="Q335" s="21" t="s">
        <v>242</v>
      </c>
      <c r="R335" s="99" t="s">
        <v>256</v>
      </c>
      <c r="S335" s="97" t="s">
        <v>45</v>
      </c>
      <c r="T335" s="172" t="s">
        <v>257</v>
      </c>
      <c r="U335" s="172" t="s">
        <v>257</v>
      </c>
      <c r="V335" s="172" t="s">
        <v>257</v>
      </c>
      <c r="Z335" s="22" t="s">
        <v>40</v>
      </c>
      <c r="AA335">
        <v>1</v>
      </c>
      <c r="AC335" s="19" t="e">
        <f t="shared" si="26"/>
        <v>#N/A</v>
      </c>
      <c r="AF335" s="98" t="s">
        <v>44</v>
      </c>
      <c r="AG335">
        <v>3</v>
      </c>
    </row>
    <row r="336" spans="1:35" ht="24" thickBot="1">
      <c r="A336" s="174"/>
      <c r="B336" s="121"/>
      <c r="C336" s="121"/>
      <c r="D336" s="121"/>
      <c r="E336" s="121" t="s">
        <v>201</v>
      </c>
      <c r="F336" s="121" t="s">
        <v>201</v>
      </c>
      <c r="G336" s="121" t="str">
        <f t="shared" si="27"/>
        <v/>
      </c>
      <c r="H336" s="121"/>
      <c r="I336" s="121"/>
      <c r="J336" s="121"/>
      <c r="K336" s="121"/>
      <c r="L336" s="236"/>
      <c r="M336" s="137">
        <v>3</v>
      </c>
      <c r="N336" s="137"/>
      <c r="O336" s="139"/>
      <c r="P336" s="140"/>
      <c r="Q336" s="21" t="s">
        <v>48</v>
      </c>
      <c r="R336" s="99" t="s">
        <v>256</v>
      </c>
      <c r="S336" s="97" t="s">
        <v>45</v>
      </c>
      <c r="T336" s="97" t="s">
        <v>45</v>
      </c>
      <c r="U336" s="172" t="s">
        <v>257</v>
      </c>
      <c r="V336" s="172" t="s">
        <v>257</v>
      </c>
      <c r="Z336" s="22" t="s">
        <v>44</v>
      </c>
      <c r="AA336">
        <v>2</v>
      </c>
      <c r="AC336" s="19" t="e">
        <f t="shared" si="26"/>
        <v>#N/A</v>
      </c>
      <c r="AF336" s="97" t="s">
        <v>45</v>
      </c>
      <c r="AG336">
        <v>4</v>
      </c>
    </row>
    <row r="337" spans="1:33" ht="24" thickBot="1">
      <c r="A337" s="174"/>
      <c r="B337" s="121"/>
      <c r="C337" s="121"/>
      <c r="D337" s="121"/>
      <c r="E337" s="121" t="s">
        <v>201</v>
      </c>
      <c r="F337" s="121" t="s">
        <v>201</v>
      </c>
      <c r="G337" s="121" t="str">
        <f t="shared" si="27"/>
        <v/>
      </c>
      <c r="H337" s="121"/>
      <c r="I337" s="121"/>
      <c r="J337" s="121"/>
      <c r="K337" s="121"/>
      <c r="L337" s="236"/>
      <c r="M337" s="137">
        <v>4</v>
      </c>
      <c r="N337" s="137"/>
      <c r="O337" s="139"/>
      <c r="P337" s="140"/>
      <c r="Q337" s="21" t="s">
        <v>49</v>
      </c>
      <c r="R337" s="99" t="s">
        <v>46</v>
      </c>
      <c r="S337" s="99" t="s">
        <v>256</v>
      </c>
      <c r="T337" s="98" t="s">
        <v>45</v>
      </c>
      <c r="U337" s="172" t="s">
        <v>257</v>
      </c>
      <c r="V337" s="172" t="s">
        <v>257</v>
      </c>
      <c r="Z337" s="22" t="s">
        <v>241</v>
      </c>
      <c r="AA337">
        <v>3</v>
      </c>
      <c r="AC337" s="19" t="e">
        <f t="shared" si="26"/>
        <v>#N/A</v>
      </c>
      <c r="AF337" s="96" t="s">
        <v>43</v>
      </c>
      <c r="AG337">
        <v>5</v>
      </c>
    </row>
    <row r="338" spans="1:33" ht="24" thickBot="1">
      <c r="A338" s="174"/>
      <c r="B338" s="121"/>
      <c r="C338" s="121"/>
      <c r="D338" s="121"/>
      <c r="E338" s="121" t="s">
        <v>201</v>
      </c>
      <c r="F338" s="121" t="s">
        <v>201</v>
      </c>
      <c r="G338" s="121" t="str">
        <f t="shared" si="27"/>
        <v/>
      </c>
      <c r="H338" s="121"/>
      <c r="I338" s="121"/>
      <c r="J338" s="121"/>
      <c r="K338" s="121"/>
      <c r="L338" s="236"/>
      <c r="M338" s="137">
        <v>5</v>
      </c>
      <c r="N338" s="137"/>
      <c r="O338" s="139"/>
      <c r="P338" s="140"/>
      <c r="Q338" s="21" t="s">
        <v>50</v>
      </c>
      <c r="R338" s="99" t="s">
        <v>46</v>
      </c>
      <c r="S338" s="99" t="s">
        <v>46</v>
      </c>
      <c r="T338" s="99" t="s">
        <v>256</v>
      </c>
      <c r="U338" s="98" t="s">
        <v>45</v>
      </c>
      <c r="V338" s="172" t="s">
        <v>257</v>
      </c>
      <c r="Z338" s="22" t="s">
        <v>41</v>
      </c>
      <c r="AA338">
        <v>4</v>
      </c>
      <c r="AC338" s="19" t="e">
        <f t="shared" si="26"/>
        <v>#N/A</v>
      </c>
    </row>
    <row r="339" spans="1:33" ht="24" thickBot="1">
      <c r="A339" s="174"/>
      <c r="B339" s="121"/>
      <c r="C339" s="121"/>
      <c r="D339" s="121"/>
      <c r="E339" s="121" t="s">
        <v>201</v>
      </c>
      <c r="F339" s="121" t="s">
        <v>201</v>
      </c>
      <c r="G339" s="121" t="str">
        <f t="shared" si="27"/>
        <v/>
      </c>
      <c r="H339" s="121"/>
      <c r="I339" s="121"/>
      <c r="J339" s="121"/>
      <c r="K339" s="121"/>
      <c r="L339" s="236"/>
      <c r="M339" s="137">
        <v>6</v>
      </c>
      <c r="N339" s="137"/>
      <c r="O339" s="139"/>
      <c r="P339" s="140"/>
      <c r="Q339" s="21" t="s">
        <v>243</v>
      </c>
      <c r="R339" s="100" t="s">
        <v>46</v>
      </c>
      <c r="S339" s="99" t="s">
        <v>46</v>
      </c>
      <c r="T339" s="99" t="s">
        <v>256</v>
      </c>
      <c r="U339" s="98" t="s">
        <v>45</v>
      </c>
      <c r="V339" s="98" t="s">
        <v>45</v>
      </c>
      <c r="Z339" s="22" t="s">
        <v>42</v>
      </c>
      <c r="AA339">
        <v>5</v>
      </c>
      <c r="AC339" s="19" t="e">
        <f t="shared" si="26"/>
        <v>#N/A</v>
      </c>
    </row>
    <row r="340" spans="1:33" ht="23">
      <c r="A340" s="174"/>
      <c r="B340" s="121"/>
      <c r="C340" s="121"/>
      <c r="D340" s="121"/>
      <c r="E340" s="121" t="s">
        <v>201</v>
      </c>
      <c r="F340" s="121" t="s">
        <v>201</v>
      </c>
      <c r="G340" s="121" t="str">
        <f t="shared" si="27"/>
        <v/>
      </c>
      <c r="H340" s="121"/>
      <c r="I340" s="121"/>
      <c r="J340" s="121"/>
      <c r="K340" s="121"/>
      <c r="L340" s="236"/>
      <c r="M340" s="137">
        <v>7</v>
      </c>
      <c r="N340" s="137"/>
      <c r="O340" s="139"/>
      <c r="P340" s="140"/>
      <c r="Q340" s="124" t="s">
        <v>201</v>
      </c>
      <c r="AC340" s="19" t="e">
        <f t="shared" si="26"/>
        <v>#N/A</v>
      </c>
    </row>
    <row r="341" spans="1:33" ht="23">
      <c r="A341" s="174"/>
      <c r="B341" s="121"/>
      <c r="C341" s="121"/>
      <c r="D341" s="121"/>
      <c r="E341" s="121" t="s">
        <v>201</v>
      </c>
      <c r="F341" s="121" t="s">
        <v>201</v>
      </c>
      <c r="G341" s="121" t="str">
        <f t="shared" si="27"/>
        <v/>
      </c>
      <c r="H341" s="121"/>
      <c r="I341" s="121"/>
      <c r="J341" s="121"/>
      <c r="K341" s="121"/>
      <c r="L341" s="236"/>
      <c r="M341" s="137">
        <v>8</v>
      </c>
      <c r="N341" s="137"/>
      <c r="O341" s="139"/>
      <c r="P341" s="140"/>
      <c r="AC341" s="19" t="e">
        <f t="shared" si="26"/>
        <v>#N/A</v>
      </c>
    </row>
    <row r="342" spans="1:33" ht="25" customHeight="1">
      <c r="A342" s="174"/>
      <c r="B342" s="121"/>
      <c r="C342" s="121"/>
      <c r="D342" s="121"/>
      <c r="E342" s="121" t="s">
        <v>201</v>
      </c>
      <c r="F342" s="121" t="s">
        <v>201</v>
      </c>
      <c r="G342" s="121" t="str">
        <f t="shared" si="27"/>
        <v/>
      </c>
      <c r="H342" s="121"/>
      <c r="I342" s="121"/>
      <c r="J342" s="121"/>
      <c r="K342" s="121"/>
      <c r="L342" s="236"/>
      <c r="M342" s="137">
        <v>9</v>
      </c>
      <c r="N342" s="137"/>
      <c r="O342" s="139"/>
      <c r="P342" s="140"/>
      <c r="AC342" s="19" t="e">
        <f t="shared" si="26"/>
        <v>#N/A</v>
      </c>
    </row>
    <row r="343" spans="1:33" ht="24" customHeight="1">
      <c r="A343" s="174"/>
      <c r="B343" s="121"/>
      <c r="C343" s="121"/>
      <c r="D343" s="121"/>
      <c r="E343" s="121" t="s">
        <v>201</v>
      </c>
      <c r="F343" s="121" t="s">
        <v>201</v>
      </c>
      <c r="G343" s="121" t="str">
        <f t="shared" si="27"/>
        <v/>
      </c>
      <c r="H343" s="121"/>
      <c r="I343" s="121"/>
      <c r="J343" s="121"/>
      <c r="K343" s="121"/>
      <c r="L343" s="236"/>
      <c r="M343" s="137">
        <v>10</v>
      </c>
      <c r="N343" s="137"/>
      <c r="O343" s="139"/>
      <c r="P343" s="140"/>
      <c r="AC343" s="19" t="e">
        <f t="shared" si="26"/>
        <v>#N/A</v>
      </c>
    </row>
    <row r="344" spans="1:33" ht="24" customHeight="1">
      <c r="A344" s="174"/>
      <c r="B344" s="121"/>
      <c r="C344" s="121"/>
      <c r="D344" s="121"/>
      <c r="E344" s="121" t="s">
        <v>201</v>
      </c>
      <c r="F344" s="121" t="s">
        <v>201</v>
      </c>
      <c r="G344" s="121" t="str">
        <f t="shared" si="27"/>
        <v/>
      </c>
      <c r="H344" s="121"/>
      <c r="I344" s="121"/>
      <c r="J344" s="121"/>
      <c r="K344" s="121"/>
      <c r="L344" s="236"/>
      <c r="M344" s="139"/>
      <c r="N344" s="139"/>
      <c r="O344" s="139"/>
      <c r="P344" s="140"/>
      <c r="AC344" s="19" t="e">
        <f t="shared" si="26"/>
        <v>#N/A</v>
      </c>
    </row>
    <row r="345" spans="1:33" ht="21">
      <c r="A345" s="174"/>
      <c r="B345" s="121"/>
      <c r="C345" s="121"/>
      <c r="D345" s="121"/>
      <c r="E345" s="121" t="s">
        <v>201</v>
      </c>
      <c r="F345" s="121" t="s">
        <v>201</v>
      </c>
      <c r="G345" s="121" t="str">
        <f t="shared" si="27"/>
        <v/>
      </c>
      <c r="H345" s="121"/>
      <c r="I345" s="121"/>
      <c r="J345" s="121"/>
      <c r="K345" s="121"/>
      <c r="L345" s="236"/>
      <c r="M345" s="139"/>
      <c r="N345" s="139"/>
      <c r="O345" s="139"/>
      <c r="P345" s="140"/>
      <c r="AC345" s="19" t="e">
        <f t="shared" si="26"/>
        <v>#N/A</v>
      </c>
    </row>
    <row r="346" spans="1:33" ht="21">
      <c r="A346" s="174"/>
      <c r="B346" s="121"/>
      <c r="C346" s="121"/>
      <c r="D346" s="121"/>
      <c r="E346" s="121" t="s">
        <v>201</v>
      </c>
      <c r="F346" s="121" t="s">
        <v>201</v>
      </c>
      <c r="G346" s="121" t="str">
        <f t="shared" si="27"/>
        <v/>
      </c>
      <c r="H346" s="121"/>
      <c r="I346" s="121"/>
      <c r="J346" s="121"/>
      <c r="K346" s="121"/>
      <c r="L346" s="236"/>
      <c r="M346" s="139"/>
      <c r="N346" s="139"/>
      <c r="O346" s="139"/>
      <c r="P346" s="140"/>
      <c r="AC346" s="19" t="e">
        <f t="shared" si="26"/>
        <v>#N/A</v>
      </c>
    </row>
    <row r="347" spans="1:33" ht="21">
      <c r="A347" s="174"/>
      <c r="B347" s="121"/>
      <c r="C347" s="121"/>
      <c r="D347" s="121"/>
      <c r="E347" s="121" t="s">
        <v>201</v>
      </c>
      <c r="F347" s="121" t="s">
        <v>201</v>
      </c>
      <c r="G347" s="121" t="str">
        <f t="shared" si="27"/>
        <v/>
      </c>
      <c r="H347" s="121"/>
      <c r="I347" s="121"/>
      <c r="J347" s="121"/>
      <c r="K347" s="121"/>
      <c r="L347" s="236"/>
      <c r="M347" s="139"/>
      <c r="N347" s="139"/>
      <c r="O347" s="139"/>
      <c r="P347" s="140"/>
      <c r="AC347" s="19" t="e">
        <f t="shared" si="26"/>
        <v>#N/A</v>
      </c>
    </row>
    <row r="348" spans="1:33" ht="21">
      <c r="A348" s="174"/>
      <c r="B348" s="121"/>
      <c r="C348" s="121"/>
      <c r="D348" s="121"/>
      <c r="E348" s="121" t="s">
        <v>201</v>
      </c>
      <c r="F348" s="121" t="s">
        <v>201</v>
      </c>
      <c r="G348" s="121" t="str">
        <f t="shared" si="27"/>
        <v/>
      </c>
      <c r="H348" s="121"/>
      <c r="I348" s="121"/>
      <c r="J348" s="121"/>
      <c r="K348" s="121"/>
      <c r="L348" s="236"/>
      <c r="M348" s="139"/>
      <c r="N348" s="139"/>
      <c r="O348" s="139"/>
      <c r="P348" s="140"/>
      <c r="AC348" s="19" t="e">
        <f t="shared" si="26"/>
        <v>#N/A</v>
      </c>
    </row>
    <row r="349" spans="1:33" ht="21">
      <c r="A349" s="174"/>
      <c r="B349" s="121"/>
      <c r="C349" s="121"/>
      <c r="D349" s="121"/>
      <c r="E349" s="121" t="s">
        <v>201</v>
      </c>
      <c r="F349" s="121" t="s">
        <v>201</v>
      </c>
      <c r="G349" s="121" t="str">
        <f t="shared" si="27"/>
        <v/>
      </c>
      <c r="H349" s="121"/>
      <c r="I349" s="121"/>
      <c r="J349" s="121"/>
      <c r="K349" s="121"/>
      <c r="L349" s="236"/>
      <c r="M349" s="139"/>
      <c r="N349" s="139"/>
      <c r="O349" s="139"/>
      <c r="P349" s="140"/>
      <c r="AC349" s="19" t="e">
        <f t="shared" si="26"/>
        <v>#N/A</v>
      </c>
    </row>
    <row r="350" spans="1:33" ht="21">
      <c r="A350" s="174"/>
      <c r="B350" s="121"/>
      <c r="C350" s="121"/>
      <c r="D350" s="121"/>
      <c r="E350" s="121" t="s">
        <v>201</v>
      </c>
      <c r="F350" s="121" t="s">
        <v>201</v>
      </c>
      <c r="G350" s="121" t="str">
        <f t="shared" si="27"/>
        <v/>
      </c>
      <c r="H350" s="121"/>
      <c r="I350" s="121"/>
      <c r="J350" s="121"/>
      <c r="K350" s="121"/>
      <c r="L350" s="236"/>
      <c r="M350" s="139"/>
      <c r="N350" s="139"/>
      <c r="O350" s="139"/>
      <c r="P350" s="140"/>
      <c r="AC350" s="19"/>
    </row>
    <row r="351" spans="1:33">
      <c r="A351" s="236"/>
      <c r="B351" s="236"/>
      <c r="C351" s="236"/>
      <c r="D351" s="236"/>
      <c r="E351" s="236"/>
      <c r="F351" s="236"/>
      <c r="G351" s="236"/>
      <c r="H351" s="236"/>
      <c r="I351" s="236"/>
      <c r="J351" s="236"/>
      <c r="K351" s="236"/>
      <c r="L351" s="236"/>
    </row>
    <row r="353" spans="1:35" ht="46" customHeight="1">
      <c r="A353" s="174"/>
      <c r="B353" s="169" t="s">
        <v>254</v>
      </c>
      <c r="C353" s="167"/>
      <c r="D353" s="167"/>
      <c r="E353" s="167"/>
      <c r="F353" s="167"/>
      <c r="G353" s="167"/>
      <c r="H353" s="168"/>
      <c r="I353" s="168"/>
      <c r="J353" s="168"/>
      <c r="K353" s="168"/>
      <c r="L353" s="236"/>
      <c r="M353" s="165"/>
      <c r="N353" s="165"/>
      <c r="O353" s="165"/>
      <c r="P353" s="165"/>
      <c r="Q353" s="165"/>
      <c r="R353" s="165"/>
      <c r="S353" s="165"/>
      <c r="T353" s="165"/>
      <c r="U353" s="165"/>
      <c r="V353" s="165"/>
      <c r="W353" s="165"/>
    </row>
    <row r="354" spans="1:35">
      <c r="A354" s="174" t="s">
        <v>197</v>
      </c>
      <c r="B354" s="215" t="s">
        <v>255</v>
      </c>
      <c r="C354" s="215"/>
      <c r="D354" s="215"/>
      <c r="E354" s="215"/>
      <c r="F354" s="215"/>
      <c r="G354" s="215"/>
      <c r="H354" s="215"/>
      <c r="I354" s="215" t="s">
        <v>30</v>
      </c>
      <c r="J354" s="215"/>
      <c r="K354" s="170"/>
      <c r="L354" s="236"/>
    </row>
    <row r="355" spans="1:35">
      <c r="A355" s="174" t="s">
        <v>246</v>
      </c>
      <c r="B355" s="215" t="s">
        <v>244</v>
      </c>
      <c r="C355" s="215"/>
      <c r="D355" s="215"/>
      <c r="E355" s="215"/>
      <c r="F355" s="215"/>
      <c r="G355" s="215"/>
      <c r="H355" s="215"/>
      <c r="I355" s="215" t="s">
        <v>31</v>
      </c>
      <c r="J355" s="215"/>
      <c r="K355" s="170"/>
      <c r="L355" s="236"/>
    </row>
    <row r="356" spans="1:35">
      <c r="A356" s="174"/>
      <c r="B356" s="215" t="s">
        <v>247</v>
      </c>
      <c r="C356" s="215"/>
      <c r="D356" s="215"/>
      <c r="E356" s="215"/>
      <c r="F356" s="215"/>
      <c r="G356" s="215"/>
      <c r="H356" s="215"/>
      <c r="I356" s="215" t="s">
        <v>29</v>
      </c>
      <c r="J356" s="215"/>
      <c r="K356" s="173"/>
      <c r="L356" s="236"/>
    </row>
    <row r="357" spans="1:35" s="19" customFormat="1" ht="46" thickBot="1">
      <c r="A357" s="175">
        <f>A332+1</f>
        <v>15</v>
      </c>
      <c r="B357" s="95" t="s">
        <v>32</v>
      </c>
      <c r="C357" s="95" t="s">
        <v>190</v>
      </c>
      <c r="D357" s="95" t="s">
        <v>33</v>
      </c>
      <c r="E357" s="95" t="s">
        <v>36</v>
      </c>
      <c r="F357" s="95" t="s">
        <v>196</v>
      </c>
      <c r="G357" s="95" t="s">
        <v>37</v>
      </c>
      <c r="H357" s="95" t="s">
        <v>34</v>
      </c>
      <c r="I357" s="95" t="s">
        <v>250</v>
      </c>
      <c r="J357" s="95" t="s">
        <v>35</v>
      </c>
      <c r="K357" s="95" t="s">
        <v>191</v>
      </c>
      <c r="L357" s="236"/>
      <c r="M357" s="128"/>
      <c r="N357" s="141" t="s">
        <v>248</v>
      </c>
      <c r="O357" s="128"/>
      <c r="P357" s="138"/>
      <c r="AC357" s="19" t="e">
        <f t="shared" ref="AC357:AC374" si="28">VLOOKUP(F358,Z$10:AA$14,2,FALSE)</f>
        <v>#N/A</v>
      </c>
      <c r="AI357" s="19" t="e">
        <f>VLOOKUP(G358,$AF$8:$AG$12,2,FALSE)</f>
        <v>#N/A</v>
      </c>
    </row>
    <row r="358" spans="1:35" ht="22" thickBot="1">
      <c r="A358" s="174"/>
      <c r="B358" s="121"/>
      <c r="C358" s="121"/>
      <c r="D358" s="121"/>
      <c r="E358" s="121" t="s">
        <v>201</v>
      </c>
      <c r="F358" s="121" t="s">
        <v>201</v>
      </c>
      <c r="G358" s="121" t="str">
        <f>IF(ISERROR(VLOOKUP(E358,Q$10:V$14,AC357+1,FALSE)),"",VLOOKUP(E358,Q$10:V$14,AC357+1,FALSE))</f>
        <v/>
      </c>
      <c r="H358" s="121"/>
      <c r="I358" s="121"/>
      <c r="J358" s="121"/>
      <c r="K358" s="121"/>
      <c r="L358" s="236"/>
      <c r="M358" s="142" t="s">
        <v>240</v>
      </c>
      <c r="N358" s="139"/>
      <c r="O358" s="139"/>
      <c r="P358" s="140"/>
      <c r="Q358" s="20"/>
      <c r="R358" s="212" t="s">
        <v>38</v>
      </c>
      <c r="S358" s="213"/>
      <c r="T358" s="213"/>
      <c r="U358" s="213"/>
      <c r="V358" s="214"/>
      <c r="AC358" s="19" t="e">
        <f t="shared" si="28"/>
        <v>#N/A</v>
      </c>
      <c r="AF358" s="100" t="s">
        <v>47</v>
      </c>
      <c r="AG358">
        <v>1</v>
      </c>
    </row>
    <row r="359" spans="1:35" ht="24" thickBot="1">
      <c r="A359" s="174"/>
      <c r="B359" s="121"/>
      <c r="C359" s="121"/>
      <c r="D359" s="121"/>
      <c r="E359" s="121" t="s">
        <v>201</v>
      </c>
      <c r="F359" s="121" t="s">
        <v>201</v>
      </c>
      <c r="G359" s="121" t="str">
        <f>IF(ISERROR(VLOOKUP(E359,Q$10:V$14,AC358+1,FALSE)),"",VLOOKUP(E359,Q$10:V$14,AC358+1,FALSE))</f>
        <v/>
      </c>
      <c r="H359" s="121"/>
      <c r="I359" s="121"/>
      <c r="J359" s="121"/>
      <c r="K359" s="121"/>
      <c r="L359" s="236"/>
      <c r="M359" s="137">
        <v>1</v>
      </c>
      <c r="N359" s="137"/>
      <c r="O359" s="139"/>
      <c r="P359" s="140"/>
      <c r="Q359" s="23" t="s">
        <v>39</v>
      </c>
      <c r="R359" s="22" t="s">
        <v>40</v>
      </c>
      <c r="S359" s="22" t="s">
        <v>44</v>
      </c>
      <c r="T359" s="22" t="s">
        <v>241</v>
      </c>
      <c r="U359" s="22" t="s">
        <v>41</v>
      </c>
      <c r="V359" s="22" t="s">
        <v>42</v>
      </c>
      <c r="W359" s="125" t="s">
        <v>201</v>
      </c>
      <c r="AC359" s="19" t="e">
        <f t="shared" si="28"/>
        <v>#N/A</v>
      </c>
      <c r="AF359" s="99" t="s">
        <v>46</v>
      </c>
      <c r="AG359">
        <v>2</v>
      </c>
    </row>
    <row r="360" spans="1:35" ht="24" thickBot="1">
      <c r="A360" s="174"/>
      <c r="B360" s="121"/>
      <c r="C360" s="121"/>
      <c r="D360" s="121"/>
      <c r="E360" s="121" t="s">
        <v>201</v>
      </c>
      <c r="F360" s="121" t="s">
        <v>201</v>
      </c>
      <c r="G360" s="121" t="str">
        <f t="shared" ref="G360:G375" si="29">IF(ISERROR(VLOOKUP(E360,Q$10:V$14,AC359+1,FALSE)),"",VLOOKUP(E360,Q$10:V$14,AC359+1,FALSE))</f>
        <v/>
      </c>
      <c r="H360" s="121"/>
      <c r="I360" s="121"/>
      <c r="J360" s="121"/>
      <c r="K360" s="121"/>
      <c r="L360" s="236"/>
      <c r="M360" s="137">
        <v>2</v>
      </c>
      <c r="N360" s="137"/>
      <c r="O360" s="139"/>
      <c r="P360" s="140"/>
      <c r="Q360" s="21" t="s">
        <v>242</v>
      </c>
      <c r="R360" s="99" t="s">
        <v>256</v>
      </c>
      <c r="S360" s="97" t="s">
        <v>45</v>
      </c>
      <c r="T360" s="172" t="s">
        <v>257</v>
      </c>
      <c r="U360" s="172" t="s">
        <v>257</v>
      </c>
      <c r="V360" s="172" t="s">
        <v>257</v>
      </c>
      <c r="Z360" s="22" t="s">
        <v>40</v>
      </c>
      <c r="AA360">
        <v>1</v>
      </c>
      <c r="AC360" s="19" t="e">
        <f t="shared" si="28"/>
        <v>#N/A</v>
      </c>
      <c r="AF360" s="98" t="s">
        <v>44</v>
      </c>
      <c r="AG360">
        <v>3</v>
      </c>
    </row>
    <row r="361" spans="1:35" ht="24" thickBot="1">
      <c r="A361" s="174"/>
      <c r="B361" s="121"/>
      <c r="C361" s="121"/>
      <c r="D361" s="121"/>
      <c r="E361" s="121" t="s">
        <v>201</v>
      </c>
      <c r="F361" s="121" t="s">
        <v>201</v>
      </c>
      <c r="G361" s="121" t="str">
        <f t="shared" si="29"/>
        <v/>
      </c>
      <c r="H361" s="121"/>
      <c r="I361" s="121"/>
      <c r="J361" s="121"/>
      <c r="K361" s="121"/>
      <c r="L361" s="236"/>
      <c r="M361" s="137">
        <v>3</v>
      </c>
      <c r="N361" s="137"/>
      <c r="O361" s="139"/>
      <c r="P361" s="140"/>
      <c r="Q361" s="21" t="s">
        <v>48</v>
      </c>
      <c r="R361" s="99" t="s">
        <v>256</v>
      </c>
      <c r="S361" s="97" t="s">
        <v>45</v>
      </c>
      <c r="T361" s="97" t="s">
        <v>45</v>
      </c>
      <c r="U361" s="172" t="s">
        <v>257</v>
      </c>
      <c r="V361" s="172" t="s">
        <v>257</v>
      </c>
      <c r="Z361" s="22" t="s">
        <v>44</v>
      </c>
      <c r="AA361">
        <v>2</v>
      </c>
      <c r="AC361" s="19" t="e">
        <f t="shared" si="28"/>
        <v>#N/A</v>
      </c>
      <c r="AF361" s="97" t="s">
        <v>45</v>
      </c>
      <c r="AG361">
        <v>4</v>
      </c>
    </row>
    <row r="362" spans="1:35" ht="24" thickBot="1">
      <c r="A362" s="174"/>
      <c r="B362" s="121"/>
      <c r="C362" s="121"/>
      <c r="D362" s="121"/>
      <c r="E362" s="121" t="s">
        <v>201</v>
      </c>
      <c r="F362" s="121" t="s">
        <v>201</v>
      </c>
      <c r="G362" s="121" t="str">
        <f t="shared" si="29"/>
        <v/>
      </c>
      <c r="H362" s="121"/>
      <c r="I362" s="121"/>
      <c r="J362" s="121"/>
      <c r="K362" s="121"/>
      <c r="L362" s="236"/>
      <c r="M362" s="137">
        <v>4</v>
      </c>
      <c r="N362" s="137"/>
      <c r="O362" s="139"/>
      <c r="P362" s="140"/>
      <c r="Q362" s="21" t="s">
        <v>49</v>
      </c>
      <c r="R362" s="99" t="s">
        <v>46</v>
      </c>
      <c r="S362" s="99" t="s">
        <v>256</v>
      </c>
      <c r="T362" s="98" t="s">
        <v>45</v>
      </c>
      <c r="U362" s="172" t="s">
        <v>257</v>
      </c>
      <c r="V362" s="172" t="s">
        <v>257</v>
      </c>
      <c r="Z362" s="22" t="s">
        <v>241</v>
      </c>
      <c r="AA362">
        <v>3</v>
      </c>
      <c r="AC362" s="19" t="e">
        <f t="shared" si="28"/>
        <v>#N/A</v>
      </c>
      <c r="AF362" s="96" t="s">
        <v>43</v>
      </c>
      <c r="AG362">
        <v>5</v>
      </c>
    </row>
    <row r="363" spans="1:35" ht="24" thickBot="1">
      <c r="A363" s="174"/>
      <c r="B363" s="121"/>
      <c r="C363" s="121"/>
      <c r="D363" s="121"/>
      <c r="E363" s="121" t="s">
        <v>201</v>
      </c>
      <c r="F363" s="121" t="s">
        <v>201</v>
      </c>
      <c r="G363" s="121" t="str">
        <f t="shared" si="29"/>
        <v/>
      </c>
      <c r="H363" s="121"/>
      <c r="I363" s="121"/>
      <c r="J363" s="121"/>
      <c r="K363" s="121"/>
      <c r="L363" s="236"/>
      <c r="M363" s="137">
        <v>5</v>
      </c>
      <c r="N363" s="137"/>
      <c r="O363" s="139"/>
      <c r="P363" s="140"/>
      <c r="Q363" s="21" t="s">
        <v>50</v>
      </c>
      <c r="R363" s="99" t="s">
        <v>46</v>
      </c>
      <c r="S363" s="99" t="s">
        <v>46</v>
      </c>
      <c r="T363" s="99" t="s">
        <v>256</v>
      </c>
      <c r="U363" s="98" t="s">
        <v>45</v>
      </c>
      <c r="V363" s="172" t="s">
        <v>257</v>
      </c>
      <c r="Z363" s="22" t="s">
        <v>41</v>
      </c>
      <c r="AA363">
        <v>4</v>
      </c>
      <c r="AC363" s="19" t="e">
        <f t="shared" si="28"/>
        <v>#N/A</v>
      </c>
    </row>
    <row r="364" spans="1:35" ht="24" thickBot="1">
      <c r="A364" s="174"/>
      <c r="B364" s="121"/>
      <c r="C364" s="121"/>
      <c r="D364" s="121"/>
      <c r="E364" s="121" t="s">
        <v>201</v>
      </c>
      <c r="F364" s="121" t="s">
        <v>201</v>
      </c>
      <c r="G364" s="121" t="str">
        <f t="shared" si="29"/>
        <v/>
      </c>
      <c r="H364" s="121"/>
      <c r="I364" s="121"/>
      <c r="J364" s="121"/>
      <c r="K364" s="121"/>
      <c r="L364" s="236"/>
      <c r="M364" s="137">
        <v>6</v>
      </c>
      <c r="N364" s="137"/>
      <c r="O364" s="139"/>
      <c r="P364" s="140"/>
      <c r="Q364" s="21" t="s">
        <v>243</v>
      </c>
      <c r="R364" s="100" t="s">
        <v>46</v>
      </c>
      <c r="S364" s="99" t="s">
        <v>46</v>
      </c>
      <c r="T364" s="99" t="s">
        <v>256</v>
      </c>
      <c r="U364" s="98" t="s">
        <v>45</v>
      </c>
      <c r="V364" s="98" t="s">
        <v>45</v>
      </c>
      <c r="Z364" s="22" t="s">
        <v>42</v>
      </c>
      <c r="AA364">
        <v>5</v>
      </c>
      <c r="AC364" s="19" t="e">
        <f t="shared" si="28"/>
        <v>#N/A</v>
      </c>
    </row>
    <row r="365" spans="1:35" ht="23">
      <c r="A365" s="174"/>
      <c r="B365" s="121"/>
      <c r="C365" s="121"/>
      <c r="D365" s="121"/>
      <c r="E365" s="121" t="s">
        <v>201</v>
      </c>
      <c r="F365" s="121" t="s">
        <v>201</v>
      </c>
      <c r="G365" s="121" t="str">
        <f t="shared" si="29"/>
        <v/>
      </c>
      <c r="H365" s="121"/>
      <c r="I365" s="121"/>
      <c r="J365" s="121"/>
      <c r="K365" s="121"/>
      <c r="L365" s="236"/>
      <c r="M365" s="137">
        <v>7</v>
      </c>
      <c r="N365" s="137"/>
      <c r="O365" s="139"/>
      <c r="P365" s="140"/>
      <c r="Q365" s="124" t="s">
        <v>201</v>
      </c>
      <c r="AC365" s="19" t="e">
        <f t="shared" si="28"/>
        <v>#N/A</v>
      </c>
    </row>
    <row r="366" spans="1:35" ht="23">
      <c r="A366" s="174"/>
      <c r="B366" s="121"/>
      <c r="C366" s="121"/>
      <c r="D366" s="121"/>
      <c r="E366" s="121" t="s">
        <v>201</v>
      </c>
      <c r="F366" s="121" t="s">
        <v>201</v>
      </c>
      <c r="G366" s="121" t="str">
        <f t="shared" si="29"/>
        <v/>
      </c>
      <c r="H366" s="121"/>
      <c r="I366" s="121"/>
      <c r="J366" s="121"/>
      <c r="K366" s="121"/>
      <c r="L366" s="236"/>
      <c r="M366" s="137">
        <v>8</v>
      </c>
      <c r="N366" s="137"/>
      <c r="O366" s="139"/>
      <c r="P366" s="140"/>
      <c r="AC366" s="19" t="e">
        <f t="shared" si="28"/>
        <v>#N/A</v>
      </c>
    </row>
    <row r="367" spans="1:35" ht="25" customHeight="1">
      <c r="A367" s="174"/>
      <c r="B367" s="121"/>
      <c r="C367" s="121"/>
      <c r="D367" s="121"/>
      <c r="E367" s="121" t="s">
        <v>201</v>
      </c>
      <c r="F367" s="121" t="s">
        <v>201</v>
      </c>
      <c r="G367" s="121" t="str">
        <f t="shared" si="29"/>
        <v/>
      </c>
      <c r="H367" s="121"/>
      <c r="I367" s="121"/>
      <c r="J367" s="121"/>
      <c r="K367" s="121"/>
      <c r="L367" s="236"/>
      <c r="M367" s="137">
        <v>9</v>
      </c>
      <c r="N367" s="137"/>
      <c r="O367" s="139"/>
      <c r="P367" s="140"/>
      <c r="AC367" s="19" t="e">
        <f t="shared" si="28"/>
        <v>#N/A</v>
      </c>
    </row>
    <row r="368" spans="1:35" ht="24" customHeight="1">
      <c r="A368" s="174"/>
      <c r="B368" s="121"/>
      <c r="C368" s="121"/>
      <c r="D368" s="121"/>
      <c r="E368" s="121" t="s">
        <v>201</v>
      </c>
      <c r="F368" s="121" t="s">
        <v>201</v>
      </c>
      <c r="G368" s="121" t="str">
        <f t="shared" si="29"/>
        <v/>
      </c>
      <c r="H368" s="121"/>
      <c r="I368" s="121"/>
      <c r="J368" s="121"/>
      <c r="K368" s="121"/>
      <c r="L368" s="236"/>
      <c r="M368" s="137">
        <v>10</v>
      </c>
      <c r="N368" s="137"/>
      <c r="O368" s="139"/>
      <c r="P368" s="140"/>
      <c r="AC368" s="19" t="e">
        <f t="shared" si="28"/>
        <v>#N/A</v>
      </c>
    </row>
    <row r="369" spans="1:35" ht="24" customHeight="1">
      <c r="A369" s="174"/>
      <c r="B369" s="121"/>
      <c r="C369" s="121"/>
      <c r="D369" s="121"/>
      <c r="E369" s="121" t="s">
        <v>201</v>
      </c>
      <c r="F369" s="121" t="s">
        <v>201</v>
      </c>
      <c r="G369" s="121" t="str">
        <f t="shared" si="29"/>
        <v/>
      </c>
      <c r="H369" s="121"/>
      <c r="I369" s="121"/>
      <c r="J369" s="121"/>
      <c r="K369" s="121"/>
      <c r="L369" s="236"/>
      <c r="M369" s="139"/>
      <c r="N369" s="139"/>
      <c r="O369" s="139"/>
      <c r="P369" s="140"/>
      <c r="AC369" s="19" t="e">
        <f t="shared" si="28"/>
        <v>#N/A</v>
      </c>
    </row>
    <row r="370" spans="1:35" ht="21">
      <c r="A370" s="174"/>
      <c r="B370" s="121"/>
      <c r="C370" s="121"/>
      <c r="D370" s="121"/>
      <c r="E370" s="121" t="s">
        <v>201</v>
      </c>
      <c r="F370" s="121" t="s">
        <v>201</v>
      </c>
      <c r="G370" s="121" t="str">
        <f t="shared" si="29"/>
        <v/>
      </c>
      <c r="H370" s="121"/>
      <c r="I370" s="121"/>
      <c r="J370" s="121"/>
      <c r="K370" s="121"/>
      <c r="L370" s="236"/>
      <c r="M370" s="139"/>
      <c r="N370" s="139"/>
      <c r="O370" s="139"/>
      <c r="P370" s="140"/>
      <c r="AC370" s="19" t="e">
        <f t="shared" si="28"/>
        <v>#N/A</v>
      </c>
    </row>
    <row r="371" spans="1:35" ht="21">
      <c r="A371" s="174"/>
      <c r="B371" s="121"/>
      <c r="C371" s="121"/>
      <c r="D371" s="121"/>
      <c r="E371" s="121" t="s">
        <v>201</v>
      </c>
      <c r="F371" s="121" t="s">
        <v>201</v>
      </c>
      <c r="G371" s="121" t="str">
        <f t="shared" si="29"/>
        <v/>
      </c>
      <c r="H371" s="121"/>
      <c r="I371" s="121"/>
      <c r="J371" s="121"/>
      <c r="K371" s="121"/>
      <c r="L371" s="236"/>
      <c r="M371" s="139"/>
      <c r="N371" s="139"/>
      <c r="O371" s="139"/>
      <c r="P371" s="140"/>
      <c r="AC371" s="19" t="e">
        <f t="shared" si="28"/>
        <v>#N/A</v>
      </c>
    </row>
    <row r="372" spans="1:35" ht="21">
      <c r="A372" s="174"/>
      <c r="B372" s="121"/>
      <c r="C372" s="121"/>
      <c r="D372" s="121"/>
      <c r="E372" s="121" t="s">
        <v>201</v>
      </c>
      <c r="F372" s="121" t="s">
        <v>201</v>
      </c>
      <c r="G372" s="121" t="str">
        <f t="shared" si="29"/>
        <v/>
      </c>
      <c r="H372" s="121"/>
      <c r="I372" s="121"/>
      <c r="J372" s="121"/>
      <c r="K372" s="121"/>
      <c r="L372" s="236"/>
      <c r="M372" s="139"/>
      <c r="N372" s="139"/>
      <c r="O372" s="139"/>
      <c r="P372" s="140"/>
      <c r="AC372" s="19" t="e">
        <f t="shared" si="28"/>
        <v>#N/A</v>
      </c>
    </row>
    <row r="373" spans="1:35" ht="21">
      <c r="A373" s="174"/>
      <c r="B373" s="121"/>
      <c r="C373" s="121"/>
      <c r="D373" s="121"/>
      <c r="E373" s="121" t="s">
        <v>201</v>
      </c>
      <c r="F373" s="121" t="s">
        <v>201</v>
      </c>
      <c r="G373" s="121" t="str">
        <f t="shared" si="29"/>
        <v/>
      </c>
      <c r="H373" s="121"/>
      <c r="I373" s="121"/>
      <c r="J373" s="121"/>
      <c r="K373" s="121"/>
      <c r="L373" s="236"/>
      <c r="M373" s="139"/>
      <c r="N373" s="139"/>
      <c r="O373" s="139"/>
      <c r="P373" s="140"/>
      <c r="AC373" s="19" t="e">
        <f t="shared" si="28"/>
        <v>#N/A</v>
      </c>
    </row>
    <row r="374" spans="1:35" ht="21">
      <c r="A374" s="174"/>
      <c r="B374" s="121"/>
      <c r="C374" s="121"/>
      <c r="D374" s="121"/>
      <c r="E374" s="121" t="s">
        <v>201</v>
      </c>
      <c r="F374" s="121" t="s">
        <v>201</v>
      </c>
      <c r="G374" s="121" t="str">
        <f t="shared" si="29"/>
        <v/>
      </c>
      <c r="H374" s="121"/>
      <c r="I374" s="121"/>
      <c r="J374" s="121"/>
      <c r="K374" s="121"/>
      <c r="L374" s="236"/>
      <c r="M374" s="139"/>
      <c r="N374" s="139"/>
      <c r="O374" s="139"/>
      <c r="P374" s="140"/>
      <c r="AC374" s="19" t="e">
        <f t="shared" si="28"/>
        <v>#N/A</v>
      </c>
    </row>
    <row r="375" spans="1:35" ht="21">
      <c r="A375" s="174"/>
      <c r="B375" s="121"/>
      <c r="C375" s="121"/>
      <c r="D375" s="121"/>
      <c r="E375" s="121" t="s">
        <v>201</v>
      </c>
      <c r="F375" s="121" t="s">
        <v>201</v>
      </c>
      <c r="G375" s="121" t="str">
        <f t="shared" si="29"/>
        <v/>
      </c>
      <c r="H375" s="121"/>
      <c r="I375" s="121"/>
      <c r="J375" s="121"/>
      <c r="K375" s="121"/>
      <c r="L375" s="236"/>
      <c r="M375" s="139"/>
      <c r="N375" s="139"/>
      <c r="O375" s="139"/>
      <c r="P375" s="140"/>
      <c r="AC375" s="19"/>
    </row>
    <row r="376" spans="1:35">
      <c r="A376" s="236"/>
      <c r="B376" s="236"/>
      <c r="C376" s="236"/>
      <c r="D376" s="236"/>
      <c r="E376" s="236"/>
      <c r="F376" s="236"/>
      <c r="G376" s="236"/>
      <c r="H376" s="236"/>
      <c r="I376" s="236"/>
      <c r="J376" s="236"/>
      <c r="K376" s="236"/>
      <c r="L376" s="236"/>
    </row>
    <row r="378" spans="1:35" ht="46" customHeight="1">
      <c r="A378" s="174"/>
      <c r="B378" s="169" t="s">
        <v>254</v>
      </c>
      <c r="C378" s="167"/>
      <c r="D378" s="167"/>
      <c r="E378" s="167"/>
      <c r="F378" s="167"/>
      <c r="G378" s="167"/>
      <c r="H378" s="168"/>
      <c r="I378" s="168"/>
      <c r="J378" s="168"/>
      <c r="K378" s="168"/>
      <c r="L378" s="236"/>
      <c r="M378" s="165"/>
      <c r="N378" s="165"/>
      <c r="O378" s="165"/>
      <c r="P378" s="165"/>
      <c r="Q378" s="165"/>
      <c r="R378" s="165"/>
      <c r="S378" s="165"/>
      <c r="T378" s="165"/>
      <c r="U378" s="165"/>
      <c r="V378" s="165"/>
      <c r="W378" s="165"/>
    </row>
    <row r="379" spans="1:35">
      <c r="A379" s="174" t="s">
        <v>197</v>
      </c>
      <c r="B379" s="215" t="s">
        <v>255</v>
      </c>
      <c r="C379" s="215"/>
      <c r="D379" s="215"/>
      <c r="E379" s="215"/>
      <c r="F379" s="215"/>
      <c r="G379" s="215"/>
      <c r="H379" s="215"/>
      <c r="I379" s="215" t="s">
        <v>30</v>
      </c>
      <c r="J379" s="215"/>
      <c r="K379" s="170"/>
      <c r="L379" s="236"/>
    </row>
    <row r="380" spans="1:35">
      <c r="A380" s="174" t="s">
        <v>246</v>
      </c>
      <c r="B380" s="215" t="s">
        <v>244</v>
      </c>
      <c r="C380" s="215"/>
      <c r="D380" s="215"/>
      <c r="E380" s="215"/>
      <c r="F380" s="215"/>
      <c r="G380" s="215"/>
      <c r="H380" s="215"/>
      <c r="I380" s="215" t="s">
        <v>31</v>
      </c>
      <c r="J380" s="215"/>
      <c r="K380" s="170"/>
      <c r="L380" s="236"/>
    </row>
    <row r="381" spans="1:35">
      <c r="A381" s="174"/>
      <c r="B381" s="215" t="s">
        <v>247</v>
      </c>
      <c r="C381" s="215"/>
      <c r="D381" s="215"/>
      <c r="E381" s="215"/>
      <c r="F381" s="215"/>
      <c r="G381" s="215"/>
      <c r="H381" s="215"/>
      <c r="I381" s="215" t="s">
        <v>29</v>
      </c>
      <c r="J381" s="215"/>
      <c r="K381" s="173"/>
      <c r="L381" s="236"/>
    </row>
    <row r="382" spans="1:35" s="19" customFormat="1" ht="46" thickBot="1">
      <c r="A382" s="175">
        <f>A357+1</f>
        <v>16</v>
      </c>
      <c r="B382" s="95" t="s">
        <v>32</v>
      </c>
      <c r="C382" s="95" t="s">
        <v>190</v>
      </c>
      <c r="D382" s="95" t="s">
        <v>33</v>
      </c>
      <c r="E382" s="95" t="s">
        <v>36</v>
      </c>
      <c r="F382" s="95" t="s">
        <v>196</v>
      </c>
      <c r="G382" s="95" t="s">
        <v>37</v>
      </c>
      <c r="H382" s="95" t="s">
        <v>34</v>
      </c>
      <c r="I382" s="95" t="s">
        <v>250</v>
      </c>
      <c r="J382" s="95" t="s">
        <v>35</v>
      </c>
      <c r="K382" s="95" t="s">
        <v>191</v>
      </c>
      <c r="L382" s="236"/>
      <c r="M382" s="128"/>
      <c r="N382" s="141" t="s">
        <v>248</v>
      </c>
      <c r="O382" s="128"/>
      <c r="P382" s="138"/>
      <c r="AC382" s="19" t="e">
        <f t="shared" ref="AC382:AC399" si="30">VLOOKUP(F383,Z$10:AA$14,2,FALSE)</f>
        <v>#N/A</v>
      </c>
      <c r="AI382" s="19" t="e">
        <f>VLOOKUP(G383,$AF$8:$AG$12,2,FALSE)</f>
        <v>#N/A</v>
      </c>
    </row>
    <row r="383" spans="1:35" ht="22" thickBot="1">
      <c r="A383" s="174"/>
      <c r="B383" s="121"/>
      <c r="C383" s="121"/>
      <c r="D383" s="121"/>
      <c r="E383" s="121" t="s">
        <v>201</v>
      </c>
      <c r="F383" s="121" t="s">
        <v>201</v>
      </c>
      <c r="G383" s="121" t="str">
        <f>IF(ISERROR(VLOOKUP(E383,Q$10:V$14,AC382+1,FALSE)),"",VLOOKUP(E383,Q$10:V$14,AC382+1,FALSE))</f>
        <v/>
      </c>
      <c r="H383" s="121"/>
      <c r="I383" s="121"/>
      <c r="J383" s="121"/>
      <c r="K383" s="121"/>
      <c r="L383" s="236"/>
      <c r="M383" s="142" t="s">
        <v>240</v>
      </c>
      <c r="N383" s="139"/>
      <c r="O383" s="139"/>
      <c r="P383" s="140"/>
      <c r="Q383" s="20"/>
      <c r="R383" s="212" t="s">
        <v>38</v>
      </c>
      <c r="S383" s="213"/>
      <c r="T383" s="213"/>
      <c r="U383" s="213"/>
      <c r="V383" s="214"/>
      <c r="AC383" s="19" t="e">
        <f t="shared" si="30"/>
        <v>#N/A</v>
      </c>
      <c r="AF383" s="100" t="s">
        <v>47</v>
      </c>
      <c r="AG383">
        <v>1</v>
      </c>
    </row>
    <row r="384" spans="1:35" ht="24" thickBot="1">
      <c r="A384" s="174"/>
      <c r="B384" s="121"/>
      <c r="C384" s="121"/>
      <c r="D384" s="121"/>
      <c r="E384" s="121" t="s">
        <v>201</v>
      </c>
      <c r="F384" s="121" t="s">
        <v>201</v>
      </c>
      <c r="G384" s="121" t="str">
        <f>IF(ISERROR(VLOOKUP(E384,Q$10:V$14,AC383+1,FALSE)),"",VLOOKUP(E384,Q$10:V$14,AC383+1,FALSE))</f>
        <v/>
      </c>
      <c r="H384" s="121"/>
      <c r="I384" s="121"/>
      <c r="J384" s="121"/>
      <c r="K384" s="121"/>
      <c r="L384" s="236"/>
      <c r="M384" s="137">
        <v>1</v>
      </c>
      <c r="N384" s="137"/>
      <c r="O384" s="139"/>
      <c r="P384" s="140"/>
      <c r="Q384" s="23" t="s">
        <v>39</v>
      </c>
      <c r="R384" s="22" t="s">
        <v>40</v>
      </c>
      <c r="S384" s="22" t="s">
        <v>44</v>
      </c>
      <c r="T384" s="22" t="s">
        <v>241</v>
      </c>
      <c r="U384" s="22" t="s">
        <v>41</v>
      </c>
      <c r="V384" s="22" t="s">
        <v>42</v>
      </c>
      <c r="W384" s="125" t="s">
        <v>201</v>
      </c>
      <c r="AC384" s="19" t="e">
        <f t="shared" si="30"/>
        <v>#N/A</v>
      </c>
      <c r="AF384" s="99" t="s">
        <v>46</v>
      </c>
      <c r="AG384">
        <v>2</v>
      </c>
    </row>
    <row r="385" spans="1:33" ht="24" thickBot="1">
      <c r="A385" s="174"/>
      <c r="B385" s="121"/>
      <c r="C385" s="121"/>
      <c r="D385" s="121"/>
      <c r="E385" s="121" t="s">
        <v>201</v>
      </c>
      <c r="F385" s="121" t="s">
        <v>201</v>
      </c>
      <c r="G385" s="121" t="str">
        <f t="shared" ref="G385:G400" si="31">IF(ISERROR(VLOOKUP(E385,Q$10:V$14,AC384+1,FALSE)),"",VLOOKUP(E385,Q$10:V$14,AC384+1,FALSE))</f>
        <v/>
      </c>
      <c r="H385" s="121"/>
      <c r="I385" s="121"/>
      <c r="J385" s="121"/>
      <c r="K385" s="121"/>
      <c r="L385" s="236"/>
      <c r="M385" s="137">
        <v>2</v>
      </c>
      <c r="N385" s="137"/>
      <c r="O385" s="139"/>
      <c r="P385" s="140"/>
      <c r="Q385" s="21" t="s">
        <v>242</v>
      </c>
      <c r="R385" s="99" t="s">
        <v>256</v>
      </c>
      <c r="S385" s="97" t="s">
        <v>45</v>
      </c>
      <c r="T385" s="172" t="s">
        <v>257</v>
      </c>
      <c r="U385" s="172" t="s">
        <v>257</v>
      </c>
      <c r="V385" s="172" t="s">
        <v>257</v>
      </c>
      <c r="Z385" s="22" t="s">
        <v>40</v>
      </c>
      <c r="AA385">
        <v>1</v>
      </c>
      <c r="AC385" s="19" t="e">
        <f t="shared" si="30"/>
        <v>#N/A</v>
      </c>
      <c r="AF385" s="98" t="s">
        <v>44</v>
      </c>
      <c r="AG385">
        <v>3</v>
      </c>
    </row>
    <row r="386" spans="1:33" ht="24" thickBot="1">
      <c r="A386" s="174"/>
      <c r="B386" s="121"/>
      <c r="C386" s="121"/>
      <c r="D386" s="121"/>
      <c r="E386" s="121" t="s">
        <v>201</v>
      </c>
      <c r="F386" s="121" t="s">
        <v>201</v>
      </c>
      <c r="G386" s="121" t="str">
        <f t="shared" si="31"/>
        <v/>
      </c>
      <c r="H386" s="121"/>
      <c r="I386" s="121"/>
      <c r="J386" s="121"/>
      <c r="K386" s="121"/>
      <c r="L386" s="236"/>
      <c r="M386" s="137">
        <v>3</v>
      </c>
      <c r="N386" s="137"/>
      <c r="O386" s="139"/>
      <c r="P386" s="140"/>
      <c r="Q386" s="21" t="s">
        <v>48</v>
      </c>
      <c r="R386" s="99" t="s">
        <v>256</v>
      </c>
      <c r="S386" s="97" t="s">
        <v>45</v>
      </c>
      <c r="T386" s="97" t="s">
        <v>45</v>
      </c>
      <c r="U386" s="172" t="s">
        <v>257</v>
      </c>
      <c r="V386" s="172" t="s">
        <v>257</v>
      </c>
      <c r="Z386" s="22" t="s">
        <v>44</v>
      </c>
      <c r="AA386">
        <v>2</v>
      </c>
      <c r="AC386" s="19" t="e">
        <f t="shared" si="30"/>
        <v>#N/A</v>
      </c>
      <c r="AF386" s="97" t="s">
        <v>45</v>
      </c>
      <c r="AG386">
        <v>4</v>
      </c>
    </row>
    <row r="387" spans="1:33" ht="24" thickBot="1">
      <c r="A387" s="174"/>
      <c r="B387" s="121"/>
      <c r="C387" s="121"/>
      <c r="D387" s="121"/>
      <c r="E387" s="121" t="s">
        <v>201</v>
      </c>
      <c r="F387" s="121" t="s">
        <v>201</v>
      </c>
      <c r="G387" s="121" t="str">
        <f t="shared" si="31"/>
        <v/>
      </c>
      <c r="H387" s="121"/>
      <c r="I387" s="121"/>
      <c r="J387" s="121"/>
      <c r="K387" s="121"/>
      <c r="L387" s="236"/>
      <c r="M387" s="137">
        <v>4</v>
      </c>
      <c r="N387" s="137"/>
      <c r="O387" s="139"/>
      <c r="P387" s="140"/>
      <c r="Q387" s="21" t="s">
        <v>49</v>
      </c>
      <c r="R387" s="99" t="s">
        <v>46</v>
      </c>
      <c r="S387" s="99" t="s">
        <v>256</v>
      </c>
      <c r="T387" s="98" t="s">
        <v>45</v>
      </c>
      <c r="U387" s="172" t="s">
        <v>257</v>
      </c>
      <c r="V387" s="172" t="s">
        <v>257</v>
      </c>
      <c r="Z387" s="22" t="s">
        <v>241</v>
      </c>
      <c r="AA387">
        <v>3</v>
      </c>
      <c r="AC387" s="19" t="e">
        <f t="shared" si="30"/>
        <v>#N/A</v>
      </c>
      <c r="AF387" s="96" t="s">
        <v>43</v>
      </c>
      <c r="AG387">
        <v>5</v>
      </c>
    </row>
    <row r="388" spans="1:33" ht="24" thickBot="1">
      <c r="A388" s="174"/>
      <c r="B388" s="121"/>
      <c r="C388" s="121"/>
      <c r="D388" s="121"/>
      <c r="E388" s="121" t="s">
        <v>201</v>
      </c>
      <c r="F388" s="121" t="s">
        <v>201</v>
      </c>
      <c r="G388" s="121" t="str">
        <f t="shared" si="31"/>
        <v/>
      </c>
      <c r="H388" s="121"/>
      <c r="I388" s="121"/>
      <c r="J388" s="121"/>
      <c r="K388" s="121"/>
      <c r="L388" s="236"/>
      <c r="M388" s="137">
        <v>5</v>
      </c>
      <c r="N388" s="137"/>
      <c r="O388" s="139"/>
      <c r="P388" s="140"/>
      <c r="Q388" s="21" t="s">
        <v>50</v>
      </c>
      <c r="R388" s="99" t="s">
        <v>46</v>
      </c>
      <c r="S388" s="99" t="s">
        <v>46</v>
      </c>
      <c r="T388" s="99" t="s">
        <v>256</v>
      </c>
      <c r="U388" s="98" t="s">
        <v>45</v>
      </c>
      <c r="V388" s="172" t="s">
        <v>257</v>
      </c>
      <c r="Z388" s="22" t="s">
        <v>41</v>
      </c>
      <c r="AA388">
        <v>4</v>
      </c>
      <c r="AC388" s="19" t="e">
        <f t="shared" si="30"/>
        <v>#N/A</v>
      </c>
    </row>
    <row r="389" spans="1:33" ht="24" thickBot="1">
      <c r="A389" s="174"/>
      <c r="B389" s="121"/>
      <c r="C389" s="121"/>
      <c r="D389" s="121"/>
      <c r="E389" s="121" t="s">
        <v>201</v>
      </c>
      <c r="F389" s="121" t="s">
        <v>201</v>
      </c>
      <c r="G389" s="121" t="str">
        <f t="shared" si="31"/>
        <v/>
      </c>
      <c r="H389" s="121"/>
      <c r="I389" s="121"/>
      <c r="J389" s="121"/>
      <c r="K389" s="121"/>
      <c r="L389" s="236"/>
      <c r="M389" s="137">
        <v>6</v>
      </c>
      <c r="N389" s="137"/>
      <c r="O389" s="139"/>
      <c r="P389" s="140"/>
      <c r="Q389" s="21" t="s">
        <v>243</v>
      </c>
      <c r="R389" s="100" t="s">
        <v>46</v>
      </c>
      <c r="S389" s="99" t="s">
        <v>46</v>
      </c>
      <c r="T389" s="99" t="s">
        <v>256</v>
      </c>
      <c r="U389" s="98" t="s">
        <v>45</v>
      </c>
      <c r="V389" s="98" t="s">
        <v>45</v>
      </c>
      <c r="Z389" s="22" t="s">
        <v>42</v>
      </c>
      <c r="AA389">
        <v>5</v>
      </c>
      <c r="AC389" s="19" t="e">
        <f t="shared" si="30"/>
        <v>#N/A</v>
      </c>
    </row>
    <row r="390" spans="1:33" ht="23">
      <c r="A390" s="174"/>
      <c r="B390" s="121"/>
      <c r="C390" s="121"/>
      <c r="D390" s="121"/>
      <c r="E390" s="121" t="s">
        <v>201</v>
      </c>
      <c r="F390" s="121" t="s">
        <v>201</v>
      </c>
      <c r="G390" s="121" t="str">
        <f t="shared" si="31"/>
        <v/>
      </c>
      <c r="H390" s="121"/>
      <c r="I390" s="121"/>
      <c r="J390" s="121"/>
      <c r="K390" s="121"/>
      <c r="L390" s="236"/>
      <c r="M390" s="137">
        <v>7</v>
      </c>
      <c r="N390" s="137"/>
      <c r="O390" s="139"/>
      <c r="P390" s="140"/>
      <c r="Q390" s="124" t="s">
        <v>201</v>
      </c>
      <c r="AC390" s="19" t="e">
        <f t="shared" si="30"/>
        <v>#N/A</v>
      </c>
    </row>
    <row r="391" spans="1:33" ht="23">
      <c r="A391" s="174"/>
      <c r="B391" s="121"/>
      <c r="C391" s="121"/>
      <c r="D391" s="121"/>
      <c r="E391" s="121" t="s">
        <v>201</v>
      </c>
      <c r="F391" s="121" t="s">
        <v>201</v>
      </c>
      <c r="G391" s="121" t="str">
        <f t="shared" si="31"/>
        <v/>
      </c>
      <c r="H391" s="121"/>
      <c r="I391" s="121"/>
      <c r="J391" s="121"/>
      <c r="K391" s="121"/>
      <c r="L391" s="236"/>
      <c r="M391" s="137">
        <v>8</v>
      </c>
      <c r="N391" s="137"/>
      <c r="O391" s="139"/>
      <c r="P391" s="140"/>
      <c r="AC391" s="19" t="e">
        <f t="shared" si="30"/>
        <v>#N/A</v>
      </c>
    </row>
    <row r="392" spans="1:33" ht="25" customHeight="1">
      <c r="A392" s="174"/>
      <c r="B392" s="121"/>
      <c r="C392" s="121"/>
      <c r="D392" s="121"/>
      <c r="E392" s="121" t="s">
        <v>201</v>
      </c>
      <c r="F392" s="121" t="s">
        <v>201</v>
      </c>
      <c r="G392" s="121" t="str">
        <f t="shared" si="31"/>
        <v/>
      </c>
      <c r="H392" s="121"/>
      <c r="I392" s="121"/>
      <c r="J392" s="121"/>
      <c r="K392" s="121"/>
      <c r="L392" s="236"/>
      <c r="M392" s="137">
        <v>9</v>
      </c>
      <c r="N392" s="137"/>
      <c r="O392" s="139"/>
      <c r="P392" s="140"/>
      <c r="AC392" s="19" t="e">
        <f t="shared" si="30"/>
        <v>#N/A</v>
      </c>
    </row>
    <row r="393" spans="1:33" ht="24" customHeight="1">
      <c r="A393" s="174"/>
      <c r="B393" s="121"/>
      <c r="C393" s="121"/>
      <c r="D393" s="121"/>
      <c r="E393" s="121" t="s">
        <v>201</v>
      </c>
      <c r="F393" s="121" t="s">
        <v>201</v>
      </c>
      <c r="G393" s="121" t="str">
        <f t="shared" si="31"/>
        <v/>
      </c>
      <c r="H393" s="121"/>
      <c r="I393" s="121"/>
      <c r="J393" s="121"/>
      <c r="K393" s="121"/>
      <c r="L393" s="236"/>
      <c r="M393" s="137">
        <v>10</v>
      </c>
      <c r="N393" s="137"/>
      <c r="O393" s="139"/>
      <c r="P393" s="140"/>
      <c r="AC393" s="19" t="e">
        <f t="shared" si="30"/>
        <v>#N/A</v>
      </c>
    </row>
    <row r="394" spans="1:33" ht="24" customHeight="1">
      <c r="A394" s="174"/>
      <c r="B394" s="121"/>
      <c r="C394" s="121"/>
      <c r="D394" s="121"/>
      <c r="E394" s="121" t="s">
        <v>201</v>
      </c>
      <c r="F394" s="121" t="s">
        <v>201</v>
      </c>
      <c r="G394" s="121" t="str">
        <f t="shared" si="31"/>
        <v/>
      </c>
      <c r="H394" s="121"/>
      <c r="I394" s="121"/>
      <c r="J394" s="121"/>
      <c r="K394" s="121"/>
      <c r="L394" s="236"/>
      <c r="M394" s="139"/>
      <c r="N394" s="139"/>
      <c r="O394" s="139"/>
      <c r="P394" s="140"/>
      <c r="AC394" s="19" t="e">
        <f t="shared" si="30"/>
        <v>#N/A</v>
      </c>
    </row>
    <row r="395" spans="1:33" ht="21">
      <c r="A395" s="174"/>
      <c r="B395" s="121"/>
      <c r="C395" s="121"/>
      <c r="D395" s="121"/>
      <c r="E395" s="121" t="s">
        <v>201</v>
      </c>
      <c r="F395" s="121" t="s">
        <v>201</v>
      </c>
      <c r="G395" s="121" t="str">
        <f t="shared" si="31"/>
        <v/>
      </c>
      <c r="H395" s="121"/>
      <c r="I395" s="121"/>
      <c r="J395" s="121"/>
      <c r="K395" s="121"/>
      <c r="L395" s="236"/>
      <c r="M395" s="139"/>
      <c r="N395" s="139"/>
      <c r="O395" s="139"/>
      <c r="P395" s="140"/>
      <c r="AC395" s="19" t="e">
        <f t="shared" si="30"/>
        <v>#N/A</v>
      </c>
    </row>
    <row r="396" spans="1:33" ht="21">
      <c r="A396" s="174"/>
      <c r="B396" s="121"/>
      <c r="C396" s="121"/>
      <c r="D396" s="121"/>
      <c r="E396" s="121" t="s">
        <v>201</v>
      </c>
      <c r="F396" s="121" t="s">
        <v>201</v>
      </c>
      <c r="G396" s="121" t="str">
        <f t="shared" si="31"/>
        <v/>
      </c>
      <c r="H396" s="121"/>
      <c r="I396" s="121"/>
      <c r="J396" s="121"/>
      <c r="K396" s="121"/>
      <c r="L396" s="236"/>
      <c r="M396" s="139"/>
      <c r="N396" s="139"/>
      <c r="O396" s="139"/>
      <c r="P396" s="140"/>
      <c r="AC396" s="19" t="e">
        <f t="shared" si="30"/>
        <v>#N/A</v>
      </c>
    </row>
    <row r="397" spans="1:33" ht="21">
      <c r="A397" s="174"/>
      <c r="B397" s="121"/>
      <c r="C397" s="121"/>
      <c r="D397" s="121"/>
      <c r="E397" s="121" t="s">
        <v>201</v>
      </c>
      <c r="F397" s="121" t="s">
        <v>201</v>
      </c>
      <c r="G397" s="121" t="str">
        <f t="shared" si="31"/>
        <v/>
      </c>
      <c r="H397" s="121"/>
      <c r="I397" s="121"/>
      <c r="J397" s="121"/>
      <c r="K397" s="121"/>
      <c r="L397" s="236"/>
      <c r="M397" s="139"/>
      <c r="N397" s="139"/>
      <c r="O397" s="139"/>
      <c r="P397" s="140"/>
      <c r="AC397" s="19" t="e">
        <f t="shared" si="30"/>
        <v>#N/A</v>
      </c>
    </row>
    <row r="398" spans="1:33" ht="21">
      <c r="A398" s="174"/>
      <c r="B398" s="121"/>
      <c r="C398" s="121"/>
      <c r="D398" s="121"/>
      <c r="E398" s="121" t="s">
        <v>201</v>
      </c>
      <c r="F398" s="121" t="s">
        <v>201</v>
      </c>
      <c r="G398" s="121" t="str">
        <f t="shared" si="31"/>
        <v/>
      </c>
      <c r="H398" s="121"/>
      <c r="I398" s="121"/>
      <c r="J398" s="121"/>
      <c r="K398" s="121"/>
      <c r="L398" s="236"/>
      <c r="M398" s="139"/>
      <c r="N398" s="139"/>
      <c r="O398" s="139"/>
      <c r="P398" s="140"/>
      <c r="AC398" s="19" t="e">
        <f t="shared" si="30"/>
        <v>#N/A</v>
      </c>
    </row>
    <row r="399" spans="1:33" ht="21">
      <c r="A399" s="174"/>
      <c r="B399" s="121"/>
      <c r="C399" s="121"/>
      <c r="D399" s="121"/>
      <c r="E399" s="121" t="s">
        <v>201</v>
      </c>
      <c r="F399" s="121" t="s">
        <v>201</v>
      </c>
      <c r="G399" s="121" t="str">
        <f t="shared" si="31"/>
        <v/>
      </c>
      <c r="H399" s="121"/>
      <c r="I399" s="121"/>
      <c r="J399" s="121"/>
      <c r="K399" s="121"/>
      <c r="L399" s="236"/>
      <c r="M399" s="139"/>
      <c r="N399" s="139"/>
      <c r="O399" s="139"/>
      <c r="P399" s="140"/>
      <c r="AC399" s="19" t="e">
        <f t="shared" si="30"/>
        <v>#N/A</v>
      </c>
    </row>
    <row r="400" spans="1:33" ht="21">
      <c r="A400" s="174"/>
      <c r="B400" s="121"/>
      <c r="C400" s="121"/>
      <c r="D400" s="121"/>
      <c r="E400" s="121" t="s">
        <v>201</v>
      </c>
      <c r="F400" s="121" t="s">
        <v>201</v>
      </c>
      <c r="G400" s="121" t="str">
        <f t="shared" si="31"/>
        <v/>
      </c>
      <c r="H400" s="121"/>
      <c r="I400" s="121"/>
      <c r="J400" s="121"/>
      <c r="K400" s="121"/>
      <c r="L400" s="236"/>
      <c r="M400" s="139"/>
      <c r="N400" s="139"/>
      <c r="O400" s="139"/>
      <c r="P400" s="140"/>
      <c r="AC400" s="19"/>
    </row>
    <row r="401" spans="1:35">
      <c r="A401" s="236"/>
      <c r="B401" s="236"/>
      <c r="C401" s="236"/>
      <c r="D401" s="236"/>
      <c r="E401" s="236"/>
      <c r="F401" s="236"/>
      <c r="G401" s="236"/>
      <c r="H401" s="236"/>
      <c r="I401" s="236"/>
      <c r="J401" s="236"/>
      <c r="K401" s="236"/>
      <c r="L401" s="236"/>
    </row>
    <row r="403" spans="1:35" ht="46" customHeight="1">
      <c r="A403" s="174"/>
      <c r="B403" s="169" t="s">
        <v>254</v>
      </c>
      <c r="C403" s="167"/>
      <c r="D403" s="167"/>
      <c r="E403" s="167"/>
      <c r="F403" s="167"/>
      <c r="G403" s="167"/>
      <c r="H403" s="168"/>
      <c r="I403" s="168"/>
      <c r="J403" s="168"/>
      <c r="K403" s="168"/>
      <c r="L403" s="236"/>
      <c r="M403" s="165"/>
      <c r="N403" s="165"/>
      <c r="O403" s="165"/>
      <c r="P403" s="165"/>
      <c r="Q403" s="165"/>
      <c r="R403" s="165"/>
      <c r="S403" s="165"/>
      <c r="T403" s="165"/>
      <c r="U403" s="165"/>
      <c r="V403" s="165"/>
      <c r="W403" s="165"/>
    </row>
    <row r="404" spans="1:35">
      <c r="A404" s="174" t="s">
        <v>197</v>
      </c>
      <c r="B404" s="215" t="s">
        <v>255</v>
      </c>
      <c r="C404" s="215"/>
      <c r="D404" s="215"/>
      <c r="E404" s="215"/>
      <c r="F404" s="215"/>
      <c r="G404" s="215"/>
      <c r="H404" s="215"/>
      <c r="I404" s="215" t="s">
        <v>30</v>
      </c>
      <c r="J404" s="215"/>
      <c r="K404" s="170"/>
      <c r="L404" s="236"/>
    </row>
    <row r="405" spans="1:35">
      <c r="A405" s="174" t="s">
        <v>246</v>
      </c>
      <c r="B405" s="215" t="s">
        <v>244</v>
      </c>
      <c r="C405" s="215"/>
      <c r="D405" s="215"/>
      <c r="E405" s="215"/>
      <c r="F405" s="215"/>
      <c r="G405" s="215"/>
      <c r="H405" s="215"/>
      <c r="I405" s="215" t="s">
        <v>31</v>
      </c>
      <c r="J405" s="215"/>
      <c r="K405" s="170"/>
      <c r="L405" s="236"/>
    </row>
    <row r="406" spans="1:35">
      <c r="A406" s="174"/>
      <c r="B406" s="215" t="s">
        <v>247</v>
      </c>
      <c r="C406" s="215"/>
      <c r="D406" s="215"/>
      <c r="E406" s="215"/>
      <c r="F406" s="215"/>
      <c r="G406" s="215"/>
      <c r="H406" s="215"/>
      <c r="I406" s="215" t="s">
        <v>29</v>
      </c>
      <c r="J406" s="215"/>
      <c r="K406" s="173"/>
      <c r="L406" s="236"/>
    </row>
    <row r="407" spans="1:35" s="19" customFormat="1" ht="46" thickBot="1">
      <c r="A407" s="175">
        <f>A382+1</f>
        <v>17</v>
      </c>
      <c r="B407" s="95" t="s">
        <v>32</v>
      </c>
      <c r="C407" s="95" t="s">
        <v>190</v>
      </c>
      <c r="D407" s="95" t="s">
        <v>33</v>
      </c>
      <c r="E407" s="95" t="s">
        <v>36</v>
      </c>
      <c r="F407" s="95" t="s">
        <v>196</v>
      </c>
      <c r="G407" s="95" t="s">
        <v>37</v>
      </c>
      <c r="H407" s="95" t="s">
        <v>34</v>
      </c>
      <c r="I407" s="95" t="s">
        <v>250</v>
      </c>
      <c r="J407" s="95" t="s">
        <v>35</v>
      </c>
      <c r="K407" s="95" t="s">
        <v>191</v>
      </c>
      <c r="L407" s="236"/>
      <c r="M407" s="128"/>
      <c r="N407" s="141" t="s">
        <v>248</v>
      </c>
      <c r="O407" s="128"/>
      <c r="P407" s="138"/>
      <c r="AC407" s="19" t="e">
        <f t="shared" ref="AC407:AC424" si="32">VLOOKUP(F408,Z$10:AA$14,2,FALSE)</f>
        <v>#N/A</v>
      </c>
      <c r="AI407" s="19" t="e">
        <f>VLOOKUP(G408,$AF$8:$AG$12,2,FALSE)</f>
        <v>#N/A</v>
      </c>
    </row>
    <row r="408" spans="1:35" ht="22" thickBot="1">
      <c r="A408" s="174"/>
      <c r="B408" s="121"/>
      <c r="C408" s="121"/>
      <c r="D408" s="121"/>
      <c r="E408" s="121" t="s">
        <v>201</v>
      </c>
      <c r="F408" s="121" t="s">
        <v>201</v>
      </c>
      <c r="G408" s="121" t="str">
        <f>IF(ISERROR(VLOOKUP(E408,Q$10:V$14,AC407+1,FALSE)),"",VLOOKUP(E408,Q$10:V$14,AC407+1,FALSE))</f>
        <v/>
      </c>
      <c r="H408" s="121"/>
      <c r="I408" s="121"/>
      <c r="J408" s="121"/>
      <c r="K408" s="121"/>
      <c r="L408" s="236"/>
      <c r="M408" s="142" t="s">
        <v>240</v>
      </c>
      <c r="N408" s="139"/>
      <c r="O408" s="139"/>
      <c r="P408" s="140"/>
      <c r="Q408" s="20"/>
      <c r="R408" s="212" t="s">
        <v>38</v>
      </c>
      <c r="S408" s="213"/>
      <c r="T408" s="213"/>
      <c r="U408" s="213"/>
      <c r="V408" s="214"/>
      <c r="AC408" s="19" t="e">
        <f t="shared" si="32"/>
        <v>#N/A</v>
      </c>
      <c r="AF408" s="100" t="s">
        <v>47</v>
      </c>
      <c r="AG408">
        <v>1</v>
      </c>
    </row>
    <row r="409" spans="1:35" ht="24" thickBot="1">
      <c r="A409" s="174"/>
      <c r="B409" s="121"/>
      <c r="C409" s="121"/>
      <c r="D409" s="121"/>
      <c r="E409" s="121" t="s">
        <v>201</v>
      </c>
      <c r="F409" s="121" t="s">
        <v>201</v>
      </c>
      <c r="G409" s="121" t="str">
        <f>IF(ISERROR(VLOOKUP(E409,Q$10:V$14,AC408+1,FALSE)),"",VLOOKUP(E409,Q$10:V$14,AC408+1,FALSE))</f>
        <v/>
      </c>
      <c r="H409" s="121"/>
      <c r="I409" s="121"/>
      <c r="J409" s="121"/>
      <c r="K409" s="121"/>
      <c r="L409" s="236"/>
      <c r="M409" s="137">
        <v>1</v>
      </c>
      <c r="N409" s="137"/>
      <c r="O409" s="139"/>
      <c r="P409" s="140"/>
      <c r="Q409" s="23" t="s">
        <v>39</v>
      </c>
      <c r="R409" s="22" t="s">
        <v>40</v>
      </c>
      <c r="S409" s="22" t="s">
        <v>44</v>
      </c>
      <c r="T409" s="22" t="s">
        <v>241</v>
      </c>
      <c r="U409" s="22" t="s">
        <v>41</v>
      </c>
      <c r="V409" s="22" t="s">
        <v>42</v>
      </c>
      <c r="W409" s="125" t="s">
        <v>201</v>
      </c>
      <c r="AC409" s="19" t="e">
        <f t="shared" si="32"/>
        <v>#N/A</v>
      </c>
      <c r="AF409" s="99" t="s">
        <v>46</v>
      </c>
      <c r="AG409">
        <v>2</v>
      </c>
    </row>
    <row r="410" spans="1:35" ht="24" thickBot="1">
      <c r="A410" s="174"/>
      <c r="B410" s="121"/>
      <c r="C410" s="121"/>
      <c r="D410" s="121"/>
      <c r="E410" s="121" t="s">
        <v>201</v>
      </c>
      <c r="F410" s="121" t="s">
        <v>201</v>
      </c>
      <c r="G410" s="121" t="str">
        <f t="shared" ref="G410:G425" si="33">IF(ISERROR(VLOOKUP(E410,Q$10:V$14,AC409+1,FALSE)),"",VLOOKUP(E410,Q$10:V$14,AC409+1,FALSE))</f>
        <v/>
      </c>
      <c r="H410" s="121"/>
      <c r="I410" s="121"/>
      <c r="J410" s="121"/>
      <c r="K410" s="121"/>
      <c r="L410" s="236"/>
      <c r="M410" s="137">
        <v>2</v>
      </c>
      <c r="N410" s="137"/>
      <c r="O410" s="139"/>
      <c r="P410" s="140"/>
      <c r="Q410" s="21" t="s">
        <v>242</v>
      </c>
      <c r="R410" s="99" t="s">
        <v>256</v>
      </c>
      <c r="S410" s="97" t="s">
        <v>45</v>
      </c>
      <c r="T410" s="172" t="s">
        <v>257</v>
      </c>
      <c r="U410" s="172" t="s">
        <v>257</v>
      </c>
      <c r="V410" s="172" t="s">
        <v>257</v>
      </c>
      <c r="Z410" s="22" t="s">
        <v>40</v>
      </c>
      <c r="AA410">
        <v>1</v>
      </c>
      <c r="AC410" s="19" t="e">
        <f t="shared" si="32"/>
        <v>#N/A</v>
      </c>
      <c r="AF410" s="98" t="s">
        <v>44</v>
      </c>
      <c r="AG410">
        <v>3</v>
      </c>
    </row>
    <row r="411" spans="1:35" ht="24" thickBot="1">
      <c r="A411" s="174"/>
      <c r="B411" s="121"/>
      <c r="C411" s="121"/>
      <c r="D411" s="121"/>
      <c r="E411" s="121" t="s">
        <v>201</v>
      </c>
      <c r="F411" s="121" t="s">
        <v>201</v>
      </c>
      <c r="G411" s="121" t="str">
        <f t="shared" si="33"/>
        <v/>
      </c>
      <c r="H411" s="121"/>
      <c r="I411" s="121"/>
      <c r="J411" s="121"/>
      <c r="K411" s="121"/>
      <c r="L411" s="236"/>
      <c r="M411" s="137">
        <v>3</v>
      </c>
      <c r="N411" s="137"/>
      <c r="O411" s="139"/>
      <c r="P411" s="140"/>
      <c r="Q411" s="21" t="s">
        <v>48</v>
      </c>
      <c r="R411" s="99" t="s">
        <v>256</v>
      </c>
      <c r="S411" s="97" t="s">
        <v>45</v>
      </c>
      <c r="T411" s="97" t="s">
        <v>45</v>
      </c>
      <c r="U411" s="172" t="s">
        <v>257</v>
      </c>
      <c r="V411" s="172" t="s">
        <v>257</v>
      </c>
      <c r="Z411" s="22" t="s">
        <v>44</v>
      </c>
      <c r="AA411">
        <v>2</v>
      </c>
      <c r="AC411" s="19" t="e">
        <f t="shared" si="32"/>
        <v>#N/A</v>
      </c>
      <c r="AF411" s="97" t="s">
        <v>45</v>
      </c>
      <c r="AG411">
        <v>4</v>
      </c>
    </row>
    <row r="412" spans="1:35" ht="24" thickBot="1">
      <c r="A412" s="174"/>
      <c r="B412" s="121"/>
      <c r="C412" s="121"/>
      <c r="D412" s="121"/>
      <c r="E412" s="121" t="s">
        <v>201</v>
      </c>
      <c r="F412" s="121" t="s">
        <v>201</v>
      </c>
      <c r="G412" s="121" t="str">
        <f t="shared" si="33"/>
        <v/>
      </c>
      <c r="H412" s="121"/>
      <c r="I412" s="121"/>
      <c r="J412" s="121"/>
      <c r="K412" s="121"/>
      <c r="L412" s="236"/>
      <c r="M412" s="137">
        <v>4</v>
      </c>
      <c r="N412" s="137"/>
      <c r="O412" s="139"/>
      <c r="P412" s="140"/>
      <c r="Q412" s="21" t="s">
        <v>49</v>
      </c>
      <c r="R412" s="99" t="s">
        <v>46</v>
      </c>
      <c r="S412" s="99" t="s">
        <v>256</v>
      </c>
      <c r="T412" s="98" t="s">
        <v>45</v>
      </c>
      <c r="U412" s="172" t="s">
        <v>257</v>
      </c>
      <c r="V412" s="172" t="s">
        <v>257</v>
      </c>
      <c r="Z412" s="22" t="s">
        <v>241</v>
      </c>
      <c r="AA412">
        <v>3</v>
      </c>
      <c r="AC412" s="19" t="e">
        <f t="shared" si="32"/>
        <v>#N/A</v>
      </c>
      <c r="AF412" s="96" t="s">
        <v>43</v>
      </c>
      <c r="AG412">
        <v>5</v>
      </c>
    </row>
    <row r="413" spans="1:35" ht="24" thickBot="1">
      <c r="A413" s="174"/>
      <c r="B413" s="121"/>
      <c r="C413" s="121"/>
      <c r="D413" s="121"/>
      <c r="E413" s="121" t="s">
        <v>201</v>
      </c>
      <c r="F413" s="121" t="s">
        <v>201</v>
      </c>
      <c r="G413" s="121" t="str">
        <f t="shared" si="33"/>
        <v/>
      </c>
      <c r="H413" s="121"/>
      <c r="I413" s="121"/>
      <c r="J413" s="121"/>
      <c r="K413" s="121"/>
      <c r="L413" s="236"/>
      <c r="M413" s="137">
        <v>5</v>
      </c>
      <c r="N413" s="137"/>
      <c r="O413" s="139"/>
      <c r="P413" s="140"/>
      <c r="Q413" s="21" t="s">
        <v>50</v>
      </c>
      <c r="R413" s="99" t="s">
        <v>46</v>
      </c>
      <c r="S413" s="99" t="s">
        <v>46</v>
      </c>
      <c r="T413" s="99" t="s">
        <v>256</v>
      </c>
      <c r="U413" s="98" t="s">
        <v>45</v>
      </c>
      <c r="V413" s="172" t="s">
        <v>257</v>
      </c>
      <c r="Z413" s="22" t="s">
        <v>41</v>
      </c>
      <c r="AA413">
        <v>4</v>
      </c>
      <c r="AC413" s="19" t="e">
        <f t="shared" si="32"/>
        <v>#N/A</v>
      </c>
    </row>
    <row r="414" spans="1:35" ht="24" thickBot="1">
      <c r="A414" s="174"/>
      <c r="B414" s="121"/>
      <c r="C414" s="121"/>
      <c r="D414" s="121"/>
      <c r="E414" s="121" t="s">
        <v>201</v>
      </c>
      <c r="F414" s="121" t="s">
        <v>201</v>
      </c>
      <c r="G414" s="121" t="str">
        <f t="shared" si="33"/>
        <v/>
      </c>
      <c r="H414" s="121"/>
      <c r="I414" s="121"/>
      <c r="J414" s="121"/>
      <c r="K414" s="121"/>
      <c r="L414" s="236"/>
      <c r="M414" s="137">
        <v>6</v>
      </c>
      <c r="N414" s="137"/>
      <c r="O414" s="139"/>
      <c r="P414" s="140"/>
      <c r="Q414" s="21" t="s">
        <v>243</v>
      </c>
      <c r="R414" s="100" t="s">
        <v>46</v>
      </c>
      <c r="S414" s="99" t="s">
        <v>46</v>
      </c>
      <c r="T414" s="99" t="s">
        <v>256</v>
      </c>
      <c r="U414" s="98" t="s">
        <v>45</v>
      </c>
      <c r="V414" s="98" t="s">
        <v>45</v>
      </c>
      <c r="Z414" s="22" t="s">
        <v>42</v>
      </c>
      <c r="AA414">
        <v>5</v>
      </c>
      <c r="AC414" s="19" t="e">
        <f t="shared" si="32"/>
        <v>#N/A</v>
      </c>
    </row>
    <row r="415" spans="1:35" ht="23">
      <c r="A415" s="174"/>
      <c r="B415" s="121"/>
      <c r="C415" s="121"/>
      <c r="D415" s="121"/>
      <c r="E415" s="121" t="s">
        <v>201</v>
      </c>
      <c r="F415" s="121" t="s">
        <v>201</v>
      </c>
      <c r="G415" s="121" t="str">
        <f t="shared" si="33"/>
        <v/>
      </c>
      <c r="H415" s="121"/>
      <c r="I415" s="121"/>
      <c r="J415" s="121"/>
      <c r="K415" s="121"/>
      <c r="L415" s="236"/>
      <c r="M415" s="137">
        <v>7</v>
      </c>
      <c r="N415" s="137"/>
      <c r="O415" s="139"/>
      <c r="P415" s="140"/>
      <c r="Q415" s="124" t="s">
        <v>201</v>
      </c>
      <c r="AC415" s="19" t="e">
        <f t="shared" si="32"/>
        <v>#N/A</v>
      </c>
    </row>
    <row r="416" spans="1:35" ht="23">
      <c r="A416" s="174"/>
      <c r="B416" s="121"/>
      <c r="C416" s="121"/>
      <c r="D416" s="121"/>
      <c r="E416" s="121" t="s">
        <v>201</v>
      </c>
      <c r="F416" s="121" t="s">
        <v>201</v>
      </c>
      <c r="G416" s="121" t="str">
        <f t="shared" si="33"/>
        <v/>
      </c>
      <c r="H416" s="121"/>
      <c r="I416" s="121"/>
      <c r="J416" s="121"/>
      <c r="K416" s="121"/>
      <c r="L416" s="236"/>
      <c r="M416" s="137">
        <v>8</v>
      </c>
      <c r="N416" s="137"/>
      <c r="O416" s="139"/>
      <c r="P416" s="140"/>
      <c r="AC416" s="19" t="e">
        <f t="shared" si="32"/>
        <v>#N/A</v>
      </c>
    </row>
    <row r="417" spans="1:35" ht="25" customHeight="1">
      <c r="A417" s="174"/>
      <c r="B417" s="121"/>
      <c r="C417" s="121"/>
      <c r="D417" s="121"/>
      <c r="E417" s="121" t="s">
        <v>201</v>
      </c>
      <c r="F417" s="121" t="s">
        <v>201</v>
      </c>
      <c r="G417" s="121" t="str">
        <f t="shared" si="33"/>
        <v/>
      </c>
      <c r="H417" s="121"/>
      <c r="I417" s="121"/>
      <c r="J417" s="121"/>
      <c r="K417" s="121"/>
      <c r="L417" s="236"/>
      <c r="M417" s="137">
        <v>9</v>
      </c>
      <c r="N417" s="137"/>
      <c r="O417" s="139"/>
      <c r="P417" s="140"/>
      <c r="AC417" s="19" t="e">
        <f t="shared" si="32"/>
        <v>#N/A</v>
      </c>
    </row>
    <row r="418" spans="1:35" ht="24" customHeight="1">
      <c r="A418" s="174"/>
      <c r="B418" s="121"/>
      <c r="C418" s="121"/>
      <c r="D418" s="121"/>
      <c r="E418" s="121" t="s">
        <v>201</v>
      </c>
      <c r="F418" s="121" t="s">
        <v>201</v>
      </c>
      <c r="G418" s="121" t="str">
        <f t="shared" si="33"/>
        <v/>
      </c>
      <c r="H418" s="121"/>
      <c r="I418" s="121"/>
      <c r="J418" s="121"/>
      <c r="K418" s="121"/>
      <c r="L418" s="236"/>
      <c r="M418" s="137">
        <v>10</v>
      </c>
      <c r="N418" s="137"/>
      <c r="O418" s="139"/>
      <c r="P418" s="140"/>
      <c r="AC418" s="19" t="e">
        <f t="shared" si="32"/>
        <v>#N/A</v>
      </c>
    </row>
    <row r="419" spans="1:35" ht="24" customHeight="1">
      <c r="A419" s="174"/>
      <c r="B419" s="121"/>
      <c r="C419" s="121"/>
      <c r="D419" s="121"/>
      <c r="E419" s="121" t="s">
        <v>201</v>
      </c>
      <c r="F419" s="121" t="s">
        <v>201</v>
      </c>
      <c r="G419" s="121" t="str">
        <f t="shared" si="33"/>
        <v/>
      </c>
      <c r="H419" s="121"/>
      <c r="I419" s="121"/>
      <c r="J419" s="121"/>
      <c r="K419" s="121"/>
      <c r="L419" s="236"/>
      <c r="M419" s="139"/>
      <c r="N419" s="139"/>
      <c r="O419" s="139"/>
      <c r="P419" s="140"/>
      <c r="AC419" s="19" t="e">
        <f t="shared" si="32"/>
        <v>#N/A</v>
      </c>
    </row>
    <row r="420" spans="1:35" ht="21">
      <c r="A420" s="174"/>
      <c r="B420" s="121"/>
      <c r="C420" s="121"/>
      <c r="D420" s="121"/>
      <c r="E420" s="121" t="s">
        <v>201</v>
      </c>
      <c r="F420" s="121" t="s">
        <v>201</v>
      </c>
      <c r="G420" s="121" t="str">
        <f t="shared" si="33"/>
        <v/>
      </c>
      <c r="H420" s="121"/>
      <c r="I420" s="121"/>
      <c r="J420" s="121"/>
      <c r="K420" s="121"/>
      <c r="L420" s="236"/>
      <c r="M420" s="139"/>
      <c r="N420" s="139"/>
      <c r="O420" s="139"/>
      <c r="P420" s="140"/>
      <c r="AC420" s="19" t="e">
        <f t="shared" si="32"/>
        <v>#N/A</v>
      </c>
    </row>
    <row r="421" spans="1:35" ht="21">
      <c r="A421" s="174"/>
      <c r="B421" s="121"/>
      <c r="C421" s="121"/>
      <c r="D421" s="121"/>
      <c r="E421" s="121" t="s">
        <v>201</v>
      </c>
      <c r="F421" s="121" t="s">
        <v>201</v>
      </c>
      <c r="G421" s="121" t="str">
        <f t="shared" si="33"/>
        <v/>
      </c>
      <c r="H421" s="121"/>
      <c r="I421" s="121"/>
      <c r="J421" s="121"/>
      <c r="K421" s="121"/>
      <c r="L421" s="236"/>
      <c r="M421" s="139"/>
      <c r="N421" s="139"/>
      <c r="O421" s="139"/>
      <c r="P421" s="140"/>
      <c r="AC421" s="19" t="e">
        <f t="shared" si="32"/>
        <v>#N/A</v>
      </c>
    </row>
    <row r="422" spans="1:35" ht="21">
      <c r="A422" s="174"/>
      <c r="B422" s="121"/>
      <c r="C422" s="121"/>
      <c r="D422" s="121"/>
      <c r="E422" s="121" t="s">
        <v>201</v>
      </c>
      <c r="F422" s="121" t="s">
        <v>201</v>
      </c>
      <c r="G422" s="121" t="str">
        <f t="shared" si="33"/>
        <v/>
      </c>
      <c r="H422" s="121"/>
      <c r="I422" s="121"/>
      <c r="J422" s="121"/>
      <c r="K422" s="121"/>
      <c r="L422" s="236"/>
      <c r="M422" s="139"/>
      <c r="N422" s="139"/>
      <c r="O422" s="139"/>
      <c r="P422" s="140"/>
      <c r="AC422" s="19" t="e">
        <f t="shared" si="32"/>
        <v>#N/A</v>
      </c>
    </row>
    <row r="423" spans="1:35" ht="21">
      <c r="A423" s="174"/>
      <c r="B423" s="121"/>
      <c r="C423" s="121"/>
      <c r="D423" s="121"/>
      <c r="E423" s="121" t="s">
        <v>201</v>
      </c>
      <c r="F423" s="121" t="s">
        <v>201</v>
      </c>
      <c r="G423" s="121" t="str">
        <f t="shared" si="33"/>
        <v/>
      </c>
      <c r="H423" s="121"/>
      <c r="I423" s="121"/>
      <c r="J423" s="121"/>
      <c r="K423" s="121"/>
      <c r="L423" s="236"/>
      <c r="M423" s="139"/>
      <c r="N423" s="139"/>
      <c r="O423" s="139"/>
      <c r="P423" s="140"/>
      <c r="AC423" s="19" t="e">
        <f t="shared" si="32"/>
        <v>#N/A</v>
      </c>
    </row>
    <row r="424" spans="1:35" ht="21">
      <c r="A424" s="174"/>
      <c r="B424" s="121"/>
      <c r="C424" s="121"/>
      <c r="D424" s="121"/>
      <c r="E424" s="121" t="s">
        <v>201</v>
      </c>
      <c r="F424" s="121" t="s">
        <v>201</v>
      </c>
      <c r="G424" s="121" t="str">
        <f t="shared" si="33"/>
        <v/>
      </c>
      <c r="H424" s="121"/>
      <c r="I424" s="121"/>
      <c r="J424" s="121"/>
      <c r="K424" s="121"/>
      <c r="L424" s="236"/>
      <c r="M424" s="139"/>
      <c r="N424" s="139"/>
      <c r="O424" s="139"/>
      <c r="P424" s="140"/>
      <c r="AC424" s="19" t="e">
        <f t="shared" si="32"/>
        <v>#N/A</v>
      </c>
    </row>
    <row r="425" spans="1:35" ht="21">
      <c r="A425" s="174"/>
      <c r="B425" s="121"/>
      <c r="C425" s="121"/>
      <c r="D425" s="121"/>
      <c r="E425" s="121" t="s">
        <v>201</v>
      </c>
      <c r="F425" s="121" t="s">
        <v>201</v>
      </c>
      <c r="G425" s="121" t="str">
        <f t="shared" si="33"/>
        <v/>
      </c>
      <c r="H425" s="121"/>
      <c r="I425" s="121"/>
      <c r="J425" s="121"/>
      <c r="K425" s="121"/>
      <c r="L425" s="236"/>
      <c r="M425" s="139"/>
      <c r="N425" s="139"/>
      <c r="O425" s="139"/>
      <c r="P425" s="140"/>
      <c r="AC425" s="19"/>
    </row>
    <row r="426" spans="1:35">
      <c r="A426" s="236"/>
      <c r="B426" s="236"/>
      <c r="C426" s="236"/>
      <c r="D426" s="236"/>
      <c r="E426" s="236"/>
      <c r="F426" s="236"/>
      <c r="G426" s="236"/>
      <c r="H426" s="236"/>
      <c r="I426" s="236"/>
      <c r="J426" s="236"/>
      <c r="K426" s="236"/>
      <c r="L426" s="236"/>
    </row>
    <row r="428" spans="1:35" ht="46" customHeight="1">
      <c r="A428" s="174"/>
      <c r="B428" s="169" t="s">
        <v>254</v>
      </c>
      <c r="C428" s="167"/>
      <c r="D428" s="167"/>
      <c r="E428" s="167"/>
      <c r="F428" s="167"/>
      <c r="G428" s="167"/>
      <c r="H428" s="168"/>
      <c r="I428" s="168"/>
      <c r="J428" s="168"/>
      <c r="K428" s="168"/>
      <c r="L428" s="236"/>
      <c r="M428" s="165"/>
      <c r="N428" s="165"/>
      <c r="O428" s="165"/>
      <c r="P428" s="165"/>
      <c r="Q428" s="165"/>
      <c r="R428" s="165"/>
      <c r="S428" s="165"/>
      <c r="T428" s="165"/>
      <c r="U428" s="165"/>
      <c r="V428" s="165"/>
      <c r="W428" s="165"/>
    </row>
    <row r="429" spans="1:35">
      <c r="A429" s="174" t="s">
        <v>197</v>
      </c>
      <c r="B429" s="215" t="s">
        <v>255</v>
      </c>
      <c r="C429" s="215"/>
      <c r="D429" s="215"/>
      <c r="E429" s="215"/>
      <c r="F429" s="215"/>
      <c r="G429" s="215"/>
      <c r="H429" s="215"/>
      <c r="I429" s="215" t="s">
        <v>30</v>
      </c>
      <c r="J429" s="215"/>
      <c r="K429" s="170"/>
      <c r="L429" s="236"/>
    </row>
    <row r="430" spans="1:35">
      <c r="A430" s="174" t="s">
        <v>246</v>
      </c>
      <c r="B430" s="215" t="s">
        <v>244</v>
      </c>
      <c r="C430" s="215"/>
      <c r="D430" s="215"/>
      <c r="E430" s="215"/>
      <c r="F430" s="215"/>
      <c r="G430" s="215"/>
      <c r="H430" s="215"/>
      <c r="I430" s="215" t="s">
        <v>31</v>
      </c>
      <c r="J430" s="215"/>
      <c r="K430" s="170"/>
      <c r="L430" s="236"/>
    </row>
    <row r="431" spans="1:35">
      <c r="A431" s="174"/>
      <c r="B431" s="215" t="s">
        <v>247</v>
      </c>
      <c r="C431" s="215"/>
      <c r="D431" s="215"/>
      <c r="E431" s="215"/>
      <c r="F431" s="215"/>
      <c r="G431" s="215"/>
      <c r="H431" s="215"/>
      <c r="I431" s="215" t="s">
        <v>29</v>
      </c>
      <c r="J431" s="215"/>
      <c r="K431" s="173"/>
      <c r="L431" s="236"/>
    </row>
    <row r="432" spans="1:35" s="19" customFormat="1" ht="46" thickBot="1">
      <c r="A432" s="175">
        <f>A407+1</f>
        <v>18</v>
      </c>
      <c r="B432" s="95" t="s">
        <v>32</v>
      </c>
      <c r="C432" s="95" t="s">
        <v>190</v>
      </c>
      <c r="D432" s="95" t="s">
        <v>33</v>
      </c>
      <c r="E432" s="95" t="s">
        <v>36</v>
      </c>
      <c r="F432" s="95" t="s">
        <v>196</v>
      </c>
      <c r="G432" s="95" t="s">
        <v>37</v>
      </c>
      <c r="H432" s="95" t="s">
        <v>34</v>
      </c>
      <c r="I432" s="95" t="s">
        <v>250</v>
      </c>
      <c r="J432" s="95" t="s">
        <v>35</v>
      </c>
      <c r="K432" s="95" t="s">
        <v>191</v>
      </c>
      <c r="L432" s="236"/>
      <c r="M432" s="128"/>
      <c r="N432" s="141" t="s">
        <v>248</v>
      </c>
      <c r="O432" s="128"/>
      <c r="P432" s="138"/>
      <c r="AC432" s="19" t="e">
        <f t="shared" ref="AC432:AC449" si="34">VLOOKUP(F433,Z$10:AA$14,2,FALSE)</f>
        <v>#N/A</v>
      </c>
      <c r="AI432" s="19" t="e">
        <f>VLOOKUP(G433,$AF$8:$AG$12,2,FALSE)</f>
        <v>#N/A</v>
      </c>
    </row>
    <row r="433" spans="1:33" ht="22" thickBot="1">
      <c r="A433" s="174"/>
      <c r="B433" s="121"/>
      <c r="C433" s="121"/>
      <c r="D433" s="121"/>
      <c r="E433" s="121" t="s">
        <v>201</v>
      </c>
      <c r="F433" s="121" t="s">
        <v>201</v>
      </c>
      <c r="G433" s="121" t="str">
        <f>IF(ISERROR(VLOOKUP(E433,Q$10:V$14,AC432+1,FALSE)),"",VLOOKUP(E433,Q$10:V$14,AC432+1,FALSE))</f>
        <v/>
      </c>
      <c r="H433" s="121"/>
      <c r="I433" s="121"/>
      <c r="J433" s="121"/>
      <c r="K433" s="121"/>
      <c r="L433" s="236"/>
      <c r="M433" s="142" t="s">
        <v>240</v>
      </c>
      <c r="N433" s="139"/>
      <c r="O433" s="139"/>
      <c r="P433" s="140"/>
      <c r="Q433" s="20"/>
      <c r="R433" s="212" t="s">
        <v>38</v>
      </c>
      <c r="S433" s="213"/>
      <c r="T433" s="213"/>
      <c r="U433" s="213"/>
      <c r="V433" s="214"/>
      <c r="AC433" s="19" t="e">
        <f t="shared" si="34"/>
        <v>#N/A</v>
      </c>
      <c r="AF433" s="100" t="s">
        <v>47</v>
      </c>
      <c r="AG433">
        <v>1</v>
      </c>
    </row>
    <row r="434" spans="1:33" ht="24" thickBot="1">
      <c r="A434" s="174"/>
      <c r="B434" s="121"/>
      <c r="C434" s="121"/>
      <c r="D434" s="121"/>
      <c r="E434" s="121" t="s">
        <v>201</v>
      </c>
      <c r="F434" s="121" t="s">
        <v>201</v>
      </c>
      <c r="G434" s="121" t="str">
        <f>IF(ISERROR(VLOOKUP(E434,Q$10:V$14,AC433+1,FALSE)),"",VLOOKUP(E434,Q$10:V$14,AC433+1,FALSE))</f>
        <v/>
      </c>
      <c r="H434" s="121"/>
      <c r="I434" s="121"/>
      <c r="J434" s="121"/>
      <c r="K434" s="121"/>
      <c r="L434" s="236"/>
      <c r="M434" s="137">
        <v>1</v>
      </c>
      <c r="N434" s="137"/>
      <c r="O434" s="139"/>
      <c r="P434" s="140"/>
      <c r="Q434" s="23" t="s">
        <v>39</v>
      </c>
      <c r="R434" s="22" t="s">
        <v>40</v>
      </c>
      <c r="S434" s="22" t="s">
        <v>44</v>
      </c>
      <c r="T434" s="22" t="s">
        <v>241</v>
      </c>
      <c r="U434" s="22" t="s">
        <v>41</v>
      </c>
      <c r="V434" s="22" t="s">
        <v>42</v>
      </c>
      <c r="W434" s="125" t="s">
        <v>201</v>
      </c>
      <c r="AC434" s="19" t="e">
        <f t="shared" si="34"/>
        <v>#N/A</v>
      </c>
      <c r="AF434" s="99" t="s">
        <v>46</v>
      </c>
      <c r="AG434">
        <v>2</v>
      </c>
    </row>
    <row r="435" spans="1:33" ht="24" thickBot="1">
      <c r="A435" s="174"/>
      <c r="B435" s="121"/>
      <c r="C435" s="121"/>
      <c r="D435" s="121"/>
      <c r="E435" s="121" t="s">
        <v>201</v>
      </c>
      <c r="F435" s="121" t="s">
        <v>201</v>
      </c>
      <c r="G435" s="121" t="str">
        <f t="shared" ref="G435:G450" si="35">IF(ISERROR(VLOOKUP(E435,Q$10:V$14,AC434+1,FALSE)),"",VLOOKUP(E435,Q$10:V$14,AC434+1,FALSE))</f>
        <v/>
      </c>
      <c r="H435" s="121"/>
      <c r="I435" s="121"/>
      <c r="J435" s="121"/>
      <c r="K435" s="121"/>
      <c r="L435" s="236"/>
      <c r="M435" s="137">
        <v>2</v>
      </c>
      <c r="N435" s="137"/>
      <c r="O435" s="139"/>
      <c r="P435" s="140"/>
      <c r="Q435" s="21" t="s">
        <v>242</v>
      </c>
      <c r="R435" s="99" t="s">
        <v>256</v>
      </c>
      <c r="S435" s="97" t="s">
        <v>45</v>
      </c>
      <c r="T435" s="172" t="s">
        <v>257</v>
      </c>
      <c r="U435" s="172" t="s">
        <v>257</v>
      </c>
      <c r="V435" s="172" t="s">
        <v>257</v>
      </c>
      <c r="Z435" s="22" t="s">
        <v>40</v>
      </c>
      <c r="AA435">
        <v>1</v>
      </c>
      <c r="AC435" s="19" t="e">
        <f t="shared" si="34"/>
        <v>#N/A</v>
      </c>
      <c r="AF435" s="98" t="s">
        <v>44</v>
      </c>
      <c r="AG435">
        <v>3</v>
      </c>
    </row>
    <row r="436" spans="1:33" ht="24" thickBot="1">
      <c r="A436" s="174"/>
      <c r="B436" s="121"/>
      <c r="C436" s="121"/>
      <c r="D436" s="121"/>
      <c r="E436" s="121" t="s">
        <v>201</v>
      </c>
      <c r="F436" s="121" t="s">
        <v>201</v>
      </c>
      <c r="G436" s="121" t="str">
        <f t="shared" si="35"/>
        <v/>
      </c>
      <c r="H436" s="121"/>
      <c r="I436" s="121"/>
      <c r="J436" s="121"/>
      <c r="K436" s="121"/>
      <c r="L436" s="236"/>
      <c r="M436" s="137">
        <v>3</v>
      </c>
      <c r="N436" s="137"/>
      <c r="O436" s="139"/>
      <c r="P436" s="140"/>
      <c r="Q436" s="21" t="s">
        <v>48</v>
      </c>
      <c r="R436" s="99" t="s">
        <v>256</v>
      </c>
      <c r="S436" s="97" t="s">
        <v>45</v>
      </c>
      <c r="T436" s="97" t="s">
        <v>45</v>
      </c>
      <c r="U436" s="172" t="s">
        <v>257</v>
      </c>
      <c r="V436" s="172" t="s">
        <v>257</v>
      </c>
      <c r="Z436" s="22" t="s">
        <v>44</v>
      </c>
      <c r="AA436">
        <v>2</v>
      </c>
      <c r="AC436" s="19" t="e">
        <f t="shared" si="34"/>
        <v>#N/A</v>
      </c>
      <c r="AF436" s="97" t="s">
        <v>45</v>
      </c>
      <c r="AG436">
        <v>4</v>
      </c>
    </row>
    <row r="437" spans="1:33" ht="24" thickBot="1">
      <c r="A437" s="174"/>
      <c r="B437" s="121"/>
      <c r="C437" s="121"/>
      <c r="D437" s="121"/>
      <c r="E437" s="121" t="s">
        <v>201</v>
      </c>
      <c r="F437" s="121" t="s">
        <v>201</v>
      </c>
      <c r="G437" s="121" t="str">
        <f t="shared" si="35"/>
        <v/>
      </c>
      <c r="H437" s="121"/>
      <c r="I437" s="121"/>
      <c r="J437" s="121"/>
      <c r="K437" s="121"/>
      <c r="L437" s="236"/>
      <c r="M437" s="137">
        <v>4</v>
      </c>
      <c r="N437" s="137"/>
      <c r="O437" s="139"/>
      <c r="P437" s="140"/>
      <c r="Q437" s="21" t="s">
        <v>49</v>
      </c>
      <c r="R437" s="99" t="s">
        <v>46</v>
      </c>
      <c r="S437" s="99" t="s">
        <v>256</v>
      </c>
      <c r="T437" s="98" t="s">
        <v>45</v>
      </c>
      <c r="U437" s="172" t="s">
        <v>257</v>
      </c>
      <c r="V437" s="172" t="s">
        <v>257</v>
      </c>
      <c r="Z437" s="22" t="s">
        <v>241</v>
      </c>
      <c r="AA437">
        <v>3</v>
      </c>
      <c r="AC437" s="19" t="e">
        <f t="shared" si="34"/>
        <v>#N/A</v>
      </c>
      <c r="AF437" s="96" t="s">
        <v>43</v>
      </c>
      <c r="AG437">
        <v>5</v>
      </c>
    </row>
    <row r="438" spans="1:33" ht="24" thickBot="1">
      <c r="A438" s="174"/>
      <c r="B438" s="121"/>
      <c r="C438" s="121"/>
      <c r="D438" s="121"/>
      <c r="E438" s="121" t="s">
        <v>201</v>
      </c>
      <c r="F438" s="121" t="s">
        <v>201</v>
      </c>
      <c r="G438" s="121" t="str">
        <f t="shared" si="35"/>
        <v/>
      </c>
      <c r="H438" s="121"/>
      <c r="I438" s="121"/>
      <c r="J438" s="121"/>
      <c r="K438" s="121"/>
      <c r="L438" s="236"/>
      <c r="M438" s="137">
        <v>5</v>
      </c>
      <c r="N438" s="137"/>
      <c r="O438" s="139"/>
      <c r="P438" s="140"/>
      <c r="Q438" s="21" t="s">
        <v>50</v>
      </c>
      <c r="R438" s="99" t="s">
        <v>46</v>
      </c>
      <c r="S438" s="99" t="s">
        <v>46</v>
      </c>
      <c r="T438" s="99" t="s">
        <v>256</v>
      </c>
      <c r="U438" s="98" t="s">
        <v>45</v>
      </c>
      <c r="V438" s="172" t="s">
        <v>257</v>
      </c>
      <c r="Z438" s="22" t="s">
        <v>41</v>
      </c>
      <c r="AA438">
        <v>4</v>
      </c>
      <c r="AC438" s="19" t="e">
        <f t="shared" si="34"/>
        <v>#N/A</v>
      </c>
    </row>
    <row r="439" spans="1:33" ht="24" thickBot="1">
      <c r="A439" s="174"/>
      <c r="B439" s="121"/>
      <c r="C439" s="121"/>
      <c r="D439" s="121"/>
      <c r="E439" s="121" t="s">
        <v>201</v>
      </c>
      <c r="F439" s="121" t="s">
        <v>201</v>
      </c>
      <c r="G439" s="121" t="str">
        <f t="shared" si="35"/>
        <v/>
      </c>
      <c r="H439" s="121"/>
      <c r="I439" s="121"/>
      <c r="J439" s="121"/>
      <c r="K439" s="121"/>
      <c r="L439" s="236"/>
      <c r="M439" s="137">
        <v>6</v>
      </c>
      <c r="N439" s="137"/>
      <c r="O439" s="139"/>
      <c r="P439" s="140"/>
      <c r="Q439" s="21" t="s">
        <v>243</v>
      </c>
      <c r="R439" s="100" t="s">
        <v>46</v>
      </c>
      <c r="S439" s="99" t="s">
        <v>46</v>
      </c>
      <c r="T439" s="99" t="s">
        <v>256</v>
      </c>
      <c r="U439" s="98" t="s">
        <v>45</v>
      </c>
      <c r="V439" s="98" t="s">
        <v>45</v>
      </c>
      <c r="Z439" s="22" t="s">
        <v>42</v>
      </c>
      <c r="AA439">
        <v>5</v>
      </c>
      <c r="AC439" s="19" t="e">
        <f t="shared" si="34"/>
        <v>#N/A</v>
      </c>
    </row>
    <row r="440" spans="1:33" ht="23">
      <c r="A440" s="174"/>
      <c r="B440" s="121"/>
      <c r="C440" s="121"/>
      <c r="D440" s="121"/>
      <c r="E440" s="121" t="s">
        <v>201</v>
      </c>
      <c r="F440" s="121" t="s">
        <v>201</v>
      </c>
      <c r="G440" s="121" t="str">
        <f t="shared" si="35"/>
        <v/>
      </c>
      <c r="H440" s="121"/>
      <c r="I440" s="121"/>
      <c r="J440" s="121"/>
      <c r="K440" s="121"/>
      <c r="L440" s="236"/>
      <c r="M440" s="137">
        <v>7</v>
      </c>
      <c r="N440" s="137"/>
      <c r="O440" s="139"/>
      <c r="P440" s="140"/>
      <c r="Q440" s="124" t="s">
        <v>201</v>
      </c>
      <c r="AC440" s="19" t="e">
        <f t="shared" si="34"/>
        <v>#N/A</v>
      </c>
    </row>
    <row r="441" spans="1:33" ht="23">
      <c r="A441" s="174"/>
      <c r="B441" s="121"/>
      <c r="C441" s="121"/>
      <c r="D441" s="121"/>
      <c r="E441" s="121" t="s">
        <v>201</v>
      </c>
      <c r="F441" s="121" t="s">
        <v>201</v>
      </c>
      <c r="G441" s="121" t="str">
        <f t="shared" si="35"/>
        <v/>
      </c>
      <c r="H441" s="121"/>
      <c r="I441" s="121"/>
      <c r="J441" s="121"/>
      <c r="K441" s="121"/>
      <c r="L441" s="236"/>
      <c r="M441" s="137">
        <v>8</v>
      </c>
      <c r="N441" s="137"/>
      <c r="O441" s="139"/>
      <c r="P441" s="140"/>
      <c r="AC441" s="19" t="e">
        <f t="shared" si="34"/>
        <v>#N/A</v>
      </c>
    </row>
    <row r="442" spans="1:33" ht="25" customHeight="1">
      <c r="A442" s="174"/>
      <c r="B442" s="121"/>
      <c r="C442" s="121"/>
      <c r="D442" s="121"/>
      <c r="E442" s="121" t="s">
        <v>201</v>
      </c>
      <c r="F442" s="121" t="s">
        <v>201</v>
      </c>
      <c r="G442" s="121" t="str">
        <f t="shared" si="35"/>
        <v/>
      </c>
      <c r="H442" s="121"/>
      <c r="I442" s="121"/>
      <c r="J442" s="121"/>
      <c r="K442" s="121"/>
      <c r="L442" s="236"/>
      <c r="M442" s="137">
        <v>9</v>
      </c>
      <c r="N442" s="137"/>
      <c r="O442" s="139"/>
      <c r="P442" s="140"/>
      <c r="AC442" s="19" t="e">
        <f t="shared" si="34"/>
        <v>#N/A</v>
      </c>
    </row>
    <row r="443" spans="1:33" ht="24" customHeight="1">
      <c r="A443" s="174"/>
      <c r="B443" s="121"/>
      <c r="C443" s="121"/>
      <c r="D443" s="121"/>
      <c r="E443" s="121" t="s">
        <v>201</v>
      </c>
      <c r="F443" s="121" t="s">
        <v>201</v>
      </c>
      <c r="G443" s="121" t="str">
        <f t="shared" si="35"/>
        <v/>
      </c>
      <c r="H443" s="121"/>
      <c r="I443" s="121"/>
      <c r="J443" s="121"/>
      <c r="K443" s="121"/>
      <c r="L443" s="236"/>
      <c r="M443" s="137">
        <v>10</v>
      </c>
      <c r="N443" s="137"/>
      <c r="O443" s="139"/>
      <c r="P443" s="140"/>
      <c r="AC443" s="19" t="e">
        <f t="shared" si="34"/>
        <v>#N/A</v>
      </c>
    </row>
    <row r="444" spans="1:33" ht="24" customHeight="1">
      <c r="A444" s="174"/>
      <c r="B444" s="121"/>
      <c r="C444" s="121"/>
      <c r="D444" s="121"/>
      <c r="E444" s="121" t="s">
        <v>201</v>
      </c>
      <c r="F444" s="121" t="s">
        <v>201</v>
      </c>
      <c r="G444" s="121" t="str">
        <f t="shared" si="35"/>
        <v/>
      </c>
      <c r="H444" s="121"/>
      <c r="I444" s="121"/>
      <c r="J444" s="121"/>
      <c r="K444" s="121"/>
      <c r="L444" s="236"/>
      <c r="M444" s="139"/>
      <c r="N444" s="139"/>
      <c r="O444" s="139"/>
      <c r="P444" s="140"/>
      <c r="AC444" s="19" t="e">
        <f t="shared" si="34"/>
        <v>#N/A</v>
      </c>
    </row>
    <row r="445" spans="1:33" ht="21">
      <c r="A445" s="174"/>
      <c r="B445" s="121"/>
      <c r="C445" s="121"/>
      <c r="D445" s="121"/>
      <c r="E445" s="121" t="s">
        <v>201</v>
      </c>
      <c r="F445" s="121" t="s">
        <v>201</v>
      </c>
      <c r="G445" s="121" t="str">
        <f t="shared" si="35"/>
        <v/>
      </c>
      <c r="H445" s="121"/>
      <c r="I445" s="121"/>
      <c r="J445" s="121"/>
      <c r="K445" s="121"/>
      <c r="L445" s="236"/>
      <c r="M445" s="139"/>
      <c r="N445" s="139"/>
      <c r="O445" s="139"/>
      <c r="P445" s="140"/>
      <c r="AC445" s="19" t="e">
        <f t="shared" si="34"/>
        <v>#N/A</v>
      </c>
    </row>
    <row r="446" spans="1:33" ht="21">
      <c r="A446" s="174"/>
      <c r="B446" s="121"/>
      <c r="C446" s="121"/>
      <c r="D446" s="121"/>
      <c r="E446" s="121" t="s">
        <v>201</v>
      </c>
      <c r="F446" s="121" t="s">
        <v>201</v>
      </c>
      <c r="G446" s="121" t="str">
        <f t="shared" si="35"/>
        <v/>
      </c>
      <c r="H446" s="121"/>
      <c r="I446" s="121"/>
      <c r="J446" s="121"/>
      <c r="K446" s="121"/>
      <c r="L446" s="236"/>
      <c r="M446" s="139"/>
      <c r="N446" s="139"/>
      <c r="O446" s="139"/>
      <c r="P446" s="140"/>
      <c r="AC446" s="19" t="e">
        <f t="shared" si="34"/>
        <v>#N/A</v>
      </c>
    </row>
    <row r="447" spans="1:33" ht="21">
      <c r="A447" s="174"/>
      <c r="B447" s="121"/>
      <c r="C447" s="121"/>
      <c r="D447" s="121"/>
      <c r="E447" s="121" t="s">
        <v>201</v>
      </c>
      <c r="F447" s="121" t="s">
        <v>201</v>
      </c>
      <c r="G447" s="121" t="str">
        <f t="shared" si="35"/>
        <v/>
      </c>
      <c r="H447" s="121"/>
      <c r="I447" s="121"/>
      <c r="J447" s="121"/>
      <c r="K447" s="121"/>
      <c r="L447" s="236"/>
      <c r="M447" s="139"/>
      <c r="N447" s="139"/>
      <c r="O447" s="139"/>
      <c r="P447" s="140"/>
      <c r="AC447" s="19" t="e">
        <f t="shared" si="34"/>
        <v>#N/A</v>
      </c>
    </row>
    <row r="448" spans="1:33" ht="21">
      <c r="A448" s="174"/>
      <c r="B448" s="121"/>
      <c r="C448" s="121"/>
      <c r="D448" s="121"/>
      <c r="E448" s="121" t="s">
        <v>201</v>
      </c>
      <c r="F448" s="121" t="s">
        <v>201</v>
      </c>
      <c r="G448" s="121" t="str">
        <f t="shared" si="35"/>
        <v/>
      </c>
      <c r="H448" s="121"/>
      <c r="I448" s="121"/>
      <c r="J448" s="121"/>
      <c r="K448" s="121"/>
      <c r="L448" s="236"/>
      <c r="M448" s="139"/>
      <c r="N448" s="139"/>
      <c r="O448" s="139"/>
      <c r="P448" s="140"/>
      <c r="AC448" s="19" t="e">
        <f t="shared" si="34"/>
        <v>#N/A</v>
      </c>
    </row>
    <row r="449" spans="1:35" ht="21">
      <c r="A449" s="174"/>
      <c r="B449" s="121"/>
      <c r="C449" s="121"/>
      <c r="D449" s="121"/>
      <c r="E449" s="121" t="s">
        <v>201</v>
      </c>
      <c r="F449" s="121" t="s">
        <v>201</v>
      </c>
      <c r="G449" s="121" t="str">
        <f t="shared" si="35"/>
        <v/>
      </c>
      <c r="H449" s="121"/>
      <c r="I449" s="121"/>
      <c r="J449" s="121"/>
      <c r="K449" s="121"/>
      <c r="L449" s="236"/>
      <c r="M449" s="139"/>
      <c r="N449" s="139"/>
      <c r="O449" s="139"/>
      <c r="P449" s="140"/>
      <c r="AC449" s="19" t="e">
        <f t="shared" si="34"/>
        <v>#N/A</v>
      </c>
    </row>
    <row r="450" spans="1:35" ht="21">
      <c r="A450" s="174"/>
      <c r="B450" s="121"/>
      <c r="C450" s="121"/>
      <c r="D450" s="121"/>
      <c r="E450" s="121" t="s">
        <v>201</v>
      </c>
      <c r="F450" s="121" t="s">
        <v>201</v>
      </c>
      <c r="G450" s="121" t="str">
        <f t="shared" si="35"/>
        <v/>
      </c>
      <c r="H450" s="121"/>
      <c r="I450" s="121"/>
      <c r="J450" s="121"/>
      <c r="K450" s="121"/>
      <c r="L450" s="236"/>
      <c r="M450" s="139"/>
      <c r="N450" s="139"/>
      <c r="O450" s="139"/>
      <c r="P450" s="140"/>
      <c r="AC450" s="19"/>
    </row>
    <row r="451" spans="1:35">
      <c r="A451" s="236"/>
      <c r="B451" s="236"/>
      <c r="C451" s="236"/>
      <c r="D451" s="236"/>
      <c r="E451" s="236"/>
      <c r="F451" s="236"/>
      <c r="G451" s="236"/>
      <c r="H451" s="236"/>
      <c r="I451" s="236"/>
      <c r="J451" s="236"/>
      <c r="K451" s="236"/>
      <c r="L451" s="236"/>
    </row>
    <row r="453" spans="1:35" ht="46" customHeight="1">
      <c r="A453" s="174"/>
      <c r="B453" s="169" t="s">
        <v>254</v>
      </c>
      <c r="C453" s="167"/>
      <c r="D453" s="167"/>
      <c r="E453" s="167"/>
      <c r="F453" s="167"/>
      <c r="G453" s="167"/>
      <c r="H453" s="168"/>
      <c r="I453" s="168"/>
      <c r="J453" s="168"/>
      <c r="K453" s="168"/>
      <c r="L453" s="236"/>
      <c r="M453" s="165"/>
      <c r="N453" s="165"/>
      <c r="O453" s="165"/>
      <c r="P453" s="165"/>
      <c r="Q453" s="165"/>
      <c r="R453" s="165"/>
      <c r="S453" s="165"/>
      <c r="T453" s="165"/>
      <c r="U453" s="165"/>
      <c r="V453" s="165"/>
      <c r="W453" s="165"/>
    </row>
    <row r="454" spans="1:35">
      <c r="A454" s="174" t="s">
        <v>197</v>
      </c>
      <c r="B454" s="215" t="s">
        <v>255</v>
      </c>
      <c r="C454" s="215"/>
      <c r="D454" s="215"/>
      <c r="E454" s="215"/>
      <c r="F454" s="215"/>
      <c r="G454" s="215"/>
      <c r="H454" s="215"/>
      <c r="I454" s="215" t="s">
        <v>30</v>
      </c>
      <c r="J454" s="215"/>
      <c r="K454" s="170"/>
      <c r="L454" s="236"/>
    </row>
    <row r="455" spans="1:35">
      <c r="A455" s="174" t="s">
        <v>246</v>
      </c>
      <c r="B455" s="215" t="s">
        <v>244</v>
      </c>
      <c r="C455" s="215"/>
      <c r="D455" s="215"/>
      <c r="E455" s="215"/>
      <c r="F455" s="215"/>
      <c r="G455" s="215"/>
      <c r="H455" s="215"/>
      <c r="I455" s="215" t="s">
        <v>31</v>
      </c>
      <c r="J455" s="215"/>
      <c r="K455" s="170"/>
      <c r="L455" s="236"/>
    </row>
    <row r="456" spans="1:35">
      <c r="A456" s="174"/>
      <c r="B456" s="215" t="s">
        <v>247</v>
      </c>
      <c r="C456" s="215"/>
      <c r="D456" s="215"/>
      <c r="E456" s="215"/>
      <c r="F456" s="215"/>
      <c r="G456" s="215"/>
      <c r="H456" s="215"/>
      <c r="I456" s="215" t="s">
        <v>29</v>
      </c>
      <c r="J456" s="215"/>
      <c r="K456" s="173"/>
      <c r="L456" s="236"/>
    </row>
    <row r="457" spans="1:35" s="19" customFormat="1" ht="46" thickBot="1">
      <c r="A457" s="175">
        <f>A432+1</f>
        <v>19</v>
      </c>
      <c r="B457" s="95" t="s">
        <v>32</v>
      </c>
      <c r="C457" s="95" t="s">
        <v>190</v>
      </c>
      <c r="D457" s="95" t="s">
        <v>33</v>
      </c>
      <c r="E457" s="95" t="s">
        <v>36</v>
      </c>
      <c r="F457" s="95" t="s">
        <v>196</v>
      </c>
      <c r="G457" s="95" t="s">
        <v>37</v>
      </c>
      <c r="H457" s="95" t="s">
        <v>34</v>
      </c>
      <c r="I457" s="95" t="s">
        <v>250</v>
      </c>
      <c r="J457" s="95" t="s">
        <v>35</v>
      </c>
      <c r="K457" s="95" t="s">
        <v>191</v>
      </c>
      <c r="L457" s="236"/>
      <c r="M457" s="128"/>
      <c r="N457" s="141" t="s">
        <v>248</v>
      </c>
      <c r="O457" s="128"/>
      <c r="P457" s="138"/>
      <c r="AC457" s="19" t="e">
        <f t="shared" ref="AC457:AC474" si="36">VLOOKUP(F458,Z$10:AA$14,2,FALSE)</f>
        <v>#N/A</v>
      </c>
      <c r="AI457" s="19" t="e">
        <f>VLOOKUP(G458,$AF$8:$AG$12,2,FALSE)</f>
        <v>#N/A</v>
      </c>
    </row>
    <row r="458" spans="1:35" ht="22" thickBot="1">
      <c r="A458" s="174"/>
      <c r="B458" s="121"/>
      <c r="C458" s="121"/>
      <c r="D458" s="121"/>
      <c r="E458" s="121" t="s">
        <v>201</v>
      </c>
      <c r="F458" s="121" t="s">
        <v>201</v>
      </c>
      <c r="G458" s="121" t="str">
        <f>IF(ISERROR(VLOOKUP(E458,Q$10:V$14,AC457+1,FALSE)),"",VLOOKUP(E458,Q$10:V$14,AC457+1,FALSE))</f>
        <v/>
      </c>
      <c r="H458" s="121"/>
      <c r="I458" s="121"/>
      <c r="J458" s="121"/>
      <c r="K458" s="121"/>
      <c r="L458" s="236"/>
      <c r="M458" s="142" t="s">
        <v>240</v>
      </c>
      <c r="N458" s="139"/>
      <c r="O458" s="139"/>
      <c r="P458" s="140"/>
      <c r="Q458" s="20"/>
      <c r="R458" s="212" t="s">
        <v>38</v>
      </c>
      <c r="S458" s="213"/>
      <c r="T458" s="213"/>
      <c r="U458" s="213"/>
      <c r="V458" s="214"/>
      <c r="AC458" s="19" t="e">
        <f t="shared" si="36"/>
        <v>#N/A</v>
      </c>
      <c r="AF458" s="100" t="s">
        <v>47</v>
      </c>
      <c r="AG458">
        <v>1</v>
      </c>
    </row>
    <row r="459" spans="1:35" ht="24" thickBot="1">
      <c r="A459" s="174"/>
      <c r="B459" s="121"/>
      <c r="C459" s="121"/>
      <c r="D459" s="121"/>
      <c r="E459" s="121" t="s">
        <v>201</v>
      </c>
      <c r="F459" s="121" t="s">
        <v>201</v>
      </c>
      <c r="G459" s="121" t="str">
        <f>IF(ISERROR(VLOOKUP(E459,Q$10:V$14,AC458+1,FALSE)),"",VLOOKUP(E459,Q$10:V$14,AC458+1,FALSE))</f>
        <v/>
      </c>
      <c r="H459" s="121"/>
      <c r="I459" s="121"/>
      <c r="J459" s="121"/>
      <c r="K459" s="121"/>
      <c r="L459" s="236"/>
      <c r="M459" s="137">
        <v>1</v>
      </c>
      <c r="N459" s="137"/>
      <c r="O459" s="139"/>
      <c r="P459" s="140"/>
      <c r="Q459" s="23" t="s">
        <v>39</v>
      </c>
      <c r="R459" s="22" t="s">
        <v>40</v>
      </c>
      <c r="S459" s="22" t="s">
        <v>44</v>
      </c>
      <c r="T459" s="22" t="s">
        <v>241</v>
      </c>
      <c r="U459" s="22" t="s">
        <v>41</v>
      </c>
      <c r="V459" s="22" t="s">
        <v>42</v>
      </c>
      <c r="W459" s="125" t="s">
        <v>201</v>
      </c>
      <c r="AC459" s="19" t="e">
        <f t="shared" si="36"/>
        <v>#N/A</v>
      </c>
      <c r="AF459" s="99" t="s">
        <v>46</v>
      </c>
      <c r="AG459">
        <v>2</v>
      </c>
    </row>
    <row r="460" spans="1:35" ht="24" thickBot="1">
      <c r="A460" s="174"/>
      <c r="B460" s="121"/>
      <c r="C460" s="121"/>
      <c r="D460" s="121"/>
      <c r="E460" s="121" t="s">
        <v>201</v>
      </c>
      <c r="F460" s="121" t="s">
        <v>201</v>
      </c>
      <c r="G460" s="121" t="str">
        <f t="shared" ref="G460:G475" si="37">IF(ISERROR(VLOOKUP(E460,Q$10:V$14,AC459+1,FALSE)),"",VLOOKUP(E460,Q$10:V$14,AC459+1,FALSE))</f>
        <v/>
      </c>
      <c r="H460" s="121"/>
      <c r="I460" s="121"/>
      <c r="J460" s="121"/>
      <c r="K460" s="121"/>
      <c r="L460" s="236"/>
      <c r="M460" s="137">
        <v>2</v>
      </c>
      <c r="N460" s="137"/>
      <c r="O460" s="139"/>
      <c r="P460" s="140"/>
      <c r="Q460" s="21" t="s">
        <v>242</v>
      </c>
      <c r="R460" s="99" t="s">
        <v>256</v>
      </c>
      <c r="S460" s="97" t="s">
        <v>45</v>
      </c>
      <c r="T460" s="172" t="s">
        <v>257</v>
      </c>
      <c r="U460" s="172" t="s">
        <v>257</v>
      </c>
      <c r="V460" s="172" t="s">
        <v>257</v>
      </c>
      <c r="Z460" s="22" t="s">
        <v>40</v>
      </c>
      <c r="AA460">
        <v>1</v>
      </c>
      <c r="AC460" s="19" t="e">
        <f t="shared" si="36"/>
        <v>#N/A</v>
      </c>
      <c r="AF460" s="98" t="s">
        <v>44</v>
      </c>
      <c r="AG460">
        <v>3</v>
      </c>
    </row>
    <row r="461" spans="1:35" ht="24" thickBot="1">
      <c r="A461" s="174"/>
      <c r="B461" s="121"/>
      <c r="C461" s="121"/>
      <c r="D461" s="121"/>
      <c r="E461" s="121" t="s">
        <v>201</v>
      </c>
      <c r="F461" s="121" t="s">
        <v>201</v>
      </c>
      <c r="G461" s="121" t="str">
        <f t="shared" si="37"/>
        <v/>
      </c>
      <c r="H461" s="121"/>
      <c r="I461" s="121"/>
      <c r="J461" s="121"/>
      <c r="K461" s="121"/>
      <c r="L461" s="236"/>
      <c r="M461" s="137">
        <v>3</v>
      </c>
      <c r="N461" s="137"/>
      <c r="O461" s="139"/>
      <c r="P461" s="140"/>
      <c r="Q461" s="21" t="s">
        <v>48</v>
      </c>
      <c r="R461" s="99" t="s">
        <v>256</v>
      </c>
      <c r="S461" s="97" t="s">
        <v>45</v>
      </c>
      <c r="T461" s="97" t="s">
        <v>45</v>
      </c>
      <c r="U461" s="172" t="s">
        <v>257</v>
      </c>
      <c r="V461" s="172" t="s">
        <v>257</v>
      </c>
      <c r="Z461" s="22" t="s">
        <v>44</v>
      </c>
      <c r="AA461">
        <v>2</v>
      </c>
      <c r="AC461" s="19" t="e">
        <f t="shared" si="36"/>
        <v>#N/A</v>
      </c>
      <c r="AF461" s="97" t="s">
        <v>45</v>
      </c>
      <c r="AG461">
        <v>4</v>
      </c>
    </row>
    <row r="462" spans="1:35" ht="24" thickBot="1">
      <c r="A462" s="174"/>
      <c r="B462" s="121"/>
      <c r="C462" s="121"/>
      <c r="D462" s="121"/>
      <c r="E462" s="121" t="s">
        <v>201</v>
      </c>
      <c r="F462" s="121" t="s">
        <v>201</v>
      </c>
      <c r="G462" s="121" t="str">
        <f t="shared" si="37"/>
        <v/>
      </c>
      <c r="H462" s="121"/>
      <c r="I462" s="121"/>
      <c r="J462" s="121"/>
      <c r="K462" s="121"/>
      <c r="L462" s="236"/>
      <c r="M462" s="137">
        <v>4</v>
      </c>
      <c r="N462" s="137"/>
      <c r="O462" s="139"/>
      <c r="P462" s="140"/>
      <c r="Q462" s="21" t="s">
        <v>49</v>
      </c>
      <c r="R462" s="99" t="s">
        <v>46</v>
      </c>
      <c r="S462" s="99" t="s">
        <v>256</v>
      </c>
      <c r="T462" s="98" t="s">
        <v>45</v>
      </c>
      <c r="U462" s="172" t="s">
        <v>257</v>
      </c>
      <c r="V462" s="172" t="s">
        <v>257</v>
      </c>
      <c r="Z462" s="22" t="s">
        <v>241</v>
      </c>
      <c r="AA462">
        <v>3</v>
      </c>
      <c r="AC462" s="19" t="e">
        <f t="shared" si="36"/>
        <v>#N/A</v>
      </c>
      <c r="AF462" s="96" t="s">
        <v>43</v>
      </c>
      <c r="AG462">
        <v>5</v>
      </c>
    </row>
    <row r="463" spans="1:35" ht="24" thickBot="1">
      <c r="A463" s="174"/>
      <c r="B463" s="121"/>
      <c r="C463" s="121"/>
      <c r="D463" s="121"/>
      <c r="E463" s="121" t="s">
        <v>201</v>
      </c>
      <c r="F463" s="121" t="s">
        <v>201</v>
      </c>
      <c r="G463" s="121" t="str">
        <f t="shared" si="37"/>
        <v/>
      </c>
      <c r="H463" s="121"/>
      <c r="I463" s="121"/>
      <c r="J463" s="121"/>
      <c r="K463" s="121"/>
      <c r="L463" s="236"/>
      <c r="M463" s="137">
        <v>5</v>
      </c>
      <c r="N463" s="137"/>
      <c r="O463" s="139"/>
      <c r="P463" s="140"/>
      <c r="Q463" s="21" t="s">
        <v>50</v>
      </c>
      <c r="R463" s="99" t="s">
        <v>46</v>
      </c>
      <c r="S463" s="99" t="s">
        <v>46</v>
      </c>
      <c r="T463" s="99" t="s">
        <v>256</v>
      </c>
      <c r="U463" s="98" t="s">
        <v>45</v>
      </c>
      <c r="V463" s="172" t="s">
        <v>257</v>
      </c>
      <c r="Z463" s="22" t="s">
        <v>41</v>
      </c>
      <c r="AA463">
        <v>4</v>
      </c>
      <c r="AC463" s="19" t="e">
        <f t="shared" si="36"/>
        <v>#N/A</v>
      </c>
    </row>
    <row r="464" spans="1:35" ht="24" thickBot="1">
      <c r="A464" s="174"/>
      <c r="B464" s="121"/>
      <c r="C464" s="121"/>
      <c r="D464" s="121"/>
      <c r="E464" s="121" t="s">
        <v>201</v>
      </c>
      <c r="F464" s="121" t="s">
        <v>201</v>
      </c>
      <c r="G464" s="121" t="str">
        <f t="shared" si="37"/>
        <v/>
      </c>
      <c r="H464" s="121"/>
      <c r="I464" s="121"/>
      <c r="J464" s="121"/>
      <c r="K464" s="121"/>
      <c r="L464" s="236"/>
      <c r="M464" s="137">
        <v>6</v>
      </c>
      <c r="N464" s="137"/>
      <c r="O464" s="139"/>
      <c r="P464" s="140"/>
      <c r="Q464" s="21" t="s">
        <v>243</v>
      </c>
      <c r="R464" s="100" t="s">
        <v>46</v>
      </c>
      <c r="S464" s="99" t="s">
        <v>46</v>
      </c>
      <c r="T464" s="99" t="s">
        <v>256</v>
      </c>
      <c r="U464" s="98" t="s">
        <v>45</v>
      </c>
      <c r="V464" s="98" t="s">
        <v>45</v>
      </c>
      <c r="Z464" s="22" t="s">
        <v>42</v>
      </c>
      <c r="AA464">
        <v>5</v>
      </c>
      <c r="AC464" s="19" t="e">
        <f t="shared" si="36"/>
        <v>#N/A</v>
      </c>
    </row>
    <row r="465" spans="1:29" ht="23">
      <c r="A465" s="174"/>
      <c r="B465" s="121"/>
      <c r="C465" s="121"/>
      <c r="D465" s="121"/>
      <c r="E465" s="121" t="s">
        <v>201</v>
      </c>
      <c r="F465" s="121" t="s">
        <v>201</v>
      </c>
      <c r="G465" s="121" t="str">
        <f t="shared" si="37"/>
        <v/>
      </c>
      <c r="H465" s="121"/>
      <c r="I465" s="121"/>
      <c r="J465" s="121"/>
      <c r="K465" s="121"/>
      <c r="L465" s="236"/>
      <c r="M465" s="137">
        <v>7</v>
      </c>
      <c r="N465" s="137"/>
      <c r="O465" s="139"/>
      <c r="P465" s="140"/>
      <c r="Q465" s="124" t="s">
        <v>201</v>
      </c>
      <c r="AC465" s="19" t="e">
        <f t="shared" si="36"/>
        <v>#N/A</v>
      </c>
    </row>
    <row r="466" spans="1:29" ht="23">
      <c r="A466" s="174"/>
      <c r="B466" s="121"/>
      <c r="C466" s="121"/>
      <c r="D466" s="121"/>
      <c r="E466" s="121" t="s">
        <v>201</v>
      </c>
      <c r="F466" s="121" t="s">
        <v>201</v>
      </c>
      <c r="G466" s="121" t="str">
        <f t="shared" si="37"/>
        <v/>
      </c>
      <c r="H466" s="121"/>
      <c r="I466" s="121"/>
      <c r="J466" s="121"/>
      <c r="K466" s="121"/>
      <c r="L466" s="236"/>
      <c r="M466" s="137">
        <v>8</v>
      </c>
      <c r="N466" s="137"/>
      <c r="O466" s="139"/>
      <c r="P466" s="140"/>
      <c r="AC466" s="19" t="e">
        <f t="shared" si="36"/>
        <v>#N/A</v>
      </c>
    </row>
    <row r="467" spans="1:29" ht="25" customHeight="1">
      <c r="A467" s="174"/>
      <c r="B467" s="121"/>
      <c r="C467" s="121"/>
      <c r="D467" s="121"/>
      <c r="E467" s="121" t="s">
        <v>201</v>
      </c>
      <c r="F467" s="121" t="s">
        <v>201</v>
      </c>
      <c r="G467" s="121" t="str">
        <f t="shared" si="37"/>
        <v/>
      </c>
      <c r="H467" s="121"/>
      <c r="I467" s="121"/>
      <c r="J467" s="121"/>
      <c r="K467" s="121"/>
      <c r="L467" s="236"/>
      <c r="M467" s="137">
        <v>9</v>
      </c>
      <c r="N467" s="137"/>
      <c r="O467" s="139"/>
      <c r="P467" s="140"/>
      <c r="AC467" s="19" t="e">
        <f t="shared" si="36"/>
        <v>#N/A</v>
      </c>
    </row>
    <row r="468" spans="1:29" ht="24" customHeight="1">
      <c r="A468" s="174"/>
      <c r="B468" s="121"/>
      <c r="C468" s="121"/>
      <c r="D468" s="121"/>
      <c r="E468" s="121" t="s">
        <v>201</v>
      </c>
      <c r="F468" s="121" t="s">
        <v>201</v>
      </c>
      <c r="G468" s="121" t="str">
        <f t="shared" si="37"/>
        <v/>
      </c>
      <c r="H468" s="121"/>
      <c r="I468" s="121"/>
      <c r="J468" s="121"/>
      <c r="K468" s="121"/>
      <c r="L468" s="236"/>
      <c r="M468" s="137">
        <v>10</v>
      </c>
      <c r="N468" s="137"/>
      <c r="O468" s="139"/>
      <c r="P468" s="140"/>
      <c r="AC468" s="19" t="e">
        <f t="shared" si="36"/>
        <v>#N/A</v>
      </c>
    </row>
    <row r="469" spans="1:29" ht="24" customHeight="1">
      <c r="A469" s="174"/>
      <c r="B469" s="121"/>
      <c r="C469" s="121"/>
      <c r="D469" s="121"/>
      <c r="E469" s="121" t="s">
        <v>201</v>
      </c>
      <c r="F469" s="121" t="s">
        <v>201</v>
      </c>
      <c r="G469" s="121" t="str">
        <f t="shared" si="37"/>
        <v/>
      </c>
      <c r="H469" s="121"/>
      <c r="I469" s="121"/>
      <c r="J469" s="121"/>
      <c r="K469" s="121"/>
      <c r="L469" s="236"/>
      <c r="M469" s="139"/>
      <c r="N469" s="139"/>
      <c r="O469" s="139"/>
      <c r="P469" s="140"/>
      <c r="AC469" s="19" t="e">
        <f t="shared" si="36"/>
        <v>#N/A</v>
      </c>
    </row>
    <row r="470" spans="1:29" ht="21">
      <c r="A470" s="174"/>
      <c r="B470" s="121"/>
      <c r="C470" s="121"/>
      <c r="D470" s="121"/>
      <c r="E470" s="121" t="s">
        <v>201</v>
      </c>
      <c r="F470" s="121" t="s">
        <v>201</v>
      </c>
      <c r="G470" s="121" t="str">
        <f t="shared" si="37"/>
        <v/>
      </c>
      <c r="H470" s="121"/>
      <c r="I470" s="121"/>
      <c r="J470" s="121"/>
      <c r="K470" s="121"/>
      <c r="L470" s="236"/>
      <c r="M470" s="139"/>
      <c r="N470" s="139"/>
      <c r="O470" s="139"/>
      <c r="P470" s="140"/>
      <c r="AC470" s="19" t="e">
        <f t="shared" si="36"/>
        <v>#N/A</v>
      </c>
    </row>
    <row r="471" spans="1:29" ht="21">
      <c r="A471" s="174"/>
      <c r="B471" s="121"/>
      <c r="C471" s="121"/>
      <c r="D471" s="121"/>
      <c r="E471" s="121" t="s">
        <v>201</v>
      </c>
      <c r="F471" s="121" t="s">
        <v>201</v>
      </c>
      <c r="G471" s="121" t="str">
        <f t="shared" si="37"/>
        <v/>
      </c>
      <c r="H471" s="121"/>
      <c r="I471" s="121"/>
      <c r="J471" s="121"/>
      <c r="K471" s="121"/>
      <c r="L471" s="236"/>
      <c r="M471" s="139"/>
      <c r="N471" s="139"/>
      <c r="O471" s="139"/>
      <c r="P471" s="140"/>
      <c r="AC471" s="19" t="e">
        <f t="shared" si="36"/>
        <v>#N/A</v>
      </c>
    </row>
    <row r="472" spans="1:29" ht="21">
      <c r="A472" s="174"/>
      <c r="B472" s="121"/>
      <c r="C472" s="121"/>
      <c r="D472" s="121"/>
      <c r="E472" s="121" t="s">
        <v>201</v>
      </c>
      <c r="F472" s="121" t="s">
        <v>201</v>
      </c>
      <c r="G472" s="121" t="str">
        <f t="shared" si="37"/>
        <v/>
      </c>
      <c r="H472" s="121"/>
      <c r="I472" s="121"/>
      <c r="J472" s="121"/>
      <c r="K472" s="121"/>
      <c r="L472" s="236"/>
      <c r="M472" s="139"/>
      <c r="N472" s="139"/>
      <c r="O472" s="139"/>
      <c r="P472" s="140"/>
      <c r="AC472" s="19" t="e">
        <f t="shared" si="36"/>
        <v>#N/A</v>
      </c>
    </row>
    <row r="473" spans="1:29" ht="21">
      <c r="A473" s="174"/>
      <c r="B473" s="121"/>
      <c r="C473" s="121"/>
      <c r="D473" s="121"/>
      <c r="E473" s="121" t="s">
        <v>201</v>
      </c>
      <c r="F473" s="121" t="s">
        <v>201</v>
      </c>
      <c r="G473" s="121" t="str">
        <f t="shared" si="37"/>
        <v/>
      </c>
      <c r="H473" s="121"/>
      <c r="I473" s="121"/>
      <c r="J473" s="121"/>
      <c r="K473" s="121"/>
      <c r="L473" s="236"/>
      <c r="M473" s="139"/>
      <c r="N473" s="139"/>
      <c r="O473" s="139"/>
      <c r="P473" s="140"/>
      <c r="AC473" s="19" t="e">
        <f t="shared" si="36"/>
        <v>#N/A</v>
      </c>
    </row>
    <row r="474" spans="1:29" ht="21">
      <c r="A474" s="174"/>
      <c r="B474" s="121"/>
      <c r="C474" s="121"/>
      <c r="D474" s="121"/>
      <c r="E474" s="121" t="s">
        <v>201</v>
      </c>
      <c r="F474" s="121" t="s">
        <v>201</v>
      </c>
      <c r="G474" s="121" t="str">
        <f t="shared" si="37"/>
        <v/>
      </c>
      <c r="H474" s="121"/>
      <c r="I474" s="121"/>
      <c r="J474" s="121"/>
      <c r="K474" s="121"/>
      <c r="L474" s="236"/>
      <c r="M474" s="139"/>
      <c r="N474" s="139"/>
      <c r="O474" s="139"/>
      <c r="P474" s="140"/>
      <c r="AC474" s="19" t="e">
        <f t="shared" si="36"/>
        <v>#N/A</v>
      </c>
    </row>
    <row r="475" spans="1:29" ht="21">
      <c r="A475" s="174"/>
      <c r="B475" s="121"/>
      <c r="C475" s="121"/>
      <c r="D475" s="121"/>
      <c r="E475" s="121" t="s">
        <v>201</v>
      </c>
      <c r="F475" s="121" t="s">
        <v>201</v>
      </c>
      <c r="G475" s="121" t="str">
        <f t="shared" si="37"/>
        <v/>
      </c>
      <c r="H475" s="121"/>
      <c r="I475" s="121"/>
      <c r="J475" s="121"/>
      <c r="K475" s="121"/>
      <c r="L475" s="236"/>
      <c r="M475" s="139"/>
      <c r="N475" s="139"/>
      <c r="O475" s="139"/>
      <c r="P475" s="140"/>
      <c r="AC475" s="19"/>
    </row>
    <row r="476" spans="1:29">
      <c r="A476" s="236"/>
      <c r="B476" s="236"/>
      <c r="C476" s="236"/>
      <c r="D476" s="236"/>
      <c r="E476" s="236"/>
      <c r="F476" s="236"/>
      <c r="G476" s="236"/>
      <c r="H476" s="236"/>
      <c r="I476" s="236"/>
      <c r="J476" s="236"/>
      <c r="K476" s="236"/>
      <c r="L476" s="236"/>
    </row>
    <row r="478" spans="1:29" ht="46" customHeight="1">
      <c r="A478" s="174"/>
      <c r="B478" s="169" t="s">
        <v>254</v>
      </c>
      <c r="C478" s="167"/>
      <c r="D478" s="167"/>
      <c r="E478" s="167"/>
      <c r="F478" s="167"/>
      <c r="G478" s="167"/>
      <c r="H478" s="168"/>
      <c r="I478" s="168"/>
      <c r="J478" s="168"/>
      <c r="K478" s="168"/>
      <c r="L478" s="236"/>
      <c r="M478" s="165"/>
      <c r="N478" s="165"/>
      <c r="O478" s="165"/>
      <c r="P478" s="165"/>
      <c r="Q478" s="165"/>
      <c r="R478" s="165"/>
      <c r="S478" s="165"/>
      <c r="T478" s="165"/>
      <c r="U478" s="165"/>
      <c r="V478" s="165"/>
      <c r="W478" s="165"/>
    </row>
    <row r="479" spans="1:29">
      <c r="A479" s="174" t="s">
        <v>197</v>
      </c>
      <c r="B479" s="215" t="s">
        <v>255</v>
      </c>
      <c r="C479" s="215"/>
      <c r="D479" s="215"/>
      <c r="E479" s="215"/>
      <c r="F479" s="215"/>
      <c r="G479" s="215"/>
      <c r="H479" s="215"/>
      <c r="I479" s="215" t="s">
        <v>30</v>
      </c>
      <c r="J479" s="215"/>
      <c r="K479" s="170"/>
      <c r="L479" s="236"/>
    </row>
    <row r="480" spans="1:29">
      <c r="A480" s="174" t="s">
        <v>246</v>
      </c>
      <c r="B480" s="215" t="s">
        <v>244</v>
      </c>
      <c r="C480" s="215"/>
      <c r="D480" s="215"/>
      <c r="E480" s="215"/>
      <c r="F480" s="215"/>
      <c r="G480" s="215"/>
      <c r="H480" s="215"/>
      <c r="I480" s="215" t="s">
        <v>31</v>
      </c>
      <c r="J480" s="215"/>
      <c r="K480" s="170"/>
      <c r="L480" s="236"/>
    </row>
    <row r="481" spans="1:35">
      <c r="A481" s="174"/>
      <c r="B481" s="215" t="s">
        <v>247</v>
      </c>
      <c r="C481" s="215"/>
      <c r="D481" s="215"/>
      <c r="E481" s="215"/>
      <c r="F481" s="215"/>
      <c r="G481" s="215"/>
      <c r="H481" s="215"/>
      <c r="I481" s="215" t="s">
        <v>29</v>
      </c>
      <c r="J481" s="215"/>
      <c r="K481" s="173"/>
      <c r="L481" s="236"/>
    </row>
    <row r="482" spans="1:35" s="19" customFormat="1" ht="46" thickBot="1">
      <c r="A482" s="175">
        <f>A457+1</f>
        <v>20</v>
      </c>
      <c r="B482" s="95" t="s">
        <v>32</v>
      </c>
      <c r="C482" s="95" t="s">
        <v>190</v>
      </c>
      <c r="D482" s="95" t="s">
        <v>33</v>
      </c>
      <c r="E482" s="95" t="s">
        <v>36</v>
      </c>
      <c r="F482" s="95" t="s">
        <v>196</v>
      </c>
      <c r="G482" s="95" t="s">
        <v>37</v>
      </c>
      <c r="H482" s="95" t="s">
        <v>34</v>
      </c>
      <c r="I482" s="95" t="s">
        <v>250</v>
      </c>
      <c r="J482" s="95" t="s">
        <v>35</v>
      </c>
      <c r="K482" s="95" t="s">
        <v>191</v>
      </c>
      <c r="L482" s="236"/>
      <c r="M482" s="128"/>
      <c r="N482" s="141" t="s">
        <v>248</v>
      </c>
      <c r="O482" s="128"/>
      <c r="P482" s="138"/>
      <c r="AC482" s="19" t="e">
        <f t="shared" ref="AC482:AC499" si="38">VLOOKUP(F483,Z$10:AA$14,2,FALSE)</f>
        <v>#N/A</v>
      </c>
      <c r="AI482" s="19" t="e">
        <f>VLOOKUP(G483,$AF$8:$AG$12,2,FALSE)</f>
        <v>#N/A</v>
      </c>
    </row>
    <row r="483" spans="1:35" ht="22" thickBot="1">
      <c r="A483" s="174"/>
      <c r="B483" s="121"/>
      <c r="C483" s="121"/>
      <c r="D483" s="121"/>
      <c r="E483" s="121" t="s">
        <v>201</v>
      </c>
      <c r="F483" s="121" t="s">
        <v>201</v>
      </c>
      <c r="G483" s="121" t="str">
        <f>IF(ISERROR(VLOOKUP(E483,Q$10:V$14,AC482+1,FALSE)),"",VLOOKUP(E483,Q$10:V$14,AC482+1,FALSE))</f>
        <v/>
      </c>
      <c r="H483" s="121"/>
      <c r="I483" s="121"/>
      <c r="J483" s="121"/>
      <c r="K483" s="121"/>
      <c r="L483" s="236"/>
      <c r="M483" s="142" t="s">
        <v>240</v>
      </c>
      <c r="N483" s="139"/>
      <c r="O483" s="139"/>
      <c r="P483" s="140"/>
      <c r="Q483" s="20"/>
      <c r="R483" s="212" t="s">
        <v>38</v>
      </c>
      <c r="S483" s="213"/>
      <c r="T483" s="213"/>
      <c r="U483" s="213"/>
      <c r="V483" s="214"/>
      <c r="AC483" s="19" t="e">
        <f t="shared" si="38"/>
        <v>#N/A</v>
      </c>
      <c r="AF483" s="100" t="s">
        <v>47</v>
      </c>
      <c r="AG483">
        <v>1</v>
      </c>
    </row>
    <row r="484" spans="1:35" ht="24" thickBot="1">
      <c r="A484" s="174"/>
      <c r="B484" s="121"/>
      <c r="C484" s="121"/>
      <c r="D484" s="121"/>
      <c r="E484" s="121" t="s">
        <v>201</v>
      </c>
      <c r="F484" s="121" t="s">
        <v>201</v>
      </c>
      <c r="G484" s="121" t="str">
        <f>IF(ISERROR(VLOOKUP(E484,Q$10:V$14,AC483+1,FALSE)),"",VLOOKUP(E484,Q$10:V$14,AC483+1,FALSE))</f>
        <v/>
      </c>
      <c r="H484" s="121"/>
      <c r="I484" s="121"/>
      <c r="J484" s="121"/>
      <c r="K484" s="121"/>
      <c r="L484" s="236"/>
      <c r="M484" s="137">
        <v>1</v>
      </c>
      <c r="N484" s="137"/>
      <c r="O484" s="139"/>
      <c r="P484" s="140"/>
      <c r="Q484" s="23" t="s">
        <v>39</v>
      </c>
      <c r="R484" s="22" t="s">
        <v>40</v>
      </c>
      <c r="S484" s="22" t="s">
        <v>44</v>
      </c>
      <c r="T484" s="22" t="s">
        <v>241</v>
      </c>
      <c r="U484" s="22" t="s">
        <v>41</v>
      </c>
      <c r="V484" s="22" t="s">
        <v>42</v>
      </c>
      <c r="W484" s="125" t="s">
        <v>201</v>
      </c>
      <c r="AC484" s="19" t="e">
        <f t="shared" si="38"/>
        <v>#N/A</v>
      </c>
      <c r="AF484" s="99" t="s">
        <v>46</v>
      </c>
      <c r="AG484">
        <v>2</v>
      </c>
    </row>
    <row r="485" spans="1:35" ht="24" thickBot="1">
      <c r="A485" s="174"/>
      <c r="B485" s="121"/>
      <c r="C485" s="121"/>
      <c r="D485" s="121"/>
      <c r="E485" s="121" t="s">
        <v>201</v>
      </c>
      <c r="F485" s="121" t="s">
        <v>201</v>
      </c>
      <c r="G485" s="121" t="str">
        <f t="shared" ref="G485:G500" si="39">IF(ISERROR(VLOOKUP(E485,Q$10:V$14,AC484+1,FALSE)),"",VLOOKUP(E485,Q$10:V$14,AC484+1,FALSE))</f>
        <v/>
      </c>
      <c r="H485" s="121"/>
      <c r="I485" s="121"/>
      <c r="J485" s="121"/>
      <c r="K485" s="121"/>
      <c r="L485" s="236"/>
      <c r="M485" s="137">
        <v>2</v>
      </c>
      <c r="N485" s="137"/>
      <c r="O485" s="139"/>
      <c r="P485" s="140"/>
      <c r="Q485" s="21" t="s">
        <v>242</v>
      </c>
      <c r="R485" s="99" t="s">
        <v>256</v>
      </c>
      <c r="S485" s="97" t="s">
        <v>45</v>
      </c>
      <c r="T485" s="172" t="s">
        <v>257</v>
      </c>
      <c r="U485" s="172" t="s">
        <v>257</v>
      </c>
      <c r="V485" s="172" t="s">
        <v>257</v>
      </c>
      <c r="Z485" s="22" t="s">
        <v>40</v>
      </c>
      <c r="AA485">
        <v>1</v>
      </c>
      <c r="AC485" s="19" t="e">
        <f t="shared" si="38"/>
        <v>#N/A</v>
      </c>
      <c r="AF485" s="98" t="s">
        <v>44</v>
      </c>
      <c r="AG485">
        <v>3</v>
      </c>
    </row>
    <row r="486" spans="1:35" ht="24" thickBot="1">
      <c r="A486" s="174"/>
      <c r="B486" s="121"/>
      <c r="C486" s="121"/>
      <c r="D486" s="121"/>
      <c r="E486" s="121" t="s">
        <v>201</v>
      </c>
      <c r="F486" s="121" t="s">
        <v>201</v>
      </c>
      <c r="G486" s="121" t="str">
        <f t="shared" si="39"/>
        <v/>
      </c>
      <c r="H486" s="121"/>
      <c r="I486" s="121"/>
      <c r="J486" s="121"/>
      <c r="K486" s="121"/>
      <c r="L486" s="236"/>
      <c r="M486" s="137">
        <v>3</v>
      </c>
      <c r="N486" s="137"/>
      <c r="O486" s="139"/>
      <c r="P486" s="140"/>
      <c r="Q486" s="21" t="s">
        <v>48</v>
      </c>
      <c r="R486" s="99" t="s">
        <v>256</v>
      </c>
      <c r="S486" s="97" t="s">
        <v>45</v>
      </c>
      <c r="T486" s="97" t="s">
        <v>45</v>
      </c>
      <c r="U486" s="172" t="s">
        <v>257</v>
      </c>
      <c r="V486" s="172" t="s">
        <v>257</v>
      </c>
      <c r="Z486" s="22" t="s">
        <v>44</v>
      </c>
      <c r="AA486">
        <v>2</v>
      </c>
      <c r="AC486" s="19" t="e">
        <f t="shared" si="38"/>
        <v>#N/A</v>
      </c>
      <c r="AF486" s="97" t="s">
        <v>45</v>
      </c>
      <c r="AG486">
        <v>4</v>
      </c>
    </row>
    <row r="487" spans="1:35" ht="24" thickBot="1">
      <c r="A487" s="174"/>
      <c r="B487" s="121"/>
      <c r="C487" s="121"/>
      <c r="D487" s="121"/>
      <c r="E487" s="121" t="s">
        <v>201</v>
      </c>
      <c r="F487" s="121" t="s">
        <v>201</v>
      </c>
      <c r="G487" s="121" t="str">
        <f t="shared" si="39"/>
        <v/>
      </c>
      <c r="H487" s="121"/>
      <c r="I487" s="121"/>
      <c r="J487" s="121"/>
      <c r="K487" s="121"/>
      <c r="L487" s="236"/>
      <c r="M487" s="137">
        <v>4</v>
      </c>
      <c r="N487" s="137"/>
      <c r="O487" s="139"/>
      <c r="P487" s="140"/>
      <c r="Q487" s="21" t="s">
        <v>49</v>
      </c>
      <c r="R487" s="99" t="s">
        <v>46</v>
      </c>
      <c r="S487" s="99" t="s">
        <v>256</v>
      </c>
      <c r="T487" s="98" t="s">
        <v>45</v>
      </c>
      <c r="U487" s="172" t="s">
        <v>257</v>
      </c>
      <c r="V487" s="172" t="s">
        <v>257</v>
      </c>
      <c r="Z487" s="22" t="s">
        <v>241</v>
      </c>
      <c r="AA487">
        <v>3</v>
      </c>
      <c r="AC487" s="19" t="e">
        <f t="shared" si="38"/>
        <v>#N/A</v>
      </c>
      <c r="AF487" s="96" t="s">
        <v>43</v>
      </c>
      <c r="AG487">
        <v>5</v>
      </c>
    </row>
    <row r="488" spans="1:35" ht="24" thickBot="1">
      <c r="A488" s="174"/>
      <c r="B488" s="121"/>
      <c r="C488" s="121"/>
      <c r="D488" s="121"/>
      <c r="E488" s="121" t="s">
        <v>201</v>
      </c>
      <c r="F488" s="121" t="s">
        <v>201</v>
      </c>
      <c r="G488" s="121" t="str">
        <f t="shared" si="39"/>
        <v/>
      </c>
      <c r="H488" s="121"/>
      <c r="I488" s="121"/>
      <c r="J488" s="121"/>
      <c r="K488" s="121"/>
      <c r="L488" s="236"/>
      <c r="M488" s="137">
        <v>5</v>
      </c>
      <c r="N488" s="137"/>
      <c r="O488" s="139"/>
      <c r="P488" s="140"/>
      <c r="Q488" s="21" t="s">
        <v>50</v>
      </c>
      <c r="R488" s="99" t="s">
        <v>46</v>
      </c>
      <c r="S488" s="99" t="s">
        <v>46</v>
      </c>
      <c r="T488" s="99" t="s">
        <v>256</v>
      </c>
      <c r="U488" s="98" t="s">
        <v>45</v>
      </c>
      <c r="V488" s="172" t="s">
        <v>257</v>
      </c>
      <c r="Z488" s="22" t="s">
        <v>41</v>
      </c>
      <c r="AA488">
        <v>4</v>
      </c>
      <c r="AC488" s="19" t="e">
        <f t="shared" si="38"/>
        <v>#N/A</v>
      </c>
    </row>
    <row r="489" spans="1:35" ht="24" thickBot="1">
      <c r="A489" s="174"/>
      <c r="B489" s="121"/>
      <c r="C489" s="121"/>
      <c r="D489" s="121"/>
      <c r="E489" s="121" t="s">
        <v>201</v>
      </c>
      <c r="F489" s="121" t="s">
        <v>201</v>
      </c>
      <c r="G489" s="121" t="str">
        <f t="shared" si="39"/>
        <v/>
      </c>
      <c r="H489" s="121"/>
      <c r="I489" s="121"/>
      <c r="J489" s="121"/>
      <c r="K489" s="121"/>
      <c r="L489" s="236"/>
      <c r="M489" s="137">
        <v>6</v>
      </c>
      <c r="N489" s="137"/>
      <c r="O489" s="139"/>
      <c r="P489" s="140"/>
      <c r="Q489" s="21" t="s">
        <v>243</v>
      </c>
      <c r="R489" s="100" t="s">
        <v>46</v>
      </c>
      <c r="S489" s="99" t="s">
        <v>46</v>
      </c>
      <c r="T489" s="99" t="s">
        <v>256</v>
      </c>
      <c r="U489" s="98" t="s">
        <v>45</v>
      </c>
      <c r="V489" s="98" t="s">
        <v>45</v>
      </c>
      <c r="Z489" s="22" t="s">
        <v>42</v>
      </c>
      <c r="AA489">
        <v>5</v>
      </c>
      <c r="AC489" s="19" t="e">
        <f t="shared" si="38"/>
        <v>#N/A</v>
      </c>
    </row>
    <row r="490" spans="1:35" ht="23">
      <c r="A490" s="174"/>
      <c r="B490" s="121"/>
      <c r="C490" s="121"/>
      <c r="D490" s="121"/>
      <c r="E490" s="121" t="s">
        <v>201</v>
      </c>
      <c r="F490" s="121" t="s">
        <v>201</v>
      </c>
      <c r="G490" s="121" t="str">
        <f t="shared" si="39"/>
        <v/>
      </c>
      <c r="H490" s="121"/>
      <c r="I490" s="121"/>
      <c r="J490" s="121"/>
      <c r="K490" s="121"/>
      <c r="L490" s="236"/>
      <c r="M490" s="137">
        <v>7</v>
      </c>
      <c r="N490" s="137"/>
      <c r="O490" s="139"/>
      <c r="P490" s="140"/>
      <c r="Q490" s="124" t="s">
        <v>201</v>
      </c>
      <c r="AC490" s="19" t="e">
        <f t="shared" si="38"/>
        <v>#N/A</v>
      </c>
    </row>
    <row r="491" spans="1:35" ht="23">
      <c r="A491" s="174"/>
      <c r="B491" s="121"/>
      <c r="C491" s="121"/>
      <c r="D491" s="121"/>
      <c r="E491" s="121" t="s">
        <v>201</v>
      </c>
      <c r="F491" s="121" t="s">
        <v>201</v>
      </c>
      <c r="G491" s="121" t="str">
        <f t="shared" si="39"/>
        <v/>
      </c>
      <c r="H491" s="121"/>
      <c r="I491" s="121"/>
      <c r="J491" s="121"/>
      <c r="K491" s="121"/>
      <c r="L491" s="236"/>
      <c r="M491" s="137">
        <v>8</v>
      </c>
      <c r="N491" s="137"/>
      <c r="O491" s="139"/>
      <c r="P491" s="140"/>
      <c r="AC491" s="19" t="e">
        <f t="shared" si="38"/>
        <v>#N/A</v>
      </c>
    </row>
    <row r="492" spans="1:35" ht="25" customHeight="1">
      <c r="A492" s="174"/>
      <c r="B492" s="121"/>
      <c r="C492" s="121"/>
      <c r="D492" s="121"/>
      <c r="E492" s="121" t="s">
        <v>201</v>
      </c>
      <c r="F492" s="121" t="s">
        <v>201</v>
      </c>
      <c r="G492" s="121" t="str">
        <f t="shared" si="39"/>
        <v/>
      </c>
      <c r="H492" s="121"/>
      <c r="I492" s="121"/>
      <c r="J492" s="121"/>
      <c r="K492" s="121"/>
      <c r="L492" s="236"/>
      <c r="M492" s="137">
        <v>9</v>
      </c>
      <c r="N492" s="137"/>
      <c r="O492" s="139"/>
      <c r="P492" s="140"/>
      <c r="AC492" s="19" t="e">
        <f t="shared" si="38"/>
        <v>#N/A</v>
      </c>
    </row>
    <row r="493" spans="1:35" ht="24" customHeight="1">
      <c r="A493" s="174"/>
      <c r="B493" s="121"/>
      <c r="C493" s="121"/>
      <c r="D493" s="121"/>
      <c r="E493" s="121" t="s">
        <v>201</v>
      </c>
      <c r="F493" s="121" t="s">
        <v>201</v>
      </c>
      <c r="G493" s="121" t="str">
        <f t="shared" si="39"/>
        <v/>
      </c>
      <c r="H493" s="121"/>
      <c r="I493" s="121"/>
      <c r="J493" s="121"/>
      <c r="K493" s="121"/>
      <c r="L493" s="236"/>
      <c r="M493" s="137">
        <v>10</v>
      </c>
      <c r="N493" s="137"/>
      <c r="O493" s="139"/>
      <c r="P493" s="140"/>
      <c r="AC493" s="19" t="e">
        <f t="shared" si="38"/>
        <v>#N/A</v>
      </c>
    </row>
    <row r="494" spans="1:35" ht="24" customHeight="1">
      <c r="A494" s="174"/>
      <c r="B494" s="121"/>
      <c r="C494" s="121"/>
      <c r="D494" s="121"/>
      <c r="E494" s="121" t="s">
        <v>201</v>
      </c>
      <c r="F494" s="121" t="s">
        <v>201</v>
      </c>
      <c r="G494" s="121" t="str">
        <f t="shared" si="39"/>
        <v/>
      </c>
      <c r="H494" s="121"/>
      <c r="I494" s="121"/>
      <c r="J494" s="121"/>
      <c r="K494" s="121"/>
      <c r="L494" s="236"/>
      <c r="M494" s="139"/>
      <c r="N494" s="139"/>
      <c r="O494" s="139"/>
      <c r="P494" s="140"/>
      <c r="AC494" s="19" t="e">
        <f t="shared" si="38"/>
        <v>#N/A</v>
      </c>
    </row>
    <row r="495" spans="1:35" ht="21">
      <c r="A495" s="174"/>
      <c r="B495" s="121"/>
      <c r="C495" s="121"/>
      <c r="D495" s="121"/>
      <c r="E495" s="121" t="s">
        <v>201</v>
      </c>
      <c r="F495" s="121" t="s">
        <v>201</v>
      </c>
      <c r="G495" s="121" t="str">
        <f t="shared" si="39"/>
        <v/>
      </c>
      <c r="H495" s="121"/>
      <c r="I495" s="121"/>
      <c r="J495" s="121"/>
      <c r="K495" s="121"/>
      <c r="L495" s="236"/>
      <c r="M495" s="139"/>
      <c r="N495" s="139"/>
      <c r="O495" s="139"/>
      <c r="P495" s="140"/>
      <c r="AC495" s="19" t="e">
        <f t="shared" si="38"/>
        <v>#N/A</v>
      </c>
    </row>
    <row r="496" spans="1:35" ht="21">
      <c r="A496" s="174"/>
      <c r="B496" s="121"/>
      <c r="C496" s="121"/>
      <c r="D496" s="121"/>
      <c r="E496" s="121" t="s">
        <v>201</v>
      </c>
      <c r="F496" s="121" t="s">
        <v>201</v>
      </c>
      <c r="G496" s="121" t="str">
        <f t="shared" si="39"/>
        <v/>
      </c>
      <c r="H496" s="121"/>
      <c r="I496" s="121"/>
      <c r="J496" s="121"/>
      <c r="K496" s="121"/>
      <c r="L496" s="236"/>
      <c r="M496" s="139"/>
      <c r="N496" s="139"/>
      <c r="O496" s="139"/>
      <c r="P496" s="140"/>
      <c r="AC496" s="19" t="e">
        <f t="shared" si="38"/>
        <v>#N/A</v>
      </c>
    </row>
    <row r="497" spans="1:29" ht="21">
      <c r="A497" s="174"/>
      <c r="B497" s="121"/>
      <c r="C497" s="121"/>
      <c r="D497" s="121"/>
      <c r="E497" s="121" t="s">
        <v>201</v>
      </c>
      <c r="F497" s="121" t="s">
        <v>201</v>
      </c>
      <c r="G497" s="121" t="str">
        <f t="shared" si="39"/>
        <v/>
      </c>
      <c r="H497" s="121"/>
      <c r="I497" s="121"/>
      <c r="J497" s="121"/>
      <c r="K497" s="121"/>
      <c r="L497" s="236"/>
      <c r="M497" s="139"/>
      <c r="N497" s="139"/>
      <c r="O497" s="139"/>
      <c r="P497" s="140"/>
      <c r="AC497" s="19" t="e">
        <f t="shared" si="38"/>
        <v>#N/A</v>
      </c>
    </row>
    <row r="498" spans="1:29" ht="21">
      <c r="A498" s="174"/>
      <c r="B498" s="121"/>
      <c r="C498" s="121"/>
      <c r="D498" s="121"/>
      <c r="E498" s="121" t="s">
        <v>201</v>
      </c>
      <c r="F498" s="121" t="s">
        <v>201</v>
      </c>
      <c r="G498" s="121" t="str">
        <f t="shared" si="39"/>
        <v/>
      </c>
      <c r="H498" s="121"/>
      <c r="I498" s="121"/>
      <c r="J498" s="121"/>
      <c r="K498" s="121"/>
      <c r="L498" s="236"/>
      <c r="M498" s="139"/>
      <c r="N498" s="139"/>
      <c r="O498" s="139"/>
      <c r="P498" s="140"/>
      <c r="AC498" s="19" t="e">
        <f t="shared" si="38"/>
        <v>#N/A</v>
      </c>
    </row>
    <row r="499" spans="1:29" ht="21">
      <c r="A499" s="174"/>
      <c r="B499" s="121"/>
      <c r="C499" s="121"/>
      <c r="D499" s="121"/>
      <c r="E499" s="121" t="s">
        <v>201</v>
      </c>
      <c r="F499" s="121" t="s">
        <v>201</v>
      </c>
      <c r="G499" s="121" t="str">
        <f t="shared" si="39"/>
        <v/>
      </c>
      <c r="H499" s="121"/>
      <c r="I499" s="121"/>
      <c r="J499" s="121"/>
      <c r="K499" s="121"/>
      <c r="L499" s="236"/>
      <c r="M499" s="139"/>
      <c r="N499" s="139"/>
      <c r="O499" s="139"/>
      <c r="P499" s="140"/>
      <c r="AC499" s="19" t="e">
        <f t="shared" si="38"/>
        <v>#N/A</v>
      </c>
    </row>
    <row r="500" spans="1:29" ht="21">
      <c r="A500" s="174"/>
      <c r="B500" s="121"/>
      <c r="C500" s="121"/>
      <c r="D500" s="121"/>
      <c r="E500" s="121" t="s">
        <v>201</v>
      </c>
      <c r="F500" s="121" t="s">
        <v>201</v>
      </c>
      <c r="G500" s="121" t="str">
        <f t="shared" si="39"/>
        <v/>
      </c>
      <c r="H500" s="121"/>
      <c r="I500" s="121"/>
      <c r="J500" s="121"/>
      <c r="K500" s="121"/>
      <c r="L500" s="236"/>
      <c r="M500" s="139"/>
      <c r="N500" s="139"/>
      <c r="O500" s="139"/>
      <c r="P500" s="140"/>
      <c r="AC500" s="19"/>
    </row>
    <row r="501" spans="1:29">
      <c r="A501" s="236"/>
      <c r="B501" s="236"/>
      <c r="C501" s="236"/>
      <c r="D501" s="236"/>
      <c r="E501" s="236"/>
      <c r="F501" s="236"/>
      <c r="G501" s="236"/>
      <c r="H501" s="236"/>
      <c r="I501" s="236"/>
      <c r="J501" s="236"/>
      <c r="K501" s="236"/>
      <c r="L501" s="236"/>
    </row>
  </sheetData>
  <mergeCells count="141">
    <mergeCell ref="B29:H29"/>
    <mergeCell ref="I29:J29"/>
    <mergeCell ref="B30:H30"/>
    <mergeCell ref="I30:J30"/>
    <mergeCell ref="B31:H31"/>
    <mergeCell ref="I31:J31"/>
    <mergeCell ref="B54:H54"/>
    <mergeCell ref="I54:J54"/>
    <mergeCell ref="B55:H55"/>
    <mergeCell ref="I55:J55"/>
    <mergeCell ref="R58:V58"/>
    <mergeCell ref="B56:H56"/>
    <mergeCell ref="I56:J56"/>
    <mergeCell ref="B80:H80"/>
    <mergeCell ref="I80:J80"/>
    <mergeCell ref="B79:H79"/>
    <mergeCell ref="I79:J79"/>
    <mergeCell ref="B81:H81"/>
    <mergeCell ref="I81:J81"/>
    <mergeCell ref="R83:V83"/>
    <mergeCell ref="B131:H131"/>
    <mergeCell ref="I131:J131"/>
    <mergeCell ref="I130:J130"/>
    <mergeCell ref="B130:H130"/>
    <mergeCell ref="I129:J129"/>
    <mergeCell ref="B129:H129"/>
    <mergeCell ref="R108:V108"/>
    <mergeCell ref="I105:J105"/>
    <mergeCell ref="B105:H105"/>
    <mergeCell ref="I104:J104"/>
    <mergeCell ref="B104:H104"/>
    <mergeCell ref="B106:H106"/>
    <mergeCell ref="I106:J106"/>
    <mergeCell ref="R308:V308"/>
    <mergeCell ref="I306:J306"/>
    <mergeCell ref="B306:H306"/>
    <mergeCell ref="I305:J305"/>
    <mergeCell ref="B305:H305"/>
    <mergeCell ref="I304:J304"/>
    <mergeCell ref="B304:H304"/>
    <mergeCell ref="R283:V283"/>
    <mergeCell ref="I281:J281"/>
    <mergeCell ref="B281:H281"/>
    <mergeCell ref="I280:J280"/>
    <mergeCell ref="B280:H280"/>
    <mergeCell ref="I279:J279"/>
    <mergeCell ref="B279:H279"/>
    <mergeCell ref="R133:V133"/>
    <mergeCell ref="R258:V258"/>
    <mergeCell ref="I256:J256"/>
    <mergeCell ref="B256:H256"/>
    <mergeCell ref="I255:J255"/>
    <mergeCell ref="B255:H255"/>
    <mergeCell ref="I254:J254"/>
    <mergeCell ref="B254:H254"/>
    <mergeCell ref="R233:V233"/>
    <mergeCell ref="I231:J231"/>
    <mergeCell ref="B231:H231"/>
    <mergeCell ref="I230:J230"/>
    <mergeCell ref="B230:H230"/>
    <mergeCell ref="I229:J229"/>
    <mergeCell ref="B229:H229"/>
    <mergeCell ref="R208:V208"/>
    <mergeCell ref="B156:H156"/>
    <mergeCell ref="I156:J156"/>
    <mergeCell ref="R158:V158"/>
    <mergeCell ref="I155:J155"/>
    <mergeCell ref="B155:H155"/>
    <mergeCell ref="I154:J154"/>
    <mergeCell ref="B154:H154"/>
    <mergeCell ref="I206:J206"/>
    <mergeCell ref="B206:H206"/>
    <mergeCell ref="I205:J205"/>
    <mergeCell ref="B205:H205"/>
    <mergeCell ref="I204:J204"/>
    <mergeCell ref="B204:H204"/>
    <mergeCell ref="I355:J355"/>
    <mergeCell ref="B356:H356"/>
    <mergeCell ref="I356:J356"/>
    <mergeCell ref="R358:V358"/>
    <mergeCell ref="B379:H379"/>
    <mergeCell ref="I379:J379"/>
    <mergeCell ref="B380:H380"/>
    <mergeCell ref="I380:J380"/>
    <mergeCell ref="B329:H329"/>
    <mergeCell ref="I329:J329"/>
    <mergeCell ref="B330:H330"/>
    <mergeCell ref="I330:J330"/>
    <mergeCell ref="B331:H331"/>
    <mergeCell ref="I331:J331"/>
    <mergeCell ref="R333:V333"/>
    <mergeCell ref="B354:H354"/>
    <mergeCell ref="I354:J354"/>
    <mergeCell ref="R483:V483"/>
    <mergeCell ref="R33:V33"/>
    <mergeCell ref="R183:V183"/>
    <mergeCell ref="I181:J181"/>
    <mergeCell ref="B181:H181"/>
    <mergeCell ref="I180:J180"/>
    <mergeCell ref="B180:H180"/>
    <mergeCell ref="I179:J179"/>
    <mergeCell ref="B179:H179"/>
    <mergeCell ref="B455:H455"/>
    <mergeCell ref="I455:J455"/>
    <mergeCell ref="B456:H456"/>
    <mergeCell ref="I456:J456"/>
    <mergeCell ref="R458:V458"/>
    <mergeCell ref="B479:H479"/>
    <mergeCell ref="I479:J479"/>
    <mergeCell ref="B480:H480"/>
    <mergeCell ref="I480:J480"/>
    <mergeCell ref="R408:V408"/>
    <mergeCell ref="B429:H429"/>
    <mergeCell ref="I429:J429"/>
    <mergeCell ref="B430:H430"/>
    <mergeCell ref="I430:J430"/>
    <mergeCell ref="B431:H431"/>
    <mergeCell ref="C2:W2"/>
    <mergeCell ref="R8:V8"/>
    <mergeCell ref="B4:H4"/>
    <mergeCell ref="B5:H5"/>
    <mergeCell ref="B6:H6"/>
    <mergeCell ref="I4:J4"/>
    <mergeCell ref="I5:J5"/>
    <mergeCell ref="I6:J6"/>
    <mergeCell ref="B481:H481"/>
    <mergeCell ref="I481:J481"/>
    <mergeCell ref="I431:J431"/>
    <mergeCell ref="R433:V433"/>
    <mergeCell ref="B454:H454"/>
    <mergeCell ref="I454:J454"/>
    <mergeCell ref="B381:H381"/>
    <mergeCell ref="I381:J381"/>
    <mergeCell ref="R383:V383"/>
    <mergeCell ref="B404:H404"/>
    <mergeCell ref="I404:J404"/>
    <mergeCell ref="B405:H405"/>
    <mergeCell ref="I405:J405"/>
    <mergeCell ref="B406:H406"/>
    <mergeCell ref="I406:J406"/>
    <mergeCell ref="B355:H355"/>
  </mergeCells>
  <phoneticPr fontId="41" type="noConversion"/>
  <conditionalFormatting sqref="AI7">
    <cfRule type="containsText" dxfId="414" priority="685" operator="containsText" text="3">
      <formula>NOT(ISERROR(SEARCH("3",AI7)))</formula>
    </cfRule>
  </conditionalFormatting>
  <conditionalFormatting sqref="G8:G25">
    <cfRule type="containsText" dxfId="413" priority="680" operator="containsText" text="Low">
      <formula>NOT(ISERROR(SEARCH("Low",G8)))</formula>
    </cfRule>
    <cfRule type="containsText" dxfId="412" priority="681" operator="containsText" text="Low">
      <formula>NOT(ISERROR(SEARCH("Low",G8)))</formula>
    </cfRule>
    <cfRule type="containsText" dxfId="411" priority="682" operator="containsText" text="Moderate">
      <formula>NOT(ISERROR(SEARCH("Moderate",G8)))</formula>
    </cfRule>
    <cfRule type="containsText" dxfId="410" priority="683" operator="containsText" text="High">
      <formula>NOT(ISERROR(SEARCH("High",G8)))</formula>
    </cfRule>
    <cfRule type="containsText" dxfId="409" priority="684" operator="containsText" text="Critical">
      <formula>NOT(ISERROR(SEARCH("Critical",G8)))</formula>
    </cfRule>
  </conditionalFormatting>
  <conditionalFormatting sqref="G108:G123">
    <cfRule type="containsText" dxfId="408" priority="326" operator="containsText" text="Low">
      <formula>NOT(ISERROR(SEARCH("Low",G108)))</formula>
    </cfRule>
    <cfRule type="containsText" dxfId="407" priority="327" operator="containsText" text="Low">
      <formula>NOT(ISERROR(SEARCH("Low",G108)))</formula>
    </cfRule>
    <cfRule type="containsText" dxfId="406" priority="328" operator="containsText" text="Moderate">
      <formula>NOT(ISERROR(SEARCH("Moderate",G108)))</formula>
    </cfRule>
    <cfRule type="containsText" dxfId="405" priority="329" operator="containsText" text="High">
      <formula>NOT(ISERROR(SEARCH("High",G108)))</formula>
    </cfRule>
    <cfRule type="containsText" dxfId="404" priority="330" operator="containsText" text="Critical">
      <formula>NOT(ISERROR(SEARCH("Critical",G108)))</formula>
    </cfRule>
  </conditionalFormatting>
  <conditionalFormatting sqref="G111:G125 G127:G128">
    <cfRule type="containsText" dxfId="403" priority="446" operator="containsText" text="Low">
      <formula>NOT(ISERROR(SEARCH("Low",G111)))</formula>
    </cfRule>
    <cfRule type="containsText" dxfId="402" priority="447" operator="containsText" text="Low">
      <formula>NOT(ISERROR(SEARCH("Low",G111)))</formula>
    </cfRule>
    <cfRule type="containsText" dxfId="401" priority="448" operator="containsText" text="Moderate">
      <formula>NOT(ISERROR(SEARCH("Moderate",G111)))</formula>
    </cfRule>
    <cfRule type="containsText" dxfId="400" priority="449" operator="containsText" text="High">
      <formula>NOT(ISERROR(SEARCH("High",G111)))</formula>
    </cfRule>
    <cfRule type="containsText" dxfId="399" priority="450" operator="containsText" text="Critical">
      <formula>NOT(ISERROR(SEARCH("Critical",G111)))</formula>
    </cfRule>
  </conditionalFormatting>
  <conditionalFormatting sqref="G137:G150 G152:G154">
    <cfRule type="containsText" dxfId="398" priority="441" operator="containsText" text="Low">
      <formula>NOT(ISERROR(SEARCH("Low",G137)))</formula>
    </cfRule>
    <cfRule type="containsText" dxfId="397" priority="442" operator="containsText" text="Low">
      <formula>NOT(ISERROR(SEARCH("Low",G137)))</formula>
    </cfRule>
    <cfRule type="containsText" dxfId="396" priority="443" operator="containsText" text="Moderate">
      <formula>NOT(ISERROR(SEARCH("Moderate",G137)))</formula>
    </cfRule>
    <cfRule type="containsText" dxfId="395" priority="444" operator="containsText" text="High">
      <formula>NOT(ISERROR(SEARCH("High",G137)))</formula>
    </cfRule>
    <cfRule type="containsText" dxfId="394" priority="445" operator="containsText" text="Critical">
      <formula>NOT(ISERROR(SEARCH("Critical",G137)))</formula>
    </cfRule>
  </conditionalFormatting>
  <conditionalFormatting sqref="G163:G175 G177:G180">
    <cfRule type="containsText" dxfId="393" priority="436" operator="containsText" text="Low">
      <formula>NOT(ISERROR(SEARCH("Low",G163)))</formula>
    </cfRule>
    <cfRule type="containsText" dxfId="392" priority="437" operator="containsText" text="Low">
      <formula>NOT(ISERROR(SEARCH("Low",G163)))</formula>
    </cfRule>
    <cfRule type="containsText" dxfId="391" priority="438" operator="containsText" text="Moderate">
      <formula>NOT(ISERROR(SEARCH("Moderate",G163)))</formula>
    </cfRule>
    <cfRule type="containsText" dxfId="390" priority="439" operator="containsText" text="High">
      <formula>NOT(ISERROR(SEARCH("High",G163)))</formula>
    </cfRule>
    <cfRule type="containsText" dxfId="389" priority="440" operator="containsText" text="Critical">
      <formula>NOT(ISERROR(SEARCH("Critical",G163)))</formula>
    </cfRule>
  </conditionalFormatting>
  <conditionalFormatting sqref="G189:G200 G202:G206">
    <cfRule type="containsText" dxfId="388" priority="431" operator="containsText" text="Low">
      <formula>NOT(ISERROR(SEARCH("Low",G189)))</formula>
    </cfRule>
    <cfRule type="containsText" dxfId="387" priority="432" operator="containsText" text="Low">
      <formula>NOT(ISERROR(SEARCH("Low",G189)))</formula>
    </cfRule>
    <cfRule type="containsText" dxfId="386" priority="433" operator="containsText" text="Moderate">
      <formula>NOT(ISERROR(SEARCH("Moderate",G189)))</formula>
    </cfRule>
    <cfRule type="containsText" dxfId="385" priority="434" operator="containsText" text="High">
      <formula>NOT(ISERROR(SEARCH("High",G189)))</formula>
    </cfRule>
    <cfRule type="containsText" dxfId="384" priority="435" operator="containsText" text="Critical">
      <formula>NOT(ISERROR(SEARCH("Critical",G189)))</formula>
    </cfRule>
  </conditionalFormatting>
  <conditionalFormatting sqref="G215:G225 G227:G232">
    <cfRule type="containsText" dxfId="383" priority="426" operator="containsText" text="Low">
      <formula>NOT(ISERROR(SEARCH("Low",G215)))</formula>
    </cfRule>
    <cfRule type="containsText" dxfId="382" priority="427" operator="containsText" text="Low">
      <formula>NOT(ISERROR(SEARCH("Low",G215)))</formula>
    </cfRule>
    <cfRule type="containsText" dxfId="381" priority="428" operator="containsText" text="Moderate">
      <formula>NOT(ISERROR(SEARCH("Moderate",G215)))</formula>
    </cfRule>
    <cfRule type="containsText" dxfId="380" priority="429" operator="containsText" text="High">
      <formula>NOT(ISERROR(SEARCH("High",G215)))</formula>
    </cfRule>
    <cfRule type="containsText" dxfId="379" priority="430" operator="containsText" text="Critical">
      <formula>NOT(ISERROR(SEARCH("Critical",G215)))</formula>
    </cfRule>
  </conditionalFormatting>
  <conditionalFormatting sqref="G241:G250 G252:G258">
    <cfRule type="containsText" dxfId="378" priority="421" operator="containsText" text="Low">
      <formula>NOT(ISERROR(SEARCH("Low",G241)))</formula>
    </cfRule>
    <cfRule type="containsText" dxfId="377" priority="422" operator="containsText" text="Low">
      <formula>NOT(ISERROR(SEARCH("Low",G241)))</formula>
    </cfRule>
    <cfRule type="containsText" dxfId="376" priority="423" operator="containsText" text="Moderate">
      <formula>NOT(ISERROR(SEARCH("Moderate",G241)))</formula>
    </cfRule>
    <cfRule type="containsText" dxfId="375" priority="424" operator="containsText" text="High">
      <formula>NOT(ISERROR(SEARCH("High",G241)))</formula>
    </cfRule>
    <cfRule type="containsText" dxfId="374" priority="425" operator="containsText" text="Critical">
      <formula>NOT(ISERROR(SEARCH("Critical",G241)))</formula>
    </cfRule>
  </conditionalFormatting>
  <conditionalFormatting sqref="G267:G275 G277:G284">
    <cfRule type="containsText" dxfId="373" priority="416" operator="containsText" text="Low">
      <formula>NOT(ISERROR(SEARCH("Low",G267)))</formula>
    </cfRule>
    <cfRule type="containsText" dxfId="372" priority="417" operator="containsText" text="Low">
      <formula>NOT(ISERROR(SEARCH("Low",G267)))</formula>
    </cfRule>
    <cfRule type="containsText" dxfId="371" priority="418" operator="containsText" text="Moderate">
      <formula>NOT(ISERROR(SEARCH("Moderate",G267)))</formula>
    </cfRule>
    <cfRule type="containsText" dxfId="370" priority="419" operator="containsText" text="High">
      <formula>NOT(ISERROR(SEARCH("High",G267)))</formula>
    </cfRule>
    <cfRule type="containsText" dxfId="369" priority="420" operator="containsText" text="Critical">
      <formula>NOT(ISERROR(SEARCH("Critical",G267)))</formula>
    </cfRule>
  </conditionalFormatting>
  <conditionalFormatting sqref="G293:G300 G302:G310">
    <cfRule type="containsText" dxfId="368" priority="411" operator="containsText" text="Low">
      <formula>NOT(ISERROR(SEARCH("Low",G293)))</formula>
    </cfRule>
    <cfRule type="containsText" dxfId="367" priority="412" operator="containsText" text="Low">
      <formula>NOT(ISERROR(SEARCH("Low",G293)))</formula>
    </cfRule>
    <cfRule type="containsText" dxfId="366" priority="413" operator="containsText" text="Moderate">
      <formula>NOT(ISERROR(SEARCH("Moderate",G293)))</formula>
    </cfRule>
    <cfRule type="containsText" dxfId="365" priority="414" operator="containsText" text="High">
      <formula>NOT(ISERROR(SEARCH("High",G293)))</formula>
    </cfRule>
    <cfRule type="containsText" dxfId="364" priority="415" operator="containsText" text="Critical">
      <formula>NOT(ISERROR(SEARCH("Critical",G293)))</formula>
    </cfRule>
  </conditionalFormatting>
  <conditionalFormatting sqref="G319:G325">
    <cfRule type="containsText" dxfId="363" priority="406" operator="containsText" text="Low">
      <formula>NOT(ISERROR(SEARCH("Low",G319)))</formula>
    </cfRule>
    <cfRule type="containsText" dxfId="362" priority="407" operator="containsText" text="Low">
      <formula>NOT(ISERROR(SEARCH("Low",G319)))</formula>
    </cfRule>
    <cfRule type="containsText" dxfId="361" priority="408" operator="containsText" text="Moderate">
      <formula>NOT(ISERROR(SEARCH("Moderate",G319)))</formula>
    </cfRule>
    <cfRule type="containsText" dxfId="360" priority="409" operator="containsText" text="High">
      <formula>NOT(ISERROR(SEARCH("High",G319)))</formula>
    </cfRule>
    <cfRule type="containsText" dxfId="359" priority="410" operator="containsText" text="Critical">
      <formula>NOT(ISERROR(SEARCH("Critical",G319)))</formula>
    </cfRule>
  </conditionalFormatting>
  <conditionalFormatting sqref="AI32">
    <cfRule type="containsText" dxfId="358" priority="370" operator="containsText" text="3">
      <formula>NOT(ISERROR(SEARCH("3",AI32)))</formula>
    </cfRule>
  </conditionalFormatting>
  <conditionalFormatting sqref="G33:G48">
    <cfRule type="containsText" dxfId="357" priority="365" operator="containsText" text="Low">
      <formula>NOT(ISERROR(SEARCH("Low",G33)))</formula>
    </cfRule>
    <cfRule type="containsText" dxfId="356" priority="366" operator="containsText" text="Low">
      <formula>NOT(ISERROR(SEARCH("Low",G33)))</formula>
    </cfRule>
    <cfRule type="containsText" dxfId="355" priority="367" operator="containsText" text="Moderate">
      <formula>NOT(ISERROR(SEARCH("Moderate",G33)))</formula>
    </cfRule>
    <cfRule type="containsText" dxfId="354" priority="368" operator="containsText" text="High">
      <formula>NOT(ISERROR(SEARCH("High",G33)))</formula>
    </cfRule>
    <cfRule type="containsText" dxfId="353" priority="369" operator="containsText" text="Critical">
      <formula>NOT(ISERROR(SEARCH("Critical",G33)))</formula>
    </cfRule>
  </conditionalFormatting>
  <conditionalFormatting sqref="AI307">
    <cfRule type="containsText" dxfId="352" priority="228" operator="containsText" text="3">
      <formula>NOT(ISERROR(SEARCH("3",AI307)))</formula>
    </cfRule>
  </conditionalFormatting>
  <conditionalFormatting sqref="G308:G323">
    <cfRule type="containsText" dxfId="351" priority="223" operator="containsText" text="Low">
      <formula>NOT(ISERROR(SEARCH("Low",G308)))</formula>
    </cfRule>
    <cfRule type="containsText" dxfId="350" priority="224" operator="containsText" text="Low">
      <formula>NOT(ISERROR(SEARCH("Low",G308)))</formula>
    </cfRule>
    <cfRule type="containsText" dxfId="349" priority="225" operator="containsText" text="Moderate">
      <formula>NOT(ISERROR(SEARCH("Moderate",G308)))</formula>
    </cfRule>
    <cfRule type="containsText" dxfId="348" priority="226" operator="containsText" text="High">
      <formula>NOT(ISERROR(SEARCH("High",G308)))</formula>
    </cfRule>
    <cfRule type="containsText" dxfId="347" priority="227" operator="containsText" text="Critical">
      <formula>NOT(ISERROR(SEARCH("Critical",G308)))</formula>
    </cfRule>
  </conditionalFormatting>
  <conditionalFormatting sqref="G49:G50">
    <cfRule type="containsText" dxfId="346" priority="354" operator="containsText" text="Low">
      <formula>NOT(ISERROR(SEARCH("Low",G49)))</formula>
    </cfRule>
    <cfRule type="containsText" dxfId="345" priority="355" operator="containsText" text="Low">
      <formula>NOT(ISERROR(SEARCH("Low",G49)))</formula>
    </cfRule>
    <cfRule type="containsText" dxfId="344" priority="356" operator="containsText" text="Moderate">
      <formula>NOT(ISERROR(SEARCH("Moderate",G49)))</formula>
    </cfRule>
    <cfRule type="containsText" dxfId="343" priority="357" operator="containsText" text="High">
      <formula>NOT(ISERROR(SEARCH("High",G49)))</formula>
    </cfRule>
    <cfRule type="containsText" dxfId="342" priority="358" operator="containsText" text="Critical">
      <formula>NOT(ISERROR(SEARCH("Critical",G49)))</formula>
    </cfRule>
  </conditionalFormatting>
  <conditionalFormatting sqref="AI57">
    <cfRule type="containsText" dxfId="341" priority="353" operator="containsText" text="3">
      <formula>NOT(ISERROR(SEARCH("3",AI57)))</formula>
    </cfRule>
  </conditionalFormatting>
  <conditionalFormatting sqref="G58:G73">
    <cfRule type="containsText" dxfId="340" priority="348" operator="containsText" text="Low">
      <formula>NOT(ISERROR(SEARCH("Low",G58)))</formula>
    </cfRule>
    <cfRule type="containsText" dxfId="339" priority="349" operator="containsText" text="Low">
      <formula>NOT(ISERROR(SEARCH("Low",G58)))</formula>
    </cfRule>
    <cfRule type="containsText" dxfId="338" priority="350" operator="containsText" text="Moderate">
      <formula>NOT(ISERROR(SEARCH("Moderate",G58)))</formula>
    </cfRule>
    <cfRule type="containsText" dxfId="337" priority="351" operator="containsText" text="High">
      <formula>NOT(ISERROR(SEARCH("High",G58)))</formula>
    </cfRule>
    <cfRule type="containsText" dxfId="336" priority="352" operator="containsText" text="Critical">
      <formula>NOT(ISERROR(SEARCH("Critical",G58)))</formula>
    </cfRule>
  </conditionalFormatting>
  <conditionalFormatting sqref="G74:G75">
    <cfRule type="containsText" dxfId="335" priority="343" operator="containsText" text="Low">
      <formula>NOT(ISERROR(SEARCH("Low",G74)))</formula>
    </cfRule>
    <cfRule type="containsText" dxfId="334" priority="344" operator="containsText" text="Low">
      <formula>NOT(ISERROR(SEARCH("Low",G74)))</formula>
    </cfRule>
    <cfRule type="containsText" dxfId="333" priority="345" operator="containsText" text="Moderate">
      <formula>NOT(ISERROR(SEARCH("Moderate",G74)))</formula>
    </cfRule>
    <cfRule type="containsText" dxfId="332" priority="346" operator="containsText" text="High">
      <formula>NOT(ISERROR(SEARCH("High",G74)))</formula>
    </cfRule>
    <cfRule type="containsText" dxfId="331" priority="347" operator="containsText" text="Critical">
      <formula>NOT(ISERROR(SEARCH("Critical",G74)))</formula>
    </cfRule>
  </conditionalFormatting>
  <conditionalFormatting sqref="AI82">
    <cfRule type="containsText" dxfId="330" priority="342" operator="containsText" text="3">
      <formula>NOT(ISERROR(SEARCH("3",AI82)))</formula>
    </cfRule>
  </conditionalFormatting>
  <conditionalFormatting sqref="G83:G98">
    <cfRule type="containsText" dxfId="329" priority="337" operator="containsText" text="Low">
      <formula>NOT(ISERROR(SEARCH("Low",G83)))</formula>
    </cfRule>
    <cfRule type="containsText" dxfId="328" priority="338" operator="containsText" text="Low">
      <formula>NOT(ISERROR(SEARCH("Low",G83)))</formula>
    </cfRule>
    <cfRule type="containsText" dxfId="327" priority="339" operator="containsText" text="Moderate">
      <formula>NOT(ISERROR(SEARCH("Moderate",G83)))</formula>
    </cfRule>
    <cfRule type="containsText" dxfId="326" priority="340" operator="containsText" text="High">
      <formula>NOT(ISERROR(SEARCH("High",G83)))</formula>
    </cfRule>
    <cfRule type="containsText" dxfId="325" priority="341" operator="containsText" text="Critical">
      <formula>NOT(ISERROR(SEARCH("Critical",G83)))</formula>
    </cfRule>
  </conditionalFormatting>
  <conditionalFormatting sqref="G99:G100">
    <cfRule type="containsText" dxfId="324" priority="332" operator="containsText" text="Low">
      <formula>NOT(ISERROR(SEARCH("Low",G99)))</formula>
    </cfRule>
    <cfRule type="containsText" dxfId="323" priority="333" operator="containsText" text="Low">
      <formula>NOT(ISERROR(SEARCH("Low",G99)))</formula>
    </cfRule>
    <cfRule type="containsText" dxfId="322" priority="334" operator="containsText" text="Moderate">
      <formula>NOT(ISERROR(SEARCH("Moderate",G99)))</formula>
    </cfRule>
    <cfRule type="containsText" dxfId="321" priority="335" operator="containsText" text="High">
      <formula>NOT(ISERROR(SEARCH("High",G99)))</formula>
    </cfRule>
    <cfRule type="containsText" dxfId="320" priority="336" operator="containsText" text="Critical">
      <formula>NOT(ISERROR(SEARCH("Critical",G99)))</formula>
    </cfRule>
  </conditionalFormatting>
  <conditionalFormatting sqref="G324:G325">
    <cfRule type="containsText" dxfId="319" priority="218" operator="containsText" text="Low">
      <formula>NOT(ISERROR(SEARCH("Low",G324)))</formula>
    </cfRule>
    <cfRule type="containsText" dxfId="318" priority="219" operator="containsText" text="Low">
      <formula>NOT(ISERROR(SEARCH("Low",G324)))</formula>
    </cfRule>
    <cfRule type="containsText" dxfId="317" priority="220" operator="containsText" text="Moderate">
      <formula>NOT(ISERROR(SEARCH("Moderate",G324)))</formula>
    </cfRule>
    <cfRule type="containsText" dxfId="316" priority="221" operator="containsText" text="High">
      <formula>NOT(ISERROR(SEARCH("High",G324)))</formula>
    </cfRule>
    <cfRule type="containsText" dxfId="315" priority="222" operator="containsText" text="Critical">
      <formula>NOT(ISERROR(SEARCH("Critical",G324)))</formula>
    </cfRule>
  </conditionalFormatting>
  <conditionalFormatting sqref="AI107">
    <cfRule type="containsText" dxfId="314" priority="331" operator="containsText" text="3">
      <formula>NOT(ISERROR(SEARCH("3",AI107)))</formula>
    </cfRule>
  </conditionalFormatting>
  <conditionalFormatting sqref="G124:G125">
    <cfRule type="containsText" dxfId="313" priority="321" operator="containsText" text="Low">
      <formula>NOT(ISERROR(SEARCH("Low",G124)))</formula>
    </cfRule>
    <cfRule type="containsText" dxfId="312" priority="322" operator="containsText" text="Low">
      <formula>NOT(ISERROR(SEARCH("Low",G124)))</formula>
    </cfRule>
    <cfRule type="containsText" dxfId="311" priority="323" operator="containsText" text="Moderate">
      <formula>NOT(ISERROR(SEARCH("Moderate",G124)))</formula>
    </cfRule>
    <cfRule type="containsText" dxfId="310" priority="324" operator="containsText" text="High">
      <formula>NOT(ISERROR(SEARCH("High",G124)))</formula>
    </cfRule>
    <cfRule type="containsText" dxfId="309" priority="325" operator="containsText" text="Critical">
      <formula>NOT(ISERROR(SEARCH("Critical",G124)))</formula>
    </cfRule>
  </conditionalFormatting>
  <conditionalFormatting sqref="AI132">
    <cfRule type="containsText" dxfId="308" priority="320" operator="containsText" text="3">
      <formula>NOT(ISERROR(SEARCH("3",AI132)))</formula>
    </cfRule>
  </conditionalFormatting>
  <conditionalFormatting sqref="G133:G148">
    <cfRule type="containsText" dxfId="307" priority="315" operator="containsText" text="Low">
      <formula>NOT(ISERROR(SEARCH("Low",G133)))</formula>
    </cfRule>
    <cfRule type="containsText" dxfId="306" priority="316" operator="containsText" text="Low">
      <formula>NOT(ISERROR(SEARCH("Low",G133)))</formula>
    </cfRule>
    <cfRule type="containsText" dxfId="305" priority="317" operator="containsText" text="Moderate">
      <formula>NOT(ISERROR(SEARCH("Moderate",G133)))</formula>
    </cfRule>
    <cfRule type="containsText" dxfId="304" priority="318" operator="containsText" text="High">
      <formula>NOT(ISERROR(SEARCH("High",G133)))</formula>
    </cfRule>
    <cfRule type="containsText" dxfId="303" priority="319" operator="containsText" text="Critical">
      <formula>NOT(ISERROR(SEARCH("Critical",G133)))</formula>
    </cfRule>
  </conditionalFormatting>
  <conditionalFormatting sqref="G149:G150">
    <cfRule type="containsText" dxfId="302" priority="310" operator="containsText" text="Low">
      <formula>NOT(ISERROR(SEARCH("Low",G149)))</formula>
    </cfRule>
    <cfRule type="containsText" dxfId="301" priority="311" operator="containsText" text="Low">
      <formula>NOT(ISERROR(SEARCH("Low",G149)))</formula>
    </cfRule>
    <cfRule type="containsText" dxfId="300" priority="312" operator="containsText" text="Moderate">
      <formula>NOT(ISERROR(SEARCH("Moderate",G149)))</formula>
    </cfRule>
    <cfRule type="containsText" dxfId="299" priority="313" operator="containsText" text="High">
      <formula>NOT(ISERROR(SEARCH("High",G149)))</formula>
    </cfRule>
    <cfRule type="containsText" dxfId="298" priority="314" operator="containsText" text="Critical">
      <formula>NOT(ISERROR(SEARCH("Critical",G149)))</formula>
    </cfRule>
  </conditionalFormatting>
  <conditionalFormatting sqref="AI157">
    <cfRule type="containsText" dxfId="297" priority="309" operator="containsText" text="3">
      <formula>NOT(ISERROR(SEARCH("3",AI157)))</formula>
    </cfRule>
  </conditionalFormatting>
  <conditionalFormatting sqref="G158:G173">
    <cfRule type="containsText" dxfId="296" priority="304" operator="containsText" text="Low">
      <formula>NOT(ISERROR(SEARCH("Low",G158)))</formula>
    </cfRule>
    <cfRule type="containsText" dxfId="295" priority="305" operator="containsText" text="Low">
      <formula>NOT(ISERROR(SEARCH("Low",G158)))</formula>
    </cfRule>
    <cfRule type="containsText" dxfId="294" priority="306" operator="containsText" text="Moderate">
      <formula>NOT(ISERROR(SEARCH("Moderate",G158)))</formula>
    </cfRule>
    <cfRule type="containsText" dxfId="293" priority="307" operator="containsText" text="High">
      <formula>NOT(ISERROR(SEARCH("High",G158)))</formula>
    </cfRule>
    <cfRule type="containsText" dxfId="292" priority="308" operator="containsText" text="Critical">
      <formula>NOT(ISERROR(SEARCH("Critical",G158)))</formula>
    </cfRule>
  </conditionalFormatting>
  <conditionalFormatting sqref="G174:G175">
    <cfRule type="containsText" dxfId="291" priority="299" operator="containsText" text="Low">
      <formula>NOT(ISERROR(SEARCH("Low",G174)))</formula>
    </cfRule>
    <cfRule type="containsText" dxfId="290" priority="300" operator="containsText" text="Low">
      <formula>NOT(ISERROR(SEARCH("Low",G174)))</formula>
    </cfRule>
    <cfRule type="containsText" dxfId="289" priority="301" operator="containsText" text="Moderate">
      <formula>NOT(ISERROR(SEARCH("Moderate",G174)))</formula>
    </cfRule>
    <cfRule type="containsText" dxfId="288" priority="302" operator="containsText" text="High">
      <formula>NOT(ISERROR(SEARCH("High",G174)))</formula>
    </cfRule>
    <cfRule type="containsText" dxfId="287" priority="303" operator="containsText" text="Critical">
      <formula>NOT(ISERROR(SEARCH("Critical",G174)))</formula>
    </cfRule>
  </conditionalFormatting>
  <conditionalFormatting sqref="G261:G275 G277:G278">
    <cfRule type="containsText" dxfId="286" priority="294" operator="containsText" text="Low">
      <formula>NOT(ISERROR(SEARCH("Low",G261)))</formula>
    </cfRule>
    <cfRule type="containsText" dxfId="285" priority="295" operator="containsText" text="Low">
      <formula>NOT(ISERROR(SEARCH("Low",G261)))</formula>
    </cfRule>
    <cfRule type="containsText" dxfId="284" priority="296" operator="containsText" text="Moderate">
      <formula>NOT(ISERROR(SEARCH("Moderate",G261)))</formula>
    </cfRule>
    <cfRule type="containsText" dxfId="283" priority="297" operator="containsText" text="High">
      <formula>NOT(ISERROR(SEARCH("High",G261)))</formula>
    </cfRule>
    <cfRule type="containsText" dxfId="282" priority="298" operator="containsText" text="Critical">
      <formula>NOT(ISERROR(SEARCH("Critical",G261)))</formula>
    </cfRule>
  </conditionalFormatting>
  <conditionalFormatting sqref="G287:G300 G302:G304">
    <cfRule type="containsText" dxfId="281" priority="289" operator="containsText" text="Low">
      <formula>NOT(ISERROR(SEARCH("Low",G287)))</formula>
    </cfRule>
    <cfRule type="containsText" dxfId="280" priority="290" operator="containsText" text="Low">
      <formula>NOT(ISERROR(SEARCH("Low",G287)))</formula>
    </cfRule>
    <cfRule type="containsText" dxfId="279" priority="291" operator="containsText" text="Moderate">
      <formula>NOT(ISERROR(SEARCH("Moderate",G287)))</formula>
    </cfRule>
    <cfRule type="containsText" dxfId="278" priority="292" operator="containsText" text="High">
      <formula>NOT(ISERROR(SEARCH("High",G287)))</formula>
    </cfRule>
    <cfRule type="containsText" dxfId="277" priority="293" operator="containsText" text="Critical">
      <formula>NOT(ISERROR(SEARCH("Critical",G287)))</formula>
    </cfRule>
  </conditionalFormatting>
  <conditionalFormatting sqref="G313:G325">
    <cfRule type="containsText" dxfId="276" priority="284" operator="containsText" text="Low">
      <formula>NOT(ISERROR(SEARCH("Low",G313)))</formula>
    </cfRule>
    <cfRule type="containsText" dxfId="275" priority="285" operator="containsText" text="Low">
      <formula>NOT(ISERROR(SEARCH("Low",G313)))</formula>
    </cfRule>
    <cfRule type="containsText" dxfId="274" priority="286" operator="containsText" text="Moderate">
      <formula>NOT(ISERROR(SEARCH("Moderate",G313)))</formula>
    </cfRule>
    <cfRule type="containsText" dxfId="273" priority="287" operator="containsText" text="High">
      <formula>NOT(ISERROR(SEARCH("High",G313)))</formula>
    </cfRule>
    <cfRule type="containsText" dxfId="272" priority="288" operator="containsText" text="Critical">
      <formula>NOT(ISERROR(SEARCH("Critical",G313)))</formula>
    </cfRule>
  </conditionalFormatting>
  <conditionalFormatting sqref="AI182">
    <cfRule type="containsText" dxfId="271" priority="283" operator="containsText" text="3">
      <formula>NOT(ISERROR(SEARCH("3",AI182)))</formula>
    </cfRule>
  </conditionalFormatting>
  <conditionalFormatting sqref="G183:G198">
    <cfRule type="containsText" dxfId="270" priority="278" operator="containsText" text="Low">
      <formula>NOT(ISERROR(SEARCH("Low",G183)))</formula>
    </cfRule>
    <cfRule type="containsText" dxfId="269" priority="279" operator="containsText" text="Low">
      <formula>NOT(ISERROR(SEARCH("Low",G183)))</formula>
    </cfRule>
    <cfRule type="containsText" dxfId="268" priority="280" operator="containsText" text="Moderate">
      <formula>NOT(ISERROR(SEARCH("Moderate",G183)))</formula>
    </cfRule>
    <cfRule type="containsText" dxfId="267" priority="281" operator="containsText" text="High">
      <formula>NOT(ISERROR(SEARCH("High",G183)))</formula>
    </cfRule>
    <cfRule type="containsText" dxfId="266" priority="282" operator="containsText" text="Critical">
      <formula>NOT(ISERROR(SEARCH("Critical",G183)))</formula>
    </cfRule>
  </conditionalFormatting>
  <conditionalFormatting sqref="G199:G200">
    <cfRule type="containsText" dxfId="265" priority="273" operator="containsText" text="Low">
      <formula>NOT(ISERROR(SEARCH("Low",G199)))</formula>
    </cfRule>
    <cfRule type="containsText" dxfId="264" priority="274" operator="containsText" text="Low">
      <formula>NOT(ISERROR(SEARCH("Low",G199)))</formula>
    </cfRule>
    <cfRule type="containsText" dxfId="263" priority="275" operator="containsText" text="Moderate">
      <formula>NOT(ISERROR(SEARCH("Moderate",G199)))</formula>
    </cfRule>
    <cfRule type="containsText" dxfId="262" priority="276" operator="containsText" text="High">
      <formula>NOT(ISERROR(SEARCH("High",G199)))</formula>
    </cfRule>
    <cfRule type="containsText" dxfId="261" priority="277" operator="containsText" text="Critical">
      <formula>NOT(ISERROR(SEARCH("Critical",G199)))</formula>
    </cfRule>
  </conditionalFormatting>
  <conditionalFormatting sqref="AI207">
    <cfRule type="containsText" dxfId="260" priority="272" operator="containsText" text="3">
      <formula>NOT(ISERROR(SEARCH("3",AI207)))</formula>
    </cfRule>
  </conditionalFormatting>
  <conditionalFormatting sqref="G208:G223">
    <cfRule type="containsText" dxfId="259" priority="267" operator="containsText" text="Low">
      <formula>NOT(ISERROR(SEARCH("Low",G208)))</formula>
    </cfRule>
    <cfRule type="containsText" dxfId="258" priority="268" operator="containsText" text="Low">
      <formula>NOT(ISERROR(SEARCH("Low",G208)))</formula>
    </cfRule>
    <cfRule type="containsText" dxfId="257" priority="269" operator="containsText" text="Moderate">
      <formula>NOT(ISERROR(SEARCH("Moderate",G208)))</formula>
    </cfRule>
    <cfRule type="containsText" dxfId="256" priority="270" operator="containsText" text="High">
      <formula>NOT(ISERROR(SEARCH("High",G208)))</formula>
    </cfRule>
    <cfRule type="containsText" dxfId="255" priority="271" operator="containsText" text="Critical">
      <formula>NOT(ISERROR(SEARCH("Critical",G208)))</formula>
    </cfRule>
  </conditionalFormatting>
  <conditionalFormatting sqref="G224:G225">
    <cfRule type="containsText" dxfId="254" priority="262" operator="containsText" text="Low">
      <formula>NOT(ISERROR(SEARCH("Low",G224)))</formula>
    </cfRule>
    <cfRule type="containsText" dxfId="253" priority="263" operator="containsText" text="Low">
      <formula>NOT(ISERROR(SEARCH("Low",G224)))</formula>
    </cfRule>
    <cfRule type="containsText" dxfId="252" priority="264" operator="containsText" text="Moderate">
      <formula>NOT(ISERROR(SEARCH("Moderate",G224)))</formula>
    </cfRule>
    <cfRule type="containsText" dxfId="251" priority="265" operator="containsText" text="High">
      <formula>NOT(ISERROR(SEARCH("High",G224)))</formula>
    </cfRule>
    <cfRule type="containsText" dxfId="250" priority="266" operator="containsText" text="Critical">
      <formula>NOT(ISERROR(SEARCH("Critical",G224)))</formula>
    </cfRule>
  </conditionalFormatting>
  <conditionalFormatting sqref="AI232">
    <cfRule type="containsText" dxfId="249" priority="261" operator="containsText" text="3">
      <formula>NOT(ISERROR(SEARCH("3",AI232)))</formula>
    </cfRule>
  </conditionalFormatting>
  <conditionalFormatting sqref="G233:G248">
    <cfRule type="containsText" dxfId="248" priority="256" operator="containsText" text="Low">
      <formula>NOT(ISERROR(SEARCH("Low",G233)))</formula>
    </cfRule>
    <cfRule type="containsText" dxfId="247" priority="257" operator="containsText" text="Low">
      <formula>NOT(ISERROR(SEARCH("Low",G233)))</formula>
    </cfRule>
    <cfRule type="containsText" dxfId="246" priority="258" operator="containsText" text="Moderate">
      <formula>NOT(ISERROR(SEARCH("Moderate",G233)))</formula>
    </cfRule>
    <cfRule type="containsText" dxfId="245" priority="259" operator="containsText" text="High">
      <formula>NOT(ISERROR(SEARCH("High",G233)))</formula>
    </cfRule>
    <cfRule type="containsText" dxfId="244" priority="260" operator="containsText" text="Critical">
      <formula>NOT(ISERROR(SEARCH("Critical",G233)))</formula>
    </cfRule>
  </conditionalFormatting>
  <conditionalFormatting sqref="G249:G250">
    <cfRule type="containsText" dxfId="243" priority="251" operator="containsText" text="Low">
      <formula>NOT(ISERROR(SEARCH("Low",G249)))</formula>
    </cfRule>
    <cfRule type="containsText" dxfId="242" priority="252" operator="containsText" text="Low">
      <formula>NOT(ISERROR(SEARCH("Low",G249)))</formula>
    </cfRule>
    <cfRule type="containsText" dxfId="241" priority="253" operator="containsText" text="Moderate">
      <formula>NOT(ISERROR(SEARCH("Moderate",G249)))</formula>
    </cfRule>
    <cfRule type="containsText" dxfId="240" priority="254" operator="containsText" text="High">
      <formula>NOT(ISERROR(SEARCH("High",G249)))</formula>
    </cfRule>
    <cfRule type="containsText" dxfId="239" priority="255" operator="containsText" text="Critical">
      <formula>NOT(ISERROR(SEARCH("Critical",G249)))</formula>
    </cfRule>
  </conditionalFormatting>
  <conditionalFormatting sqref="AI257">
    <cfRule type="containsText" dxfId="238" priority="250" operator="containsText" text="3">
      <formula>NOT(ISERROR(SEARCH("3",AI257)))</formula>
    </cfRule>
  </conditionalFormatting>
  <conditionalFormatting sqref="G258:G273">
    <cfRule type="containsText" dxfId="237" priority="245" operator="containsText" text="Low">
      <formula>NOT(ISERROR(SEARCH("Low",G258)))</formula>
    </cfRule>
    <cfRule type="containsText" dxfId="236" priority="246" operator="containsText" text="Low">
      <formula>NOT(ISERROR(SEARCH("Low",G258)))</formula>
    </cfRule>
    <cfRule type="containsText" dxfId="235" priority="247" operator="containsText" text="Moderate">
      <formula>NOT(ISERROR(SEARCH("Moderate",G258)))</formula>
    </cfRule>
    <cfRule type="containsText" dxfId="234" priority="248" operator="containsText" text="High">
      <formula>NOT(ISERROR(SEARCH("High",G258)))</formula>
    </cfRule>
    <cfRule type="containsText" dxfId="233" priority="249" operator="containsText" text="Critical">
      <formula>NOT(ISERROR(SEARCH("Critical",G258)))</formula>
    </cfRule>
  </conditionalFormatting>
  <conditionalFormatting sqref="G274:G275">
    <cfRule type="containsText" dxfId="232" priority="240" operator="containsText" text="Low">
      <formula>NOT(ISERROR(SEARCH("Low",G274)))</formula>
    </cfRule>
    <cfRule type="containsText" dxfId="231" priority="241" operator="containsText" text="Low">
      <formula>NOT(ISERROR(SEARCH("Low",G274)))</formula>
    </cfRule>
    <cfRule type="containsText" dxfId="230" priority="242" operator="containsText" text="Moderate">
      <formula>NOT(ISERROR(SEARCH("Moderate",G274)))</formula>
    </cfRule>
    <cfRule type="containsText" dxfId="229" priority="243" operator="containsText" text="High">
      <formula>NOT(ISERROR(SEARCH("High",G274)))</formula>
    </cfRule>
    <cfRule type="containsText" dxfId="228" priority="244" operator="containsText" text="Critical">
      <formula>NOT(ISERROR(SEARCH("Critical",G274)))</formula>
    </cfRule>
  </conditionalFormatting>
  <conditionalFormatting sqref="AI282">
    <cfRule type="containsText" dxfId="227" priority="239" operator="containsText" text="3">
      <formula>NOT(ISERROR(SEARCH("3",AI282)))</formula>
    </cfRule>
  </conditionalFormatting>
  <conditionalFormatting sqref="G283:G298">
    <cfRule type="containsText" dxfId="226" priority="234" operator="containsText" text="Low">
      <formula>NOT(ISERROR(SEARCH("Low",G283)))</formula>
    </cfRule>
    <cfRule type="containsText" dxfId="225" priority="235" operator="containsText" text="Low">
      <formula>NOT(ISERROR(SEARCH("Low",G283)))</formula>
    </cfRule>
    <cfRule type="containsText" dxfId="224" priority="236" operator="containsText" text="Moderate">
      <formula>NOT(ISERROR(SEARCH("Moderate",G283)))</formula>
    </cfRule>
    <cfRule type="containsText" dxfId="223" priority="237" operator="containsText" text="High">
      <formula>NOT(ISERROR(SEARCH("High",G283)))</formula>
    </cfRule>
    <cfRule type="containsText" dxfId="222" priority="238" operator="containsText" text="Critical">
      <formula>NOT(ISERROR(SEARCH("Critical",G283)))</formula>
    </cfRule>
  </conditionalFormatting>
  <conditionalFormatting sqref="G299:G300">
    <cfRule type="containsText" dxfId="221" priority="229" operator="containsText" text="Low">
      <formula>NOT(ISERROR(SEARCH("Low",G299)))</formula>
    </cfRule>
    <cfRule type="containsText" dxfId="220" priority="230" operator="containsText" text="Low">
      <formula>NOT(ISERROR(SEARCH("Low",G299)))</formula>
    </cfRule>
    <cfRule type="containsText" dxfId="219" priority="231" operator="containsText" text="Moderate">
      <formula>NOT(ISERROR(SEARCH("Moderate",G299)))</formula>
    </cfRule>
    <cfRule type="containsText" dxfId="218" priority="232" operator="containsText" text="High">
      <formula>NOT(ISERROR(SEARCH("High",G299)))</formula>
    </cfRule>
    <cfRule type="containsText" dxfId="217" priority="233" operator="containsText" text="Critical">
      <formula>NOT(ISERROR(SEARCH("Critical",G299)))</formula>
    </cfRule>
  </conditionalFormatting>
  <conditionalFormatting sqref="G328:G335">
    <cfRule type="containsText" dxfId="216" priority="213" operator="containsText" text="Low">
      <formula>NOT(ISERROR(SEARCH("Low",G328)))</formula>
    </cfRule>
    <cfRule type="containsText" dxfId="215" priority="214" operator="containsText" text="Low">
      <formula>NOT(ISERROR(SEARCH("Low",G328)))</formula>
    </cfRule>
    <cfRule type="containsText" dxfId="214" priority="215" operator="containsText" text="Moderate">
      <formula>NOT(ISERROR(SEARCH("Moderate",G328)))</formula>
    </cfRule>
    <cfRule type="containsText" dxfId="213" priority="216" operator="containsText" text="High">
      <formula>NOT(ISERROR(SEARCH("High",G328)))</formula>
    </cfRule>
    <cfRule type="containsText" dxfId="212" priority="217" operator="containsText" text="Critical">
      <formula>NOT(ISERROR(SEARCH("Critical",G328)))</formula>
    </cfRule>
  </conditionalFormatting>
  <conditionalFormatting sqref="G344:G350">
    <cfRule type="containsText" dxfId="211" priority="208" operator="containsText" text="Low">
      <formula>NOT(ISERROR(SEARCH("Low",G344)))</formula>
    </cfRule>
    <cfRule type="containsText" dxfId="210" priority="209" operator="containsText" text="Low">
      <formula>NOT(ISERROR(SEARCH("Low",G344)))</formula>
    </cfRule>
    <cfRule type="containsText" dxfId="209" priority="210" operator="containsText" text="Moderate">
      <formula>NOT(ISERROR(SEARCH("Moderate",G344)))</formula>
    </cfRule>
    <cfRule type="containsText" dxfId="208" priority="211" operator="containsText" text="High">
      <formula>NOT(ISERROR(SEARCH("High",G344)))</formula>
    </cfRule>
    <cfRule type="containsText" dxfId="207" priority="212" operator="containsText" text="Critical">
      <formula>NOT(ISERROR(SEARCH("Critical",G344)))</formula>
    </cfRule>
  </conditionalFormatting>
  <conditionalFormatting sqref="AI332">
    <cfRule type="containsText" dxfId="206" priority="197" operator="containsText" text="3">
      <formula>NOT(ISERROR(SEARCH("3",AI332)))</formula>
    </cfRule>
  </conditionalFormatting>
  <conditionalFormatting sqref="G333:G348">
    <cfRule type="containsText" dxfId="205" priority="192" operator="containsText" text="Low">
      <formula>NOT(ISERROR(SEARCH("Low",G333)))</formula>
    </cfRule>
    <cfRule type="containsText" dxfId="204" priority="193" operator="containsText" text="Low">
      <formula>NOT(ISERROR(SEARCH("Low",G333)))</formula>
    </cfRule>
    <cfRule type="containsText" dxfId="203" priority="194" operator="containsText" text="Moderate">
      <formula>NOT(ISERROR(SEARCH("Moderate",G333)))</formula>
    </cfRule>
    <cfRule type="containsText" dxfId="202" priority="195" operator="containsText" text="High">
      <formula>NOT(ISERROR(SEARCH("High",G333)))</formula>
    </cfRule>
    <cfRule type="containsText" dxfId="201" priority="196" operator="containsText" text="Critical">
      <formula>NOT(ISERROR(SEARCH("Critical",G333)))</formula>
    </cfRule>
  </conditionalFormatting>
  <conditionalFormatting sqref="G349:G350">
    <cfRule type="containsText" dxfId="200" priority="187" operator="containsText" text="Low">
      <formula>NOT(ISERROR(SEARCH("Low",G349)))</formula>
    </cfRule>
    <cfRule type="containsText" dxfId="199" priority="188" operator="containsText" text="Low">
      <formula>NOT(ISERROR(SEARCH("Low",G349)))</formula>
    </cfRule>
    <cfRule type="containsText" dxfId="198" priority="189" operator="containsText" text="Moderate">
      <formula>NOT(ISERROR(SEARCH("Moderate",G349)))</formula>
    </cfRule>
    <cfRule type="containsText" dxfId="197" priority="190" operator="containsText" text="High">
      <formula>NOT(ISERROR(SEARCH("High",G349)))</formula>
    </cfRule>
    <cfRule type="containsText" dxfId="196" priority="191" operator="containsText" text="Critical">
      <formula>NOT(ISERROR(SEARCH("Critical",G349)))</formula>
    </cfRule>
  </conditionalFormatting>
  <conditionalFormatting sqref="G328:G329">
    <cfRule type="containsText" dxfId="195" priority="203" operator="containsText" text="Low">
      <formula>NOT(ISERROR(SEARCH("Low",G328)))</formula>
    </cfRule>
    <cfRule type="containsText" dxfId="194" priority="204" operator="containsText" text="Low">
      <formula>NOT(ISERROR(SEARCH("Low",G328)))</formula>
    </cfRule>
    <cfRule type="containsText" dxfId="193" priority="205" operator="containsText" text="Moderate">
      <formula>NOT(ISERROR(SEARCH("Moderate",G328)))</formula>
    </cfRule>
    <cfRule type="containsText" dxfId="192" priority="206" operator="containsText" text="High">
      <formula>NOT(ISERROR(SEARCH("High",G328)))</formula>
    </cfRule>
    <cfRule type="containsText" dxfId="191" priority="207" operator="containsText" text="Critical">
      <formula>NOT(ISERROR(SEARCH("Critical",G328)))</formula>
    </cfRule>
  </conditionalFormatting>
  <conditionalFormatting sqref="G338:G350">
    <cfRule type="containsText" dxfId="190" priority="198" operator="containsText" text="Low">
      <formula>NOT(ISERROR(SEARCH("Low",G338)))</formula>
    </cfRule>
    <cfRule type="containsText" dxfId="189" priority="199" operator="containsText" text="Low">
      <formula>NOT(ISERROR(SEARCH("Low",G338)))</formula>
    </cfRule>
    <cfRule type="containsText" dxfId="188" priority="200" operator="containsText" text="Moderate">
      <formula>NOT(ISERROR(SEARCH("Moderate",G338)))</formula>
    </cfRule>
    <cfRule type="containsText" dxfId="187" priority="201" operator="containsText" text="High">
      <formula>NOT(ISERROR(SEARCH("High",G338)))</formula>
    </cfRule>
    <cfRule type="containsText" dxfId="186" priority="202" operator="containsText" text="Critical">
      <formula>NOT(ISERROR(SEARCH("Critical",G338)))</formula>
    </cfRule>
  </conditionalFormatting>
  <conditionalFormatting sqref="G353:G360">
    <cfRule type="containsText" dxfId="185" priority="182" operator="containsText" text="Low">
      <formula>NOT(ISERROR(SEARCH("Low",G353)))</formula>
    </cfRule>
    <cfRule type="containsText" dxfId="184" priority="183" operator="containsText" text="Low">
      <formula>NOT(ISERROR(SEARCH("Low",G353)))</formula>
    </cfRule>
    <cfRule type="containsText" dxfId="183" priority="184" operator="containsText" text="Moderate">
      <formula>NOT(ISERROR(SEARCH("Moderate",G353)))</formula>
    </cfRule>
    <cfRule type="containsText" dxfId="182" priority="185" operator="containsText" text="High">
      <formula>NOT(ISERROR(SEARCH("High",G353)))</formula>
    </cfRule>
    <cfRule type="containsText" dxfId="181" priority="186" operator="containsText" text="Critical">
      <formula>NOT(ISERROR(SEARCH("Critical",G353)))</formula>
    </cfRule>
  </conditionalFormatting>
  <conditionalFormatting sqref="G369:G375">
    <cfRule type="containsText" dxfId="180" priority="177" operator="containsText" text="Low">
      <formula>NOT(ISERROR(SEARCH("Low",G369)))</formula>
    </cfRule>
    <cfRule type="containsText" dxfId="179" priority="178" operator="containsText" text="Low">
      <formula>NOT(ISERROR(SEARCH("Low",G369)))</formula>
    </cfRule>
    <cfRule type="containsText" dxfId="178" priority="179" operator="containsText" text="Moderate">
      <formula>NOT(ISERROR(SEARCH("Moderate",G369)))</formula>
    </cfRule>
    <cfRule type="containsText" dxfId="177" priority="180" operator="containsText" text="High">
      <formula>NOT(ISERROR(SEARCH("High",G369)))</formula>
    </cfRule>
    <cfRule type="containsText" dxfId="176" priority="181" operator="containsText" text="Critical">
      <formula>NOT(ISERROR(SEARCH("Critical",G369)))</formula>
    </cfRule>
  </conditionalFormatting>
  <conditionalFormatting sqref="AI357">
    <cfRule type="containsText" dxfId="175" priority="166" operator="containsText" text="3">
      <formula>NOT(ISERROR(SEARCH("3",AI357)))</formula>
    </cfRule>
  </conditionalFormatting>
  <conditionalFormatting sqref="G358:G373">
    <cfRule type="containsText" dxfId="174" priority="161" operator="containsText" text="Low">
      <formula>NOT(ISERROR(SEARCH("Low",G358)))</formula>
    </cfRule>
    <cfRule type="containsText" dxfId="173" priority="162" operator="containsText" text="Low">
      <formula>NOT(ISERROR(SEARCH("Low",G358)))</formula>
    </cfRule>
    <cfRule type="containsText" dxfId="172" priority="163" operator="containsText" text="Moderate">
      <formula>NOT(ISERROR(SEARCH("Moderate",G358)))</formula>
    </cfRule>
    <cfRule type="containsText" dxfId="171" priority="164" operator="containsText" text="High">
      <formula>NOT(ISERROR(SEARCH("High",G358)))</formula>
    </cfRule>
    <cfRule type="containsText" dxfId="170" priority="165" operator="containsText" text="Critical">
      <formula>NOT(ISERROR(SEARCH("Critical",G358)))</formula>
    </cfRule>
  </conditionalFormatting>
  <conditionalFormatting sqref="G374:G375">
    <cfRule type="containsText" dxfId="169" priority="156" operator="containsText" text="Low">
      <formula>NOT(ISERROR(SEARCH("Low",G374)))</formula>
    </cfRule>
    <cfRule type="containsText" dxfId="168" priority="157" operator="containsText" text="Low">
      <formula>NOT(ISERROR(SEARCH("Low",G374)))</formula>
    </cfRule>
    <cfRule type="containsText" dxfId="167" priority="158" operator="containsText" text="Moderate">
      <formula>NOT(ISERROR(SEARCH("Moderate",G374)))</formula>
    </cfRule>
    <cfRule type="containsText" dxfId="166" priority="159" operator="containsText" text="High">
      <formula>NOT(ISERROR(SEARCH("High",G374)))</formula>
    </cfRule>
    <cfRule type="containsText" dxfId="165" priority="160" operator="containsText" text="Critical">
      <formula>NOT(ISERROR(SEARCH("Critical",G374)))</formula>
    </cfRule>
  </conditionalFormatting>
  <conditionalFormatting sqref="G353:G354">
    <cfRule type="containsText" dxfId="164" priority="172" operator="containsText" text="Low">
      <formula>NOT(ISERROR(SEARCH("Low",G353)))</formula>
    </cfRule>
    <cfRule type="containsText" dxfId="163" priority="173" operator="containsText" text="Low">
      <formula>NOT(ISERROR(SEARCH("Low",G353)))</formula>
    </cfRule>
    <cfRule type="containsText" dxfId="162" priority="174" operator="containsText" text="Moderate">
      <formula>NOT(ISERROR(SEARCH("Moderate",G353)))</formula>
    </cfRule>
    <cfRule type="containsText" dxfId="161" priority="175" operator="containsText" text="High">
      <formula>NOT(ISERROR(SEARCH("High",G353)))</formula>
    </cfRule>
    <cfRule type="containsText" dxfId="160" priority="176" operator="containsText" text="Critical">
      <formula>NOT(ISERROR(SEARCH("Critical",G353)))</formula>
    </cfRule>
  </conditionalFormatting>
  <conditionalFormatting sqref="G363:G375">
    <cfRule type="containsText" dxfId="159" priority="167" operator="containsText" text="Low">
      <formula>NOT(ISERROR(SEARCH("Low",G363)))</formula>
    </cfRule>
    <cfRule type="containsText" dxfId="158" priority="168" operator="containsText" text="Low">
      <formula>NOT(ISERROR(SEARCH("Low",G363)))</formula>
    </cfRule>
    <cfRule type="containsText" dxfId="157" priority="169" operator="containsText" text="Moderate">
      <formula>NOT(ISERROR(SEARCH("Moderate",G363)))</formula>
    </cfRule>
    <cfRule type="containsText" dxfId="156" priority="170" operator="containsText" text="High">
      <formula>NOT(ISERROR(SEARCH("High",G363)))</formula>
    </cfRule>
    <cfRule type="containsText" dxfId="155" priority="171" operator="containsText" text="Critical">
      <formula>NOT(ISERROR(SEARCH("Critical",G363)))</formula>
    </cfRule>
  </conditionalFormatting>
  <conditionalFormatting sqref="G378:G385">
    <cfRule type="containsText" dxfId="154" priority="151" operator="containsText" text="Low">
      <formula>NOT(ISERROR(SEARCH("Low",G378)))</formula>
    </cfRule>
    <cfRule type="containsText" dxfId="153" priority="152" operator="containsText" text="Low">
      <formula>NOT(ISERROR(SEARCH("Low",G378)))</formula>
    </cfRule>
    <cfRule type="containsText" dxfId="152" priority="153" operator="containsText" text="Moderate">
      <formula>NOT(ISERROR(SEARCH("Moderate",G378)))</formula>
    </cfRule>
    <cfRule type="containsText" dxfId="151" priority="154" operator="containsText" text="High">
      <formula>NOT(ISERROR(SEARCH("High",G378)))</formula>
    </cfRule>
    <cfRule type="containsText" dxfId="150" priority="155" operator="containsText" text="Critical">
      <formula>NOT(ISERROR(SEARCH("Critical",G378)))</formula>
    </cfRule>
  </conditionalFormatting>
  <conditionalFormatting sqref="G394:G400">
    <cfRule type="containsText" dxfId="149" priority="146" operator="containsText" text="Low">
      <formula>NOT(ISERROR(SEARCH("Low",G394)))</formula>
    </cfRule>
    <cfRule type="containsText" dxfId="148" priority="147" operator="containsText" text="Low">
      <formula>NOT(ISERROR(SEARCH("Low",G394)))</formula>
    </cfRule>
    <cfRule type="containsText" dxfId="147" priority="148" operator="containsText" text="Moderate">
      <formula>NOT(ISERROR(SEARCH("Moderate",G394)))</formula>
    </cfRule>
    <cfRule type="containsText" dxfId="146" priority="149" operator="containsText" text="High">
      <formula>NOT(ISERROR(SEARCH("High",G394)))</formula>
    </cfRule>
    <cfRule type="containsText" dxfId="145" priority="150" operator="containsText" text="Critical">
      <formula>NOT(ISERROR(SEARCH("Critical",G394)))</formula>
    </cfRule>
  </conditionalFormatting>
  <conditionalFormatting sqref="AI382">
    <cfRule type="containsText" dxfId="144" priority="135" operator="containsText" text="3">
      <formula>NOT(ISERROR(SEARCH("3",AI382)))</formula>
    </cfRule>
  </conditionalFormatting>
  <conditionalFormatting sqref="G383:G398">
    <cfRule type="containsText" dxfId="143" priority="130" operator="containsText" text="Low">
      <formula>NOT(ISERROR(SEARCH("Low",G383)))</formula>
    </cfRule>
    <cfRule type="containsText" dxfId="142" priority="131" operator="containsText" text="Low">
      <formula>NOT(ISERROR(SEARCH("Low",G383)))</formula>
    </cfRule>
    <cfRule type="containsText" dxfId="141" priority="132" operator="containsText" text="Moderate">
      <formula>NOT(ISERROR(SEARCH("Moderate",G383)))</formula>
    </cfRule>
    <cfRule type="containsText" dxfId="140" priority="133" operator="containsText" text="High">
      <formula>NOT(ISERROR(SEARCH("High",G383)))</formula>
    </cfRule>
    <cfRule type="containsText" dxfId="139" priority="134" operator="containsText" text="Critical">
      <formula>NOT(ISERROR(SEARCH("Critical",G383)))</formula>
    </cfRule>
  </conditionalFormatting>
  <conditionalFormatting sqref="G399:G400">
    <cfRule type="containsText" dxfId="138" priority="125" operator="containsText" text="Low">
      <formula>NOT(ISERROR(SEARCH("Low",G399)))</formula>
    </cfRule>
    <cfRule type="containsText" dxfId="137" priority="126" operator="containsText" text="Low">
      <formula>NOT(ISERROR(SEARCH("Low",G399)))</formula>
    </cfRule>
    <cfRule type="containsText" dxfId="136" priority="127" operator="containsText" text="Moderate">
      <formula>NOT(ISERROR(SEARCH("Moderate",G399)))</formula>
    </cfRule>
    <cfRule type="containsText" dxfId="135" priority="128" operator="containsText" text="High">
      <formula>NOT(ISERROR(SEARCH("High",G399)))</formula>
    </cfRule>
    <cfRule type="containsText" dxfId="134" priority="129" operator="containsText" text="Critical">
      <formula>NOT(ISERROR(SEARCH("Critical",G399)))</formula>
    </cfRule>
  </conditionalFormatting>
  <conditionalFormatting sqref="G378:G379">
    <cfRule type="containsText" dxfId="133" priority="141" operator="containsText" text="Low">
      <formula>NOT(ISERROR(SEARCH("Low",G378)))</formula>
    </cfRule>
    <cfRule type="containsText" dxfId="132" priority="142" operator="containsText" text="Low">
      <formula>NOT(ISERROR(SEARCH("Low",G378)))</formula>
    </cfRule>
    <cfRule type="containsText" dxfId="131" priority="143" operator="containsText" text="Moderate">
      <formula>NOT(ISERROR(SEARCH("Moderate",G378)))</formula>
    </cfRule>
    <cfRule type="containsText" dxfId="130" priority="144" operator="containsText" text="High">
      <formula>NOT(ISERROR(SEARCH("High",G378)))</formula>
    </cfRule>
    <cfRule type="containsText" dxfId="129" priority="145" operator="containsText" text="Critical">
      <formula>NOT(ISERROR(SEARCH("Critical",G378)))</formula>
    </cfRule>
  </conditionalFormatting>
  <conditionalFormatting sqref="G388:G400">
    <cfRule type="containsText" dxfId="128" priority="136" operator="containsText" text="Low">
      <formula>NOT(ISERROR(SEARCH("Low",G388)))</formula>
    </cfRule>
    <cfRule type="containsText" dxfId="127" priority="137" operator="containsText" text="Low">
      <formula>NOT(ISERROR(SEARCH("Low",G388)))</formula>
    </cfRule>
    <cfRule type="containsText" dxfId="126" priority="138" operator="containsText" text="Moderate">
      <formula>NOT(ISERROR(SEARCH("Moderate",G388)))</formula>
    </cfRule>
    <cfRule type="containsText" dxfId="125" priority="139" operator="containsText" text="High">
      <formula>NOT(ISERROR(SEARCH("High",G388)))</formula>
    </cfRule>
    <cfRule type="containsText" dxfId="124" priority="140" operator="containsText" text="Critical">
      <formula>NOT(ISERROR(SEARCH("Critical",G388)))</formula>
    </cfRule>
  </conditionalFormatting>
  <conditionalFormatting sqref="G403:G410">
    <cfRule type="containsText" dxfId="123" priority="120" operator="containsText" text="Low">
      <formula>NOT(ISERROR(SEARCH("Low",G403)))</formula>
    </cfRule>
    <cfRule type="containsText" dxfId="122" priority="121" operator="containsText" text="Low">
      <formula>NOT(ISERROR(SEARCH("Low",G403)))</formula>
    </cfRule>
    <cfRule type="containsText" dxfId="121" priority="122" operator="containsText" text="Moderate">
      <formula>NOT(ISERROR(SEARCH("Moderate",G403)))</formula>
    </cfRule>
    <cfRule type="containsText" dxfId="120" priority="123" operator="containsText" text="High">
      <formula>NOT(ISERROR(SEARCH("High",G403)))</formula>
    </cfRule>
    <cfRule type="containsText" dxfId="119" priority="124" operator="containsText" text="Critical">
      <formula>NOT(ISERROR(SEARCH("Critical",G403)))</formula>
    </cfRule>
  </conditionalFormatting>
  <conditionalFormatting sqref="G419:G425">
    <cfRule type="containsText" dxfId="118" priority="115" operator="containsText" text="Low">
      <formula>NOT(ISERROR(SEARCH("Low",G419)))</formula>
    </cfRule>
    <cfRule type="containsText" dxfId="117" priority="116" operator="containsText" text="Low">
      <formula>NOT(ISERROR(SEARCH("Low",G419)))</formula>
    </cfRule>
    <cfRule type="containsText" dxfId="116" priority="117" operator="containsText" text="Moderate">
      <formula>NOT(ISERROR(SEARCH("Moderate",G419)))</formula>
    </cfRule>
    <cfRule type="containsText" dxfId="115" priority="118" operator="containsText" text="High">
      <formula>NOT(ISERROR(SEARCH("High",G419)))</formula>
    </cfRule>
    <cfRule type="containsText" dxfId="114" priority="119" operator="containsText" text="Critical">
      <formula>NOT(ISERROR(SEARCH("Critical",G419)))</formula>
    </cfRule>
  </conditionalFormatting>
  <conditionalFormatting sqref="AI407">
    <cfRule type="containsText" dxfId="113" priority="104" operator="containsText" text="3">
      <formula>NOT(ISERROR(SEARCH("3",AI407)))</formula>
    </cfRule>
  </conditionalFormatting>
  <conditionalFormatting sqref="G408:G423">
    <cfRule type="containsText" dxfId="112" priority="99" operator="containsText" text="Low">
      <formula>NOT(ISERROR(SEARCH("Low",G408)))</formula>
    </cfRule>
    <cfRule type="containsText" dxfId="111" priority="100" operator="containsText" text="Low">
      <formula>NOT(ISERROR(SEARCH("Low",G408)))</formula>
    </cfRule>
    <cfRule type="containsText" dxfId="110" priority="101" operator="containsText" text="Moderate">
      <formula>NOT(ISERROR(SEARCH("Moderate",G408)))</formula>
    </cfRule>
    <cfRule type="containsText" dxfId="109" priority="102" operator="containsText" text="High">
      <formula>NOT(ISERROR(SEARCH("High",G408)))</formula>
    </cfRule>
    <cfRule type="containsText" dxfId="108" priority="103" operator="containsText" text="Critical">
      <formula>NOT(ISERROR(SEARCH("Critical",G408)))</formula>
    </cfRule>
  </conditionalFormatting>
  <conditionalFormatting sqref="G424:G425">
    <cfRule type="containsText" dxfId="107" priority="94" operator="containsText" text="Low">
      <formula>NOT(ISERROR(SEARCH("Low",G424)))</formula>
    </cfRule>
    <cfRule type="containsText" dxfId="106" priority="95" operator="containsText" text="Low">
      <formula>NOT(ISERROR(SEARCH("Low",G424)))</formula>
    </cfRule>
    <cfRule type="containsText" dxfId="105" priority="96" operator="containsText" text="Moderate">
      <formula>NOT(ISERROR(SEARCH("Moderate",G424)))</formula>
    </cfRule>
    <cfRule type="containsText" dxfId="104" priority="97" operator="containsText" text="High">
      <formula>NOT(ISERROR(SEARCH("High",G424)))</formula>
    </cfRule>
    <cfRule type="containsText" dxfId="103" priority="98" operator="containsText" text="Critical">
      <formula>NOT(ISERROR(SEARCH("Critical",G424)))</formula>
    </cfRule>
  </conditionalFormatting>
  <conditionalFormatting sqref="G403:G404">
    <cfRule type="containsText" dxfId="102" priority="110" operator="containsText" text="Low">
      <formula>NOT(ISERROR(SEARCH("Low",G403)))</formula>
    </cfRule>
    <cfRule type="containsText" dxfId="101" priority="111" operator="containsText" text="Low">
      <formula>NOT(ISERROR(SEARCH("Low",G403)))</formula>
    </cfRule>
    <cfRule type="containsText" dxfId="100" priority="112" operator="containsText" text="Moderate">
      <formula>NOT(ISERROR(SEARCH("Moderate",G403)))</formula>
    </cfRule>
    <cfRule type="containsText" dxfId="99" priority="113" operator="containsText" text="High">
      <formula>NOT(ISERROR(SEARCH("High",G403)))</formula>
    </cfRule>
    <cfRule type="containsText" dxfId="98" priority="114" operator="containsText" text="Critical">
      <formula>NOT(ISERROR(SEARCH("Critical",G403)))</formula>
    </cfRule>
  </conditionalFormatting>
  <conditionalFormatting sqref="G413:G425">
    <cfRule type="containsText" dxfId="97" priority="105" operator="containsText" text="Low">
      <formula>NOT(ISERROR(SEARCH("Low",G413)))</formula>
    </cfRule>
    <cfRule type="containsText" dxfId="96" priority="106" operator="containsText" text="Low">
      <formula>NOT(ISERROR(SEARCH("Low",G413)))</formula>
    </cfRule>
    <cfRule type="containsText" dxfId="95" priority="107" operator="containsText" text="Moderate">
      <formula>NOT(ISERROR(SEARCH("Moderate",G413)))</formula>
    </cfRule>
    <cfRule type="containsText" dxfId="94" priority="108" operator="containsText" text="High">
      <formula>NOT(ISERROR(SEARCH("High",G413)))</formula>
    </cfRule>
    <cfRule type="containsText" dxfId="93" priority="109" operator="containsText" text="Critical">
      <formula>NOT(ISERROR(SEARCH("Critical",G413)))</formula>
    </cfRule>
  </conditionalFormatting>
  <conditionalFormatting sqref="G428:G435">
    <cfRule type="containsText" dxfId="92" priority="89" operator="containsText" text="Low">
      <formula>NOT(ISERROR(SEARCH("Low",G428)))</formula>
    </cfRule>
    <cfRule type="containsText" dxfId="91" priority="90" operator="containsText" text="Low">
      <formula>NOT(ISERROR(SEARCH("Low",G428)))</formula>
    </cfRule>
    <cfRule type="containsText" dxfId="90" priority="91" operator="containsText" text="Moderate">
      <formula>NOT(ISERROR(SEARCH("Moderate",G428)))</formula>
    </cfRule>
    <cfRule type="containsText" dxfId="89" priority="92" operator="containsText" text="High">
      <formula>NOT(ISERROR(SEARCH("High",G428)))</formula>
    </cfRule>
    <cfRule type="containsText" dxfId="88" priority="93" operator="containsText" text="Critical">
      <formula>NOT(ISERROR(SEARCH("Critical",G428)))</formula>
    </cfRule>
  </conditionalFormatting>
  <conditionalFormatting sqref="G444:G450">
    <cfRule type="containsText" dxfId="87" priority="84" operator="containsText" text="Low">
      <formula>NOT(ISERROR(SEARCH("Low",G444)))</formula>
    </cfRule>
    <cfRule type="containsText" dxfId="86" priority="85" operator="containsText" text="Low">
      <formula>NOT(ISERROR(SEARCH("Low",G444)))</formula>
    </cfRule>
    <cfRule type="containsText" dxfId="85" priority="86" operator="containsText" text="Moderate">
      <formula>NOT(ISERROR(SEARCH("Moderate",G444)))</formula>
    </cfRule>
    <cfRule type="containsText" dxfId="84" priority="87" operator="containsText" text="High">
      <formula>NOT(ISERROR(SEARCH("High",G444)))</formula>
    </cfRule>
    <cfRule type="containsText" dxfId="83" priority="88" operator="containsText" text="Critical">
      <formula>NOT(ISERROR(SEARCH("Critical",G444)))</formula>
    </cfRule>
  </conditionalFormatting>
  <conditionalFormatting sqref="AI432">
    <cfRule type="containsText" dxfId="82" priority="73" operator="containsText" text="3">
      <formula>NOT(ISERROR(SEARCH("3",AI432)))</formula>
    </cfRule>
  </conditionalFormatting>
  <conditionalFormatting sqref="G433:G448">
    <cfRule type="containsText" dxfId="81" priority="68" operator="containsText" text="Low">
      <formula>NOT(ISERROR(SEARCH("Low",G433)))</formula>
    </cfRule>
    <cfRule type="containsText" dxfId="80" priority="69" operator="containsText" text="Low">
      <formula>NOT(ISERROR(SEARCH("Low",G433)))</formula>
    </cfRule>
    <cfRule type="containsText" dxfId="79" priority="70" operator="containsText" text="Moderate">
      <formula>NOT(ISERROR(SEARCH("Moderate",G433)))</formula>
    </cfRule>
    <cfRule type="containsText" dxfId="78" priority="71" operator="containsText" text="High">
      <formula>NOT(ISERROR(SEARCH("High",G433)))</formula>
    </cfRule>
    <cfRule type="containsText" dxfId="77" priority="72" operator="containsText" text="Critical">
      <formula>NOT(ISERROR(SEARCH("Critical",G433)))</formula>
    </cfRule>
  </conditionalFormatting>
  <conditionalFormatting sqref="G449:G450">
    <cfRule type="containsText" dxfId="76" priority="63" operator="containsText" text="Low">
      <formula>NOT(ISERROR(SEARCH("Low",G449)))</formula>
    </cfRule>
    <cfRule type="containsText" dxfId="75" priority="64" operator="containsText" text="Low">
      <formula>NOT(ISERROR(SEARCH("Low",G449)))</formula>
    </cfRule>
    <cfRule type="containsText" dxfId="74" priority="65" operator="containsText" text="Moderate">
      <formula>NOT(ISERROR(SEARCH("Moderate",G449)))</formula>
    </cfRule>
    <cfRule type="containsText" dxfId="73" priority="66" operator="containsText" text="High">
      <formula>NOT(ISERROR(SEARCH("High",G449)))</formula>
    </cfRule>
    <cfRule type="containsText" dxfId="72" priority="67" operator="containsText" text="Critical">
      <formula>NOT(ISERROR(SEARCH("Critical",G449)))</formula>
    </cfRule>
  </conditionalFormatting>
  <conditionalFormatting sqref="G428:G429">
    <cfRule type="containsText" dxfId="71" priority="79" operator="containsText" text="Low">
      <formula>NOT(ISERROR(SEARCH("Low",G428)))</formula>
    </cfRule>
    <cfRule type="containsText" dxfId="70" priority="80" operator="containsText" text="Low">
      <formula>NOT(ISERROR(SEARCH("Low",G428)))</formula>
    </cfRule>
    <cfRule type="containsText" dxfId="69" priority="81" operator="containsText" text="Moderate">
      <formula>NOT(ISERROR(SEARCH("Moderate",G428)))</formula>
    </cfRule>
    <cfRule type="containsText" dxfId="68" priority="82" operator="containsText" text="High">
      <formula>NOT(ISERROR(SEARCH("High",G428)))</formula>
    </cfRule>
    <cfRule type="containsText" dxfId="67" priority="83" operator="containsText" text="Critical">
      <formula>NOT(ISERROR(SEARCH("Critical",G428)))</formula>
    </cfRule>
  </conditionalFormatting>
  <conditionalFormatting sqref="G438:G450">
    <cfRule type="containsText" dxfId="66" priority="74" operator="containsText" text="Low">
      <formula>NOT(ISERROR(SEARCH("Low",G438)))</formula>
    </cfRule>
    <cfRule type="containsText" dxfId="65" priority="75" operator="containsText" text="Low">
      <formula>NOT(ISERROR(SEARCH("Low",G438)))</formula>
    </cfRule>
    <cfRule type="containsText" dxfId="64" priority="76" operator="containsText" text="Moderate">
      <formula>NOT(ISERROR(SEARCH("Moderate",G438)))</formula>
    </cfRule>
    <cfRule type="containsText" dxfId="63" priority="77" operator="containsText" text="High">
      <formula>NOT(ISERROR(SEARCH("High",G438)))</formula>
    </cfRule>
    <cfRule type="containsText" dxfId="62" priority="78" operator="containsText" text="Critical">
      <formula>NOT(ISERROR(SEARCH("Critical",G438)))</formula>
    </cfRule>
  </conditionalFormatting>
  <conditionalFormatting sqref="G453:G460">
    <cfRule type="containsText" dxfId="61" priority="58" operator="containsText" text="Low">
      <formula>NOT(ISERROR(SEARCH("Low",G453)))</formula>
    </cfRule>
    <cfRule type="containsText" dxfId="60" priority="59" operator="containsText" text="Low">
      <formula>NOT(ISERROR(SEARCH("Low",G453)))</formula>
    </cfRule>
    <cfRule type="containsText" dxfId="59" priority="60" operator="containsText" text="Moderate">
      <formula>NOT(ISERROR(SEARCH("Moderate",G453)))</formula>
    </cfRule>
    <cfRule type="containsText" dxfId="58" priority="61" operator="containsText" text="High">
      <formula>NOT(ISERROR(SEARCH("High",G453)))</formula>
    </cfRule>
    <cfRule type="containsText" dxfId="57" priority="62" operator="containsText" text="Critical">
      <formula>NOT(ISERROR(SEARCH("Critical",G453)))</formula>
    </cfRule>
  </conditionalFormatting>
  <conditionalFormatting sqref="G469:G475">
    <cfRule type="containsText" dxfId="56" priority="53" operator="containsText" text="Low">
      <formula>NOT(ISERROR(SEARCH("Low",G469)))</formula>
    </cfRule>
    <cfRule type="containsText" dxfId="55" priority="54" operator="containsText" text="Low">
      <formula>NOT(ISERROR(SEARCH("Low",G469)))</formula>
    </cfRule>
    <cfRule type="containsText" dxfId="54" priority="55" operator="containsText" text="Moderate">
      <formula>NOT(ISERROR(SEARCH("Moderate",G469)))</formula>
    </cfRule>
    <cfRule type="containsText" dxfId="53" priority="56" operator="containsText" text="High">
      <formula>NOT(ISERROR(SEARCH("High",G469)))</formula>
    </cfRule>
    <cfRule type="containsText" dxfId="52" priority="57" operator="containsText" text="Critical">
      <formula>NOT(ISERROR(SEARCH("Critical",G469)))</formula>
    </cfRule>
  </conditionalFormatting>
  <conditionalFormatting sqref="AI457">
    <cfRule type="containsText" dxfId="51" priority="42" operator="containsText" text="3">
      <formula>NOT(ISERROR(SEARCH("3",AI457)))</formula>
    </cfRule>
  </conditionalFormatting>
  <conditionalFormatting sqref="G458:G473">
    <cfRule type="containsText" dxfId="50" priority="37" operator="containsText" text="Low">
      <formula>NOT(ISERROR(SEARCH("Low",G458)))</formula>
    </cfRule>
    <cfRule type="containsText" dxfId="49" priority="38" operator="containsText" text="Low">
      <formula>NOT(ISERROR(SEARCH("Low",G458)))</formula>
    </cfRule>
    <cfRule type="containsText" dxfId="48" priority="39" operator="containsText" text="Moderate">
      <formula>NOT(ISERROR(SEARCH("Moderate",G458)))</formula>
    </cfRule>
    <cfRule type="containsText" dxfId="47" priority="40" operator="containsText" text="High">
      <formula>NOT(ISERROR(SEARCH("High",G458)))</formula>
    </cfRule>
    <cfRule type="containsText" dxfId="46" priority="41" operator="containsText" text="Critical">
      <formula>NOT(ISERROR(SEARCH("Critical",G458)))</formula>
    </cfRule>
  </conditionalFormatting>
  <conditionalFormatting sqref="G474:G475">
    <cfRule type="containsText" dxfId="45" priority="32" operator="containsText" text="Low">
      <formula>NOT(ISERROR(SEARCH("Low",G474)))</formula>
    </cfRule>
    <cfRule type="containsText" dxfId="44" priority="33" operator="containsText" text="Low">
      <formula>NOT(ISERROR(SEARCH("Low",G474)))</formula>
    </cfRule>
    <cfRule type="containsText" dxfId="43" priority="34" operator="containsText" text="Moderate">
      <formula>NOT(ISERROR(SEARCH("Moderate",G474)))</formula>
    </cfRule>
    <cfRule type="containsText" dxfId="42" priority="35" operator="containsText" text="High">
      <formula>NOT(ISERROR(SEARCH("High",G474)))</formula>
    </cfRule>
    <cfRule type="containsText" dxfId="41" priority="36" operator="containsText" text="Critical">
      <formula>NOT(ISERROR(SEARCH("Critical",G474)))</formula>
    </cfRule>
  </conditionalFormatting>
  <conditionalFormatting sqref="G453:G454">
    <cfRule type="containsText" dxfId="40" priority="48" operator="containsText" text="Low">
      <formula>NOT(ISERROR(SEARCH("Low",G453)))</formula>
    </cfRule>
    <cfRule type="containsText" dxfId="39" priority="49" operator="containsText" text="Low">
      <formula>NOT(ISERROR(SEARCH("Low",G453)))</formula>
    </cfRule>
    <cfRule type="containsText" dxfId="38" priority="50" operator="containsText" text="Moderate">
      <formula>NOT(ISERROR(SEARCH("Moderate",G453)))</formula>
    </cfRule>
    <cfRule type="containsText" dxfId="37" priority="51" operator="containsText" text="High">
      <formula>NOT(ISERROR(SEARCH("High",G453)))</formula>
    </cfRule>
    <cfRule type="containsText" dxfId="36" priority="52" operator="containsText" text="Critical">
      <formula>NOT(ISERROR(SEARCH("Critical",G453)))</formula>
    </cfRule>
  </conditionalFormatting>
  <conditionalFormatting sqref="G463:G475">
    <cfRule type="containsText" dxfId="35" priority="43" operator="containsText" text="Low">
      <formula>NOT(ISERROR(SEARCH("Low",G463)))</formula>
    </cfRule>
    <cfRule type="containsText" dxfId="34" priority="44" operator="containsText" text="Low">
      <formula>NOT(ISERROR(SEARCH("Low",G463)))</formula>
    </cfRule>
    <cfRule type="containsText" dxfId="33" priority="45" operator="containsText" text="Moderate">
      <formula>NOT(ISERROR(SEARCH("Moderate",G463)))</formula>
    </cfRule>
    <cfRule type="containsText" dxfId="32" priority="46" operator="containsText" text="High">
      <formula>NOT(ISERROR(SEARCH("High",G463)))</formula>
    </cfRule>
    <cfRule type="containsText" dxfId="31" priority="47" operator="containsText" text="Critical">
      <formula>NOT(ISERROR(SEARCH("Critical",G463)))</formula>
    </cfRule>
  </conditionalFormatting>
  <conditionalFormatting sqref="G478:G485">
    <cfRule type="containsText" dxfId="30" priority="27" operator="containsText" text="Low">
      <formula>NOT(ISERROR(SEARCH("Low",G478)))</formula>
    </cfRule>
    <cfRule type="containsText" dxfId="29" priority="28" operator="containsText" text="Low">
      <formula>NOT(ISERROR(SEARCH("Low",G478)))</formula>
    </cfRule>
    <cfRule type="containsText" dxfId="28" priority="29" operator="containsText" text="Moderate">
      <formula>NOT(ISERROR(SEARCH("Moderate",G478)))</formula>
    </cfRule>
    <cfRule type="containsText" dxfId="27" priority="30" operator="containsText" text="High">
      <formula>NOT(ISERROR(SEARCH("High",G478)))</formula>
    </cfRule>
    <cfRule type="containsText" dxfId="26" priority="31" operator="containsText" text="Critical">
      <formula>NOT(ISERROR(SEARCH("Critical",G478)))</formula>
    </cfRule>
  </conditionalFormatting>
  <conditionalFormatting sqref="G494:G500">
    <cfRule type="containsText" dxfId="25" priority="22" operator="containsText" text="Low">
      <formula>NOT(ISERROR(SEARCH("Low",G494)))</formula>
    </cfRule>
    <cfRule type="containsText" dxfId="24" priority="23" operator="containsText" text="Low">
      <formula>NOT(ISERROR(SEARCH("Low",G494)))</formula>
    </cfRule>
    <cfRule type="containsText" dxfId="23" priority="24" operator="containsText" text="Moderate">
      <formula>NOT(ISERROR(SEARCH("Moderate",G494)))</formula>
    </cfRule>
    <cfRule type="containsText" dxfId="22" priority="25" operator="containsText" text="High">
      <formula>NOT(ISERROR(SEARCH("High",G494)))</formula>
    </cfRule>
    <cfRule type="containsText" dxfId="21" priority="26" operator="containsText" text="Critical">
      <formula>NOT(ISERROR(SEARCH("Critical",G494)))</formula>
    </cfRule>
  </conditionalFormatting>
  <conditionalFormatting sqref="AI482">
    <cfRule type="containsText" dxfId="20" priority="11" operator="containsText" text="3">
      <formula>NOT(ISERROR(SEARCH("3",AI482)))</formula>
    </cfRule>
  </conditionalFormatting>
  <conditionalFormatting sqref="G483:G498">
    <cfRule type="containsText" dxfId="19" priority="6" operator="containsText" text="Low">
      <formula>NOT(ISERROR(SEARCH("Low",G483)))</formula>
    </cfRule>
    <cfRule type="containsText" dxfId="18" priority="7" operator="containsText" text="Low">
      <formula>NOT(ISERROR(SEARCH("Low",G483)))</formula>
    </cfRule>
    <cfRule type="containsText" dxfId="17" priority="8" operator="containsText" text="Moderate">
      <formula>NOT(ISERROR(SEARCH("Moderate",G483)))</formula>
    </cfRule>
    <cfRule type="containsText" dxfId="16" priority="9" operator="containsText" text="High">
      <formula>NOT(ISERROR(SEARCH("High",G483)))</formula>
    </cfRule>
    <cfRule type="containsText" dxfId="15" priority="10" operator="containsText" text="Critical">
      <formula>NOT(ISERROR(SEARCH("Critical",G483)))</formula>
    </cfRule>
  </conditionalFormatting>
  <conditionalFormatting sqref="G499:G500">
    <cfRule type="containsText" dxfId="14" priority="1" operator="containsText" text="Low">
      <formula>NOT(ISERROR(SEARCH("Low",G499)))</formula>
    </cfRule>
    <cfRule type="containsText" dxfId="13" priority="2" operator="containsText" text="Low">
      <formula>NOT(ISERROR(SEARCH("Low",G499)))</formula>
    </cfRule>
    <cfRule type="containsText" dxfId="12" priority="3" operator="containsText" text="Moderate">
      <formula>NOT(ISERROR(SEARCH("Moderate",G499)))</formula>
    </cfRule>
    <cfRule type="containsText" dxfId="11" priority="4" operator="containsText" text="High">
      <formula>NOT(ISERROR(SEARCH("High",G499)))</formula>
    </cfRule>
    <cfRule type="containsText" dxfId="10" priority="5" operator="containsText" text="Critical">
      <formula>NOT(ISERROR(SEARCH("Critical",G499)))</formula>
    </cfRule>
  </conditionalFormatting>
  <conditionalFormatting sqref="G478:G479">
    <cfRule type="containsText" dxfId="9" priority="17" operator="containsText" text="Low">
      <formula>NOT(ISERROR(SEARCH("Low",G478)))</formula>
    </cfRule>
    <cfRule type="containsText" dxfId="8" priority="18" operator="containsText" text="Low">
      <formula>NOT(ISERROR(SEARCH("Low",G478)))</formula>
    </cfRule>
    <cfRule type="containsText" dxfId="7" priority="19" operator="containsText" text="Moderate">
      <formula>NOT(ISERROR(SEARCH("Moderate",G478)))</formula>
    </cfRule>
    <cfRule type="containsText" dxfId="6" priority="20" operator="containsText" text="High">
      <formula>NOT(ISERROR(SEARCH("High",G478)))</formula>
    </cfRule>
    <cfRule type="containsText" dxfId="5" priority="21" operator="containsText" text="Critical">
      <formula>NOT(ISERROR(SEARCH("Critical",G478)))</formula>
    </cfRule>
  </conditionalFormatting>
  <conditionalFormatting sqref="G488:G500">
    <cfRule type="containsText" dxfId="4" priority="12" operator="containsText" text="Low">
      <formula>NOT(ISERROR(SEARCH("Low",G488)))</formula>
    </cfRule>
    <cfRule type="containsText" dxfId="3" priority="13" operator="containsText" text="Low">
      <formula>NOT(ISERROR(SEARCH("Low",G488)))</formula>
    </cfRule>
    <cfRule type="containsText" dxfId="2" priority="14" operator="containsText" text="Moderate">
      <formula>NOT(ISERROR(SEARCH("Moderate",G488)))</formula>
    </cfRule>
    <cfRule type="containsText" dxfId="1" priority="15" operator="containsText" text="High">
      <formula>NOT(ISERROR(SEARCH("High",G488)))</formula>
    </cfRule>
    <cfRule type="containsText" dxfId="0" priority="16" operator="containsText" text="Critical">
      <formula>NOT(ISERROR(SEARCH("Critical",G488)))</formula>
    </cfRule>
  </conditionalFormatting>
  <dataValidations count="2">
    <dataValidation type="list" showErrorMessage="1" sqref="E8:E25 E308:E325 E208:E225 E183:E200 E233:E250 E283:E300 E258:E275 E58:E75 E33:E50 E83:E100 E133:E150 E108:E125 E158:E175 E333:E350 E358:E375 E383:E400 E408:E425 E433:E450 E458:E475 E483:E500">
      <formula1>$Q$10:$Q$15</formula1>
    </dataValidation>
    <dataValidation type="list" showInputMessage="1" showErrorMessage="1" sqref="F33:F50 F308:F325 F183:F200 F208:F225 F233:F250 F258:F275 F283:F300 F58:F75 F8:F25 F83:F100 F158:F175 F108:F125 F133:F150 F333:F350 F358:F375 F383:F400 F408:F425 F433:F450 F458:F475 F483:F500">
      <formula1>$R$9:$W$9</formula1>
    </dataValidation>
  </dataValidations>
  <pageMargins left="0.70866141732283472" right="0.70866141732283472" top="0.74803149606299213" bottom="0.74803149606299213" header="0.31496062992125984" footer="0.31496062992125984"/>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49"/>
  <sheetViews>
    <sheetView zoomScale="125" zoomScaleNormal="125" zoomScalePageLayoutView="125" workbookViewId="0">
      <selection activeCell="I4" sqref="I4"/>
    </sheetView>
  </sheetViews>
  <sheetFormatPr baseColWidth="10" defaultColWidth="8.83203125" defaultRowHeight="14" x14ac:dyDescent="0"/>
  <cols>
    <col min="1" max="1" width="4.33203125" customWidth="1"/>
    <col min="2" max="2" width="7.1640625" customWidth="1"/>
    <col min="3" max="3" width="15.1640625" customWidth="1"/>
    <col min="4" max="4" width="18.5" customWidth="1"/>
    <col min="5" max="5" width="14.5" customWidth="1"/>
    <col min="6" max="6" width="60.83203125" customWidth="1"/>
    <col min="7" max="7" width="68.83203125" customWidth="1"/>
    <col min="8" max="8" width="47.5" customWidth="1"/>
    <col min="9" max="9" width="42.83203125" customWidth="1"/>
    <col min="10" max="10" width="39" customWidth="1"/>
  </cols>
  <sheetData>
    <row r="1" spans="2:20" ht="55" customHeight="1">
      <c r="C1" s="198" t="s">
        <v>206</v>
      </c>
      <c r="D1" s="198"/>
      <c r="E1" s="198"/>
      <c r="F1" s="198"/>
      <c r="G1" s="198"/>
      <c r="H1" s="198"/>
      <c r="I1" s="198"/>
      <c r="J1" s="198"/>
      <c r="K1" s="198"/>
      <c r="L1" s="198"/>
      <c r="M1" s="198"/>
      <c r="N1" s="198"/>
      <c r="O1" s="198"/>
      <c r="P1" s="198"/>
      <c r="Q1" s="198"/>
      <c r="R1" s="198"/>
      <c r="S1" s="198"/>
      <c r="T1" s="198"/>
    </row>
    <row r="2" spans="2:20" ht="24" customHeight="1">
      <c r="B2" s="177" t="s">
        <v>198</v>
      </c>
      <c r="C2" s="178"/>
      <c r="D2" s="178"/>
      <c r="E2" s="178"/>
      <c r="F2" s="178"/>
      <c r="G2" s="178"/>
      <c r="H2" s="178"/>
      <c r="I2" s="122"/>
      <c r="J2" s="122"/>
      <c r="K2" s="122"/>
      <c r="L2" s="122"/>
      <c r="M2" s="122"/>
      <c r="N2" s="122"/>
      <c r="O2" s="122"/>
      <c r="P2" s="122"/>
      <c r="Q2" s="122"/>
      <c r="R2" s="122"/>
      <c r="S2" s="122"/>
      <c r="T2" s="122"/>
    </row>
    <row r="3" spans="2:20" ht="24" customHeight="1">
      <c r="B3" s="177" t="s">
        <v>199</v>
      </c>
      <c r="C3" s="178"/>
      <c r="D3" s="178"/>
      <c r="E3" s="178"/>
      <c r="F3" s="178"/>
      <c r="G3" s="178"/>
      <c r="H3" s="178"/>
      <c r="I3" s="122"/>
      <c r="J3" s="122"/>
      <c r="K3" s="122"/>
      <c r="L3" s="122"/>
      <c r="M3" s="122"/>
      <c r="N3" s="122"/>
      <c r="O3" s="122"/>
      <c r="P3" s="122"/>
      <c r="Q3" s="122"/>
      <c r="R3" s="122"/>
      <c r="S3" s="122"/>
      <c r="T3" s="122"/>
    </row>
    <row r="4" spans="2:20" ht="24" customHeight="1">
      <c r="B4" s="123"/>
      <c r="C4" s="122"/>
      <c r="D4" s="134"/>
      <c r="E4" s="122"/>
      <c r="F4" s="122"/>
      <c r="G4" s="122"/>
      <c r="H4" s="122"/>
      <c r="I4" s="122"/>
      <c r="J4" s="122"/>
      <c r="K4" s="122"/>
      <c r="L4" s="122"/>
      <c r="M4" s="122"/>
      <c r="N4" s="122"/>
      <c r="O4" s="122"/>
      <c r="P4" s="122"/>
      <c r="Q4" s="122"/>
      <c r="R4" s="122"/>
      <c r="S4" s="122"/>
      <c r="T4" s="122"/>
    </row>
    <row r="5" spans="2:20" ht="20">
      <c r="B5" s="179" t="s">
        <v>258</v>
      </c>
      <c r="C5" s="180"/>
      <c r="D5" s="180"/>
      <c r="E5" s="180"/>
      <c r="F5" s="180"/>
      <c r="G5" s="180"/>
      <c r="H5" s="185" t="s">
        <v>259</v>
      </c>
      <c r="I5" s="166"/>
      <c r="J5" s="166"/>
    </row>
    <row r="6" spans="2:20" ht="20">
      <c r="B6" s="179" t="s">
        <v>261</v>
      </c>
      <c r="C6" s="180"/>
      <c r="D6" s="180"/>
      <c r="E6" s="186" t="s">
        <v>262</v>
      </c>
      <c r="F6" s="179" t="s">
        <v>263</v>
      </c>
      <c r="G6" s="185" t="s">
        <v>260</v>
      </c>
      <c r="H6" s="185"/>
      <c r="I6" s="24"/>
      <c r="J6" s="24"/>
    </row>
    <row r="7" spans="2:20" ht="24" customHeight="1">
      <c r="B7" s="123"/>
      <c r="C7" s="171"/>
      <c r="D7" s="171"/>
      <c r="E7" s="171"/>
      <c r="F7" s="171"/>
      <c r="G7" s="171"/>
      <c r="H7" s="171"/>
      <c r="I7" s="171"/>
      <c r="J7" s="171"/>
      <c r="K7" s="171"/>
      <c r="L7" s="171"/>
      <c r="M7" s="171"/>
      <c r="N7" s="171"/>
      <c r="O7" s="171"/>
      <c r="P7" s="171"/>
      <c r="Q7" s="171"/>
      <c r="R7" s="171"/>
      <c r="S7" s="171"/>
      <c r="T7" s="171"/>
    </row>
    <row r="8" spans="2:20" s="18" customFormat="1" ht="69" customHeight="1">
      <c r="B8" s="176" t="s">
        <v>245</v>
      </c>
      <c r="C8" s="176" t="s">
        <v>197</v>
      </c>
      <c r="D8" s="176" t="s">
        <v>190</v>
      </c>
      <c r="E8" s="176" t="s">
        <v>208</v>
      </c>
      <c r="F8" s="176" t="s">
        <v>200</v>
      </c>
      <c r="G8" s="176" t="s">
        <v>264</v>
      </c>
      <c r="H8" s="176" t="s">
        <v>203</v>
      </c>
    </row>
    <row r="9" spans="2:20" ht="17">
      <c r="B9" s="121"/>
      <c r="C9" s="121"/>
      <c r="D9" s="121"/>
      <c r="E9" s="121"/>
      <c r="F9" s="121"/>
      <c r="G9" s="121"/>
      <c r="H9" s="121"/>
    </row>
    <row r="10" spans="2:20" ht="17">
      <c r="B10" s="121"/>
      <c r="C10" s="121"/>
      <c r="D10" s="121"/>
      <c r="E10" s="121"/>
      <c r="F10" s="121"/>
      <c r="G10" s="121"/>
      <c r="H10" s="121"/>
    </row>
    <row r="11" spans="2:20" ht="17">
      <c r="B11" s="121"/>
      <c r="C11" s="121"/>
      <c r="D11" s="121"/>
      <c r="E11" s="121"/>
      <c r="F11" s="121"/>
      <c r="G11" s="121"/>
      <c r="H11" s="121"/>
    </row>
    <row r="12" spans="2:20" ht="17">
      <c r="B12" s="121"/>
      <c r="C12" s="121"/>
      <c r="D12" s="121"/>
      <c r="E12" s="121"/>
      <c r="F12" s="121"/>
      <c r="G12" s="121"/>
      <c r="H12" s="121"/>
    </row>
    <row r="13" spans="2:20" ht="17">
      <c r="B13" s="121"/>
      <c r="C13" s="121"/>
      <c r="D13" s="121"/>
      <c r="E13" s="121"/>
      <c r="F13" s="121"/>
      <c r="G13" s="121"/>
      <c r="H13" s="121"/>
    </row>
    <row r="14" spans="2:20" ht="17">
      <c r="B14" s="121"/>
      <c r="C14" s="121"/>
      <c r="D14" s="121"/>
      <c r="E14" s="121"/>
      <c r="F14" s="121"/>
      <c r="G14" s="121"/>
      <c r="H14" s="121"/>
    </row>
    <row r="15" spans="2:20" ht="17">
      <c r="B15" s="121"/>
      <c r="C15" s="121"/>
      <c r="D15" s="121"/>
      <c r="E15" s="121"/>
      <c r="F15" s="121"/>
      <c r="G15" s="121"/>
      <c r="H15" s="121"/>
    </row>
    <row r="16" spans="2:20" ht="17">
      <c r="B16" s="121"/>
      <c r="C16" s="121"/>
      <c r="D16" s="121"/>
      <c r="E16" s="121"/>
      <c r="F16" s="121"/>
      <c r="G16" s="121"/>
      <c r="H16" s="121"/>
    </row>
    <row r="17" spans="2:10" ht="17">
      <c r="B17" s="121"/>
      <c r="C17" s="121"/>
      <c r="D17" s="121"/>
      <c r="E17" s="121"/>
      <c r="F17" s="121"/>
      <c r="G17" s="121"/>
      <c r="H17" s="121"/>
    </row>
    <row r="18" spans="2:10" ht="17">
      <c r="B18" s="121"/>
      <c r="C18" s="121"/>
      <c r="D18" s="121"/>
      <c r="E18" s="121"/>
      <c r="F18" s="121"/>
      <c r="G18" s="121"/>
      <c r="H18" s="121"/>
    </row>
    <row r="19" spans="2:10" ht="17">
      <c r="B19" s="121"/>
      <c r="C19" s="121"/>
      <c r="D19" s="121"/>
      <c r="E19" s="121"/>
      <c r="F19" s="121"/>
      <c r="G19" s="121"/>
      <c r="H19" s="121"/>
    </row>
    <row r="20" spans="2:10" ht="17">
      <c r="B20" s="121"/>
      <c r="C20" s="121"/>
      <c r="D20" s="121"/>
      <c r="E20" s="121"/>
      <c r="F20" s="121"/>
      <c r="G20" s="121"/>
      <c r="H20" s="121"/>
    </row>
    <row r="21" spans="2:10" ht="17">
      <c r="B21" s="121"/>
      <c r="C21" s="121"/>
      <c r="D21" s="121"/>
      <c r="E21" s="121"/>
      <c r="F21" s="121"/>
      <c r="G21" s="121"/>
      <c r="H21" s="121"/>
    </row>
    <row r="22" spans="2:10" ht="17">
      <c r="B22" s="121"/>
      <c r="C22" s="121"/>
      <c r="D22" s="121"/>
      <c r="E22" s="121"/>
      <c r="F22" s="121"/>
      <c r="G22" s="121"/>
      <c r="H22" s="121"/>
    </row>
    <row r="23" spans="2:10" ht="17">
      <c r="B23" s="121"/>
      <c r="C23" s="121"/>
      <c r="D23" s="121"/>
      <c r="E23" s="121"/>
      <c r="F23" s="121"/>
      <c r="G23" s="121"/>
      <c r="H23" s="121"/>
    </row>
    <row r="24" spans="2:10" ht="17">
      <c r="B24" s="121"/>
      <c r="C24" s="121"/>
      <c r="D24" s="121"/>
      <c r="E24" s="121"/>
      <c r="F24" s="121"/>
      <c r="G24" s="121"/>
      <c r="H24" s="121"/>
    </row>
    <row r="25" spans="2:10" ht="17">
      <c r="B25" s="121"/>
      <c r="C25" s="121"/>
      <c r="D25" s="121"/>
      <c r="E25" s="121"/>
      <c r="F25" s="121"/>
      <c r="G25" s="121"/>
      <c r="H25" s="121"/>
    </row>
    <row r="26" spans="2:10" ht="17">
      <c r="B26" s="121"/>
      <c r="C26" s="121"/>
      <c r="D26" s="121"/>
      <c r="E26" s="121"/>
      <c r="F26" s="121"/>
      <c r="G26" s="121"/>
      <c r="H26" s="121"/>
    </row>
    <row r="27" spans="2:10" ht="17">
      <c r="B27" s="121"/>
      <c r="C27" s="121"/>
      <c r="D27" s="121"/>
      <c r="E27" s="121"/>
      <c r="F27" s="121"/>
      <c r="G27" s="121"/>
      <c r="H27" s="121"/>
    </row>
    <row r="28" spans="2:10" ht="17">
      <c r="B28" s="121"/>
      <c r="C28" s="121"/>
      <c r="D28" s="121"/>
      <c r="E28" s="121"/>
      <c r="F28" s="121"/>
      <c r="G28" s="121"/>
      <c r="H28" s="121"/>
    </row>
    <row r="29" spans="2:10" ht="17">
      <c r="B29" s="121"/>
      <c r="C29" s="121"/>
      <c r="D29" s="121"/>
      <c r="E29" s="121"/>
      <c r="F29" s="121"/>
      <c r="G29" s="121"/>
      <c r="H29" s="121"/>
    </row>
    <row r="30" spans="2:10" ht="18">
      <c r="B30" s="121"/>
      <c r="C30" s="121"/>
      <c r="D30" s="121"/>
      <c r="E30" s="121"/>
      <c r="F30" s="121"/>
      <c r="G30" s="121"/>
      <c r="H30" s="121"/>
      <c r="I30" s="120"/>
      <c r="J30" s="120"/>
    </row>
    <row r="31" spans="2:10" ht="17">
      <c r="B31" s="121"/>
      <c r="C31" s="121"/>
      <c r="D31" s="121"/>
      <c r="E31" s="121"/>
      <c r="F31" s="121"/>
      <c r="G31" s="121"/>
      <c r="H31" s="121"/>
    </row>
    <row r="32" spans="2:10" ht="17">
      <c r="B32" s="121"/>
      <c r="C32" s="121"/>
      <c r="D32" s="121"/>
      <c r="E32" s="121"/>
      <c r="F32" s="121"/>
      <c r="G32" s="121"/>
      <c r="H32" s="121"/>
    </row>
    <row r="33" spans="2:8" ht="17">
      <c r="B33" s="121"/>
      <c r="C33" s="121"/>
      <c r="D33" s="121"/>
      <c r="E33" s="121"/>
      <c r="F33" s="121"/>
      <c r="G33" s="121"/>
      <c r="H33" s="121"/>
    </row>
    <row r="34" spans="2:8" ht="17">
      <c r="B34" s="121"/>
      <c r="C34" s="121"/>
      <c r="D34" s="121"/>
      <c r="E34" s="121"/>
      <c r="F34" s="121"/>
      <c r="G34" s="121"/>
      <c r="H34" s="121"/>
    </row>
    <row r="35" spans="2:8" ht="17">
      <c r="B35" s="121"/>
      <c r="C35" s="121"/>
      <c r="D35" s="121"/>
      <c r="E35" s="121"/>
      <c r="F35" s="121"/>
      <c r="G35" s="121"/>
      <c r="H35" s="121"/>
    </row>
    <row r="36" spans="2:8" ht="17">
      <c r="B36" s="121"/>
      <c r="C36" s="121"/>
      <c r="D36" s="121"/>
      <c r="E36" s="121"/>
      <c r="F36" s="121"/>
      <c r="G36" s="121"/>
      <c r="H36" s="121"/>
    </row>
    <row r="37" spans="2:8" ht="17">
      <c r="B37" s="121"/>
      <c r="C37" s="121"/>
      <c r="D37" s="121"/>
      <c r="E37" s="121"/>
      <c r="F37" s="121"/>
      <c r="G37" s="121"/>
      <c r="H37" s="121"/>
    </row>
    <row r="38" spans="2:8" ht="17">
      <c r="B38" s="121"/>
      <c r="C38" s="121"/>
      <c r="D38" s="121"/>
      <c r="E38" s="121"/>
      <c r="F38" s="121"/>
      <c r="G38" s="121"/>
      <c r="H38" s="121"/>
    </row>
    <row r="39" spans="2:8" ht="17">
      <c r="B39" s="121"/>
      <c r="C39" s="121"/>
      <c r="D39" s="121"/>
      <c r="E39" s="121"/>
      <c r="F39" s="121"/>
      <c r="G39" s="121"/>
      <c r="H39" s="121"/>
    </row>
    <row r="40" spans="2:8" ht="17">
      <c r="B40" s="121"/>
      <c r="C40" s="121"/>
      <c r="D40" s="121"/>
      <c r="E40" s="121"/>
      <c r="F40" s="121"/>
      <c r="G40" s="121"/>
      <c r="H40" s="121"/>
    </row>
    <row r="41" spans="2:8" ht="17">
      <c r="B41" s="121"/>
      <c r="C41" s="121"/>
      <c r="D41" s="121"/>
      <c r="E41" s="121"/>
      <c r="F41" s="121"/>
      <c r="G41" s="121"/>
      <c r="H41" s="121"/>
    </row>
    <row r="42" spans="2:8" ht="17">
      <c r="B42" s="121"/>
      <c r="C42" s="121"/>
      <c r="D42" s="121"/>
      <c r="E42" s="121"/>
      <c r="F42" s="121"/>
      <c r="G42" s="121"/>
      <c r="H42" s="121"/>
    </row>
    <row r="43" spans="2:8" ht="17">
      <c r="B43" s="121"/>
      <c r="C43" s="121"/>
      <c r="D43" s="121"/>
      <c r="E43" s="121"/>
      <c r="F43" s="121"/>
      <c r="G43" s="121"/>
      <c r="H43" s="121"/>
    </row>
    <row r="44" spans="2:8" ht="17">
      <c r="B44" s="121"/>
      <c r="C44" s="121"/>
      <c r="D44" s="121"/>
      <c r="E44" s="121"/>
      <c r="F44" s="121"/>
      <c r="G44" s="121"/>
      <c r="H44" s="121"/>
    </row>
    <row r="45" spans="2:8" ht="17">
      <c r="B45" s="121"/>
      <c r="C45" s="121"/>
      <c r="D45" s="121"/>
      <c r="E45" s="121"/>
      <c r="F45" s="121"/>
      <c r="G45" s="121"/>
      <c r="H45" s="121"/>
    </row>
    <row r="46" spans="2:8" ht="17">
      <c r="B46" s="121"/>
      <c r="C46" s="121"/>
      <c r="D46" s="121"/>
      <c r="E46" s="121"/>
      <c r="F46" s="121"/>
      <c r="G46" s="121"/>
      <c r="H46" s="121"/>
    </row>
    <row r="47" spans="2:8" ht="17">
      <c r="B47" s="121"/>
      <c r="C47" s="121"/>
      <c r="D47" s="121"/>
      <c r="E47" s="121"/>
      <c r="F47" s="121"/>
      <c r="G47" s="121"/>
      <c r="H47" s="121"/>
    </row>
    <row r="48" spans="2:8" ht="17">
      <c r="B48" s="121"/>
      <c r="C48" s="121"/>
      <c r="D48" s="121"/>
      <c r="E48" s="121"/>
      <c r="F48" s="121"/>
      <c r="G48" s="121"/>
      <c r="H48" s="121"/>
    </row>
    <row r="49" spans="2:8" ht="17">
      <c r="B49" s="121"/>
      <c r="C49" s="121"/>
      <c r="D49" s="121"/>
      <c r="E49" s="121"/>
      <c r="F49" s="121"/>
      <c r="G49" s="121"/>
      <c r="H49" s="121"/>
    </row>
    <row r="50" spans="2:8" ht="17">
      <c r="B50" s="121"/>
      <c r="C50" s="121"/>
      <c r="D50" s="121"/>
      <c r="E50" s="121"/>
      <c r="F50" s="121"/>
      <c r="G50" s="121"/>
      <c r="H50" s="121"/>
    </row>
    <row r="51" spans="2:8" ht="17">
      <c r="B51" s="121"/>
      <c r="C51" s="121"/>
      <c r="D51" s="121"/>
      <c r="E51" s="121"/>
      <c r="F51" s="121"/>
      <c r="G51" s="121"/>
      <c r="H51" s="121"/>
    </row>
    <row r="52" spans="2:8" ht="17">
      <c r="B52" s="121"/>
      <c r="C52" s="121"/>
      <c r="D52" s="121"/>
      <c r="E52" s="121"/>
      <c r="F52" s="121"/>
      <c r="G52" s="121"/>
      <c r="H52" s="121"/>
    </row>
    <row r="53" spans="2:8" ht="17">
      <c r="B53" s="121"/>
      <c r="C53" s="121"/>
      <c r="D53" s="121"/>
      <c r="E53" s="121"/>
      <c r="F53" s="121"/>
      <c r="G53" s="121"/>
      <c r="H53" s="121"/>
    </row>
    <row r="54" spans="2:8" ht="17">
      <c r="B54" s="121"/>
      <c r="C54" s="121"/>
      <c r="D54" s="121"/>
      <c r="E54" s="121"/>
      <c r="F54" s="121"/>
      <c r="G54" s="121"/>
      <c r="H54" s="121"/>
    </row>
    <row r="55" spans="2:8" ht="17">
      <c r="B55" s="121"/>
      <c r="C55" s="121"/>
      <c r="D55" s="121"/>
      <c r="E55" s="121"/>
      <c r="F55" s="121"/>
      <c r="G55" s="121"/>
      <c r="H55" s="121"/>
    </row>
    <row r="56" spans="2:8" ht="17">
      <c r="B56" s="121"/>
      <c r="C56" s="121"/>
      <c r="D56" s="121"/>
      <c r="E56" s="121"/>
      <c r="F56" s="121"/>
      <c r="G56" s="121"/>
      <c r="H56" s="121"/>
    </row>
    <row r="57" spans="2:8" ht="17">
      <c r="B57" s="121"/>
      <c r="C57" s="121"/>
      <c r="D57" s="121"/>
      <c r="E57" s="121"/>
      <c r="F57" s="121"/>
      <c r="G57" s="121"/>
      <c r="H57" s="121"/>
    </row>
    <row r="58" spans="2:8" ht="17">
      <c r="B58" s="121"/>
      <c r="C58" s="121"/>
      <c r="D58" s="121"/>
      <c r="E58" s="121"/>
      <c r="F58" s="121"/>
      <c r="G58" s="121"/>
      <c r="H58" s="121"/>
    </row>
    <row r="59" spans="2:8" ht="17">
      <c r="B59" s="121"/>
      <c r="C59" s="121"/>
      <c r="D59" s="121"/>
      <c r="E59" s="121"/>
      <c r="F59" s="121"/>
      <c r="G59" s="121"/>
      <c r="H59" s="121"/>
    </row>
    <row r="60" spans="2:8" ht="17">
      <c r="B60" s="121"/>
      <c r="C60" s="121"/>
      <c r="D60" s="121"/>
      <c r="E60" s="121"/>
      <c r="F60" s="121"/>
      <c r="G60" s="121"/>
      <c r="H60" s="121"/>
    </row>
    <row r="61" spans="2:8" ht="17">
      <c r="B61" s="121"/>
      <c r="C61" s="121"/>
      <c r="D61" s="121"/>
      <c r="E61" s="121"/>
      <c r="F61" s="121"/>
      <c r="G61" s="121"/>
      <c r="H61" s="121"/>
    </row>
    <row r="62" spans="2:8" ht="17">
      <c r="B62" s="121"/>
      <c r="C62" s="121"/>
      <c r="D62" s="121"/>
      <c r="E62" s="121"/>
      <c r="F62" s="121"/>
      <c r="G62" s="121"/>
      <c r="H62" s="121"/>
    </row>
    <row r="63" spans="2:8" ht="17">
      <c r="B63" s="121"/>
      <c r="C63" s="121"/>
      <c r="D63" s="121"/>
      <c r="E63" s="121"/>
      <c r="F63" s="121"/>
      <c r="G63" s="121"/>
      <c r="H63" s="121"/>
    </row>
    <row r="64" spans="2:8" ht="17">
      <c r="B64" s="121"/>
      <c r="C64" s="121"/>
      <c r="D64" s="121"/>
      <c r="E64" s="121"/>
      <c r="F64" s="121"/>
      <c r="G64" s="121"/>
      <c r="H64" s="121"/>
    </row>
    <row r="65" spans="2:8" ht="17">
      <c r="B65" s="121"/>
      <c r="C65" s="121"/>
      <c r="D65" s="121"/>
      <c r="E65" s="121"/>
      <c r="F65" s="121"/>
      <c r="G65" s="121"/>
      <c r="H65" s="121"/>
    </row>
    <row r="66" spans="2:8" ht="17">
      <c r="B66" s="121"/>
      <c r="C66" s="121"/>
      <c r="D66" s="121"/>
      <c r="E66" s="121"/>
      <c r="F66" s="121"/>
      <c r="G66" s="121"/>
      <c r="H66" s="121"/>
    </row>
    <row r="67" spans="2:8" ht="17">
      <c r="B67" s="121"/>
      <c r="C67" s="121"/>
      <c r="D67" s="121"/>
      <c r="E67" s="121"/>
      <c r="F67" s="121"/>
      <c r="G67" s="121"/>
      <c r="H67" s="121"/>
    </row>
    <row r="68" spans="2:8" ht="17">
      <c r="B68" s="121"/>
      <c r="C68" s="121"/>
      <c r="D68" s="121"/>
      <c r="E68" s="121"/>
      <c r="F68" s="121"/>
      <c r="G68" s="121"/>
      <c r="H68" s="121"/>
    </row>
    <row r="69" spans="2:8" ht="17">
      <c r="B69" s="121"/>
      <c r="C69" s="121"/>
      <c r="D69" s="121"/>
      <c r="E69" s="121"/>
      <c r="F69" s="121"/>
      <c r="G69" s="121"/>
      <c r="H69" s="121"/>
    </row>
    <row r="70" spans="2:8" ht="17">
      <c r="B70" s="121"/>
      <c r="C70" s="121"/>
      <c r="D70" s="121"/>
      <c r="E70" s="121"/>
      <c r="F70" s="121"/>
      <c r="G70" s="121"/>
      <c r="H70" s="121"/>
    </row>
    <row r="71" spans="2:8" ht="17">
      <c r="B71" s="121"/>
      <c r="C71" s="121"/>
      <c r="D71" s="121"/>
      <c r="E71" s="121"/>
      <c r="F71" s="121"/>
      <c r="G71" s="121"/>
      <c r="H71" s="121"/>
    </row>
    <row r="72" spans="2:8" ht="17">
      <c r="B72" s="121"/>
      <c r="C72" s="121"/>
      <c r="D72" s="121"/>
      <c r="E72" s="121"/>
      <c r="F72" s="121"/>
      <c r="G72" s="121"/>
      <c r="H72" s="121"/>
    </row>
    <row r="73" spans="2:8" ht="17">
      <c r="B73" s="121"/>
      <c r="C73" s="121"/>
      <c r="D73" s="121"/>
      <c r="E73" s="121"/>
      <c r="F73" s="121"/>
      <c r="G73" s="121"/>
      <c r="H73" s="121"/>
    </row>
    <row r="74" spans="2:8" ht="17">
      <c r="B74" s="121"/>
      <c r="C74" s="121"/>
      <c r="D74" s="121"/>
      <c r="E74" s="121"/>
      <c r="F74" s="121"/>
      <c r="G74" s="121"/>
      <c r="H74" s="121"/>
    </row>
    <row r="75" spans="2:8" ht="17">
      <c r="B75" s="121"/>
      <c r="C75" s="121"/>
      <c r="D75" s="121"/>
      <c r="E75" s="121"/>
      <c r="F75" s="121"/>
      <c r="G75" s="121"/>
      <c r="H75" s="121"/>
    </row>
    <row r="76" spans="2:8" ht="17">
      <c r="B76" s="121"/>
      <c r="C76" s="121"/>
      <c r="D76" s="121"/>
      <c r="E76" s="121"/>
      <c r="F76" s="121"/>
      <c r="G76" s="121"/>
      <c r="H76" s="121"/>
    </row>
    <row r="77" spans="2:8" ht="17">
      <c r="B77" s="121"/>
      <c r="C77" s="121"/>
      <c r="D77" s="121"/>
      <c r="E77" s="121"/>
      <c r="F77" s="121"/>
      <c r="G77" s="121"/>
      <c r="H77" s="121"/>
    </row>
    <row r="78" spans="2:8" ht="17">
      <c r="B78" s="121"/>
      <c r="C78" s="121"/>
      <c r="D78" s="121"/>
      <c r="E78" s="121"/>
      <c r="F78" s="121"/>
      <c r="G78" s="121"/>
      <c r="H78" s="121"/>
    </row>
    <row r="79" spans="2:8" ht="17">
      <c r="B79" s="121"/>
      <c r="C79" s="121"/>
      <c r="D79" s="121"/>
      <c r="E79" s="121"/>
      <c r="F79" s="121"/>
      <c r="G79" s="121"/>
      <c r="H79" s="121"/>
    </row>
    <row r="80" spans="2:8" ht="17">
      <c r="B80" s="121"/>
      <c r="C80" s="121"/>
      <c r="D80" s="121"/>
      <c r="E80" s="121"/>
      <c r="F80" s="121"/>
      <c r="G80" s="121"/>
      <c r="H80" s="121"/>
    </row>
    <row r="81" spans="2:8" ht="17">
      <c r="B81" s="121"/>
      <c r="C81" s="121"/>
      <c r="D81" s="121"/>
      <c r="E81" s="121"/>
      <c r="F81" s="121"/>
      <c r="G81" s="121"/>
      <c r="H81" s="121"/>
    </row>
    <row r="82" spans="2:8" ht="17">
      <c r="B82" s="121"/>
      <c r="C82" s="121"/>
      <c r="D82" s="121"/>
      <c r="E82" s="121"/>
      <c r="F82" s="121"/>
      <c r="G82" s="121"/>
      <c r="H82" s="121"/>
    </row>
    <row r="83" spans="2:8" ht="17">
      <c r="B83" s="121"/>
      <c r="C83" s="121"/>
      <c r="D83" s="121"/>
      <c r="E83" s="121"/>
      <c r="F83" s="121"/>
      <c r="G83" s="121"/>
      <c r="H83" s="121"/>
    </row>
    <row r="84" spans="2:8" ht="17">
      <c r="B84" s="121"/>
      <c r="C84" s="121"/>
      <c r="D84" s="121"/>
      <c r="E84" s="121"/>
      <c r="F84" s="121"/>
      <c r="G84" s="121"/>
      <c r="H84" s="121"/>
    </row>
    <row r="85" spans="2:8" ht="17">
      <c r="B85" s="121"/>
      <c r="C85" s="121"/>
      <c r="D85" s="121"/>
      <c r="E85" s="121"/>
      <c r="F85" s="121"/>
      <c r="G85" s="121"/>
      <c r="H85" s="121"/>
    </row>
    <row r="86" spans="2:8" ht="17">
      <c r="B86" s="121"/>
      <c r="C86" s="121"/>
      <c r="D86" s="121"/>
      <c r="E86" s="121"/>
      <c r="F86" s="121"/>
      <c r="G86" s="121"/>
      <c r="H86" s="121"/>
    </row>
    <row r="87" spans="2:8" ht="17">
      <c r="B87" s="121"/>
      <c r="C87" s="121"/>
      <c r="D87" s="121"/>
      <c r="E87" s="121"/>
      <c r="F87" s="121"/>
      <c r="G87" s="121"/>
      <c r="H87" s="121"/>
    </row>
    <row r="88" spans="2:8" ht="17">
      <c r="B88" s="121"/>
      <c r="C88" s="121"/>
      <c r="D88" s="121"/>
      <c r="E88" s="121"/>
      <c r="F88" s="121"/>
      <c r="G88" s="121"/>
      <c r="H88" s="121"/>
    </row>
    <row r="89" spans="2:8" ht="17">
      <c r="B89" s="121"/>
      <c r="C89" s="121"/>
      <c r="D89" s="121"/>
      <c r="E89" s="121"/>
      <c r="F89" s="121"/>
      <c r="G89" s="121"/>
      <c r="H89" s="121"/>
    </row>
    <row r="90" spans="2:8" ht="17">
      <c r="B90" s="121"/>
      <c r="C90" s="121"/>
      <c r="D90" s="121"/>
      <c r="E90" s="121"/>
      <c r="F90" s="121"/>
      <c r="G90" s="121"/>
      <c r="H90" s="121"/>
    </row>
    <row r="91" spans="2:8" ht="17">
      <c r="B91" s="121"/>
      <c r="C91" s="121"/>
      <c r="D91" s="121"/>
      <c r="E91" s="121"/>
      <c r="F91" s="121"/>
      <c r="G91" s="121"/>
      <c r="H91" s="121"/>
    </row>
    <row r="92" spans="2:8" ht="17">
      <c r="B92" s="121"/>
      <c r="C92" s="121"/>
      <c r="D92" s="121"/>
      <c r="E92" s="121"/>
      <c r="F92" s="121"/>
      <c r="G92" s="121"/>
      <c r="H92" s="121"/>
    </row>
    <row r="93" spans="2:8" ht="17">
      <c r="B93" s="121"/>
      <c r="C93" s="121"/>
      <c r="D93" s="121"/>
      <c r="E93" s="121"/>
      <c r="F93" s="121"/>
      <c r="G93" s="121"/>
      <c r="H93" s="121"/>
    </row>
    <row r="94" spans="2:8" ht="17">
      <c r="B94" s="121"/>
      <c r="C94" s="121"/>
      <c r="D94" s="121"/>
      <c r="E94" s="121"/>
      <c r="F94" s="121"/>
      <c r="G94" s="121"/>
      <c r="H94" s="121"/>
    </row>
    <row r="95" spans="2:8" ht="17">
      <c r="B95" s="121"/>
      <c r="C95" s="121"/>
      <c r="D95" s="121"/>
      <c r="E95" s="121"/>
      <c r="F95" s="121"/>
      <c r="G95" s="121"/>
      <c r="H95" s="121"/>
    </row>
    <row r="96" spans="2:8" ht="17">
      <c r="B96" s="121"/>
      <c r="C96" s="121"/>
      <c r="D96" s="121"/>
      <c r="E96" s="121"/>
      <c r="F96" s="121"/>
      <c r="G96" s="121"/>
      <c r="H96" s="121"/>
    </row>
    <row r="97" spans="2:8" ht="17">
      <c r="B97" s="121"/>
      <c r="C97" s="121"/>
      <c r="D97" s="121"/>
      <c r="E97" s="121"/>
      <c r="F97" s="121"/>
      <c r="G97" s="121"/>
      <c r="H97" s="121"/>
    </row>
    <row r="98" spans="2:8" ht="17">
      <c r="B98" s="121"/>
      <c r="C98" s="121"/>
      <c r="D98" s="121"/>
      <c r="E98" s="121"/>
      <c r="F98" s="121"/>
      <c r="G98" s="121"/>
      <c r="H98" s="121"/>
    </row>
    <row r="99" spans="2:8" ht="17">
      <c r="B99" s="121"/>
      <c r="C99" s="121"/>
      <c r="D99" s="121"/>
      <c r="E99" s="121"/>
      <c r="F99" s="121"/>
      <c r="G99" s="121"/>
      <c r="H99" s="121"/>
    </row>
    <row r="100" spans="2:8" ht="17">
      <c r="B100" s="121"/>
      <c r="C100" s="121"/>
      <c r="D100" s="121"/>
      <c r="E100" s="121"/>
      <c r="F100" s="121"/>
      <c r="G100" s="121"/>
      <c r="H100" s="121"/>
    </row>
    <row r="101" spans="2:8" ht="17">
      <c r="B101" s="121"/>
      <c r="C101" s="121"/>
      <c r="D101" s="121"/>
      <c r="E101" s="121"/>
      <c r="F101" s="121"/>
      <c r="G101" s="121"/>
      <c r="H101" s="121"/>
    </row>
    <row r="102" spans="2:8" ht="17">
      <c r="B102" s="121"/>
      <c r="C102" s="121"/>
      <c r="D102" s="121"/>
      <c r="E102" s="121"/>
      <c r="F102" s="121"/>
      <c r="G102" s="121"/>
      <c r="H102" s="121"/>
    </row>
    <row r="103" spans="2:8" ht="17">
      <c r="B103" s="121"/>
      <c r="C103" s="121"/>
      <c r="D103" s="121"/>
      <c r="E103" s="121"/>
      <c r="F103" s="121"/>
      <c r="G103" s="121"/>
      <c r="H103" s="121"/>
    </row>
    <row r="104" spans="2:8" ht="17">
      <c r="B104" s="121"/>
      <c r="C104" s="121"/>
      <c r="D104" s="121"/>
      <c r="E104" s="121"/>
      <c r="F104" s="121"/>
      <c r="G104" s="121"/>
      <c r="H104" s="121"/>
    </row>
    <row r="105" spans="2:8" ht="17">
      <c r="B105" s="121"/>
      <c r="C105" s="121"/>
      <c r="D105" s="121"/>
      <c r="E105" s="121"/>
      <c r="F105" s="121"/>
      <c r="G105" s="121"/>
      <c r="H105" s="121"/>
    </row>
    <row r="106" spans="2:8" ht="17">
      <c r="B106" s="121"/>
      <c r="C106" s="121"/>
      <c r="D106" s="121"/>
      <c r="E106" s="121"/>
      <c r="F106" s="121"/>
      <c r="G106" s="121"/>
      <c r="H106" s="121"/>
    </row>
    <row r="107" spans="2:8" ht="17">
      <c r="B107" s="121"/>
      <c r="C107" s="121"/>
      <c r="D107" s="121"/>
      <c r="E107" s="121"/>
      <c r="F107" s="121"/>
      <c r="G107" s="121"/>
      <c r="H107" s="121"/>
    </row>
    <row r="108" spans="2:8" ht="17">
      <c r="B108" s="121"/>
      <c r="C108" s="121"/>
      <c r="D108" s="121"/>
      <c r="E108" s="121"/>
      <c r="F108" s="121"/>
      <c r="G108" s="121"/>
      <c r="H108" s="121"/>
    </row>
    <row r="109" spans="2:8" ht="17">
      <c r="B109" s="121"/>
      <c r="C109" s="121"/>
      <c r="D109" s="121"/>
      <c r="E109" s="121"/>
      <c r="F109" s="121"/>
      <c r="G109" s="121"/>
      <c r="H109" s="121"/>
    </row>
    <row r="110" spans="2:8" ht="17">
      <c r="B110" s="121"/>
      <c r="C110" s="121"/>
      <c r="D110" s="121"/>
      <c r="E110" s="121"/>
      <c r="F110" s="121"/>
      <c r="G110" s="121"/>
      <c r="H110" s="121"/>
    </row>
    <row r="111" spans="2:8" ht="17">
      <c r="B111" s="121"/>
      <c r="C111" s="121"/>
      <c r="D111" s="121"/>
      <c r="E111" s="121"/>
      <c r="F111" s="121"/>
      <c r="G111" s="121"/>
      <c r="H111" s="121"/>
    </row>
    <row r="112" spans="2:8" ht="17">
      <c r="B112" s="121"/>
      <c r="C112" s="121"/>
      <c r="D112" s="121"/>
      <c r="E112" s="121"/>
      <c r="F112" s="121"/>
      <c r="G112" s="121"/>
      <c r="H112" s="121"/>
    </row>
    <row r="113" spans="2:8" ht="17">
      <c r="B113" s="121"/>
      <c r="C113" s="121"/>
      <c r="D113" s="121"/>
      <c r="E113" s="121"/>
      <c r="F113" s="121"/>
      <c r="G113" s="121"/>
      <c r="H113" s="121"/>
    </row>
    <row r="114" spans="2:8" ht="17">
      <c r="B114" s="121"/>
      <c r="C114" s="121"/>
      <c r="D114" s="121"/>
      <c r="E114" s="121"/>
      <c r="F114" s="121"/>
      <c r="G114" s="121"/>
      <c r="H114" s="121"/>
    </row>
    <row r="115" spans="2:8" ht="17">
      <c r="B115" s="121"/>
      <c r="C115" s="121"/>
      <c r="D115" s="121"/>
      <c r="E115" s="121"/>
      <c r="F115" s="121"/>
      <c r="G115" s="121"/>
      <c r="H115" s="121"/>
    </row>
    <row r="116" spans="2:8" ht="17">
      <c r="B116" s="121"/>
      <c r="C116" s="121"/>
      <c r="D116" s="121"/>
      <c r="E116" s="121"/>
      <c r="F116" s="121"/>
      <c r="G116" s="121"/>
      <c r="H116" s="121"/>
    </row>
    <row r="117" spans="2:8" ht="17">
      <c r="B117" s="121"/>
      <c r="C117" s="121"/>
      <c r="D117" s="121"/>
      <c r="E117" s="121"/>
      <c r="F117" s="121"/>
      <c r="G117" s="121"/>
      <c r="H117" s="121"/>
    </row>
    <row r="118" spans="2:8" ht="17">
      <c r="B118" s="121"/>
      <c r="C118" s="121"/>
      <c r="D118" s="121"/>
      <c r="E118" s="121"/>
      <c r="F118" s="121"/>
      <c r="G118" s="121"/>
      <c r="H118" s="121"/>
    </row>
    <row r="119" spans="2:8" ht="17">
      <c r="B119" s="121"/>
      <c r="C119" s="121"/>
      <c r="D119" s="121"/>
      <c r="E119" s="121"/>
      <c r="F119" s="121"/>
      <c r="G119" s="121"/>
      <c r="H119" s="121"/>
    </row>
    <row r="120" spans="2:8" ht="17">
      <c r="B120" s="121"/>
      <c r="C120" s="121"/>
      <c r="D120" s="121"/>
      <c r="E120" s="121"/>
      <c r="F120" s="121"/>
      <c r="G120" s="121"/>
      <c r="H120" s="121"/>
    </row>
    <row r="121" spans="2:8" ht="17">
      <c r="B121" s="121"/>
      <c r="C121" s="121"/>
      <c r="D121" s="121"/>
      <c r="E121" s="121"/>
      <c r="F121" s="121"/>
      <c r="G121" s="121"/>
      <c r="H121" s="121"/>
    </row>
    <row r="122" spans="2:8" ht="17">
      <c r="B122" s="121"/>
      <c r="C122" s="121"/>
      <c r="D122" s="121"/>
      <c r="E122" s="121"/>
      <c r="F122" s="121"/>
      <c r="G122" s="121"/>
      <c r="H122" s="121"/>
    </row>
    <row r="123" spans="2:8" ht="17">
      <c r="B123" s="121"/>
      <c r="C123" s="121"/>
      <c r="D123" s="121"/>
      <c r="E123" s="121"/>
      <c r="F123" s="121"/>
      <c r="G123" s="121"/>
      <c r="H123" s="121"/>
    </row>
    <row r="124" spans="2:8" ht="17">
      <c r="B124" s="121"/>
      <c r="C124" s="121"/>
      <c r="D124" s="121"/>
      <c r="E124" s="121"/>
      <c r="F124" s="121"/>
      <c r="G124" s="121"/>
      <c r="H124" s="121"/>
    </row>
    <row r="125" spans="2:8" ht="17">
      <c r="B125" s="121"/>
      <c r="C125" s="121"/>
      <c r="D125" s="121"/>
      <c r="E125" s="121"/>
      <c r="F125" s="121"/>
      <c r="G125" s="121"/>
      <c r="H125" s="121"/>
    </row>
    <row r="126" spans="2:8" ht="17">
      <c r="B126" s="121"/>
      <c r="C126" s="121"/>
      <c r="D126" s="121"/>
      <c r="E126" s="121"/>
      <c r="F126" s="121"/>
      <c r="G126" s="121"/>
      <c r="H126" s="121"/>
    </row>
    <row r="127" spans="2:8" ht="17">
      <c r="B127" s="121"/>
      <c r="C127" s="121"/>
      <c r="D127" s="121"/>
      <c r="E127" s="121"/>
      <c r="F127" s="121"/>
      <c r="G127" s="121"/>
      <c r="H127" s="121"/>
    </row>
    <row r="128" spans="2:8" ht="17">
      <c r="B128" s="121"/>
      <c r="C128" s="121"/>
      <c r="D128" s="121"/>
      <c r="E128" s="121"/>
      <c r="F128" s="121"/>
      <c r="G128" s="121"/>
      <c r="H128" s="121"/>
    </row>
    <row r="129" spans="2:8" ht="17">
      <c r="B129" s="121"/>
      <c r="C129" s="121"/>
      <c r="D129" s="121"/>
      <c r="E129" s="121"/>
      <c r="F129" s="121"/>
      <c r="G129" s="121"/>
      <c r="H129" s="121"/>
    </row>
    <row r="130" spans="2:8" ht="17">
      <c r="B130" s="121"/>
      <c r="C130" s="121"/>
      <c r="D130" s="121"/>
      <c r="E130" s="121"/>
      <c r="F130" s="121"/>
      <c r="G130" s="121"/>
      <c r="H130" s="121"/>
    </row>
    <row r="131" spans="2:8" ht="17">
      <c r="B131" s="121"/>
      <c r="C131" s="121"/>
      <c r="D131" s="121"/>
      <c r="E131" s="121"/>
      <c r="F131" s="121"/>
      <c r="G131" s="121"/>
      <c r="H131" s="121"/>
    </row>
    <row r="132" spans="2:8" ht="17">
      <c r="B132" s="121"/>
      <c r="C132" s="121"/>
      <c r="D132" s="121"/>
      <c r="E132" s="121"/>
      <c r="F132" s="121"/>
      <c r="G132" s="121"/>
      <c r="H132" s="121"/>
    </row>
    <row r="133" spans="2:8" ht="17">
      <c r="B133" s="121"/>
      <c r="C133" s="121"/>
      <c r="D133" s="121"/>
      <c r="E133" s="121"/>
      <c r="F133" s="121"/>
      <c r="G133" s="121"/>
      <c r="H133" s="121"/>
    </row>
    <row r="134" spans="2:8" ht="17">
      <c r="B134" s="121"/>
      <c r="C134" s="121"/>
      <c r="D134" s="121"/>
      <c r="E134" s="121"/>
      <c r="F134" s="121"/>
      <c r="G134" s="121"/>
      <c r="H134" s="121"/>
    </row>
    <row r="135" spans="2:8" ht="17">
      <c r="B135" s="121"/>
      <c r="C135" s="121"/>
      <c r="D135" s="121"/>
      <c r="E135" s="121"/>
      <c r="F135" s="121"/>
      <c r="G135" s="121"/>
      <c r="H135" s="121"/>
    </row>
    <row r="136" spans="2:8" ht="17">
      <c r="B136" s="121"/>
      <c r="C136" s="121"/>
      <c r="D136" s="121"/>
      <c r="E136" s="121"/>
      <c r="F136" s="121"/>
      <c r="G136" s="121"/>
      <c r="H136" s="121"/>
    </row>
    <row r="137" spans="2:8" ht="17">
      <c r="B137" s="121"/>
      <c r="C137" s="121"/>
      <c r="D137" s="121"/>
      <c r="E137" s="121"/>
      <c r="F137" s="121"/>
      <c r="G137" s="121"/>
      <c r="H137" s="121"/>
    </row>
    <row r="138" spans="2:8" ht="17">
      <c r="B138" s="121"/>
      <c r="C138" s="121"/>
      <c r="D138" s="121"/>
      <c r="E138" s="121"/>
      <c r="F138" s="121"/>
      <c r="G138" s="121"/>
      <c r="H138" s="121"/>
    </row>
    <row r="139" spans="2:8" ht="17">
      <c r="B139" s="121"/>
      <c r="C139" s="121"/>
      <c r="D139" s="121"/>
      <c r="E139" s="121"/>
      <c r="F139" s="121"/>
      <c r="G139" s="121"/>
      <c r="H139" s="121"/>
    </row>
    <row r="140" spans="2:8" ht="17">
      <c r="B140" s="121"/>
      <c r="C140" s="121"/>
      <c r="D140" s="121"/>
      <c r="E140" s="121"/>
      <c r="F140" s="121"/>
      <c r="G140" s="121"/>
      <c r="H140" s="121"/>
    </row>
    <row r="141" spans="2:8" ht="17">
      <c r="B141" s="121"/>
      <c r="C141" s="121"/>
      <c r="D141" s="121"/>
      <c r="E141" s="121"/>
      <c r="F141" s="121"/>
      <c r="G141" s="121"/>
      <c r="H141" s="121"/>
    </row>
    <row r="142" spans="2:8" ht="17">
      <c r="B142" s="121"/>
      <c r="C142" s="121"/>
      <c r="D142" s="121"/>
      <c r="E142" s="121"/>
      <c r="F142" s="121"/>
      <c r="G142" s="121"/>
      <c r="H142" s="121"/>
    </row>
    <row r="143" spans="2:8" ht="17">
      <c r="B143" s="121"/>
      <c r="C143" s="121"/>
      <c r="D143" s="121"/>
      <c r="E143" s="121"/>
      <c r="F143" s="121"/>
      <c r="G143" s="121"/>
      <c r="H143" s="121"/>
    </row>
    <row r="144" spans="2:8" ht="17">
      <c r="B144" s="121"/>
      <c r="C144" s="121"/>
      <c r="D144" s="121"/>
      <c r="E144" s="121"/>
      <c r="F144" s="121"/>
      <c r="G144" s="121"/>
      <c r="H144" s="121"/>
    </row>
    <row r="145" spans="2:8" ht="17">
      <c r="B145" s="121"/>
      <c r="C145" s="121"/>
      <c r="D145" s="121"/>
      <c r="E145" s="121"/>
      <c r="F145" s="121"/>
      <c r="G145" s="121"/>
      <c r="H145" s="121"/>
    </row>
    <row r="146" spans="2:8" ht="17">
      <c r="B146" s="121"/>
      <c r="C146" s="121"/>
      <c r="D146" s="121"/>
      <c r="E146" s="121"/>
      <c r="F146" s="121"/>
      <c r="G146" s="121"/>
      <c r="H146" s="121"/>
    </row>
    <row r="147" spans="2:8" ht="17">
      <c r="B147" s="121"/>
      <c r="C147" s="121"/>
      <c r="D147" s="121"/>
      <c r="E147" s="121"/>
      <c r="F147" s="121"/>
      <c r="G147" s="121"/>
      <c r="H147" s="121"/>
    </row>
    <row r="148" spans="2:8" ht="17">
      <c r="B148" s="121"/>
      <c r="C148" s="121"/>
      <c r="D148" s="121"/>
      <c r="E148" s="121"/>
      <c r="F148" s="121"/>
      <c r="G148" s="121"/>
      <c r="H148" s="121"/>
    </row>
    <row r="149" spans="2:8" ht="17">
      <c r="B149" s="121"/>
      <c r="C149" s="121"/>
      <c r="D149" s="121"/>
      <c r="E149" s="121"/>
      <c r="F149" s="121"/>
      <c r="G149" s="121"/>
      <c r="H149" s="121"/>
    </row>
  </sheetData>
  <mergeCells count="1">
    <mergeCell ref="C1:T1"/>
  </mergeCells>
  <phoneticPr fontId="41" type="noConversion"/>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
  <sheetViews>
    <sheetView topLeftCell="B1" zoomScale="150" workbookViewId="0">
      <selection activeCell="I4" sqref="I4"/>
    </sheetView>
  </sheetViews>
  <sheetFormatPr baseColWidth="10" defaultColWidth="8.83203125" defaultRowHeight="14" x14ac:dyDescent="0"/>
  <cols>
    <col min="1" max="1" width="13.83203125" customWidth="1"/>
    <col min="2" max="2" width="10.83203125" customWidth="1"/>
    <col min="3" max="3" width="8.5" customWidth="1"/>
    <col min="4" max="4" width="15" customWidth="1"/>
    <col min="5" max="5" width="15.33203125" customWidth="1"/>
    <col min="6" max="6" width="16.6640625" customWidth="1"/>
    <col min="7" max="7" width="10.1640625" customWidth="1"/>
    <col min="8" max="8" width="12.5" customWidth="1"/>
    <col min="9" max="9" width="14.6640625" customWidth="1"/>
    <col min="10" max="10" width="14.33203125" customWidth="1"/>
    <col min="11" max="11" width="11.5" customWidth="1"/>
    <col min="12" max="12" width="12.5" customWidth="1"/>
    <col min="13" max="13" width="14.1640625" customWidth="1"/>
    <col min="14" max="14" width="13.33203125" customWidth="1"/>
    <col min="15" max="15" width="12.33203125" customWidth="1"/>
    <col min="16" max="16" width="16.1640625" customWidth="1"/>
    <col min="17" max="17" width="14.83203125" customWidth="1"/>
    <col min="18" max="18" width="18.83203125" customWidth="1"/>
    <col min="19" max="19" width="17.33203125" customWidth="1"/>
    <col min="20" max="20" width="13.83203125" customWidth="1"/>
    <col min="21" max="21" width="17" customWidth="1"/>
    <col min="22" max="22" width="13.6640625" customWidth="1"/>
    <col min="23" max="23" width="15.5" customWidth="1"/>
    <col min="24" max="24" width="18.1640625" customWidth="1"/>
    <col min="25" max="25" width="12.33203125" customWidth="1"/>
    <col min="26" max="26" width="16.33203125" customWidth="1"/>
    <col min="27" max="27" width="13.5" customWidth="1"/>
    <col min="28" max="28" width="11.6640625" customWidth="1"/>
    <col min="29" max="29" width="10.33203125" customWidth="1"/>
    <col min="30" max="30" width="13.6640625" customWidth="1"/>
    <col min="31" max="31" width="16.33203125" customWidth="1"/>
    <col min="32" max="33" width="17.1640625" customWidth="1"/>
    <col min="34" max="34" width="14.5" customWidth="1"/>
    <col min="35" max="35" width="14.1640625" customWidth="1"/>
    <col min="36" max="36" width="14" customWidth="1"/>
    <col min="37" max="37" width="13.6640625" customWidth="1"/>
    <col min="38" max="39" width="13.83203125" customWidth="1"/>
    <col min="40" max="40" width="11.33203125" customWidth="1"/>
    <col min="41" max="41" width="11" customWidth="1"/>
    <col min="42" max="42" width="16.33203125" customWidth="1"/>
    <col min="43" max="43" width="12.33203125" customWidth="1"/>
    <col min="44" max="44" width="15.1640625" customWidth="1"/>
    <col min="45" max="45" width="13.5" customWidth="1"/>
    <col min="46" max="46" width="11.83203125" customWidth="1"/>
  </cols>
  <sheetData>
    <row r="1" spans="1:21" ht="15" thickBot="1"/>
    <row r="2" spans="1:21" ht="15">
      <c r="B2" s="216" t="s">
        <v>189</v>
      </c>
      <c r="C2" s="217"/>
      <c r="D2" s="217"/>
      <c r="E2" s="217"/>
      <c r="F2" s="217"/>
      <c r="G2" s="217"/>
      <c r="H2" s="218"/>
    </row>
    <row r="3" spans="1:21" s="8" customFormat="1">
      <c r="B3" s="59">
        <v>1</v>
      </c>
      <c r="C3" s="59">
        <v>2</v>
      </c>
      <c r="D3" s="59">
        <v>3</v>
      </c>
      <c r="E3" s="59">
        <v>4</v>
      </c>
      <c r="F3" s="59">
        <v>5</v>
      </c>
      <c r="G3" s="60">
        <v>6</v>
      </c>
      <c r="H3" s="60">
        <v>7</v>
      </c>
      <c r="I3" s="60">
        <v>8</v>
      </c>
      <c r="J3" s="60">
        <v>9</v>
      </c>
      <c r="K3" s="60">
        <v>10</v>
      </c>
      <c r="L3" s="60">
        <v>11</v>
      </c>
      <c r="M3" s="60">
        <v>12</v>
      </c>
      <c r="N3" s="60">
        <v>13</v>
      </c>
      <c r="O3" s="60">
        <v>14</v>
      </c>
      <c r="P3" s="60">
        <v>15</v>
      </c>
      <c r="Q3" s="60">
        <v>16</v>
      </c>
      <c r="R3" s="60">
        <v>17</v>
      </c>
      <c r="S3" s="60">
        <v>18</v>
      </c>
      <c r="T3" s="60">
        <v>19</v>
      </c>
      <c r="U3" s="60">
        <v>20</v>
      </c>
    </row>
    <row r="4" spans="1:21" s="7" customFormat="1" ht="90" customHeight="1">
      <c r="B4" s="61" t="s">
        <v>145</v>
      </c>
      <c r="C4" s="61" t="s">
        <v>146</v>
      </c>
      <c r="D4" s="61" t="s">
        <v>215</v>
      </c>
      <c r="E4" s="61" t="s">
        <v>72</v>
      </c>
      <c r="F4" s="61" t="s">
        <v>71</v>
      </c>
      <c r="G4" s="112" t="s">
        <v>216</v>
      </c>
      <c r="H4" s="61" t="s">
        <v>175</v>
      </c>
      <c r="I4" s="61" t="s">
        <v>218</v>
      </c>
      <c r="J4" s="61" t="s">
        <v>176</v>
      </c>
      <c r="K4" s="61" t="s">
        <v>169</v>
      </c>
      <c r="L4" s="61" t="s">
        <v>223</v>
      </c>
      <c r="M4" s="61" t="s">
        <v>224</v>
      </c>
      <c r="N4" s="61" t="s">
        <v>225</v>
      </c>
      <c r="O4" s="61" t="s">
        <v>193</v>
      </c>
      <c r="P4" s="61" t="s">
        <v>222</v>
      </c>
      <c r="Q4" s="61" t="s">
        <v>221</v>
      </c>
      <c r="R4" s="61" t="s">
        <v>131</v>
      </c>
      <c r="S4" s="61" t="s">
        <v>195</v>
      </c>
      <c r="T4" s="61" t="s">
        <v>220</v>
      </c>
      <c r="U4" s="61" t="s">
        <v>219</v>
      </c>
    </row>
    <row r="5" spans="1:21" s="104" customFormat="1" ht="15" customHeight="1">
      <c r="A5" s="219" t="s">
        <v>77</v>
      </c>
      <c r="B5" s="101">
        <v>1.1000000000000001</v>
      </c>
      <c r="C5" s="101">
        <v>1.1000000000000001</v>
      </c>
      <c r="D5" s="102">
        <v>1.3</v>
      </c>
      <c r="E5" s="101">
        <v>1.4</v>
      </c>
      <c r="F5" s="102">
        <v>2.2000000000000002</v>
      </c>
      <c r="G5" s="101">
        <v>2.5</v>
      </c>
      <c r="H5" s="101">
        <v>4.0999999999999996</v>
      </c>
      <c r="I5" s="101">
        <v>5.0999999999999996</v>
      </c>
      <c r="J5" s="101">
        <v>5.4</v>
      </c>
      <c r="K5" s="101">
        <v>5.7</v>
      </c>
      <c r="L5" s="101">
        <v>5.8</v>
      </c>
      <c r="M5" s="101">
        <v>5.9</v>
      </c>
      <c r="N5" s="101">
        <v>5.1100000000000003</v>
      </c>
      <c r="O5" s="101">
        <v>6.1</v>
      </c>
      <c r="P5" s="101">
        <v>6.1</v>
      </c>
      <c r="Q5" s="101">
        <v>6.1</v>
      </c>
      <c r="R5" s="101">
        <v>6.1</v>
      </c>
      <c r="S5" s="101">
        <v>6.1</v>
      </c>
      <c r="T5" s="101">
        <v>6.2</v>
      </c>
      <c r="U5" s="101">
        <v>8.1</v>
      </c>
    </row>
    <row r="6" spans="1:21" s="104" customFormat="1">
      <c r="A6" s="219"/>
      <c r="B6" s="101">
        <v>1.6</v>
      </c>
      <c r="C6" s="101">
        <v>7.4</v>
      </c>
      <c r="D6" s="101">
        <v>4.4000000000000004</v>
      </c>
      <c r="E6" s="101">
        <v>1.5</v>
      </c>
      <c r="F6" s="101">
        <v>3.5</v>
      </c>
      <c r="G6" s="101">
        <v>2.8</v>
      </c>
      <c r="H6" s="101">
        <v>4.2</v>
      </c>
      <c r="I6" s="101">
        <v>7.1</v>
      </c>
      <c r="J6" s="101">
        <v>5.5</v>
      </c>
      <c r="K6" s="105"/>
      <c r="L6" s="101">
        <v>3.9</v>
      </c>
      <c r="M6" s="105"/>
      <c r="N6" s="105"/>
      <c r="O6" s="101">
        <v>8.1999999999999993</v>
      </c>
      <c r="P6" s="101">
        <v>6.3</v>
      </c>
      <c r="Q6" s="101">
        <v>6.3</v>
      </c>
      <c r="R6" s="101">
        <v>6.3</v>
      </c>
      <c r="S6" s="101">
        <v>6.3</v>
      </c>
      <c r="T6" s="105"/>
      <c r="U6" s="101">
        <v>8.6</v>
      </c>
    </row>
    <row r="7" spans="1:21" s="104" customFormat="1">
      <c r="A7" s="219"/>
      <c r="B7" s="101">
        <v>7.5</v>
      </c>
      <c r="C7" s="105"/>
      <c r="D7" s="101">
        <v>8.6999999999999993</v>
      </c>
      <c r="E7" s="101">
        <v>2.1</v>
      </c>
      <c r="F7" s="101">
        <v>3.3</v>
      </c>
      <c r="G7" s="101">
        <v>2.9</v>
      </c>
      <c r="H7" s="101">
        <v>4.3</v>
      </c>
      <c r="I7" s="101">
        <v>7.7</v>
      </c>
      <c r="J7" s="101">
        <v>5.6</v>
      </c>
      <c r="K7" s="105"/>
      <c r="L7" s="105"/>
      <c r="M7" s="105"/>
      <c r="N7" s="105"/>
      <c r="O7" s="105"/>
      <c r="P7" s="105"/>
      <c r="Q7" s="105"/>
      <c r="R7" s="101">
        <v>6.4</v>
      </c>
      <c r="S7" s="101">
        <v>6.6</v>
      </c>
      <c r="T7" s="105"/>
      <c r="U7" s="101">
        <v>8.4</v>
      </c>
    </row>
    <row r="8" spans="1:21" s="104" customFormat="1" ht="15">
      <c r="A8" s="219"/>
      <c r="B8" s="6"/>
      <c r="C8" s="6"/>
      <c r="D8" s="105"/>
      <c r="E8" s="101">
        <v>3.1</v>
      </c>
      <c r="F8" s="101">
        <v>3.4</v>
      </c>
      <c r="G8" s="101">
        <v>2.1</v>
      </c>
      <c r="H8" s="101">
        <v>4.5</v>
      </c>
      <c r="I8" s="101">
        <v>8.3000000000000007</v>
      </c>
      <c r="J8" s="103">
        <v>5.0999999999999996</v>
      </c>
      <c r="K8" s="105"/>
      <c r="L8" s="105"/>
      <c r="M8" s="105"/>
      <c r="N8" s="105"/>
      <c r="O8" s="6"/>
      <c r="P8" s="105"/>
      <c r="Q8" s="105"/>
      <c r="R8" s="101">
        <v>6.5</v>
      </c>
      <c r="S8" s="101">
        <v>2.4</v>
      </c>
      <c r="T8" s="105"/>
      <c r="U8" s="101">
        <v>8.8000000000000007</v>
      </c>
    </row>
    <row r="9" spans="1:21" s="104" customFormat="1">
      <c r="A9" s="219"/>
      <c r="B9" s="105"/>
      <c r="C9" s="105"/>
      <c r="D9" s="105"/>
      <c r="E9" s="101">
        <v>3.2</v>
      </c>
      <c r="F9" s="101">
        <v>7.2</v>
      </c>
      <c r="G9" s="101">
        <v>2.6</v>
      </c>
      <c r="H9" s="101">
        <v>4.5999999999999996</v>
      </c>
      <c r="I9" s="101">
        <v>2.2999999999999998</v>
      </c>
      <c r="J9" s="105"/>
      <c r="K9" s="105"/>
      <c r="L9" s="105"/>
      <c r="M9" s="105"/>
      <c r="N9" s="105"/>
      <c r="O9" s="105"/>
      <c r="P9" s="105"/>
      <c r="Q9" s="105"/>
      <c r="R9" s="105"/>
      <c r="S9" s="105"/>
      <c r="T9" s="105"/>
      <c r="U9" s="105"/>
    </row>
    <row r="10" spans="1:21" s="104" customFormat="1">
      <c r="A10" s="219"/>
      <c r="B10" s="105"/>
      <c r="C10" s="105"/>
      <c r="D10" s="105"/>
      <c r="E10" s="101">
        <v>3.6</v>
      </c>
      <c r="F10" s="101">
        <v>7.6</v>
      </c>
      <c r="G10" s="101">
        <v>2.7</v>
      </c>
      <c r="H10" s="101">
        <v>4.7</v>
      </c>
      <c r="I10" s="101">
        <v>2.11</v>
      </c>
      <c r="J10" s="105"/>
      <c r="K10" s="105"/>
      <c r="L10" s="105"/>
      <c r="M10" s="105"/>
      <c r="N10" s="105"/>
      <c r="O10" s="105"/>
      <c r="P10" s="105"/>
      <c r="Q10" s="105"/>
      <c r="R10" s="105"/>
      <c r="S10" s="105"/>
      <c r="T10" s="105"/>
      <c r="U10" s="105"/>
    </row>
    <row r="11" spans="1:21" s="104" customFormat="1">
      <c r="A11" s="219"/>
      <c r="B11" s="105"/>
      <c r="C11" s="105"/>
      <c r="D11" s="105"/>
      <c r="E11" s="101">
        <v>3.7</v>
      </c>
      <c r="F11" s="101">
        <v>7.7</v>
      </c>
      <c r="G11" s="105"/>
      <c r="H11" s="105"/>
      <c r="I11" s="105"/>
      <c r="J11" s="105"/>
      <c r="K11" s="105"/>
      <c r="L11" s="105"/>
      <c r="M11" s="105"/>
      <c r="N11" s="105"/>
      <c r="O11" s="105"/>
      <c r="P11" s="105"/>
      <c r="Q11" s="105"/>
      <c r="R11" s="105"/>
      <c r="S11" s="105"/>
      <c r="T11" s="105"/>
      <c r="U11" s="105"/>
    </row>
    <row r="12" spans="1:21" s="104" customFormat="1">
      <c r="A12" s="219"/>
      <c r="B12" s="105"/>
      <c r="C12" s="105"/>
      <c r="D12" s="105"/>
      <c r="E12" s="101">
        <v>3.8</v>
      </c>
      <c r="F12" s="105"/>
      <c r="G12" s="105"/>
      <c r="H12" s="105"/>
      <c r="I12" s="105"/>
      <c r="J12" s="105"/>
      <c r="K12" s="105"/>
      <c r="L12" s="105"/>
      <c r="M12" s="105"/>
      <c r="N12" s="105"/>
      <c r="O12" s="105"/>
      <c r="P12" s="105"/>
      <c r="Q12" s="105"/>
      <c r="R12" s="105"/>
      <c r="S12" s="105"/>
      <c r="T12" s="105"/>
      <c r="U12" s="105"/>
    </row>
    <row r="13" spans="1:21" s="104" customFormat="1">
      <c r="A13" s="219"/>
      <c r="B13" s="105"/>
      <c r="C13" s="105"/>
      <c r="D13" s="105"/>
      <c r="E13" s="103">
        <v>3.1</v>
      </c>
      <c r="F13" s="105"/>
      <c r="G13" s="105"/>
      <c r="H13" s="105"/>
      <c r="I13" s="105"/>
      <c r="J13" s="105"/>
      <c r="K13" s="105"/>
      <c r="L13" s="105"/>
      <c r="M13" s="105"/>
      <c r="N13" s="105"/>
      <c r="O13" s="105"/>
      <c r="P13" s="105"/>
      <c r="Q13" s="105"/>
      <c r="R13" s="105"/>
      <c r="S13" s="105"/>
      <c r="T13" s="105"/>
      <c r="U13" s="105"/>
    </row>
    <row r="14" spans="1:21" s="104" customFormat="1">
      <c r="A14" s="219"/>
      <c r="B14" s="105"/>
      <c r="C14" s="105"/>
      <c r="D14" s="105"/>
      <c r="E14" s="101">
        <v>4.5999999999999996</v>
      </c>
      <c r="F14" s="105"/>
      <c r="G14" s="105"/>
      <c r="H14" s="105"/>
      <c r="I14" s="105"/>
      <c r="J14" s="105"/>
      <c r="K14" s="105"/>
      <c r="L14" s="105"/>
      <c r="M14" s="105"/>
      <c r="N14" s="105"/>
      <c r="O14" s="105"/>
      <c r="P14" s="105"/>
      <c r="Q14" s="105"/>
      <c r="R14" s="105"/>
      <c r="S14" s="105"/>
      <c r="T14" s="105"/>
      <c r="U14" s="105"/>
    </row>
    <row r="15" spans="1:21" s="104" customFormat="1">
      <c r="A15" s="219"/>
      <c r="B15" s="105"/>
      <c r="C15" s="105"/>
      <c r="D15" s="105"/>
      <c r="E15" s="101">
        <v>5.2</v>
      </c>
      <c r="F15" s="105"/>
      <c r="G15" s="105"/>
      <c r="H15" s="105"/>
      <c r="I15" s="105"/>
      <c r="J15" s="105"/>
      <c r="K15" s="105"/>
      <c r="L15" s="105"/>
      <c r="M15" s="105"/>
      <c r="N15" s="105"/>
      <c r="O15" s="105"/>
      <c r="P15" s="105"/>
      <c r="Q15" s="105"/>
      <c r="R15" s="105"/>
      <c r="S15" s="105"/>
      <c r="T15" s="105"/>
      <c r="U15" s="105"/>
    </row>
    <row r="16" spans="1:21" s="104" customFormat="1">
      <c r="A16" s="219"/>
      <c r="B16" s="105"/>
      <c r="C16" s="105"/>
      <c r="D16" s="105"/>
      <c r="E16" s="101">
        <v>7.3</v>
      </c>
      <c r="F16" s="105"/>
      <c r="G16" s="105"/>
      <c r="H16" s="105"/>
      <c r="I16" s="105"/>
      <c r="J16" s="105"/>
      <c r="K16" s="105"/>
      <c r="L16" s="105"/>
      <c r="M16" s="105"/>
      <c r="N16" s="105"/>
      <c r="O16" s="105"/>
      <c r="P16" s="105"/>
      <c r="Q16" s="105"/>
      <c r="R16" s="105"/>
      <c r="S16" s="105"/>
      <c r="T16" s="105"/>
      <c r="U16" s="105"/>
    </row>
    <row r="17" spans="1:21" s="104" customFormat="1">
      <c r="A17" s="219"/>
      <c r="B17" s="105"/>
      <c r="C17" s="105"/>
      <c r="D17" s="105"/>
      <c r="E17" s="101">
        <v>8.5</v>
      </c>
      <c r="F17" s="105"/>
      <c r="G17" s="105"/>
      <c r="H17" s="105"/>
      <c r="I17" s="105"/>
      <c r="J17" s="105"/>
      <c r="K17" s="105"/>
      <c r="L17" s="105"/>
      <c r="M17" s="105"/>
      <c r="N17" s="105"/>
      <c r="O17" s="105"/>
      <c r="P17" s="105"/>
      <c r="Q17" s="105"/>
      <c r="R17" s="105"/>
      <c r="S17" s="105"/>
      <c r="T17" s="105"/>
      <c r="U17" s="105"/>
    </row>
    <row r="18" spans="1:21" s="104" customFormat="1" ht="2" customHeight="1">
      <c r="A18" s="219"/>
      <c r="B18"/>
      <c r="C18"/>
      <c r="D18"/>
      <c r="E18"/>
      <c r="F18"/>
      <c r="G18"/>
      <c r="H18"/>
      <c r="I18"/>
      <c r="J18"/>
      <c r="K18"/>
      <c r="L18"/>
      <c r="M18"/>
      <c r="N18"/>
      <c r="O18"/>
      <c r="P18"/>
      <c r="Q18"/>
      <c r="R18"/>
      <c r="S18"/>
      <c r="T18"/>
      <c r="U18"/>
    </row>
    <row r="19" spans="1:21" s="104" customFormat="1" hidden="1">
      <c r="A19" s="219"/>
      <c r="B19"/>
      <c r="C19"/>
      <c r="D19"/>
      <c r="E19"/>
      <c r="F19"/>
      <c r="G19"/>
      <c r="H19"/>
      <c r="I19"/>
      <c r="J19"/>
      <c r="K19"/>
      <c r="L19"/>
      <c r="M19"/>
      <c r="N19"/>
      <c r="O19"/>
      <c r="P19"/>
      <c r="Q19"/>
      <c r="R19"/>
      <c r="S19"/>
      <c r="T19"/>
      <c r="U19"/>
    </row>
    <row r="20" spans="1:21" s="104" customFormat="1" hidden="1">
      <c r="A20" s="219"/>
      <c r="B20"/>
      <c r="C20"/>
      <c r="D20"/>
      <c r="E20"/>
      <c r="F20"/>
      <c r="G20"/>
      <c r="H20"/>
      <c r="I20"/>
      <c r="J20"/>
      <c r="K20"/>
      <c r="L20"/>
      <c r="M20"/>
      <c r="N20"/>
      <c r="O20"/>
      <c r="P20"/>
      <c r="Q20"/>
      <c r="R20"/>
      <c r="S20"/>
      <c r="T20"/>
      <c r="U20"/>
    </row>
    <row r="21" spans="1:21" s="104" customFormat="1" hidden="1">
      <c r="A21" s="219"/>
      <c r="B21"/>
      <c r="C21"/>
      <c r="D21"/>
      <c r="E21"/>
      <c r="F21"/>
      <c r="G21"/>
      <c r="H21"/>
      <c r="I21"/>
      <c r="J21"/>
      <c r="K21"/>
      <c r="L21"/>
      <c r="M21"/>
      <c r="N21"/>
      <c r="O21"/>
      <c r="P21"/>
      <c r="Q21"/>
      <c r="R21"/>
      <c r="S21"/>
      <c r="T21"/>
      <c r="U21"/>
    </row>
    <row r="22" spans="1:21" s="104" customFormat="1" ht="15" hidden="1">
      <c r="A22" s="219"/>
      <c r="B22"/>
      <c r="C22"/>
      <c r="D22"/>
      <c r="E22"/>
      <c r="F22" s="1"/>
      <c r="G22" s="1"/>
      <c r="H22"/>
      <c r="I22"/>
      <c r="J22"/>
      <c r="K22"/>
      <c r="L22"/>
      <c r="M22"/>
      <c r="N22"/>
      <c r="O22"/>
      <c r="P22"/>
      <c r="Q22"/>
      <c r="R22"/>
      <c r="S22"/>
      <c r="T22"/>
      <c r="U22"/>
    </row>
    <row r="23" spans="1:21" s="104" customFormat="1" hidden="1">
      <c r="A23" s="219"/>
      <c r="B23"/>
      <c r="C23"/>
      <c r="D23"/>
      <c r="E23"/>
      <c r="F23"/>
      <c r="G23"/>
      <c r="H23"/>
      <c r="I23"/>
      <c r="J23"/>
      <c r="K23"/>
      <c r="L23"/>
      <c r="M23"/>
      <c r="N23"/>
      <c r="O23"/>
      <c r="P23"/>
      <c r="Q23"/>
      <c r="R23"/>
      <c r="S23"/>
      <c r="T23"/>
      <c r="U23"/>
    </row>
    <row r="24" spans="1:21" s="104" customFormat="1" hidden="1">
      <c r="A24" s="219"/>
      <c r="B24"/>
      <c r="C24"/>
      <c r="D24"/>
      <c r="E24"/>
      <c r="F24"/>
      <c r="G24"/>
      <c r="H24"/>
      <c r="I24"/>
      <c r="J24"/>
      <c r="K24"/>
      <c r="L24"/>
      <c r="M24"/>
      <c r="N24"/>
      <c r="O24"/>
      <c r="P24"/>
      <c r="Q24"/>
      <c r="R24"/>
      <c r="S24"/>
      <c r="T24"/>
      <c r="U24"/>
    </row>
  </sheetData>
  <mergeCells count="2">
    <mergeCell ref="B2:H2"/>
    <mergeCell ref="A5:A24"/>
  </mergeCells>
  <phoneticPr fontId="41" type="noConversion"/>
  <hyperlinks>
    <hyperlink ref="B5" location="'A&amp;W@H'!B3" display="'A&amp;W@H'!B3"/>
    <hyperlink ref="B6" location="'A&amp;W@H'!B8" display="'A&amp;W@H'!B8"/>
    <hyperlink ref="B7" location="ManTasks!F8" display="ManTasks!F8"/>
    <hyperlink ref="C5" location="'A&amp;W@H'!B3" display="'A&amp;W@H'!B3"/>
    <hyperlink ref="C6" location="ManTasks!E7" display="ManTasks!E7"/>
    <hyperlink ref="E5" location="'A&amp;W@H'!F6" display="'A&amp;W@H'!F6"/>
    <hyperlink ref="E6" location="'A&amp;W@H'!G7" display="'A&amp;W@H'!G7"/>
    <hyperlink ref="E15" location="MOC!C4" display="MOC!C4"/>
    <hyperlink ref="E8" location="ExpHE!B3" display="ExpHE!B3"/>
    <hyperlink ref="E10" location="ExpHE!B8" display="ExpHE!B8"/>
    <hyperlink ref="E17" location="CSRWA!G7" display="CSRWA!G7"/>
    <hyperlink ref="E11" location="ExpHE!C9" display="ExpHE!C9"/>
    <hyperlink ref="E12" location="ExpHE!D10" display="ExpHE!D10"/>
    <hyperlink ref="E9" location="ExpHE!E4" display="ExpHE!E4"/>
    <hyperlink ref="E13" location="ExpHE!E12" display="ExpHE!E12"/>
    <hyperlink ref="E14" location="Fire!G8" display="Fire!G8"/>
    <hyperlink ref="E16" location="ManTasks!D6" display="ManTasks!D6"/>
    <hyperlink ref="F5" location="Tires!C4" display="Tires!C4"/>
    <hyperlink ref="F6" location="ExpHE!F7" display="ExpHE!F7"/>
    <hyperlink ref="G5" location="Tires!G7" display="Tires!G7"/>
    <hyperlink ref="G6" location="Tires!G10" display="Tires!G10"/>
    <hyperlink ref="G7" location="Tires!G11" display="Tires!G11"/>
    <hyperlink ref="G8" location="Tires!B3" display="Tires!B3"/>
    <hyperlink ref="H5" location="Fire!B3" display="Fire!B3"/>
    <hyperlink ref="I8" location="CSRWA!D5" display="CSRWA!D5"/>
    <hyperlink ref="I7" location="ManTasks!B10" display="ManTasks!B10"/>
    <hyperlink ref="I6" location="ManTasks!B3" display="ManTasks!B3"/>
    <hyperlink ref="I5" location="MOC!B3" display="MOC!B3"/>
    <hyperlink ref="J5" location="MOC!F6" display="MOC!F6"/>
    <hyperlink ref="J6" location="MOC!F7" display="MOC!F7"/>
    <hyperlink ref="J7" location="MOC!F8" display="MOC!F8"/>
    <hyperlink ref="K5" location="MOC!G9" display="MOC!G9"/>
    <hyperlink ref="L5" location="MOC!H10" display="MOC!H10"/>
    <hyperlink ref="M5" location="MOC!I11" display="MOC!I11"/>
    <hyperlink ref="J8" location="MOC!J12" display="MOC!J12"/>
    <hyperlink ref="N5" location="MOC!K13" display="MOC!K13"/>
    <hyperlink ref="O5" location="HIF!B3" display="HIF!B3"/>
    <hyperlink ref="P5" location="HIF!C3" display="HIF!C3"/>
    <hyperlink ref="Q5" location="HIF!D3" display="HIF!D3"/>
    <hyperlink ref="R5" location="HIF!E3" display="HIF!E3"/>
    <hyperlink ref="S5" location="HIF!F3" display="HIF!F3"/>
    <hyperlink ref="P6" location="HIF!C5" display="HIF!C5"/>
    <hyperlink ref="Q6" location="HIF!D5" display="HIF!D5"/>
    <hyperlink ref="R6" location="HIF!E5" display="HIF!E5"/>
    <hyperlink ref="S6" location="HIF!F5" display="HIF!F5"/>
    <hyperlink ref="R7" location="HIF!E6" display="HIF!E6"/>
    <hyperlink ref="R8" location="HIF!E7" display="HIF!E7"/>
    <hyperlink ref="S7" location="HIF!F8" display="HIF!F8"/>
    <hyperlink ref="O6" location="CSRWA!C4" display="CSRWA!C4"/>
    <hyperlink ref="U5" location="CSRWA!B3" display="CSRWA!B3"/>
    <hyperlink ref="U6" location="CSRWA!B8" display="CSRWA!B8"/>
    <hyperlink ref="U8" location="CSRWA!I10" display="CSRWA!I10"/>
    <hyperlink ref="I9" location="Tires!D5" display="Tires!D5"/>
    <hyperlink ref="I10" location="Tires!D13" display="Tires!D13"/>
    <hyperlink ref="F7" location="ExpHE!F5" display="ExpHE!F5"/>
    <hyperlink ref="F8" location="ExpHE!F6" display="ExpHE!F6"/>
    <hyperlink ref="E7" location="Tires!B3" display="Tires!B3"/>
    <hyperlink ref="F9" location="ManTasks!C5" display="ManTasks!C5"/>
    <hyperlink ref="F10" location="ManTasks!C9" display="ManTasks!C9"/>
    <hyperlink ref="F11" location="ManTasks!C10" display="ManTasks!C10"/>
    <hyperlink ref="G9" location="Tires!F8" display="Tires!F8"/>
    <hyperlink ref="G10" location="Tires!H9" display="Tires!H9"/>
    <hyperlink ref="H6" location="Fire!C4" display="Fire!C4"/>
    <hyperlink ref="H7" location="Fire!D5" display="Fire!D5"/>
    <hyperlink ref="H8" location="Fire!F7" display="Fire!F7"/>
    <hyperlink ref="H9" location="Fire!G8" display="Fire!G8"/>
    <hyperlink ref="H10" location="Fire!G9" display="Fire!G9"/>
    <hyperlink ref="L6" location="ExpHE!G11" display="ExpHE!G11"/>
    <hyperlink ref="U7" location="CSRWA!F6" display="CSRWA!F6"/>
    <hyperlink ref="S8" location="Tires!E6" display="Tires!E6"/>
    <hyperlink ref="T5" location="HIF!H4" display="HIF!H4"/>
    <hyperlink ref="D6" location="Fire!e6" display="Fire!e6"/>
    <hyperlink ref="D7" location="CSRWA!h9" display="CSRWA!h9"/>
    <hyperlink ref="D5" location="'A&amp;W@H'!e5" display="'A&amp;W@H'!e5"/>
  </hyperlinks>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B3" sqref="B3"/>
    </sheetView>
  </sheetViews>
  <sheetFormatPr baseColWidth="10" defaultColWidth="8.83203125" defaultRowHeight="14" x14ac:dyDescent="0"/>
  <cols>
    <col min="1" max="1" width="43.5" customWidth="1"/>
    <col min="2" max="8" width="23.5" customWidth="1"/>
  </cols>
  <sheetData>
    <row r="1" spans="1:8" s="24" customFormat="1" ht="41.25" customHeight="1">
      <c r="A1" s="62" t="s">
        <v>78</v>
      </c>
      <c r="B1" s="220" t="s">
        <v>209</v>
      </c>
      <c r="C1" s="220"/>
      <c r="D1" s="220"/>
      <c r="E1" s="220"/>
      <c r="F1" s="220"/>
      <c r="G1" s="220"/>
      <c r="H1" s="220"/>
    </row>
    <row r="2" spans="1:8" ht="52.5" customHeight="1">
      <c r="A2" s="63" t="s">
        <v>188</v>
      </c>
      <c r="B2" s="63" t="s">
        <v>145</v>
      </c>
      <c r="C2" s="63" t="s">
        <v>146</v>
      </c>
      <c r="D2" s="63" t="s">
        <v>147</v>
      </c>
      <c r="E2" s="63" t="s">
        <v>148</v>
      </c>
      <c r="F2" s="63" t="s">
        <v>149</v>
      </c>
      <c r="G2" s="63" t="s">
        <v>111</v>
      </c>
      <c r="H2" s="63" t="s">
        <v>112</v>
      </c>
    </row>
    <row r="3" spans="1:8" ht="120">
      <c r="A3" s="25" t="s">
        <v>54</v>
      </c>
      <c r="B3" s="64">
        <v>1.1000000000000001</v>
      </c>
      <c r="C3" s="65">
        <v>1.1000000000000001</v>
      </c>
      <c r="D3" s="28"/>
      <c r="E3" s="28"/>
      <c r="F3" s="28"/>
      <c r="G3" s="28"/>
      <c r="H3" s="28"/>
    </row>
    <row r="4" spans="1:8" ht="81.75" customHeight="1">
      <c r="A4" s="25" t="s">
        <v>55</v>
      </c>
      <c r="B4" s="29"/>
      <c r="C4" s="29"/>
      <c r="D4" s="66">
        <v>1.2</v>
      </c>
      <c r="E4" s="29"/>
      <c r="F4" s="29"/>
      <c r="G4" s="29"/>
      <c r="H4" s="29"/>
    </row>
    <row r="5" spans="1:8" ht="69.75" customHeight="1">
      <c r="A5" s="25" t="s">
        <v>53</v>
      </c>
      <c r="B5" s="29"/>
      <c r="C5" s="29"/>
      <c r="D5" s="29"/>
      <c r="E5" s="66">
        <v>1.3</v>
      </c>
      <c r="F5" s="29"/>
      <c r="G5" s="29"/>
      <c r="H5" s="29"/>
    </row>
    <row r="6" spans="1:8" ht="30">
      <c r="A6" s="25" t="s">
        <v>16</v>
      </c>
      <c r="B6" s="28"/>
      <c r="C6" s="28"/>
      <c r="D6" s="29"/>
      <c r="E6" s="29"/>
      <c r="F6" s="66">
        <v>1.4</v>
      </c>
      <c r="G6" s="29"/>
      <c r="H6" s="29"/>
    </row>
    <row r="7" spans="1:8" ht="64.5" customHeight="1">
      <c r="A7" s="26" t="s">
        <v>21</v>
      </c>
      <c r="B7" s="30"/>
      <c r="C7" s="31"/>
      <c r="D7" s="31"/>
      <c r="E7" s="31"/>
      <c r="F7" s="31"/>
      <c r="G7" s="67">
        <v>1.5</v>
      </c>
      <c r="H7" s="31"/>
    </row>
    <row r="8" spans="1:8" s="2" customFormat="1" ht="45">
      <c r="A8" s="25" t="s">
        <v>22</v>
      </c>
      <c r="B8" s="65">
        <v>1.6</v>
      </c>
      <c r="C8" s="29"/>
      <c r="D8" s="29"/>
      <c r="E8" s="29"/>
      <c r="F8" s="29"/>
      <c r="G8" s="29"/>
      <c r="H8" s="29"/>
    </row>
    <row r="9" spans="1:8" ht="60">
      <c r="A9" s="27" t="s">
        <v>62</v>
      </c>
      <c r="B9" s="32"/>
      <c r="C9" s="33"/>
      <c r="D9" s="33"/>
      <c r="E9" s="33"/>
      <c r="F9" s="33"/>
      <c r="G9" s="33"/>
      <c r="H9" s="68">
        <v>1.7</v>
      </c>
    </row>
  </sheetData>
  <mergeCells count="1">
    <mergeCell ref="B1:H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SheetLayoutView="53" workbookViewId="0">
      <selection activeCell="C4" sqref="C4"/>
    </sheetView>
  </sheetViews>
  <sheetFormatPr baseColWidth="10" defaultColWidth="8.83203125" defaultRowHeight="15" x14ac:dyDescent="0"/>
  <cols>
    <col min="1" max="1" width="51.33203125" style="3" customWidth="1"/>
    <col min="2" max="8" width="26.33203125" customWidth="1"/>
    <col min="9" max="9" width="34.1640625" customWidth="1"/>
  </cols>
  <sheetData>
    <row r="1" spans="1:8" s="24" customFormat="1" ht="36">
      <c r="A1" s="69" t="s">
        <v>63</v>
      </c>
      <c r="B1" s="221" t="s">
        <v>209</v>
      </c>
      <c r="C1" s="221"/>
      <c r="D1" s="221"/>
      <c r="E1" s="221"/>
      <c r="F1" s="221"/>
      <c r="G1" s="221"/>
      <c r="H1" s="221"/>
    </row>
    <row r="2" spans="1:8" s="34" customFormat="1" ht="53.5" customHeight="1">
      <c r="A2" s="70" t="s">
        <v>210</v>
      </c>
      <c r="B2" s="70" t="s">
        <v>101</v>
      </c>
      <c r="C2" s="70" t="s">
        <v>102</v>
      </c>
      <c r="D2" s="70" t="s">
        <v>147</v>
      </c>
      <c r="E2" s="70" t="s">
        <v>103</v>
      </c>
      <c r="F2" s="70" t="s">
        <v>104</v>
      </c>
      <c r="G2" s="70" t="s">
        <v>105</v>
      </c>
      <c r="H2" s="70" t="s">
        <v>106</v>
      </c>
    </row>
    <row r="3" spans="1:8" ht="150">
      <c r="A3" s="4" t="s">
        <v>133</v>
      </c>
      <c r="B3" s="71">
        <v>2.1</v>
      </c>
      <c r="C3" s="35"/>
      <c r="D3" s="36"/>
      <c r="E3" s="36"/>
      <c r="F3" s="36"/>
      <c r="G3" s="36"/>
      <c r="H3" s="36"/>
    </row>
    <row r="4" spans="1:8" ht="75">
      <c r="A4" s="4" t="s">
        <v>140</v>
      </c>
      <c r="B4" s="37"/>
      <c r="C4" s="71">
        <v>2.2000000000000002</v>
      </c>
      <c r="D4" s="38"/>
      <c r="E4" s="38"/>
      <c r="F4" s="38"/>
      <c r="G4" s="38"/>
      <c r="H4" s="38"/>
    </row>
    <row r="5" spans="1:8" ht="33" customHeight="1">
      <c r="A5" s="4" t="s">
        <v>141</v>
      </c>
      <c r="B5" s="37"/>
      <c r="C5" s="39"/>
      <c r="D5" s="72">
        <v>2.2999999999999998</v>
      </c>
      <c r="E5" s="40"/>
      <c r="F5" s="40"/>
      <c r="G5" s="40"/>
      <c r="H5" s="40"/>
    </row>
    <row r="6" spans="1:8" ht="63" customHeight="1">
      <c r="A6" s="4" t="s">
        <v>142</v>
      </c>
      <c r="B6" s="37"/>
      <c r="C6" s="36"/>
      <c r="D6" s="40"/>
      <c r="E6" s="72">
        <v>2.4</v>
      </c>
      <c r="F6" s="40"/>
      <c r="G6" s="40"/>
      <c r="H6" s="40"/>
    </row>
    <row r="7" spans="1:8" ht="47.5" customHeight="1">
      <c r="A7" s="4" t="s">
        <v>143</v>
      </c>
      <c r="B7" s="37"/>
      <c r="C7" s="36"/>
      <c r="D7" s="40"/>
      <c r="E7" s="40"/>
      <c r="F7" s="40"/>
      <c r="G7" s="72">
        <v>2.5</v>
      </c>
      <c r="H7" s="40"/>
    </row>
    <row r="8" spans="1:8" ht="53.25" customHeight="1">
      <c r="A8" s="4" t="s">
        <v>144</v>
      </c>
      <c r="B8" s="37"/>
      <c r="C8" s="36"/>
      <c r="D8" s="40"/>
      <c r="E8" s="40"/>
      <c r="F8" s="72">
        <v>2.6</v>
      </c>
      <c r="G8" s="40"/>
      <c r="H8" s="40"/>
    </row>
    <row r="9" spans="1:8" ht="45">
      <c r="A9" s="4" t="s">
        <v>85</v>
      </c>
      <c r="B9" s="37"/>
      <c r="C9" s="36"/>
      <c r="D9" s="40"/>
      <c r="E9" s="40"/>
      <c r="F9" s="40"/>
      <c r="G9" s="40"/>
      <c r="H9" s="72">
        <v>2.7</v>
      </c>
    </row>
    <row r="10" spans="1:8" ht="60">
      <c r="A10" s="4" t="s">
        <v>89</v>
      </c>
      <c r="B10" s="37"/>
      <c r="C10" s="36"/>
      <c r="D10" s="40"/>
      <c r="E10" s="40"/>
      <c r="F10" s="40"/>
      <c r="G10" s="72">
        <v>2.8</v>
      </c>
      <c r="H10" s="40"/>
    </row>
    <row r="11" spans="1:8" ht="61.25" customHeight="1">
      <c r="A11" s="4" t="s">
        <v>86</v>
      </c>
      <c r="B11" s="37"/>
      <c r="C11" s="36"/>
      <c r="D11" s="40"/>
      <c r="E11" s="40"/>
      <c r="F11" s="40"/>
      <c r="G11" s="72">
        <v>2.9</v>
      </c>
      <c r="H11" s="40"/>
    </row>
    <row r="12" spans="1:8" ht="47.5" customHeight="1">
      <c r="A12" s="4" t="s">
        <v>87</v>
      </c>
      <c r="B12" s="37"/>
      <c r="C12" s="36"/>
      <c r="D12" s="40"/>
      <c r="E12" s="40"/>
      <c r="F12" s="40"/>
      <c r="G12" s="73">
        <v>2.1</v>
      </c>
      <c r="H12" s="40"/>
    </row>
    <row r="13" spans="1:8" ht="47" customHeight="1">
      <c r="A13" s="4" t="s">
        <v>88</v>
      </c>
      <c r="B13" s="41"/>
      <c r="C13" s="36"/>
      <c r="D13" s="72">
        <v>2.11</v>
      </c>
      <c r="E13" s="40"/>
      <c r="F13" s="40"/>
      <c r="G13" s="40"/>
      <c r="H13" s="40"/>
    </row>
  </sheetData>
  <mergeCells count="1">
    <mergeCell ref="B1:H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F5" sqref="F5"/>
    </sheetView>
  </sheetViews>
  <sheetFormatPr baseColWidth="10" defaultColWidth="8.83203125" defaultRowHeight="14" x14ac:dyDescent="0"/>
  <cols>
    <col min="1" max="1" width="54.5" customWidth="1"/>
    <col min="2" max="2" width="19.5" customWidth="1"/>
    <col min="3" max="3" width="21.5" customWidth="1"/>
    <col min="4" max="4" width="21.1640625" customWidth="1"/>
    <col min="5" max="5" width="21.5" customWidth="1"/>
    <col min="6" max="6" width="21.33203125" customWidth="1"/>
    <col min="7" max="7" width="15.6640625" customWidth="1"/>
    <col min="8" max="8" width="14.33203125" customWidth="1"/>
    <col min="9" max="9" width="17" customWidth="1"/>
    <col min="10" max="10" width="22.1640625" customWidth="1"/>
  </cols>
  <sheetData>
    <row r="1" spans="1:10" s="44" customFormat="1" ht="52.5" customHeight="1">
      <c r="A1" s="74" t="s">
        <v>64</v>
      </c>
      <c r="B1" s="222" t="s">
        <v>209</v>
      </c>
      <c r="C1" s="222"/>
      <c r="D1" s="222"/>
      <c r="E1" s="222"/>
      <c r="F1" s="222"/>
      <c r="G1" s="222"/>
      <c r="H1" s="222"/>
      <c r="I1" s="222"/>
      <c r="J1" s="222"/>
    </row>
    <row r="2" spans="1:10" s="34" customFormat="1" ht="83.5" customHeight="1">
      <c r="A2" s="75" t="s">
        <v>188</v>
      </c>
      <c r="B2" s="75" t="s">
        <v>153</v>
      </c>
      <c r="C2" s="75" t="s">
        <v>154</v>
      </c>
      <c r="D2" s="75" t="s">
        <v>155</v>
      </c>
      <c r="E2" s="75" t="s">
        <v>156</v>
      </c>
      <c r="F2" s="75" t="s">
        <v>157</v>
      </c>
      <c r="G2" s="75" t="s">
        <v>158</v>
      </c>
      <c r="H2" s="75" t="s">
        <v>159</v>
      </c>
      <c r="I2" s="75" t="s">
        <v>160</v>
      </c>
      <c r="J2" s="75" t="s">
        <v>161</v>
      </c>
    </row>
    <row r="3" spans="1:10" ht="45">
      <c r="A3" s="25" t="s">
        <v>12</v>
      </c>
      <c r="B3" s="76">
        <v>3.1</v>
      </c>
      <c r="C3" s="76">
        <v>3.1</v>
      </c>
      <c r="D3" s="76">
        <v>3.1</v>
      </c>
      <c r="E3" s="76">
        <v>3.1</v>
      </c>
      <c r="F3" s="76">
        <v>3.1</v>
      </c>
      <c r="G3" s="76">
        <v>3.1</v>
      </c>
      <c r="H3" s="42"/>
      <c r="I3" s="42"/>
      <c r="J3" s="42"/>
    </row>
    <row r="4" spans="1:10" ht="45">
      <c r="A4" s="25" t="s">
        <v>51</v>
      </c>
      <c r="B4" s="42"/>
      <c r="C4" s="42"/>
      <c r="D4" s="42"/>
      <c r="E4" s="76">
        <v>3.2</v>
      </c>
      <c r="F4" s="42"/>
      <c r="G4" s="42"/>
      <c r="H4" s="42"/>
      <c r="I4" s="42"/>
      <c r="J4" s="42"/>
    </row>
    <row r="5" spans="1:10" ht="45">
      <c r="A5" s="25" t="s">
        <v>52</v>
      </c>
      <c r="B5" s="42"/>
      <c r="C5" s="42"/>
      <c r="D5" s="42"/>
      <c r="E5" s="42"/>
      <c r="F5" s="76">
        <v>3.3</v>
      </c>
      <c r="G5" s="42"/>
      <c r="H5" s="42"/>
      <c r="I5" s="42"/>
      <c r="J5" s="42"/>
    </row>
    <row r="6" spans="1:10" ht="30">
      <c r="A6" s="25" t="s">
        <v>13</v>
      </c>
      <c r="B6" s="42"/>
      <c r="C6" s="42"/>
      <c r="D6" s="42"/>
      <c r="E6" s="42"/>
      <c r="F6" s="76">
        <v>3.4</v>
      </c>
      <c r="G6" s="42"/>
      <c r="H6" s="42"/>
      <c r="I6" s="42"/>
      <c r="J6" s="42"/>
    </row>
    <row r="7" spans="1:10" ht="45">
      <c r="A7" s="25" t="s">
        <v>23</v>
      </c>
      <c r="B7" s="42"/>
      <c r="C7" s="42"/>
      <c r="D7" s="42"/>
      <c r="E7" s="42"/>
      <c r="F7" s="76">
        <v>3.5</v>
      </c>
      <c r="G7" s="42"/>
      <c r="H7" s="42"/>
      <c r="I7" s="42"/>
      <c r="J7" s="42"/>
    </row>
    <row r="8" spans="1:10" ht="70.5" customHeight="1">
      <c r="A8" s="25" t="s">
        <v>25</v>
      </c>
      <c r="B8" s="76">
        <v>3.6</v>
      </c>
      <c r="C8" s="42"/>
      <c r="D8" s="42"/>
      <c r="E8" s="76">
        <v>3.6</v>
      </c>
      <c r="F8" s="42"/>
      <c r="G8" s="42"/>
      <c r="H8" s="42"/>
      <c r="I8" s="42"/>
      <c r="J8" s="42"/>
    </row>
    <row r="9" spans="1:10" ht="40.5" customHeight="1">
      <c r="A9" s="25" t="s">
        <v>26</v>
      </c>
      <c r="B9" s="42"/>
      <c r="C9" s="76">
        <v>3.7</v>
      </c>
      <c r="D9" s="42"/>
      <c r="E9" s="42"/>
      <c r="F9" s="42"/>
      <c r="G9" s="42"/>
      <c r="H9" s="42"/>
      <c r="I9" s="42"/>
      <c r="J9" s="42"/>
    </row>
    <row r="10" spans="1:10" ht="180">
      <c r="A10" s="25" t="s">
        <v>17</v>
      </c>
      <c r="B10" s="42"/>
      <c r="C10" s="42"/>
      <c r="D10" s="76">
        <v>3.8</v>
      </c>
      <c r="E10" s="76">
        <v>3.8</v>
      </c>
      <c r="F10" s="42"/>
      <c r="G10" s="76">
        <v>3.8</v>
      </c>
      <c r="H10" s="76">
        <v>3.8</v>
      </c>
      <c r="I10" s="42"/>
      <c r="J10" s="42"/>
    </row>
    <row r="11" spans="1:10" ht="75">
      <c r="A11" s="25" t="s">
        <v>18</v>
      </c>
      <c r="B11" s="42"/>
      <c r="C11" s="42"/>
      <c r="D11" s="42"/>
      <c r="E11" s="42"/>
      <c r="F11" s="42"/>
      <c r="G11" s="76">
        <v>3.9</v>
      </c>
      <c r="H11" s="76">
        <v>3.9</v>
      </c>
      <c r="I11" s="76">
        <v>3.9</v>
      </c>
      <c r="J11" s="42"/>
    </row>
    <row r="12" spans="1:10" ht="101.25" customHeight="1">
      <c r="A12" s="25" t="s">
        <v>19</v>
      </c>
      <c r="B12" s="42"/>
      <c r="C12" s="42"/>
      <c r="D12" s="42"/>
      <c r="E12" s="77">
        <v>3.1</v>
      </c>
      <c r="F12" s="43"/>
      <c r="G12" s="43"/>
      <c r="H12" s="43"/>
      <c r="I12" s="43"/>
      <c r="J12" s="77">
        <v>3.1</v>
      </c>
    </row>
  </sheetData>
  <mergeCells count="1">
    <mergeCell ref="B1:J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E6" sqref="E6"/>
    </sheetView>
  </sheetViews>
  <sheetFormatPr baseColWidth="10" defaultColWidth="8.83203125" defaultRowHeight="14" x14ac:dyDescent="0"/>
  <cols>
    <col min="1" max="1" width="44.6640625" customWidth="1"/>
    <col min="2" max="9" width="21.5" customWidth="1"/>
  </cols>
  <sheetData>
    <row r="1" spans="1:9" s="44" customFormat="1" ht="36">
      <c r="A1" s="78" t="s">
        <v>65</v>
      </c>
      <c r="B1" s="223" t="s">
        <v>209</v>
      </c>
      <c r="C1" s="223"/>
      <c r="D1" s="223"/>
      <c r="E1" s="223"/>
      <c r="F1" s="223"/>
      <c r="G1" s="223"/>
      <c r="H1" s="223"/>
      <c r="I1" s="223"/>
    </row>
    <row r="2" spans="1:9" s="34" customFormat="1" ht="78.75" customHeight="1">
      <c r="A2" s="79" t="s">
        <v>211</v>
      </c>
      <c r="B2" s="79" t="s">
        <v>113</v>
      </c>
      <c r="C2" s="79" t="s">
        <v>114</v>
      </c>
      <c r="D2" s="79" t="s">
        <v>115</v>
      </c>
      <c r="E2" s="79" t="s">
        <v>116</v>
      </c>
      <c r="F2" s="79" t="s">
        <v>117</v>
      </c>
      <c r="G2" s="79" t="s">
        <v>118</v>
      </c>
      <c r="H2" s="79" t="s">
        <v>119</v>
      </c>
      <c r="I2" s="79" t="s">
        <v>120</v>
      </c>
    </row>
    <row r="3" spans="1:9" ht="143.25" customHeight="1">
      <c r="A3" s="48" t="s">
        <v>0</v>
      </c>
      <c r="B3" s="80">
        <v>4.0999999999999996</v>
      </c>
      <c r="C3" s="42"/>
      <c r="D3" s="42"/>
      <c r="E3" s="42"/>
      <c r="F3" s="42"/>
      <c r="G3" s="42"/>
      <c r="H3" s="42"/>
      <c r="I3" s="42"/>
    </row>
    <row r="4" spans="1:9" ht="57" customHeight="1">
      <c r="A4" s="48" t="s">
        <v>1</v>
      </c>
      <c r="B4" s="42"/>
      <c r="C4" s="80">
        <v>4.2</v>
      </c>
      <c r="D4" s="42"/>
      <c r="E4" s="42"/>
      <c r="F4" s="42"/>
      <c r="G4" s="42"/>
      <c r="H4" s="42"/>
      <c r="I4" s="42"/>
    </row>
    <row r="5" spans="1:9" ht="54" customHeight="1">
      <c r="A5" s="48" t="s">
        <v>2</v>
      </c>
      <c r="B5" s="42"/>
      <c r="C5" s="42"/>
      <c r="D5" s="80">
        <v>4.3</v>
      </c>
      <c r="E5" s="42"/>
      <c r="F5" s="42"/>
      <c r="G5" s="42"/>
      <c r="H5" s="42"/>
      <c r="I5" s="42"/>
    </row>
    <row r="6" spans="1:9" ht="40.5" customHeight="1">
      <c r="A6" s="48" t="s">
        <v>68</v>
      </c>
      <c r="B6" s="42"/>
      <c r="C6" s="42"/>
      <c r="D6" s="45"/>
      <c r="E6" s="81">
        <v>4.4000000000000004</v>
      </c>
      <c r="F6" s="45"/>
      <c r="G6" s="45"/>
      <c r="H6" s="45"/>
      <c r="I6" s="45"/>
    </row>
    <row r="7" spans="1:9" ht="42.75" customHeight="1">
      <c r="A7" s="48" t="s">
        <v>69</v>
      </c>
      <c r="B7" s="42"/>
      <c r="C7" s="42"/>
      <c r="D7" s="42"/>
      <c r="E7" s="42"/>
      <c r="F7" s="80">
        <v>4.5</v>
      </c>
      <c r="G7" s="42"/>
      <c r="H7" s="42"/>
      <c r="I7" s="42"/>
    </row>
    <row r="8" spans="1:9" ht="132" customHeight="1">
      <c r="A8" s="48" t="s">
        <v>24</v>
      </c>
      <c r="B8" s="42"/>
      <c r="C8" s="42"/>
      <c r="D8" s="42"/>
      <c r="E8" s="42"/>
      <c r="F8" s="42"/>
      <c r="G8" s="80">
        <v>4.5999999999999996</v>
      </c>
      <c r="H8" s="80">
        <v>4.5999999999999996</v>
      </c>
      <c r="I8" s="42"/>
    </row>
    <row r="9" spans="1:9" ht="172.5" customHeight="1">
      <c r="A9" s="48" t="s">
        <v>28</v>
      </c>
      <c r="B9" s="42"/>
      <c r="C9" s="42"/>
      <c r="D9" s="42"/>
      <c r="E9" s="42"/>
      <c r="F9" s="42"/>
      <c r="G9" s="80">
        <v>4.7</v>
      </c>
      <c r="H9" s="42"/>
      <c r="I9" s="80">
        <v>4.7</v>
      </c>
    </row>
  </sheetData>
  <mergeCells count="1">
    <mergeCell ref="B1:I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zoomScaleSheetLayoutView="44" workbookViewId="0">
      <selection activeCell="C4" sqref="C4"/>
    </sheetView>
  </sheetViews>
  <sheetFormatPr baseColWidth="10" defaultColWidth="8.83203125" defaultRowHeight="14" x14ac:dyDescent="0"/>
  <cols>
    <col min="1" max="1" width="85.6640625" customWidth="1"/>
    <col min="2" max="11" width="21.6640625" customWidth="1"/>
    <col min="12" max="13" width="32" customWidth="1"/>
  </cols>
  <sheetData>
    <row r="1" spans="1:11" s="44" customFormat="1" ht="48" customHeight="1">
      <c r="A1" s="82" t="s">
        <v>66</v>
      </c>
      <c r="B1" s="224" t="s">
        <v>209</v>
      </c>
      <c r="C1" s="224"/>
      <c r="D1" s="224"/>
      <c r="E1" s="224"/>
      <c r="F1" s="224"/>
      <c r="G1" s="224"/>
      <c r="H1" s="224"/>
      <c r="I1" s="224"/>
      <c r="J1" s="224"/>
      <c r="K1" s="224"/>
    </row>
    <row r="2" spans="1:11" s="34" customFormat="1" ht="48" customHeight="1">
      <c r="A2" s="83" t="s">
        <v>188</v>
      </c>
      <c r="B2" s="83" t="s">
        <v>121</v>
      </c>
      <c r="C2" s="83" t="s">
        <v>122</v>
      </c>
      <c r="D2" s="83" t="s">
        <v>123</v>
      </c>
      <c r="E2" s="83" t="s">
        <v>167</v>
      </c>
      <c r="F2" s="83" t="s">
        <v>168</v>
      </c>
      <c r="G2" s="83" t="s">
        <v>169</v>
      </c>
      <c r="H2" s="83" t="s">
        <v>170</v>
      </c>
      <c r="I2" s="83" t="s">
        <v>171</v>
      </c>
      <c r="J2" s="83" t="s">
        <v>172</v>
      </c>
      <c r="K2" s="83" t="s">
        <v>173</v>
      </c>
    </row>
    <row r="3" spans="1:11" ht="255">
      <c r="A3" s="50" t="s">
        <v>124</v>
      </c>
      <c r="B3" s="84">
        <v>5.0999999999999996</v>
      </c>
      <c r="C3" s="42"/>
      <c r="D3" s="42"/>
      <c r="E3" s="84">
        <v>5.0999999999999996</v>
      </c>
      <c r="F3" s="42"/>
      <c r="G3" s="42"/>
      <c r="H3" s="42"/>
      <c r="I3" s="42"/>
      <c r="J3" s="42"/>
      <c r="K3" s="42"/>
    </row>
    <row r="4" spans="1:11" ht="90">
      <c r="A4" s="50" t="s">
        <v>80</v>
      </c>
      <c r="B4" s="42"/>
      <c r="C4" s="84">
        <v>5.2</v>
      </c>
      <c r="D4" s="42"/>
      <c r="E4" s="42"/>
      <c r="F4" s="42"/>
      <c r="G4" s="42"/>
      <c r="H4" s="42"/>
      <c r="I4" s="42"/>
      <c r="J4" s="42"/>
      <c r="K4" s="42"/>
    </row>
    <row r="5" spans="1:11" ht="75">
      <c r="A5" s="50" t="s">
        <v>107</v>
      </c>
      <c r="B5" s="42"/>
      <c r="C5" s="42"/>
      <c r="D5" s="84">
        <v>5.3</v>
      </c>
      <c r="E5" s="84">
        <v>5.3</v>
      </c>
      <c r="F5" s="42"/>
      <c r="G5" s="42"/>
      <c r="H5" s="42"/>
      <c r="I5" s="42"/>
      <c r="J5" s="42"/>
      <c r="K5" s="42"/>
    </row>
    <row r="6" spans="1:11" ht="90">
      <c r="A6" s="50" t="s">
        <v>108</v>
      </c>
      <c r="B6" s="42"/>
      <c r="C6" s="42"/>
      <c r="D6" s="42"/>
      <c r="E6" s="42"/>
      <c r="F6" s="84">
        <v>5.4</v>
      </c>
      <c r="G6" s="42"/>
      <c r="H6" s="42"/>
      <c r="I6" s="42"/>
      <c r="J6" s="42"/>
      <c r="K6" s="42"/>
    </row>
    <row r="7" spans="1:11" ht="90">
      <c r="A7" s="50" t="s">
        <v>109</v>
      </c>
      <c r="B7" s="42"/>
      <c r="C7" s="42"/>
      <c r="D7" s="42"/>
      <c r="E7" s="42"/>
      <c r="F7" s="84">
        <v>5.5</v>
      </c>
      <c r="G7" s="42"/>
      <c r="H7" s="42"/>
      <c r="I7" s="42"/>
      <c r="J7" s="42"/>
      <c r="K7" s="42"/>
    </row>
    <row r="8" spans="1:11" ht="30">
      <c r="A8" s="50" t="s">
        <v>110</v>
      </c>
      <c r="B8" s="42"/>
      <c r="C8" s="42"/>
      <c r="D8" s="42"/>
      <c r="E8" s="42"/>
      <c r="F8" s="84">
        <v>5.6</v>
      </c>
      <c r="G8" s="42"/>
      <c r="H8" s="42"/>
      <c r="I8" s="42"/>
      <c r="J8" s="42"/>
      <c r="K8" s="42"/>
    </row>
    <row r="9" spans="1:11" ht="105">
      <c r="A9" s="50" t="s">
        <v>84</v>
      </c>
      <c r="B9" s="42"/>
      <c r="C9" s="42"/>
      <c r="D9" s="42"/>
      <c r="E9" s="42"/>
      <c r="F9" s="42"/>
      <c r="G9" s="84">
        <v>5.7</v>
      </c>
      <c r="H9" s="42"/>
      <c r="I9" s="42"/>
      <c r="J9" s="42"/>
      <c r="K9" s="42"/>
    </row>
    <row r="10" spans="1:11" ht="165">
      <c r="A10" s="50" t="s">
        <v>90</v>
      </c>
      <c r="B10" s="42"/>
      <c r="C10" s="42"/>
      <c r="D10" s="42"/>
      <c r="E10" s="42"/>
      <c r="F10" s="42"/>
      <c r="G10" s="42"/>
      <c r="H10" s="84">
        <v>5.8</v>
      </c>
      <c r="I10" s="42"/>
      <c r="J10" s="42"/>
      <c r="K10" s="42"/>
    </row>
    <row r="11" spans="1:11" ht="105">
      <c r="A11" s="50" t="s">
        <v>91</v>
      </c>
      <c r="B11" s="42"/>
      <c r="C11" s="42"/>
      <c r="D11" s="42"/>
      <c r="E11" s="42"/>
      <c r="F11" s="42"/>
      <c r="G11" s="42"/>
      <c r="H11" s="42"/>
      <c r="I11" s="84">
        <v>5.9</v>
      </c>
      <c r="J11" s="42"/>
      <c r="K11" s="42"/>
    </row>
    <row r="12" spans="1:11" ht="30">
      <c r="A12" s="50" t="s">
        <v>92</v>
      </c>
      <c r="B12" s="42"/>
      <c r="C12" s="42"/>
      <c r="D12" s="42"/>
      <c r="E12" s="42"/>
      <c r="F12" s="42"/>
      <c r="G12" s="42"/>
      <c r="H12" s="42"/>
      <c r="I12" s="42"/>
      <c r="J12" s="85">
        <v>5.0999999999999996</v>
      </c>
      <c r="K12" s="42"/>
    </row>
    <row r="13" spans="1:11" ht="105">
      <c r="A13" s="50" t="s">
        <v>79</v>
      </c>
      <c r="B13" s="42"/>
      <c r="C13" s="42"/>
      <c r="D13" s="42"/>
      <c r="E13" s="42"/>
      <c r="F13" s="42"/>
      <c r="G13" s="42"/>
      <c r="H13" s="42"/>
      <c r="I13" s="42"/>
      <c r="J13" s="42"/>
      <c r="K13" s="84">
        <v>5.1100000000000003</v>
      </c>
    </row>
  </sheetData>
  <mergeCells count="1">
    <mergeCell ref="B1:K1"/>
  </mergeCells>
  <phoneticPr fontId="41" type="noConversion"/>
  <printOptions gridLines="1"/>
  <pageMargins left="0.70866141732283472" right="0.70866141732283472" top="0.74803149606299213" bottom="0.74803149606299213" header="0.31496062992125984" footer="0.31496062992125984"/>
  <rowBreaks count="1" manualBreakCount="1">
    <brk id="6" max="10" man="1"/>
  </rowBreaks>
  <colBreaks count="1" manualBreakCount="1">
    <brk id="4" max="1048575" man="1"/>
  </colBreaks>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A2" sqref="A2"/>
    </sheetView>
  </sheetViews>
  <sheetFormatPr baseColWidth="10" defaultColWidth="8.83203125" defaultRowHeight="14" x14ac:dyDescent="0"/>
  <cols>
    <col min="1" max="1" width="54.83203125" customWidth="1"/>
    <col min="2" max="8" width="19.6640625" customWidth="1"/>
    <col min="9" max="10" width="25.1640625" customWidth="1"/>
  </cols>
  <sheetData>
    <row r="1" spans="1:8" s="44" customFormat="1" ht="36">
      <c r="A1" s="86" t="s">
        <v>11</v>
      </c>
      <c r="B1" s="225" t="s">
        <v>209</v>
      </c>
      <c r="C1" s="225"/>
      <c r="D1" s="225"/>
      <c r="E1" s="225"/>
      <c r="F1" s="225"/>
      <c r="G1" s="225"/>
      <c r="H1" s="225"/>
    </row>
    <row r="2" spans="1:8" s="34" customFormat="1" ht="36">
      <c r="A2" s="87" t="s">
        <v>188</v>
      </c>
      <c r="B2" s="87" t="s">
        <v>174</v>
      </c>
      <c r="C2" s="87" t="s">
        <v>129</v>
      </c>
      <c r="D2" s="87" t="s">
        <v>130</v>
      </c>
      <c r="E2" s="87" t="s">
        <v>131</v>
      </c>
      <c r="F2" s="87" t="s">
        <v>177</v>
      </c>
      <c r="G2" s="87" t="s">
        <v>178</v>
      </c>
      <c r="H2" s="87" t="s">
        <v>125</v>
      </c>
    </row>
    <row r="3" spans="1:8" ht="135">
      <c r="A3" s="50" t="s">
        <v>74</v>
      </c>
      <c r="B3" s="88">
        <v>6.1</v>
      </c>
      <c r="C3" s="88">
        <v>6.1</v>
      </c>
      <c r="D3" s="88">
        <v>6.1</v>
      </c>
      <c r="E3" s="88">
        <v>6.1</v>
      </c>
      <c r="F3" s="88">
        <v>6.1</v>
      </c>
      <c r="G3" s="88">
        <v>6.1</v>
      </c>
      <c r="H3" s="46"/>
    </row>
    <row r="4" spans="1:8" ht="123.75" customHeight="1">
      <c r="A4" s="50" t="s">
        <v>75</v>
      </c>
      <c r="B4" s="47"/>
      <c r="C4" s="46"/>
      <c r="D4" s="46"/>
      <c r="E4" s="46"/>
      <c r="F4" s="46"/>
      <c r="G4" s="46"/>
      <c r="H4" s="88">
        <v>6.2</v>
      </c>
    </row>
    <row r="5" spans="1:8" ht="140.25" customHeight="1">
      <c r="A5" s="50" t="s">
        <v>76</v>
      </c>
      <c r="B5" s="46"/>
      <c r="C5" s="88">
        <v>6.3</v>
      </c>
      <c r="D5" s="88">
        <v>6.3</v>
      </c>
      <c r="E5" s="88">
        <v>6.3</v>
      </c>
      <c r="F5" s="88">
        <v>6.3</v>
      </c>
      <c r="G5" s="88">
        <v>6.3</v>
      </c>
      <c r="H5" s="46"/>
    </row>
    <row r="6" spans="1:8" ht="60">
      <c r="A6" s="48" t="s">
        <v>56</v>
      </c>
      <c r="B6" s="46"/>
      <c r="C6" s="46"/>
      <c r="D6" s="46"/>
      <c r="E6" s="88">
        <v>6.4</v>
      </c>
      <c r="F6" s="46"/>
      <c r="G6" s="46"/>
      <c r="H6" s="46"/>
    </row>
    <row r="7" spans="1:8" ht="105">
      <c r="A7" s="50" t="s">
        <v>81</v>
      </c>
      <c r="B7" s="46"/>
      <c r="C7" s="46"/>
      <c r="D7" s="46"/>
      <c r="E7" s="88">
        <v>6.5</v>
      </c>
      <c r="F7" s="46"/>
      <c r="G7" s="46"/>
      <c r="H7" s="46"/>
    </row>
    <row r="8" spans="1:8" ht="75">
      <c r="A8" s="50" t="s">
        <v>82</v>
      </c>
      <c r="B8" s="46"/>
      <c r="C8" s="46"/>
      <c r="D8" s="46"/>
      <c r="E8" s="46"/>
      <c r="F8" s="88">
        <v>6.6</v>
      </c>
      <c r="G8" s="46"/>
      <c r="H8" s="46"/>
    </row>
  </sheetData>
  <mergeCells count="1">
    <mergeCell ref="B1:H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A2" sqref="A2"/>
    </sheetView>
  </sheetViews>
  <sheetFormatPr baseColWidth="10" defaultColWidth="8.83203125" defaultRowHeight="14" x14ac:dyDescent="0"/>
  <cols>
    <col min="1" max="1" width="48.6640625" style="5" customWidth="1"/>
    <col min="2" max="6" width="23.33203125" style="5" customWidth="1"/>
    <col min="7" max="10" width="32.6640625" style="5" customWidth="1"/>
    <col min="11" max="16384" width="8.83203125" style="5"/>
  </cols>
  <sheetData>
    <row r="1" spans="1:6" s="44" customFormat="1" ht="36">
      <c r="A1" s="89" t="s">
        <v>20</v>
      </c>
      <c r="B1" s="226" t="s">
        <v>209</v>
      </c>
      <c r="C1" s="226"/>
      <c r="D1" s="226"/>
      <c r="E1" s="226"/>
      <c r="F1" s="226"/>
    </row>
    <row r="2" spans="1:6" s="49" customFormat="1" ht="60">
      <c r="A2" s="90" t="s">
        <v>210</v>
      </c>
      <c r="B2" s="90" t="s">
        <v>126</v>
      </c>
      <c r="C2" s="90" t="s">
        <v>127</v>
      </c>
      <c r="D2" s="90" t="s">
        <v>128</v>
      </c>
      <c r="E2" s="90" t="s">
        <v>146</v>
      </c>
      <c r="F2" s="90" t="s">
        <v>93</v>
      </c>
    </row>
    <row r="3" spans="1:6" ht="180">
      <c r="A3" s="50" t="s">
        <v>57</v>
      </c>
      <c r="B3" s="91">
        <v>7.1</v>
      </c>
      <c r="C3" s="51"/>
      <c r="D3" s="51"/>
      <c r="E3" s="51"/>
      <c r="F3" s="51"/>
    </row>
    <row r="4" spans="1:6" ht="30.5" customHeight="1">
      <c r="A4" s="227" t="s">
        <v>58</v>
      </c>
      <c r="B4" s="228"/>
      <c r="C4" s="229">
        <v>7.2</v>
      </c>
      <c r="D4" s="228"/>
      <c r="E4" s="228"/>
      <c r="F4" s="228"/>
    </row>
    <row r="5" spans="1:6" ht="21.75" customHeight="1">
      <c r="A5" s="227"/>
      <c r="B5" s="228"/>
      <c r="C5" s="229"/>
      <c r="D5" s="228"/>
      <c r="E5" s="228"/>
      <c r="F5" s="228"/>
    </row>
    <row r="6" spans="1:6" ht="74.25" customHeight="1">
      <c r="A6" s="50" t="s">
        <v>59</v>
      </c>
      <c r="B6" s="51"/>
      <c r="C6" s="51"/>
      <c r="D6" s="91">
        <v>7.3</v>
      </c>
      <c r="E6" s="51"/>
      <c r="F6" s="51"/>
    </row>
    <row r="7" spans="1:6" ht="41.25" customHeight="1">
      <c r="A7" s="50" t="s">
        <v>60</v>
      </c>
      <c r="B7" s="51"/>
      <c r="C7" s="51"/>
      <c r="D7" s="51"/>
      <c r="E7" s="91">
        <v>7.4</v>
      </c>
      <c r="F7" s="51"/>
    </row>
    <row r="8" spans="1:6" ht="54" customHeight="1">
      <c r="A8" s="50" t="s">
        <v>61</v>
      </c>
      <c r="B8" s="51"/>
      <c r="C8" s="51"/>
      <c r="D8" s="51"/>
      <c r="E8" s="51"/>
      <c r="F8" s="91">
        <v>7.5</v>
      </c>
    </row>
    <row r="9" spans="1:6" ht="45">
      <c r="A9" s="50" t="s">
        <v>67</v>
      </c>
      <c r="B9" s="51"/>
      <c r="C9" s="91">
        <v>7.6</v>
      </c>
      <c r="D9" s="51"/>
      <c r="E9" s="51"/>
      <c r="F9" s="51"/>
    </row>
    <row r="10" spans="1:6" ht="90">
      <c r="A10" s="50" t="s">
        <v>83</v>
      </c>
      <c r="B10" s="91">
        <v>7.7</v>
      </c>
      <c r="C10" s="91">
        <v>7.7</v>
      </c>
      <c r="D10" s="51"/>
      <c r="E10" s="51"/>
      <c r="F10" s="51"/>
    </row>
  </sheetData>
  <mergeCells count="7">
    <mergeCell ref="B1:F1"/>
    <mergeCell ref="A4:A5"/>
    <mergeCell ref="B4:B5"/>
    <mergeCell ref="C4:C5"/>
    <mergeCell ref="D4:D5"/>
    <mergeCell ref="E4:E5"/>
    <mergeCell ref="F4:F5"/>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H9" sqref="H9"/>
    </sheetView>
  </sheetViews>
  <sheetFormatPr baseColWidth="10" defaultColWidth="8.83203125" defaultRowHeight="14" x14ac:dyDescent="0"/>
  <cols>
    <col min="1" max="1" width="47" customWidth="1"/>
    <col min="2" max="2" width="21.6640625" customWidth="1"/>
    <col min="3" max="3" width="14.33203125" customWidth="1"/>
    <col min="4" max="4" width="23.1640625" customWidth="1"/>
    <col min="5" max="5" width="12.6640625" customWidth="1"/>
    <col min="6" max="6" width="16.33203125" customWidth="1"/>
    <col min="7" max="7" width="15.5" customWidth="1"/>
    <col min="8" max="8" width="15" customWidth="1"/>
    <col min="9" max="9" width="12.1640625" customWidth="1"/>
  </cols>
  <sheetData>
    <row r="1" spans="1:9" s="24" customFormat="1" ht="54">
      <c r="A1" s="92" t="s">
        <v>3</v>
      </c>
      <c r="B1" s="230" t="s">
        <v>212</v>
      </c>
      <c r="C1" s="231"/>
      <c r="D1" s="231"/>
      <c r="E1" s="231"/>
      <c r="F1" s="231"/>
      <c r="G1" s="231"/>
      <c r="H1" s="231"/>
      <c r="I1" s="232"/>
    </row>
    <row r="2" spans="1:9" ht="60">
      <c r="A2" s="93" t="s">
        <v>188</v>
      </c>
      <c r="B2" s="93" t="s">
        <v>94</v>
      </c>
      <c r="C2" s="93" t="s">
        <v>95</v>
      </c>
      <c r="D2" s="93" t="s">
        <v>132</v>
      </c>
      <c r="E2" s="93" t="s">
        <v>96</v>
      </c>
      <c r="F2" s="93" t="s">
        <v>97</v>
      </c>
      <c r="G2" s="93" t="s">
        <v>98</v>
      </c>
      <c r="H2" s="93" t="s">
        <v>99</v>
      </c>
      <c r="I2" s="93" t="s">
        <v>100</v>
      </c>
    </row>
    <row r="3" spans="1:9" ht="36" customHeight="1">
      <c r="A3" s="50" t="s">
        <v>4</v>
      </c>
      <c r="B3" s="94">
        <v>8.1</v>
      </c>
      <c r="C3" s="36"/>
      <c r="D3" s="36"/>
      <c r="E3" s="36"/>
      <c r="F3" s="36"/>
      <c r="G3" s="36"/>
      <c r="H3" s="36"/>
      <c r="I3" s="36"/>
    </row>
    <row r="4" spans="1:9" ht="45">
      <c r="A4" s="50" t="s">
        <v>5</v>
      </c>
      <c r="B4" s="36"/>
      <c r="C4" s="94">
        <v>8.1999999999999993</v>
      </c>
      <c r="D4" s="36"/>
      <c r="E4" s="36"/>
      <c r="F4" s="36"/>
      <c r="G4" s="36"/>
      <c r="H4" s="36"/>
      <c r="I4" s="36"/>
    </row>
    <row r="5" spans="1:9" ht="45">
      <c r="A5" s="50" t="s">
        <v>6</v>
      </c>
      <c r="B5" s="36"/>
      <c r="C5" s="36"/>
      <c r="D5" s="94">
        <v>8.3000000000000007</v>
      </c>
      <c r="E5" s="94">
        <v>8.3000000000000007</v>
      </c>
      <c r="F5" s="36"/>
      <c r="G5" s="36"/>
      <c r="H5" s="36"/>
      <c r="I5" s="36"/>
    </row>
    <row r="6" spans="1:9" ht="30" customHeight="1">
      <c r="A6" s="50" t="s">
        <v>7</v>
      </c>
      <c r="B6" s="36"/>
      <c r="C6" s="36"/>
      <c r="D6" s="36"/>
      <c r="E6" s="36"/>
      <c r="F6" s="94">
        <v>8.4</v>
      </c>
      <c r="G6" s="36"/>
      <c r="H6" s="36"/>
      <c r="I6" s="36"/>
    </row>
    <row r="7" spans="1:9" ht="33.75" customHeight="1">
      <c r="A7" s="50" t="s">
        <v>8</v>
      </c>
      <c r="B7" s="36"/>
      <c r="C7" s="36"/>
      <c r="D7" s="36"/>
      <c r="E7" s="36"/>
      <c r="F7" s="36"/>
      <c r="G7" s="94">
        <v>8.5</v>
      </c>
      <c r="H7" s="36"/>
      <c r="I7" s="36"/>
    </row>
    <row r="8" spans="1:9" ht="30">
      <c r="A8" s="50" t="s">
        <v>9</v>
      </c>
      <c r="B8" s="94">
        <v>8.6</v>
      </c>
      <c r="C8" s="36"/>
      <c r="D8" s="36"/>
      <c r="E8" s="36"/>
      <c r="F8" s="36"/>
      <c r="G8" s="36"/>
      <c r="H8" s="36"/>
      <c r="I8" s="36"/>
    </row>
    <row r="9" spans="1:9" ht="30">
      <c r="A9" s="50" t="s">
        <v>70</v>
      </c>
      <c r="B9" s="52"/>
      <c r="C9" s="36"/>
      <c r="D9" s="36"/>
      <c r="E9" s="36"/>
      <c r="F9" s="36"/>
      <c r="G9" s="36"/>
      <c r="H9" s="94">
        <v>8.6999999999999993</v>
      </c>
      <c r="I9" s="36"/>
    </row>
    <row r="10" spans="1:9" ht="30">
      <c r="A10" s="50" t="s">
        <v>10</v>
      </c>
      <c r="B10" s="36"/>
      <c r="C10" s="36"/>
      <c r="D10" s="36"/>
      <c r="E10" s="36"/>
      <c r="F10" s="36"/>
      <c r="G10" s="36"/>
      <c r="H10" s="36"/>
      <c r="I10" s="94">
        <v>8.8000000000000007</v>
      </c>
    </row>
  </sheetData>
  <mergeCells count="1">
    <mergeCell ref="B1:I1"/>
  </mergeCells>
  <phoneticPr fontId="41" type="noConversion"/>
  <printOptions gridLines="1"/>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Document Control Information</vt:lpstr>
      <vt:lpstr>Priority Task Identification</vt:lpstr>
      <vt:lpstr>OMAT TBRA</vt:lpstr>
      <vt:lpstr>Safe Design Information</vt:lpstr>
      <vt:lpstr>DPRefs</vt:lpstr>
      <vt:lpstr>A&amp;W@H</vt:lpstr>
      <vt:lpstr>Tires</vt:lpstr>
      <vt:lpstr>ExpHE</vt:lpstr>
      <vt:lpstr>Fire</vt:lpstr>
      <vt:lpstr>MOC</vt:lpstr>
      <vt:lpstr>HIF</vt:lpstr>
      <vt:lpstr>ManTasks</vt:lpstr>
      <vt:lpstr>CSRWA</vt:lpstr>
    </vt:vector>
  </TitlesOfParts>
  <Company>The University of Queensland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Leveritt</dc:creator>
  <cp:lastModifiedBy>Robin Burgess-Limerick</cp:lastModifiedBy>
  <cp:lastPrinted>2012-07-23T00:34:39Z</cp:lastPrinted>
  <dcterms:created xsi:type="dcterms:W3CDTF">2011-11-15T10:47:19Z</dcterms:created>
  <dcterms:modified xsi:type="dcterms:W3CDTF">2012-09-05T23:08:54Z</dcterms:modified>
</cp:coreProperties>
</file>