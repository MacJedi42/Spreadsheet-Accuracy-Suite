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15600" windowHeight="11760"/>
  </bookViews>
  <sheets>
    <sheet name="price list" sheetId="1" r:id="rId1"/>
    <sheet name="footnotes" sheetId="4" r:id="rId2"/>
  </sheets>
  <calcPr calcId="125725" calcOnSave="0"/>
</workbook>
</file>

<file path=xl/calcChain.xml><?xml version="1.0" encoding="utf-8"?>
<calcChain xmlns="http://schemas.openxmlformats.org/spreadsheetml/2006/main">
  <c r="O20" i="1"/>
  <c r="O18"/>
  <c r="O16"/>
  <c r="O15"/>
  <c r="O14"/>
  <c r="O13"/>
  <c r="O12"/>
  <c r="O11"/>
  <c r="O10"/>
</calcChain>
</file>

<file path=xl/sharedStrings.xml><?xml version="1.0" encoding="utf-8"?>
<sst xmlns="http://schemas.openxmlformats.org/spreadsheetml/2006/main" count="148" uniqueCount="104">
  <si>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</si>
  <si>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</si>
  <si>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</si>
  <si>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</si>
  <si>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</si>
  <si>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</si>
  <si>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</si>
  <si>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</si>
  <si>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</si>
  <si>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</si>
  <si>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</si>
  <si>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</si>
  <si>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</si>
  <si>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</si>
  <si>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</si>
  <si>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</si>
  <si>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9/15/2011 eOperations. All prices exclude VAT</t>
  </si>
  <si>
    <t>OA</t>
  </si>
  <si>
    <t>Open Access</t>
  </si>
  <si>
    <t>Springer Journals Price List 2013 -EUR-</t>
  </si>
  <si>
    <t>Title</t>
  </si>
  <si>
    <t>future_format</t>
  </si>
  <si>
    <t>product_id</t>
  </si>
  <si>
    <t>ISSN print</t>
  </si>
  <si>
    <t>ISSN electronic</t>
  </si>
  <si>
    <t>Imprint</t>
  </si>
  <si>
    <t>Primary Language</t>
  </si>
  <si>
    <t>Vols Qty</t>
  </si>
  <si>
    <t>Scheduled Vol Nos</t>
  </si>
  <si>
    <t>Issues per Volume</t>
  </si>
  <si>
    <t>Currency</t>
  </si>
  <si>
    <t>Institutional Price Pirnt incl. Free Access OR e-only</t>
  </si>
  <si>
    <t>Institutional Price Pirnt plus Enhanced Access</t>
  </si>
  <si>
    <t>Postage &amp; Handling Germany</t>
  </si>
  <si>
    <t>Postage &amp; Handling Other Countries</t>
  </si>
  <si>
    <t>Comment</t>
  </si>
  <si>
    <t>African Archaeological Review</t>
  </si>
  <si>
    <t>P E,OF</t>
  </si>
  <si>
    <t>0263-0338</t>
  </si>
  <si>
    <t>1572-9842</t>
  </si>
  <si>
    <t>Springer</t>
  </si>
  <si>
    <t>English</t>
  </si>
  <si>
    <t>30</t>
  </si>
  <si>
    <t>EUR</t>
  </si>
  <si>
    <t>28</t>
  </si>
  <si>
    <t xml:space="preserve">Erratum Journals List: No longer published / distributed by Springer. </t>
  </si>
  <si>
    <t>American Journal of Cardiovascular Drugs</t>
  </si>
  <si>
    <t>1175-3277</t>
  </si>
  <si>
    <t>1179-187X</t>
  </si>
  <si>
    <t>Adis</t>
  </si>
  <si>
    <t>13</t>
  </si>
  <si>
    <t>0</t>
  </si>
  <si>
    <t xml:space="preserve">Take-over in 2013. Erratum Journals List: Institutional Price Print incl. Free Access EUR 974.00. Former publisher: Adis International. </t>
  </si>
  <si>
    <t>Basic and Clinical Andrology</t>
  </si>
  <si>
    <t>1166-2654</t>
  </si>
  <si>
    <t>1760-5377</t>
  </si>
  <si>
    <t>BioMed Central</t>
  </si>
  <si>
    <t>French</t>
  </si>
  <si>
    <t>23</t>
  </si>
  <si>
    <t xml:space="preserve">Erratum Journals List: Title Change. As of Volume 23 (2013) published as Basic and Clinical Andrology. Primary Language: English. E-only Open Access as of 2013. Publishes Volume 23 (2013) with 1 issue in 2013. Imprint BioMed Central. </t>
  </si>
  <si>
    <t>Astronomy Letters/Astronomy Reports</t>
  </si>
  <si>
    <t/>
  </si>
  <si>
    <t>MAIK Nauka/Interperiodica</t>
  </si>
  <si>
    <t>168</t>
  </si>
  <si>
    <t>Erratum Journals List: Price amendment. Institutional Price incl. Free Access or e-only EUR 5448.00. Russian Library of Science</t>
  </si>
  <si>
    <t>Brazilian Journal of Botany</t>
  </si>
  <si>
    <t>0100-8404</t>
  </si>
  <si>
    <t>1806-9959</t>
  </si>
  <si>
    <t>36</t>
  </si>
  <si>
    <t xml:space="preserve">Addendum Journals List: Take-over in 2013. </t>
  </si>
  <si>
    <t>Controlling &amp; Management</t>
  </si>
  <si>
    <t>1614-1822</t>
  </si>
  <si>
    <t>1864-5410</t>
  </si>
  <si>
    <t>Springer Gabler</t>
  </si>
  <si>
    <t>German</t>
  </si>
  <si>
    <t>57</t>
  </si>
  <si>
    <t xml:space="preserve">Erratum Journals List: Publishes 6 issues in 2013. </t>
  </si>
  <si>
    <t>European Archives of Paediatric Dentistry</t>
  </si>
  <si>
    <t>1818-6300</t>
  </si>
  <si>
    <t>1996-9805</t>
  </si>
  <si>
    <t>14</t>
  </si>
  <si>
    <t>42</t>
  </si>
  <si>
    <t xml:space="preserve">Addendum Journals List: Take-over in 2013.. Former publisher: European Academy of Paediatric Dentistry. </t>
  </si>
  <si>
    <t>Journal of Food Measurement and Characterization</t>
  </si>
  <si>
    <t>E,OF</t>
  </si>
  <si>
    <t>1932-9954</t>
  </si>
  <si>
    <t>7</t>
  </si>
  <si>
    <t xml:space="preserve">Erratum Journals List: correct Title as of 2012 is Journal of Food Measurement &amp; Characterization. Available in electronic format only. </t>
  </si>
  <si>
    <t>Lucide</t>
  </si>
  <si>
    <t>2213-6118</t>
  </si>
  <si>
    <t>2213-6126</t>
  </si>
  <si>
    <t>Bohn Stafleu van Loghum</t>
  </si>
  <si>
    <t>Dutch</t>
  </si>
  <si>
    <t>2</t>
  </si>
  <si>
    <t xml:space="preserve">Addendum Journals List. New Start in 2012. Order through Bohn Stafleu van Loghum. Please contact Bohn Stafleu van Loghum for price and ordering information. </t>
  </si>
  <si>
    <t>Signal, Image and Video Processing</t>
  </si>
  <si>
    <t>1863-1711</t>
  </si>
  <si>
    <t xml:space="preserve">Erratum journals list: No Open Access journal. Available in electronic format only. </t>
  </si>
  <si>
    <t>Addenda et Errata September  2012</t>
  </si>
  <si>
    <t>Journal of the Brazilian Society of Mechanical Sciences and Engineering</t>
  </si>
  <si>
    <t>1678-5878</t>
  </si>
  <si>
    <t>1806-3691</t>
  </si>
  <si>
    <t>35</t>
  </si>
  <si>
    <t xml:space="preserve">Addendum Journals List: Take-over in 2013. Former publisher: The Brazilian Society of Mechanical Sciences and Engineering. </t>
  </si>
</sst>
</file>

<file path=xl/styles.xml><?xml version="1.0" encoding="utf-8"?>
<styleSheet xmlns="http://schemas.openxmlformats.org/spreadsheetml/2006/main">
  <fonts count="8">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4" fillId="0" borderId="0"/>
    <xf numFmtId="0" fontId="6" fillId="0" borderId="0"/>
  </cellStyleXfs>
  <cellXfs count="17">
    <xf numFmtId="0" fontId="0" fillId="0" borderId="0" xfId="0"/>
    <xf numFmtId="0" fontId="0" fillId="0" borderId="0" xfId="0" applyAlignment="1">
      <alignment horizontal="center"/>
    </xf>
    <xf numFmtId="0" fontId="1" fillId="0" borderId="0" xfId="0" applyFont="1"/>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7" fillId="2" borderId="1" xfId="2" applyFont="1" applyFill="1" applyBorder="1" applyAlignment="1">
      <alignment horizontal="center" vertical="center" wrapText="1"/>
    </xf>
    <xf numFmtId="0" fontId="7" fillId="0" borderId="1" xfId="2" applyFont="1" applyFill="1" applyBorder="1" applyAlignment="1">
      <alignment vertical="center" wrapText="1"/>
    </xf>
    <xf numFmtId="0" fontId="7" fillId="0" borderId="1" xfId="2" applyFont="1" applyFill="1" applyBorder="1" applyAlignment="1">
      <alignment horizontal="right" vertical="center" wrapText="1"/>
    </xf>
    <xf numFmtId="2" fontId="7" fillId="0" borderId="1" xfId="2" applyNumberFormat="1" applyFont="1" applyFill="1" applyBorder="1" applyAlignment="1">
      <alignment horizontal="right" vertical="center" wrapText="1"/>
    </xf>
    <xf numFmtId="0" fontId="7" fillId="0" borderId="1" xfId="2" applyFont="1" applyBorder="1" applyAlignment="1">
      <alignment vertical="center" wrapText="1"/>
    </xf>
    <xf numFmtId="0" fontId="7" fillId="0" borderId="1" xfId="2" applyFont="1" applyFill="1" applyBorder="1" applyAlignment="1">
      <alignment horizontal="center" vertical="center" wrapText="1"/>
    </xf>
    <xf numFmtId="0" fontId="7" fillId="0" borderId="1" xfId="2" applyFont="1" applyBorder="1" applyAlignment="1">
      <alignment horizontal="center" vertical="center" wrapText="1"/>
    </xf>
    <xf numFmtId="0" fontId="5" fillId="0" borderId="0" xfId="1" applyFont="1" applyAlignment="1">
      <alignment horizontal="left" vertical="center" wrapText="1"/>
    </xf>
    <xf numFmtId="2" fontId="7" fillId="0" borderId="1" xfId="2" applyNumberFormat="1" applyFont="1" applyFill="1" applyBorder="1" applyAlignment="1">
      <alignment horizontal="left" vertical="center" wrapText="1"/>
    </xf>
  </cellXfs>
  <cellStyles count="3">
    <cellStyle name="Standard" xfId="0" builtinId="0"/>
    <cellStyle name="Standard 2" xfId="1"/>
    <cellStyle name="Standard_price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Q20"/>
  <sheetViews>
    <sheetView tabSelected="1" workbookViewId="0"/>
  </sheetViews>
  <sheetFormatPr baseColWidth="10" defaultRowHeight="15"/>
  <cols>
    <col min="1" max="1" width="22.85546875" customWidth="1"/>
    <col min="6" max="6" width="22.85546875" customWidth="1"/>
    <col min="7" max="10" width="11.42578125" style="1"/>
    <col min="14" max="14" width="0" hidden="1" customWidth="1"/>
    <col min="17" max="17" width="22.85546875" customWidth="1"/>
    <col min="20" max="20" width="22.85546875" customWidth="1"/>
  </cols>
  <sheetData>
    <row r="1" spans="1:17" ht="20.25">
      <c r="A1" s="2" t="s">
        <v>19</v>
      </c>
    </row>
    <row r="2" spans="1:17" ht="15.75">
      <c r="A2" s="3" t="s">
        <v>98</v>
      </c>
    </row>
    <row r="3" spans="1:17">
      <c r="A3" s="4" t="s">
        <v>16</v>
      </c>
    </row>
    <row r="9" spans="1:17" ht="45">
      <c r="A9" s="8" t="s">
        <v>20</v>
      </c>
      <c r="B9" s="8" t="s">
        <v>21</v>
      </c>
      <c r="C9" s="8" t="s">
        <v>22</v>
      </c>
      <c r="D9" s="8" t="s">
        <v>23</v>
      </c>
      <c r="E9" s="8" t="s">
        <v>24</v>
      </c>
      <c r="F9" s="8" t="s">
        <v>25</v>
      </c>
      <c r="G9" s="8" t="s">
        <v>26</v>
      </c>
      <c r="H9" s="8" t="s">
        <v>27</v>
      </c>
      <c r="I9" s="8" t="s">
        <v>28</v>
      </c>
      <c r="J9" s="8" t="s">
        <v>29</v>
      </c>
      <c r="K9" s="8" t="s">
        <v>30</v>
      </c>
      <c r="L9" s="8" t="s">
        <v>31</v>
      </c>
      <c r="M9" s="8" t="s">
        <v>32</v>
      </c>
      <c r="N9" s="8" t="s">
        <v>33</v>
      </c>
      <c r="O9" s="8" t="s">
        <v>33</v>
      </c>
      <c r="P9" s="8" t="s">
        <v>34</v>
      </c>
      <c r="Q9" s="8" t="s">
        <v>35</v>
      </c>
    </row>
    <row r="10" spans="1:17" ht="33.75">
      <c r="A10" s="9" t="s">
        <v>36</v>
      </c>
      <c r="B10" s="9" t="s">
        <v>37</v>
      </c>
      <c r="C10" s="10">
        <v>10437</v>
      </c>
      <c r="D10" s="9" t="s">
        <v>38</v>
      </c>
      <c r="E10" s="9" t="s">
        <v>39</v>
      </c>
      <c r="F10" s="9" t="s">
        <v>40</v>
      </c>
      <c r="G10" s="9" t="s">
        <v>41</v>
      </c>
      <c r="H10" s="13">
        <v>1</v>
      </c>
      <c r="I10" s="13" t="s">
        <v>42</v>
      </c>
      <c r="J10" s="13">
        <v>4</v>
      </c>
      <c r="K10" s="9" t="s">
        <v>43</v>
      </c>
      <c r="L10" s="11">
        <v>455</v>
      </c>
      <c r="M10" s="11">
        <v>546</v>
      </c>
      <c r="N10" s="9" t="s">
        <v>44</v>
      </c>
      <c r="O10" s="11">
        <f>N10*1</f>
        <v>28</v>
      </c>
      <c r="P10" s="11">
        <v>28</v>
      </c>
      <c r="Q10" s="9" t="s">
        <v>45</v>
      </c>
    </row>
    <row r="11" spans="1:17" ht="56.25">
      <c r="A11" s="9" t="s">
        <v>46</v>
      </c>
      <c r="B11" s="9" t="s">
        <v>1</v>
      </c>
      <c r="C11" s="10">
        <v>40256</v>
      </c>
      <c r="D11" s="9" t="s">
        <v>47</v>
      </c>
      <c r="E11" s="9" t="s">
        <v>48</v>
      </c>
      <c r="F11" s="9" t="s">
        <v>49</v>
      </c>
      <c r="G11" s="9" t="s">
        <v>41</v>
      </c>
      <c r="H11" s="13">
        <v>1</v>
      </c>
      <c r="I11" s="13" t="s">
        <v>50</v>
      </c>
      <c r="J11" s="13">
        <v>6</v>
      </c>
      <c r="K11" s="9" t="s">
        <v>43</v>
      </c>
      <c r="L11" s="11">
        <v>974</v>
      </c>
      <c r="M11" s="11">
        <v>974</v>
      </c>
      <c r="N11" s="9" t="s">
        <v>51</v>
      </c>
      <c r="O11" s="11">
        <f t="shared" ref="O11:O20" si="0">N11*1</f>
        <v>0</v>
      </c>
      <c r="P11" s="11">
        <v>42</v>
      </c>
      <c r="Q11" s="9" t="s">
        <v>52</v>
      </c>
    </row>
    <row r="12" spans="1:17" ht="101.25">
      <c r="A12" s="9" t="s">
        <v>53</v>
      </c>
      <c r="B12" s="9" t="s">
        <v>37</v>
      </c>
      <c r="C12" s="10">
        <v>12610</v>
      </c>
      <c r="D12" s="9" t="s">
        <v>54</v>
      </c>
      <c r="E12" s="9" t="s">
        <v>55</v>
      </c>
      <c r="F12" s="9" t="s">
        <v>56</v>
      </c>
      <c r="G12" s="9" t="s">
        <v>57</v>
      </c>
      <c r="H12" s="13">
        <v>1</v>
      </c>
      <c r="I12" s="13" t="s">
        <v>58</v>
      </c>
      <c r="J12" s="13">
        <v>4</v>
      </c>
      <c r="K12" s="9" t="s">
        <v>43</v>
      </c>
      <c r="L12" s="11">
        <v>295</v>
      </c>
      <c r="M12" s="11">
        <v>354</v>
      </c>
      <c r="N12" s="9" t="s">
        <v>44</v>
      </c>
      <c r="O12" s="11">
        <f t="shared" si="0"/>
        <v>28</v>
      </c>
      <c r="P12" s="11">
        <v>28</v>
      </c>
      <c r="Q12" s="9" t="s">
        <v>59</v>
      </c>
    </row>
    <row r="13" spans="1:17" ht="56.25">
      <c r="A13" s="9" t="s">
        <v>60</v>
      </c>
      <c r="B13" s="9" t="s">
        <v>37</v>
      </c>
      <c r="C13" s="10">
        <v>11591</v>
      </c>
      <c r="D13" s="9" t="s">
        <v>61</v>
      </c>
      <c r="E13" s="9" t="s">
        <v>61</v>
      </c>
      <c r="F13" s="9" t="s">
        <v>62</v>
      </c>
      <c r="G13" s="9" t="s">
        <v>41</v>
      </c>
      <c r="H13" s="14"/>
      <c r="I13" s="13" t="s">
        <v>61</v>
      </c>
      <c r="J13" s="14"/>
      <c r="K13" s="9" t="s">
        <v>43</v>
      </c>
      <c r="L13" s="11">
        <v>5448</v>
      </c>
      <c r="M13" s="11">
        <v>6538</v>
      </c>
      <c r="N13" s="9" t="s">
        <v>63</v>
      </c>
      <c r="O13" s="11">
        <f t="shared" si="0"/>
        <v>168</v>
      </c>
      <c r="P13" s="11">
        <v>168</v>
      </c>
      <c r="Q13" s="9" t="s">
        <v>64</v>
      </c>
    </row>
    <row r="14" spans="1:17" ht="22.5">
      <c r="A14" s="9" t="s">
        <v>65</v>
      </c>
      <c r="B14" s="9" t="s">
        <v>1</v>
      </c>
      <c r="C14" s="10">
        <v>40415</v>
      </c>
      <c r="D14" s="9" t="s">
        <v>66</v>
      </c>
      <c r="E14" s="9" t="s">
        <v>67</v>
      </c>
      <c r="F14" s="9" t="s">
        <v>40</v>
      </c>
      <c r="G14" s="9" t="s">
        <v>41</v>
      </c>
      <c r="H14" s="13">
        <v>1</v>
      </c>
      <c r="I14" s="13" t="s">
        <v>68</v>
      </c>
      <c r="J14" s="13">
        <v>4</v>
      </c>
      <c r="K14" s="9" t="s">
        <v>43</v>
      </c>
      <c r="L14" s="11">
        <v>290</v>
      </c>
      <c r="M14" s="11">
        <v>348</v>
      </c>
      <c r="N14" s="9" t="s">
        <v>44</v>
      </c>
      <c r="O14" s="11">
        <f t="shared" si="0"/>
        <v>28</v>
      </c>
      <c r="P14" s="11">
        <v>28</v>
      </c>
      <c r="Q14" s="9" t="s">
        <v>69</v>
      </c>
    </row>
    <row r="15" spans="1:17" ht="22.5">
      <c r="A15" s="9" t="s">
        <v>70</v>
      </c>
      <c r="B15" s="9" t="s">
        <v>37</v>
      </c>
      <c r="C15" s="10">
        <v>12176</v>
      </c>
      <c r="D15" s="9" t="s">
        <v>71</v>
      </c>
      <c r="E15" s="9" t="s">
        <v>72</v>
      </c>
      <c r="F15" s="9" t="s">
        <v>73</v>
      </c>
      <c r="G15" s="9" t="s">
        <v>74</v>
      </c>
      <c r="H15" s="13">
        <v>1</v>
      </c>
      <c r="I15" s="13" t="s">
        <v>75</v>
      </c>
      <c r="J15" s="13">
        <v>6</v>
      </c>
      <c r="K15" s="9" t="s">
        <v>43</v>
      </c>
      <c r="L15" s="11">
        <v>185.98</v>
      </c>
      <c r="M15" s="11">
        <v>224</v>
      </c>
      <c r="N15" s="9" t="s">
        <v>51</v>
      </c>
      <c r="O15" s="11">
        <f t="shared" si="0"/>
        <v>0</v>
      </c>
      <c r="P15" s="11">
        <v>24.3</v>
      </c>
      <c r="Q15" s="9" t="s">
        <v>76</v>
      </c>
    </row>
    <row r="16" spans="1:17" ht="45">
      <c r="A16" s="9" t="s">
        <v>77</v>
      </c>
      <c r="B16" s="9" t="s">
        <v>37</v>
      </c>
      <c r="C16" s="10">
        <v>40368</v>
      </c>
      <c r="D16" s="9" t="s">
        <v>78</v>
      </c>
      <c r="E16" s="9" t="s">
        <v>79</v>
      </c>
      <c r="F16" s="9" t="s">
        <v>40</v>
      </c>
      <c r="G16" s="9" t="s">
        <v>41</v>
      </c>
      <c r="H16" s="13">
        <v>1</v>
      </c>
      <c r="I16" s="13" t="s">
        <v>80</v>
      </c>
      <c r="J16" s="13">
        <v>6</v>
      </c>
      <c r="K16" s="9" t="s">
        <v>43</v>
      </c>
      <c r="L16" s="11">
        <v>350</v>
      </c>
      <c r="M16" s="11">
        <v>420</v>
      </c>
      <c r="N16" s="9" t="s">
        <v>81</v>
      </c>
      <c r="O16" s="11">
        <f t="shared" si="0"/>
        <v>42</v>
      </c>
      <c r="P16" s="11">
        <v>42</v>
      </c>
      <c r="Q16" s="9" t="s">
        <v>82</v>
      </c>
    </row>
    <row r="17" spans="1:17" ht="56.25">
      <c r="A17" s="9" t="s">
        <v>99</v>
      </c>
      <c r="B17" s="9" t="s">
        <v>37</v>
      </c>
      <c r="C17" s="10">
        <v>40430</v>
      </c>
      <c r="D17" s="9" t="s">
        <v>100</v>
      </c>
      <c r="E17" s="9" t="s">
        <v>101</v>
      </c>
      <c r="F17" s="9" t="s">
        <v>40</v>
      </c>
      <c r="G17" s="9" t="s">
        <v>41</v>
      </c>
      <c r="H17" s="13">
        <v>1</v>
      </c>
      <c r="I17" s="13" t="s">
        <v>102</v>
      </c>
      <c r="J17" s="13">
        <v>4</v>
      </c>
      <c r="K17" s="9" t="s">
        <v>43</v>
      </c>
      <c r="L17" s="11">
        <v>300</v>
      </c>
      <c r="M17" s="11">
        <v>360</v>
      </c>
      <c r="N17" s="9" t="s">
        <v>44</v>
      </c>
      <c r="O17" s="11">
        <v>28</v>
      </c>
      <c r="P17" s="11">
        <v>28</v>
      </c>
      <c r="Q17" s="16" t="s">
        <v>103</v>
      </c>
    </row>
    <row r="18" spans="1:17" ht="56.25">
      <c r="A18" s="9" t="s">
        <v>83</v>
      </c>
      <c r="B18" s="9" t="s">
        <v>84</v>
      </c>
      <c r="C18" s="10">
        <v>11694</v>
      </c>
      <c r="D18" s="9" t="s">
        <v>61</v>
      </c>
      <c r="E18" s="9" t="s">
        <v>85</v>
      </c>
      <c r="F18" s="9" t="s">
        <v>40</v>
      </c>
      <c r="G18" s="9" t="s">
        <v>41</v>
      </c>
      <c r="H18" s="13">
        <v>1</v>
      </c>
      <c r="I18" s="13" t="s">
        <v>86</v>
      </c>
      <c r="J18" s="13">
        <v>4</v>
      </c>
      <c r="K18" s="9" t="s">
        <v>43</v>
      </c>
      <c r="L18" s="11">
        <v>427</v>
      </c>
      <c r="M18" s="12"/>
      <c r="N18" s="9" t="s">
        <v>51</v>
      </c>
      <c r="O18" s="11">
        <f t="shared" si="0"/>
        <v>0</v>
      </c>
      <c r="P18" s="11">
        <v>0</v>
      </c>
      <c r="Q18" s="9" t="s">
        <v>87</v>
      </c>
    </row>
    <row r="19" spans="1:17" ht="67.5">
      <c r="A19" s="9" t="s">
        <v>88</v>
      </c>
      <c r="B19" s="9" t="s">
        <v>1</v>
      </c>
      <c r="C19" s="10">
        <v>40408</v>
      </c>
      <c r="D19" s="9" t="s">
        <v>89</v>
      </c>
      <c r="E19" s="9" t="s">
        <v>90</v>
      </c>
      <c r="F19" s="9" t="s">
        <v>91</v>
      </c>
      <c r="G19" s="9" t="s">
        <v>92</v>
      </c>
      <c r="H19" s="13">
        <v>1</v>
      </c>
      <c r="I19" s="13" t="s">
        <v>93</v>
      </c>
      <c r="J19" s="13">
        <v>4</v>
      </c>
      <c r="K19" s="9" t="s">
        <v>61</v>
      </c>
      <c r="L19" s="12"/>
      <c r="M19" s="12"/>
      <c r="N19" s="9" t="s">
        <v>61</v>
      </c>
      <c r="O19" s="11"/>
      <c r="P19" s="12"/>
      <c r="Q19" s="9" t="s">
        <v>94</v>
      </c>
    </row>
    <row r="20" spans="1:17" ht="33.75">
      <c r="A20" s="9" t="s">
        <v>95</v>
      </c>
      <c r="B20" s="9" t="s">
        <v>84</v>
      </c>
      <c r="C20" s="10">
        <v>11760</v>
      </c>
      <c r="D20" s="9" t="s">
        <v>61</v>
      </c>
      <c r="E20" s="9" t="s">
        <v>96</v>
      </c>
      <c r="F20" s="9" t="s">
        <v>40</v>
      </c>
      <c r="G20" s="9" t="s">
        <v>41</v>
      </c>
      <c r="H20" s="13">
        <v>1</v>
      </c>
      <c r="I20" s="13" t="s">
        <v>86</v>
      </c>
      <c r="J20" s="13">
        <v>6</v>
      </c>
      <c r="K20" s="9" t="s">
        <v>43</v>
      </c>
      <c r="L20" s="11">
        <v>605</v>
      </c>
      <c r="M20" s="12"/>
      <c r="N20" s="9" t="s">
        <v>51</v>
      </c>
      <c r="O20" s="11">
        <f t="shared" si="0"/>
        <v>0</v>
      </c>
      <c r="P20" s="11">
        <v>0</v>
      </c>
      <c r="Q20" s="9" t="s">
        <v>97</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RowHeight="12.75"/>
  <cols>
    <col min="1" max="16384" width="11.42578125" style="5"/>
  </cols>
  <sheetData>
    <row r="1" spans="1:7" ht="96" customHeight="1">
      <c r="A1" s="15" t="s">
        <v>4</v>
      </c>
      <c r="B1" s="15"/>
      <c r="C1" s="15"/>
      <c r="D1" s="15"/>
      <c r="E1" s="15"/>
      <c r="F1" s="15"/>
      <c r="G1" s="15"/>
    </row>
    <row r="2" spans="1:7">
      <c r="A2" s="15" t="s">
        <v>5</v>
      </c>
      <c r="B2" s="15"/>
      <c r="C2" s="15"/>
      <c r="D2" s="15"/>
      <c r="E2" s="15"/>
      <c r="F2" s="15"/>
      <c r="G2" s="15"/>
    </row>
    <row r="3" spans="1:7">
      <c r="A3" s="6"/>
      <c r="B3" s="6"/>
      <c r="C3" s="6"/>
      <c r="D3" s="6"/>
      <c r="E3" s="6"/>
      <c r="F3" s="6"/>
      <c r="G3" s="6"/>
    </row>
    <row r="4" spans="1:7">
      <c r="A4" s="6" t="s">
        <v>2</v>
      </c>
      <c r="B4" s="7" t="s">
        <v>6</v>
      </c>
      <c r="C4" s="6"/>
      <c r="D4" s="6"/>
      <c r="E4" s="6"/>
      <c r="F4" s="6"/>
      <c r="G4" s="6"/>
    </row>
    <row r="5" spans="1:7">
      <c r="A5" s="6" t="s">
        <v>0</v>
      </c>
      <c r="B5" s="7" t="s">
        <v>7</v>
      </c>
      <c r="C5" s="6"/>
      <c r="D5" s="6"/>
      <c r="E5" s="6"/>
      <c r="F5" s="6"/>
      <c r="G5" s="6"/>
    </row>
    <row r="6" spans="1:7">
      <c r="A6" s="6" t="s">
        <v>1</v>
      </c>
      <c r="B6" s="7" t="s">
        <v>8</v>
      </c>
      <c r="C6" s="6"/>
      <c r="D6" s="6"/>
      <c r="E6" s="6"/>
      <c r="F6" s="6"/>
      <c r="G6" s="6"/>
    </row>
    <row r="7" spans="1:7">
      <c r="A7" s="6" t="s">
        <v>9</v>
      </c>
      <c r="B7" s="7" t="s">
        <v>10</v>
      </c>
      <c r="C7" s="6"/>
      <c r="D7" s="6"/>
      <c r="E7" s="6"/>
      <c r="F7" s="6"/>
      <c r="G7" s="6"/>
    </row>
    <row r="8" spans="1:7">
      <c r="A8" s="6" t="s">
        <v>11</v>
      </c>
      <c r="B8" s="7" t="s">
        <v>12</v>
      </c>
      <c r="C8" s="6"/>
      <c r="D8" s="6"/>
      <c r="E8" s="6"/>
      <c r="F8" s="6"/>
      <c r="G8" s="6"/>
    </row>
    <row r="9" spans="1:7">
      <c r="A9" s="6" t="s">
        <v>13</v>
      </c>
      <c r="B9" s="7" t="s">
        <v>14</v>
      </c>
      <c r="C9" s="6"/>
      <c r="D9" s="6"/>
      <c r="E9" s="6"/>
      <c r="F9" s="6"/>
      <c r="G9" s="6"/>
    </row>
    <row r="10" spans="1:7">
      <c r="A10" s="6" t="s">
        <v>3</v>
      </c>
      <c r="B10" s="7" t="s">
        <v>15</v>
      </c>
      <c r="C10" s="6"/>
      <c r="D10" s="6"/>
      <c r="E10" s="6"/>
      <c r="F10" s="6"/>
      <c r="G10" s="6"/>
    </row>
    <row r="11" spans="1:7">
      <c r="A11" s="6" t="s">
        <v>17</v>
      </c>
      <c r="B11" s="7" t="s">
        <v>18</v>
      </c>
      <c r="C11" s="6"/>
      <c r="D11" s="6"/>
      <c r="E11" s="6"/>
      <c r="F11" s="6"/>
      <c r="G11" s="6"/>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2010-01-25T14:13:44Z</dcterms:created>
  <dcterms:modified xsi:type="dcterms:W3CDTF">2012-09-12T11:30:45Z</dcterms:modified>
</cp:coreProperties>
</file>