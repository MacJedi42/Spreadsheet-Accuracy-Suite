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workbookProtection workbookPassword="AE7C" lockStructure="1"/>
  <bookViews>
    <workbookView xWindow="240" yWindow="135" windowWidth="15480" windowHeight="7965"/>
  </bookViews>
  <sheets>
    <sheet name="Nursing Calculator" sheetId="3" r:id="rId1"/>
  </sheets>
  <calcPr calcId="145621"/>
</workbook>
</file>

<file path=xl/calcChain.xml><?xml version="1.0" encoding="utf-8"?>
<calcChain xmlns="http://schemas.openxmlformats.org/spreadsheetml/2006/main">
  <c r="C10" i="3" l="1"/>
  <c r="C5" i="3"/>
  <c r="D5" i="3"/>
  <c r="E5" i="3"/>
  <c r="C3" i="3"/>
  <c r="C7" i="3" s="1"/>
  <c r="D3" i="3"/>
  <c r="D7" i="3" s="1"/>
  <c r="E3" i="3"/>
  <c r="E7" i="3" s="1"/>
  <c r="K3" i="3"/>
  <c r="K5" i="3"/>
  <c r="K7" i="3"/>
  <c r="M7" i="3"/>
  <c r="L7" i="3"/>
  <c r="F5" i="3"/>
  <c r="G5" i="3"/>
  <c r="H5" i="3"/>
  <c r="I5" i="3"/>
  <c r="J5" i="3"/>
  <c r="K6" i="3" l="1"/>
  <c r="D6" i="3"/>
  <c r="C6" i="3"/>
  <c r="E6" i="3"/>
  <c r="F3" i="3"/>
  <c r="F7" i="3" s="1"/>
  <c r="G3" i="3"/>
  <c r="G7" i="3" s="1"/>
  <c r="G6" i="3" l="1"/>
  <c r="F6" i="3"/>
  <c r="H3" i="3"/>
  <c r="I3" i="3"/>
  <c r="J3" i="3"/>
  <c r="J7" i="3" l="1"/>
  <c r="J6" i="3"/>
  <c r="H7" i="3"/>
  <c r="H6" i="3"/>
  <c r="I7" i="3"/>
  <c r="I6" i="3"/>
  <c r="C11" i="3" s="1"/>
  <c r="C12" i="3" l="1"/>
</calcChain>
</file>

<file path=xl/sharedStrings.xml><?xml version="1.0" encoding="utf-8"?>
<sst xmlns="http://schemas.openxmlformats.org/spreadsheetml/2006/main" count="65" uniqueCount="41">
  <si>
    <t>Total # of Classes</t>
  </si>
  <si>
    <t>A</t>
  </si>
  <si>
    <t>C</t>
  </si>
  <si>
    <t>B</t>
  </si>
  <si>
    <t>D</t>
  </si>
  <si>
    <t>F</t>
  </si>
  <si>
    <t>Grade</t>
  </si>
  <si>
    <t>BIO 104</t>
  </si>
  <si>
    <t>PSY 101</t>
  </si>
  <si>
    <t>CHE 100</t>
  </si>
  <si>
    <t>ENG 101</t>
  </si>
  <si>
    <t>ENG 102</t>
  </si>
  <si>
    <t>BIO105/152</t>
  </si>
  <si>
    <t>BIO 106/153</t>
  </si>
  <si>
    <t>BIO 201</t>
  </si>
  <si>
    <t>SOC 101</t>
  </si>
  <si>
    <t>Credit Hrs</t>
  </si>
  <si>
    <t xml:space="preserve">Credit Hours = 3 </t>
  </si>
  <si>
    <t>Credit Hours = 4</t>
  </si>
  <si>
    <t>Credit Hours</t>
  </si>
  <si>
    <t>GPA</t>
  </si>
  <si>
    <t xml:space="preserve">Quality Points </t>
  </si>
  <si>
    <t>Weighted Points</t>
  </si>
  <si>
    <t xml:space="preserve">Weighted Points </t>
  </si>
  <si>
    <t>Numeric Grade</t>
  </si>
  <si>
    <t>Numeric Points</t>
  </si>
  <si>
    <t>Total Weighted Points</t>
  </si>
  <si>
    <t>Course</t>
  </si>
  <si>
    <t>College Course Grade</t>
  </si>
  <si>
    <t>Regents Grades</t>
  </si>
  <si>
    <t>95 - 100</t>
  </si>
  <si>
    <t>90 - 94</t>
  </si>
  <si>
    <t>80 - 84</t>
  </si>
  <si>
    <t xml:space="preserve">75 - 79 </t>
  </si>
  <si>
    <t>0 -74</t>
  </si>
  <si>
    <t>85 - 89</t>
  </si>
  <si>
    <t>Score</t>
  </si>
  <si>
    <t>Regents</t>
  </si>
  <si>
    <t>CollCourse</t>
  </si>
  <si>
    <t>Class</t>
  </si>
  <si>
    <t xml:space="preserve">*Please make sure you enter both Class and Grade, or else the GPA will NOT calculate accurately.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</si>
</sst>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hidden="1"/>
    </xf>
    <xf numFmtId="0" fontId="4" fillId="4" borderId="1" xfId="0" applyFont="1" applyFill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right"/>
      <protection hidden="1"/>
    </xf>
    <xf numFmtId="0" fontId="2" fillId="0" borderId="0" xfId="0" applyFont="1" applyProtection="1">
      <protection hidden="1"/>
    </xf>
    <xf numFmtId="0" fontId="4" fillId="5" borderId="0" xfId="0" applyFont="1" applyFill="1" applyProtection="1">
      <protection hidden="1"/>
    </xf>
    <xf numFmtId="2" fontId="4" fillId="5" borderId="0" xfId="0" applyNumberFormat="1" applyFont="1" applyFill="1" applyProtection="1">
      <protection hidden="1"/>
    </xf>
    <xf numFmtId="0" fontId="0" fillId="7" borderId="2" xfId="0" applyFont="1" applyFill="1" applyBorder="1" applyAlignment="1" applyProtection="1">
      <alignment horizontal="center" vertical="center"/>
      <protection hidden="1"/>
    </xf>
    <xf numFmtId="0" fontId="0" fillId="6" borderId="2" xfId="0" applyFill="1" applyBorder="1" applyAlignment="1" applyProtection="1">
      <alignment horizontal="center" vertical="center"/>
      <protection hidden="1"/>
    </xf>
    <xf numFmtId="0" fontId="0" fillId="6" borderId="5" xfId="0" applyFont="1" applyFill="1" applyBorder="1" applyAlignment="1" applyProtection="1">
      <alignment horizontal="center" vertical="center" wrapText="1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3" fillId="8" borderId="6" xfId="0" applyFont="1" applyFill="1" applyBorder="1" applyAlignment="1" applyProtection="1">
      <alignment horizontal="center"/>
      <protection hidden="1"/>
    </xf>
    <xf numFmtId="0" fontId="0" fillId="3" borderId="6" xfId="0" applyFill="1" applyBorder="1" applyAlignment="1" applyProtection="1">
      <alignment horizontal="center"/>
      <protection hidden="1"/>
    </xf>
    <xf numFmtId="0" fontId="0" fillId="3" borderId="3" xfId="0" applyFill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6" borderId="10" xfId="0" applyFill="1" applyBorder="1" applyAlignment="1" applyProtection="1">
      <alignment horizontal="center" vertical="center"/>
      <protection hidden="1"/>
    </xf>
    <xf numFmtId="0" fontId="0" fillId="6" borderId="8" xfId="0" applyFont="1" applyFill="1" applyBorder="1" applyAlignment="1" applyProtection="1">
      <alignment horizontal="center" vertical="center" wrapText="1"/>
      <protection hidden="1"/>
    </xf>
    <xf numFmtId="0" fontId="0" fillId="3" borderId="7" xfId="0" applyFill="1" applyBorder="1" applyAlignment="1" applyProtection="1">
      <alignment horizontal="center"/>
      <protection hidden="1"/>
    </xf>
    <xf numFmtId="0" fontId="0" fillId="3" borderId="4" xfId="0" applyFill="1" applyBorder="1" applyAlignment="1" applyProtection="1">
      <alignment horizontal="center"/>
      <protection hidden="1"/>
    </xf>
    <xf numFmtId="0" fontId="4" fillId="0" borderId="1" xfId="0" applyFont="1" applyBorder="1" applyProtection="1">
      <protection locked="0" hidden="1"/>
    </xf>
    <xf numFmtId="0" fontId="4" fillId="0" borderId="1" xfId="0" applyFont="1" applyBorder="1" applyProtection="1">
      <protection locked="0"/>
    </xf>
    <xf numFmtId="0" fontId="1" fillId="0" borderId="0" xfId="0" applyFont="1" applyAlignment="1" applyProtection="1">
      <alignment horizontal="right"/>
    </xf>
    <xf numFmtId="0" fontId="1" fillId="2" borderId="0" xfId="0" applyFont="1" applyFill="1" applyAlignment="1" applyProtection="1">
      <alignment horizontal="right"/>
    </xf>
    <xf numFmtId="0" fontId="2" fillId="0" borderId="9" xfId="0" applyFont="1" applyBorder="1" applyAlignment="1" applyProtection="1">
      <alignment horizontal="center"/>
      <protection hidden="1"/>
    </xf>
    <xf numFmtId="0" fontId="0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topLeftCell="B1" zoomScale="80" zoomScaleNormal="80" workbookViewId="0">
      <selection activeCell="E25" sqref="E25"/>
    </sheetView>
  </sheetViews>
  <sheetFormatPr defaultColWidth="9.140625" defaultRowHeight="15" x14ac:dyDescent="0.25"/>
  <cols>
    <col min="1" max="1" width="0.28515625" style="2" hidden="1" customWidth="1"/>
    <col min="2" max="2" width="20.42578125" style="1" bestFit="1" customWidth="1"/>
    <col min="3" max="7" width="10" style="3" customWidth="1"/>
    <col min="8" max="8" width="11.28515625" style="3" bestFit="1" customWidth="1"/>
    <col min="9" max="9" width="10.28515625" style="3" customWidth="1"/>
    <col min="10" max="11" width="10" style="3" customWidth="1"/>
    <col min="12" max="12" width="11.28515625" style="3" customWidth="1"/>
    <col min="13" max="13" width="10.5703125" style="3" bestFit="1" customWidth="1"/>
    <col min="14" max="16384" width="9.140625" style="2"/>
  </cols>
  <sheetData>
    <row r="1" spans="2:13" ht="14.45" x14ac:dyDescent="0.3">
      <c r="B1" s="30"/>
      <c r="C1" s="8" t="s">
        <v>38</v>
      </c>
      <c r="D1" s="8" t="s">
        <v>38</v>
      </c>
      <c r="E1" s="8" t="s">
        <v>38</v>
      </c>
      <c r="F1" s="8" t="s">
        <v>38</v>
      </c>
      <c r="G1" s="8" t="s">
        <v>38</v>
      </c>
      <c r="H1" s="8" t="s">
        <v>38</v>
      </c>
      <c r="I1" s="8" t="s">
        <v>38</v>
      </c>
      <c r="J1" s="8" t="s">
        <v>38</v>
      </c>
      <c r="K1" s="8" t="s">
        <v>38</v>
      </c>
      <c r="L1" s="8" t="s">
        <v>37</v>
      </c>
      <c r="M1" s="8" t="s">
        <v>37</v>
      </c>
    </row>
    <row r="2" spans="2:13" ht="14.45" x14ac:dyDescent="0.3">
      <c r="B2" s="31" t="s">
        <v>39</v>
      </c>
      <c r="C2" s="4"/>
      <c r="D2" s="4"/>
      <c r="E2" s="4"/>
      <c r="F2" s="4"/>
      <c r="G2" s="4"/>
      <c r="H2" s="4"/>
      <c r="I2" s="4"/>
      <c r="J2" s="4"/>
      <c r="K2" s="4"/>
      <c r="L2" s="29"/>
      <c r="M2" s="29"/>
    </row>
    <row r="3" spans="2:13" ht="14.45" hidden="1" x14ac:dyDescent="0.3">
      <c r="B3" s="31" t="s">
        <v>19</v>
      </c>
      <c r="C3" s="5" t="str">
        <f t="shared" ref="C3:E3" si="0">IF(NOT(ISBLANK(C2)), VLOOKUP(C2, $B$15:$C$23, 2, FALSE),"")</f>
        <v/>
      </c>
      <c r="D3" s="5" t="str">
        <f t="shared" si="0"/>
        <v/>
      </c>
      <c r="E3" s="5" t="str">
        <f t="shared" si="0"/>
        <v/>
      </c>
      <c r="F3" s="5" t="str">
        <f t="shared" ref="F3:K3" si="1">IF(NOT(ISBLANK(F2)), VLOOKUP(F2, $B$15:$C$23, 2, FALSE),"")</f>
        <v/>
      </c>
      <c r="G3" s="5" t="str">
        <f t="shared" si="1"/>
        <v/>
      </c>
      <c r="H3" s="5" t="str">
        <f t="shared" si="1"/>
        <v/>
      </c>
      <c r="I3" s="5" t="str">
        <f t="shared" si="1"/>
        <v/>
      </c>
      <c r="J3" s="5" t="str">
        <f t="shared" si="1"/>
        <v/>
      </c>
      <c r="K3" s="5" t="str">
        <f t="shared" si="1"/>
        <v/>
      </c>
      <c r="L3" s="28"/>
      <c r="M3" s="28"/>
    </row>
    <row r="4" spans="2:13" ht="14.45" x14ac:dyDescent="0.3">
      <c r="B4" s="31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2:13" ht="14.45" hidden="1" x14ac:dyDescent="0.3">
      <c r="B5" s="9" t="s">
        <v>24</v>
      </c>
      <c r="C5" s="5" t="str">
        <f t="shared" ref="C5:E5" si="2">IF(NOT(ISBLANK(C4)), VLOOKUP(C4, $E$14:$F$19, 2, FALSE), "")</f>
        <v/>
      </c>
      <c r="D5" s="5" t="str">
        <f t="shared" si="2"/>
        <v/>
      </c>
      <c r="E5" s="5" t="str">
        <f t="shared" si="2"/>
        <v/>
      </c>
      <c r="F5" s="5" t="str">
        <f t="shared" ref="F5:K5" si="3">IF(NOT(ISBLANK(F4)), VLOOKUP(F4, $E$14:$F$19, 2, FALSE), "")</f>
        <v/>
      </c>
      <c r="G5" s="5" t="str">
        <f t="shared" si="3"/>
        <v/>
      </c>
      <c r="H5" s="5" t="str">
        <f t="shared" si="3"/>
        <v/>
      </c>
      <c r="I5" s="5" t="str">
        <f t="shared" si="3"/>
        <v/>
      </c>
      <c r="J5" s="5" t="str">
        <f t="shared" si="3"/>
        <v/>
      </c>
      <c r="K5" s="5" t="str">
        <f t="shared" si="3"/>
        <v/>
      </c>
      <c r="L5" s="5"/>
      <c r="M5" s="5"/>
    </row>
    <row r="6" spans="2:13" ht="14.45" hidden="1" x14ac:dyDescent="0.3">
      <c r="B6" s="9" t="s">
        <v>21</v>
      </c>
      <c r="C6" s="5" t="str">
        <f t="shared" ref="C6:D6" si="4">IFERROR(IF(NOT(ISBLANK(C4)), C3*C5,""),"")</f>
        <v/>
      </c>
      <c r="D6" s="5" t="str">
        <f t="shared" si="4"/>
        <v/>
      </c>
      <c r="E6" s="5" t="str">
        <f>IFERROR(IF(NOT(ISBLANK(E4)), E3*E5,""),"")</f>
        <v/>
      </c>
      <c r="F6" s="5" t="str">
        <f t="shared" ref="F6:K6" si="5">IFERROR(IF(NOT(ISBLANK(F4)), F3*F5,""),"")</f>
        <v/>
      </c>
      <c r="G6" s="5" t="str">
        <f t="shared" si="5"/>
        <v/>
      </c>
      <c r="H6" s="5" t="str">
        <f t="shared" si="5"/>
        <v/>
      </c>
      <c r="I6" s="5" t="str">
        <f t="shared" si="5"/>
        <v/>
      </c>
      <c r="J6" s="5" t="str">
        <f t="shared" si="5"/>
        <v/>
      </c>
      <c r="K6" s="5" t="str">
        <f t="shared" si="5"/>
        <v/>
      </c>
      <c r="L6" s="5"/>
      <c r="M6" s="5"/>
    </row>
    <row r="7" spans="2:13" ht="14.45" x14ac:dyDescent="0.3">
      <c r="B7" s="9" t="s">
        <v>23</v>
      </c>
      <c r="C7" s="6" t="str">
        <f t="shared" ref="C7:E7" si="6">IF(NOT(ISBLANK(C4)), IF(C3=3,VLOOKUP(C4,$H$14:$I$19,2, FALSE), VLOOKUP(C4, $K$14:$L$19, 2, FALSE)),"")</f>
        <v/>
      </c>
      <c r="D7" s="6" t="str">
        <f t="shared" si="6"/>
        <v/>
      </c>
      <c r="E7" s="6" t="str">
        <f t="shared" si="6"/>
        <v/>
      </c>
      <c r="F7" s="6" t="str">
        <f t="shared" ref="F7:K7" si="7">IF(NOT(ISBLANK(F4)), IF(F3=3,VLOOKUP(F4,$H$14:$I$19,2, FALSE), VLOOKUP(F4, $K$14:$L$19, 2, FALSE)),"")</f>
        <v/>
      </c>
      <c r="G7" s="6" t="str">
        <f t="shared" si="7"/>
        <v/>
      </c>
      <c r="H7" s="6" t="str">
        <f t="shared" si="7"/>
        <v/>
      </c>
      <c r="I7" s="6" t="str">
        <f t="shared" si="7"/>
        <v/>
      </c>
      <c r="J7" s="6" t="str">
        <f t="shared" si="7"/>
        <v/>
      </c>
      <c r="K7" s="6" t="str">
        <f t="shared" si="7"/>
        <v/>
      </c>
      <c r="L7" s="6" t="str">
        <f>IF(NOT(ISBLANK(L4)), IF(L4&gt;=95, 10, IF(L4&gt;=90, 9, IF(L4&gt;=85, 7, IF(L4&gt;=80, 5, IF(L4&lt;=74, 0, IF(L4&gt;=75, 3)))))),"")</f>
        <v/>
      </c>
      <c r="M7" s="6" t="str">
        <f>IF(NOT(ISBLANK(M4)), IF(M4&gt;=95, 10, IF(M4&gt;=90, 9, IF(M4&gt;=85, 7, IF(M4&gt;=80, 5, IF(M4&lt;=74, 0, IF(M4&gt;=75, 3)))))),"")</f>
        <v/>
      </c>
    </row>
    <row r="8" spans="2:13" ht="14.45" x14ac:dyDescent="0.3">
      <c r="B8" s="7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2:13" ht="14.45" x14ac:dyDescent="0.3">
      <c r="B9" s="7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2:13" ht="14.45" x14ac:dyDescent="0.3">
      <c r="B10" s="9" t="s">
        <v>0</v>
      </c>
      <c r="C10" s="11" t="str">
        <f>IF(COUNTA(C2:M2)=0,"",COUNTA(C2:M2))</f>
        <v/>
      </c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2:13" ht="14.45" x14ac:dyDescent="0.3">
      <c r="B11" s="9" t="s">
        <v>20</v>
      </c>
      <c r="C11" s="12" t="str">
        <f>IFERROR(SUM(C6:K6)/SUM(C3:K3), "")</f>
        <v/>
      </c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2:13" ht="14.45" x14ac:dyDescent="0.3">
      <c r="B12" s="9" t="s">
        <v>26</v>
      </c>
      <c r="C12" s="11" t="str">
        <f>IF(SUM(C7:M7)=0,"",SUM(C7:M7))</f>
        <v/>
      </c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2:13" thickBot="1" x14ac:dyDescent="0.35">
      <c r="B13" s="7"/>
      <c r="C13" s="10"/>
      <c r="D13" s="10"/>
      <c r="E13" s="32" t="s">
        <v>28</v>
      </c>
      <c r="F13" s="32"/>
      <c r="G13" s="10"/>
      <c r="H13" s="32" t="s">
        <v>17</v>
      </c>
      <c r="I13" s="32"/>
      <c r="J13" s="10"/>
      <c r="K13" s="32" t="s">
        <v>18</v>
      </c>
      <c r="L13" s="32"/>
      <c r="M13" s="10"/>
    </row>
    <row r="14" spans="2:13" ht="29.45" thickBot="1" x14ac:dyDescent="0.35">
      <c r="B14" s="13" t="s">
        <v>27</v>
      </c>
      <c r="C14" s="13" t="s">
        <v>16</v>
      </c>
      <c r="D14" s="10"/>
      <c r="E14" s="14" t="s">
        <v>6</v>
      </c>
      <c r="F14" s="15" t="s">
        <v>25</v>
      </c>
      <c r="G14" s="10"/>
      <c r="H14" s="14" t="s">
        <v>6</v>
      </c>
      <c r="I14" s="15" t="s">
        <v>22</v>
      </c>
      <c r="J14" s="10"/>
      <c r="K14" s="14" t="s">
        <v>6</v>
      </c>
      <c r="L14" s="15" t="s">
        <v>22</v>
      </c>
      <c r="M14" s="10"/>
    </row>
    <row r="15" spans="2:13" ht="14.45" x14ac:dyDescent="0.3">
      <c r="B15" s="16" t="s">
        <v>9</v>
      </c>
      <c r="C15" s="16">
        <v>3</v>
      </c>
      <c r="D15" s="10"/>
      <c r="E15" s="17" t="s">
        <v>1</v>
      </c>
      <c r="F15" s="18">
        <v>4</v>
      </c>
      <c r="G15" s="10"/>
      <c r="H15" s="17" t="s">
        <v>1</v>
      </c>
      <c r="I15" s="18">
        <v>10</v>
      </c>
      <c r="J15" s="10"/>
      <c r="K15" s="17" t="s">
        <v>1</v>
      </c>
      <c r="L15" s="18">
        <v>20</v>
      </c>
      <c r="M15" s="10"/>
    </row>
    <row r="16" spans="2:13" ht="14.45" x14ac:dyDescent="0.3">
      <c r="B16" s="19" t="s">
        <v>7</v>
      </c>
      <c r="C16" s="19">
        <v>3</v>
      </c>
      <c r="D16" s="10"/>
      <c r="E16" s="20" t="s">
        <v>3</v>
      </c>
      <c r="F16" s="21">
        <v>3</v>
      </c>
      <c r="G16" s="10"/>
      <c r="H16" s="20" t="s">
        <v>3</v>
      </c>
      <c r="I16" s="21">
        <v>8</v>
      </c>
      <c r="J16" s="10"/>
      <c r="K16" s="20" t="s">
        <v>3</v>
      </c>
      <c r="L16" s="21">
        <v>15</v>
      </c>
      <c r="M16" s="10"/>
    </row>
    <row r="17" spans="2:13" ht="14.45" x14ac:dyDescent="0.3">
      <c r="B17" s="17" t="s">
        <v>10</v>
      </c>
      <c r="C17" s="17">
        <v>3</v>
      </c>
      <c r="D17" s="10"/>
      <c r="E17" s="17" t="s">
        <v>2</v>
      </c>
      <c r="F17" s="18">
        <v>2</v>
      </c>
      <c r="G17" s="10"/>
      <c r="H17" s="17" t="s">
        <v>2</v>
      </c>
      <c r="I17" s="18">
        <v>5</v>
      </c>
      <c r="J17" s="10"/>
      <c r="K17" s="17" t="s">
        <v>2</v>
      </c>
      <c r="L17" s="18">
        <v>10</v>
      </c>
      <c r="M17" s="10"/>
    </row>
    <row r="18" spans="2:13" s="3" customFormat="1" ht="14.45" x14ac:dyDescent="0.3">
      <c r="B18" s="19" t="s">
        <v>11</v>
      </c>
      <c r="C18" s="19">
        <v>3</v>
      </c>
      <c r="D18" s="10"/>
      <c r="E18" s="20" t="s">
        <v>4</v>
      </c>
      <c r="F18" s="21">
        <v>1</v>
      </c>
      <c r="G18" s="10"/>
      <c r="H18" s="20" t="s">
        <v>4</v>
      </c>
      <c r="I18" s="21">
        <v>2</v>
      </c>
      <c r="J18" s="10"/>
      <c r="K18" s="20" t="s">
        <v>4</v>
      </c>
      <c r="L18" s="21">
        <v>5</v>
      </c>
      <c r="M18" s="10"/>
    </row>
    <row r="19" spans="2:13" s="3" customFormat="1" thickBot="1" x14ac:dyDescent="0.35">
      <c r="B19" s="17" t="s">
        <v>12</v>
      </c>
      <c r="C19" s="17">
        <v>4</v>
      </c>
      <c r="D19" s="10"/>
      <c r="E19" s="22" t="s">
        <v>5</v>
      </c>
      <c r="F19" s="23">
        <v>0</v>
      </c>
      <c r="G19" s="10"/>
      <c r="H19" s="22" t="s">
        <v>5</v>
      </c>
      <c r="I19" s="23">
        <v>0</v>
      </c>
      <c r="J19" s="10"/>
      <c r="K19" s="22" t="s">
        <v>5</v>
      </c>
      <c r="L19" s="23">
        <v>0</v>
      </c>
      <c r="M19" s="10"/>
    </row>
    <row r="20" spans="2:13" s="3" customFormat="1" ht="14.45" x14ac:dyDescent="0.3">
      <c r="B20" s="19" t="s">
        <v>13</v>
      </c>
      <c r="C20" s="19">
        <v>4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2:13" s="3" customFormat="1" ht="14.45" x14ac:dyDescent="0.3">
      <c r="B21" s="17" t="s">
        <v>14</v>
      </c>
      <c r="C21" s="17">
        <v>4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2:13" s="3" customFormat="1" ht="14.45" x14ac:dyDescent="0.3">
      <c r="B22" s="19" t="s">
        <v>15</v>
      </c>
      <c r="C22" s="19">
        <v>3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2:13" s="3" customFormat="1" thickBot="1" x14ac:dyDescent="0.35">
      <c r="B23" s="22" t="s">
        <v>8</v>
      </c>
      <c r="C23" s="22">
        <v>3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2:13" s="3" customFormat="1" ht="15.75" thickBot="1" x14ac:dyDescent="0.3">
      <c r="B24" s="1"/>
      <c r="H24" s="33" t="s">
        <v>29</v>
      </c>
      <c r="I24" s="33"/>
      <c r="J24" s="10"/>
      <c r="K24" s="10"/>
      <c r="L24" s="10"/>
      <c r="M24" s="10"/>
    </row>
    <row r="25" spans="2:13" ht="26.45" customHeight="1" thickBot="1" x14ac:dyDescent="0.3">
      <c r="B25" s="34" t="s">
        <v>40</v>
      </c>
      <c r="H25" s="24" t="s">
        <v>36</v>
      </c>
      <c r="I25" s="25" t="s">
        <v>22</v>
      </c>
      <c r="J25" s="10"/>
      <c r="K25" s="10"/>
      <c r="L25" s="10"/>
      <c r="M25" s="10"/>
    </row>
    <row r="26" spans="2:13" x14ac:dyDescent="0.25">
      <c r="B26" s="34"/>
      <c r="H26" s="16" t="s">
        <v>30</v>
      </c>
      <c r="I26" s="16">
        <v>10</v>
      </c>
      <c r="J26" s="10"/>
      <c r="K26" s="10"/>
      <c r="L26" s="10"/>
      <c r="M26" s="10"/>
    </row>
    <row r="27" spans="2:13" x14ac:dyDescent="0.25">
      <c r="B27" s="34"/>
      <c r="H27" s="20" t="s">
        <v>31</v>
      </c>
      <c r="I27" s="20">
        <v>9</v>
      </c>
      <c r="J27" s="10"/>
      <c r="K27" s="10"/>
      <c r="L27" s="10"/>
      <c r="M27" s="10"/>
    </row>
    <row r="28" spans="2:13" x14ac:dyDescent="0.25">
      <c r="B28" s="34"/>
      <c r="H28" s="17" t="s">
        <v>35</v>
      </c>
      <c r="I28" s="17">
        <v>7</v>
      </c>
      <c r="J28" s="10"/>
      <c r="K28" s="10"/>
      <c r="L28" s="10"/>
      <c r="M28" s="10"/>
    </row>
    <row r="29" spans="2:13" x14ac:dyDescent="0.25">
      <c r="B29" s="34"/>
      <c r="H29" s="20" t="s">
        <v>32</v>
      </c>
      <c r="I29" s="20">
        <v>5</v>
      </c>
      <c r="J29" s="10"/>
      <c r="K29" s="10"/>
      <c r="L29" s="10"/>
      <c r="M29" s="10"/>
    </row>
    <row r="30" spans="2:13" x14ac:dyDescent="0.25">
      <c r="H30" s="17" t="s">
        <v>33</v>
      </c>
      <c r="I30" s="17">
        <v>3</v>
      </c>
      <c r="J30" s="10"/>
      <c r="K30" s="10"/>
      <c r="L30" s="10"/>
      <c r="M30" s="10"/>
    </row>
    <row r="31" spans="2:13" thickBot="1" x14ac:dyDescent="0.35">
      <c r="H31" s="26" t="s">
        <v>34</v>
      </c>
      <c r="I31" s="27">
        <v>0</v>
      </c>
      <c r="J31" s="10"/>
      <c r="K31" s="10"/>
      <c r="L31" s="10"/>
      <c r="M31" s="10"/>
    </row>
  </sheetData>
  <sheetProtection password="AE7C" sheet="1" objects="1" scenarios="1" selectLockedCells="1"/>
  <protectedRanges>
    <protectedRange sqref="L4:M4 C3:M3 C5:M7" name="Range1"/>
  </protectedRanges>
  <mergeCells count="5">
    <mergeCell ref="E13:F13"/>
    <mergeCell ref="H13:I13"/>
    <mergeCell ref="K13:L13"/>
    <mergeCell ref="H24:I24"/>
    <mergeCell ref="B25:B29"/>
  </mergeCells>
  <dataValidations count="5">
    <dataValidation type="list" allowBlank="1" showInputMessage="1" showErrorMessage="1" sqref="C2:K2">
      <formula1>$B$15:$B$23</formula1>
    </dataValidation>
    <dataValidation type="list" allowBlank="1" showInputMessage="1" showErrorMessage="1" sqref="C4:K4">
      <formula1>$E$15:$E$19</formula1>
    </dataValidation>
    <dataValidation showInputMessage="1" showErrorMessage="1" promptTitle="Enter Regents Score" prompt="Please enter your regents score. " sqref="L4:M4"/>
    <dataValidation type="list" allowBlank="1" showInputMessage="1" showErrorMessage="1" error="You can only put the CHEM Regents label in this cell. " sqref="L2">
      <formula1>"CHEM Regents"</formula1>
    </dataValidation>
    <dataValidation type="list" allowBlank="1" showInputMessage="1" showErrorMessage="1" error="You can only put the BIO Regents label in this cell. " sqref="M2">
      <formula1>"BIO Regents"</formula1>
    </dataValidation>
  </dataValidations>
  <pageMargins left="0.1" right="0.25" top="0.75" bottom="0.5" header="0.3" footer="0.3"/>
  <pageSetup orientation="landscape" r:id="rId1"/>
  <headerFooter>
    <oddHeader>&amp;CNursing Evaluation Calculator</oddHeader>
  </headerFooter>
  <ignoredErrors>
    <ignoredError sqref="L7 C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Nursing Calculator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2013-01-11T16:22:13Z</dcterms:created>
  <dcterms:modified xsi:type="dcterms:W3CDTF">2013-01-17T19:21:54Z</dcterms:modified>
</cp:coreProperties>
</file>