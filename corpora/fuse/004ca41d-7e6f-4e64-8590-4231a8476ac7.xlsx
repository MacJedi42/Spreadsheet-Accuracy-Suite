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615" windowWidth="15600" windowHeight="11250"/>
  </bookViews>
  <sheets>
    <sheet name="Enrollment Worksheet" sheetId="1" r:id="rId1"/>
  </sheets>
  <definedNames>
    <definedName name="_xlnm.Print_Area" localSheetId="0">'Enrollment Worksheet'!$A$1:$AH$108</definedName>
  </definedNames>
  <calcPr calcId="145621"/>
</workbook>
</file>

<file path=xl/calcChain.xml><?xml version="1.0" encoding="utf-8"?>
<calcChain xmlns="http://schemas.openxmlformats.org/spreadsheetml/2006/main">
  <c r="Y66" i="1" l="1"/>
  <c r="AB66" i="1" s="1"/>
  <c r="AE78" i="1"/>
  <c r="AE74" i="1" s="1"/>
  <c r="AE82" i="1"/>
  <c r="AE66" i="1" l="1"/>
  <c r="A211" i="1" l="1"/>
  <c r="A212" i="1"/>
  <c r="A213" i="1"/>
  <c r="A214" i="1"/>
  <c r="A215" i="1"/>
  <c r="A216" i="1"/>
  <c r="A210" i="1"/>
  <c r="AE93" i="1" l="1"/>
  <c r="A59" i="1"/>
  <c r="K193" i="1"/>
  <c r="D193" i="1"/>
  <c r="K192" i="1"/>
  <c r="D192" i="1"/>
  <c r="K191" i="1"/>
  <c r="D191" i="1"/>
  <c r="K190" i="1"/>
  <c r="D190" i="1"/>
  <c r="K189" i="1"/>
  <c r="D189" i="1"/>
  <c r="K188" i="1"/>
  <c r="D188" i="1"/>
  <c r="C169" i="1"/>
  <c r="C168" i="1"/>
  <c r="AE87" i="1" s="1"/>
  <c r="W155" i="1"/>
  <c r="W154" i="1"/>
  <c r="Z154" i="1" s="1"/>
  <c r="W151" i="1"/>
  <c r="W150" i="1"/>
  <c r="Z150" i="1" s="1"/>
  <c r="N82" i="1"/>
  <c r="K82" i="1"/>
  <c r="N80" i="1"/>
  <c r="K80" i="1"/>
  <c r="N79" i="1"/>
  <c r="K79" i="1"/>
  <c r="N78" i="1"/>
  <c r="K78" i="1"/>
  <c r="N68" i="1"/>
  <c r="K68" i="1"/>
  <c r="N67" i="1"/>
  <c r="K67" i="1"/>
  <c r="N66" i="1"/>
  <c r="K66" i="1"/>
  <c r="AE104" i="1" l="1"/>
  <c r="AG107" i="1"/>
  <c r="AE101" i="1"/>
  <c r="U107" i="1" s="1"/>
  <c r="AE86" i="1"/>
  <c r="AE94" i="1"/>
  <c r="AE96" i="1" s="1"/>
  <c r="AE89" i="1"/>
  <c r="AE88" i="1" l="1"/>
  <c r="AE102" i="1" s="1"/>
  <c r="AE103" i="1" s="1"/>
  <c r="AA107" i="1"/>
  <c r="J103" i="1"/>
  <c r="AE95" i="1"/>
  <c r="AE97" i="1" s="1"/>
  <c r="AE106" i="1" s="1"/>
  <c r="AE90" i="1" l="1"/>
  <c r="AE105" i="1"/>
  <c r="J105" i="1" s="1"/>
  <c r="J102" i="1"/>
</calcChain>
</file>

<file path=xl/sharedStrings.xml><?xml version="1.0" encoding="utf-8"?>
<sst xmlns="http://schemas.openxmlformats.org/spreadsheetml/2006/main" count="260" uniqueCount="197">
  <si>
    <t>AFSCME</t>
  </si>
  <si>
    <t>Annual Salary:</t>
  </si>
  <si>
    <t>MEDICAL ELECTION</t>
  </si>
  <si>
    <t>Choose your Election in the dropdown list below</t>
  </si>
  <si>
    <t>Biweekly Premium</t>
  </si>
  <si>
    <t>Medical Allowance</t>
  </si>
  <si>
    <t>Core</t>
  </si>
  <si>
    <t>Buy-Up</t>
  </si>
  <si>
    <t>Medical</t>
  </si>
  <si>
    <t>Employee Only</t>
  </si>
  <si>
    <t>Employee +1</t>
  </si>
  <si>
    <t>Employee +2</t>
  </si>
  <si>
    <t>DENTAL, VISION, DISABILITY &amp; LIFE ELECTIONS</t>
  </si>
  <si>
    <t>Dental, Vision, Disability &amp; Life Allowance:</t>
  </si>
  <si>
    <t>Choose your Elections in the
dropdown lists below</t>
  </si>
  <si>
    <t>Dental</t>
  </si>
  <si>
    <t>Vision</t>
  </si>
  <si>
    <t>Disability</t>
  </si>
  <si>
    <r>
      <t xml:space="preserve">Disability Buy-Up </t>
    </r>
    <r>
      <rPr>
        <b/>
        <i/>
        <sz val="11"/>
        <color rgb="FFFF0000"/>
        <rFont val="Calibri"/>
        <family val="2"/>
        <scheme val="minor"/>
      </rPr>
      <t>(Post-tax)</t>
    </r>
  </si>
  <si>
    <t>(Yes/No)</t>
  </si>
  <si>
    <t>Life</t>
  </si>
  <si>
    <r>
      <t xml:space="preserve">Life Buy-Up - Employee </t>
    </r>
    <r>
      <rPr>
        <b/>
        <i/>
        <sz val="11"/>
        <color rgb="FFFF0000"/>
        <rFont val="Calibri"/>
        <family val="2"/>
        <scheme val="minor"/>
      </rPr>
      <t>(Post-tax)</t>
    </r>
  </si>
  <si>
    <t>Your Age:</t>
  </si>
  <si>
    <t>30-34</t>
  </si>
  <si>
    <t>Additional Life Insurance:</t>
  </si>
  <si>
    <r>
      <t xml:space="preserve">Life Buy-Up - Spouse </t>
    </r>
    <r>
      <rPr>
        <b/>
        <i/>
        <sz val="11"/>
        <color rgb="FFFF0000"/>
        <rFont val="Calibri"/>
        <family val="2"/>
        <scheme val="minor"/>
      </rPr>
      <t>(Post-tax)</t>
    </r>
  </si>
  <si>
    <t>Spouse's Age:</t>
  </si>
  <si>
    <r>
      <t xml:space="preserve">Life Buy-Up - Dependent Child </t>
    </r>
    <r>
      <rPr>
        <b/>
        <i/>
        <sz val="11"/>
        <color rgb="FFFF0000"/>
        <rFont val="Calibri"/>
        <family val="2"/>
        <scheme val="minor"/>
      </rPr>
      <t>(Post-tax)</t>
    </r>
  </si>
  <si>
    <t>*Life Buy-Up for Spouse can not exceed 50% of the Employee Buy-Up amount.  You must elect Life Buy-Up for yourself if you would like Life Buy-Up on Spouse/Dependent Child.</t>
  </si>
  <si>
    <t>MACE</t>
  </si>
  <si>
    <t>FD</t>
  </si>
  <si>
    <t>MPOA</t>
  </si>
  <si>
    <t>SGTS</t>
  </si>
  <si>
    <t>MC/MS</t>
  </si>
  <si>
    <t>MM/MX</t>
  </si>
  <si>
    <t>MEDICAL</t>
  </si>
  <si>
    <t>DENTAL</t>
  </si>
  <si>
    <t>VISION</t>
  </si>
  <si>
    <t>LIFE</t>
  </si>
  <si>
    <t>STD/LTD</t>
  </si>
  <si>
    <t>EE Only</t>
  </si>
  <si>
    <t>EE+1</t>
  </si>
  <si>
    <t>EE+2</t>
  </si>
  <si>
    <t>EE +1</t>
  </si>
  <si>
    <t>EE +2</t>
  </si>
  <si>
    <t>2013 All Other Premiums Allowance</t>
  </si>
  <si>
    <t>Disability Info</t>
  </si>
  <si>
    <t>Benefits:</t>
  </si>
  <si>
    <t>CORE PLAN</t>
  </si>
  <si>
    <t>STD</t>
  </si>
  <si>
    <t>maximum benefit per week</t>
  </si>
  <si>
    <t>Maximum weekly covered salary:</t>
  </si>
  <si>
    <t>LTD</t>
  </si>
  <si>
    <t>maximum benefit per month</t>
  </si>
  <si>
    <t>Maximum monthly covered salary:</t>
  </si>
  <si>
    <t>BUY-UP PLAN</t>
  </si>
  <si>
    <t>Rates:</t>
  </si>
  <si>
    <t>STD Premium Rate per $100 of covered salary is:</t>
  </si>
  <si>
    <t>per month</t>
  </si>
  <si>
    <t>LTD Premium Rate per $100 of covered salary is:</t>
  </si>
  <si>
    <t>LIFE &amp; AD&amp;D</t>
  </si>
  <si>
    <t>Disability Buy-Up Option</t>
  </si>
  <si>
    <t>Monthly Rates - 2013</t>
  </si>
  <si>
    <t>Yes</t>
  </si>
  <si>
    <t>AD&amp;D</t>
  </si>
  <si>
    <t>VOLUNTARY EMPLOYEE LIFE AND AD&amp;D BUY-UP</t>
  </si>
  <si>
    <t>VOLUNTARY SPOUSE LIFE AND AD&amp;D BUY-UP</t>
  </si>
  <si>
    <t>AMOUNT</t>
  </si>
  <si>
    <t>0-29</t>
  </si>
  <si>
    <t>35-39</t>
  </si>
  <si>
    <t>40-44</t>
  </si>
  <si>
    <t>45-49</t>
  </si>
  <si>
    <t>50-54</t>
  </si>
  <si>
    <t>55-59</t>
  </si>
  <si>
    <t>60-64</t>
  </si>
  <si>
    <t>65-69</t>
  </si>
  <si>
    <t>70-74</t>
  </si>
  <si>
    <t>75-99</t>
  </si>
  <si>
    <t>Employee Life Buy-Up</t>
  </si>
  <si>
    <t>Spouse Life Buy-Up</t>
  </si>
  <si>
    <t>EE-only</t>
  </si>
  <si>
    <t>Anthem Blue Cross EPO - Low Plan</t>
  </si>
  <si>
    <t>Dental PPO (CSAC) - CORE</t>
  </si>
  <si>
    <t xml:space="preserve">VSP - Core </t>
  </si>
  <si>
    <t>EE + Child</t>
  </si>
  <si>
    <t>Anthem Blue Cross EPO - Buy Up</t>
  </si>
  <si>
    <t>Dental PPO (CSAC) Buy-up</t>
  </si>
  <si>
    <t>VSP - Buy-up</t>
  </si>
  <si>
    <t>EE + Spouse</t>
  </si>
  <si>
    <t>EE + Children</t>
  </si>
  <si>
    <t>Full Family</t>
  </si>
  <si>
    <t>City of Merced</t>
  </si>
  <si>
    <t>Employee Information - Complete in Full</t>
  </si>
  <si>
    <t>Employee Name:</t>
  </si>
  <si>
    <t>SSN:</t>
  </si>
  <si>
    <t>Gender:</t>
  </si>
  <si>
    <t>Female</t>
  </si>
  <si>
    <t>Employee Address (Address, City, State, Zip):</t>
  </si>
  <si>
    <t>Home Phone:</t>
  </si>
  <si>
    <t>Hire Date:</t>
  </si>
  <si>
    <t>Marital Status:</t>
  </si>
  <si>
    <t>Male</t>
  </si>
  <si>
    <t>Single</t>
  </si>
  <si>
    <t>Married</t>
  </si>
  <si>
    <t>Divorced</t>
  </si>
  <si>
    <t>Separated</t>
  </si>
  <si>
    <t>Occupation/Title:</t>
  </si>
  <si>
    <t>Department:</t>
  </si>
  <si>
    <t>Dependents Information</t>
  </si>
  <si>
    <t>Dependent Name</t>
  </si>
  <si>
    <t>Dependent SSN:</t>
  </si>
  <si>
    <t>Relationship:</t>
  </si>
  <si>
    <t>Birth Date:</t>
  </si>
  <si>
    <t>Employee Signature:</t>
  </si>
  <si>
    <t>Date:</t>
  </si>
  <si>
    <t>Waive Coverage - To be eligible for waiver, you must meet one of the following:</t>
  </si>
  <si>
    <t>You are covered by your spouse's employer plan (verification is required):</t>
  </si>
  <si>
    <t>You have an individual employment agreement with the City that allows you to waive coverage:</t>
  </si>
  <si>
    <t>No</t>
  </si>
  <si>
    <t>Dental, Vision, Disability &amp; Life Contribution:</t>
  </si>
  <si>
    <t>Dental, Vision, Disability &amp; Life Subtotal:</t>
  </si>
  <si>
    <t>Disability &amp; Life Post-Tax Deduction:</t>
  </si>
  <si>
    <t>Total Biweekly Pre-Tax Contribution:</t>
  </si>
  <si>
    <t>Total Biweekly Post-Tax Contribution:</t>
  </si>
  <si>
    <t>Biweekly Medical Contribution</t>
  </si>
  <si>
    <t>Payroll Use Only</t>
  </si>
  <si>
    <t>Bi-weekly Subtotal-Required Coverage</t>
  </si>
  <si>
    <t>Less Bi-weekly Allowance</t>
  </si>
  <si>
    <t>Subtotal Contribution (Credit)</t>
  </si>
  <si>
    <t>Pre-Tax Amount (PP)</t>
  </si>
  <si>
    <t>Cash Back (CB)</t>
  </si>
  <si>
    <r>
      <rPr>
        <b/>
        <sz val="10"/>
        <color theme="1"/>
        <rFont val="Calibri"/>
        <family val="2"/>
        <scheme val="minor"/>
      </rPr>
      <t>AUTHORIZATION</t>
    </r>
    <r>
      <rPr>
        <sz val="10"/>
        <color theme="1"/>
        <rFont val="Calibri"/>
        <family val="2"/>
        <scheme val="minor"/>
      </rPr>
      <t xml:space="preserve"> – I understand that the selection of a benefit and the indication that a premium is to be paid does not necessarily include me in the insurance portions of this program.  In most instances an application for insurance must also be completed.  This election form will remain in effect and cannot be revoked or changed during the Plan Year, unless the revocation and new election are due to and consistent with a Change in Family Status (Examples: marriage, divorce, birth, death, adoption or applicable employment changes of spouse or employee).  Further, I understand that if I fail to complete, sign &amp; file an election form during the open enrollment period, I will have been deemed to have elected to continue the benefit selections for the prior plan year and may have additional payroll deductions to fund the prior plan year elections.
</t>
    </r>
    <r>
      <rPr>
        <b/>
        <sz val="10"/>
        <color theme="1"/>
        <rFont val="Calibri"/>
        <family val="2"/>
        <scheme val="minor"/>
      </rPr>
      <t>DEDUCTION AUTHORIZATION:</t>
    </r>
    <r>
      <rPr>
        <sz val="10"/>
        <color theme="1"/>
        <rFont val="Calibri"/>
        <family val="2"/>
        <scheme val="minor"/>
      </rPr>
      <t xml:space="preserve"> If applicable, I authorize my employer to deduct from my wages the required dues.
</t>
    </r>
    <r>
      <rPr>
        <b/>
        <sz val="10"/>
        <color theme="1"/>
        <rFont val="Calibri"/>
        <family val="2"/>
        <scheme val="minor"/>
      </rPr>
      <t>NON-PARTICIPATING PROVIDER:</t>
    </r>
    <r>
      <rPr>
        <sz val="10"/>
        <color theme="1"/>
        <rFont val="Calibri"/>
        <family val="2"/>
        <scheme val="minor"/>
      </rPr>
      <t xml:space="preserve"> I understand that I am responsible for a greater portion of my medical costs when I use a non-participating provider.
</t>
    </r>
    <r>
      <rPr>
        <b/>
        <sz val="10"/>
        <color theme="1"/>
        <rFont val="Calibri"/>
        <family val="2"/>
        <scheme val="minor"/>
      </rPr>
      <t>HIV TESTING PROHIBITED:</t>
    </r>
    <r>
      <rPr>
        <sz val="10"/>
        <color theme="1"/>
        <rFont val="Calibri"/>
        <family val="2"/>
        <scheme val="minor"/>
      </rPr>
      <t xml:space="preserve"> California law prohibits an HIV test from being required or used by health insurance companies as a condition of obtaining health insurance.
</t>
    </r>
    <r>
      <rPr>
        <b/>
        <sz val="10"/>
        <color theme="1"/>
        <rFont val="Calibri"/>
        <family val="2"/>
        <scheme val="minor"/>
      </rPr>
      <t>EFFECTIVE DATE:</t>
    </r>
    <r>
      <rPr>
        <sz val="10"/>
        <color theme="1"/>
        <rFont val="Calibri"/>
        <family val="2"/>
        <scheme val="minor"/>
      </rPr>
      <t xml:space="preserve"> The effective date of coverage is subject to Anthem Blue Cross approval.
</t>
    </r>
    <r>
      <rPr>
        <b/>
        <sz val="10"/>
        <color theme="1"/>
        <rFont val="Calibri"/>
        <family val="2"/>
        <scheme val="minor"/>
      </rPr>
      <t>ARBITRATION AGREEMENT:</t>
    </r>
    <r>
      <rPr>
        <sz val="10"/>
        <color theme="1"/>
        <rFont val="Calibri"/>
        <family val="2"/>
        <scheme val="minor"/>
      </rPr>
      <t xml:space="preserve"> It is understood that any dispute as to medical malpractice, that is as to whether any medical services rendered under this contract were unnecessary or unauthorized or were improperly, negligently or incompetently rendered, will be determined by submission to arbitration as provided by California law, and not by lawsuit or resort to court process except as California law provides for judicial review or arbitration proceedings.  Both parties to this contract, by entering into it, are giving up their constitutional right to have any such dispute decided in a court of law before a jury, and instead are accepting the use of arbitration.  Blue Cross/BC Life &amp; Health and the member also agree to give up any right to pursue on a class basis any claim or controversy against the other. For more information regarding binding arbitration, please refer to your Evidence of Coverage/Certificate.
I attest by signing below that I have reviewed the information provided on this application and to the best of my knowledge and belief, it is true and accurate with no omissions or misstatements.
</t>
    </r>
    <r>
      <rPr>
        <b/>
        <sz val="10"/>
        <color theme="1"/>
        <rFont val="Calibri"/>
        <family val="2"/>
        <scheme val="minor"/>
      </rPr>
      <t>CERTIFICATION</t>
    </r>
    <r>
      <rPr>
        <sz val="10"/>
        <color theme="1"/>
        <rFont val="Calibri"/>
        <family val="2"/>
        <scheme val="minor"/>
      </rPr>
      <t xml:space="preserve"> - I certify the above information to be correct and true and any dependents for which I have selected the dependent care benefit reside with me in a parent-child relationship and/or are legally dependent on me for their support.  I understand that any amounts remaining in my account(s) not used for eligible expenses incurred during the Plan Year will be forfeited in accordance with current Plan provisions and tax laws.  I authorize the deduction of the administrative fee, if applicable.</t>
    </r>
  </si>
  <si>
    <r>
      <rPr>
        <b/>
        <sz val="10"/>
        <color theme="1"/>
        <rFont val="Calibri"/>
        <family val="2"/>
        <scheme val="minor"/>
      </rPr>
      <t>Important:</t>
    </r>
    <r>
      <rPr>
        <sz val="10"/>
        <color theme="1"/>
        <rFont val="Calibri"/>
        <family val="2"/>
        <scheme val="minor"/>
      </rPr>
      <t xml:space="preserve"> I understand the benefit(s) I am waiving and that the City of Merced is not responsible for any medical and/or dental and/or vision expenses incurred by me and/or my dependents during the period in which these benefits are waived. I also understand that my next opportunity to re-enroll in the City of Merced medical, dental, and/or vision plan will be during the Open Enrollment period for the next calendar year or based on an eligible mid-year election change event.</t>
    </r>
  </si>
  <si>
    <t>Child</t>
  </si>
  <si>
    <t>Spouse</t>
  </si>
  <si>
    <t>Domestic Partner</t>
  </si>
  <si>
    <t>Step-child</t>
  </si>
  <si>
    <t>Adopted Child</t>
  </si>
  <si>
    <t>Waive Coverage?</t>
  </si>
  <si>
    <t>Waived Benefits</t>
  </si>
  <si>
    <t>Unit:</t>
  </si>
  <si>
    <t>2014 Open Enrollment Election Worksheet</t>
  </si>
  <si>
    <t>Effective Date: 01/01/2014</t>
  </si>
  <si>
    <t xml:space="preserve">EE#: </t>
  </si>
  <si>
    <t>Coverage Election:</t>
  </si>
  <si>
    <t>OPTIONAL BUY UP PLAN ELECTIONS - Post-Tax</t>
  </si>
  <si>
    <t>Biweekly Medical Premium:</t>
  </si>
  <si>
    <t>Biweekly Dental, Vision, Disability &amp; Life Premium:</t>
  </si>
  <si>
    <t>Your Biweekly Contributions</t>
  </si>
  <si>
    <t>Biweekly Premium Subtotal:</t>
  </si>
  <si>
    <t>Total Biweekly Allowance:</t>
  </si>
  <si>
    <t>Personnel:</t>
  </si>
  <si>
    <t>AC:</t>
  </si>
  <si>
    <t>Core Allowance:</t>
  </si>
  <si>
    <t>Benefit Code:</t>
  </si>
  <si>
    <t>Benefit Codes</t>
  </si>
  <si>
    <t>CA</t>
  </si>
  <si>
    <t>CB</t>
  </si>
  <si>
    <t>CC</t>
  </si>
  <si>
    <t>CV</t>
  </si>
  <si>
    <t>CW</t>
  </si>
  <si>
    <t>CX</t>
  </si>
  <si>
    <t>CD</t>
  </si>
  <si>
    <t>CE</t>
  </si>
  <si>
    <t>CF</t>
  </si>
  <si>
    <t>CG</t>
  </si>
  <si>
    <t>CH</t>
  </si>
  <si>
    <t>CI</t>
  </si>
  <si>
    <t>CJ</t>
  </si>
  <si>
    <t>CK</t>
  </si>
  <si>
    <t>CL</t>
  </si>
  <si>
    <t>CM</t>
  </si>
  <si>
    <t>CN</t>
  </si>
  <si>
    <t>CO</t>
  </si>
  <si>
    <t>CP</t>
  </si>
  <si>
    <t>CQ</t>
  </si>
  <si>
    <t>CR</t>
  </si>
  <si>
    <t>2014 - Biweekly Rates</t>
  </si>
  <si>
    <t>2014 Medical Allowances</t>
  </si>
  <si>
    <t>Core Employee Only - $217.85</t>
  </si>
  <si>
    <t>Core Employee +1 - $445.85</t>
  </si>
  <si>
    <t>Core Employee +2 - $655.38</t>
  </si>
  <si>
    <t>Buy-Up Employee Only - $234.92</t>
  </si>
  <si>
    <t>Buy-Up Employee +1 - $480.00</t>
  </si>
  <si>
    <t>Buy-Up Employee +2 - $706.15</t>
  </si>
  <si>
    <t>Dental Core Employee Only - $22.11</t>
  </si>
  <si>
    <t>Dental Core Employee +1 - $38.40</t>
  </si>
  <si>
    <t>Dental Core Employee +2 - $62.31</t>
  </si>
  <si>
    <t>Dental Buy-Up Employee Only - $28.34</t>
  </si>
  <si>
    <t>Dental Buy-Up Employee +1 - $49.25</t>
  </si>
  <si>
    <t>Dental Buy-Up Employee +2 - $79.94</t>
  </si>
  <si>
    <t>Vision Core Employee Only - $4.85</t>
  </si>
  <si>
    <t>Vision Core Employee +1 - $4.85</t>
  </si>
  <si>
    <t>Vision Core Employee +2 - $4.85</t>
  </si>
  <si>
    <t>Vision Buy-Up Employee Only - $8.73</t>
  </si>
  <si>
    <t>Vision Buy-Up Employee +1 - $8.73</t>
  </si>
  <si>
    <t>Vision Buy-Up Employee +2 - $8.73</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</si>
</sst>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4" formatCode="_(&quot;$&quot;* #,##0.00_);_(&quot;$&quot;* \(#,##0.00\);_(&quot;$&quot;* &quot;-&quot;??_);_(@_)"/>
    <numFmt numFmtId="164" formatCode="&quot;$&quot;#,##0.00"/>
    <numFmt numFmtId="165" formatCode="0.0%"/>
    <numFmt numFmtId="166" formatCode="&quot;$&quot;#,##0.000"/>
    <numFmt numFmtId="167" formatCode="0.000"/>
    <numFmt numFmtId="168" formatCode="&quot;$&quot;#,##0.000000"/>
    <numFmt numFmtId="169" formatCode="&quot;$&quot;#,##0"/>
    <numFmt numFmtId="170" formatCode="000\-00\-0000"/>
    <numFmt numFmtId="171" formatCode="mm/dd/yy;@"/>
    <numFmt numFmtId="172" formatCode="[&lt;=9999999]###\-####;\(###\)\ ###\-####"/>
  </numFmts>
  <fonts count="2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i/>
      <sz val="11"/>
      <color rgb="FFFF0000"/>
      <name val="Calibri"/>
      <family val="2"/>
      <scheme val="minor"/>
    </font>
    <font>
      <i/>
      <sz val="9"/>
      <color theme="1"/>
      <name val="Calibri"/>
      <family val="2"/>
      <scheme val="minor"/>
    </font>
    <font>
      <sz val="9"/>
      <color theme="1"/>
      <name val="Calibri"/>
      <family val="2"/>
      <scheme val="minor"/>
    </font>
    <font>
      <b/>
      <sz val="11"/>
      <color theme="1"/>
      <name val="Arial"/>
      <family val="2"/>
    </font>
    <font>
      <sz val="11"/>
      <color theme="1"/>
      <name val="Arial"/>
      <family val="2"/>
    </font>
    <font>
      <sz val="11"/>
      <name val="Arial"/>
      <family val="2"/>
    </font>
    <font>
      <b/>
      <sz val="11"/>
      <name val="Calibri"/>
      <family val="2"/>
      <scheme val="minor"/>
    </font>
    <font>
      <sz val="10"/>
      <color theme="1"/>
      <name val="Calibri"/>
      <family val="2"/>
      <scheme val="minor"/>
    </font>
    <font>
      <sz val="12"/>
      <color theme="1"/>
      <name val="Calibri"/>
      <family val="2"/>
      <scheme val="minor"/>
    </font>
    <font>
      <sz val="14"/>
      <color theme="1"/>
      <name val="Calibri"/>
      <family val="2"/>
      <scheme val="minor"/>
    </font>
    <font>
      <b/>
      <sz val="10"/>
      <color theme="1"/>
      <name val="Calibri"/>
      <family val="2"/>
      <scheme val="minor"/>
    </font>
    <font>
      <b/>
      <sz val="12"/>
      <name val="Calibri"/>
      <family val="2"/>
      <scheme val="minor"/>
    </font>
    <font>
      <b/>
      <sz val="16"/>
      <color theme="1"/>
      <name val="Calibri"/>
      <family val="2"/>
      <scheme val="minor"/>
    </font>
    <font>
      <i/>
      <sz val="11"/>
      <color theme="1"/>
      <name val="Calibri"/>
      <family val="2"/>
      <scheme val="minor"/>
    </font>
    <font>
      <b/>
      <u/>
      <sz val="16"/>
      <color theme="1"/>
      <name val="Calibri"/>
      <family val="2"/>
      <scheme val="minor"/>
    </font>
    <font>
      <sz val="14"/>
      <name val="Calibri"/>
      <family val="2"/>
      <scheme val="minor"/>
    </font>
    <font>
      <b/>
      <sz val="14"/>
      <name val="Calibri"/>
      <family val="2"/>
      <scheme val="minor"/>
    </font>
    <font>
      <b/>
      <sz val="16"/>
      <name val="Calibri"/>
      <family val="2"/>
      <scheme val="minor"/>
    </font>
    <font>
      <sz val="8"/>
      <color rgb="FF000000"/>
      <name val="Tahoma"/>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s>
  <borders count="47">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s>
  <cellStyleXfs count="4">
    <xf numFmtId="0" fontId="0" fillId="0" borderId="0"/>
    <xf numFmtId="0" fontId="4" fillId="0" borderId="0"/>
    <xf numFmtId="44" fontId="4" fillId="0" borderId="0" applyFont="0" applyFill="0" applyBorder="0" applyAlignment="0" applyProtection="0"/>
    <xf numFmtId="9" fontId="4" fillId="0" borderId="0" applyFont="0" applyFill="0" applyBorder="0" applyAlignment="0" applyProtection="0"/>
  </cellStyleXfs>
  <cellXfs count="425">
    <xf numFmtId="0" fontId="0" fillId="0" borderId="0" xfId="0"/>
    <xf numFmtId="0" fontId="3" fillId="2" borderId="0" xfId="1" applyFont="1" applyFill="1" applyProtection="1"/>
    <xf numFmtId="0" fontId="6" fillId="2" borderId="0" xfId="1" applyFont="1" applyFill="1" applyAlignment="1" applyProtection="1"/>
    <xf numFmtId="0" fontId="15" fillId="2" borderId="0" xfId="1" applyFont="1" applyFill="1" applyProtection="1"/>
    <xf numFmtId="0" fontId="10" fillId="2" borderId="0" xfId="1" applyFont="1" applyFill="1" applyAlignment="1" applyProtection="1">
      <alignment vertical="top"/>
    </xf>
    <xf numFmtId="0" fontId="5" fillId="2" borderId="0" xfId="1" applyFont="1" applyFill="1" applyAlignment="1" applyProtection="1">
      <alignment vertical="top"/>
    </xf>
    <xf numFmtId="0" fontId="3" fillId="2" borderId="36" xfId="1" applyFont="1" applyFill="1" applyBorder="1" applyProtection="1"/>
    <xf numFmtId="0" fontId="2" fillId="2" borderId="0" xfId="1" applyFont="1" applyFill="1" applyProtection="1"/>
    <xf numFmtId="0" fontId="10" fillId="2" borderId="0" xfId="1" applyFont="1" applyFill="1" applyBorder="1" applyAlignment="1" applyProtection="1">
      <alignment vertical="top"/>
    </xf>
    <xf numFmtId="0" fontId="3" fillId="2" borderId="0" xfId="1" applyFont="1" applyFill="1" applyBorder="1" applyProtection="1"/>
    <xf numFmtId="0" fontId="5" fillId="2" borderId="0" xfId="1" applyFont="1" applyFill="1" applyAlignment="1" applyProtection="1">
      <alignment horizontal="right" vertical="top"/>
    </xf>
    <xf numFmtId="0" fontId="5" fillId="2" borderId="0" xfId="1" applyFont="1" applyFill="1" applyAlignment="1" applyProtection="1">
      <alignment horizontal="right"/>
    </xf>
    <xf numFmtId="0" fontId="4" fillId="2" borderId="1" xfId="1" applyFill="1" applyBorder="1" applyProtection="1"/>
    <xf numFmtId="0" fontId="5" fillId="2" borderId="1" xfId="1" applyFont="1" applyFill="1" applyBorder="1" applyAlignment="1" applyProtection="1">
      <alignment horizontal="left" vertical="center"/>
    </xf>
    <xf numFmtId="0" fontId="5" fillId="2" borderId="0" xfId="1" applyFont="1" applyFill="1" applyBorder="1" applyAlignment="1" applyProtection="1">
      <alignment horizontal="left" vertical="center"/>
    </xf>
    <xf numFmtId="0" fontId="4" fillId="2" borderId="0" xfId="1" applyFill="1" applyBorder="1" applyAlignment="1" applyProtection="1">
      <alignment horizontal="center" vertical="center"/>
    </xf>
    <xf numFmtId="0" fontId="4" fillId="2" borderId="2" xfId="1" applyFill="1" applyBorder="1" applyAlignment="1" applyProtection="1">
      <alignment horizontal="center" vertical="center"/>
    </xf>
    <xf numFmtId="0" fontId="4" fillId="2" borderId="9" xfId="1" applyFill="1" applyBorder="1" applyProtection="1"/>
    <xf numFmtId="0" fontId="4" fillId="2" borderId="10" xfId="1" applyFill="1" applyBorder="1" applyProtection="1"/>
    <xf numFmtId="0" fontId="4" fillId="2" borderId="10" xfId="1" applyFill="1" applyBorder="1" applyAlignment="1" applyProtection="1">
      <alignment wrapText="1"/>
    </xf>
    <xf numFmtId="0" fontId="4" fillId="2" borderId="11" xfId="1" applyFill="1" applyBorder="1" applyAlignment="1" applyProtection="1">
      <alignment wrapText="1"/>
    </xf>
    <xf numFmtId="0" fontId="4" fillId="2" borderId="0" xfId="1" applyFill="1" applyBorder="1" applyAlignment="1" applyProtection="1">
      <alignment wrapText="1"/>
    </xf>
    <xf numFmtId="0" fontId="7" fillId="2" borderId="1" xfId="1" applyFont="1" applyFill="1" applyBorder="1" applyAlignment="1" applyProtection="1">
      <alignment horizontal="center"/>
    </xf>
    <xf numFmtId="0" fontId="7" fillId="2" borderId="0" xfId="1" applyFont="1" applyFill="1" applyBorder="1" applyAlignment="1" applyProtection="1">
      <alignment horizontal="center"/>
    </xf>
    <xf numFmtId="0" fontId="4" fillId="2" borderId="2" xfId="1" applyFill="1" applyBorder="1" applyProtection="1"/>
    <xf numFmtId="0" fontId="5" fillId="2" borderId="22" xfId="1" applyFont="1" applyFill="1" applyBorder="1" applyProtection="1"/>
    <xf numFmtId="0" fontId="4" fillId="2" borderId="22" xfId="1" applyFill="1" applyBorder="1" applyAlignment="1" applyProtection="1">
      <alignment horizontal="center" vertical="center"/>
    </xf>
    <xf numFmtId="0" fontId="5" fillId="2" borderId="16" xfId="1" applyFont="1" applyFill="1" applyBorder="1" applyProtection="1"/>
    <xf numFmtId="164" fontId="4" fillId="2" borderId="17" xfId="1" applyNumberFormat="1" applyFill="1" applyBorder="1" applyAlignment="1" applyProtection="1">
      <alignment horizontal="center" vertical="center"/>
    </xf>
    <xf numFmtId="0" fontId="5" fillId="2" borderId="16" xfId="1" applyFont="1" applyFill="1" applyBorder="1" applyAlignment="1" applyProtection="1"/>
    <xf numFmtId="9" fontId="5" fillId="2" borderId="34" xfId="1" applyNumberFormat="1" applyFont="1" applyFill="1" applyBorder="1" applyAlignment="1" applyProtection="1"/>
    <xf numFmtId="9" fontId="5" fillId="2" borderId="34" xfId="1" applyNumberFormat="1" applyFont="1" applyFill="1" applyBorder="1" applyAlignment="1" applyProtection="1">
      <alignment shrinkToFit="1"/>
    </xf>
    <xf numFmtId="0" fontId="12" fillId="2" borderId="18" xfId="1" applyFont="1" applyFill="1" applyBorder="1" applyProtection="1"/>
    <xf numFmtId="0" fontId="12" fillId="2" borderId="0" xfId="1" applyFont="1" applyFill="1" applyBorder="1" applyProtection="1"/>
    <xf numFmtId="164" fontId="4" fillId="2" borderId="0" xfId="1" applyNumberFormat="1" applyFill="1" applyAlignment="1" applyProtection="1"/>
    <xf numFmtId="164" fontId="4" fillId="2" borderId="0" xfId="1" applyNumberFormat="1" applyFill="1" applyProtection="1"/>
    <xf numFmtId="0" fontId="4" fillId="2" borderId="38" xfId="1" applyFill="1" applyBorder="1" applyProtection="1"/>
    <xf numFmtId="0" fontId="4" fillId="2" borderId="18" xfId="1" applyFill="1" applyBorder="1" applyAlignment="1" applyProtection="1"/>
    <xf numFmtId="0" fontId="4" fillId="2" borderId="37" xfId="1" applyFill="1" applyBorder="1" applyAlignment="1" applyProtection="1"/>
    <xf numFmtId="0" fontId="4" fillId="2" borderId="35" xfId="1" applyFill="1" applyBorder="1" applyAlignment="1" applyProtection="1"/>
    <xf numFmtId="0" fontId="4" fillId="2" borderId="36" xfId="1" applyFill="1" applyBorder="1" applyAlignment="1" applyProtection="1"/>
    <xf numFmtId="0" fontId="4" fillId="2" borderId="38" xfId="1" applyFill="1" applyBorder="1" applyAlignment="1" applyProtection="1"/>
    <xf numFmtId="0" fontId="4" fillId="2" borderId="0" xfId="1" applyFont="1" applyFill="1" applyProtection="1"/>
    <xf numFmtId="0" fontId="14" fillId="2" borderId="18" xfId="1" applyFont="1" applyFill="1" applyBorder="1" applyAlignment="1" applyProtection="1">
      <alignment vertical="center" wrapText="1"/>
    </xf>
    <xf numFmtId="0" fontId="14" fillId="2" borderId="0" xfId="1" applyFont="1" applyFill="1" applyBorder="1" applyAlignment="1" applyProtection="1">
      <alignment vertical="center" wrapText="1"/>
    </xf>
    <xf numFmtId="49" fontId="14" fillId="2" borderId="18" xfId="1" applyNumberFormat="1" applyFont="1" applyFill="1" applyBorder="1" applyAlignment="1" applyProtection="1"/>
    <xf numFmtId="49" fontId="14" fillId="2" borderId="0" xfId="1" quotePrefix="1" applyNumberFormat="1" applyFont="1" applyFill="1" applyBorder="1" applyAlignment="1" applyProtection="1"/>
    <xf numFmtId="164" fontId="4" fillId="2" borderId="0" xfId="1" applyNumberFormat="1" applyFont="1" applyFill="1" applyProtection="1"/>
    <xf numFmtId="0" fontId="14" fillId="2" borderId="18" xfId="1" applyFont="1" applyFill="1" applyBorder="1" applyAlignment="1" applyProtection="1"/>
    <xf numFmtId="0" fontId="14" fillId="2" borderId="0" xfId="1" quotePrefix="1" applyFont="1" applyFill="1" applyBorder="1" applyAlignment="1" applyProtection="1"/>
    <xf numFmtId="0" fontId="14" fillId="2" borderId="35" xfId="1" applyFont="1" applyFill="1" applyBorder="1" applyAlignment="1" applyProtection="1"/>
    <xf numFmtId="0" fontId="14" fillId="2" borderId="36" xfId="1" quotePrefix="1" applyFont="1" applyFill="1" applyBorder="1" applyAlignment="1" applyProtection="1"/>
    <xf numFmtId="0" fontId="4" fillId="2" borderId="34" xfId="1" applyFill="1" applyBorder="1" applyProtection="1"/>
    <xf numFmtId="0" fontId="0" fillId="2" borderId="18" xfId="0" applyNumberFormat="1" applyFill="1" applyBorder="1" applyProtection="1"/>
    <xf numFmtId="0" fontId="3" fillId="2" borderId="37" xfId="1" applyFont="1" applyFill="1" applyBorder="1" applyProtection="1"/>
    <xf numFmtId="0" fontId="0" fillId="2" borderId="0" xfId="0" applyNumberFormat="1" applyFill="1" applyBorder="1" applyProtection="1"/>
    <xf numFmtId="0" fontId="0" fillId="2" borderId="35" xfId="0" applyNumberFormat="1" applyFill="1" applyBorder="1" applyProtection="1"/>
    <xf numFmtId="0" fontId="0" fillId="2" borderId="36" xfId="0" applyNumberFormat="1" applyFill="1" applyBorder="1" applyProtection="1"/>
    <xf numFmtId="0" fontId="3" fillId="2" borderId="38" xfId="1" applyFont="1" applyFill="1" applyBorder="1" applyProtection="1"/>
    <xf numFmtId="0" fontId="15" fillId="2" borderId="0" xfId="1" applyFont="1" applyFill="1" applyAlignment="1" applyProtection="1">
      <alignment horizontal="left" vertical="top" wrapText="1"/>
    </xf>
    <xf numFmtId="0" fontId="7" fillId="2" borderId="0" xfId="1" applyFont="1" applyFill="1" applyAlignment="1" applyProtection="1">
      <alignment vertical="top"/>
    </xf>
    <xf numFmtId="0" fontId="16" fillId="2" borderId="0" xfId="1" applyFont="1" applyFill="1" applyAlignment="1" applyProtection="1">
      <alignment vertical="top"/>
    </xf>
    <xf numFmtId="0" fontId="16" fillId="2" borderId="36" xfId="1" applyFont="1" applyFill="1" applyBorder="1" applyAlignment="1" applyProtection="1">
      <alignment vertical="top"/>
    </xf>
    <xf numFmtId="0" fontId="16" fillId="2" borderId="36" xfId="1" applyFont="1" applyFill="1" applyBorder="1" applyProtection="1"/>
    <xf numFmtId="0" fontId="7" fillId="2" borderId="18" xfId="1" applyFont="1" applyFill="1" applyBorder="1" applyAlignment="1" applyProtection="1">
      <alignment vertical="top"/>
    </xf>
    <xf numFmtId="0" fontId="16" fillId="2" borderId="0" xfId="1" applyFont="1" applyFill="1" applyBorder="1" applyAlignment="1" applyProtection="1">
      <alignment vertical="top"/>
    </xf>
    <xf numFmtId="0" fontId="16" fillId="2" borderId="38" xfId="1" applyFont="1" applyFill="1" applyBorder="1" applyAlignment="1" applyProtection="1">
      <alignment vertical="top"/>
    </xf>
    <xf numFmtId="0" fontId="6" fillId="2" borderId="0" xfId="1" applyFont="1" applyFill="1" applyAlignment="1" applyProtection="1">
      <alignment horizontal="right"/>
    </xf>
    <xf numFmtId="0" fontId="4" fillId="2" borderId="0" xfId="1" applyFill="1" applyAlignment="1" applyProtection="1">
      <alignment horizontal="center"/>
    </xf>
    <xf numFmtId="0" fontId="4" fillId="2" borderId="0" xfId="1" applyFill="1" applyProtection="1"/>
    <xf numFmtId="0" fontId="5" fillId="2" borderId="0" xfId="1" applyFont="1" applyFill="1" applyBorder="1" applyAlignment="1" applyProtection="1">
      <alignment horizontal="right"/>
    </xf>
    <xf numFmtId="0" fontId="4" fillId="2" borderId="0" xfId="1" applyFill="1" applyBorder="1" applyProtection="1"/>
    <xf numFmtId="164" fontId="4" fillId="2" borderId="22" xfId="1" applyNumberFormat="1" applyFill="1" applyBorder="1" applyAlignment="1" applyProtection="1">
      <alignment horizontal="center" vertical="center"/>
    </xf>
    <xf numFmtId="164" fontId="4" fillId="2" borderId="29" xfId="1" applyNumberFormat="1" applyFill="1" applyBorder="1" applyAlignment="1" applyProtection="1">
      <alignment horizontal="center" vertical="center"/>
    </xf>
    <xf numFmtId="0" fontId="5" fillId="2" borderId="33" xfId="1" applyFont="1" applyFill="1" applyBorder="1" applyAlignment="1" applyProtection="1">
      <alignment horizontal="left" vertical="center"/>
    </xf>
    <xf numFmtId="0" fontId="5" fillId="2" borderId="16" xfId="1" applyFont="1" applyFill="1" applyBorder="1" applyAlignment="1" applyProtection="1">
      <alignment horizontal="left" vertical="center"/>
    </xf>
    <xf numFmtId="0" fontId="5" fillId="2" borderId="28" xfId="1" applyFont="1" applyFill="1" applyBorder="1" applyAlignment="1" applyProtection="1">
      <alignment horizontal="left" vertical="center"/>
    </xf>
    <xf numFmtId="0" fontId="5" fillId="2" borderId="22" xfId="1" applyFont="1" applyFill="1" applyBorder="1" applyAlignment="1" applyProtection="1">
      <alignment horizontal="left" vertical="center"/>
    </xf>
    <xf numFmtId="164" fontId="4" fillId="2" borderId="0" xfId="1" applyNumberFormat="1" applyFill="1" applyBorder="1" applyAlignment="1" applyProtection="1">
      <alignment horizontal="center" vertical="center"/>
    </xf>
    <xf numFmtId="164" fontId="5" fillId="2" borderId="0" xfId="1" applyNumberFormat="1" applyFont="1" applyFill="1" applyBorder="1" applyAlignment="1" applyProtection="1">
      <alignment horizontal="center" vertical="center"/>
    </xf>
    <xf numFmtId="0" fontId="5" fillId="2" borderId="0" xfId="1" applyFont="1" applyFill="1" applyBorder="1" applyAlignment="1" applyProtection="1">
      <alignment horizontal="center" vertical="center"/>
    </xf>
    <xf numFmtId="164" fontId="4" fillId="2" borderId="16" xfId="1" applyNumberFormat="1" applyFill="1" applyBorder="1" applyAlignment="1" applyProtection="1">
      <alignment horizontal="center" vertical="center"/>
    </xf>
    <xf numFmtId="0" fontId="4" fillId="2" borderId="16" xfId="1" applyFill="1" applyBorder="1" applyAlignment="1" applyProtection="1">
      <alignment horizontal="center" vertical="center"/>
    </xf>
    <xf numFmtId="0" fontId="4" fillId="2" borderId="18" xfId="1" applyFill="1" applyBorder="1" applyProtection="1"/>
    <xf numFmtId="0" fontId="4" fillId="2" borderId="37" xfId="1" applyFill="1" applyBorder="1" applyProtection="1"/>
    <xf numFmtId="0" fontId="5" fillId="2" borderId="18" xfId="1" applyFont="1" applyFill="1" applyBorder="1" applyProtection="1"/>
    <xf numFmtId="0" fontId="5" fillId="2" borderId="0" xfId="1" applyFont="1" applyFill="1" applyBorder="1" applyProtection="1"/>
    <xf numFmtId="0" fontId="4" fillId="2" borderId="15" xfId="1" applyFill="1" applyBorder="1" applyProtection="1"/>
    <xf numFmtId="0" fontId="4" fillId="2" borderId="16" xfId="1" applyFill="1" applyBorder="1" applyProtection="1"/>
    <xf numFmtId="164" fontId="4" fillId="2" borderId="0" xfId="1" applyNumberFormat="1" applyFill="1" applyBorder="1" applyAlignment="1" applyProtection="1"/>
    <xf numFmtId="0" fontId="4" fillId="2" borderId="0" xfId="1" applyFill="1" applyBorder="1" applyAlignment="1" applyProtection="1"/>
    <xf numFmtId="0" fontId="4" fillId="2" borderId="36" xfId="1" applyFill="1" applyBorder="1" applyProtection="1"/>
    <xf numFmtId="164" fontId="4" fillId="2" borderId="22" xfId="1" applyNumberFormat="1" applyFill="1" applyBorder="1" applyAlignment="1" applyProtection="1">
      <alignment horizontal="center"/>
    </xf>
    <xf numFmtId="0" fontId="4" fillId="2" borderId="22" xfId="1" applyFill="1" applyBorder="1" applyProtection="1"/>
    <xf numFmtId="0" fontId="4" fillId="2" borderId="23" xfId="1" applyFill="1" applyBorder="1" applyProtection="1"/>
    <xf numFmtId="169" fontId="5" fillId="2" borderId="0" xfId="1" applyNumberFormat="1" applyFont="1" applyFill="1" applyBorder="1" applyProtection="1"/>
    <xf numFmtId="164" fontId="4" fillId="2" borderId="0" xfId="1" applyNumberFormat="1" applyFill="1" applyBorder="1" applyProtection="1"/>
    <xf numFmtId="169" fontId="14" fillId="2" borderId="0" xfId="1" applyNumberFormat="1" applyFont="1" applyFill="1" applyBorder="1" applyAlignment="1" applyProtection="1">
      <alignment horizontal="center" vertical="center" wrapText="1"/>
    </xf>
    <xf numFmtId="169" fontId="14" fillId="2" borderId="37" xfId="1" applyNumberFormat="1" applyFont="1" applyFill="1" applyBorder="1" applyAlignment="1" applyProtection="1">
      <alignment horizontal="center" vertical="center" wrapText="1"/>
    </xf>
    <xf numFmtId="169" fontId="5" fillId="2" borderId="18" xfId="1" applyNumberFormat="1" applyFont="1" applyFill="1" applyBorder="1" applyProtection="1"/>
    <xf numFmtId="169" fontId="5" fillId="2" borderId="37" xfId="1" applyNumberFormat="1" applyFont="1" applyFill="1" applyBorder="1" applyProtection="1"/>
    <xf numFmtId="0" fontId="6" fillId="2" borderId="36" xfId="1" applyFont="1" applyFill="1" applyBorder="1" applyAlignment="1" applyProtection="1"/>
    <xf numFmtId="0" fontId="20" fillId="2" borderId="0" xfId="1" applyFont="1" applyFill="1" applyAlignment="1" applyProtection="1"/>
    <xf numFmtId="0" fontId="1" fillId="2" borderId="0" xfId="1" applyFont="1" applyFill="1" applyProtection="1"/>
    <xf numFmtId="0" fontId="15" fillId="4" borderId="22" xfId="1" applyFont="1" applyFill="1" applyBorder="1" applyAlignment="1" applyProtection="1"/>
    <xf numFmtId="0" fontId="15" fillId="4" borderId="23" xfId="1" applyFont="1" applyFill="1" applyBorder="1" applyAlignment="1" applyProtection="1"/>
    <xf numFmtId="0" fontId="1" fillId="2" borderId="0" xfId="1" applyFont="1" applyFill="1" applyBorder="1" applyAlignment="1" applyProtection="1">
      <alignment horizontal="right"/>
    </xf>
    <xf numFmtId="0" fontId="5" fillId="2" borderId="9" xfId="1" applyFont="1" applyFill="1" applyBorder="1" applyAlignment="1" applyProtection="1">
      <alignment horizontal="left" vertical="center"/>
    </xf>
    <xf numFmtId="0" fontId="5" fillId="2" borderId="10" xfId="1" applyFont="1" applyFill="1" applyBorder="1" applyAlignment="1" applyProtection="1">
      <alignment horizontal="left" vertical="center"/>
    </xf>
    <xf numFmtId="0" fontId="4" fillId="2" borderId="11" xfId="1" applyFill="1" applyBorder="1" applyProtection="1"/>
    <xf numFmtId="0" fontId="21" fillId="2" borderId="0" xfId="1" applyFont="1" applyFill="1" applyBorder="1" applyAlignment="1" applyProtection="1">
      <alignment horizontal="right" shrinkToFit="1"/>
    </xf>
    <xf numFmtId="0" fontId="24" fillId="2" borderId="0" xfId="1" applyNumberFormat="1" applyFont="1" applyFill="1" applyBorder="1" applyAlignment="1" applyProtection="1"/>
    <xf numFmtId="0" fontId="20" fillId="2" borderId="0" xfId="1" applyFont="1" applyFill="1" applyBorder="1" applyAlignment="1" applyProtection="1"/>
    <xf numFmtId="49" fontId="3" fillId="2" borderId="0" xfId="1" applyNumberFormat="1" applyFont="1" applyFill="1" applyBorder="1" applyAlignment="1" applyProtection="1">
      <alignment horizontal="left"/>
    </xf>
    <xf numFmtId="170" fontId="3" fillId="2" borderId="0" xfId="1" applyNumberFormat="1" applyFont="1" applyFill="1" applyBorder="1" applyAlignment="1" applyProtection="1">
      <alignment horizontal="center"/>
    </xf>
    <xf numFmtId="0" fontId="3" fillId="2" borderId="0" xfId="1" applyFont="1" applyFill="1" applyBorder="1" applyAlignment="1" applyProtection="1">
      <alignment horizontal="center"/>
    </xf>
    <xf numFmtId="171" fontId="3" fillId="2" borderId="0" xfId="1" applyNumberFormat="1" applyFont="1" applyFill="1" applyBorder="1" applyAlignment="1" applyProtection="1">
      <alignment horizontal="center"/>
    </xf>
    <xf numFmtId="164" fontId="4" fillId="2" borderId="21" xfId="1" applyNumberFormat="1" applyFill="1" applyBorder="1" applyAlignment="1" applyProtection="1">
      <alignment shrinkToFit="1"/>
    </xf>
    <xf numFmtId="164" fontId="4" fillId="2" borderId="22" xfId="1" applyNumberFormat="1" applyFill="1" applyBorder="1" applyAlignment="1" applyProtection="1">
      <alignment shrinkToFit="1"/>
    </xf>
    <xf numFmtId="164" fontId="4" fillId="2" borderId="23" xfId="1" applyNumberFormat="1" applyFill="1" applyBorder="1" applyAlignment="1" applyProtection="1">
      <alignment shrinkToFit="1"/>
    </xf>
    <xf numFmtId="164" fontId="4" fillId="2" borderId="20" xfId="1" applyNumberFormat="1" applyFill="1" applyBorder="1" applyAlignment="1" applyProtection="1"/>
    <xf numFmtId="164" fontId="4" fillId="2" borderId="21" xfId="1" applyNumberFormat="1" applyFill="1" applyBorder="1" applyAlignment="1" applyProtection="1"/>
    <xf numFmtId="164" fontId="4" fillId="2" borderId="22" xfId="1" applyNumberFormat="1" applyFill="1" applyBorder="1" applyAlignment="1" applyProtection="1"/>
    <xf numFmtId="164" fontId="4" fillId="2" borderId="23" xfId="1" applyNumberFormat="1" applyFill="1" applyBorder="1" applyAlignment="1" applyProtection="1"/>
    <xf numFmtId="0" fontId="4" fillId="2" borderId="20" xfId="1" applyFill="1" applyBorder="1" applyAlignment="1" applyProtection="1">
      <alignment horizontal="center"/>
    </xf>
    <xf numFmtId="0" fontId="4" fillId="2" borderId="21" xfId="1" applyFill="1" applyBorder="1" applyAlignment="1" applyProtection="1">
      <alignment horizontal="center"/>
    </xf>
    <xf numFmtId="0" fontId="4" fillId="2" borderId="22" xfId="1" applyFill="1" applyBorder="1" applyAlignment="1" applyProtection="1">
      <alignment horizontal="center"/>
    </xf>
    <xf numFmtId="0" fontId="4" fillId="2" borderId="23" xfId="1" applyFill="1" applyBorder="1" applyAlignment="1" applyProtection="1">
      <alignment horizontal="center"/>
    </xf>
    <xf numFmtId="164" fontId="4" fillId="2" borderId="35" xfId="1" applyNumberFormat="1" applyFill="1" applyBorder="1" applyProtection="1"/>
    <xf numFmtId="164" fontId="4" fillId="2" borderId="36" xfId="1" applyNumberFormat="1" applyFill="1" applyBorder="1" applyProtection="1"/>
    <xf numFmtId="164" fontId="4" fillId="2" borderId="38" xfId="1" applyNumberFormat="1" applyFill="1" applyBorder="1" applyProtection="1"/>
    <xf numFmtId="164" fontId="4" fillId="2" borderId="36" xfId="1" applyNumberFormat="1" applyFont="1" applyFill="1" applyBorder="1" applyAlignment="1" applyProtection="1">
      <alignment horizontal="center"/>
    </xf>
    <xf numFmtId="164" fontId="4" fillId="2" borderId="38" xfId="1" applyNumberFormat="1" applyFont="1" applyFill="1" applyBorder="1" applyAlignment="1" applyProtection="1">
      <alignment horizontal="center"/>
    </xf>
    <xf numFmtId="164" fontId="4" fillId="2" borderId="18" xfId="1" applyNumberFormat="1" applyFill="1" applyBorder="1" applyProtection="1"/>
    <xf numFmtId="164" fontId="4" fillId="2" borderId="0" xfId="1" applyNumberFormat="1" applyFill="1" applyBorder="1" applyProtection="1"/>
    <xf numFmtId="164" fontId="4" fillId="2" borderId="37" xfId="1" applyNumberFormat="1" applyFill="1" applyBorder="1" applyProtection="1"/>
    <xf numFmtId="164" fontId="4" fillId="2" borderId="0" xfId="1" applyNumberFormat="1" applyFont="1" applyFill="1" applyBorder="1" applyAlignment="1" applyProtection="1">
      <alignment horizontal="center"/>
    </xf>
    <xf numFmtId="164" fontId="4" fillId="2" borderId="37" xfId="1" applyNumberFormat="1" applyFont="1" applyFill="1" applyBorder="1" applyAlignment="1" applyProtection="1">
      <alignment horizontal="center"/>
    </xf>
    <xf numFmtId="169" fontId="5" fillId="2" borderId="0" xfId="1" applyNumberFormat="1" applyFont="1" applyFill="1" applyBorder="1" applyProtection="1"/>
    <xf numFmtId="0" fontId="4" fillId="2" borderId="18" xfId="1" applyFill="1" applyBorder="1" applyAlignment="1" applyProtection="1">
      <alignment horizontal="center" shrinkToFit="1"/>
    </xf>
    <xf numFmtId="0" fontId="4" fillId="2" borderId="0" xfId="1" applyFill="1" applyBorder="1" applyAlignment="1" applyProtection="1">
      <alignment horizontal="center" shrinkToFit="1"/>
    </xf>
    <xf numFmtId="0" fontId="4" fillId="2" borderId="37" xfId="1" applyFill="1" applyBorder="1" applyAlignment="1" applyProtection="1">
      <alignment horizontal="center" shrinkToFit="1"/>
    </xf>
    <xf numFmtId="168" fontId="4" fillId="2" borderId="37" xfId="1" applyNumberFormat="1" applyFill="1" applyBorder="1" applyProtection="1"/>
    <xf numFmtId="168" fontId="4" fillId="2" borderId="36" xfId="1" applyNumberFormat="1" applyFont="1" applyFill="1" applyBorder="1" applyProtection="1"/>
    <xf numFmtId="168" fontId="4" fillId="2" borderId="38" xfId="1" applyNumberFormat="1" applyFont="1" applyFill="1" applyBorder="1" applyProtection="1"/>
    <xf numFmtId="0" fontId="13" fillId="2" borderId="21" xfId="1" applyFont="1" applyFill="1" applyBorder="1" applyAlignment="1" applyProtection="1">
      <alignment horizontal="center"/>
    </xf>
    <xf numFmtId="0" fontId="13" fillId="2" borderId="22" xfId="1" applyFont="1" applyFill="1" applyBorder="1" applyAlignment="1" applyProtection="1">
      <alignment horizontal="center"/>
    </xf>
    <xf numFmtId="0" fontId="13" fillId="2" borderId="23" xfId="1" applyFont="1" applyFill="1" applyBorder="1" applyAlignment="1" applyProtection="1">
      <alignment horizontal="center"/>
    </xf>
    <xf numFmtId="0" fontId="5" fillId="2" borderId="16" xfId="1" applyFont="1" applyFill="1" applyBorder="1" applyAlignment="1" applyProtection="1">
      <alignment horizontal="center"/>
    </xf>
    <xf numFmtId="169" fontId="14" fillId="2" borderId="0" xfId="1" applyNumberFormat="1" applyFont="1" applyFill="1" applyBorder="1" applyAlignment="1" applyProtection="1">
      <alignment horizontal="center" vertical="center" wrapText="1"/>
    </xf>
    <xf numFmtId="169" fontId="14" fillId="2" borderId="37" xfId="1" applyNumberFormat="1" applyFont="1" applyFill="1" applyBorder="1" applyAlignment="1" applyProtection="1">
      <alignment horizontal="center" vertical="center" wrapText="1"/>
    </xf>
    <xf numFmtId="169" fontId="5" fillId="2" borderId="18" xfId="1" applyNumberFormat="1" applyFont="1" applyFill="1" applyBorder="1" applyProtection="1"/>
    <xf numFmtId="169" fontId="5" fillId="2" borderId="37" xfId="1" applyNumberFormat="1" applyFont="1" applyFill="1" applyBorder="1" applyProtection="1"/>
    <xf numFmtId="0" fontId="4" fillId="2" borderId="18" xfId="1" applyFill="1" applyBorder="1" applyProtection="1"/>
    <xf numFmtId="0" fontId="4" fillId="2" borderId="0" xfId="1" applyFill="1" applyBorder="1" applyProtection="1"/>
    <xf numFmtId="167" fontId="4" fillId="2" borderId="0" xfId="1" applyNumberFormat="1" applyFill="1" applyBorder="1" applyProtection="1"/>
    <xf numFmtId="0" fontId="4" fillId="2" borderId="35" xfId="1" applyFill="1" applyBorder="1" applyProtection="1"/>
    <xf numFmtId="0" fontId="4" fillId="2" borderId="36" xfId="1" applyFill="1" applyBorder="1" applyProtection="1"/>
    <xf numFmtId="167" fontId="4" fillId="2" borderId="36" xfId="1" applyNumberFormat="1" applyFill="1" applyBorder="1" applyProtection="1"/>
    <xf numFmtId="164" fontId="4" fillId="2" borderId="21" xfId="1" applyNumberFormat="1" applyFill="1" applyBorder="1" applyAlignment="1" applyProtection="1">
      <alignment horizontal="center"/>
    </xf>
    <xf numFmtId="164" fontId="4" fillId="2" borderId="22" xfId="1" applyNumberFormat="1" applyFill="1" applyBorder="1" applyAlignment="1" applyProtection="1">
      <alignment horizontal="center"/>
    </xf>
    <xf numFmtId="164" fontId="4" fillId="2" borderId="23" xfId="1" applyNumberFormat="1" applyFill="1" applyBorder="1" applyAlignment="1" applyProtection="1">
      <alignment horizontal="center"/>
    </xf>
    <xf numFmtId="0" fontId="4" fillId="2" borderId="21" xfId="1" applyFill="1" applyBorder="1" applyProtection="1"/>
    <xf numFmtId="0" fontId="4" fillId="2" borderId="22" xfId="1" applyFill="1" applyBorder="1" applyProtection="1"/>
    <xf numFmtId="0" fontId="4" fillId="2" borderId="23" xfId="1" applyFill="1" applyBorder="1" applyProtection="1"/>
    <xf numFmtId="166" fontId="4" fillId="2" borderId="0" xfId="1" applyNumberFormat="1" applyFill="1" applyBorder="1" applyProtection="1"/>
    <xf numFmtId="9" fontId="0" fillId="2" borderId="0" xfId="3" applyFont="1" applyFill="1" applyBorder="1" applyProtection="1"/>
    <xf numFmtId="164" fontId="4" fillId="2" borderId="0" xfId="1" applyNumberFormat="1" applyFill="1" applyBorder="1" applyAlignment="1" applyProtection="1"/>
    <xf numFmtId="0" fontId="4" fillId="2" borderId="0" xfId="1" applyFill="1" applyBorder="1" applyAlignment="1" applyProtection="1"/>
    <xf numFmtId="164" fontId="4" fillId="2" borderId="0" xfId="1" applyNumberFormat="1" applyFill="1" applyBorder="1" applyAlignment="1" applyProtection="1">
      <alignment horizontal="center"/>
    </xf>
    <xf numFmtId="164" fontId="4" fillId="2" borderId="37" xfId="1" applyNumberFormat="1" applyFill="1" applyBorder="1" applyAlignment="1" applyProtection="1">
      <alignment horizontal="center"/>
    </xf>
    <xf numFmtId="9" fontId="0" fillId="2" borderId="0" xfId="3" applyFont="1" applyFill="1" applyBorder="1" applyAlignment="1" applyProtection="1">
      <alignment horizontal="center"/>
    </xf>
    <xf numFmtId="0" fontId="5" fillId="2" borderId="21" xfId="1" applyFont="1" applyFill="1" applyBorder="1" applyAlignment="1" applyProtection="1">
      <alignment horizontal="center"/>
    </xf>
    <xf numFmtId="0" fontId="5" fillId="2" borderId="22" xfId="1" applyFont="1" applyFill="1" applyBorder="1" applyAlignment="1" applyProtection="1">
      <alignment horizontal="center"/>
    </xf>
    <xf numFmtId="0" fontId="5" fillId="2" borderId="23" xfId="1" applyFont="1" applyFill="1" applyBorder="1" applyAlignment="1" applyProtection="1">
      <alignment horizontal="center"/>
    </xf>
    <xf numFmtId="0" fontId="4" fillId="2" borderId="15" xfId="1" applyFill="1" applyBorder="1" applyProtection="1"/>
    <xf numFmtId="0" fontId="4" fillId="2" borderId="16" xfId="1" applyFill="1" applyBorder="1" applyProtection="1"/>
    <xf numFmtId="164" fontId="12" fillId="2" borderId="0" xfId="1" applyNumberFormat="1" applyFont="1" applyFill="1" applyBorder="1" applyAlignment="1" applyProtection="1">
      <alignment horizontal="center"/>
    </xf>
    <xf numFmtId="164" fontId="12" fillId="2" borderId="37" xfId="1" applyNumberFormat="1" applyFont="1" applyFill="1" applyBorder="1" applyAlignment="1" applyProtection="1">
      <alignment horizontal="center"/>
    </xf>
    <xf numFmtId="0" fontId="11" fillId="2" borderId="35" xfId="1" applyFont="1" applyFill="1" applyBorder="1" applyProtection="1"/>
    <xf numFmtId="0" fontId="11" fillId="2" borderId="36" xfId="1" applyFont="1" applyFill="1" applyBorder="1" applyProtection="1"/>
    <xf numFmtId="164" fontId="12" fillId="2" borderId="36" xfId="1" applyNumberFormat="1" applyFont="1" applyFill="1" applyBorder="1" applyAlignment="1" applyProtection="1">
      <alignment horizontal="center"/>
    </xf>
    <xf numFmtId="164" fontId="12" fillId="2" borderId="38" xfId="1" applyNumberFormat="1" applyFont="1" applyFill="1" applyBorder="1" applyAlignment="1" applyProtection="1">
      <alignment horizontal="center"/>
    </xf>
    <xf numFmtId="0" fontId="11" fillId="2" borderId="18" xfId="1" applyFont="1" applyFill="1" applyBorder="1" applyProtection="1"/>
    <xf numFmtId="0" fontId="11" fillId="2" borderId="0" xfId="1" applyFont="1" applyFill="1" applyBorder="1" applyProtection="1"/>
    <xf numFmtId="0" fontId="4" fillId="2" borderId="0" xfId="1" applyFill="1" applyAlignment="1" applyProtection="1">
      <alignment horizontal="center"/>
    </xf>
    <xf numFmtId="0" fontId="11" fillId="2" borderId="21" xfId="1" applyFont="1" applyFill="1" applyBorder="1" applyAlignment="1" applyProtection="1">
      <alignment horizontal="center"/>
    </xf>
    <xf numFmtId="0" fontId="11" fillId="2" borderId="22" xfId="1" applyFont="1" applyFill="1" applyBorder="1" applyAlignment="1" applyProtection="1">
      <alignment horizontal="center"/>
    </xf>
    <xf numFmtId="0" fontId="11" fillId="2" borderId="23" xfId="1" applyFont="1" applyFill="1" applyBorder="1" applyAlignment="1" applyProtection="1">
      <alignment horizontal="center"/>
    </xf>
    <xf numFmtId="0" fontId="11" fillId="2" borderId="0" xfId="1" applyFont="1" applyFill="1" applyBorder="1" applyAlignment="1" applyProtection="1"/>
    <xf numFmtId="0" fontId="11" fillId="2" borderId="37" xfId="1" applyFont="1" applyFill="1" applyBorder="1" applyAlignment="1" applyProtection="1"/>
    <xf numFmtId="0" fontId="4" fillId="2" borderId="18" xfId="1" applyFill="1" applyBorder="1" applyAlignment="1" applyProtection="1">
      <alignment horizontal="center"/>
    </xf>
    <xf numFmtId="0" fontId="4" fillId="2" borderId="0" xfId="1" applyFill="1" applyBorder="1" applyAlignment="1" applyProtection="1">
      <alignment horizontal="center"/>
    </xf>
    <xf numFmtId="0" fontId="4" fillId="2" borderId="37" xfId="1" applyFill="1" applyBorder="1" applyAlignment="1" applyProtection="1">
      <alignment horizontal="center"/>
    </xf>
    <xf numFmtId="0" fontId="4" fillId="2" borderId="37" xfId="1" applyFill="1" applyBorder="1" applyProtection="1"/>
    <xf numFmtId="0" fontId="5" fillId="2" borderId="18" xfId="1" applyFont="1" applyFill="1" applyBorder="1" applyProtection="1"/>
    <xf numFmtId="0" fontId="5" fillId="2" borderId="0" xfId="1" applyFont="1" applyFill="1" applyBorder="1" applyProtection="1"/>
    <xf numFmtId="164" fontId="4" fillId="2" borderId="0" xfId="2" applyNumberFormat="1" applyFont="1" applyFill="1" applyBorder="1" applyAlignment="1" applyProtection="1">
      <alignment horizontal="center"/>
    </xf>
    <xf numFmtId="164" fontId="4" fillId="2" borderId="37" xfId="2" applyNumberFormat="1" applyFont="1" applyFill="1" applyBorder="1" applyAlignment="1" applyProtection="1">
      <alignment horizontal="center"/>
    </xf>
    <xf numFmtId="164" fontId="4" fillId="2" borderId="18" xfId="2" applyNumberFormat="1" applyFont="1" applyFill="1" applyBorder="1" applyAlignment="1" applyProtection="1">
      <alignment horizontal="center"/>
    </xf>
    <xf numFmtId="164" fontId="4" fillId="2" borderId="18" xfId="2" applyNumberFormat="1" applyFont="1" applyFill="1" applyBorder="1" applyAlignment="1" applyProtection="1">
      <alignment horizontal="center" vertical="center"/>
    </xf>
    <xf numFmtId="164" fontId="4" fillId="2" borderId="0" xfId="2" applyNumberFormat="1" applyFont="1" applyFill="1" applyBorder="1" applyAlignment="1" applyProtection="1">
      <alignment horizontal="center" vertical="center"/>
    </xf>
    <xf numFmtId="164" fontId="4" fillId="2" borderId="35" xfId="2" applyNumberFormat="1" applyFont="1" applyFill="1" applyBorder="1" applyAlignment="1" applyProtection="1">
      <alignment horizontal="center" vertical="center"/>
    </xf>
    <xf numFmtId="164" fontId="4" fillId="2" borderId="36" xfId="2" applyNumberFormat="1" applyFont="1" applyFill="1" applyBorder="1" applyAlignment="1" applyProtection="1">
      <alignment horizontal="center" vertical="center"/>
    </xf>
    <xf numFmtId="164" fontId="4" fillId="2" borderId="37" xfId="2" applyNumberFormat="1" applyFont="1" applyFill="1" applyBorder="1" applyAlignment="1" applyProtection="1">
      <alignment horizontal="center" vertical="center"/>
    </xf>
    <xf numFmtId="164" fontId="4" fillId="2" borderId="38" xfId="2" applyNumberFormat="1" applyFont="1" applyFill="1" applyBorder="1" applyAlignment="1" applyProtection="1">
      <alignment horizontal="center" vertical="center"/>
    </xf>
    <xf numFmtId="0" fontId="5" fillId="2" borderId="0" xfId="1" applyFont="1" applyFill="1" applyBorder="1" applyAlignment="1" applyProtection="1">
      <alignment horizontal="center"/>
    </xf>
    <xf numFmtId="0" fontId="5" fillId="2" borderId="37" xfId="1" applyFont="1" applyFill="1" applyBorder="1" applyAlignment="1" applyProtection="1">
      <alignment horizontal="center"/>
    </xf>
    <xf numFmtId="0" fontId="5" fillId="2" borderId="18" xfId="1" applyFont="1" applyFill="1" applyBorder="1" applyAlignment="1" applyProtection="1">
      <alignment horizontal="center"/>
    </xf>
    <xf numFmtId="164" fontId="4" fillId="2" borderId="36" xfId="2" applyNumberFormat="1" applyFont="1" applyFill="1" applyBorder="1" applyAlignment="1" applyProtection="1">
      <alignment horizontal="center"/>
    </xf>
    <xf numFmtId="164" fontId="4" fillId="2" borderId="38" xfId="2" applyNumberFormat="1" applyFont="1" applyFill="1" applyBorder="1" applyAlignment="1" applyProtection="1">
      <alignment horizontal="center"/>
    </xf>
    <xf numFmtId="0" fontId="5" fillId="2" borderId="35" xfId="1" applyFont="1" applyFill="1" applyBorder="1" applyProtection="1"/>
    <xf numFmtId="0" fontId="5" fillId="2" borderId="36" xfId="1" applyFont="1" applyFill="1" applyBorder="1" applyProtection="1"/>
    <xf numFmtId="164" fontId="1" fillId="2" borderId="20" xfId="1" applyNumberFormat="1" applyFont="1" applyFill="1" applyBorder="1" applyAlignment="1" applyProtection="1"/>
    <xf numFmtId="164" fontId="1" fillId="2" borderId="24" xfId="1" applyNumberFormat="1" applyFont="1" applyFill="1" applyBorder="1" applyAlignment="1" applyProtection="1"/>
    <xf numFmtId="164" fontId="1" fillId="2" borderId="20" xfId="1" applyNumberFormat="1" applyFont="1" applyFill="1" applyBorder="1" applyAlignment="1" applyProtection="1">
      <alignment horizontal="right"/>
    </xf>
    <xf numFmtId="164" fontId="1" fillId="2" borderId="24" xfId="1" applyNumberFormat="1" applyFont="1" applyFill="1" applyBorder="1" applyAlignment="1" applyProtection="1">
      <alignment horizontal="right"/>
    </xf>
    <xf numFmtId="164" fontId="5" fillId="2" borderId="20" xfId="1" applyNumberFormat="1" applyFont="1" applyFill="1" applyBorder="1" applyAlignment="1" applyProtection="1">
      <alignment horizontal="right"/>
    </xf>
    <xf numFmtId="164" fontId="5" fillId="2" borderId="24" xfId="1" applyNumberFormat="1" applyFont="1" applyFill="1" applyBorder="1" applyAlignment="1" applyProtection="1">
      <alignment horizontal="right"/>
    </xf>
    <xf numFmtId="0" fontId="4" fillId="2" borderId="20" xfId="1" applyFill="1" applyBorder="1" applyAlignment="1" applyProtection="1"/>
    <xf numFmtId="0" fontId="4" fillId="2" borderId="24" xfId="1" applyFill="1" applyBorder="1" applyAlignment="1" applyProtection="1"/>
    <xf numFmtId="0" fontId="4" fillId="2" borderId="7" xfId="1" applyFill="1" applyBorder="1" applyAlignment="1" applyProtection="1"/>
    <xf numFmtId="0" fontId="4" fillId="2" borderId="8" xfId="1" applyFill="1" applyBorder="1" applyAlignment="1" applyProtection="1"/>
    <xf numFmtId="0" fontId="21" fillId="2" borderId="19" xfId="1" applyFont="1" applyFill="1" applyBorder="1" applyAlignment="1" applyProtection="1">
      <alignment horizontal="right" shrinkToFit="1"/>
    </xf>
    <xf numFmtId="0" fontId="21" fillId="2" borderId="20" xfId="1" applyFont="1" applyFill="1" applyBorder="1" applyAlignment="1" applyProtection="1">
      <alignment horizontal="right" shrinkToFit="1"/>
    </xf>
    <xf numFmtId="0" fontId="4" fillId="2" borderId="0" xfId="1" applyFill="1" applyProtection="1"/>
    <xf numFmtId="0" fontId="5" fillId="2" borderId="15" xfId="1" applyFont="1" applyFill="1" applyBorder="1" applyAlignment="1" applyProtection="1">
      <alignment horizontal="center"/>
    </xf>
    <xf numFmtId="165" fontId="5" fillId="2" borderId="16" xfId="1" applyNumberFormat="1" applyFont="1" applyFill="1" applyBorder="1" applyAlignment="1" applyProtection="1">
      <alignment horizontal="center" shrinkToFit="1"/>
    </xf>
    <xf numFmtId="165" fontId="5" fillId="2" borderId="34" xfId="1" applyNumberFormat="1" applyFont="1" applyFill="1" applyBorder="1" applyAlignment="1" applyProtection="1">
      <alignment horizontal="center" shrinkToFit="1"/>
    </xf>
    <xf numFmtId="0" fontId="5" fillId="2" borderId="15" xfId="1" applyFont="1" applyFill="1" applyBorder="1" applyAlignment="1" applyProtection="1">
      <alignment horizontal="center" shrinkToFit="1"/>
    </xf>
    <xf numFmtId="0" fontId="5" fillId="2" borderId="16" xfId="1" applyFont="1" applyFill="1" applyBorder="1" applyAlignment="1" applyProtection="1">
      <alignment horizontal="center" shrinkToFit="1"/>
    </xf>
    <xf numFmtId="0" fontId="5" fillId="2" borderId="39" xfId="1" applyFont="1" applyFill="1" applyBorder="1" applyAlignment="1" applyProtection="1">
      <alignment horizontal="right"/>
    </xf>
    <xf numFmtId="164" fontId="5" fillId="2" borderId="39" xfId="1" applyNumberFormat="1" applyFont="1" applyFill="1" applyBorder="1" applyAlignment="1" applyProtection="1">
      <alignment horizontal="center"/>
    </xf>
    <xf numFmtId="0" fontId="5" fillId="2" borderId="39" xfId="1" applyFont="1" applyFill="1" applyBorder="1" applyAlignment="1" applyProtection="1">
      <alignment horizontal="center"/>
    </xf>
    <xf numFmtId="0" fontId="5" fillId="2" borderId="40" xfId="1" applyFont="1" applyFill="1" applyBorder="1" applyAlignment="1" applyProtection="1">
      <alignment horizontal="center"/>
    </xf>
    <xf numFmtId="0" fontId="5" fillId="2" borderId="19" xfId="1" applyFont="1" applyFill="1" applyBorder="1" applyAlignment="1" applyProtection="1">
      <alignment horizontal="left" vertical="center"/>
    </xf>
    <xf numFmtId="0" fontId="5" fillId="2" borderId="20" xfId="1" applyFont="1" applyFill="1" applyBorder="1" applyAlignment="1" applyProtection="1">
      <alignment horizontal="left" vertical="center"/>
    </xf>
    <xf numFmtId="0" fontId="5" fillId="2" borderId="31" xfId="1" applyFont="1" applyFill="1" applyBorder="1" applyAlignment="1" applyProtection="1">
      <alignment horizontal="left" vertical="center"/>
    </xf>
    <xf numFmtId="0" fontId="4" fillId="3" borderId="31" xfId="1" applyFill="1" applyBorder="1" applyAlignment="1" applyProtection="1">
      <alignment horizontal="center"/>
      <protection locked="0"/>
    </xf>
    <xf numFmtId="0" fontId="4" fillId="3" borderId="35" xfId="1" applyFill="1" applyBorder="1" applyAlignment="1" applyProtection="1">
      <alignment horizontal="center"/>
      <protection locked="0"/>
    </xf>
    <xf numFmtId="0" fontId="4" fillId="2" borderId="35" xfId="1" applyFill="1" applyBorder="1" applyAlignment="1" applyProtection="1">
      <alignment horizontal="left"/>
    </xf>
    <xf numFmtId="0" fontId="4" fillId="2" borderId="36" xfId="1" applyFill="1" applyBorder="1" applyAlignment="1" applyProtection="1">
      <alignment horizontal="left"/>
    </xf>
    <xf numFmtId="0" fontId="4" fillId="2" borderId="22" xfId="1" applyFill="1" applyBorder="1" applyAlignment="1" applyProtection="1">
      <alignment horizontal="left"/>
    </xf>
    <xf numFmtId="0" fontId="4" fillId="2" borderId="23" xfId="1" applyFill="1" applyBorder="1" applyAlignment="1" applyProtection="1">
      <alignment horizontal="left"/>
    </xf>
    <xf numFmtId="164" fontId="4" fillId="2" borderId="20" xfId="1" applyNumberFormat="1" applyFill="1" applyBorder="1" applyAlignment="1" applyProtection="1">
      <alignment horizontal="center" vertical="center"/>
    </xf>
    <xf numFmtId="164" fontId="4" fillId="2" borderId="24" xfId="1" applyNumberFormat="1" applyFill="1" applyBorder="1" applyAlignment="1" applyProtection="1">
      <alignment horizontal="center" vertical="center"/>
    </xf>
    <xf numFmtId="164" fontId="4" fillId="2" borderId="16" xfId="1" applyNumberFormat="1" applyFill="1" applyBorder="1" applyAlignment="1" applyProtection="1">
      <alignment horizontal="center" vertical="center"/>
    </xf>
    <xf numFmtId="0" fontId="4" fillId="2" borderId="16" xfId="1" applyFill="1" applyBorder="1" applyAlignment="1" applyProtection="1">
      <alignment horizontal="center" vertical="center"/>
    </xf>
    <xf numFmtId="0" fontId="4" fillId="2" borderId="17" xfId="1" applyFill="1" applyBorder="1" applyAlignment="1" applyProtection="1">
      <alignment horizontal="center" vertical="center"/>
    </xf>
    <xf numFmtId="0" fontId="5" fillId="2" borderId="43" xfId="1" applyFont="1" applyFill="1" applyBorder="1" applyAlignment="1" applyProtection="1">
      <alignment horizontal="right"/>
    </xf>
    <xf numFmtId="0" fontId="5" fillId="2" borderId="10" xfId="1" applyFont="1" applyFill="1" applyBorder="1" applyAlignment="1" applyProtection="1">
      <alignment horizontal="right"/>
    </xf>
    <xf numFmtId="0" fontId="5" fillId="2" borderId="44" xfId="1" applyFont="1" applyFill="1" applyBorder="1" applyAlignment="1" applyProtection="1">
      <alignment horizontal="right"/>
    </xf>
    <xf numFmtId="0" fontId="7" fillId="5" borderId="12" xfId="1" applyFont="1" applyFill="1" applyBorder="1" applyAlignment="1" applyProtection="1">
      <alignment horizontal="center"/>
    </xf>
    <xf numFmtId="0" fontId="7" fillId="5" borderId="13" xfId="1" applyFont="1" applyFill="1" applyBorder="1" applyAlignment="1" applyProtection="1">
      <alignment horizontal="center"/>
    </xf>
    <xf numFmtId="0" fontId="7" fillId="5" borderId="14" xfId="1" applyFont="1" applyFill="1" applyBorder="1" applyAlignment="1" applyProtection="1">
      <alignment horizontal="center"/>
    </xf>
    <xf numFmtId="0" fontId="9" fillId="2" borderId="33" xfId="1" applyFont="1" applyFill="1" applyBorder="1" applyAlignment="1" applyProtection="1">
      <alignment horizontal="left" vertical="top" wrapText="1" shrinkToFit="1"/>
    </xf>
    <xf numFmtId="0" fontId="9" fillId="2" borderId="16" xfId="1" applyFont="1" applyFill="1" applyBorder="1" applyAlignment="1" applyProtection="1">
      <alignment horizontal="left" vertical="top" wrapText="1" shrinkToFit="1"/>
    </xf>
    <xf numFmtId="0" fontId="9" fillId="2" borderId="9" xfId="1" applyFont="1" applyFill="1" applyBorder="1" applyAlignment="1" applyProtection="1">
      <alignment horizontal="left" vertical="top" wrapText="1" shrinkToFit="1"/>
    </xf>
    <xf numFmtId="0" fontId="9" fillId="2" borderId="10" xfId="1" applyFont="1" applyFill="1" applyBorder="1" applyAlignment="1" applyProtection="1">
      <alignment horizontal="left" vertical="top" wrapText="1" shrinkToFit="1"/>
    </xf>
    <xf numFmtId="0" fontId="2" fillId="2" borderId="18" xfId="1" applyFont="1" applyFill="1" applyBorder="1" applyAlignment="1" applyProtection="1">
      <alignment horizontal="right"/>
    </xf>
    <xf numFmtId="0" fontId="2" fillId="2" borderId="0" xfId="1" applyFont="1" applyFill="1" applyBorder="1" applyAlignment="1" applyProtection="1">
      <alignment horizontal="right"/>
    </xf>
    <xf numFmtId="0" fontId="2" fillId="2" borderId="37" xfId="1" applyFont="1" applyFill="1" applyBorder="1" applyAlignment="1" applyProtection="1">
      <alignment horizontal="right"/>
    </xf>
    <xf numFmtId="0" fontId="5" fillId="2" borderId="21" xfId="1" applyFont="1" applyFill="1" applyBorder="1" applyAlignment="1" applyProtection="1">
      <alignment horizontal="left" vertical="center"/>
    </xf>
    <xf numFmtId="0" fontId="5" fillId="2" borderId="20" xfId="1" applyFont="1" applyFill="1" applyBorder="1" applyAlignment="1" applyProtection="1">
      <alignment horizontal="right"/>
    </xf>
    <xf numFmtId="0" fontId="4" fillId="3" borderId="20" xfId="1" applyFill="1" applyBorder="1" applyAlignment="1" applyProtection="1">
      <alignment horizontal="center"/>
      <protection locked="0"/>
    </xf>
    <xf numFmtId="0" fontId="5" fillId="2" borderId="34" xfId="1" applyFont="1" applyFill="1" applyBorder="1" applyAlignment="1" applyProtection="1">
      <alignment horizontal="right"/>
    </xf>
    <xf numFmtId="0" fontId="5" fillId="2" borderId="26" xfId="1" applyFont="1" applyFill="1" applyBorder="1" applyAlignment="1" applyProtection="1">
      <alignment horizontal="right"/>
    </xf>
    <xf numFmtId="164" fontId="4" fillId="3" borderId="26" xfId="1" applyNumberFormat="1" applyFill="1" applyBorder="1" applyAlignment="1" applyProtection="1">
      <alignment horizontal="center"/>
      <protection locked="0"/>
    </xf>
    <xf numFmtId="0" fontId="5" fillId="2" borderId="23" xfId="1" applyFont="1" applyFill="1" applyBorder="1" applyAlignment="1" applyProtection="1">
      <alignment horizontal="right"/>
    </xf>
    <xf numFmtId="164" fontId="4" fillId="3" borderId="20" xfId="1" applyNumberFormat="1" applyFill="1" applyBorder="1" applyAlignment="1" applyProtection="1">
      <alignment horizontal="center"/>
      <protection locked="0"/>
    </xf>
    <xf numFmtId="164" fontId="4" fillId="2" borderId="0" xfId="1" applyNumberFormat="1" applyFill="1" applyBorder="1" applyAlignment="1" applyProtection="1">
      <alignment horizontal="center" vertical="center"/>
    </xf>
    <xf numFmtId="164" fontId="4" fillId="2" borderId="2" xfId="1" applyNumberFormat="1" applyFill="1" applyBorder="1" applyAlignment="1" applyProtection="1">
      <alignment horizontal="center" vertical="center"/>
    </xf>
    <xf numFmtId="164" fontId="5" fillId="2" borderId="10" xfId="1" applyNumberFormat="1" applyFont="1" applyFill="1" applyBorder="1" applyAlignment="1" applyProtection="1">
      <alignment horizontal="center" vertical="center"/>
    </xf>
    <xf numFmtId="0" fontId="5" fillId="2" borderId="10" xfId="1" applyFont="1" applyFill="1" applyBorder="1" applyAlignment="1" applyProtection="1">
      <alignment horizontal="center" vertical="center"/>
    </xf>
    <xf numFmtId="0" fontId="5" fillId="2" borderId="11" xfId="1" applyFont="1" applyFill="1" applyBorder="1" applyAlignment="1" applyProtection="1">
      <alignment horizontal="center" vertical="center"/>
    </xf>
    <xf numFmtId="0" fontId="5" fillId="2" borderId="28" xfId="1" applyFont="1" applyFill="1" applyBorder="1" applyAlignment="1" applyProtection="1">
      <alignment horizontal="left" vertical="center"/>
    </xf>
    <xf numFmtId="0" fontId="5" fillId="2" borderId="22" xfId="1" applyFont="1" applyFill="1" applyBorder="1" applyAlignment="1" applyProtection="1">
      <alignment horizontal="left" vertical="center"/>
    </xf>
    <xf numFmtId="0" fontId="5" fillId="2" borderId="23" xfId="1" applyFont="1" applyFill="1" applyBorder="1" applyAlignment="1" applyProtection="1">
      <alignment horizontal="left" vertical="center"/>
    </xf>
    <xf numFmtId="164" fontId="4" fillId="2" borderId="21" xfId="1" applyNumberFormat="1" applyFill="1" applyBorder="1" applyAlignment="1" applyProtection="1">
      <alignment horizontal="center" vertical="center"/>
    </xf>
    <xf numFmtId="164" fontId="4" fillId="2" borderId="22" xfId="1" applyNumberFormat="1" applyFill="1" applyBorder="1" applyAlignment="1" applyProtection="1">
      <alignment horizontal="center" vertical="center"/>
    </xf>
    <xf numFmtId="164" fontId="4" fillId="2" borderId="29" xfId="1" applyNumberFormat="1" applyFill="1" applyBorder="1" applyAlignment="1" applyProtection="1">
      <alignment horizontal="center" vertical="center"/>
    </xf>
    <xf numFmtId="0" fontId="5" fillId="2" borderId="30" xfId="1" applyFont="1" applyFill="1" applyBorder="1" applyAlignment="1" applyProtection="1">
      <alignment horizontal="left" vertical="center"/>
    </xf>
    <xf numFmtId="0" fontId="5" fillId="2" borderId="25" xfId="1" applyFont="1" applyFill="1" applyBorder="1" applyAlignment="1" applyProtection="1">
      <alignment horizontal="left" vertical="center"/>
    </xf>
    <xf numFmtId="0" fontId="5" fillId="2" borderId="26" xfId="1" applyFont="1" applyFill="1" applyBorder="1" applyAlignment="1" applyProtection="1">
      <alignment horizontal="left" vertical="center"/>
    </xf>
    <xf numFmtId="164" fontId="4" fillId="2" borderId="31" xfId="1" applyNumberFormat="1" applyFill="1" applyBorder="1" applyAlignment="1" applyProtection="1">
      <alignment horizontal="center" vertical="center"/>
    </xf>
    <xf numFmtId="164" fontId="4" fillId="2" borderId="26" xfId="1" applyNumberFormat="1" applyFill="1" applyBorder="1" applyAlignment="1" applyProtection="1">
      <alignment horizontal="center" vertical="center"/>
    </xf>
    <xf numFmtId="0" fontId="4" fillId="3" borderId="31" xfId="1" applyFill="1" applyBorder="1" applyAlignment="1" applyProtection="1">
      <alignment horizontal="center" vertical="center"/>
      <protection locked="0"/>
    </xf>
    <xf numFmtId="0" fontId="4" fillId="3" borderId="20" xfId="1" applyFill="1" applyBorder="1" applyAlignment="1" applyProtection="1">
      <alignment horizontal="center" vertical="center"/>
      <protection locked="0"/>
    </xf>
    <xf numFmtId="0" fontId="4" fillId="3" borderId="26" xfId="1" applyFill="1" applyBorder="1" applyAlignment="1" applyProtection="1">
      <alignment horizontal="center" vertical="center"/>
      <protection locked="0"/>
    </xf>
    <xf numFmtId="164" fontId="4" fillId="2" borderId="32" xfId="1" applyNumberFormat="1" applyFill="1" applyBorder="1" applyAlignment="1" applyProtection="1">
      <alignment horizontal="center" vertical="center"/>
    </xf>
    <xf numFmtId="164" fontId="4" fillId="2" borderId="27" xfId="1" applyNumberFormat="1" applyFill="1" applyBorder="1" applyAlignment="1" applyProtection="1">
      <alignment horizontal="center" vertical="center"/>
    </xf>
    <xf numFmtId="164" fontId="4" fillId="2" borderId="20" xfId="1" applyNumberFormat="1" applyFill="1" applyBorder="1" applyAlignment="1" applyProtection="1">
      <alignment horizontal="center"/>
    </xf>
    <xf numFmtId="164" fontId="4" fillId="2" borderId="26" xfId="1" applyNumberFormat="1" applyFill="1" applyBorder="1" applyAlignment="1" applyProtection="1">
      <alignment horizontal="center"/>
    </xf>
    <xf numFmtId="0" fontId="5" fillId="2" borderId="0" xfId="1" applyFont="1" applyFill="1" applyBorder="1" applyAlignment="1" applyProtection="1">
      <alignment horizontal="center" wrapText="1"/>
    </xf>
    <xf numFmtId="0" fontId="5" fillId="2" borderId="0" xfId="1" applyFont="1" applyFill="1" applyBorder="1" applyAlignment="1" applyProtection="1">
      <alignment horizontal="center" vertical="center" wrapText="1"/>
    </xf>
    <xf numFmtId="0" fontId="5" fillId="2" borderId="2" xfId="1" applyFont="1" applyFill="1" applyBorder="1" applyAlignment="1" applyProtection="1">
      <alignment horizontal="center" vertical="center" wrapText="1"/>
    </xf>
    <xf numFmtId="0" fontId="4" fillId="2" borderId="20" xfId="1" applyFill="1" applyBorder="1" applyAlignment="1" applyProtection="1">
      <alignment horizontal="center" vertical="center"/>
    </xf>
    <xf numFmtId="0" fontId="4" fillId="2" borderId="24" xfId="1" applyFill="1" applyBorder="1" applyAlignment="1" applyProtection="1">
      <alignment horizontal="center" vertical="center"/>
    </xf>
    <xf numFmtId="0" fontId="5" fillId="2" borderId="0" xfId="1" applyFont="1" applyFill="1" applyBorder="1" applyAlignment="1" applyProtection="1">
      <alignment horizontal="right"/>
    </xf>
    <xf numFmtId="164" fontId="4" fillId="2" borderId="36" xfId="1" applyNumberFormat="1" applyFill="1" applyBorder="1" applyAlignment="1" applyProtection="1">
      <alignment horizontal="center" wrapText="1"/>
    </xf>
    <xf numFmtId="164" fontId="4" fillId="2" borderId="46" xfId="1" applyNumberFormat="1" applyFill="1" applyBorder="1" applyAlignment="1" applyProtection="1">
      <alignment horizontal="center" wrapText="1"/>
    </xf>
    <xf numFmtId="164" fontId="4" fillId="2" borderId="20" xfId="1" applyNumberFormat="1" applyFill="1" applyBorder="1" applyProtection="1"/>
    <xf numFmtId="0" fontId="7" fillId="5" borderId="15" xfId="1" applyFont="1" applyFill="1" applyBorder="1" applyAlignment="1" applyProtection="1">
      <alignment horizontal="left"/>
    </xf>
    <xf numFmtId="0" fontId="7" fillId="5" borderId="16" xfId="1" applyFont="1" applyFill="1" applyBorder="1" applyAlignment="1" applyProtection="1">
      <alignment horizontal="left"/>
    </xf>
    <xf numFmtId="0" fontId="7" fillId="5" borderId="34" xfId="1" applyFont="1" applyFill="1" applyBorder="1" applyAlignment="1" applyProtection="1">
      <alignment horizontal="left"/>
    </xf>
    <xf numFmtId="0" fontId="6" fillId="2" borderId="0" xfId="1" applyFont="1" applyFill="1" applyAlignment="1" applyProtection="1">
      <alignment horizontal="right"/>
    </xf>
    <xf numFmtId="0" fontId="20" fillId="2" borderId="0" xfId="1" applyFont="1" applyFill="1" applyAlignment="1" applyProtection="1">
      <alignment horizontal="center"/>
    </xf>
    <xf numFmtId="0" fontId="22" fillId="2" borderId="0" xfId="1" applyFont="1" applyFill="1" applyAlignment="1" applyProtection="1">
      <alignment horizontal="center"/>
    </xf>
    <xf numFmtId="0" fontId="5" fillId="2" borderId="15" xfId="1" applyFont="1" applyFill="1" applyBorder="1" applyAlignment="1" applyProtection="1">
      <alignment horizontal="center" wrapText="1"/>
    </xf>
    <xf numFmtId="0" fontId="5" fillId="2" borderId="16" xfId="1" applyFont="1" applyFill="1" applyBorder="1" applyAlignment="1" applyProtection="1">
      <alignment horizontal="center" wrapText="1"/>
    </xf>
    <xf numFmtId="0" fontId="5" fillId="2" borderId="17" xfId="1" applyFont="1" applyFill="1" applyBorder="1" applyAlignment="1" applyProtection="1">
      <alignment horizontal="center" wrapText="1"/>
    </xf>
    <xf numFmtId="0" fontId="5" fillId="2" borderId="18" xfId="1" applyFont="1" applyFill="1" applyBorder="1" applyAlignment="1" applyProtection="1">
      <alignment horizontal="center" wrapText="1"/>
    </xf>
    <xf numFmtId="0" fontId="5" fillId="2" borderId="2" xfId="1" applyFont="1" applyFill="1" applyBorder="1" applyAlignment="1" applyProtection="1">
      <alignment horizontal="center" wrapText="1"/>
    </xf>
    <xf numFmtId="164" fontId="23" fillId="3" borderId="20" xfId="1" applyNumberFormat="1" applyFont="1" applyFill="1" applyBorder="1" applyAlignment="1" applyProtection="1">
      <protection locked="0"/>
    </xf>
    <xf numFmtId="0" fontId="15" fillId="4" borderId="20" xfId="1" applyFont="1" applyFill="1" applyBorder="1" applyAlignment="1" applyProtection="1">
      <alignment horizontal="left"/>
    </xf>
    <xf numFmtId="0" fontId="15" fillId="4" borderId="24" xfId="1" applyFont="1" applyFill="1" applyBorder="1" applyAlignment="1" applyProtection="1">
      <alignment horizontal="left"/>
    </xf>
    <xf numFmtId="49" fontId="17" fillId="2" borderId="26" xfId="1" applyNumberFormat="1" applyFont="1" applyFill="1" applyBorder="1" applyAlignment="1" applyProtection="1">
      <alignment horizontal="center"/>
      <protection locked="0"/>
    </xf>
    <xf numFmtId="49" fontId="17" fillId="2" borderId="27" xfId="1" applyNumberFormat="1" applyFont="1" applyFill="1" applyBorder="1" applyAlignment="1" applyProtection="1">
      <alignment horizontal="center"/>
      <protection locked="0"/>
    </xf>
    <xf numFmtId="0" fontId="15" fillId="4" borderId="20" xfId="1" applyFont="1" applyFill="1" applyBorder="1" applyAlignment="1" applyProtection="1"/>
    <xf numFmtId="0" fontId="15" fillId="4" borderId="4" xfId="1" applyFont="1" applyFill="1" applyBorder="1" applyProtection="1"/>
    <xf numFmtId="0" fontId="15" fillId="4" borderId="5" xfId="1" applyFont="1" applyFill="1" applyBorder="1" applyProtection="1"/>
    <xf numFmtId="49" fontId="17" fillId="2" borderId="21" xfId="1" applyNumberFormat="1" applyFont="1" applyFill="1" applyBorder="1" applyAlignment="1" applyProtection="1">
      <alignment horizontal="center"/>
      <protection locked="0"/>
    </xf>
    <xf numFmtId="49" fontId="17" fillId="2" borderId="22" xfId="1" applyNumberFormat="1" applyFont="1" applyFill="1" applyBorder="1" applyAlignment="1" applyProtection="1">
      <alignment horizontal="center"/>
      <protection locked="0"/>
    </xf>
    <xf numFmtId="49" fontId="17" fillId="2" borderId="29" xfId="1" applyNumberFormat="1" applyFont="1" applyFill="1" applyBorder="1" applyAlignment="1" applyProtection="1">
      <alignment horizontal="center"/>
      <protection locked="0"/>
    </xf>
    <xf numFmtId="0" fontId="15" fillId="4" borderId="3" xfId="1" applyFont="1" applyFill="1" applyBorder="1" applyProtection="1"/>
    <xf numFmtId="49" fontId="17" fillId="2" borderId="19" xfId="1" applyNumberFormat="1" applyFont="1" applyFill="1" applyBorder="1" applyAlignment="1" applyProtection="1">
      <alignment horizontal="left"/>
      <protection locked="0"/>
    </xf>
    <xf numFmtId="49" fontId="17" fillId="2" borderId="20" xfId="1" applyNumberFormat="1" applyFont="1" applyFill="1" applyBorder="1" applyAlignment="1" applyProtection="1">
      <alignment horizontal="left"/>
      <protection locked="0"/>
    </xf>
    <xf numFmtId="171" fontId="17" fillId="2" borderId="21" xfId="1" applyNumberFormat="1" applyFont="1" applyFill="1" applyBorder="1" applyAlignment="1" applyProtection="1">
      <protection locked="0"/>
    </xf>
    <xf numFmtId="171" fontId="17" fillId="2" borderId="22" xfId="1" applyNumberFormat="1" applyFont="1" applyFill="1" applyBorder="1" applyAlignment="1" applyProtection="1">
      <protection locked="0"/>
    </xf>
    <xf numFmtId="171" fontId="17" fillId="2" borderId="29" xfId="1" applyNumberFormat="1" applyFont="1" applyFill="1" applyBorder="1" applyAlignment="1" applyProtection="1">
      <protection locked="0"/>
    </xf>
    <xf numFmtId="0" fontId="17" fillId="2" borderId="22" xfId="1" applyFont="1" applyFill="1" applyBorder="1" applyAlignment="1" applyProtection="1">
      <protection locked="0"/>
    </xf>
    <xf numFmtId="0" fontId="17" fillId="2" borderId="23" xfId="1" applyFont="1" applyFill="1" applyBorder="1" applyAlignment="1" applyProtection="1">
      <protection locked="0"/>
    </xf>
    <xf numFmtId="170" fontId="17" fillId="2" borderId="21" xfId="1" applyNumberFormat="1" applyFont="1" applyFill="1" applyBorder="1" applyAlignment="1" applyProtection="1">
      <alignment horizontal="center"/>
      <protection locked="0"/>
    </xf>
    <xf numFmtId="170" fontId="17" fillId="2" borderId="22" xfId="1" applyNumberFormat="1" applyFont="1" applyFill="1" applyBorder="1" applyAlignment="1" applyProtection="1">
      <alignment horizontal="center"/>
      <protection locked="0"/>
    </xf>
    <xf numFmtId="170" fontId="17" fillId="2" borderId="23" xfId="1" applyNumberFormat="1" applyFont="1" applyFill="1" applyBorder="1" applyAlignment="1" applyProtection="1">
      <alignment horizontal="center"/>
      <protection locked="0"/>
    </xf>
    <xf numFmtId="0" fontId="15" fillId="4" borderId="4" xfId="1" applyFont="1" applyFill="1" applyBorder="1" applyAlignment="1" applyProtection="1"/>
    <xf numFmtId="171" fontId="17" fillId="2" borderId="21" xfId="1" applyNumberFormat="1" applyFont="1" applyFill="1" applyBorder="1" applyAlignment="1" applyProtection="1">
      <alignment horizontal="center"/>
      <protection locked="0"/>
    </xf>
    <xf numFmtId="171" fontId="17" fillId="2" borderId="22" xfId="1" applyNumberFormat="1" applyFont="1" applyFill="1" applyBorder="1" applyAlignment="1" applyProtection="1">
      <alignment horizontal="center"/>
      <protection locked="0"/>
    </xf>
    <xf numFmtId="171" fontId="17" fillId="2" borderId="23" xfId="1" applyNumberFormat="1" applyFont="1" applyFill="1" applyBorder="1" applyAlignment="1" applyProtection="1">
      <alignment horizontal="center"/>
      <protection locked="0"/>
    </xf>
    <xf numFmtId="0" fontId="15" fillId="4" borderId="19" xfId="1" applyFont="1" applyFill="1" applyBorder="1" applyAlignment="1" applyProtection="1">
      <alignment horizontal="left"/>
    </xf>
    <xf numFmtId="49" fontId="17" fillId="2" borderId="33" xfId="1" applyNumberFormat="1" applyFont="1" applyFill="1" applyBorder="1" applyAlignment="1" applyProtection="1">
      <alignment horizontal="left" shrinkToFit="1"/>
      <protection locked="0"/>
    </xf>
    <xf numFmtId="49" fontId="17" fillId="2" borderId="16" xfId="1" applyNumberFormat="1" applyFont="1" applyFill="1" applyBorder="1" applyAlignment="1" applyProtection="1">
      <alignment horizontal="left" shrinkToFit="1"/>
      <protection locked="0"/>
    </xf>
    <xf numFmtId="49" fontId="17" fillId="2" borderId="34" xfId="1" applyNumberFormat="1" applyFont="1" applyFill="1" applyBorder="1" applyAlignment="1" applyProtection="1">
      <alignment horizontal="left" shrinkToFit="1"/>
      <protection locked="0"/>
    </xf>
    <xf numFmtId="0" fontId="15" fillId="4" borderId="20" xfId="1" applyFont="1" applyFill="1" applyBorder="1" applyProtection="1"/>
    <xf numFmtId="172" fontId="17" fillId="2" borderId="26" xfId="1" applyNumberFormat="1" applyFont="1" applyFill="1" applyBorder="1" applyAlignment="1" applyProtection="1">
      <alignment horizontal="center"/>
      <protection locked="0"/>
    </xf>
    <xf numFmtId="171" fontId="17" fillId="2" borderId="26" xfId="1" applyNumberFormat="1" applyFont="1" applyFill="1" applyBorder="1" applyAlignment="1" applyProtection="1">
      <alignment horizontal="center"/>
      <protection locked="0"/>
    </xf>
    <xf numFmtId="0" fontId="15" fillId="4" borderId="21" xfId="1" applyFont="1" applyFill="1" applyBorder="1" applyAlignment="1" applyProtection="1"/>
    <xf numFmtId="0" fontId="15" fillId="4" borderId="22" xfId="1" applyFont="1" applyFill="1" applyBorder="1" applyAlignment="1" applyProtection="1"/>
    <xf numFmtId="0" fontId="15" fillId="4" borderId="23" xfId="1" applyFont="1" applyFill="1" applyBorder="1" applyAlignment="1" applyProtection="1"/>
    <xf numFmtId="0" fontId="15" fillId="4" borderId="21" xfId="1" applyFont="1" applyFill="1" applyBorder="1" applyProtection="1"/>
    <xf numFmtId="0" fontId="15" fillId="4" borderId="22" xfId="1" applyFont="1" applyFill="1" applyBorder="1" applyProtection="1"/>
    <xf numFmtId="0" fontId="15" fillId="4" borderId="23" xfId="1" applyFont="1" applyFill="1" applyBorder="1" applyProtection="1"/>
    <xf numFmtId="170" fontId="17" fillId="2" borderId="21" xfId="1" applyNumberFormat="1" applyFont="1" applyFill="1" applyBorder="1" applyAlignment="1" applyProtection="1">
      <protection locked="0"/>
    </xf>
    <xf numFmtId="170" fontId="17" fillId="2" borderId="22" xfId="1" applyNumberFormat="1" applyFont="1" applyFill="1" applyBorder="1" applyAlignment="1" applyProtection="1">
      <protection locked="0"/>
    </xf>
    <xf numFmtId="170" fontId="17" fillId="2" borderId="23" xfId="1" applyNumberFormat="1" applyFont="1" applyFill="1" applyBorder="1" applyAlignment="1" applyProtection="1">
      <protection locked="0"/>
    </xf>
    <xf numFmtId="49" fontId="23" fillId="3" borderId="20" xfId="1" applyNumberFormat="1" applyFont="1" applyFill="1" applyBorder="1" applyAlignment="1" applyProtection="1">
      <protection locked="0"/>
    </xf>
    <xf numFmtId="49" fontId="17" fillId="2" borderId="20" xfId="1" applyNumberFormat="1" applyFont="1" applyFill="1" applyBorder="1" applyAlignment="1" applyProtection="1">
      <protection locked="0"/>
    </xf>
    <xf numFmtId="0" fontId="6" fillId="2" borderId="0" xfId="1" applyFont="1" applyFill="1" applyBorder="1" applyAlignment="1" applyProtection="1">
      <alignment horizontal="right"/>
    </xf>
    <xf numFmtId="0" fontId="20" fillId="2" borderId="0" xfId="1" applyFont="1" applyFill="1" applyBorder="1" applyAlignment="1" applyProtection="1">
      <alignment horizontal="center"/>
    </xf>
    <xf numFmtId="0" fontId="6" fillId="2" borderId="0" xfId="1" applyFont="1" applyFill="1" applyAlignment="1" applyProtection="1">
      <alignment horizontal="center"/>
    </xf>
    <xf numFmtId="0" fontId="7" fillId="2" borderId="0" xfId="1" applyFont="1" applyFill="1" applyAlignment="1" applyProtection="1">
      <alignment horizontal="right" vertical="top"/>
    </xf>
    <xf numFmtId="0" fontId="5" fillId="5" borderId="20" xfId="1" applyFont="1" applyFill="1" applyBorder="1" applyAlignment="1" applyProtection="1">
      <alignment horizontal="left"/>
    </xf>
    <xf numFmtId="0" fontId="10" fillId="2" borderId="20" xfId="1" applyFont="1" applyFill="1" applyBorder="1" applyAlignment="1" applyProtection="1">
      <alignment vertical="top"/>
    </xf>
    <xf numFmtId="0" fontId="2" fillId="2" borderId="20" xfId="1" applyFont="1" applyFill="1" applyBorder="1" applyAlignment="1" applyProtection="1">
      <alignment horizontal="center" vertical="top"/>
      <protection locked="0"/>
    </xf>
    <xf numFmtId="0" fontId="5" fillId="4" borderId="20" xfId="1" applyFont="1" applyFill="1" applyBorder="1" applyAlignment="1" applyProtection="1">
      <alignment horizontal="right" vertical="top" shrinkToFit="1"/>
    </xf>
    <xf numFmtId="0" fontId="2" fillId="2" borderId="20" xfId="1" applyFont="1" applyFill="1" applyBorder="1" applyAlignment="1" applyProtection="1">
      <alignment horizontal="center"/>
      <protection locked="0"/>
    </xf>
    <xf numFmtId="0" fontId="15" fillId="2" borderId="0" xfId="1" applyFont="1" applyFill="1" applyBorder="1" applyAlignment="1" applyProtection="1">
      <alignment horizontal="left" vertical="top" wrapText="1"/>
    </xf>
    <xf numFmtId="0" fontId="2" fillId="4" borderId="20" xfId="1" applyFont="1" applyFill="1" applyBorder="1" applyAlignment="1" applyProtection="1">
      <alignment horizontal="center" shrinkToFit="1"/>
    </xf>
    <xf numFmtId="0" fontId="15" fillId="4" borderId="20" xfId="1" applyFont="1" applyFill="1" applyBorder="1" applyAlignment="1" applyProtection="1">
      <alignment horizontal="center"/>
    </xf>
    <xf numFmtId="0" fontId="2" fillId="2" borderId="21" xfId="1" applyFont="1" applyFill="1" applyBorder="1" applyAlignment="1" applyProtection="1">
      <alignment horizontal="center"/>
    </xf>
    <xf numFmtId="0" fontId="2" fillId="2" borderId="22" xfId="1" applyFont="1" applyFill="1" applyBorder="1" applyAlignment="1" applyProtection="1">
      <alignment horizontal="center"/>
    </xf>
    <xf numFmtId="0" fontId="2" fillId="2" borderId="23" xfId="1" applyFont="1" applyFill="1" applyBorder="1" applyAlignment="1" applyProtection="1">
      <alignment horizontal="center"/>
    </xf>
    <xf numFmtId="0" fontId="10" fillId="2" borderId="15" xfId="1" applyFont="1" applyFill="1" applyBorder="1" applyAlignment="1" applyProtection="1">
      <alignment horizontal="center" vertical="top"/>
    </xf>
    <xf numFmtId="0" fontId="10" fillId="2" borderId="16" xfId="1" applyFont="1" applyFill="1" applyBorder="1" applyAlignment="1" applyProtection="1">
      <alignment horizontal="center" vertical="top"/>
    </xf>
    <xf numFmtId="0" fontId="10" fillId="2" borderId="34" xfId="1" applyFont="1" applyFill="1" applyBorder="1" applyAlignment="1" applyProtection="1">
      <alignment horizontal="center" vertical="top"/>
    </xf>
    <xf numFmtId="0" fontId="10" fillId="2" borderId="18" xfId="1" applyFont="1" applyFill="1" applyBorder="1" applyAlignment="1" applyProtection="1">
      <alignment horizontal="center" vertical="top" wrapText="1"/>
    </xf>
    <xf numFmtId="0" fontId="10" fillId="2" borderId="0" xfId="1" applyFont="1" applyFill="1" applyBorder="1" applyAlignment="1" applyProtection="1">
      <alignment horizontal="center" vertical="top" wrapText="1"/>
    </xf>
    <xf numFmtId="0" fontId="10" fillId="2" borderId="37" xfId="1" applyFont="1" applyFill="1" applyBorder="1" applyAlignment="1" applyProtection="1">
      <alignment horizontal="center" vertical="top" wrapText="1"/>
    </xf>
    <xf numFmtId="0" fontId="5" fillId="2" borderId="18" xfId="1" applyFont="1" applyFill="1" applyBorder="1" applyAlignment="1" applyProtection="1">
      <alignment horizontal="center" vertical="top"/>
    </xf>
    <xf numFmtId="0" fontId="5" fillId="2" borderId="0" xfId="1" applyFont="1" applyFill="1" applyBorder="1" applyAlignment="1" applyProtection="1">
      <alignment horizontal="center" vertical="top"/>
    </xf>
    <xf numFmtId="0" fontId="5" fillId="2" borderId="37" xfId="1" applyFont="1" applyFill="1" applyBorder="1" applyAlignment="1" applyProtection="1">
      <alignment horizontal="center" vertical="top"/>
    </xf>
    <xf numFmtId="0" fontId="5" fillId="4" borderId="3" xfId="1" applyFont="1" applyFill="1" applyBorder="1" applyAlignment="1" applyProtection="1">
      <alignment horizontal="center"/>
    </xf>
    <xf numFmtId="0" fontId="5" fillId="4" borderId="4" xfId="1" applyFont="1" applyFill="1" applyBorder="1" applyAlignment="1" applyProtection="1">
      <alignment horizontal="center"/>
    </xf>
    <xf numFmtId="0" fontId="5" fillId="4" borderId="5" xfId="1" applyFont="1" applyFill="1" applyBorder="1" applyAlignment="1" applyProtection="1">
      <alignment horizontal="center"/>
    </xf>
    <xf numFmtId="0" fontId="15" fillId="2" borderId="18" xfId="1" applyFont="1" applyFill="1" applyBorder="1" applyAlignment="1" applyProtection="1">
      <alignment horizontal="left" vertical="top" wrapText="1"/>
    </xf>
    <xf numFmtId="0" fontId="15" fillId="2" borderId="37" xfId="1" applyFont="1" applyFill="1" applyBorder="1" applyAlignment="1" applyProtection="1">
      <alignment horizontal="left" vertical="top" wrapText="1"/>
    </xf>
    <xf numFmtId="0" fontId="7" fillId="2" borderId="0" xfId="1" applyFont="1" applyFill="1" applyBorder="1" applyAlignment="1" applyProtection="1">
      <alignment horizontal="right" vertical="top"/>
    </xf>
    <xf numFmtId="0" fontId="6" fillId="2" borderId="36" xfId="1" applyFont="1" applyFill="1" applyBorder="1" applyAlignment="1" applyProtection="1">
      <alignment horizontal="center"/>
    </xf>
    <xf numFmtId="49" fontId="17" fillId="2" borderId="21" xfId="1" applyNumberFormat="1" applyFont="1" applyFill="1" applyBorder="1" applyAlignment="1" applyProtection="1">
      <protection locked="0"/>
    </xf>
    <xf numFmtId="49" fontId="17" fillId="2" borderId="22" xfId="1" applyNumberFormat="1" applyFont="1" applyFill="1" applyBorder="1" applyAlignment="1" applyProtection="1">
      <protection locked="0"/>
    </xf>
    <xf numFmtId="49" fontId="17" fillId="2" borderId="23" xfId="1" applyNumberFormat="1" applyFont="1" applyFill="1" applyBorder="1" applyAlignment="1" applyProtection="1">
      <protection locked="0"/>
    </xf>
    <xf numFmtId="170" fontId="17" fillId="2" borderId="21" xfId="1" applyNumberFormat="1" applyFont="1" applyFill="1" applyBorder="1" applyAlignment="1" applyProtection="1">
      <alignment shrinkToFit="1"/>
      <protection locked="0"/>
    </xf>
    <xf numFmtId="170" fontId="17" fillId="2" borderId="22" xfId="1" applyNumberFormat="1" applyFont="1" applyFill="1" applyBorder="1" applyAlignment="1" applyProtection="1">
      <alignment shrinkToFit="1"/>
      <protection locked="0"/>
    </xf>
    <xf numFmtId="170" fontId="17" fillId="2" borderId="23" xfId="1" applyNumberFormat="1" applyFont="1" applyFill="1" applyBorder="1" applyAlignment="1" applyProtection="1">
      <alignment shrinkToFit="1"/>
      <protection locked="0"/>
    </xf>
    <xf numFmtId="0" fontId="7" fillId="5" borderId="30" xfId="1" applyFont="1" applyFill="1" applyBorder="1" applyAlignment="1" applyProtection="1">
      <alignment horizontal="left"/>
    </xf>
    <xf numFmtId="0" fontId="7" fillId="5" borderId="31" xfId="1" applyFont="1" applyFill="1" applyBorder="1" applyAlignment="1" applyProtection="1">
      <alignment horizontal="left"/>
    </xf>
    <xf numFmtId="0" fontId="7" fillId="5" borderId="32" xfId="1" applyFont="1" applyFill="1" applyBorder="1" applyAlignment="1" applyProtection="1">
      <alignment horizontal="left"/>
    </xf>
    <xf numFmtId="0" fontId="15" fillId="4" borderId="29" xfId="1" applyFont="1" applyFill="1" applyBorder="1" applyAlignment="1" applyProtection="1"/>
    <xf numFmtId="0" fontId="25" fillId="2" borderId="0" xfId="1" applyNumberFormat="1" applyFont="1" applyFill="1" applyBorder="1" applyAlignment="1" applyProtection="1">
      <alignment horizontal="left" shrinkToFit="1"/>
    </xf>
    <xf numFmtId="0" fontId="1" fillId="2" borderId="19" xfId="1" applyFont="1" applyFill="1" applyBorder="1" applyAlignment="1" applyProtection="1">
      <alignment horizontal="right"/>
    </xf>
    <xf numFmtId="0" fontId="1" fillId="2" borderId="20" xfId="1" applyFont="1" applyFill="1" applyBorder="1" applyAlignment="1" applyProtection="1">
      <alignment horizontal="right"/>
    </xf>
    <xf numFmtId="0" fontId="5" fillId="2" borderId="0" xfId="1" applyFont="1" applyFill="1" applyBorder="1" applyAlignment="1" applyProtection="1">
      <alignment horizontal="left"/>
    </xf>
    <xf numFmtId="164" fontId="1" fillId="2" borderId="36" xfId="1" applyNumberFormat="1" applyFont="1" applyFill="1" applyBorder="1" applyAlignment="1" applyProtection="1">
      <alignment horizontal="center" shrinkToFit="1"/>
    </xf>
    <xf numFmtId="0" fontId="1" fillId="2" borderId="0" xfId="1" applyFont="1" applyFill="1" applyBorder="1" applyAlignment="1" applyProtection="1">
      <alignment horizontal="center"/>
    </xf>
    <xf numFmtId="0" fontId="1" fillId="2" borderId="0" xfId="1" applyFont="1" applyFill="1" applyBorder="1" applyAlignment="1" applyProtection="1">
      <alignment horizontal="right"/>
    </xf>
    <xf numFmtId="0" fontId="1" fillId="2" borderId="36" xfId="1" applyFont="1" applyFill="1" applyBorder="1" applyAlignment="1" applyProtection="1">
      <alignment horizontal="center"/>
    </xf>
    <xf numFmtId="0" fontId="1" fillId="0" borderId="19" xfId="1" applyFont="1" applyFill="1" applyBorder="1" applyAlignment="1" applyProtection="1">
      <alignment horizontal="right"/>
    </xf>
    <xf numFmtId="0" fontId="1" fillId="0" borderId="20" xfId="1" applyFont="1" applyFill="1" applyBorder="1" applyAlignment="1" applyProtection="1">
      <alignment horizontal="right"/>
    </xf>
    <xf numFmtId="0" fontId="5" fillId="2" borderId="19" xfId="1" applyFont="1" applyFill="1" applyBorder="1" applyAlignment="1" applyProtection="1">
      <alignment horizontal="right"/>
    </xf>
    <xf numFmtId="0" fontId="5" fillId="2" borderId="6" xfId="1" applyFont="1" applyFill="1" applyBorder="1" applyAlignment="1" applyProtection="1">
      <alignment horizontal="right"/>
    </xf>
    <xf numFmtId="0" fontId="5" fillId="2" borderId="7" xfId="1" applyFont="1" applyFill="1" applyBorder="1" applyAlignment="1" applyProtection="1">
      <alignment horizontal="right"/>
    </xf>
    <xf numFmtId="164" fontId="1" fillId="0" borderId="20" xfId="1" applyNumberFormat="1" applyFont="1" applyFill="1" applyBorder="1" applyAlignment="1" applyProtection="1"/>
    <xf numFmtId="0" fontId="1" fillId="0" borderId="20" xfId="1" applyFont="1" applyFill="1" applyBorder="1" applyAlignment="1" applyProtection="1"/>
    <xf numFmtId="0" fontId="1" fillId="0" borderId="24" xfId="1" applyFont="1" applyFill="1" applyBorder="1" applyAlignment="1" applyProtection="1"/>
    <xf numFmtId="164" fontId="5" fillId="2" borderId="45" xfId="1" applyNumberFormat="1" applyFont="1" applyFill="1" applyBorder="1" applyAlignment="1" applyProtection="1">
      <alignment horizontal="right"/>
    </xf>
    <xf numFmtId="164" fontId="5" fillId="2" borderId="41" xfId="1" applyNumberFormat="1" applyFont="1" applyFill="1" applyBorder="1" applyAlignment="1" applyProtection="1">
      <alignment horizontal="right"/>
    </xf>
    <xf numFmtId="164" fontId="5" fillId="2" borderId="42" xfId="1" applyNumberFormat="1" applyFont="1" applyFill="1" applyBorder="1" applyAlignment="1" applyProtection="1">
      <alignment horizontal="right"/>
    </xf>
    <xf numFmtId="0" fontId="21" fillId="2" borderId="6" xfId="1" applyFont="1" applyFill="1" applyBorder="1" applyAlignment="1" applyProtection="1">
      <alignment horizontal="right" shrinkToFit="1"/>
    </xf>
    <xf numFmtId="0" fontId="21" fillId="2" borderId="7" xfId="1" applyFont="1" applyFill="1" applyBorder="1" applyAlignment="1" applyProtection="1">
      <alignment horizontal="right" shrinkToFit="1"/>
    </xf>
    <xf numFmtId="0" fontId="4" fillId="2" borderId="21" xfId="1" applyFill="1" applyBorder="1" applyAlignment="1" applyProtection="1">
      <alignment horizontal="left"/>
    </xf>
    <xf numFmtId="0" fontId="4" fillId="3" borderId="21" xfId="1" applyFill="1" applyBorder="1" applyAlignment="1" applyProtection="1">
      <alignment horizontal="center"/>
      <protection locked="0"/>
    </xf>
    <xf numFmtId="0" fontId="4" fillId="3" borderId="22" xfId="1" applyFill="1" applyBorder="1" applyAlignment="1" applyProtection="1">
      <alignment horizontal="center"/>
      <protection locked="0"/>
    </xf>
    <xf numFmtId="0" fontId="4" fillId="3" borderId="23" xfId="1" applyFill="1" applyBorder="1" applyAlignment="1" applyProtection="1">
      <alignment horizontal="center"/>
      <protection locked="0"/>
    </xf>
    <xf numFmtId="0" fontId="19" fillId="2" borderId="36" xfId="1" applyNumberFormat="1" applyFont="1" applyFill="1" applyBorder="1" applyAlignment="1" applyProtection="1">
      <alignment horizontal="center"/>
      <protection locked="0"/>
    </xf>
    <xf numFmtId="164" fontId="4" fillId="2" borderId="35" xfId="2" applyNumberFormat="1" applyFont="1" applyFill="1" applyBorder="1" applyAlignment="1" applyProtection="1">
      <alignment horizontal="center"/>
    </xf>
  </cellXfs>
  <cellStyles count="4">
    <cellStyle name="Currency 2" xfId="2"/>
    <cellStyle name="Normal" xfId="0" builtinId="0"/>
    <cellStyle name="Normal 2" xfId="1"/>
    <cellStyle name="Percent 2" xfId="3"/>
  </cellStyles>
  <dxfs count="2">
    <dxf>
      <font>
        <color rgb="FFFF0000"/>
      </font>
    </dxf>
    <dxf>
      <font>
        <b/>
        <i/>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190502</xdr:colOff>
      <xdr:row>0</xdr:row>
      <xdr:rowOff>21980</xdr:rowOff>
    </xdr:from>
    <xdr:to>
      <xdr:col>34</xdr:col>
      <xdr:colOff>611</xdr:colOff>
      <xdr:row>2</xdr:row>
      <xdr:rowOff>161109</xdr:rowOff>
    </xdr:to>
    <xdr:pic>
      <xdr:nvPicPr>
        <xdr:cNvPr id="1027"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6418387" y="21980"/>
          <a:ext cx="2048161" cy="666667"/>
        </a:xfrm>
        <a:prstGeom prst="rect">
          <a:avLst/>
        </a:prstGeom>
        <a:noFill/>
      </xdr:spPr>
    </xdr:pic>
    <xdr:clientData/>
  </xdr:twoCellAnchor>
  <xdr:twoCellAnchor editAs="oneCell">
    <xdr:from>
      <xdr:col>25</xdr:col>
      <xdr:colOff>198782</xdr:colOff>
      <xdr:row>57</xdr:row>
      <xdr:rowOff>74544</xdr:rowOff>
    </xdr:from>
    <xdr:to>
      <xdr:col>34</xdr:col>
      <xdr:colOff>5542</xdr:colOff>
      <xdr:row>59</xdr:row>
      <xdr:rowOff>213673</xdr:rowOff>
    </xdr:to>
    <xdr:pic>
      <xdr:nvPicPr>
        <xdr:cNvPr id="3"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6410739" y="11521109"/>
          <a:ext cx="2043064" cy="669216"/>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28575</xdr:colOff>
          <xdr:row>12</xdr:row>
          <xdr:rowOff>9525</xdr:rowOff>
        </xdr:from>
        <xdr:to>
          <xdr:col>17</xdr:col>
          <xdr:colOff>95250</xdr:colOff>
          <xdr:row>12</xdr:row>
          <xdr:rowOff>228600</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12</xdr:row>
          <xdr:rowOff>9525</xdr:rowOff>
        </xdr:from>
        <xdr:to>
          <xdr:col>20</xdr:col>
          <xdr:colOff>85725</xdr:colOff>
          <xdr:row>12</xdr:row>
          <xdr:rowOff>228600</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12</xdr:row>
          <xdr:rowOff>9525</xdr:rowOff>
        </xdr:from>
        <xdr:to>
          <xdr:col>23</xdr:col>
          <xdr:colOff>123825</xdr:colOff>
          <xdr:row>12</xdr:row>
          <xdr:rowOff>228600</xdr:rowOff>
        </xdr:to>
        <xdr:sp macro="" textlink="">
          <xdr:nvSpPr>
            <xdr:cNvPr id="1035" name="Check Box 11" hidden="1">
              <a:extLst>
                <a:ext uri="{63B3BB69-23CF-44E3-9099-C40C66FF867C}">
                  <a14:compatExt spid="_x0000_s103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13</xdr:row>
          <xdr:rowOff>9525</xdr:rowOff>
        </xdr:from>
        <xdr:to>
          <xdr:col>17</xdr:col>
          <xdr:colOff>95250</xdr:colOff>
          <xdr:row>13</xdr:row>
          <xdr:rowOff>228600</xdr:rowOff>
        </xdr:to>
        <xdr:sp macro="" textlink="">
          <xdr:nvSpPr>
            <xdr:cNvPr id="1036" name="Check Box 12" hidden="1">
              <a:extLst>
                <a:ext uri="{63B3BB69-23CF-44E3-9099-C40C66FF867C}">
                  <a14:compatExt spid="_x0000_s103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13</xdr:row>
          <xdr:rowOff>9525</xdr:rowOff>
        </xdr:from>
        <xdr:to>
          <xdr:col>20</xdr:col>
          <xdr:colOff>85725</xdr:colOff>
          <xdr:row>13</xdr:row>
          <xdr:rowOff>228600</xdr:rowOff>
        </xdr:to>
        <xdr:sp macro="" textlink="">
          <xdr:nvSpPr>
            <xdr:cNvPr id="1037" name="Check Box 13" hidden="1">
              <a:extLst>
                <a:ext uri="{63B3BB69-23CF-44E3-9099-C40C66FF867C}">
                  <a14:compatExt spid="_x0000_s103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13</xdr:row>
          <xdr:rowOff>9525</xdr:rowOff>
        </xdr:from>
        <xdr:to>
          <xdr:col>23</xdr:col>
          <xdr:colOff>123825</xdr:colOff>
          <xdr:row>13</xdr:row>
          <xdr:rowOff>228600</xdr:rowOff>
        </xdr:to>
        <xdr:sp macro="" textlink="">
          <xdr:nvSpPr>
            <xdr:cNvPr id="1038" name="Check Box 14" hidden="1">
              <a:extLst>
                <a:ext uri="{63B3BB69-23CF-44E3-9099-C40C66FF867C}">
                  <a14:compatExt spid="_x0000_s103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14</xdr:row>
          <xdr:rowOff>9525</xdr:rowOff>
        </xdr:from>
        <xdr:to>
          <xdr:col>17</xdr:col>
          <xdr:colOff>95250</xdr:colOff>
          <xdr:row>14</xdr:row>
          <xdr:rowOff>228600</xdr:rowOff>
        </xdr:to>
        <xdr:sp macro="" textlink="">
          <xdr:nvSpPr>
            <xdr:cNvPr id="1039" name="Check Box 15" hidden="1">
              <a:extLst>
                <a:ext uri="{63B3BB69-23CF-44E3-9099-C40C66FF867C}">
                  <a14:compatExt spid="_x0000_s103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14</xdr:row>
          <xdr:rowOff>9525</xdr:rowOff>
        </xdr:from>
        <xdr:to>
          <xdr:col>20</xdr:col>
          <xdr:colOff>85725</xdr:colOff>
          <xdr:row>14</xdr:row>
          <xdr:rowOff>228600</xdr:rowOff>
        </xdr:to>
        <xdr:sp macro="" textlink="">
          <xdr:nvSpPr>
            <xdr:cNvPr id="1040" name="Check Box 16" hidden="1">
              <a:extLst>
                <a:ext uri="{63B3BB69-23CF-44E3-9099-C40C66FF867C}">
                  <a14:compatExt spid="_x0000_s104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14</xdr:row>
          <xdr:rowOff>9525</xdr:rowOff>
        </xdr:from>
        <xdr:to>
          <xdr:col>23</xdr:col>
          <xdr:colOff>123825</xdr:colOff>
          <xdr:row>14</xdr:row>
          <xdr:rowOff>228600</xdr:rowOff>
        </xdr:to>
        <xdr:sp macro="" textlink="">
          <xdr:nvSpPr>
            <xdr:cNvPr id="1041" name="Check Box 17" hidden="1">
              <a:extLst>
                <a:ext uri="{63B3BB69-23CF-44E3-9099-C40C66FF867C}">
                  <a14:compatExt spid="_x0000_s104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15</xdr:row>
          <xdr:rowOff>9525</xdr:rowOff>
        </xdr:from>
        <xdr:to>
          <xdr:col>17</xdr:col>
          <xdr:colOff>95250</xdr:colOff>
          <xdr:row>15</xdr:row>
          <xdr:rowOff>228600</xdr:rowOff>
        </xdr:to>
        <xdr:sp macro="" textlink="">
          <xdr:nvSpPr>
            <xdr:cNvPr id="1042" name="Check Box 18" hidden="1">
              <a:extLst>
                <a:ext uri="{63B3BB69-23CF-44E3-9099-C40C66FF867C}">
                  <a14:compatExt spid="_x0000_s104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15</xdr:row>
          <xdr:rowOff>9525</xdr:rowOff>
        </xdr:from>
        <xdr:to>
          <xdr:col>20</xdr:col>
          <xdr:colOff>85725</xdr:colOff>
          <xdr:row>15</xdr:row>
          <xdr:rowOff>228600</xdr:rowOff>
        </xdr:to>
        <xdr:sp macro="" textlink="">
          <xdr:nvSpPr>
            <xdr:cNvPr id="1043" name="Check Box 19" hidden="1">
              <a:extLst>
                <a:ext uri="{63B3BB69-23CF-44E3-9099-C40C66FF867C}">
                  <a14:compatExt spid="_x0000_s104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15</xdr:row>
          <xdr:rowOff>9525</xdr:rowOff>
        </xdr:from>
        <xdr:to>
          <xdr:col>23</xdr:col>
          <xdr:colOff>123825</xdr:colOff>
          <xdr:row>15</xdr:row>
          <xdr:rowOff>228600</xdr:rowOff>
        </xdr:to>
        <xdr:sp macro="" textlink="">
          <xdr:nvSpPr>
            <xdr:cNvPr id="1044" name="Check Box 20" hidden="1">
              <a:extLst>
                <a:ext uri="{63B3BB69-23CF-44E3-9099-C40C66FF867C}">
                  <a14:compatExt spid="_x0000_s104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16</xdr:row>
          <xdr:rowOff>9525</xdr:rowOff>
        </xdr:from>
        <xdr:to>
          <xdr:col>17</xdr:col>
          <xdr:colOff>95250</xdr:colOff>
          <xdr:row>16</xdr:row>
          <xdr:rowOff>228600</xdr:rowOff>
        </xdr:to>
        <xdr:sp macro="" textlink="">
          <xdr:nvSpPr>
            <xdr:cNvPr id="1045" name="Check Box 21" hidden="1">
              <a:extLst>
                <a:ext uri="{63B3BB69-23CF-44E3-9099-C40C66FF867C}">
                  <a14:compatExt spid="_x0000_s104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16</xdr:row>
          <xdr:rowOff>9525</xdr:rowOff>
        </xdr:from>
        <xdr:to>
          <xdr:col>20</xdr:col>
          <xdr:colOff>85725</xdr:colOff>
          <xdr:row>16</xdr:row>
          <xdr:rowOff>228600</xdr:rowOff>
        </xdr:to>
        <xdr:sp macro="" textlink="">
          <xdr:nvSpPr>
            <xdr:cNvPr id="1046" name="Check Box 22" hidden="1">
              <a:extLst>
                <a:ext uri="{63B3BB69-23CF-44E3-9099-C40C66FF867C}">
                  <a14:compatExt spid="_x0000_s104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16</xdr:row>
          <xdr:rowOff>9525</xdr:rowOff>
        </xdr:from>
        <xdr:to>
          <xdr:col>23</xdr:col>
          <xdr:colOff>123825</xdr:colOff>
          <xdr:row>16</xdr:row>
          <xdr:rowOff>228600</xdr:rowOff>
        </xdr:to>
        <xdr:sp macro="" textlink="">
          <xdr:nvSpPr>
            <xdr:cNvPr id="1047" name="Check Box 23" hidden="1">
              <a:extLst>
                <a:ext uri="{63B3BB69-23CF-44E3-9099-C40C66FF867C}">
                  <a14:compatExt spid="_x0000_s104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17</xdr:row>
          <xdr:rowOff>9525</xdr:rowOff>
        </xdr:from>
        <xdr:to>
          <xdr:col>17</xdr:col>
          <xdr:colOff>95250</xdr:colOff>
          <xdr:row>17</xdr:row>
          <xdr:rowOff>228600</xdr:rowOff>
        </xdr:to>
        <xdr:sp macro="" textlink="">
          <xdr:nvSpPr>
            <xdr:cNvPr id="1048" name="Check Box 24" hidden="1">
              <a:extLst>
                <a:ext uri="{63B3BB69-23CF-44E3-9099-C40C66FF867C}">
                  <a14:compatExt spid="_x0000_s104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Medical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57150</xdr:colOff>
          <xdr:row>17</xdr:row>
          <xdr:rowOff>9525</xdr:rowOff>
        </xdr:from>
        <xdr:to>
          <xdr:col>20</xdr:col>
          <xdr:colOff>85725</xdr:colOff>
          <xdr:row>17</xdr:row>
          <xdr:rowOff>228600</xdr:rowOff>
        </xdr:to>
        <xdr:sp macro="" textlink="">
          <xdr:nvSpPr>
            <xdr:cNvPr id="1049" name="Check Box 25" hidden="1">
              <a:extLst>
                <a:ext uri="{63B3BB69-23CF-44E3-9099-C40C66FF867C}">
                  <a14:compatExt spid="_x0000_s104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17</xdr:row>
          <xdr:rowOff>9525</xdr:rowOff>
        </xdr:from>
        <xdr:to>
          <xdr:col>23</xdr:col>
          <xdr:colOff>123825</xdr:colOff>
          <xdr:row>17</xdr:row>
          <xdr:rowOff>228600</xdr:rowOff>
        </xdr:to>
        <xdr:sp macro="" textlink="">
          <xdr:nvSpPr>
            <xdr:cNvPr id="1050" name="Check Box 26" hidden="1">
              <a:extLst>
                <a:ext uri="{63B3BB69-23CF-44E3-9099-C40C66FF867C}">
                  <a14:compatExt spid="_x0000_s105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Dental</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S217"/>
  <sheetViews>
    <sheetView tabSelected="1" zoomScale="136" zoomScaleNormal="136" zoomScaleSheetLayoutView="130" workbookViewId="0">
      <selection activeCell="AD10" sqref="AD10:AH10"/>
    </sheetView>
  </sheetViews>
  <sheetFormatPr defaultColWidth="3.7109375" defaultRowHeight="15" x14ac:dyDescent="0.25"/>
  <cols>
    <col min="1" max="12" width="3.7109375" style="1"/>
    <col min="13" max="13" width="3.7109375" style="1" customWidth="1"/>
    <col min="14" max="43" width="3.7109375" style="1"/>
    <col min="44" max="44" width="12" style="1" bestFit="1" customWidth="1"/>
    <col min="45" max="45" width="10.85546875" style="1" bestFit="1" customWidth="1"/>
    <col min="46" max="16384" width="3.7109375" style="1"/>
  </cols>
  <sheetData>
    <row r="1" spans="1:34" ht="21" x14ac:dyDescent="0.35">
      <c r="A1" s="306" t="s">
        <v>91</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5"/>
      <c r="AD1" s="305"/>
      <c r="AE1" s="305"/>
      <c r="AF1" s="305"/>
      <c r="AG1" s="305"/>
      <c r="AH1" s="305"/>
    </row>
    <row r="2" spans="1:34" ht="21" x14ac:dyDescent="0.35">
      <c r="A2" s="307" t="s">
        <v>141</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5"/>
      <c r="AD2" s="305"/>
      <c r="AE2" s="305"/>
      <c r="AF2" s="2"/>
      <c r="AG2" s="2"/>
      <c r="AH2" s="2"/>
    </row>
    <row r="3" spans="1:34" ht="18.75" x14ac:dyDescent="0.3">
      <c r="A3" s="387" t="s">
        <v>142</v>
      </c>
      <c r="B3" s="387"/>
      <c r="C3" s="387"/>
      <c r="D3" s="387"/>
      <c r="E3" s="387"/>
      <c r="F3" s="387"/>
      <c r="G3" s="387"/>
      <c r="H3" s="387"/>
      <c r="I3" s="387"/>
      <c r="J3" s="387"/>
      <c r="K3" s="387"/>
      <c r="L3" s="387"/>
      <c r="M3" s="387"/>
      <c r="N3" s="387"/>
      <c r="O3" s="387"/>
      <c r="P3" s="387"/>
      <c r="Q3" s="387"/>
      <c r="R3" s="387"/>
      <c r="S3" s="387"/>
      <c r="T3" s="387"/>
      <c r="U3" s="387"/>
      <c r="V3" s="387"/>
      <c r="W3" s="387"/>
      <c r="X3" s="387"/>
      <c r="Y3" s="387"/>
      <c r="Z3" s="387"/>
      <c r="AA3" s="387"/>
      <c r="AB3" s="387"/>
      <c r="AC3" s="101"/>
      <c r="AD3" s="101"/>
      <c r="AE3" s="101"/>
      <c r="AF3" s="101"/>
      <c r="AG3" s="101"/>
      <c r="AH3" s="101"/>
    </row>
    <row r="4" spans="1:34" ht="16.5" thickBot="1" x14ac:dyDescent="0.3">
      <c r="A4" s="302" t="s">
        <v>92</v>
      </c>
      <c r="B4" s="303"/>
      <c r="C4" s="303"/>
      <c r="D4" s="303"/>
      <c r="E4" s="303"/>
      <c r="F4" s="303"/>
      <c r="G4" s="303"/>
      <c r="H4" s="303"/>
      <c r="I4" s="303"/>
      <c r="J4" s="303"/>
      <c r="K4" s="303"/>
      <c r="L4" s="303"/>
      <c r="M4" s="303"/>
      <c r="N4" s="303"/>
      <c r="O4" s="303"/>
      <c r="P4" s="303"/>
      <c r="Q4" s="303"/>
      <c r="R4" s="303"/>
      <c r="S4" s="303"/>
      <c r="T4" s="303"/>
      <c r="U4" s="303"/>
      <c r="V4" s="303"/>
      <c r="W4" s="303"/>
      <c r="X4" s="303"/>
      <c r="Y4" s="303"/>
      <c r="Z4" s="303"/>
      <c r="AA4" s="303"/>
      <c r="AB4" s="303"/>
      <c r="AC4" s="303"/>
      <c r="AD4" s="303"/>
      <c r="AE4" s="303"/>
      <c r="AF4" s="303"/>
      <c r="AG4" s="303"/>
      <c r="AH4" s="304"/>
    </row>
    <row r="5" spans="1:34" s="3" customFormat="1" ht="12.75" x14ac:dyDescent="0.2">
      <c r="A5" s="324" t="s">
        <v>93</v>
      </c>
      <c r="B5" s="319"/>
      <c r="C5" s="319"/>
      <c r="D5" s="319"/>
      <c r="E5" s="319"/>
      <c r="F5" s="319"/>
      <c r="G5" s="319"/>
      <c r="H5" s="319"/>
      <c r="I5" s="319"/>
      <c r="J5" s="319"/>
      <c r="K5" s="319"/>
      <c r="L5" s="319"/>
      <c r="M5" s="319"/>
      <c r="N5" s="319"/>
      <c r="O5" s="319"/>
      <c r="P5" s="319" t="s">
        <v>94</v>
      </c>
      <c r="Q5" s="319"/>
      <c r="R5" s="319"/>
      <c r="S5" s="319"/>
      <c r="T5" s="319"/>
      <c r="U5" s="319"/>
      <c r="V5" s="319"/>
      <c r="W5" s="335" t="s">
        <v>112</v>
      </c>
      <c r="X5" s="335"/>
      <c r="Y5" s="335"/>
      <c r="Z5" s="335"/>
      <c r="AA5" s="335"/>
      <c r="AB5" s="335"/>
      <c r="AC5" s="335"/>
      <c r="AD5" s="319" t="s">
        <v>95</v>
      </c>
      <c r="AE5" s="319"/>
      <c r="AF5" s="319"/>
      <c r="AG5" s="319"/>
      <c r="AH5" s="320"/>
    </row>
    <row r="6" spans="1:34" ht="18.75" x14ac:dyDescent="0.3">
      <c r="A6" s="325"/>
      <c r="B6" s="326"/>
      <c r="C6" s="326"/>
      <c r="D6" s="326"/>
      <c r="E6" s="326"/>
      <c r="F6" s="326"/>
      <c r="G6" s="326"/>
      <c r="H6" s="326"/>
      <c r="I6" s="326"/>
      <c r="J6" s="326"/>
      <c r="K6" s="326"/>
      <c r="L6" s="326"/>
      <c r="M6" s="326"/>
      <c r="N6" s="326"/>
      <c r="O6" s="326"/>
      <c r="P6" s="332"/>
      <c r="Q6" s="333"/>
      <c r="R6" s="333"/>
      <c r="S6" s="333"/>
      <c r="T6" s="333"/>
      <c r="U6" s="333"/>
      <c r="V6" s="334"/>
      <c r="W6" s="336"/>
      <c r="X6" s="337"/>
      <c r="Y6" s="337"/>
      <c r="Z6" s="337"/>
      <c r="AA6" s="337"/>
      <c r="AB6" s="337"/>
      <c r="AC6" s="338"/>
      <c r="AD6" s="321"/>
      <c r="AE6" s="322"/>
      <c r="AF6" s="322"/>
      <c r="AG6" s="322"/>
      <c r="AH6" s="323"/>
    </row>
    <row r="7" spans="1:34" s="3" customFormat="1" ht="12.75" x14ac:dyDescent="0.2">
      <c r="A7" s="339" t="s">
        <v>97</v>
      </c>
      <c r="B7" s="314"/>
      <c r="C7" s="314"/>
      <c r="D7" s="314"/>
      <c r="E7" s="314"/>
      <c r="F7" s="314"/>
      <c r="G7" s="314"/>
      <c r="H7" s="314"/>
      <c r="I7" s="314"/>
      <c r="J7" s="314"/>
      <c r="K7" s="314"/>
      <c r="L7" s="314"/>
      <c r="M7" s="314"/>
      <c r="N7" s="314"/>
      <c r="O7" s="314"/>
      <c r="P7" s="314"/>
      <c r="Q7" s="314"/>
      <c r="R7" s="314"/>
      <c r="S7" s="343" t="s">
        <v>98</v>
      </c>
      <c r="T7" s="343"/>
      <c r="U7" s="343"/>
      <c r="V7" s="343"/>
      <c r="W7" s="343"/>
      <c r="X7" s="343"/>
      <c r="Y7" s="343" t="s">
        <v>99</v>
      </c>
      <c r="Z7" s="343"/>
      <c r="AA7" s="343"/>
      <c r="AB7" s="343"/>
      <c r="AC7" s="343"/>
      <c r="AD7" s="314" t="s">
        <v>100</v>
      </c>
      <c r="AE7" s="314"/>
      <c r="AF7" s="314"/>
      <c r="AG7" s="314"/>
      <c r="AH7" s="315"/>
    </row>
    <row r="8" spans="1:34" ht="18.75" x14ac:dyDescent="0.3">
      <c r="A8" s="340"/>
      <c r="B8" s="341"/>
      <c r="C8" s="341"/>
      <c r="D8" s="341"/>
      <c r="E8" s="341"/>
      <c r="F8" s="341"/>
      <c r="G8" s="341"/>
      <c r="H8" s="341"/>
      <c r="I8" s="341"/>
      <c r="J8" s="341"/>
      <c r="K8" s="341"/>
      <c r="L8" s="341"/>
      <c r="M8" s="341"/>
      <c r="N8" s="341"/>
      <c r="O8" s="341"/>
      <c r="P8" s="341"/>
      <c r="Q8" s="341"/>
      <c r="R8" s="342"/>
      <c r="S8" s="344"/>
      <c r="T8" s="344"/>
      <c r="U8" s="344"/>
      <c r="V8" s="344"/>
      <c r="W8" s="344"/>
      <c r="X8" s="344"/>
      <c r="Y8" s="345"/>
      <c r="Z8" s="345"/>
      <c r="AA8" s="345"/>
      <c r="AB8" s="345"/>
      <c r="AC8" s="345"/>
      <c r="AD8" s="316"/>
      <c r="AE8" s="316"/>
      <c r="AF8" s="316"/>
      <c r="AG8" s="316"/>
      <c r="AH8" s="317"/>
    </row>
    <row r="9" spans="1:34" s="3" customFormat="1" ht="12.75" x14ac:dyDescent="0.2">
      <c r="A9" s="318" t="s">
        <v>106</v>
      </c>
      <c r="B9" s="318"/>
      <c r="C9" s="318"/>
      <c r="D9" s="318"/>
      <c r="E9" s="318"/>
      <c r="F9" s="318"/>
      <c r="G9" s="318"/>
      <c r="H9" s="318"/>
      <c r="I9" s="318"/>
      <c r="J9" s="318"/>
      <c r="K9" s="318"/>
      <c r="L9" s="318"/>
      <c r="M9" s="318"/>
      <c r="N9" s="318"/>
      <c r="O9" s="318" t="s">
        <v>107</v>
      </c>
      <c r="P9" s="318"/>
      <c r="Q9" s="318"/>
      <c r="R9" s="318"/>
      <c r="S9" s="318"/>
      <c r="T9" s="318"/>
      <c r="U9" s="318"/>
      <c r="V9" s="318"/>
      <c r="W9" s="318"/>
      <c r="X9" s="318"/>
      <c r="Y9" s="318"/>
      <c r="Z9" s="318" t="s">
        <v>140</v>
      </c>
      <c r="AA9" s="318"/>
      <c r="AB9" s="318"/>
      <c r="AC9" s="318"/>
      <c r="AD9" s="318" t="s">
        <v>1</v>
      </c>
      <c r="AE9" s="318"/>
      <c r="AF9" s="318"/>
      <c r="AG9" s="318"/>
      <c r="AH9" s="318"/>
    </row>
    <row r="10" spans="1:34" ht="18.75" x14ac:dyDescent="0.3">
      <c r="A10" s="356"/>
      <c r="B10" s="356"/>
      <c r="C10" s="356"/>
      <c r="D10" s="356"/>
      <c r="E10" s="356"/>
      <c r="F10" s="356"/>
      <c r="G10" s="356"/>
      <c r="H10" s="356"/>
      <c r="I10" s="356"/>
      <c r="J10" s="356"/>
      <c r="K10" s="356"/>
      <c r="L10" s="356"/>
      <c r="M10" s="356"/>
      <c r="N10" s="356"/>
      <c r="O10" s="356"/>
      <c r="P10" s="356"/>
      <c r="Q10" s="356"/>
      <c r="R10" s="356"/>
      <c r="S10" s="356"/>
      <c r="T10" s="356"/>
      <c r="U10" s="356"/>
      <c r="V10" s="356"/>
      <c r="W10" s="356"/>
      <c r="X10" s="356"/>
      <c r="Y10" s="356"/>
      <c r="Z10" s="355"/>
      <c r="AA10" s="355"/>
      <c r="AB10" s="355"/>
      <c r="AC10" s="355"/>
      <c r="AD10" s="313"/>
      <c r="AE10" s="313"/>
      <c r="AF10" s="313"/>
      <c r="AG10" s="313"/>
      <c r="AH10" s="313"/>
    </row>
    <row r="11" spans="1:34" ht="15.75" x14ac:dyDescent="0.25">
      <c r="A11" s="394" t="s">
        <v>108</v>
      </c>
      <c r="B11" s="395"/>
      <c r="C11" s="395"/>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5"/>
      <c r="AH11" s="396"/>
    </row>
    <row r="12" spans="1:34" s="3" customFormat="1" ht="12.75" x14ac:dyDescent="0.2">
      <c r="A12" s="346" t="s">
        <v>109</v>
      </c>
      <c r="B12" s="347"/>
      <c r="C12" s="347"/>
      <c r="D12" s="347"/>
      <c r="E12" s="347"/>
      <c r="F12" s="347"/>
      <c r="G12" s="347"/>
      <c r="H12" s="347"/>
      <c r="I12" s="347"/>
      <c r="J12" s="347"/>
      <c r="K12" s="348"/>
      <c r="L12" s="346" t="s">
        <v>110</v>
      </c>
      <c r="M12" s="347"/>
      <c r="N12" s="347"/>
      <c r="O12" s="348"/>
      <c r="P12" s="349" t="s">
        <v>144</v>
      </c>
      <c r="Q12" s="350"/>
      <c r="R12" s="350"/>
      <c r="S12" s="350"/>
      <c r="T12" s="350"/>
      <c r="U12" s="350"/>
      <c r="V12" s="350"/>
      <c r="W12" s="350"/>
      <c r="X12" s="351"/>
      <c r="Y12" s="104" t="s">
        <v>111</v>
      </c>
      <c r="Z12" s="104"/>
      <c r="AA12" s="104"/>
      <c r="AB12" s="104"/>
      <c r="AC12" s="104"/>
      <c r="AD12" s="105"/>
      <c r="AE12" s="346" t="s">
        <v>112</v>
      </c>
      <c r="AF12" s="347"/>
      <c r="AG12" s="347"/>
      <c r="AH12" s="397"/>
    </row>
    <row r="13" spans="1:34" ht="18.75" x14ac:dyDescent="0.3">
      <c r="A13" s="388"/>
      <c r="B13" s="389"/>
      <c r="C13" s="389"/>
      <c r="D13" s="389"/>
      <c r="E13" s="389"/>
      <c r="F13" s="389"/>
      <c r="G13" s="389"/>
      <c r="H13" s="389"/>
      <c r="I13" s="389"/>
      <c r="J13" s="389"/>
      <c r="K13" s="390"/>
      <c r="L13" s="391"/>
      <c r="M13" s="392"/>
      <c r="N13" s="392"/>
      <c r="O13" s="393"/>
      <c r="P13" s="352"/>
      <c r="Q13" s="353"/>
      <c r="R13" s="353"/>
      <c r="S13" s="353"/>
      <c r="T13" s="353"/>
      <c r="U13" s="353"/>
      <c r="V13" s="353"/>
      <c r="W13" s="353"/>
      <c r="X13" s="354"/>
      <c r="Y13" s="330"/>
      <c r="Z13" s="330"/>
      <c r="AA13" s="330"/>
      <c r="AB13" s="330"/>
      <c r="AC13" s="330"/>
      <c r="AD13" s="331"/>
      <c r="AE13" s="327"/>
      <c r="AF13" s="328"/>
      <c r="AG13" s="328"/>
      <c r="AH13" s="329"/>
    </row>
    <row r="14" spans="1:34" ht="18.75" x14ac:dyDescent="0.3">
      <c r="A14" s="388"/>
      <c r="B14" s="389"/>
      <c r="C14" s="389"/>
      <c r="D14" s="389"/>
      <c r="E14" s="389"/>
      <c r="F14" s="389"/>
      <c r="G14" s="389"/>
      <c r="H14" s="389"/>
      <c r="I14" s="389"/>
      <c r="J14" s="389"/>
      <c r="K14" s="390"/>
      <c r="L14" s="391"/>
      <c r="M14" s="392"/>
      <c r="N14" s="392"/>
      <c r="O14" s="393"/>
      <c r="P14" s="352"/>
      <c r="Q14" s="353"/>
      <c r="R14" s="353"/>
      <c r="S14" s="353"/>
      <c r="T14" s="353"/>
      <c r="U14" s="353"/>
      <c r="V14" s="353"/>
      <c r="W14" s="353"/>
      <c r="X14" s="354"/>
      <c r="Y14" s="330"/>
      <c r="Z14" s="330"/>
      <c r="AA14" s="330"/>
      <c r="AB14" s="330"/>
      <c r="AC14" s="330"/>
      <c r="AD14" s="331"/>
      <c r="AE14" s="327"/>
      <c r="AF14" s="328"/>
      <c r="AG14" s="328"/>
      <c r="AH14" s="329"/>
    </row>
    <row r="15" spans="1:34" ht="18.75" x14ac:dyDescent="0.3">
      <c r="A15" s="388"/>
      <c r="B15" s="389"/>
      <c r="C15" s="389"/>
      <c r="D15" s="389"/>
      <c r="E15" s="389"/>
      <c r="F15" s="389"/>
      <c r="G15" s="389"/>
      <c r="H15" s="389"/>
      <c r="I15" s="389"/>
      <c r="J15" s="389"/>
      <c r="K15" s="390"/>
      <c r="L15" s="391"/>
      <c r="M15" s="392"/>
      <c r="N15" s="392"/>
      <c r="O15" s="393"/>
      <c r="P15" s="352"/>
      <c r="Q15" s="353"/>
      <c r="R15" s="353"/>
      <c r="S15" s="353"/>
      <c r="T15" s="353"/>
      <c r="U15" s="353"/>
      <c r="V15" s="353"/>
      <c r="W15" s="353"/>
      <c r="X15" s="354"/>
      <c r="Y15" s="330"/>
      <c r="Z15" s="330"/>
      <c r="AA15" s="330"/>
      <c r="AB15" s="330"/>
      <c r="AC15" s="330"/>
      <c r="AD15" s="331"/>
      <c r="AE15" s="327"/>
      <c r="AF15" s="328"/>
      <c r="AG15" s="328"/>
      <c r="AH15" s="329"/>
    </row>
    <row r="16" spans="1:34" ht="18.75" x14ac:dyDescent="0.3">
      <c r="A16" s="388"/>
      <c r="B16" s="389"/>
      <c r="C16" s="389"/>
      <c r="D16" s="389"/>
      <c r="E16" s="389"/>
      <c r="F16" s="389"/>
      <c r="G16" s="389"/>
      <c r="H16" s="389"/>
      <c r="I16" s="389"/>
      <c r="J16" s="389"/>
      <c r="K16" s="390"/>
      <c r="L16" s="391"/>
      <c r="M16" s="392"/>
      <c r="N16" s="392"/>
      <c r="O16" s="393"/>
      <c r="P16" s="352"/>
      <c r="Q16" s="353"/>
      <c r="R16" s="353"/>
      <c r="S16" s="353"/>
      <c r="T16" s="353"/>
      <c r="U16" s="353"/>
      <c r="V16" s="353"/>
      <c r="W16" s="353"/>
      <c r="X16" s="354"/>
      <c r="Y16" s="330"/>
      <c r="Z16" s="330"/>
      <c r="AA16" s="330"/>
      <c r="AB16" s="330"/>
      <c r="AC16" s="330"/>
      <c r="AD16" s="331"/>
      <c r="AE16" s="327"/>
      <c r="AF16" s="328"/>
      <c r="AG16" s="328"/>
      <c r="AH16" s="329"/>
    </row>
    <row r="17" spans="1:34" ht="18.75" x14ac:dyDescent="0.3">
      <c r="A17" s="388"/>
      <c r="B17" s="389"/>
      <c r="C17" s="389"/>
      <c r="D17" s="389"/>
      <c r="E17" s="389"/>
      <c r="F17" s="389"/>
      <c r="G17" s="389"/>
      <c r="H17" s="389"/>
      <c r="I17" s="389"/>
      <c r="J17" s="389"/>
      <c r="K17" s="390"/>
      <c r="L17" s="391"/>
      <c r="M17" s="392"/>
      <c r="N17" s="392"/>
      <c r="O17" s="393"/>
      <c r="P17" s="352"/>
      <c r="Q17" s="353"/>
      <c r="R17" s="353"/>
      <c r="S17" s="353"/>
      <c r="T17" s="353"/>
      <c r="U17" s="353"/>
      <c r="V17" s="353"/>
      <c r="W17" s="353"/>
      <c r="X17" s="354"/>
      <c r="Y17" s="330"/>
      <c r="Z17" s="330"/>
      <c r="AA17" s="330"/>
      <c r="AB17" s="330"/>
      <c r="AC17" s="330"/>
      <c r="AD17" s="331"/>
      <c r="AE17" s="327"/>
      <c r="AF17" s="328"/>
      <c r="AG17" s="328"/>
      <c r="AH17" s="329"/>
    </row>
    <row r="18" spans="1:34" ht="18.75" x14ac:dyDescent="0.3">
      <c r="A18" s="388"/>
      <c r="B18" s="389"/>
      <c r="C18" s="389"/>
      <c r="D18" s="389"/>
      <c r="E18" s="389"/>
      <c r="F18" s="389"/>
      <c r="G18" s="389"/>
      <c r="H18" s="389"/>
      <c r="I18" s="389"/>
      <c r="J18" s="389"/>
      <c r="K18" s="390"/>
      <c r="L18" s="391"/>
      <c r="M18" s="392"/>
      <c r="N18" s="392"/>
      <c r="O18" s="393"/>
      <c r="P18" s="352"/>
      <c r="Q18" s="353"/>
      <c r="R18" s="353"/>
      <c r="S18" s="353"/>
      <c r="T18" s="353"/>
      <c r="U18" s="353"/>
      <c r="V18" s="353"/>
      <c r="W18" s="353"/>
      <c r="X18" s="354"/>
      <c r="Y18" s="330"/>
      <c r="Z18" s="330"/>
      <c r="AA18" s="330"/>
      <c r="AB18" s="330"/>
      <c r="AC18" s="330"/>
      <c r="AD18" s="331"/>
      <c r="AE18" s="327"/>
      <c r="AF18" s="328"/>
      <c r="AG18" s="328"/>
      <c r="AH18" s="329"/>
    </row>
    <row r="19" spans="1:34" x14ac:dyDescent="0.25">
      <c r="A19" s="113"/>
      <c r="B19" s="113"/>
      <c r="C19" s="113"/>
      <c r="D19" s="113"/>
      <c r="E19" s="113"/>
      <c r="F19" s="113"/>
      <c r="G19" s="113"/>
      <c r="H19" s="113"/>
      <c r="I19" s="113"/>
      <c r="J19" s="113"/>
      <c r="K19" s="113"/>
      <c r="L19" s="113"/>
      <c r="M19" s="113"/>
      <c r="N19" s="113"/>
      <c r="O19" s="113"/>
      <c r="P19" s="114"/>
      <c r="Q19" s="114"/>
      <c r="R19" s="114"/>
      <c r="S19" s="114"/>
      <c r="T19" s="114"/>
      <c r="U19" s="114"/>
      <c r="V19" s="115"/>
      <c r="W19" s="115"/>
      <c r="X19" s="115"/>
      <c r="Y19" s="115"/>
      <c r="Z19" s="115"/>
      <c r="AA19" s="115"/>
      <c r="AB19" s="115"/>
      <c r="AC19" s="115"/>
      <c r="AD19" s="115"/>
      <c r="AE19" s="116"/>
      <c r="AF19" s="116"/>
      <c r="AG19" s="116"/>
      <c r="AH19" s="116"/>
    </row>
    <row r="20" spans="1:34" ht="15" customHeight="1" x14ac:dyDescent="0.25">
      <c r="A20" s="366" t="s">
        <v>131</v>
      </c>
      <c r="B20" s="366"/>
      <c r="C20" s="366"/>
      <c r="D20" s="366"/>
      <c r="E20" s="366"/>
      <c r="F20" s="366"/>
      <c r="G20" s="366"/>
      <c r="H20" s="366"/>
      <c r="I20" s="366"/>
      <c r="J20" s="366"/>
      <c r="K20" s="366"/>
      <c r="L20" s="366"/>
      <c r="M20" s="366"/>
      <c r="N20" s="366"/>
      <c r="O20" s="366"/>
      <c r="P20" s="366"/>
      <c r="Q20" s="366"/>
      <c r="R20" s="366"/>
      <c r="S20" s="366"/>
      <c r="T20" s="366"/>
      <c r="U20" s="366"/>
      <c r="V20" s="366"/>
      <c r="W20" s="366"/>
      <c r="X20" s="366"/>
      <c r="Y20" s="366"/>
      <c r="Z20" s="366"/>
      <c r="AA20" s="366"/>
      <c r="AB20" s="366"/>
      <c r="AC20" s="366"/>
      <c r="AD20" s="366"/>
      <c r="AE20" s="366"/>
      <c r="AF20" s="366"/>
      <c r="AG20" s="366"/>
      <c r="AH20" s="366"/>
    </row>
    <row r="21" spans="1:34" x14ac:dyDescent="0.25">
      <c r="A21" s="366"/>
      <c r="B21" s="366"/>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c r="AB21" s="366"/>
      <c r="AC21" s="366"/>
      <c r="AD21" s="366"/>
      <c r="AE21" s="366"/>
      <c r="AF21" s="366"/>
      <c r="AG21" s="366"/>
      <c r="AH21" s="366"/>
    </row>
    <row r="22" spans="1:34" x14ac:dyDescent="0.25">
      <c r="A22" s="366"/>
      <c r="B22" s="366"/>
      <c r="C22" s="366"/>
      <c r="D22" s="366"/>
      <c r="E22" s="366"/>
      <c r="F22" s="366"/>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6"/>
      <c r="AF22" s="366"/>
      <c r="AG22" s="366"/>
      <c r="AH22" s="366"/>
    </row>
    <row r="23" spans="1:34" x14ac:dyDescent="0.25">
      <c r="A23" s="366"/>
      <c r="B23" s="366"/>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c r="AF23" s="366"/>
      <c r="AG23" s="366"/>
      <c r="AH23" s="366"/>
    </row>
    <row r="24" spans="1:34" x14ac:dyDescent="0.25">
      <c r="A24" s="366"/>
      <c r="B24" s="366"/>
      <c r="C24" s="366"/>
      <c r="D24" s="366"/>
      <c r="E24" s="366"/>
      <c r="F24" s="366"/>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c r="AF24" s="366"/>
      <c r="AG24" s="366"/>
      <c r="AH24" s="366"/>
    </row>
    <row r="25" spans="1:34" x14ac:dyDescent="0.25">
      <c r="A25" s="366"/>
      <c r="B25" s="366"/>
      <c r="C25" s="366"/>
      <c r="D25" s="366"/>
      <c r="E25" s="366"/>
      <c r="F25" s="366"/>
      <c r="G25" s="366"/>
      <c r="H25" s="366"/>
      <c r="I25" s="366"/>
      <c r="J25" s="366"/>
      <c r="K25" s="366"/>
      <c r="L25" s="366"/>
      <c r="M25" s="366"/>
      <c r="N25" s="366"/>
      <c r="O25" s="366"/>
      <c r="P25" s="366"/>
      <c r="Q25" s="366"/>
      <c r="R25" s="366"/>
      <c r="S25" s="366"/>
      <c r="T25" s="366"/>
      <c r="U25" s="366"/>
      <c r="V25" s="366"/>
      <c r="W25" s="366"/>
      <c r="X25" s="366"/>
      <c r="Y25" s="366"/>
      <c r="Z25" s="366"/>
      <c r="AA25" s="366"/>
      <c r="AB25" s="366"/>
      <c r="AC25" s="366"/>
      <c r="AD25" s="366"/>
      <c r="AE25" s="366"/>
      <c r="AF25" s="366"/>
      <c r="AG25" s="366"/>
      <c r="AH25" s="366"/>
    </row>
    <row r="26" spans="1:34" x14ac:dyDescent="0.25">
      <c r="A26" s="366"/>
      <c r="B26" s="366"/>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366"/>
      <c r="AH26" s="366"/>
    </row>
    <row r="27" spans="1:34" x14ac:dyDescent="0.25">
      <c r="A27" s="366"/>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366"/>
      <c r="AH27" s="366"/>
    </row>
    <row r="28" spans="1:34" x14ac:dyDescent="0.25">
      <c r="A28" s="366"/>
      <c r="B28" s="366"/>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c r="AB28" s="366"/>
      <c r="AC28" s="366"/>
      <c r="AD28" s="366"/>
      <c r="AE28" s="366"/>
      <c r="AF28" s="366"/>
      <c r="AG28" s="366"/>
      <c r="AH28" s="366"/>
    </row>
    <row r="29" spans="1:34" x14ac:dyDescent="0.25">
      <c r="A29" s="366"/>
      <c r="B29" s="366"/>
      <c r="C29" s="366"/>
      <c r="D29" s="366"/>
      <c r="E29" s="366"/>
      <c r="F29" s="366"/>
      <c r="G29" s="366"/>
      <c r="H29" s="366"/>
      <c r="I29" s="366"/>
      <c r="J29" s="366"/>
      <c r="K29" s="366"/>
      <c r="L29" s="366"/>
      <c r="M29" s="366"/>
      <c r="N29" s="366"/>
      <c r="O29" s="366"/>
      <c r="P29" s="366"/>
      <c r="Q29" s="366"/>
      <c r="R29" s="366"/>
      <c r="S29" s="366"/>
      <c r="T29" s="366"/>
      <c r="U29" s="366"/>
      <c r="V29" s="366"/>
      <c r="W29" s="366"/>
      <c r="X29" s="366"/>
      <c r="Y29" s="366"/>
      <c r="Z29" s="366"/>
      <c r="AA29" s="366"/>
      <c r="AB29" s="366"/>
      <c r="AC29" s="366"/>
      <c r="AD29" s="366"/>
      <c r="AE29" s="366"/>
      <c r="AF29" s="366"/>
      <c r="AG29" s="366"/>
      <c r="AH29" s="366"/>
    </row>
    <row r="30" spans="1:34" x14ac:dyDescent="0.25">
      <c r="A30" s="366"/>
      <c r="B30" s="366"/>
      <c r="C30" s="366"/>
      <c r="D30" s="366"/>
      <c r="E30" s="366"/>
      <c r="F30" s="366"/>
      <c r="G30" s="366"/>
      <c r="H30" s="366"/>
      <c r="I30" s="366"/>
      <c r="J30" s="366"/>
      <c r="K30" s="366"/>
      <c r="L30" s="366"/>
      <c r="M30" s="366"/>
      <c r="N30" s="366"/>
      <c r="O30" s="366"/>
      <c r="P30" s="366"/>
      <c r="Q30" s="366"/>
      <c r="R30" s="366"/>
      <c r="S30" s="366"/>
      <c r="T30" s="366"/>
      <c r="U30" s="366"/>
      <c r="V30" s="366"/>
      <c r="W30" s="366"/>
      <c r="X30" s="366"/>
      <c r="Y30" s="366"/>
      <c r="Z30" s="366"/>
      <c r="AA30" s="366"/>
      <c r="AB30" s="366"/>
      <c r="AC30" s="366"/>
      <c r="AD30" s="366"/>
      <c r="AE30" s="366"/>
      <c r="AF30" s="366"/>
      <c r="AG30" s="366"/>
      <c r="AH30" s="366"/>
    </row>
    <row r="31" spans="1:34" x14ac:dyDescent="0.25">
      <c r="A31" s="366"/>
      <c r="B31" s="366"/>
      <c r="C31" s="366"/>
      <c r="D31" s="366"/>
      <c r="E31" s="366"/>
      <c r="F31" s="366"/>
      <c r="G31" s="366"/>
      <c r="H31" s="366"/>
      <c r="I31" s="366"/>
      <c r="J31" s="366"/>
      <c r="K31" s="366"/>
      <c r="L31" s="366"/>
      <c r="M31" s="366"/>
      <c r="N31" s="366"/>
      <c r="O31" s="366"/>
      <c r="P31" s="366"/>
      <c r="Q31" s="366"/>
      <c r="R31" s="366"/>
      <c r="S31" s="366"/>
      <c r="T31" s="366"/>
      <c r="U31" s="366"/>
      <c r="V31" s="366"/>
      <c r="W31" s="366"/>
      <c r="X31" s="366"/>
      <c r="Y31" s="366"/>
      <c r="Z31" s="366"/>
      <c r="AA31" s="366"/>
      <c r="AB31" s="366"/>
      <c r="AC31" s="366"/>
      <c r="AD31" s="366"/>
      <c r="AE31" s="366"/>
      <c r="AF31" s="366"/>
      <c r="AG31" s="366"/>
      <c r="AH31" s="366"/>
    </row>
    <row r="32" spans="1:34" x14ac:dyDescent="0.25">
      <c r="A32" s="366"/>
      <c r="B32" s="366"/>
      <c r="C32" s="366"/>
      <c r="D32" s="366"/>
      <c r="E32" s="366"/>
      <c r="F32" s="366"/>
      <c r="G32" s="366"/>
      <c r="H32" s="366"/>
      <c r="I32" s="366"/>
      <c r="J32" s="366"/>
      <c r="K32" s="366"/>
      <c r="L32" s="366"/>
      <c r="M32" s="366"/>
      <c r="N32" s="366"/>
      <c r="O32" s="366"/>
      <c r="P32" s="366"/>
      <c r="Q32" s="366"/>
      <c r="R32" s="366"/>
      <c r="S32" s="366"/>
      <c r="T32" s="366"/>
      <c r="U32" s="366"/>
      <c r="V32" s="366"/>
      <c r="W32" s="366"/>
      <c r="X32" s="366"/>
      <c r="Y32" s="366"/>
      <c r="Z32" s="366"/>
      <c r="AA32" s="366"/>
      <c r="AB32" s="366"/>
      <c r="AC32" s="366"/>
      <c r="AD32" s="366"/>
      <c r="AE32" s="366"/>
      <c r="AF32" s="366"/>
      <c r="AG32" s="366"/>
      <c r="AH32" s="366"/>
    </row>
    <row r="33" spans="1:34" x14ac:dyDescent="0.25">
      <c r="A33" s="366"/>
      <c r="B33" s="366"/>
      <c r="C33" s="366"/>
      <c r="D33" s="366"/>
      <c r="E33" s="366"/>
      <c r="F33" s="366"/>
      <c r="G33" s="366"/>
      <c r="H33" s="366"/>
      <c r="I33" s="366"/>
      <c r="J33" s="366"/>
      <c r="K33" s="366"/>
      <c r="L33" s="366"/>
      <c r="M33" s="366"/>
      <c r="N33" s="366"/>
      <c r="O33" s="366"/>
      <c r="P33" s="366"/>
      <c r="Q33" s="366"/>
      <c r="R33" s="366"/>
      <c r="S33" s="366"/>
      <c r="T33" s="366"/>
      <c r="U33" s="366"/>
      <c r="V33" s="366"/>
      <c r="W33" s="366"/>
      <c r="X33" s="366"/>
      <c r="Y33" s="366"/>
      <c r="Z33" s="366"/>
      <c r="AA33" s="366"/>
      <c r="AB33" s="366"/>
      <c r="AC33" s="366"/>
      <c r="AD33" s="366"/>
      <c r="AE33" s="366"/>
      <c r="AF33" s="366"/>
      <c r="AG33" s="366"/>
      <c r="AH33" s="366"/>
    </row>
    <row r="34" spans="1:34" x14ac:dyDescent="0.25">
      <c r="A34" s="366"/>
      <c r="B34" s="366"/>
      <c r="C34" s="366"/>
      <c r="D34" s="366"/>
      <c r="E34" s="366"/>
      <c r="F34" s="366"/>
      <c r="G34" s="366"/>
      <c r="H34" s="366"/>
      <c r="I34" s="366"/>
      <c r="J34" s="366"/>
      <c r="K34" s="366"/>
      <c r="L34" s="366"/>
      <c r="M34" s="366"/>
      <c r="N34" s="366"/>
      <c r="O34" s="366"/>
      <c r="P34" s="366"/>
      <c r="Q34" s="366"/>
      <c r="R34" s="366"/>
      <c r="S34" s="366"/>
      <c r="T34" s="366"/>
      <c r="U34" s="366"/>
      <c r="V34" s="366"/>
      <c r="W34" s="366"/>
      <c r="X34" s="366"/>
      <c r="Y34" s="366"/>
      <c r="Z34" s="366"/>
      <c r="AA34" s="366"/>
      <c r="AB34" s="366"/>
      <c r="AC34" s="366"/>
      <c r="AD34" s="366"/>
      <c r="AE34" s="366"/>
      <c r="AF34" s="366"/>
      <c r="AG34" s="366"/>
      <c r="AH34" s="366"/>
    </row>
    <row r="35" spans="1:34" x14ac:dyDescent="0.25">
      <c r="A35" s="366"/>
      <c r="B35" s="366"/>
      <c r="C35" s="366"/>
      <c r="D35" s="366"/>
      <c r="E35" s="366"/>
      <c r="F35" s="366"/>
      <c r="G35" s="366"/>
      <c r="H35" s="366"/>
      <c r="I35" s="366"/>
      <c r="J35" s="366"/>
      <c r="K35" s="366"/>
      <c r="L35" s="366"/>
      <c r="M35" s="366"/>
      <c r="N35" s="366"/>
      <c r="O35" s="366"/>
      <c r="P35" s="366"/>
      <c r="Q35" s="366"/>
      <c r="R35" s="366"/>
      <c r="S35" s="366"/>
      <c r="T35" s="366"/>
      <c r="U35" s="366"/>
      <c r="V35" s="366"/>
      <c r="W35" s="366"/>
      <c r="X35" s="366"/>
      <c r="Y35" s="366"/>
      <c r="Z35" s="366"/>
      <c r="AA35" s="366"/>
      <c r="AB35" s="366"/>
      <c r="AC35" s="366"/>
      <c r="AD35" s="366"/>
      <c r="AE35" s="366"/>
      <c r="AF35" s="366"/>
      <c r="AG35" s="366"/>
      <c r="AH35" s="366"/>
    </row>
    <row r="36" spans="1:34" x14ac:dyDescent="0.25">
      <c r="A36" s="366"/>
      <c r="B36" s="366"/>
      <c r="C36" s="366"/>
      <c r="D36" s="366"/>
      <c r="E36" s="366"/>
      <c r="F36" s="366"/>
      <c r="G36" s="366"/>
      <c r="H36" s="366"/>
      <c r="I36" s="366"/>
      <c r="J36" s="366"/>
      <c r="K36" s="366"/>
      <c r="L36" s="366"/>
      <c r="M36" s="366"/>
      <c r="N36" s="366"/>
      <c r="O36" s="366"/>
      <c r="P36" s="366"/>
      <c r="Q36" s="366"/>
      <c r="R36" s="366"/>
      <c r="S36" s="366"/>
      <c r="T36" s="366"/>
      <c r="U36" s="366"/>
      <c r="V36" s="366"/>
      <c r="W36" s="366"/>
      <c r="X36" s="366"/>
      <c r="Y36" s="366"/>
      <c r="Z36" s="366"/>
      <c r="AA36" s="366"/>
      <c r="AB36" s="366"/>
      <c r="AC36" s="366"/>
      <c r="AD36" s="366"/>
      <c r="AE36" s="366"/>
      <c r="AF36" s="366"/>
      <c r="AG36" s="366"/>
      <c r="AH36" s="366"/>
    </row>
    <row r="37" spans="1:34" x14ac:dyDescent="0.25">
      <c r="A37" s="366"/>
      <c r="B37" s="366"/>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6"/>
      <c r="AE37" s="366"/>
      <c r="AF37" s="366"/>
      <c r="AG37" s="366"/>
      <c r="AH37" s="366"/>
    </row>
    <row r="38" spans="1:34" x14ac:dyDescent="0.25">
      <c r="A38" s="366"/>
      <c r="B38" s="366"/>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c r="AB38" s="366"/>
      <c r="AC38" s="366"/>
      <c r="AD38" s="366"/>
      <c r="AE38" s="366"/>
      <c r="AF38" s="366"/>
      <c r="AG38" s="366"/>
      <c r="AH38" s="366"/>
    </row>
    <row r="39" spans="1:34" x14ac:dyDescent="0.25">
      <c r="A39" s="366"/>
      <c r="B39" s="366"/>
      <c r="C39" s="366"/>
      <c r="D39" s="366"/>
      <c r="E39" s="366"/>
      <c r="F39" s="366"/>
      <c r="G39" s="366"/>
      <c r="H39" s="366"/>
      <c r="I39" s="366"/>
      <c r="J39" s="366"/>
      <c r="K39" s="366"/>
      <c r="L39" s="366"/>
      <c r="M39" s="366"/>
      <c r="N39" s="366"/>
      <c r="O39" s="366"/>
      <c r="P39" s="366"/>
      <c r="Q39" s="366"/>
      <c r="R39" s="366"/>
      <c r="S39" s="366"/>
      <c r="T39" s="366"/>
      <c r="U39" s="366"/>
      <c r="V39" s="366"/>
      <c r="W39" s="366"/>
      <c r="X39" s="366"/>
      <c r="Y39" s="366"/>
      <c r="Z39" s="366"/>
      <c r="AA39" s="366"/>
      <c r="AB39" s="366"/>
      <c r="AC39" s="366"/>
      <c r="AD39" s="366"/>
      <c r="AE39" s="366"/>
      <c r="AF39" s="366"/>
      <c r="AG39" s="366"/>
      <c r="AH39" s="366"/>
    </row>
    <row r="40" spans="1:34" x14ac:dyDescent="0.25">
      <c r="A40" s="366"/>
      <c r="B40" s="366"/>
      <c r="C40" s="366"/>
      <c r="D40" s="366"/>
      <c r="E40" s="366"/>
      <c r="F40" s="366"/>
      <c r="G40" s="366"/>
      <c r="H40" s="366"/>
      <c r="I40" s="366"/>
      <c r="J40" s="366"/>
      <c r="K40" s="366"/>
      <c r="L40" s="366"/>
      <c r="M40" s="366"/>
      <c r="N40" s="366"/>
      <c r="O40" s="366"/>
      <c r="P40" s="366"/>
      <c r="Q40" s="366"/>
      <c r="R40" s="366"/>
      <c r="S40" s="366"/>
      <c r="T40" s="366"/>
      <c r="U40" s="366"/>
      <c r="V40" s="366"/>
      <c r="W40" s="366"/>
      <c r="X40" s="366"/>
      <c r="Y40" s="366"/>
      <c r="Z40" s="366"/>
      <c r="AA40" s="366"/>
      <c r="AB40" s="366"/>
      <c r="AC40" s="366"/>
      <c r="AD40" s="366"/>
      <c r="AE40" s="366"/>
      <c r="AF40" s="366"/>
      <c r="AG40" s="366"/>
      <c r="AH40" s="366"/>
    </row>
    <row r="41" spans="1:34" x14ac:dyDescent="0.25">
      <c r="A41" s="366"/>
      <c r="B41" s="366"/>
      <c r="C41" s="366"/>
      <c r="D41" s="366"/>
      <c r="E41" s="366"/>
      <c r="F41" s="366"/>
      <c r="G41" s="366"/>
      <c r="H41" s="366"/>
      <c r="I41" s="366"/>
      <c r="J41" s="366"/>
      <c r="K41" s="366"/>
      <c r="L41" s="366"/>
      <c r="M41" s="366"/>
      <c r="N41" s="366"/>
      <c r="O41" s="366"/>
      <c r="P41" s="366"/>
      <c r="Q41" s="366"/>
      <c r="R41" s="366"/>
      <c r="S41" s="366"/>
      <c r="T41" s="366"/>
      <c r="U41" s="366"/>
      <c r="V41" s="366"/>
      <c r="W41" s="366"/>
      <c r="X41" s="366"/>
      <c r="Y41" s="366"/>
      <c r="Z41" s="366"/>
      <c r="AA41" s="366"/>
      <c r="AB41" s="366"/>
      <c r="AC41" s="366"/>
      <c r="AD41" s="366"/>
      <c r="AE41" s="366"/>
      <c r="AF41" s="366"/>
      <c r="AG41" s="366"/>
      <c r="AH41" s="366"/>
    </row>
    <row r="42" spans="1:34" x14ac:dyDescent="0.2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row>
    <row r="43" spans="1:34" x14ac:dyDescent="0.2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row>
    <row r="44" spans="1:34"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15.75" x14ac:dyDescent="0.25">
      <c r="A45" s="60" t="s">
        <v>113</v>
      </c>
      <c r="B45" s="61"/>
      <c r="C45" s="61"/>
      <c r="D45" s="61"/>
      <c r="E45" s="61"/>
      <c r="F45" s="62"/>
      <c r="G45" s="62"/>
      <c r="H45" s="62"/>
      <c r="I45" s="62"/>
      <c r="J45" s="62"/>
      <c r="K45" s="62"/>
      <c r="L45" s="62"/>
      <c r="M45" s="62"/>
      <c r="N45" s="62"/>
      <c r="O45" s="62"/>
      <c r="P45" s="62"/>
      <c r="Q45" s="62"/>
      <c r="R45" s="62"/>
      <c r="S45" s="62"/>
      <c r="T45" s="62"/>
      <c r="U45" s="62"/>
      <c r="V45" s="62"/>
      <c r="W45" s="62"/>
      <c r="X45" s="63"/>
      <c r="Y45" s="63"/>
      <c r="Z45" s="62"/>
      <c r="AA45" s="360" t="s">
        <v>114</v>
      </c>
      <c r="AB45" s="360"/>
      <c r="AC45" s="62"/>
      <c r="AD45" s="62"/>
      <c r="AE45" s="62"/>
      <c r="AF45" s="62"/>
      <c r="AG45" s="62"/>
      <c r="AH45" s="62"/>
    </row>
    <row r="46" spans="1:34" x14ac:dyDescent="0.25">
      <c r="A46" s="5"/>
      <c r="B46" s="4"/>
      <c r="C46" s="4"/>
      <c r="D46" s="4"/>
      <c r="E46" s="4"/>
      <c r="F46" s="8"/>
      <c r="G46" s="8"/>
      <c r="H46" s="8"/>
      <c r="I46" s="8"/>
      <c r="J46" s="8"/>
      <c r="K46" s="8"/>
      <c r="L46" s="8"/>
      <c r="M46" s="8"/>
      <c r="N46" s="8"/>
      <c r="O46" s="8"/>
      <c r="P46" s="8"/>
      <c r="Q46" s="8"/>
      <c r="R46" s="8"/>
      <c r="S46" s="8"/>
      <c r="T46" s="8"/>
      <c r="U46" s="8"/>
      <c r="V46" s="8"/>
      <c r="W46" s="8"/>
      <c r="X46" s="9"/>
      <c r="Y46" s="9"/>
      <c r="Z46" s="8"/>
      <c r="AA46" s="10"/>
      <c r="AB46" s="10"/>
      <c r="AC46" s="8"/>
      <c r="AD46" s="8"/>
      <c r="AE46" s="8"/>
      <c r="AF46" s="8"/>
      <c r="AG46" s="8"/>
      <c r="AH46" s="8"/>
    </row>
    <row r="47" spans="1:34" x14ac:dyDescent="0.25">
      <c r="A47" s="361" t="s">
        <v>115</v>
      </c>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61"/>
      <c r="AC47" s="361"/>
      <c r="AD47" s="361"/>
      <c r="AE47" s="361"/>
      <c r="AF47" s="361"/>
      <c r="AG47" s="361"/>
      <c r="AH47" s="361"/>
    </row>
    <row r="48" spans="1:34" s="7" customFormat="1" x14ac:dyDescent="0.25">
      <c r="A48" s="369"/>
      <c r="B48" s="370"/>
      <c r="C48" s="370"/>
      <c r="D48" s="370"/>
      <c r="E48" s="370"/>
      <c r="F48" s="370"/>
      <c r="G48" s="370"/>
      <c r="H48" s="370"/>
      <c r="I48" s="370"/>
      <c r="J48" s="370"/>
      <c r="K48" s="370"/>
      <c r="L48" s="370"/>
      <c r="M48" s="370"/>
      <c r="N48" s="370"/>
      <c r="O48" s="370"/>
      <c r="P48" s="370"/>
      <c r="Q48" s="370"/>
      <c r="R48" s="370"/>
      <c r="S48" s="371"/>
      <c r="T48" s="367" t="s">
        <v>138</v>
      </c>
      <c r="U48" s="367"/>
      <c r="V48" s="367"/>
      <c r="W48" s="368" t="s">
        <v>139</v>
      </c>
      <c r="X48" s="368"/>
      <c r="Y48" s="368"/>
      <c r="Z48" s="368"/>
      <c r="AA48" s="368"/>
      <c r="AB48" s="368"/>
      <c r="AC48" s="368"/>
      <c r="AD48" s="368"/>
      <c r="AE48" s="368"/>
      <c r="AF48" s="368"/>
      <c r="AG48" s="368"/>
      <c r="AH48" s="368"/>
    </row>
    <row r="49" spans="1:34" x14ac:dyDescent="0.25">
      <c r="A49" s="362" t="s">
        <v>116</v>
      </c>
      <c r="B49" s="362"/>
      <c r="C49" s="362"/>
      <c r="D49" s="362"/>
      <c r="E49" s="362"/>
      <c r="F49" s="362"/>
      <c r="G49" s="362"/>
      <c r="H49" s="362"/>
      <c r="I49" s="362"/>
      <c r="J49" s="362"/>
      <c r="K49" s="362"/>
      <c r="L49" s="362"/>
      <c r="M49" s="362"/>
      <c r="N49" s="362"/>
      <c r="O49" s="362"/>
      <c r="P49" s="362"/>
      <c r="Q49" s="362"/>
      <c r="R49" s="362"/>
      <c r="S49" s="362"/>
      <c r="T49" s="363"/>
      <c r="U49" s="363"/>
      <c r="V49" s="363"/>
      <c r="W49" s="364" t="s">
        <v>8</v>
      </c>
      <c r="X49" s="364"/>
      <c r="Y49" s="363"/>
      <c r="Z49" s="363"/>
      <c r="AA49" s="364" t="s">
        <v>16</v>
      </c>
      <c r="AB49" s="364"/>
      <c r="AC49" s="363"/>
      <c r="AD49" s="363"/>
      <c r="AE49" s="364" t="s">
        <v>15</v>
      </c>
      <c r="AF49" s="364"/>
      <c r="AG49" s="365"/>
      <c r="AH49" s="365"/>
    </row>
    <row r="50" spans="1:34" x14ac:dyDescent="0.25">
      <c r="A50" s="362" t="s">
        <v>117</v>
      </c>
      <c r="B50" s="362"/>
      <c r="C50" s="362"/>
      <c r="D50" s="362"/>
      <c r="E50" s="362"/>
      <c r="F50" s="362"/>
      <c r="G50" s="362"/>
      <c r="H50" s="362"/>
      <c r="I50" s="362"/>
      <c r="J50" s="362"/>
      <c r="K50" s="362"/>
      <c r="L50" s="362"/>
      <c r="M50" s="362"/>
      <c r="N50" s="362"/>
      <c r="O50" s="362"/>
      <c r="P50" s="362"/>
      <c r="Q50" s="362"/>
      <c r="R50" s="362"/>
      <c r="S50" s="362"/>
      <c r="T50" s="363"/>
      <c r="U50" s="363"/>
      <c r="V50" s="363"/>
      <c r="W50" s="364" t="s">
        <v>8</v>
      </c>
      <c r="X50" s="364"/>
      <c r="Y50" s="363"/>
      <c r="Z50" s="363"/>
      <c r="AA50" s="364" t="s">
        <v>16</v>
      </c>
      <c r="AB50" s="364"/>
      <c r="AC50" s="363"/>
      <c r="AD50" s="363"/>
      <c r="AE50" s="364" t="s">
        <v>15</v>
      </c>
      <c r="AF50" s="364"/>
      <c r="AG50" s="363"/>
      <c r="AH50" s="363"/>
    </row>
    <row r="51" spans="1:34" x14ac:dyDescent="0.25">
      <c r="A51" s="372"/>
      <c r="B51" s="373"/>
      <c r="C51" s="373"/>
      <c r="D51" s="373"/>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4"/>
    </row>
    <row r="52" spans="1:34" s="7" customFormat="1" ht="15" customHeight="1" x14ac:dyDescent="0.25">
      <c r="A52" s="384" t="s">
        <v>132</v>
      </c>
      <c r="B52" s="366"/>
      <c r="C52" s="366"/>
      <c r="D52" s="366"/>
      <c r="E52" s="366"/>
      <c r="F52" s="366"/>
      <c r="G52" s="366"/>
      <c r="H52" s="366"/>
      <c r="I52" s="366"/>
      <c r="J52" s="366"/>
      <c r="K52" s="366"/>
      <c r="L52" s="366"/>
      <c r="M52" s="366"/>
      <c r="N52" s="366"/>
      <c r="O52" s="366"/>
      <c r="P52" s="366"/>
      <c r="Q52" s="366"/>
      <c r="R52" s="366"/>
      <c r="S52" s="366"/>
      <c r="T52" s="366"/>
      <c r="U52" s="366"/>
      <c r="V52" s="366"/>
      <c r="W52" s="366"/>
      <c r="X52" s="366"/>
      <c r="Y52" s="366"/>
      <c r="Z52" s="366"/>
      <c r="AA52" s="366"/>
      <c r="AB52" s="366"/>
      <c r="AC52" s="366"/>
      <c r="AD52" s="366"/>
      <c r="AE52" s="366"/>
      <c r="AF52" s="366"/>
      <c r="AG52" s="366"/>
      <c r="AH52" s="385"/>
    </row>
    <row r="53" spans="1:34" s="7" customFormat="1" x14ac:dyDescent="0.25">
      <c r="A53" s="384"/>
      <c r="B53" s="366"/>
      <c r="C53" s="366"/>
      <c r="D53" s="366"/>
      <c r="E53" s="366"/>
      <c r="F53" s="366"/>
      <c r="G53" s="366"/>
      <c r="H53" s="366"/>
      <c r="I53" s="366"/>
      <c r="J53" s="366"/>
      <c r="K53" s="366"/>
      <c r="L53" s="366"/>
      <c r="M53" s="366"/>
      <c r="N53" s="366"/>
      <c r="O53" s="366"/>
      <c r="P53" s="366"/>
      <c r="Q53" s="366"/>
      <c r="R53" s="366"/>
      <c r="S53" s="366"/>
      <c r="T53" s="366"/>
      <c r="U53" s="366"/>
      <c r="V53" s="366"/>
      <c r="W53" s="366"/>
      <c r="X53" s="366"/>
      <c r="Y53" s="366"/>
      <c r="Z53" s="366"/>
      <c r="AA53" s="366"/>
      <c r="AB53" s="366"/>
      <c r="AC53" s="366"/>
      <c r="AD53" s="366"/>
      <c r="AE53" s="366"/>
      <c r="AF53" s="366"/>
      <c r="AG53" s="366"/>
      <c r="AH53" s="385"/>
    </row>
    <row r="54" spans="1:34" s="7" customFormat="1" x14ac:dyDescent="0.25">
      <c r="A54" s="384"/>
      <c r="B54" s="366"/>
      <c r="C54" s="366"/>
      <c r="D54" s="366"/>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c r="AC54" s="366"/>
      <c r="AD54" s="366"/>
      <c r="AE54" s="366"/>
      <c r="AF54" s="366"/>
      <c r="AG54" s="366"/>
      <c r="AH54" s="385"/>
    </row>
    <row r="55" spans="1:34" s="7" customFormat="1" x14ac:dyDescent="0.25">
      <c r="A55" s="375"/>
      <c r="B55" s="376"/>
      <c r="C55" s="376"/>
      <c r="D55" s="376"/>
      <c r="E55" s="376"/>
      <c r="F55" s="376"/>
      <c r="G55" s="376"/>
      <c r="H55" s="376"/>
      <c r="I55" s="376"/>
      <c r="J55" s="376"/>
      <c r="K55" s="376"/>
      <c r="L55" s="376"/>
      <c r="M55" s="376"/>
      <c r="N55" s="376"/>
      <c r="O55" s="376"/>
      <c r="P55" s="376"/>
      <c r="Q55" s="376"/>
      <c r="R55" s="376"/>
      <c r="S55" s="376"/>
      <c r="T55" s="376"/>
      <c r="U55" s="376"/>
      <c r="V55" s="376"/>
      <c r="W55" s="376"/>
      <c r="X55" s="376"/>
      <c r="Y55" s="376"/>
      <c r="Z55" s="376"/>
      <c r="AA55" s="376"/>
      <c r="AB55" s="376"/>
      <c r="AC55" s="376"/>
      <c r="AD55" s="376"/>
      <c r="AE55" s="376"/>
      <c r="AF55" s="376"/>
      <c r="AG55" s="376"/>
      <c r="AH55" s="377"/>
    </row>
    <row r="56" spans="1:34" s="7" customFormat="1" ht="15.75" x14ac:dyDescent="0.25">
      <c r="A56" s="64" t="s">
        <v>113</v>
      </c>
      <c r="B56" s="65"/>
      <c r="C56" s="65"/>
      <c r="D56" s="65"/>
      <c r="E56" s="65"/>
      <c r="F56" s="62"/>
      <c r="G56" s="62"/>
      <c r="H56" s="62"/>
      <c r="I56" s="62"/>
      <c r="J56" s="62"/>
      <c r="K56" s="62"/>
      <c r="L56" s="62"/>
      <c r="M56" s="62"/>
      <c r="N56" s="62"/>
      <c r="O56" s="62"/>
      <c r="P56" s="62"/>
      <c r="Q56" s="62"/>
      <c r="R56" s="62"/>
      <c r="S56" s="62"/>
      <c r="T56" s="62"/>
      <c r="U56" s="62"/>
      <c r="V56" s="62"/>
      <c r="W56" s="62"/>
      <c r="X56" s="63"/>
      <c r="Y56" s="63"/>
      <c r="Z56" s="62"/>
      <c r="AA56" s="386" t="s">
        <v>114</v>
      </c>
      <c r="AB56" s="386"/>
      <c r="AC56" s="62"/>
      <c r="AD56" s="62"/>
      <c r="AE56" s="62"/>
      <c r="AF56" s="62"/>
      <c r="AG56" s="62"/>
      <c r="AH56" s="66"/>
    </row>
    <row r="57" spans="1:34" s="7" customFormat="1" x14ac:dyDescent="0.25">
      <c r="A57" s="378"/>
      <c r="B57" s="379"/>
      <c r="C57" s="379"/>
      <c r="D57" s="379"/>
      <c r="E57" s="379"/>
      <c r="F57" s="379"/>
      <c r="G57" s="379"/>
      <c r="H57" s="379"/>
      <c r="I57" s="379"/>
      <c r="J57" s="379"/>
      <c r="K57" s="379"/>
      <c r="L57" s="379"/>
      <c r="M57" s="379"/>
      <c r="N57" s="379"/>
      <c r="O57" s="379"/>
      <c r="P57" s="379"/>
      <c r="Q57" s="379"/>
      <c r="R57" s="379"/>
      <c r="S57" s="379"/>
      <c r="T57" s="379"/>
      <c r="U57" s="379"/>
      <c r="V57" s="379"/>
      <c r="W57" s="379"/>
      <c r="X57" s="379"/>
      <c r="Y57" s="379"/>
      <c r="Z57" s="379"/>
      <c r="AA57" s="379"/>
      <c r="AB57" s="379"/>
      <c r="AC57" s="379"/>
      <c r="AD57" s="379"/>
      <c r="AE57" s="379"/>
      <c r="AF57" s="379"/>
      <c r="AG57" s="379"/>
      <c r="AH57" s="380"/>
    </row>
    <row r="58" spans="1:34" s="9" customFormat="1" ht="21" x14ac:dyDescent="0.35">
      <c r="B58" s="112"/>
      <c r="C58" s="112"/>
      <c r="D58" s="112"/>
      <c r="E58" s="112"/>
      <c r="F58" s="112"/>
      <c r="G58" s="358" t="s">
        <v>91</v>
      </c>
      <c r="H58" s="358"/>
      <c r="I58" s="358"/>
      <c r="J58" s="358"/>
      <c r="K58" s="358"/>
      <c r="L58" s="358"/>
      <c r="M58" s="358"/>
      <c r="N58" s="358"/>
      <c r="O58" s="358"/>
      <c r="P58" s="358"/>
      <c r="Q58" s="358"/>
      <c r="R58" s="358"/>
      <c r="S58" s="358"/>
      <c r="T58" s="358"/>
      <c r="U58" s="358"/>
      <c r="V58" s="358"/>
      <c r="W58" s="358"/>
      <c r="X58" s="358"/>
      <c r="Y58" s="358"/>
      <c r="Z58" s="358"/>
      <c r="AA58" s="112"/>
      <c r="AB58" s="112"/>
      <c r="AC58" s="357"/>
      <c r="AD58" s="357"/>
      <c r="AE58" s="357"/>
      <c r="AF58" s="357"/>
      <c r="AG58" s="357"/>
      <c r="AH58" s="357"/>
    </row>
    <row r="59" spans="1:34" ht="21" x14ac:dyDescent="0.35">
      <c r="A59" s="398" t="str">
        <f>IF(A6="","Enter your name in cell A5",A6)</f>
        <v>Enter your name in cell A5</v>
      </c>
      <c r="B59" s="398"/>
      <c r="C59" s="398"/>
      <c r="D59" s="398"/>
      <c r="E59" s="398"/>
      <c r="F59" s="398"/>
      <c r="G59" s="306" t="s">
        <v>141</v>
      </c>
      <c r="H59" s="306"/>
      <c r="I59" s="306"/>
      <c r="J59" s="306"/>
      <c r="K59" s="306"/>
      <c r="L59" s="306"/>
      <c r="M59" s="306"/>
      <c r="N59" s="306"/>
      <c r="O59" s="306"/>
      <c r="P59" s="306"/>
      <c r="Q59" s="306"/>
      <c r="R59" s="306"/>
      <c r="S59" s="306"/>
      <c r="T59" s="306"/>
      <c r="U59" s="306"/>
      <c r="V59" s="306"/>
      <c r="W59" s="306"/>
      <c r="X59" s="306"/>
      <c r="Y59" s="306"/>
      <c r="Z59" s="306"/>
      <c r="AA59" s="102"/>
      <c r="AB59" s="102"/>
      <c r="AC59" s="305"/>
      <c r="AD59" s="305"/>
      <c r="AE59" s="305"/>
      <c r="AF59" s="2"/>
      <c r="AG59" s="2"/>
      <c r="AH59" s="2"/>
    </row>
    <row r="60" spans="1:34" ht="18.75" x14ac:dyDescent="0.3">
      <c r="A60" s="298" t="s">
        <v>143</v>
      </c>
      <c r="B60" s="298"/>
      <c r="C60" s="423"/>
      <c r="D60" s="423"/>
      <c r="E60" s="423"/>
      <c r="F60" s="423"/>
      <c r="G60" s="359" t="s">
        <v>142</v>
      </c>
      <c r="H60" s="359"/>
      <c r="I60" s="359"/>
      <c r="J60" s="359"/>
      <c r="K60" s="359"/>
      <c r="L60" s="359"/>
      <c r="M60" s="359"/>
      <c r="N60" s="359"/>
      <c r="O60" s="359"/>
      <c r="P60" s="359"/>
      <c r="Q60" s="359"/>
      <c r="R60" s="359"/>
      <c r="S60" s="359"/>
      <c r="T60" s="359"/>
      <c r="U60" s="359"/>
      <c r="V60" s="359"/>
      <c r="W60" s="359"/>
      <c r="X60" s="359"/>
      <c r="Y60" s="359"/>
      <c r="Z60" s="359"/>
      <c r="AA60" s="111"/>
      <c r="AB60" s="111"/>
      <c r="AC60" s="111"/>
      <c r="AD60" s="67"/>
      <c r="AE60" s="67"/>
      <c r="AF60" s="2"/>
      <c r="AG60" s="2"/>
      <c r="AH60" s="2"/>
    </row>
    <row r="61" spans="1:34" ht="15.75" thickBot="1" x14ac:dyDescent="0.3">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11"/>
      <c r="AB61" s="11"/>
      <c r="AC61" s="11"/>
      <c r="AD61" s="11"/>
      <c r="AE61" s="69"/>
      <c r="AF61" s="68"/>
      <c r="AG61" s="68"/>
      <c r="AH61" s="69"/>
    </row>
    <row r="62" spans="1:34" ht="15.75" x14ac:dyDescent="0.25">
      <c r="A62" s="252" t="s">
        <v>2</v>
      </c>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c r="AC62" s="253"/>
      <c r="AD62" s="253"/>
      <c r="AE62" s="253"/>
      <c r="AF62" s="253"/>
      <c r="AG62" s="253"/>
      <c r="AH62" s="254"/>
    </row>
    <row r="63" spans="1:34" ht="15" customHeight="1" x14ac:dyDescent="0.25">
      <c r="A63" s="12"/>
      <c r="B63" s="71"/>
      <c r="C63" s="71"/>
      <c r="D63" s="71"/>
      <c r="E63" s="71"/>
      <c r="F63" s="71"/>
      <c r="G63" s="71"/>
      <c r="H63" s="86"/>
      <c r="I63" s="86"/>
      <c r="J63" s="86"/>
      <c r="K63" s="86"/>
      <c r="L63" s="86"/>
      <c r="M63" s="86"/>
      <c r="N63" s="86"/>
      <c r="O63" s="86"/>
      <c r="P63" s="86"/>
      <c r="Q63" s="86"/>
      <c r="R63" s="70"/>
      <c r="S63" s="86"/>
      <c r="T63" s="86"/>
      <c r="U63" s="86"/>
      <c r="V63" s="86"/>
      <c r="W63" s="86"/>
      <c r="X63" s="86"/>
      <c r="Y63" s="86"/>
      <c r="Z63" s="86"/>
      <c r="AA63" s="86"/>
      <c r="AB63" s="86"/>
      <c r="AC63" s="86"/>
      <c r="AD63" s="86"/>
      <c r="AE63" s="308" t="s">
        <v>124</v>
      </c>
      <c r="AF63" s="309"/>
      <c r="AG63" s="309"/>
      <c r="AH63" s="310"/>
    </row>
    <row r="64" spans="1:34" ht="15" customHeight="1" x14ac:dyDescent="0.25">
      <c r="A64" s="12"/>
      <c r="B64" s="71"/>
      <c r="C64" s="71"/>
      <c r="D64" s="71"/>
      <c r="E64" s="71"/>
      <c r="F64" s="71"/>
      <c r="G64" s="71"/>
      <c r="H64" s="86"/>
      <c r="I64" s="86"/>
      <c r="J64" s="86"/>
      <c r="K64" s="86"/>
      <c r="L64" s="86"/>
      <c r="M64" s="86"/>
      <c r="N64" s="86"/>
      <c r="O64" s="86"/>
      <c r="P64" s="86"/>
      <c r="Q64" s="293" t="s">
        <v>3</v>
      </c>
      <c r="R64" s="293"/>
      <c r="S64" s="293"/>
      <c r="T64" s="293"/>
      <c r="U64" s="293"/>
      <c r="V64" s="293"/>
      <c r="W64" s="293"/>
      <c r="X64" s="293"/>
      <c r="Y64" s="293" t="s">
        <v>4</v>
      </c>
      <c r="Z64" s="293"/>
      <c r="AA64" s="293"/>
      <c r="AB64" s="293" t="s">
        <v>5</v>
      </c>
      <c r="AC64" s="293"/>
      <c r="AD64" s="293"/>
      <c r="AE64" s="311"/>
      <c r="AF64" s="293"/>
      <c r="AG64" s="293"/>
      <c r="AH64" s="312"/>
    </row>
    <row r="65" spans="1:40" x14ac:dyDescent="0.25">
      <c r="A65" s="12"/>
      <c r="B65" s="71"/>
      <c r="C65" s="71"/>
      <c r="D65" s="71"/>
      <c r="E65" s="71"/>
      <c r="F65" s="71"/>
      <c r="G65" s="71"/>
      <c r="H65" s="206"/>
      <c r="I65" s="206"/>
      <c r="J65" s="206"/>
      <c r="K65" s="206" t="s">
        <v>6</v>
      </c>
      <c r="L65" s="206"/>
      <c r="M65" s="206"/>
      <c r="N65" s="206" t="s">
        <v>7</v>
      </c>
      <c r="O65" s="206"/>
      <c r="P65" s="206"/>
      <c r="Q65" s="293"/>
      <c r="R65" s="293"/>
      <c r="S65" s="293"/>
      <c r="T65" s="293"/>
      <c r="U65" s="293"/>
      <c r="V65" s="293"/>
      <c r="W65" s="293"/>
      <c r="X65" s="293"/>
      <c r="Y65" s="293"/>
      <c r="Z65" s="293"/>
      <c r="AA65" s="293"/>
      <c r="AB65" s="293"/>
      <c r="AC65" s="293"/>
      <c r="AD65" s="293"/>
      <c r="AE65" s="311"/>
      <c r="AF65" s="293"/>
      <c r="AG65" s="293"/>
      <c r="AH65" s="312"/>
    </row>
    <row r="66" spans="1:40" x14ac:dyDescent="0.25">
      <c r="A66" s="235" t="s">
        <v>8</v>
      </c>
      <c r="B66" s="236"/>
      <c r="C66" s="236"/>
      <c r="D66" s="172" t="s">
        <v>9</v>
      </c>
      <c r="E66" s="173"/>
      <c r="F66" s="173"/>
      <c r="G66" s="173"/>
      <c r="H66" s="173"/>
      <c r="I66" s="173"/>
      <c r="J66" s="174"/>
      <c r="K66" s="301">
        <f>C131</f>
        <v>217.85</v>
      </c>
      <c r="L66" s="301"/>
      <c r="M66" s="301"/>
      <c r="N66" s="301">
        <f>F131</f>
        <v>234.92</v>
      </c>
      <c r="O66" s="301"/>
      <c r="P66" s="301"/>
      <c r="Q66" s="287"/>
      <c r="R66" s="287"/>
      <c r="S66" s="287"/>
      <c r="T66" s="287"/>
      <c r="U66" s="287"/>
      <c r="V66" s="287"/>
      <c r="W66" s="287"/>
      <c r="X66" s="287"/>
      <c r="Y66" s="244">
        <f>IF(OR(Z10="",Q66=""),0,
IF(Q66=E120,C131,
IF(Q66=E121,C132,
IF(Q66=E122,C133,
IF(Q66=E123,F131,
IF(Q66=E124,F132,F133))))))</f>
        <v>0</v>
      </c>
      <c r="Z66" s="244"/>
      <c r="AA66" s="244"/>
      <c r="AB66" s="244">
        <f>IF(OR(Q66="",Z10="",),0,
IF(AND(Z10=A120,Y66&lt;(N66+1)),F137,
IF(AND(Z10=A120,Y66&gt;(K67-1),Y66&lt;(N67+1)),F138,
IF(AND(Z10=A120,Y66&gt;(K68-1)),F139,
IF(AND(Z10=A121,Y66&lt;(N66+1)),I137,
IF(AND(Z10=A121,Y66&gt;(K67-1),Y66&lt;(N67+1)),I138,
IF(AND(Z10=A121,Y66&gt;(K68-1)),I139,
IF(AND(Z10=A122,Y66&lt;(N66+1)),L137,
IF(AND(Z10=A122,Y66&gt;(K67-1),Y66&lt;(N67+1)),L138,
IF(AND(Z10=A122,Y66&gt;(K68-1)),L139,
IF(AND(Z10=A123,Y66&lt;(N66+1)),O137,
IF(AND(Z10=A123,Y66&gt;(K67-1),Y66&lt;(N67+1)),O138,
IF(AND(Z10=A123,Y66&gt;(K68-1)),O139,
IF(AND(Z10=A124,Y66&lt;(N66+1)),R137,
IF(AND(Z10=A124,Y66&gt;(K67-1),Y66&lt;(N67+1)),R138,
IF(AND(Z10=A124,Y66&gt;(K68-1)),R139,
IF(AND(Z10=A125,Y66&lt;(N66+1)),U137,
IF(AND(Z10=A125,Y66&gt;(K67-1),Y66&lt;(N67+1)),U138,
IF(AND(Z10=A125,Y66&gt;(K68-1)),U139,
IF(AND(Z10=A126,Y66&lt;(N66+1)),X137,
IF(AND(Z10=A126,Y66&gt;(K67-1),Y66&lt;(N67+1)),X138,X139)))))))))))))))))))))</f>
        <v>0</v>
      </c>
      <c r="AC66" s="244"/>
      <c r="AD66" s="244"/>
      <c r="AE66" s="244">
        <f>IF(OR(Z10="",Q66=""),0,IF(Y66-AB66&lt;=0,(Y66-AB66)*-1,Y66-AB66))</f>
        <v>0</v>
      </c>
      <c r="AF66" s="296"/>
      <c r="AG66" s="296"/>
      <c r="AH66" s="297"/>
    </row>
    <row r="67" spans="1:40" x14ac:dyDescent="0.25">
      <c r="A67" s="235"/>
      <c r="B67" s="236"/>
      <c r="C67" s="236"/>
      <c r="D67" s="172" t="s">
        <v>10</v>
      </c>
      <c r="E67" s="173"/>
      <c r="F67" s="173"/>
      <c r="G67" s="173"/>
      <c r="H67" s="173"/>
      <c r="I67" s="173"/>
      <c r="J67" s="174"/>
      <c r="K67" s="301">
        <f>C132</f>
        <v>445.85</v>
      </c>
      <c r="L67" s="301"/>
      <c r="M67" s="301"/>
      <c r="N67" s="301">
        <f>F132</f>
        <v>480</v>
      </c>
      <c r="O67" s="301"/>
      <c r="P67" s="301"/>
      <c r="Q67" s="287"/>
      <c r="R67" s="287"/>
      <c r="S67" s="287"/>
      <c r="T67" s="287"/>
      <c r="U67" s="287"/>
      <c r="V67" s="287"/>
      <c r="W67" s="287"/>
      <c r="X67" s="287"/>
      <c r="Y67" s="244"/>
      <c r="Z67" s="244"/>
      <c r="AA67" s="244"/>
      <c r="AB67" s="244"/>
      <c r="AC67" s="244"/>
      <c r="AD67" s="244"/>
      <c r="AE67" s="296"/>
      <c r="AF67" s="296"/>
      <c r="AG67" s="296"/>
      <c r="AH67" s="297"/>
    </row>
    <row r="68" spans="1:40" x14ac:dyDescent="0.25">
      <c r="A68" s="235"/>
      <c r="B68" s="236"/>
      <c r="C68" s="236"/>
      <c r="D68" s="172" t="s">
        <v>11</v>
      </c>
      <c r="E68" s="173"/>
      <c r="F68" s="173"/>
      <c r="G68" s="173"/>
      <c r="H68" s="173"/>
      <c r="I68" s="173"/>
      <c r="J68" s="174"/>
      <c r="K68" s="301">
        <f>C133</f>
        <v>655.38</v>
      </c>
      <c r="L68" s="301"/>
      <c r="M68" s="301"/>
      <c r="N68" s="301">
        <f>F133</f>
        <v>706.15</v>
      </c>
      <c r="O68" s="301"/>
      <c r="P68" s="301"/>
      <c r="Q68" s="287"/>
      <c r="R68" s="287"/>
      <c r="S68" s="287"/>
      <c r="T68" s="287"/>
      <c r="U68" s="287"/>
      <c r="V68" s="287"/>
      <c r="W68" s="287"/>
      <c r="X68" s="287"/>
      <c r="Y68" s="244"/>
      <c r="Z68" s="244"/>
      <c r="AA68" s="244"/>
      <c r="AB68" s="244"/>
      <c r="AC68" s="244"/>
      <c r="AD68" s="244"/>
      <c r="AE68" s="296"/>
      <c r="AF68" s="296"/>
      <c r="AG68" s="296"/>
      <c r="AH68" s="297"/>
    </row>
    <row r="69" spans="1:40" x14ac:dyDescent="0.25">
      <c r="A69" s="13"/>
      <c r="B69" s="14"/>
      <c r="C69" s="14"/>
      <c r="D69" s="86"/>
      <c r="E69" s="86"/>
      <c r="F69" s="86"/>
      <c r="G69" s="86"/>
      <c r="H69" s="96"/>
      <c r="I69" s="96"/>
      <c r="J69" s="96"/>
      <c r="K69" s="96"/>
      <c r="L69" s="96"/>
      <c r="M69" s="96"/>
      <c r="N69" s="96"/>
      <c r="O69" s="96"/>
      <c r="P69" s="96"/>
      <c r="Q69" s="15"/>
      <c r="R69" s="15"/>
      <c r="S69" s="15"/>
      <c r="T69" s="15"/>
      <c r="U69" s="15"/>
      <c r="V69" s="15"/>
      <c r="W69" s="15"/>
      <c r="X69" s="15"/>
      <c r="Y69" s="78"/>
      <c r="Z69" s="78"/>
      <c r="AA69" s="78"/>
      <c r="AB69" s="78"/>
      <c r="AC69" s="78"/>
      <c r="AD69" s="78"/>
      <c r="AE69" s="15"/>
      <c r="AF69" s="15"/>
      <c r="AG69" s="15"/>
      <c r="AH69" s="16"/>
    </row>
    <row r="70" spans="1:40" ht="15.75" thickBot="1" x14ac:dyDescent="0.3">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9"/>
      <c r="AF70" s="19"/>
      <c r="AG70" s="19"/>
      <c r="AH70" s="20"/>
      <c r="AI70" s="69"/>
      <c r="AJ70" s="69"/>
      <c r="AK70" s="69"/>
      <c r="AL70" s="69"/>
      <c r="AM70" s="69"/>
      <c r="AN70" s="69"/>
    </row>
    <row r="71" spans="1:40" ht="15.75" thickBot="1" x14ac:dyDescent="0.3">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21"/>
      <c r="AF71" s="21"/>
      <c r="AG71" s="21"/>
      <c r="AH71" s="21"/>
      <c r="AI71" s="69"/>
      <c r="AJ71" s="69"/>
      <c r="AK71" s="69"/>
      <c r="AL71" s="69"/>
      <c r="AM71" s="69"/>
      <c r="AN71" s="69"/>
    </row>
    <row r="72" spans="1:40" ht="15.75" x14ac:dyDescent="0.25">
      <c r="A72" s="252" t="s">
        <v>12</v>
      </c>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c r="AC72" s="253"/>
      <c r="AD72" s="253"/>
      <c r="AE72" s="253"/>
      <c r="AF72" s="253"/>
      <c r="AG72" s="253"/>
      <c r="AH72" s="254"/>
      <c r="AI72" s="69"/>
      <c r="AJ72" s="69"/>
      <c r="AK72" s="69"/>
      <c r="AL72" s="69"/>
      <c r="AM72" s="69"/>
      <c r="AN72" s="69"/>
    </row>
    <row r="73" spans="1:40" ht="15.75" x14ac:dyDescent="0.25">
      <c r="A73" s="22"/>
      <c r="B73" s="23"/>
      <c r="C73" s="23"/>
      <c r="D73" s="23"/>
      <c r="E73" s="23"/>
      <c r="F73" s="23"/>
      <c r="G73" s="23"/>
      <c r="H73" s="23"/>
      <c r="I73" s="23"/>
      <c r="J73" s="23"/>
      <c r="K73" s="23"/>
      <c r="L73" s="23"/>
      <c r="M73" s="23"/>
      <c r="N73" s="23"/>
      <c r="O73" s="23"/>
      <c r="P73" s="23"/>
      <c r="Q73" s="23"/>
      <c r="R73" s="23"/>
      <c r="S73" s="23"/>
      <c r="T73" s="23"/>
      <c r="U73" s="23"/>
      <c r="V73" s="23"/>
      <c r="W73" s="23"/>
      <c r="X73" s="23"/>
      <c r="Y73" s="71"/>
      <c r="Z73" s="23"/>
      <c r="AA73" s="23"/>
      <c r="AB73" s="23"/>
      <c r="AC73" s="23"/>
      <c r="AD73" s="23"/>
      <c r="AE73" s="23"/>
      <c r="AF73" s="23"/>
      <c r="AG73" s="23"/>
      <c r="AH73" s="24"/>
      <c r="AI73" s="69"/>
      <c r="AJ73" s="69"/>
      <c r="AK73" s="69"/>
      <c r="AL73" s="69"/>
      <c r="AM73" s="69"/>
      <c r="AN73" s="69"/>
    </row>
    <row r="74" spans="1:40" x14ac:dyDescent="0.25">
      <c r="A74" s="12"/>
      <c r="B74" s="71"/>
      <c r="C74" s="71"/>
      <c r="D74" s="71"/>
      <c r="E74" s="71"/>
      <c r="F74" s="71"/>
      <c r="G74" s="71"/>
      <c r="H74" s="71"/>
      <c r="I74" s="71"/>
      <c r="J74" s="71"/>
      <c r="K74" s="71"/>
      <c r="L74" s="71"/>
      <c r="M74" s="71"/>
      <c r="N74" s="71"/>
      <c r="O74" s="71"/>
      <c r="P74" s="71"/>
      <c r="Q74" s="71"/>
      <c r="R74" s="71"/>
      <c r="S74" s="71"/>
      <c r="T74" s="298" t="s">
        <v>13</v>
      </c>
      <c r="U74" s="298"/>
      <c r="V74" s="298"/>
      <c r="W74" s="298"/>
      <c r="X74" s="298"/>
      <c r="Y74" s="298"/>
      <c r="Z74" s="298"/>
      <c r="AA74" s="298"/>
      <c r="AB74" s="298"/>
      <c r="AC74" s="298"/>
      <c r="AD74" s="298"/>
      <c r="AE74" s="299">
        <f>IF(OR(Z10="",Q78=""),0,
IF(AND(Z10=A120,AE78&lt;(N78+1)),F143,
IF(AND(Z10=A120,AE78&gt;(K79-1),AE78&lt;(N79+1)),F144,
IF(AND(Z10=A120,AE78&gt;(K80-1)),F145,
IF(AND(Z10=A121,AE78&lt;(N78+1)),I143,
IF(AND(Z10=A121,AE78&gt;(K79-1),AE78&lt;(N79+1)),I144,
IF(AND(Z10=A121,AE78&gt;(K80-1)),I145,
IF(AND(Z10=A122,AE78&lt;(N78+1)),L143,
IF(AND(Z10=A122,AE78&gt;(K79-1),AE78&lt;(N79+1)),L144,
IF(AND(Z10=A122,AE78&gt;(K80-1)),L145,
IF(AND(Z10=A123,AE78&lt;(N78+1)),O143,
IF(AND(Z10=A123,AE78&gt;(K79-1),AE78&lt;(N79+1)),O144,
IF(AND(Z10=A123,AE78&gt;(K80-1)),O145,
IF(AND(Z10=A124,AE78&lt;(N78+1)),R143,
IF(AND(Z10=A124,AE78&gt;(K79-1),AE78&lt;(N79+1)),R144,
IF(AND(Z10=A124,AE78&gt;(K80-1)),R145,
IF(AND(Z10=A125,AE78&lt;(N78+1)),U143,
IF(AND(Z10=A125,AE78&gt;(K79-1),AE78&lt;(N79+1)),U144,
IF(AND(Z10=A125,AE78&gt;(K80-1)),U145,
IF(AND(Z10=A126,AE78&lt;(N78+1)),X143,
IF(AND(Z10=A126,AE78&gt;(K79-1),AE78&lt;(N79+1)),X144,X145)))))))))))))))))))))</f>
        <v>0</v>
      </c>
      <c r="AF74" s="299"/>
      <c r="AG74" s="299"/>
      <c r="AH74" s="300"/>
      <c r="AI74" s="69"/>
      <c r="AJ74" s="69"/>
      <c r="AK74" s="69"/>
      <c r="AL74" s="69"/>
      <c r="AM74" s="69"/>
      <c r="AN74" s="69"/>
    </row>
    <row r="75" spans="1:40" x14ac:dyDescent="0.25">
      <c r="A75" s="12"/>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90"/>
      <c r="AF75" s="71"/>
      <c r="AG75" s="71"/>
      <c r="AH75" s="24"/>
      <c r="AI75" s="69"/>
      <c r="AJ75" s="69"/>
      <c r="AK75" s="69"/>
      <c r="AL75" s="185"/>
      <c r="AM75" s="185"/>
      <c r="AN75" s="185"/>
    </row>
    <row r="76" spans="1:40" ht="15" customHeight="1" x14ac:dyDescent="0.25">
      <c r="A76" s="12"/>
      <c r="B76" s="71"/>
      <c r="C76" s="71"/>
      <c r="D76" s="71"/>
      <c r="E76" s="71"/>
      <c r="F76" s="71"/>
      <c r="G76" s="71"/>
      <c r="H76" s="71"/>
      <c r="I76" s="71"/>
      <c r="J76" s="71"/>
      <c r="K76" s="86"/>
      <c r="L76" s="86"/>
      <c r="M76" s="86"/>
      <c r="N76" s="86"/>
      <c r="O76" s="86"/>
      <c r="P76" s="86"/>
      <c r="Q76" s="293" t="s">
        <v>14</v>
      </c>
      <c r="R76" s="293"/>
      <c r="S76" s="293"/>
      <c r="T76" s="293"/>
      <c r="U76" s="293"/>
      <c r="V76" s="293"/>
      <c r="W76" s="293"/>
      <c r="X76" s="293"/>
      <c r="Y76" s="293"/>
      <c r="Z76" s="293"/>
      <c r="AA76" s="293"/>
      <c r="AB76" s="293"/>
      <c r="AC76" s="293"/>
      <c r="AD76" s="293"/>
      <c r="AE76" s="294" t="s">
        <v>4</v>
      </c>
      <c r="AF76" s="294"/>
      <c r="AG76" s="294"/>
      <c r="AH76" s="295"/>
      <c r="AI76" s="69"/>
      <c r="AJ76" s="69"/>
      <c r="AK76" s="69"/>
      <c r="AL76" s="225"/>
      <c r="AM76" s="225"/>
      <c r="AN76" s="225"/>
    </row>
    <row r="77" spans="1:40" x14ac:dyDescent="0.25">
      <c r="A77" s="12"/>
      <c r="B77" s="71"/>
      <c r="C77" s="71"/>
      <c r="D77" s="71"/>
      <c r="E77" s="71"/>
      <c r="F77" s="71"/>
      <c r="G77" s="71"/>
      <c r="H77" s="71"/>
      <c r="I77" s="71"/>
      <c r="J77" s="71"/>
      <c r="K77" s="206" t="s">
        <v>6</v>
      </c>
      <c r="L77" s="206"/>
      <c r="M77" s="206"/>
      <c r="N77" s="206" t="s">
        <v>7</v>
      </c>
      <c r="O77" s="206"/>
      <c r="P77" s="206"/>
      <c r="Q77" s="293"/>
      <c r="R77" s="293"/>
      <c r="S77" s="293"/>
      <c r="T77" s="293"/>
      <c r="U77" s="293"/>
      <c r="V77" s="293"/>
      <c r="W77" s="293"/>
      <c r="X77" s="293"/>
      <c r="Y77" s="293"/>
      <c r="Z77" s="293"/>
      <c r="AA77" s="293"/>
      <c r="AB77" s="293"/>
      <c r="AC77" s="293"/>
      <c r="AD77" s="293"/>
      <c r="AE77" s="294"/>
      <c r="AF77" s="294"/>
      <c r="AG77" s="294"/>
      <c r="AH77" s="295"/>
      <c r="AI77" s="69"/>
      <c r="AJ77" s="69"/>
      <c r="AK77" s="69"/>
      <c r="AL77" s="225"/>
      <c r="AM77" s="225"/>
      <c r="AN77" s="225"/>
    </row>
    <row r="78" spans="1:40" x14ac:dyDescent="0.25">
      <c r="A78" s="235" t="s">
        <v>15</v>
      </c>
      <c r="B78" s="236"/>
      <c r="C78" s="236"/>
      <c r="D78" s="172" t="s">
        <v>9</v>
      </c>
      <c r="E78" s="173"/>
      <c r="F78" s="173"/>
      <c r="G78" s="173"/>
      <c r="H78" s="173"/>
      <c r="I78" s="173"/>
      <c r="J78" s="174"/>
      <c r="K78" s="291">
        <f>I131</f>
        <v>22.11</v>
      </c>
      <c r="L78" s="291"/>
      <c r="M78" s="291"/>
      <c r="N78" s="291">
        <f>L131</f>
        <v>28.34</v>
      </c>
      <c r="O78" s="291"/>
      <c r="P78" s="291"/>
      <c r="Q78" s="287"/>
      <c r="R78" s="287"/>
      <c r="S78" s="287"/>
      <c r="T78" s="287"/>
      <c r="U78" s="287"/>
      <c r="V78" s="287"/>
      <c r="W78" s="287"/>
      <c r="X78" s="287"/>
      <c r="Y78" s="287"/>
      <c r="Z78" s="287"/>
      <c r="AA78" s="287"/>
      <c r="AB78" s="287"/>
      <c r="AC78" s="287"/>
      <c r="AD78" s="287"/>
      <c r="AE78" s="244">
        <f>IF(Q78="",0,
IF(Q78=N120,I131,
IF(Q78=N121,I132,
IF(Q78=N122,I133,
IF(Q78=N123,L131,
IF(Q78=N124,L132,L133))))))</f>
        <v>0</v>
      </c>
      <c r="AF78" s="244"/>
      <c r="AG78" s="244"/>
      <c r="AH78" s="245"/>
      <c r="AI78" s="69"/>
      <c r="AJ78" s="69"/>
      <c r="AK78" s="69"/>
      <c r="AL78" s="225"/>
      <c r="AM78" s="225"/>
      <c r="AN78" s="225"/>
    </row>
    <row r="79" spans="1:40" x14ac:dyDescent="0.25">
      <c r="A79" s="235"/>
      <c r="B79" s="236"/>
      <c r="C79" s="236"/>
      <c r="D79" s="172" t="s">
        <v>10</v>
      </c>
      <c r="E79" s="173"/>
      <c r="F79" s="173"/>
      <c r="G79" s="173"/>
      <c r="H79" s="173"/>
      <c r="I79" s="173"/>
      <c r="J79" s="174"/>
      <c r="K79" s="291">
        <f t="shared" ref="K79:K80" si="0">I132</f>
        <v>38.4</v>
      </c>
      <c r="L79" s="291"/>
      <c r="M79" s="291"/>
      <c r="N79" s="291">
        <f t="shared" ref="N79:N80" si="1">L132</f>
        <v>49.25</v>
      </c>
      <c r="O79" s="291"/>
      <c r="P79" s="291"/>
      <c r="Q79" s="287"/>
      <c r="R79" s="287"/>
      <c r="S79" s="287"/>
      <c r="T79" s="287"/>
      <c r="U79" s="287"/>
      <c r="V79" s="287"/>
      <c r="W79" s="287"/>
      <c r="X79" s="287"/>
      <c r="Y79" s="287"/>
      <c r="Z79" s="287"/>
      <c r="AA79" s="287"/>
      <c r="AB79" s="287"/>
      <c r="AC79" s="287"/>
      <c r="AD79" s="287"/>
      <c r="AE79" s="244"/>
      <c r="AF79" s="244"/>
      <c r="AG79" s="244"/>
      <c r="AH79" s="245"/>
      <c r="AI79" s="69"/>
      <c r="AJ79" s="69"/>
      <c r="AK79" s="69"/>
      <c r="AL79" s="154"/>
      <c r="AM79" s="154"/>
      <c r="AN79" s="154"/>
    </row>
    <row r="80" spans="1:40" x14ac:dyDescent="0.25">
      <c r="A80" s="282"/>
      <c r="B80" s="283"/>
      <c r="C80" s="283"/>
      <c r="D80" s="172" t="s">
        <v>11</v>
      </c>
      <c r="E80" s="173"/>
      <c r="F80" s="173"/>
      <c r="G80" s="173"/>
      <c r="H80" s="173"/>
      <c r="I80" s="173"/>
      <c r="J80" s="174"/>
      <c r="K80" s="292">
        <f t="shared" si="0"/>
        <v>62.31</v>
      </c>
      <c r="L80" s="292"/>
      <c r="M80" s="292"/>
      <c r="N80" s="292">
        <f t="shared" si="1"/>
        <v>79.94</v>
      </c>
      <c r="O80" s="292"/>
      <c r="P80" s="292"/>
      <c r="Q80" s="288"/>
      <c r="R80" s="288"/>
      <c r="S80" s="288"/>
      <c r="T80" s="288"/>
      <c r="U80" s="288"/>
      <c r="V80" s="288"/>
      <c r="W80" s="288"/>
      <c r="X80" s="288"/>
      <c r="Y80" s="288"/>
      <c r="Z80" s="288"/>
      <c r="AA80" s="288"/>
      <c r="AB80" s="288"/>
      <c r="AC80" s="288"/>
      <c r="AD80" s="288"/>
      <c r="AE80" s="285"/>
      <c r="AF80" s="285"/>
      <c r="AG80" s="285"/>
      <c r="AH80" s="290"/>
      <c r="AI80" s="69"/>
      <c r="AJ80" s="69"/>
      <c r="AK80" s="69"/>
      <c r="AL80" s="225"/>
      <c r="AM80" s="225"/>
      <c r="AN80" s="225"/>
    </row>
    <row r="81" spans="1:40" s="71" customFormat="1" x14ac:dyDescent="0.25">
      <c r="A81" s="76"/>
      <c r="B81" s="77"/>
      <c r="C81" s="77"/>
      <c r="D81" s="25"/>
      <c r="E81" s="25"/>
      <c r="F81" s="25"/>
      <c r="G81" s="25"/>
      <c r="H81" s="93"/>
      <c r="I81" s="93"/>
      <c r="J81" s="93"/>
      <c r="K81" s="92"/>
      <c r="L81" s="92"/>
      <c r="M81" s="92"/>
      <c r="N81" s="92"/>
      <c r="O81" s="92"/>
      <c r="P81" s="92"/>
      <c r="Q81" s="26"/>
      <c r="R81" s="26"/>
      <c r="S81" s="26"/>
      <c r="T81" s="26"/>
      <c r="U81" s="26"/>
      <c r="V81" s="26"/>
      <c r="W81" s="26"/>
      <c r="X81" s="26"/>
      <c r="Y81" s="26"/>
      <c r="Z81" s="26"/>
      <c r="AA81" s="26"/>
      <c r="AB81" s="26"/>
      <c r="AC81" s="26"/>
      <c r="AD81" s="26"/>
      <c r="AE81" s="72"/>
      <c r="AF81" s="72"/>
      <c r="AG81" s="72"/>
      <c r="AH81" s="73"/>
    </row>
    <row r="82" spans="1:40" x14ac:dyDescent="0.25">
      <c r="A82" s="281" t="s">
        <v>16</v>
      </c>
      <c r="B82" s="237"/>
      <c r="C82" s="237"/>
      <c r="D82" s="172" t="s">
        <v>9</v>
      </c>
      <c r="E82" s="173"/>
      <c r="F82" s="173"/>
      <c r="G82" s="173"/>
      <c r="H82" s="173"/>
      <c r="I82" s="173"/>
      <c r="J82" s="174"/>
      <c r="K82" s="284">
        <f>O131</f>
        <v>4.8499999999999996</v>
      </c>
      <c r="L82" s="284"/>
      <c r="M82" s="284"/>
      <c r="N82" s="284">
        <f>R131</f>
        <v>8.73</v>
      </c>
      <c r="O82" s="284"/>
      <c r="P82" s="284"/>
      <c r="Q82" s="286"/>
      <c r="R82" s="286"/>
      <c r="S82" s="286"/>
      <c r="T82" s="286"/>
      <c r="U82" s="286"/>
      <c r="V82" s="286"/>
      <c r="W82" s="286"/>
      <c r="X82" s="286"/>
      <c r="Y82" s="286"/>
      <c r="Z82" s="286"/>
      <c r="AA82" s="286"/>
      <c r="AB82" s="286"/>
      <c r="AC82" s="286"/>
      <c r="AD82" s="286"/>
      <c r="AE82" s="284">
        <f>IF(Q82="",0,IF(OR(Q82=X120,Q82=X121,Q82=X122),O131,R131))</f>
        <v>0</v>
      </c>
      <c r="AF82" s="284"/>
      <c r="AG82" s="284"/>
      <c r="AH82" s="289"/>
      <c r="AI82" s="69"/>
      <c r="AJ82" s="69"/>
      <c r="AK82" s="69"/>
      <c r="AL82" s="225"/>
      <c r="AM82" s="225"/>
      <c r="AN82" s="225"/>
    </row>
    <row r="83" spans="1:40" x14ac:dyDescent="0.25">
      <c r="A83" s="235"/>
      <c r="B83" s="236"/>
      <c r="C83" s="236"/>
      <c r="D83" s="172" t="s">
        <v>10</v>
      </c>
      <c r="E83" s="173"/>
      <c r="F83" s="173"/>
      <c r="G83" s="173"/>
      <c r="H83" s="173"/>
      <c r="I83" s="173"/>
      <c r="J83" s="174"/>
      <c r="K83" s="244"/>
      <c r="L83" s="244"/>
      <c r="M83" s="244"/>
      <c r="N83" s="244"/>
      <c r="O83" s="244"/>
      <c r="P83" s="244"/>
      <c r="Q83" s="287"/>
      <c r="R83" s="287"/>
      <c r="S83" s="287"/>
      <c r="T83" s="287"/>
      <c r="U83" s="287"/>
      <c r="V83" s="287"/>
      <c r="W83" s="287"/>
      <c r="X83" s="287"/>
      <c r="Y83" s="287"/>
      <c r="Z83" s="287"/>
      <c r="AA83" s="287"/>
      <c r="AB83" s="287"/>
      <c r="AC83" s="287"/>
      <c r="AD83" s="287"/>
      <c r="AE83" s="244"/>
      <c r="AF83" s="244"/>
      <c r="AG83" s="244"/>
      <c r="AH83" s="245"/>
      <c r="AI83" s="69"/>
      <c r="AJ83" s="69"/>
      <c r="AK83" s="69"/>
      <c r="AL83" s="225"/>
      <c r="AM83" s="225"/>
      <c r="AN83" s="225"/>
    </row>
    <row r="84" spans="1:40" x14ac:dyDescent="0.25">
      <c r="A84" s="282"/>
      <c r="B84" s="283"/>
      <c r="C84" s="283"/>
      <c r="D84" s="172" t="s">
        <v>11</v>
      </c>
      <c r="E84" s="173"/>
      <c r="F84" s="173"/>
      <c r="G84" s="173"/>
      <c r="H84" s="173"/>
      <c r="I84" s="173"/>
      <c r="J84" s="174"/>
      <c r="K84" s="285"/>
      <c r="L84" s="285"/>
      <c r="M84" s="285"/>
      <c r="N84" s="285"/>
      <c r="O84" s="285"/>
      <c r="P84" s="285"/>
      <c r="Q84" s="288"/>
      <c r="R84" s="288"/>
      <c r="S84" s="288"/>
      <c r="T84" s="288"/>
      <c r="U84" s="288"/>
      <c r="V84" s="288"/>
      <c r="W84" s="288"/>
      <c r="X84" s="288"/>
      <c r="Y84" s="288"/>
      <c r="Z84" s="288"/>
      <c r="AA84" s="288"/>
      <c r="AB84" s="288"/>
      <c r="AC84" s="288"/>
      <c r="AD84" s="288"/>
      <c r="AE84" s="285"/>
      <c r="AF84" s="285"/>
      <c r="AG84" s="285"/>
      <c r="AH84" s="290"/>
      <c r="AI84" s="69"/>
      <c r="AJ84" s="69"/>
      <c r="AK84" s="69"/>
      <c r="AL84" s="225"/>
      <c r="AM84" s="225"/>
      <c r="AN84" s="225"/>
    </row>
    <row r="85" spans="1:40" s="71" customFormat="1" x14ac:dyDescent="0.25">
      <c r="A85" s="74"/>
      <c r="B85" s="75"/>
      <c r="C85" s="75"/>
      <c r="D85" s="27"/>
      <c r="E85" s="27"/>
      <c r="F85" s="27"/>
      <c r="G85" s="27"/>
      <c r="H85" s="88"/>
      <c r="I85" s="88"/>
      <c r="J85" s="88"/>
      <c r="K85" s="81"/>
      <c r="L85" s="81"/>
      <c r="M85" s="81"/>
      <c r="N85" s="81"/>
      <c r="O85" s="81"/>
      <c r="P85" s="81"/>
      <c r="Q85" s="82"/>
      <c r="R85" s="82"/>
      <c r="S85" s="82"/>
      <c r="T85" s="82"/>
      <c r="U85" s="82"/>
      <c r="V85" s="82"/>
      <c r="W85" s="82"/>
      <c r="X85" s="82"/>
      <c r="Y85" s="82"/>
      <c r="Z85" s="82"/>
      <c r="AA85" s="82"/>
      <c r="AB85" s="82"/>
      <c r="AC85" s="82"/>
      <c r="AD85" s="82"/>
      <c r="AE85" s="81"/>
      <c r="AF85" s="81"/>
      <c r="AG85" s="81"/>
      <c r="AH85" s="28"/>
    </row>
    <row r="86" spans="1:40" s="71" customFormat="1" x14ac:dyDescent="0.25">
      <c r="A86" s="275" t="s">
        <v>17</v>
      </c>
      <c r="B86" s="276"/>
      <c r="C86" s="277"/>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278" t="str">
        <f>IF(Z10=A122,9,IF(OR(Z10="",AD10=""),"",ROUND(((ROUND(ROUND(MINA(ROUND(AD10/12,2),W151),0)*M160/100,2))+(ROUND(ROUND(MINA(ROUND(AD10/12,2),Z150),0)*M159/100,2)))*12/26,2)))</f>
        <v/>
      </c>
      <c r="AF86" s="279"/>
      <c r="AG86" s="279"/>
      <c r="AH86" s="280"/>
      <c r="AL86" s="154"/>
      <c r="AM86" s="154"/>
      <c r="AN86" s="154"/>
    </row>
    <row r="87" spans="1:40" s="71" customFormat="1" x14ac:dyDescent="0.25">
      <c r="A87" s="262" t="s">
        <v>20</v>
      </c>
      <c r="B87" s="276"/>
      <c r="C87" s="277"/>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4"/>
      <c r="AE87" s="278" t="str">
        <f>IF(OR(Z10="",AD10=""),"",
ROUND((ROUND(MINA(AD10,50000)*(C168),2)+ROUND(MINA(AD10,50000)*(C169),2))*12/26,2))</f>
        <v/>
      </c>
      <c r="AF87" s="279"/>
      <c r="AG87" s="279"/>
      <c r="AH87" s="280"/>
    </row>
    <row r="88" spans="1:40" s="71" customFormat="1" x14ac:dyDescent="0.25">
      <c r="A88" s="13"/>
      <c r="B88" s="14"/>
      <c r="C88" s="14"/>
      <c r="T88" s="259" t="s">
        <v>120</v>
      </c>
      <c r="U88" s="260"/>
      <c r="V88" s="260"/>
      <c r="W88" s="260"/>
      <c r="X88" s="260"/>
      <c r="Y88" s="260"/>
      <c r="Z88" s="260"/>
      <c r="AA88" s="260"/>
      <c r="AB88" s="260"/>
      <c r="AC88" s="260"/>
      <c r="AD88" s="261"/>
      <c r="AE88" s="246">
        <f>IF(OR(Z10="",AD10=""),0,(AE78+AE82+AE86+AE87))</f>
        <v>0</v>
      </c>
      <c r="AF88" s="247"/>
      <c r="AG88" s="247"/>
      <c r="AH88" s="248"/>
    </row>
    <row r="89" spans="1:40" s="71" customFormat="1" x14ac:dyDescent="0.25">
      <c r="A89" s="13"/>
      <c r="B89" s="14"/>
      <c r="C89" s="14"/>
      <c r="T89" s="259" t="s">
        <v>13</v>
      </c>
      <c r="U89" s="260"/>
      <c r="V89" s="260"/>
      <c r="W89" s="260"/>
      <c r="X89" s="260"/>
      <c r="Y89" s="260"/>
      <c r="Z89" s="260"/>
      <c r="AA89" s="260"/>
      <c r="AB89" s="260"/>
      <c r="AC89" s="260"/>
      <c r="AD89" s="261"/>
      <c r="AE89" s="270">
        <f>IF(AE74="",0,AE74)</f>
        <v>0</v>
      </c>
      <c r="AF89" s="270"/>
      <c r="AG89" s="270"/>
      <c r="AH89" s="271"/>
    </row>
    <row r="90" spans="1:40" s="71" customFormat="1" ht="15.75" thickBot="1" x14ac:dyDescent="0.3">
      <c r="A90" s="107"/>
      <c r="B90" s="108"/>
      <c r="C90" s="108"/>
      <c r="D90" s="18"/>
      <c r="E90" s="18"/>
      <c r="F90" s="18"/>
      <c r="G90" s="18"/>
      <c r="H90" s="18"/>
      <c r="I90" s="18"/>
      <c r="J90" s="18"/>
      <c r="K90" s="18"/>
      <c r="L90" s="18"/>
      <c r="M90" s="18"/>
      <c r="N90" s="18"/>
      <c r="O90" s="18"/>
      <c r="P90" s="18"/>
      <c r="Q90" s="18"/>
      <c r="R90" s="18"/>
      <c r="S90" s="18"/>
      <c r="T90" s="249" t="s">
        <v>119</v>
      </c>
      <c r="U90" s="250"/>
      <c r="V90" s="250"/>
      <c r="W90" s="250"/>
      <c r="X90" s="250"/>
      <c r="Y90" s="250"/>
      <c r="Z90" s="250"/>
      <c r="AA90" s="250"/>
      <c r="AB90" s="250"/>
      <c r="AC90" s="250"/>
      <c r="AD90" s="251"/>
      <c r="AE90" s="272">
        <f>IF(AE89="","",IF(AE88-AE89&lt;0,0,AE88-AE89))</f>
        <v>0</v>
      </c>
      <c r="AF90" s="273"/>
      <c r="AG90" s="273"/>
      <c r="AH90" s="274"/>
    </row>
    <row r="91" spans="1:40" s="71" customFormat="1" ht="15.75" thickBot="1" x14ac:dyDescent="0.3">
      <c r="A91" s="14"/>
      <c r="B91" s="14"/>
      <c r="C91" s="14"/>
      <c r="T91" s="70"/>
      <c r="U91" s="70"/>
      <c r="V91" s="70"/>
      <c r="W91" s="70"/>
      <c r="X91" s="70"/>
      <c r="Y91" s="70"/>
      <c r="Z91" s="70"/>
      <c r="AA91" s="70"/>
      <c r="AB91" s="70"/>
      <c r="AC91" s="70"/>
      <c r="AD91" s="70"/>
      <c r="AE91" s="79"/>
      <c r="AF91" s="80"/>
      <c r="AG91" s="80"/>
      <c r="AH91" s="80"/>
    </row>
    <row r="92" spans="1:40" s="71" customFormat="1" ht="15.75" x14ac:dyDescent="0.25">
      <c r="A92" s="252" t="s">
        <v>145</v>
      </c>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c r="AC92" s="253"/>
      <c r="AD92" s="253"/>
      <c r="AE92" s="253"/>
      <c r="AF92" s="253"/>
      <c r="AG92" s="253"/>
      <c r="AH92" s="254"/>
    </row>
    <row r="93" spans="1:40" s="71" customFormat="1" x14ac:dyDescent="0.25">
      <c r="A93" s="275" t="s">
        <v>18</v>
      </c>
      <c r="B93" s="276"/>
      <c r="C93" s="276"/>
      <c r="D93" s="276"/>
      <c r="E93" s="276"/>
      <c r="F93" s="276"/>
      <c r="G93" s="277"/>
      <c r="H93" s="420"/>
      <c r="I93" s="421"/>
      <c r="J93" s="421"/>
      <c r="K93" s="422"/>
      <c r="L93" s="419" t="s">
        <v>19</v>
      </c>
      <c r="M93" s="242"/>
      <c r="N93" s="242"/>
      <c r="O93" s="93"/>
      <c r="P93" s="93"/>
      <c r="Q93" s="93"/>
      <c r="R93" s="93"/>
      <c r="S93" s="93"/>
      <c r="T93" s="93"/>
      <c r="U93" s="93"/>
      <c r="V93" s="93"/>
      <c r="W93" s="93"/>
      <c r="X93" s="93"/>
      <c r="Y93" s="93"/>
      <c r="Z93" s="93"/>
      <c r="AA93" s="93"/>
      <c r="AB93" s="93"/>
      <c r="AC93" s="93"/>
      <c r="AD93" s="94"/>
      <c r="AE93" s="278">
        <f>IF(Z10=A122,0,IF(OR(Z10="",AD10=""),0,IF(H93="",0,
ROUND(((ROUND(ROUND(MINA(ROUND(AD10/12,2),Z154),0)*M163/100,2))+(ROUND(ROUND(MINA(ROUND(AD10/12,2),W155),0)*M164/100,2)))*12/26,2))))</f>
        <v>0</v>
      </c>
      <c r="AF93" s="279"/>
      <c r="AG93" s="279"/>
      <c r="AH93" s="280"/>
    </row>
    <row r="94" spans="1:40" s="71" customFormat="1" x14ac:dyDescent="0.25">
      <c r="A94" s="235" t="s">
        <v>21</v>
      </c>
      <c r="B94" s="236"/>
      <c r="C94" s="236"/>
      <c r="D94" s="236"/>
      <c r="E94" s="236"/>
      <c r="F94" s="236"/>
      <c r="G94" s="236"/>
      <c r="H94" s="236"/>
      <c r="I94" s="262"/>
      <c r="J94" s="263" t="s">
        <v>22</v>
      </c>
      <c r="K94" s="263"/>
      <c r="L94" s="263"/>
      <c r="M94" s="263"/>
      <c r="N94" s="264"/>
      <c r="O94" s="264"/>
      <c r="P94" s="264"/>
      <c r="Q94" s="268" t="s">
        <v>24</v>
      </c>
      <c r="R94" s="263"/>
      <c r="S94" s="263"/>
      <c r="T94" s="263"/>
      <c r="U94" s="263"/>
      <c r="V94" s="263"/>
      <c r="W94" s="263"/>
      <c r="X94" s="269"/>
      <c r="Y94" s="269"/>
      <c r="Z94" s="269"/>
      <c r="AA94" s="269"/>
      <c r="AB94" s="269"/>
      <c r="AC94" s="269"/>
      <c r="AD94" s="269"/>
      <c r="AE94" s="244">
        <f>IF(OR(N94="",X94=""),0,
IF(X94=A188,D188,
IF(X94=A189,D189,
IF(X94=A190,D190,
IF(X94=A191,D191,
IF(X94=A192,D192,
IF(X94=A193,D193,
)))))))</f>
        <v>0</v>
      </c>
      <c r="AF94" s="244"/>
      <c r="AG94" s="244"/>
      <c r="AH94" s="245"/>
    </row>
    <row r="95" spans="1:40" s="71" customFormat="1" x14ac:dyDescent="0.25">
      <c r="A95" s="235" t="s">
        <v>25</v>
      </c>
      <c r="B95" s="236"/>
      <c r="C95" s="236"/>
      <c r="D95" s="236"/>
      <c r="E95" s="236"/>
      <c r="F95" s="236"/>
      <c r="G95" s="236"/>
      <c r="H95" s="236"/>
      <c r="I95" s="262"/>
      <c r="J95" s="263" t="s">
        <v>26</v>
      </c>
      <c r="K95" s="263"/>
      <c r="L95" s="263"/>
      <c r="M95" s="263"/>
      <c r="N95" s="264"/>
      <c r="O95" s="264"/>
      <c r="P95" s="264"/>
      <c r="Q95" s="265" t="s">
        <v>24</v>
      </c>
      <c r="R95" s="266"/>
      <c r="S95" s="266"/>
      <c r="T95" s="266"/>
      <c r="U95" s="266"/>
      <c r="V95" s="266"/>
      <c r="W95" s="266"/>
      <c r="X95" s="267"/>
      <c r="Y95" s="267"/>
      <c r="Z95" s="267"/>
      <c r="AA95" s="267"/>
      <c r="AB95" s="267"/>
      <c r="AC95" s="267"/>
      <c r="AD95" s="267"/>
      <c r="AE95" s="244">
        <f>IF(OR(AE94=0,N95="",X95=""),0,
IF(X94/X95&lt;2,0,
IF(X95=H188,K188,
IF(X95=H189,K189,
IF(X95=H190,K190,
IF(X95=H191,K191,
IF(X95=H192,K192,
IF(X95=H193,K193,
))))))))</f>
        <v>0</v>
      </c>
      <c r="AF95" s="244"/>
      <c r="AG95" s="244"/>
      <c r="AH95" s="245"/>
    </row>
    <row r="96" spans="1:40" s="71" customFormat="1" x14ac:dyDescent="0.25">
      <c r="A96" s="235" t="s">
        <v>27</v>
      </c>
      <c r="B96" s="236"/>
      <c r="C96" s="236"/>
      <c r="D96" s="236"/>
      <c r="E96" s="236"/>
      <c r="F96" s="236"/>
      <c r="G96" s="236"/>
      <c r="H96" s="236"/>
      <c r="I96" s="236"/>
      <c r="J96" s="237"/>
      <c r="K96" s="238"/>
      <c r="L96" s="238"/>
      <c r="M96" s="239"/>
      <c r="N96" s="240" t="s">
        <v>19</v>
      </c>
      <c r="O96" s="241"/>
      <c r="P96" s="241"/>
      <c r="Q96" s="242"/>
      <c r="R96" s="242"/>
      <c r="S96" s="242"/>
      <c r="T96" s="242"/>
      <c r="U96" s="242"/>
      <c r="V96" s="242"/>
      <c r="W96" s="242"/>
      <c r="X96" s="242"/>
      <c r="Y96" s="242"/>
      <c r="Z96" s="242"/>
      <c r="AA96" s="242"/>
      <c r="AB96" s="242"/>
      <c r="AC96" s="242"/>
      <c r="AD96" s="243"/>
      <c r="AE96" s="244">
        <f>IF(OR(AE94=0,K96=""),0,IF(K96="Yes",0.92))</f>
        <v>0</v>
      </c>
      <c r="AF96" s="244"/>
      <c r="AG96" s="244"/>
      <c r="AH96" s="245"/>
    </row>
    <row r="97" spans="1:40" s="71" customFormat="1" ht="15.75" thickBot="1" x14ac:dyDescent="0.3">
      <c r="A97" s="255" t="s">
        <v>28</v>
      </c>
      <c r="B97" s="256"/>
      <c r="C97" s="256"/>
      <c r="D97" s="256"/>
      <c r="E97" s="256"/>
      <c r="F97" s="256"/>
      <c r="G97" s="256"/>
      <c r="H97" s="256"/>
      <c r="I97" s="256"/>
      <c r="J97" s="256"/>
      <c r="K97" s="256"/>
      <c r="L97" s="256"/>
      <c r="M97" s="256"/>
      <c r="N97" s="256"/>
      <c r="O97" s="256"/>
      <c r="P97" s="256"/>
      <c r="Q97" s="256"/>
      <c r="R97" s="256"/>
      <c r="S97" s="256"/>
      <c r="T97" s="231" t="s">
        <v>121</v>
      </c>
      <c r="U97" s="231"/>
      <c r="V97" s="231"/>
      <c r="W97" s="231"/>
      <c r="X97" s="231"/>
      <c r="Y97" s="231"/>
      <c r="Z97" s="231"/>
      <c r="AA97" s="231"/>
      <c r="AB97" s="231"/>
      <c r="AC97" s="231"/>
      <c r="AD97" s="231"/>
      <c r="AE97" s="232">
        <f>AE93+AE94+AE95+AE96</f>
        <v>0</v>
      </c>
      <c r="AF97" s="233"/>
      <c r="AG97" s="233"/>
      <c r="AH97" s="234"/>
    </row>
    <row r="98" spans="1:40" s="71" customFormat="1" ht="15.75" thickBot="1" x14ac:dyDescent="0.3">
      <c r="A98" s="257"/>
      <c r="B98" s="258"/>
      <c r="C98" s="258"/>
      <c r="D98" s="258"/>
      <c r="E98" s="258"/>
      <c r="F98" s="258"/>
      <c r="G98" s="258"/>
      <c r="H98" s="258"/>
      <c r="I98" s="258"/>
      <c r="J98" s="258"/>
      <c r="K98" s="258"/>
      <c r="L98" s="258"/>
      <c r="M98" s="258"/>
      <c r="N98" s="258"/>
      <c r="O98" s="258"/>
      <c r="P98" s="258"/>
      <c r="Q98" s="258"/>
      <c r="R98" s="258"/>
      <c r="S98" s="258"/>
      <c r="T98" s="18"/>
      <c r="U98" s="18"/>
      <c r="V98" s="18"/>
      <c r="W98" s="18"/>
      <c r="X98" s="18"/>
      <c r="Y98" s="18"/>
      <c r="Z98" s="18"/>
      <c r="AA98" s="18"/>
      <c r="AB98" s="18"/>
      <c r="AC98" s="18"/>
      <c r="AD98" s="18"/>
      <c r="AE98" s="18"/>
      <c r="AF98" s="18"/>
      <c r="AG98" s="18"/>
      <c r="AH98" s="109"/>
    </row>
    <row r="99" spans="1:40" ht="15.75" thickBot="1" x14ac:dyDescent="0.3">
      <c r="A99" s="69"/>
      <c r="B99" s="69"/>
      <c r="C99" s="69"/>
      <c r="D99" s="69"/>
      <c r="E99" s="69"/>
      <c r="F99" s="69"/>
      <c r="G99" s="69"/>
      <c r="H99" s="69"/>
      <c r="I99" s="225"/>
      <c r="J99" s="225"/>
      <c r="K99" s="225"/>
      <c r="L99" s="225"/>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row>
    <row r="100" spans="1:40" ht="15.75" thickBot="1" x14ac:dyDescent="0.3">
      <c r="A100" s="69"/>
      <c r="B100" s="69"/>
      <c r="C100" s="69"/>
      <c r="D100" s="69"/>
      <c r="E100" s="69"/>
      <c r="F100" s="69"/>
      <c r="G100" s="69"/>
      <c r="H100" s="69"/>
      <c r="I100" s="69"/>
      <c r="J100" s="69"/>
      <c r="K100" s="69"/>
      <c r="L100" s="69"/>
      <c r="M100" s="69"/>
      <c r="N100" s="69"/>
      <c r="O100" s="69"/>
      <c r="P100" s="69"/>
      <c r="Q100" s="381" t="s">
        <v>148</v>
      </c>
      <c r="R100" s="382"/>
      <c r="S100" s="382"/>
      <c r="T100" s="382"/>
      <c r="U100" s="382"/>
      <c r="V100" s="382"/>
      <c r="W100" s="382"/>
      <c r="X100" s="382"/>
      <c r="Y100" s="382"/>
      <c r="Z100" s="382"/>
      <c r="AA100" s="382"/>
      <c r="AB100" s="382"/>
      <c r="AC100" s="382"/>
      <c r="AD100" s="382"/>
      <c r="AE100" s="382"/>
      <c r="AF100" s="382"/>
      <c r="AG100" s="382"/>
      <c r="AH100" s="383"/>
      <c r="AI100" s="69"/>
      <c r="AJ100" s="69"/>
      <c r="AK100" s="69"/>
      <c r="AL100" s="69"/>
      <c r="AM100" s="69"/>
      <c r="AN100" s="69"/>
    </row>
    <row r="101" spans="1:40" x14ac:dyDescent="0.25">
      <c r="A101" s="381" t="s">
        <v>125</v>
      </c>
      <c r="B101" s="382"/>
      <c r="C101" s="382"/>
      <c r="D101" s="382"/>
      <c r="E101" s="382"/>
      <c r="F101" s="382"/>
      <c r="G101" s="382"/>
      <c r="H101" s="382"/>
      <c r="I101" s="382"/>
      <c r="J101" s="382"/>
      <c r="K101" s="382"/>
      <c r="L101" s="382"/>
      <c r="M101" s="383"/>
      <c r="N101" s="69"/>
      <c r="O101" s="69"/>
      <c r="P101" s="69"/>
      <c r="Q101" s="406" t="s">
        <v>146</v>
      </c>
      <c r="R101" s="407"/>
      <c r="S101" s="407"/>
      <c r="T101" s="407"/>
      <c r="U101" s="407"/>
      <c r="V101" s="407"/>
      <c r="W101" s="407"/>
      <c r="X101" s="407"/>
      <c r="Y101" s="407"/>
      <c r="Z101" s="407"/>
      <c r="AA101" s="407"/>
      <c r="AB101" s="407"/>
      <c r="AC101" s="407"/>
      <c r="AD101" s="407"/>
      <c r="AE101" s="411">
        <f>Y66</f>
        <v>0</v>
      </c>
      <c r="AF101" s="412"/>
      <c r="AG101" s="412"/>
      <c r="AH101" s="413"/>
      <c r="AI101" s="69"/>
      <c r="AJ101" s="69"/>
      <c r="AK101" s="69"/>
      <c r="AL101" s="69"/>
      <c r="AM101" s="69"/>
      <c r="AN101" s="69"/>
    </row>
    <row r="102" spans="1:40" x14ac:dyDescent="0.25">
      <c r="A102" s="223" t="s">
        <v>126</v>
      </c>
      <c r="B102" s="224"/>
      <c r="C102" s="224"/>
      <c r="D102" s="224"/>
      <c r="E102" s="224"/>
      <c r="F102" s="224"/>
      <c r="G102" s="224"/>
      <c r="H102" s="224"/>
      <c r="I102" s="224"/>
      <c r="J102" s="120">
        <f>AE103</f>
        <v>0</v>
      </c>
      <c r="K102" s="219"/>
      <c r="L102" s="219"/>
      <c r="M102" s="220"/>
      <c r="N102" s="69"/>
      <c r="O102" s="69"/>
      <c r="P102" s="69"/>
      <c r="Q102" s="399" t="s">
        <v>147</v>
      </c>
      <c r="R102" s="400"/>
      <c r="S102" s="400"/>
      <c r="T102" s="400"/>
      <c r="U102" s="400"/>
      <c r="V102" s="400"/>
      <c r="W102" s="400"/>
      <c r="X102" s="400"/>
      <c r="Y102" s="400"/>
      <c r="Z102" s="400"/>
      <c r="AA102" s="400"/>
      <c r="AB102" s="400"/>
      <c r="AC102" s="400"/>
      <c r="AD102" s="400"/>
      <c r="AE102" s="213">
        <f>AE88</f>
        <v>0</v>
      </c>
      <c r="AF102" s="213"/>
      <c r="AG102" s="213"/>
      <c r="AH102" s="214"/>
      <c r="AI102" s="69"/>
      <c r="AJ102" s="69"/>
      <c r="AK102" s="69"/>
      <c r="AL102" s="69"/>
      <c r="AM102" s="69"/>
      <c r="AN102" s="69"/>
    </row>
    <row r="103" spans="1:40" x14ac:dyDescent="0.25">
      <c r="A103" s="223" t="s">
        <v>127</v>
      </c>
      <c r="B103" s="224"/>
      <c r="C103" s="224"/>
      <c r="D103" s="224"/>
      <c r="E103" s="224"/>
      <c r="F103" s="224"/>
      <c r="G103" s="224"/>
      <c r="H103" s="224"/>
      <c r="I103" s="224"/>
      <c r="J103" s="120">
        <f>AE104</f>
        <v>0</v>
      </c>
      <c r="K103" s="219"/>
      <c r="L103" s="219"/>
      <c r="M103" s="220"/>
      <c r="N103" s="69"/>
      <c r="O103" s="69"/>
      <c r="P103" s="69"/>
      <c r="Q103" s="399" t="s">
        <v>149</v>
      </c>
      <c r="R103" s="400"/>
      <c r="S103" s="400"/>
      <c r="T103" s="400"/>
      <c r="U103" s="400"/>
      <c r="V103" s="400"/>
      <c r="W103" s="400"/>
      <c r="X103" s="400"/>
      <c r="Y103" s="400"/>
      <c r="Z103" s="400"/>
      <c r="AA103" s="400"/>
      <c r="AB103" s="400"/>
      <c r="AC103" s="400"/>
      <c r="AD103" s="400"/>
      <c r="AE103" s="213">
        <f>SUM(AE101:AH102)</f>
        <v>0</v>
      </c>
      <c r="AF103" s="213"/>
      <c r="AG103" s="213"/>
      <c r="AH103" s="214"/>
      <c r="AI103" s="69"/>
      <c r="AJ103" s="69"/>
      <c r="AK103" s="69"/>
      <c r="AL103" s="69"/>
      <c r="AM103" s="69"/>
      <c r="AN103" s="69"/>
    </row>
    <row r="104" spans="1:40" x14ac:dyDescent="0.25">
      <c r="A104" s="223" t="s">
        <v>128</v>
      </c>
      <c r="B104" s="224"/>
      <c r="C104" s="224"/>
      <c r="D104" s="224"/>
      <c r="E104" s="224"/>
      <c r="F104" s="224"/>
      <c r="G104" s="224"/>
      <c r="H104" s="224"/>
      <c r="I104" s="224"/>
      <c r="J104" s="120"/>
      <c r="K104" s="219"/>
      <c r="L104" s="219"/>
      <c r="M104" s="220"/>
      <c r="N104" s="69"/>
      <c r="O104" s="69"/>
      <c r="P104" s="69"/>
      <c r="Q104" s="399" t="s">
        <v>150</v>
      </c>
      <c r="R104" s="400"/>
      <c r="S104" s="400"/>
      <c r="T104" s="400"/>
      <c r="U104" s="400"/>
      <c r="V104" s="400"/>
      <c r="W104" s="400"/>
      <c r="X104" s="400"/>
      <c r="Y104" s="400"/>
      <c r="Z104" s="400"/>
      <c r="AA104" s="400"/>
      <c r="AB104" s="400"/>
      <c r="AC104" s="400"/>
      <c r="AD104" s="400"/>
      <c r="AE104" s="215">
        <f>IF(OR(AB66="",AE74=""),0,AB66+AE74)</f>
        <v>0</v>
      </c>
      <c r="AF104" s="215"/>
      <c r="AG104" s="215"/>
      <c r="AH104" s="216"/>
      <c r="AI104" s="69"/>
      <c r="AJ104" s="69"/>
      <c r="AK104" s="69"/>
      <c r="AL104" s="69"/>
      <c r="AM104" s="69"/>
      <c r="AN104" s="69"/>
    </row>
    <row r="105" spans="1:40" x14ac:dyDescent="0.25">
      <c r="A105" s="223" t="s">
        <v>129</v>
      </c>
      <c r="B105" s="224"/>
      <c r="C105" s="224"/>
      <c r="D105" s="224"/>
      <c r="E105" s="224"/>
      <c r="F105" s="224"/>
      <c r="G105" s="224"/>
      <c r="H105" s="224"/>
      <c r="I105" s="224"/>
      <c r="J105" s="120">
        <f>AE105</f>
        <v>0</v>
      </c>
      <c r="K105" s="219"/>
      <c r="L105" s="219"/>
      <c r="M105" s="220"/>
      <c r="N105" s="69"/>
      <c r="O105" s="69"/>
      <c r="P105" s="69"/>
      <c r="Q105" s="408" t="s">
        <v>122</v>
      </c>
      <c r="R105" s="263"/>
      <c r="S105" s="263"/>
      <c r="T105" s="263"/>
      <c r="U105" s="263"/>
      <c r="V105" s="263"/>
      <c r="W105" s="263"/>
      <c r="X105" s="263"/>
      <c r="Y105" s="263"/>
      <c r="Z105" s="263"/>
      <c r="AA105" s="263"/>
      <c r="AB105" s="263"/>
      <c r="AC105" s="263"/>
      <c r="AD105" s="263"/>
      <c r="AE105" s="217">
        <f>AE103-AE104</f>
        <v>0</v>
      </c>
      <c r="AF105" s="217"/>
      <c r="AG105" s="217"/>
      <c r="AH105" s="218"/>
      <c r="AI105" s="69"/>
      <c r="AJ105" s="69"/>
      <c r="AK105" s="69"/>
      <c r="AL105" s="69"/>
      <c r="AM105" s="69"/>
      <c r="AN105" s="69"/>
    </row>
    <row r="106" spans="1:40" ht="15.75" thickBot="1" x14ac:dyDescent="0.3">
      <c r="A106" s="417" t="s">
        <v>130</v>
      </c>
      <c r="B106" s="418"/>
      <c r="C106" s="418"/>
      <c r="D106" s="418"/>
      <c r="E106" s="418"/>
      <c r="F106" s="418"/>
      <c r="G106" s="418"/>
      <c r="H106" s="418"/>
      <c r="I106" s="418"/>
      <c r="J106" s="221"/>
      <c r="K106" s="221"/>
      <c r="L106" s="221"/>
      <c r="M106" s="222"/>
      <c r="N106" s="69"/>
      <c r="O106" s="69"/>
      <c r="P106" s="69"/>
      <c r="Q106" s="409" t="s">
        <v>123</v>
      </c>
      <c r="R106" s="410"/>
      <c r="S106" s="410"/>
      <c r="T106" s="410"/>
      <c r="U106" s="410"/>
      <c r="V106" s="410"/>
      <c r="W106" s="410"/>
      <c r="X106" s="410"/>
      <c r="Y106" s="410"/>
      <c r="Z106" s="410"/>
      <c r="AA106" s="410"/>
      <c r="AB106" s="410"/>
      <c r="AC106" s="410"/>
      <c r="AD106" s="410"/>
      <c r="AE106" s="414">
        <f>AE97</f>
        <v>0</v>
      </c>
      <c r="AF106" s="415"/>
      <c r="AG106" s="415"/>
      <c r="AH106" s="416"/>
      <c r="AI106" s="69"/>
      <c r="AJ106" s="69"/>
      <c r="AK106" s="69"/>
      <c r="AL106" s="69"/>
      <c r="AM106" s="69"/>
      <c r="AN106" s="69"/>
    </row>
    <row r="107" spans="1:40" x14ac:dyDescent="0.25">
      <c r="A107" s="110"/>
      <c r="B107" s="110"/>
      <c r="C107" s="110"/>
      <c r="D107" s="110"/>
      <c r="E107" s="110"/>
      <c r="F107" s="110"/>
      <c r="G107" s="110"/>
      <c r="H107" s="110"/>
      <c r="I107" s="110"/>
      <c r="J107" s="90"/>
      <c r="K107" s="90"/>
      <c r="L107" s="90"/>
      <c r="M107" s="90"/>
      <c r="N107" s="69"/>
      <c r="O107" s="69"/>
      <c r="P107" s="69"/>
      <c r="Q107" s="401" t="s">
        <v>151</v>
      </c>
      <c r="R107" s="401"/>
      <c r="S107" s="401"/>
      <c r="T107" s="106" t="s">
        <v>152</v>
      </c>
      <c r="U107" s="402">
        <f>AE101</f>
        <v>0</v>
      </c>
      <c r="V107" s="402"/>
      <c r="W107" s="403" t="s">
        <v>153</v>
      </c>
      <c r="X107" s="403"/>
      <c r="Y107" s="403"/>
      <c r="Z107" s="403"/>
      <c r="AA107" s="402">
        <f>AE104</f>
        <v>0</v>
      </c>
      <c r="AB107" s="402"/>
      <c r="AC107" s="404" t="s">
        <v>154</v>
      </c>
      <c r="AD107" s="404"/>
      <c r="AE107" s="404"/>
      <c r="AF107" s="404"/>
      <c r="AG107" s="405" t="str">
        <f>IF(OR(Z10="",AB66=""),"",
IF(AND(Z10=A120,AB66=F137),D210,
IF(AND(Z10=A120,AB66=F138),E210,
IF(AND(Z10=A120,AB66=F139),F210,
IF(AND(Z10=A121,AB66=I137),D211,
IF(AND(Z10=A121,AB66=I138),E211,
IF(AND(Z10=A121,AB66=I139),F211,
IF(AND(Z10=A122,AB66=L137),D212,
IF(AND(Z10=A122,AB66=L138),E212,
IF(AND(Z10=A122,AB66=L139),F212,
IF(AND(Z10=A123,AB66=O137),D213,
IF(AND(Z10=A123,AB66=O138),E213,
IF(AND(Z10=A123,AB66=O139),F213,
IF(AND(Z10=A124,AB66=R137),D214,
IF(AND(Z10=A124,AB66=R138),E214,
IF(AND(Z10=A124,AB66=R139),F214,
IF(AND(Z10=A125,AB66=U137),D215,
IF(AND(Z10=A125,AB66=U138),E215,
IF(AND(Z10=A125,AB66=U139),F215,
IF(AND(Z10=A126,AB66=X137),D216,
IF(AND(Z10=A126,AB66=X138),E216,F216)))))))))))))))))))))</f>
        <v/>
      </c>
      <c r="AH107" s="405"/>
      <c r="AI107" s="69"/>
      <c r="AJ107" s="69"/>
      <c r="AK107" s="69"/>
      <c r="AL107" s="69"/>
      <c r="AM107" s="69"/>
      <c r="AN107" s="69"/>
    </row>
    <row r="108" spans="1:40" x14ac:dyDescent="0.25">
      <c r="N108" s="69"/>
      <c r="O108" s="69"/>
      <c r="P108" s="69"/>
      <c r="Q108" s="69"/>
      <c r="R108" s="69"/>
      <c r="S108" s="69"/>
      <c r="AI108" s="69"/>
      <c r="AJ108" s="69"/>
      <c r="AK108" s="69"/>
      <c r="AL108" s="69"/>
      <c r="AM108" s="69"/>
      <c r="AN108" s="69"/>
    </row>
    <row r="109" spans="1:40" hidden="1" x14ac:dyDescent="0.25">
      <c r="A109" s="69"/>
      <c r="B109" s="69"/>
      <c r="C109" s="69"/>
      <c r="D109" s="69"/>
      <c r="E109" s="69"/>
      <c r="F109" s="69"/>
      <c r="G109" s="69"/>
      <c r="H109" s="69"/>
      <c r="I109" s="69"/>
      <c r="J109" s="69"/>
      <c r="K109" s="69"/>
      <c r="L109" s="69"/>
      <c r="M109" s="69"/>
      <c r="N109" s="69"/>
      <c r="O109" s="69"/>
      <c r="P109" s="69"/>
      <c r="Q109" s="69"/>
      <c r="R109" s="69"/>
      <c r="S109" s="69"/>
      <c r="AI109" s="69"/>
      <c r="AJ109" s="69"/>
      <c r="AK109" s="69"/>
      <c r="AL109" s="69"/>
      <c r="AM109" s="69"/>
      <c r="AN109" s="69"/>
    </row>
    <row r="110" spans="1:40" hidden="1" x14ac:dyDescent="0.25">
      <c r="A110" s="69"/>
      <c r="B110" s="69"/>
      <c r="C110" s="69"/>
      <c r="D110" s="69"/>
      <c r="E110" s="69"/>
      <c r="F110" s="69"/>
      <c r="G110" s="69"/>
      <c r="H110" s="69"/>
      <c r="I110" s="69"/>
      <c r="J110" s="69"/>
      <c r="K110" s="69"/>
      <c r="L110" s="69"/>
      <c r="M110" s="69"/>
      <c r="N110" s="69"/>
      <c r="O110" s="69"/>
      <c r="P110" s="69"/>
      <c r="Q110" s="69"/>
      <c r="R110" s="69"/>
      <c r="S110" s="69"/>
      <c r="AI110" s="69"/>
      <c r="AJ110" s="69"/>
      <c r="AK110" s="69"/>
      <c r="AL110" s="69"/>
      <c r="AM110" s="69"/>
      <c r="AN110" s="69"/>
    </row>
    <row r="111" spans="1:40" hidden="1" x14ac:dyDescent="0.25">
      <c r="A111" s="69"/>
      <c r="B111" s="69"/>
      <c r="C111" s="69"/>
      <c r="D111" s="69"/>
      <c r="E111" s="69"/>
      <c r="F111" s="69"/>
      <c r="G111" s="69"/>
      <c r="H111" s="69"/>
      <c r="I111" s="69"/>
      <c r="J111" s="69"/>
      <c r="K111" s="69"/>
      <c r="L111" s="69"/>
      <c r="M111" s="69"/>
      <c r="N111" s="69"/>
      <c r="O111" s="69"/>
      <c r="P111" s="69"/>
      <c r="Q111" s="69"/>
      <c r="R111" s="69"/>
      <c r="S111" s="69"/>
      <c r="AI111" s="69"/>
      <c r="AJ111" s="69"/>
      <c r="AK111" s="69"/>
      <c r="AL111" s="69"/>
      <c r="AM111" s="69"/>
      <c r="AN111" s="69"/>
    </row>
    <row r="112" spans="1:40" hidden="1" x14ac:dyDescent="0.25">
      <c r="A112" s="69"/>
      <c r="B112" s="69"/>
      <c r="C112" s="69"/>
      <c r="D112" s="69"/>
      <c r="E112" s="69"/>
      <c r="F112" s="69"/>
      <c r="G112" s="69"/>
      <c r="H112" s="69"/>
      <c r="I112" s="69"/>
      <c r="J112" s="69"/>
      <c r="K112" s="69"/>
      <c r="L112" s="69"/>
      <c r="M112" s="69"/>
      <c r="N112" s="69"/>
      <c r="O112" s="69"/>
      <c r="P112" s="69"/>
      <c r="Q112" s="69"/>
      <c r="R112" s="69"/>
      <c r="S112" s="69"/>
      <c r="AI112" s="69"/>
      <c r="AJ112" s="69"/>
      <c r="AK112" s="69"/>
      <c r="AL112" s="69"/>
      <c r="AM112" s="69"/>
      <c r="AN112" s="69"/>
    </row>
    <row r="113" spans="1:40" hidden="1" x14ac:dyDescent="0.25">
      <c r="A113" s="69"/>
      <c r="B113" s="69"/>
      <c r="C113" s="69"/>
      <c r="D113" s="69"/>
      <c r="E113" s="69"/>
      <c r="F113" s="69"/>
      <c r="G113" s="69"/>
      <c r="H113" s="69"/>
      <c r="I113" s="69"/>
      <c r="J113" s="69"/>
      <c r="K113" s="69"/>
      <c r="L113" s="69"/>
      <c r="M113" s="69"/>
      <c r="N113" s="69"/>
      <c r="O113" s="69"/>
      <c r="P113" s="69"/>
      <c r="Q113" s="69"/>
      <c r="R113" s="69"/>
      <c r="S113" s="69"/>
      <c r="AI113" s="69"/>
      <c r="AJ113" s="69"/>
      <c r="AK113" s="69"/>
      <c r="AL113" s="69"/>
      <c r="AM113" s="69"/>
      <c r="AN113" s="69"/>
    </row>
    <row r="114" spans="1:40" hidden="1" x14ac:dyDescent="0.25">
      <c r="A114" s="69"/>
      <c r="B114" s="69"/>
      <c r="C114" s="69"/>
      <c r="D114" s="69"/>
      <c r="E114" s="69"/>
      <c r="F114" s="69"/>
      <c r="G114" s="69"/>
      <c r="H114" s="69"/>
      <c r="I114" s="225"/>
      <c r="J114" s="225"/>
      <c r="K114" s="225"/>
      <c r="L114" s="225"/>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row>
    <row r="115" spans="1:40" hidden="1" x14ac:dyDescent="0.25">
      <c r="A115" s="69"/>
      <c r="B115" s="69"/>
      <c r="C115" s="69"/>
      <c r="D115" s="69"/>
      <c r="E115" s="69"/>
      <c r="F115" s="69"/>
      <c r="G115" s="69"/>
      <c r="H115" s="69"/>
      <c r="I115" s="225"/>
      <c r="J115" s="225"/>
      <c r="K115" s="225"/>
      <c r="L115" s="225"/>
      <c r="M115" s="69"/>
      <c r="N115" s="69"/>
      <c r="O115" s="69"/>
      <c r="P115" s="69"/>
      <c r="Q115" s="69"/>
      <c r="R115" s="69"/>
      <c r="S115" s="69"/>
      <c r="T115" s="69"/>
      <c r="U115" s="69"/>
      <c r="V115" s="69"/>
      <c r="W115" s="69"/>
      <c r="X115" s="69"/>
      <c r="Y115" s="69"/>
      <c r="Z115" s="69"/>
    </row>
    <row r="116" spans="1:40" hidden="1" x14ac:dyDescent="0.25">
      <c r="A116" s="69"/>
      <c r="B116" s="69"/>
      <c r="C116" s="69"/>
      <c r="D116" s="69"/>
      <c r="E116" s="69"/>
      <c r="F116" s="69"/>
      <c r="G116" s="69"/>
      <c r="H116" s="69"/>
      <c r="I116" s="225"/>
      <c r="J116" s="225"/>
      <c r="K116" s="225"/>
      <c r="L116" s="225"/>
      <c r="M116" s="69"/>
      <c r="N116" s="69"/>
      <c r="O116" s="69"/>
      <c r="P116" s="69"/>
      <c r="Q116" s="69"/>
      <c r="R116" s="69"/>
      <c r="S116" s="69"/>
      <c r="T116" s="69"/>
      <c r="U116" s="69"/>
      <c r="V116" s="69"/>
      <c r="W116" s="69"/>
      <c r="X116" s="69"/>
      <c r="Y116" s="69"/>
      <c r="Z116" s="69"/>
    </row>
    <row r="117" spans="1:40" hidden="1"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40" hidden="1"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40" hidden="1"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40" hidden="1" x14ac:dyDescent="0.25">
      <c r="A120" s="69" t="s">
        <v>0</v>
      </c>
      <c r="B120" s="69"/>
      <c r="C120" s="69"/>
      <c r="D120" s="69"/>
      <c r="E120" s="103" t="s">
        <v>179</v>
      </c>
      <c r="F120" s="69"/>
      <c r="G120" s="69"/>
      <c r="H120" s="69"/>
      <c r="I120" s="69"/>
      <c r="J120" s="69"/>
      <c r="K120" s="69"/>
      <c r="L120" s="69"/>
      <c r="M120" s="69"/>
      <c r="N120" s="103" t="s">
        <v>185</v>
      </c>
      <c r="O120" s="69"/>
      <c r="P120" s="69"/>
      <c r="Q120" s="69"/>
      <c r="R120" s="69"/>
      <c r="S120" s="69"/>
      <c r="T120" s="69"/>
      <c r="U120" s="69"/>
      <c r="V120" s="69"/>
      <c r="W120" s="69"/>
      <c r="X120" s="103" t="s">
        <v>191</v>
      </c>
      <c r="Y120" s="69"/>
      <c r="Z120" s="69"/>
    </row>
    <row r="121" spans="1:40" hidden="1" x14ac:dyDescent="0.25">
      <c r="A121" s="69" t="s">
        <v>29</v>
      </c>
      <c r="B121" s="69"/>
      <c r="C121" s="69"/>
      <c r="D121" s="69"/>
      <c r="E121" s="103" t="s">
        <v>180</v>
      </c>
      <c r="F121" s="69"/>
      <c r="G121" s="69"/>
      <c r="H121" s="69"/>
      <c r="I121" s="69"/>
      <c r="J121" s="69"/>
      <c r="K121" s="69"/>
      <c r="L121" s="69"/>
      <c r="M121" s="69"/>
      <c r="N121" s="103" t="s">
        <v>186</v>
      </c>
      <c r="O121" s="69"/>
      <c r="P121" s="69"/>
      <c r="Q121" s="69"/>
      <c r="R121" s="69"/>
      <c r="S121" s="69"/>
      <c r="T121" s="69"/>
      <c r="U121" s="69"/>
      <c r="V121" s="69"/>
      <c r="W121" s="69"/>
      <c r="X121" s="103" t="s">
        <v>192</v>
      </c>
      <c r="Y121" s="69"/>
      <c r="Z121" s="69"/>
    </row>
    <row r="122" spans="1:40" hidden="1" x14ac:dyDescent="0.25">
      <c r="A122" s="69" t="s">
        <v>30</v>
      </c>
      <c r="B122" s="69"/>
      <c r="C122" s="69"/>
      <c r="D122" s="69"/>
      <c r="E122" s="103" t="s">
        <v>181</v>
      </c>
      <c r="F122" s="69"/>
      <c r="G122" s="69"/>
      <c r="H122" s="69"/>
      <c r="I122" s="69"/>
      <c r="J122" s="69"/>
      <c r="K122" s="69"/>
      <c r="L122" s="69"/>
      <c r="M122" s="69"/>
      <c r="N122" s="103" t="s">
        <v>187</v>
      </c>
      <c r="O122" s="69"/>
      <c r="P122" s="69"/>
      <c r="Q122" s="69"/>
      <c r="R122" s="69"/>
      <c r="S122" s="69"/>
      <c r="T122" s="69"/>
      <c r="U122" s="69"/>
      <c r="V122" s="69"/>
      <c r="W122" s="69"/>
      <c r="X122" s="103" t="s">
        <v>193</v>
      </c>
      <c r="Y122" s="69"/>
      <c r="Z122" s="69"/>
    </row>
    <row r="123" spans="1:40" hidden="1" x14ac:dyDescent="0.25">
      <c r="A123" s="69" t="s">
        <v>31</v>
      </c>
      <c r="B123" s="69"/>
      <c r="C123" s="69"/>
      <c r="D123" s="69"/>
      <c r="E123" s="103" t="s">
        <v>182</v>
      </c>
      <c r="F123" s="69"/>
      <c r="G123" s="69"/>
      <c r="H123" s="69"/>
      <c r="I123" s="69"/>
      <c r="J123" s="69"/>
      <c r="K123" s="69"/>
      <c r="L123" s="69"/>
      <c r="M123" s="69"/>
      <c r="N123" s="103" t="s">
        <v>188</v>
      </c>
      <c r="O123" s="69"/>
      <c r="P123" s="69"/>
      <c r="Q123" s="69"/>
      <c r="R123" s="69"/>
      <c r="S123" s="69"/>
      <c r="T123" s="69"/>
      <c r="U123" s="69"/>
      <c r="V123" s="69"/>
      <c r="W123" s="69"/>
      <c r="X123" s="103" t="s">
        <v>194</v>
      </c>
      <c r="Y123" s="69"/>
      <c r="Z123" s="69"/>
    </row>
    <row r="124" spans="1:40" hidden="1" x14ac:dyDescent="0.25">
      <c r="A124" s="69" t="s">
        <v>32</v>
      </c>
      <c r="B124" s="69"/>
      <c r="C124" s="69"/>
      <c r="D124" s="69"/>
      <c r="E124" s="103" t="s">
        <v>183</v>
      </c>
      <c r="F124" s="69"/>
      <c r="G124" s="69"/>
      <c r="H124" s="69"/>
      <c r="I124" s="69"/>
      <c r="J124" s="69"/>
      <c r="K124" s="69"/>
      <c r="L124" s="69"/>
      <c r="M124" s="69"/>
      <c r="N124" s="103" t="s">
        <v>189</v>
      </c>
      <c r="O124" s="69"/>
      <c r="P124" s="69"/>
      <c r="Q124" s="69"/>
      <c r="R124" s="69"/>
      <c r="S124" s="69"/>
      <c r="T124" s="69"/>
      <c r="U124" s="69"/>
      <c r="V124" s="69"/>
      <c r="W124" s="69"/>
      <c r="X124" s="103" t="s">
        <v>195</v>
      </c>
      <c r="Y124" s="69"/>
      <c r="Z124" s="69"/>
    </row>
    <row r="125" spans="1:40" hidden="1" x14ac:dyDescent="0.25">
      <c r="A125" s="69" t="s">
        <v>33</v>
      </c>
      <c r="B125" s="69"/>
      <c r="C125" s="69"/>
      <c r="D125" s="69"/>
      <c r="E125" s="103" t="s">
        <v>184</v>
      </c>
      <c r="F125" s="69"/>
      <c r="G125" s="69"/>
      <c r="H125" s="69"/>
      <c r="I125" s="69"/>
      <c r="J125" s="69"/>
      <c r="K125" s="69"/>
      <c r="L125" s="69"/>
      <c r="M125" s="69"/>
      <c r="N125" s="103" t="s">
        <v>190</v>
      </c>
      <c r="O125" s="69"/>
      <c r="P125" s="69"/>
      <c r="Q125" s="69"/>
      <c r="R125" s="69"/>
      <c r="S125" s="69"/>
      <c r="T125" s="69"/>
      <c r="U125" s="69"/>
      <c r="V125" s="69"/>
      <c r="W125" s="69"/>
      <c r="X125" s="103" t="s">
        <v>196</v>
      </c>
      <c r="Y125" s="69"/>
      <c r="Z125" s="69"/>
    </row>
    <row r="126" spans="1:40" hidden="1" x14ac:dyDescent="0.25">
      <c r="A126" s="69" t="s">
        <v>34</v>
      </c>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40" hidden="1"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40" hidden="1" x14ac:dyDescent="0.25">
      <c r="A128" s="172" t="s">
        <v>177</v>
      </c>
      <c r="B128" s="148"/>
      <c r="C128" s="148"/>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4"/>
    </row>
    <row r="129" spans="1:35" hidden="1" x14ac:dyDescent="0.25">
      <c r="A129" s="85"/>
      <c r="B129" s="27"/>
      <c r="C129" s="29" t="s">
        <v>35</v>
      </c>
      <c r="D129" s="29"/>
      <c r="E129" s="29"/>
      <c r="F129" s="29"/>
      <c r="G129" s="29"/>
      <c r="H129" s="30"/>
      <c r="I129" s="226" t="s">
        <v>36</v>
      </c>
      <c r="J129" s="148"/>
      <c r="K129" s="148"/>
      <c r="L129" s="148"/>
      <c r="M129" s="227"/>
      <c r="N129" s="228"/>
      <c r="O129" s="226" t="s">
        <v>37</v>
      </c>
      <c r="P129" s="148"/>
      <c r="Q129" s="148"/>
      <c r="R129" s="148"/>
      <c r="S129" s="148"/>
      <c r="T129" s="30"/>
      <c r="U129" s="226" t="s">
        <v>38</v>
      </c>
      <c r="V129" s="148"/>
      <c r="W129" s="30"/>
      <c r="X129" s="229" t="s">
        <v>39</v>
      </c>
      <c r="Y129" s="230"/>
      <c r="Z129" s="31"/>
    </row>
    <row r="130" spans="1:35" hidden="1" x14ac:dyDescent="0.25">
      <c r="A130" s="83"/>
      <c r="B130" s="71"/>
      <c r="C130" s="206" t="s">
        <v>6</v>
      </c>
      <c r="D130" s="206"/>
      <c r="E130" s="206"/>
      <c r="F130" s="206" t="s">
        <v>7</v>
      </c>
      <c r="G130" s="206"/>
      <c r="H130" s="207"/>
      <c r="I130" s="208" t="s">
        <v>6</v>
      </c>
      <c r="J130" s="206"/>
      <c r="K130" s="206"/>
      <c r="L130" s="206" t="s">
        <v>7</v>
      </c>
      <c r="M130" s="206"/>
      <c r="N130" s="207"/>
      <c r="O130" s="208" t="s">
        <v>6</v>
      </c>
      <c r="P130" s="206"/>
      <c r="Q130" s="206"/>
      <c r="R130" s="206" t="s">
        <v>7</v>
      </c>
      <c r="S130" s="206"/>
      <c r="T130" s="207"/>
      <c r="U130" s="191"/>
      <c r="V130" s="192"/>
      <c r="W130" s="193"/>
      <c r="X130" s="153"/>
      <c r="Y130" s="154"/>
      <c r="Z130" s="194"/>
    </row>
    <row r="131" spans="1:35" hidden="1" x14ac:dyDescent="0.25">
      <c r="A131" s="195" t="s">
        <v>40</v>
      </c>
      <c r="B131" s="196"/>
      <c r="C131" s="197">
        <v>217.85</v>
      </c>
      <c r="D131" s="197"/>
      <c r="E131" s="197"/>
      <c r="F131" s="197">
        <v>234.92</v>
      </c>
      <c r="G131" s="197"/>
      <c r="H131" s="198"/>
      <c r="I131" s="199">
        <v>22.11</v>
      </c>
      <c r="J131" s="197"/>
      <c r="K131" s="197"/>
      <c r="L131" s="197">
        <v>28.34</v>
      </c>
      <c r="M131" s="197"/>
      <c r="N131" s="198"/>
      <c r="O131" s="200">
        <v>4.8499999999999996</v>
      </c>
      <c r="P131" s="201"/>
      <c r="Q131" s="201"/>
      <c r="R131" s="201">
        <v>8.73</v>
      </c>
      <c r="S131" s="201"/>
      <c r="T131" s="204"/>
      <c r="U131" s="200">
        <v>2.57</v>
      </c>
      <c r="V131" s="201"/>
      <c r="W131" s="204"/>
      <c r="X131" s="200">
        <v>6.23</v>
      </c>
      <c r="Y131" s="201"/>
      <c r="Z131" s="204"/>
      <c r="AA131" s="69"/>
      <c r="AB131" s="69"/>
      <c r="AC131" s="69"/>
      <c r="AD131" s="69"/>
      <c r="AE131" s="69"/>
      <c r="AF131" s="69"/>
      <c r="AG131" s="69"/>
      <c r="AH131" s="69"/>
      <c r="AI131" s="69"/>
    </row>
    <row r="132" spans="1:35" hidden="1" x14ac:dyDescent="0.25">
      <c r="A132" s="195" t="s">
        <v>41</v>
      </c>
      <c r="B132" s="196"/>
      <c r="C132" s="197">
        <v>445.85</v>
      </c>
      <c r="D132" s="197"/>
      <c r="E132" s="197"/>
      <c r="F132" s="197">
        <v>480</v>
      </c>
      <c r="G132" s="197"/>
      <c r="H132" s="198"/>
      <c r="I132" s="199">
        <v>38.4</v>
      </c>
      <c r="J132" s="197"/>
      <c r="K132" s="197"/>
      <c r="L132" s="197">
        <v>49.25</v>
      </c>
      <c r="M132" s="197"/>
      <c r="N132" s="198"/>
      <c r="O132" s="200"/>
      <c r="P132" s="201"/>
      <c r="Q132" s="201"/>
      <c r="R132" s="201"/>
      <c r="S132" s="201"/>
      <c r="T132" s="204"/>
      <c r="U132" s="200"/>
      <c r="V132" s="201"/>
      <c r="W132" s="204"/>
      <c r="X132" s="200"/>
      <c r="Y132" s="201"/>
      <c r="Z132" s="204"/>
      <c r="AA132" s="69"/>
      <c r="AB132" s="69"/>
      <c r="AC132" s="69"/>
      <c r="AD132" s="69"/>
      <c r="AE132" s="69"/>
      <c r="AF132" s="69"/>
      <c r="AG132" s="69"/>
      <c r="AH132" s="69"/>
      <c r="AI132" s="69"/>
    </row>
    <row r="133" spans="1:35" hidden="1" x14ac:dyDescent="0.25">
      <c r="A133" s="211" t="s">
        <v>42</v>
      </c>
      <c r="B133" s="212"/>
      <c r="C133" s="209">
        <v>655.38</v>
      </c>
      <c r="D133" s="209"/>
      <c r="E133" s="209"/>
      <c r="F133" s="209">
        <v>706.15</v>
      </c>
      <c r="G133" s="209"/>
      <c r="H133" s="210"/>
      <c r="I133" s="424">
        <v>62.31</v>
      </c>
      <c r="J133" s="209"/>
      <c r="K133" s="209"/>
      <c r="L133" s="209">
        <v>79.94</v>
      </c>
      <c r="M133" s="209"/>
      <c r="N133" s="210"/>
      <c r="O133" s="202"/>
      <c r="P133" s="203"/>
      <c r="Q133" s="203"/>
      <c r="R133" s="203"/>
      <c r="S133" s="203"/>
      <c r="T133" s="205"/>
      <c r="U133" s="202"/>
      <c r="V133" s="203"/>
      <c r="W133" s="205"/>
      <c r="X133" s="202"/>
      <c r="Y133" s="203"/>
      <c r="Z133" s="205"/>
      <c r="AA133" s="69"/>
      <c r="AB133" s="69"/>
      <c r="AC133" s="69"/>
      <c r="AD133" s="69"/>
      <c r="AE133" s="69"/>
      <c r="AF133" s="69"/>
      <c r="AG133" s="69"/>
      <c r="AH133" s="69"/>
      <c r="AI133" s="69"/>
    </row>
    <row r="134" spans="1:35" hidden="1"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row>
    <row r="135" spans="1:35" hidden="1" x14ac:dyDescent="0.25">
      <c r="A135" s="186" t="s">
        <v>178</v>
      </c>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8"/>
      <c r="AA135" s="69"/>
      <c r="AB135" s="69"/>
      <c r="AC135" s="69"/>
      <c r="AD135" s="69"/>
      <c r="AE135" s="69"/>
      <c r="AF135" s="69"/>
      <c r="AG135" s="69"/>
      <c r="AH135" s="69"/>
      <c r="AI135" s="69"/>
    </row>
    <row r="136" spans="1:35" hidden="1" x14ac:dyDescent="0.25">
      <c r="A136" s="32"/>
      <c r="B136" s="33"/>
      <c r="C136" s="33"/>
      <c r="D136" s="33"/>
      <c r="E136" s="33"/>
      <c r="F136" s="189" t="s">
        <v>0</v>
      </c>
      <c r="G136" s="189"/>
      <c r="H136" s="189"/>
      <c r="I136" s="189" t="s">
        <v>29</v>
      </c>
      <c r="J136" s="189"/>
      <c r="K136" s="189"/>
      <c r="L136" s="189" t="s">
        <v>30</v>
      </c>
      <c r="M136" s="189"/>
      <c r="N136" s="189"/>
      <c r="O136" s="189" t="s">
        <v>31</v>
      </c>
      <c r="P136" s="189"/>
      <c r="Q136" s="189"/>
      <c r="R136" s="189" t="s">
        <v>32</v>
      </c>
      <c r="S136" s="189"/>
      <c r="T136" s="189"/>
      <c r="U136" s="189" t="s">
        <v>33</v>
      </c>
      <c r="V136" s="189"/>
      <c r="W136" s="189"/>
      <c r="X136" s="189" t="s">
        <v>34</v>
      </c>
      <c r="Y136" s="189"/>
      <c r="Z136" s="190"/>
      <c r="AA136" s="69"/>
      <c r="AB136" s="69"/>
      <c r="AC136" s="69"/>
      <c r="AD136" s="69"/>
      <c r="AE136" s="69"/>
      <c r="AF136" s="69"/>
      <c r="AG136" s="69"/>
      <c r="AH136" s="69"/>
      <c r="AI136" s="69"/>
    </row>
    <row r="137" spans="1:35" hidden="1" x14ac:dyDescent="0.25">
      <c r="A137" s="183" t="s">
        <v>40</v>
      </c>
      <c r="B137" s="184"/>
      <c r="C137" s="184"/>
      <c r="D137" s="184"/>
      <c r="E137" s="184"/>
      <c r="F137" s="177">
        <v>200.42</v>
      </c>
      <c r="G137" s="177"/>
      <c r="H137" s="177"/>
      <c r="I137" s="177">
        <v>200.97</v>
      </c>
      <c r="J137" s="177"/>
      <c r="K137" s="177"/>
      <c r="L137" s="177">
        <v>197.87</v>
      </c>
      <c r="M137" s="177"/>
      <c r="N137" s="177"/>
      <c r="O137" s="177">
        <v>200.97</v>
      </c>
      <c r="P137" s="177"/>
      <c r="Q137" s="177"/>
      <c r="R137" s="177">
        <v>200.97</v>
      </c>
      <c r="S137" s="177"/>
      <c r="T137" s="177"/>
      <c r="U137" s="177">
        <v>200.64</v>
      </c>
      <c r="V137" s="177"/>
      <c r="W137" s="177"/>
      <c r="X137" s="177">
        <v>200.64</v>
      </c>
      <c r="Y137" s="177"/>
      <c r="Z137" s="178"/>
      <c r="AA137" s="69"/>
      <c r="AB137" s="69"/>
      <c r="AC137" s="69"/>
      <c r="AD137" s="69"/>
      <c r="AE137" s="69"/>
      <c r="AF137" s="69"/>
      <c r="AG137" s="69"/>
      <c r="AH137" s="69"/>
      <c r="AI137" s="69"/>
    </row>
    <row r="138" spans="1:35" hidden="1" x14ac:dyDescent="0.25">
      <c r="A138" s="183" t="s">
        <v>43</v>
      </c>
      <c r="B138" s="184"/>
      <c r="C138" s="184"/>
      <c r="D138" s="184"/>
      <c r="E138" s="184"/>
      <c r="F138" s="177">
        <v>410.18</v>
      </c>
      <c r="G138" s="177"/>
      <c r="H138" s="177"/>
      <c r="I138" s="177">
        <v>411.37000000000006</v>
      </c>
      <c r="J138" s="177"/>
      <c r="K138" s="177"/>
      <c r="L138" s="177">
        <v>404.7</v>
      </c>
      <c r="M138" s="177"/>
      <c r="N138" s="177"/>
      <c r="O138" s="177">
        <v>411.37000000000006</v>
      </c>
      <c r="P138" s="177"/>
      <c r="Q138" s="177"/>
      <c r="R138" s="177">
        <v>411.37000000000006</v>
      </c>
      <c r="S138" s="177"/>
      <c r="T138" s="177"/>
      <c r="U138" s="177">
        <v>410.66</v>
      </c>
      <c r="V138" s="177"/>
      <c r="W138" s="177"/>
      <c r="X138" s="177">
        <v>410.66</v>
      </c>
      <c r="Y138" s="177"/>
      <c r="Z138" s="178"/>
      <c r="AA138" s="69"/>
      <c r="AB138" s="69"/>
      <c r="AC138" s="69"/>
      <c r="AD138" s="69"/>
      <c r="AE138" s="69"/>
      <c r="AF138" s="69"/>
      <c r="AG138" s="69"/>
      <c r="AH138" s="69"/>
      <c r="AI138" s="69"/>
    </row>
    <row r="139" spans="1:35" hidden="1" x14ac:dyDescent="0.25">
      <c r="A139" s="179" t="s">
        <v>44</v>
      </c>
      <c r="B139" s="180"/>
      <c r="C139" s="180"/>
      <c r="D139" s="180"/>
      <c r="E139" s="180"/>
      <c r="F139" s="181">
        <v>602.95000000000005</v>
      </c>
      <c r="G139" s="181"/>
      <c r="H139" s="181"/>
      <c r="I139" s="181">
        <v>604.67999999999995</v>
      </c>
      <c r="J139" s="181"/>
      <c r="K139" s="181"/>
      <c r="L139" s="181">
        <v>594.92999999999995</v>
      </c>
      <c r="M139" s="181"/>
      <c r="N139" s="181"/>
      <c r="O139" s="181">
        <v>604.67999999999995</v>
      </c>
      <c r="P139" s="181"/>
      <c r="Q139" s="181"/>
      <c r="R139" s="181">
        <v>604.67999999999995</v>
      </c>
      <c r="S139" s="181"/>
      <c r="T139" s="181"/>
      <c r="U139" s="181">
        <v>603.65</v>
      </c>
      <c r="V139" s="181"/>
      <c r="W139" s="181"/>
      <c r="X139" s="181">
        <v>603.65</v>
      </c>
      <c r="Y139" s="181"/>
      <c r="Z139" s="182"/>
      <c r="AA139" s="69"/>
      <c r="AB139" s="69"/>
      <c r="AC139" s="69"/>
      <c r="AD139" s="69"/>
      <c r="AE139" s="69"/>
      <c r="AF139" s="69"/>
      <c r="AG139" s="69"/>
      <c r="AH139" s="69"/>
      <c r="AI139" s="69"/>
    </row>
    <row r="140" spans="1:35" hidden="1"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row>
    <row r="141" spans="1:35" hidden="1" x14ac:dyDescent="0.25">
      <c r="A141" s="186" t="s">
        <v>45</v>
      </c>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8"/>
      <c r="AA141" s="69"/>
      <c r="AB141" s="69"/>
      <c r="AC141" s="69"/>
      <c r="AD141" s="69"/>
      <c r="AE141" s="69"/>
      <c r="AF141" s="69"/>
      <c r="AG141" s="69"/>
      <c r="AH141" s="69"/>
      <c r="AI141" s="69"/>
    </row>
    <row r="142" spans="1:35" hidden="1" x14ac:dyDescent="0.25">
      <c r="A142" s="32"/>
      <c r="B142" s="33"/>
      <c r="C142" s="33"/>
      <c r="D142" s="33"/>
      <c r="E142" s="33"/>
      <c r="F142" s="189" t="s">
        <v>0</v>
      </c>
      <c r="G142" s="189"/>
      <c r="H142" s="189"/>
      <c r="I142" s="189" t="s">
        <v>29</v>
      </c>
      <c r="J142" s="189"/>
      <c r="K142" s="189"/>
      <c r="L142" s="189" t="s">
        <v>30</v>
      </c>
      <c r="M142" s="189"/>
      <c r="N142" s="189"/>
      <c r="O142" s="189" t="s">
        <v>31</v>
      </c>
      <c r="P142" s="189"/>
      <c r="Q142" s="189"/>
      <c r="R142" s="189" t="s">
        <v>32</v>
      </c>
      <c r="S142" s="189"/>
      <c r="T142" s="189"/>
      <c r="U142" s="189" t="s">
        <v>33</v>
      </c>
      <c r="V142" s="189"/>
      <c r="W142" s="189"/>
      <c r="X142" s="189" t="s">
        <v>34</v>
      </c>
      <c r="Y142" s="189"/>
      <c r="Z142" s="190"/>
      <c r="AA142" s="69"/>
      <c r="AB142" s="69"/>
      <c r="AC142" s="69"/>
      <c r="AD142" s="69"/>
      <c r="AE142" s="185"/>
      <c r="AF142" s="185"/>
      <c r="AG142" s="185"/>
      <c r="AH142" s="185"/>
      <c r="AI142" s="185"/>
    </row>
    <row r="143" spans="1:35" hidden="1" x14ac:dyDescent="0.25">
      <c r="A143" s="183" t="s">
        <v>40</v>
      </c>
      <c r="B143" s="184"/>
      <c r="C143" s="184"/>
      <c r="D143" s="184"/>
      <c r="E143" s="184"/>
      <c r="F143" s="177">
        <v>32.9</v>
      </c>
      <c r="G143" s="177"/>
      <c r="H143" s="177"/>
      <c r="I143" s="177">
        <v>32.550000000000011</v>
      </c>
      <c r="J143" s="177"/>
      <c r="K143" s="177"/>
      <c r="L143" s="177">
        <v>32.550000000000011</v>
      </c>
      <c r="M143" s="177"/>
      <c r="N143" s="177"/>
      <c r="O143" s="177">
        <v>32.550000000000011</v>
      </c>
      <c r="P143" s="177"/>
      <c r="Q143" s="177"/>
      <c r="R143" s="177">
        <v>32.550000000000011</v>
      </c>
      <c r="S143" s="177"/>
      <c r="T143" s="177"/>
      <c r="U143" s="177">
        <v>32.760000000000005</v>
      </c>
      <c r="V143" s="177"/>
      <c r="W143" s="177"/>
      <c r="X143" s="177">
        <v>32.760000000000005</v>
      </c>
      <c r="Y143" s="177"/>
      <c r="Z143" s="178"/>
      <c r="AA143" s="69"/>
      <c r="AB143" s="69"/>
      <c r="AC143" s="69"/>
      <c r="AD143" s="69"/>
      <c r="AE143" s="69"/>
      <c r="AF143" s="69"/>
      <c r="AG143" s="69"/>
      <c r="AH143" s="69"/>
      <c r="AI143" s="69"/>
    </row>
    <row r="144" spans="1:35" hidden="1" x14ac:dyDescent="0.25">
      <c r="A144" s="183" t="s">
        <v>43</v>
      </c>
      <c r="B144" s="184"/>
      <c r="C144" s="184"/>
      <c r="D144" s="184"/>
      <c r="E144" s="184"/>
      <c r="F144" s="177">
        <v>47.89</v>
      </c>
      <c r="G144" s="177"/>
      <c r="H144" s="177"/>
      <c r="I144" s="177">
        <v>47.31</v>
      </c>
      <c r="J144" s="177"/>
      <c r="K144" s="177"/>
      <c r="L144" s="177">
        <v>47.31</v>
      </c>
      <c r="M144" s="177"/>
      <c r="N144" s="177"/>
      <c r="O144" s="177">
        <v>47.31</v>
      </c>
      <c r="P144" s="177"/>
      <c r="Q144" s="177"/>
      <c r="R144" s="177">
        <v>47.31</v>
      </c>
      <c r="S144" s="177"/>
      <c r="T144" s="177"/>
      <c r="U144" s="177">
        <v>47.68</v>
      </c>
      <c r="V144" s="177"/>
      <c r="W144" s="177"/>
      <c r="X144" s="177">
        <v>47.68</v>
      </c>
      <c r="Y144" s="177"/>
      <c r="Z144" s="178"/>
      <c r="AA144" s="69"/>
      <c r="AB144" s="69"/>
      <c r="AC144" s="69"/>
      <c r="AD144" s="69"/>
      <c r="AE144" s="69"/>
      <c r="AF144" s="69"/>
      <c r="AG144" s="69"/>
      <c r="AH144" s="69"/>
      <c r="AI144" s="69"/>
    </row>
    <row r="145" spans="1:37" hidden="1" x14ac:dyDescent="0.25">
      <c r="A145" s="179" t="s">
        <v>44</v>
      </c>
      <c r="B145" s="180"/>
      <c r="C145" s="180"/>
      <c r="D145" s="180"/>
      <c r="E145" s="180"/>
      <c r="F145" s="181">
        <v>69.88</v>
      </c>
      <c r="G145" s="181"/>
      <c r="H145" s="181"/>
      <c r="I145" s="181">
        <v>68.990000000000009</v>
      </c>
      <c r="J145" s="181"/>
      <c r="K145" s="181"/>
      <c r="L145" s="181">
        <v>68.990000000000009</v>
      </c>
      <c r="M145" s="181"/>
      <c r="N145" s="181"/>
      <c r="O145" s="181">
        <v>68.990000000000009</v>
      </c>
      <c r="P145" s="181"/>
      <c r="Q145" s="181"/>
      <c r="R145" s="181">
        <v>68.990000000000009</v>
      </c>
      <c r="S145" s="181"/>
      <c r="T145" s="181"/>
      <c r="U145" s="181">
        <v>69.580000000000013</v>
      </c>
      <c r="V145" s="181"/>
      <c r="W145" s="181"/>
      <c r="X145" s="181">
        <v>69.580000000000013</v>
      </c>
      <c r="Y145" s="181"/>
      <c r="Z145" s="182"/>
      <c r="AA145" s="69"/>
      <c r="AB145" s="69"/>
      <c r="AC145" s="69"/>
      <c r="AD145" s="69"/>
      <c r="AE145" s="69"/>
      <c r="AF145" s="69"/>
      <c r="AG145" s="69"/>
      <c r="AH145" s="69"/>
      <c r="AI145" s="69"/>
    </row>
    <row r="146" spans="1:37" hidden="1"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row>
    <row r="147" spans="1:37" hidden="1" x14ac:dyDescent="0.25">
      <c r="A147" s="172" t="s">
        <v>46</v>
      </c>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c r="AA147" s="173"/>
      <c r="AB147" s="174"/>
      <c r="AC147" s="69"/>
      <c r="AD147" s="69"/>
      <c r="AE147" s="69"/>
      <c r="AF147" s="69"/>
      <c r="AG147" s="69"/>
      <c r="AH147" s="69"/>
      <c r="AI147" s="69"/>
      <c r="AJ147" s="69"/>
      <c r="AK147" s="69"/>
    </row>
    <row r="148" spans="1:37" hidden="1" x14ac:dyDescent="0.25">
      <c r="A148" s="175" t="s">
        <v>47</v>
      </c>
      <c r="B148" s="176"/>
      <c r="C148" s="176"/>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84"/>
      <c r="AC148" s="69"/>
      <c r="AD148" s="69"/>
      <c r="AE148" s="69"/>
      <c r="AF148" s="69"/>
      <c r="AG148" s="69"/>
      <c r="AH148" s="69"/>
      <c r="AI148" s="69"/>
      <c r="AJ148" s="69"/>
      <c r="AK148" s="69"/>
    </row>
    <row r="149" spans="1:37" hidden="1" x14ac:dyDescent="0.25">
      <c r="A149" s="153" t="s">
        <v>48</v>
      </c>
      <c r="B149" s="154"/>
      <c r="C149" s="154"/>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84"/>
      <c r="AC149" s="69"/>
      <c r="AD149" s="69"/>
      <c r="AE149" s="69"/>
      <c r="AF149" s="69"/>
      <c r="AG149" s="69"/>
      <c r="AH149" s="69"/>
      <c r="AI149" s="69"/>
      <c r="AJ149" s="69"/>
      <c r="AK149" s="69"/>
    </row>
    <row r="150" spans="1:37" hidden="1" x14ac:dyDescent="0.25">
      <c r="A150" s="83" t="s">
        <v>49</v>
      </c>
      <c r="B150" s="171">
        <v>0.6</v>
      </c>
      <c r="C150" s="171"/>
      <c r="D150" s="167">
        <v>600</v>
      </c>
      <c r="E150" s="167"/>
      <c r="F150" s="167"/>
      <c r="G150" s="168" t="s">
        <v>50</v>
      </c>
      <c r="H150" s="168"/>
      <c r="I150" s="168"/>
      <c r="J150" s="168"/>
      <c r="K150" s="168"/>
      <c r="L150" s="168"/>
      <c r="M150" s="168"/>
      <c r="N150" s="154" t="s">
        <v>51</v>
      </c>
      <c r="O150" s="154"/>
      <c r="P150" s="154"/>
      <c r="Q150" s="154"/>
      <c r="R150" s="154"/>
      <c r="S150" s="154"/>
      <c r="T150" s="154"/>
      <c r="U150" s="154"/>
      <c r="V150" s="154"/>
      <c r="W150" s="167">
        <f>ROUND(D150/B150,2)</f>
        <v>1000</v>
      </c>
      <c r="X150" s="167"/>
      <c r="Y150" s="167"/>
      <c r="Z150" s="169">
        <f>ROUND(W150*52/12,2)</f>
        <v>4333.33</v>
      </c>
      <c r="AA150" s="169"/>
      <c r="AB150" s="170"/>
      <c r="AC150" s="69"/>
      <c r="AD150" s="69"/>
      <c r="AE150" s="69"/>
      <c r="AF150" s="69"/>
      <c r="AG150" s="69"/>
      <c r="AH150" s="69"/>
      <c r="AI150" s="34"/>
      <c r="AJ150" s="34"/>
      <c r="AK150" s="34"/>
    </row>
    <row r="151" spans="1:37" hidden="1" x14ac:dyDescent="0.25">
      <c r="A151" s="83" t="s">
        <v>52</v>
      </c>
      <c r="B151" s="171">
        <v>0.6</v>
      </c>
      <c r="C151" s="171"/>
      <c r="D151" s="167">
        <v>2500</v>
      </c>
      <c r="E151" s="167"/>
      <c r="F151" s="167"/>
      <c r="G151" s="168" t="s">
        <v>53</v>
      </c>
      <c r="H151" s="168"/>
      <c r="I151" s="168"/>
      <c r="J151" s="168"/>
      <c r="K151" s="168"/>
      <c r="L151" s="168"/>
      <c r="M151" s="168"/>
      <c r="N151" s="154" t="s">
        <v>54</v>
      </c>
      <c r="O151" s="154"/>
      <c r="P151" s="154"/>
      <c r="Q151" s="154"/>
      <c r="R151" s="154"/>
      <c r="S151" s="154"/>
      <c r="T151" s="154"/>
      <c r="U151" s="154"/>
      <c r="V151" s="154"/>
      <c r="W151" s="167">
        <f>ROUND(D151/B151,2)</f>
        <v>4166.67</v>
      </c>
      <c r="X151" s="167"/>
      <c r="Y151" s="167"/>
      <c r="Z151" s="89"/>
      <c r="AA151" s="71"/>
      <c r="AB151" s="84"/>
      <c r="AC151" s="69"/>
      <c r="AD151" s="69"/>
      <c r="AE151" s="69"/>
      <c r="AF151" s="69"/>
      <c r="AG151" s="69"/>
      <c r="AH151" s="35"/>
      <c r="AI151" s="35"/>
      <c r="AJ151" s="35"/>
      <c r="AK151" s="35"/>
    </row>
    <row r="152" spans="1:37" hidden="1" x14ac:dyDescent="0.25">
      <c r="A152" s="83"/>
      <c r="B152" s="71"/>
      <c r="C152" s="71"/>
      <c r="D152" s="71"/>
      <c r="E152" s="71"/>
      <c r="F152" s="69"/>
      <c r="G152" s="90"/>
      <c r="H152" s="90"/>
      <c r="I152" s="90"/>
      <c r="J152" s="90"/>
      <c r="K152" s="90"/>
      <c r="L152" s="90"/>
      <c r="M152" s="90"/>
      <c r="N152" s="71"/>
      <c r="O152" s="71"/>
      <c r="P152" s="71"/>
      <c r="Q152" s="71"/>
      <c r="R152" s="71"/>
      <c r="S152" s="71"/>
      <c r="T152" s="71"/>
      <c r="U152" s="71"/>
      <c r="V152" s="71"/>
      <c r="W152" s="71"/>
      <c r="X152" s="71"/>
      <c r="Y152" s="71"/>
      <c r="Z152" s="71"/>
      <c r="AA152" s="71"/>
      <c r="AB152" s="84"/>
      <c r="AC152" s="69"/>
      <c r="AD152" s="35"/>
      <c r="AE152" s="69"/>
      <c r="AF152" s="69"/>
      <c r="AG152" s="69"/>
      <c r="AH152" s="69"/>
      <c r="AI152" s="69"/>
      <c r="AJ152" s="69"/>
      <c r="AK152" s="69"/>
    </row>
    <row r="153" spans="1:37" hidden="1" x14ac:dyDescent="0.25">
      <c r="A153" s="153" t="s">
        <v>55</v>
      </c>
      <c r="B153" s="154"/>
      <c r="C153" s="154"/>
      <c r="D153" s="154"/>
      <c r="E153" s="71"/>
      <c r="F153" s="69"/>
      <c r="G153" s="154"/>
      <c r="H153" s="154"/>
      <c r="I153" s="154"/>
      <c r="J153" s="154"/>
      <c r="K153" s="154"/>
      <c r="L153" s="154"/>
      <c r="M153" s="154"/>
      <c r="N153" s="71"/>
      <c r="O153" s="71"/>
      <c r="P153" s="71"/>
      <c r="Q153" s="71"/>
      <c r="R153" s="71"/>
      <c r="S153" s="71"/>
      <c r="T153" s="71"/>
      <c r="U153" s="71"/>
      <c r="V153" s="71"/>
      <c r="W153" s="71"/>
      <c r="X153" s="71"/>
      <c r="Y153" s="71"/>
      <c r="Z153" s="71"/>
      <c r="AA153" s="71"/>
      <c r="AB153" s="84"/>
      <c r="AC153" s="69"/>
      <c r="AD153" s="35"/>
      <c r="AE153" s="69"/>
      <c r="AF153" s="69"/>
      <c r="AG153" s="69"/>
      <c r="AH153" s="69"/>
      <c r="AI153" s="69"/>
      <c r="AJ153" s="69"/>
      <c r="AK153" s="69"/>
    </row>
    <row r="154" spans="1:37" hidden="1" x14ac:dyDescent="0.25">
      <c r="A154" s="83" t="s">
        <v>49</v>
      </c>
      <c r="B154" s="166">
        <v>0.66669999999999996</v>
      </c>
      <c r="C154" s="166"/>
      <c r="D154" s="167">
        <v>1650</v>
      </c>
      <c r="E154" s="167"/>
      <c r="F154" s="167"/>
      <c r="G154" s="168" t="s">
        <v>50</v>
      </c>
      <c r="H154" s="168"/>
      <c r="I154" s="168"/>
      <c r="J154" s="168"/>
      <c r="K154" s="168"/>
      <c r="L154" s="168"/>
      <c r="M154" s="168"/>
      <c r="N154" s="154" t="s">
        <v>51</v>
      </c>
      <c r="O154" s="154"/>
      <c r="P154" s="154"/>
      <c r="Q154" s="154"/>
      <c r="R154" s="154"/>
      <c r="S154" s="154"/>
      <c r="T154" s="154"/>
      <c r="U154" s="154"/>
      <c r="V154" s="154"/>
      <c r="W154" s="167">
        <f>ROUND(D154/B154,2)</f>
        <v>2474.88</v>
      </c>
      <c r="X154" s="167"/>
      <c r="Y154" s="167"/>
      <c r="Z154" s="169">
        <f>ROUND(W154*52/12,2)</f>
        <v>10724.48</v>
      </c>
      <c r="AA154" s="169"/>
      <c r="AB154" s="170"/>
      <c r="AC154" s="34"/>
      <c r="AD154" s="69"/>
      <c r="AE154" s="69"/>
      <c r="AF154" s="69"/>
      <c r="AG154" s="69"/>
      <c r="AH154" s="69"/>
      <c r="AI154" s="69"/>
      <c r="AJ154" s="69"/>
      <c r="AK154" s="69"/>
    </row>
    <row r="155" spans="1:37" hidden="1" x14ac:dyDescent="0.25">
      <c r="A155" s="83" t="s">
        <v>52</v>
      </c>
      <c r="B155" s="166">
        <v>0.66669999999999996</v>
      </c>
      <c r="C155" s="166"/>
      <c r="D155" s="167">
        <v>7000</v>
      </c>
      <c r="E155" s="167"/>
      <c r="F155" s="167"/>
      <c r="G155" s="168" t="s">
        <v>53</v>
      </c>
      <c r="H155" s="168"/>
      <c r="I155" s="168"/>
      <c r="J155" s="168"/>
      <c r="K155" s="168"/>
      <c r="L155" s="168"/>
      <c r="M155" s="168"/>
      <c r="N155" s="154" t="s">
        <v>54</v>
      </c>
      <c r="O155" s="154"/>
      <c r="P155" s="154"/>
      <c r="Q155" s="154"/>
      <c r="R155" s="154"/>
      <c r="S155" s="154"/>
      <c r="T155" s="154"/>
      <c r="U155" s="154"/>
      <c r="V155" s="154"/>
      <c r="W155" s="167">
        <f>ROUND(D155/B155,2)</f>
        <v>10499.48</v>
      </c>
      <c r="X155" s="167"/>
      <c r="Y155" s="167"/>
      <c r="Z155" s="89"/>
      <c r="AA155" s="71"/>
      <c r="AB155" s="84"/>
      <c r="AC155" s="69"/>
      <c r="AD155" s="69"/>
      <c r="AE155" s="69"/>
      <c r="AF155" s="69"/>
      <c r="AG155" s="69"/>
      <c r="AH155" s="69"/>
      <c r="AI155" s="69"/>
      <c r="AJ155" s="69"/>
      <c r="AK155" s="69"/>
    </row>
    <row r="156" spans="1:37" hidden="1" x14ac:dyDescent="0.25">
      <c r="A156" s="83"/>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84"/>
      <c r="AC156" s="69"/>
      <c r="AD156" s="69"/>
      <c r="AE156" s="69"/>
      <c r="AF156" s="69"/>
      <c r="AG156" s="69"/>
      <c r="AH156" s="69"/>
      <c r="AI156" s="69"/>
      <c r="AJ156" s="69"/>
      <c r="AK156" s="69"/>
    </row>
    <row r="157" spans="1:37" hidden="1" x14ac:dyDescent="0.25">
      <c r="A157" s="153" t="s">
        <v>56</v>
      </c>
      <c r="B157" s="154"/>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84"/>
      <c r="AC157" s="69"/>
      <c r="AD157" s="69"/>
      <c r="AE157" s="69"/>
      <c r="AF157" s="69"/>
      <c r="AG157" s="69"/>
      <c r="AH157" s="69"/>
      <c r="AI157" s="69"/>
      <c r="AJ157" s="69"/>
      <c r="AK157" s="69"/>
    </row>
    <row r="158" spans="1:37" hidden="1" x14ac:dyDescent="0.25">
      <c r="A158" s="153" t="s">
        <v>48</v>
      </c>
      <c r="B158" s="154"/>
      <c r="C158" s="154"/>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84"/>
      <c r="AC158" s="69"/>
      <c r="AD158" s="69"/>
      <c r="AE158" s="69"/>
      <c r="AF158" s="69"/>
      <c r="AG158" s="69"/>
      <c r="AH158" s="69"/>
      <c r="AI158" s="69"/>
      <c r="AJ158" s="69"/>
      <c r="AK158" s="69"/>
    </row>
    <row r="159" spans="1:37" hidden="1" x14ac:dyDescent="0.25">
      <c r="A159" s="153" t="s">
        <v>57</v>
      </c>
      <c r="B159" s="154"/>
      <c r="C159" s="154"/>
      <c r="D159" s="154"/>
      <c r="E159" s="154"/>
      <c r="F159" s="154"/>
      <c r="G159" s="154"/>
      <c r="H159" s="154"/>
      <c r="I159" s="154"/>
      <c r="J159" s="154"/>
      <c r="K159" s="154"/>
      <c r="L159" s="154"/>
      <c r="M159" s="165">
        <v>0.13800000000000001</v>
      </c>
      <c r="N159" s="165"/>
      <c r="O159" s="165"/>
      <c r="P159" s="154" t="s">
        <v>58</v>
      </c>
      <c r="Q159" s="154"/>
      <c r="R159" s="154"/>
      <c r="S159" s="71"/>
      <c r="T159" s="71"/>
      <c r="U159" s="71"/>
      <c r="V159" s="71"/>
      <c r="W159" s="71"/>
      <c r="X159" s="71"/>
      <c r="Y159" s="71"/>
      <c r="Z159" s="71"/>
      <c r="AA159" s="71"/>
      <c r="AB159" s="84"/>
      <c r="AC159" s="69"/>
      <c r="AD159" s="69"/>
      <c r="AE159" s="69"/>
      <c r="AF159" s="69"/>
      <c r="AG159" s="69"/>
      <c r="AH159" s="69"/>
      <c r="AI159" s="69"/>
      <c r="AJ159" s="69"/>
      <c r="AK159" s="69"/>
    </row>
    <row r="160" spans="1:37" hidden="1" x14ac:dyDescent="0.25">
      <c r="A160" s="153" t="s">
        <v>59</v>
      </c>
      <c r="B160" s="154"/>
      <c r="C160" s="154"/>
      <c r="D160" s="154"/>
      <c r="E160" s="154"/>
      <c r="F160" s="154"/>
      <c r="G160" s="154"/>
      <c r="H160" s="154"/>
      <c r="I160" s="154"/>
      <c r="J160" s="154"/>
      <c r="K160" s="154"/>
      <c r="L160" s="154"/>
      <c r="M160" s="165">
        <v>0.19400000000000001</v>
      </c>
      <c r="N160" s="165"/>
      <c r="O160" s="165"/>
      <c r="P160" s="154" t="s">
        <v>58</v>
      </c>
      <c r="Q160" s="154"/>
      <c r="R160" s="154"/>
      <c r="S160" s="71"/>
      <c r="T160" s="71"/>
      <c r="U160" s="71"/>
      <c r="V160" s="71"/>
      <c r="W160" s="71"/>
      <c r="X160" s="71"/>
      <c r="Y160" s="71"/>
      <c r="Z160" s="71"/>
      <c r="AA160" s="71"/>
      <c r="AB160" s="84"/>
      <c r="AC160" s="69"/>
      <c r="AD160" s="69"/>
      <c r="AE160" s="69"/>
      <c r="AF160" s="69"/>
      <c r="AG160" s="69"/>
      <c r="AH160" s="69"/>
      <c r="AI160" s="69"/>
      <c r="AJ160" s="69"/>
      <c r="AK160" s="69"/>
    </row>
    <row r="161" spans="1:45" hidden="1" x14ac:dyDescent="0.25">
      <c r="A161" s="83"/>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84"/>
      <c r="AC161" s="69"/>
      <c r="AD161" s="69"/>
      <c r="AE161" s="69"/>
      <c r="AF161" s="69"/>
      <c r="AG161" s="69"/>
      <c r="AH161" s="69"/>
      <c r="AI161" s="69"/>
      <c r="AJ161" s="69"/>
      <c r="AK161" s="69"/>
    </row>
    <row r="162" spans="1:45" hidden="1" x14ac:dyDescent="0.25">
      <c r="A162" s="83" t="s">
        <v>55</v>
      </c>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84"/>
      <c r="AC162" s="69"/>
      <c r="AD162" s="69"/>
      <c r="AE162" s="69"/>
      <c r="AF162" s="69"/>
      <c r="AG162" s="69"/>
      <c r="AH162" s="69"/>
      <c r="AI162" s="69"/>
      <c r="AJ162" s="69"/>
      <c r="AK162" s="69"/>
    </row>
    <row r="163" spans="1:45" hidden="1" x14ac:dyDescent="0.25">
      <c r="A163" s="153" t="s">
        <v>57</v>
      </c>
      <c r="B163" s="154"/>
      <c r="C163" s="154"/>
      <c r="D163" s="154"/>
      <c r="E163" s="154"/>
      <c r="F163" s="154"/>
      <c r="G163" s="154"/>
      <c r="H163" s="154"/>
      <c r="I163" s="154"/>
      <c r="J163" s="154"/>
      <c r="K163" s="154"/>
      <c r="L163" s="154"/>
      <c r="M163" s="155">
        <v>0.08</v>
      </c>
      <c r="N163" s="155"/>
      <c r="O163" s="155"/>
      <c r="P163" s="71" t="s">
        <v>58</v>
      </c>
      <c r="Q163" s="71"/>
      <c r="R163" s="71"/>
      <c r="S163" s="71"/>
      <c r="T163" s="71"/>
      <c r="U163" s="71"/>
      <c r="V163" s="71"/>
      <c r="W163" s="71"/>
      <c r="X163" s="71"/>
      <c r="Y163" s="71"/>
      <c r="Z163" s="71"/>
      <c r="AA163" s="71"/>
      <c r="AB163" s="84"/>
      <c r="AC163" s="69"/>
      <c r="AD163" s="69"/>
      <c r="AE163" s="69"/>
      <c r="AF163" s="69"/>
      <c r="AG163" s="69"/>
      <c r="AH163" s="69"/>
      <c r="AI163" s="69"/>
      <c r="AJ163" s="69"/>
      <c r="AK163" s="69"/>
      <c r="AL163" s="69"/>
      <c r="AM163" s="69"/>
      <c r="AN163" s="69"/>
      <c r="AO163" s="69"/>
      <c r="AP163" s="69"/>
      <c r="AQ163" s="69"/>
      <c r="AR163" s="69"/>
      <c r="AS163" s="69"/>
    </row>
    <row r="164" spans="1:45" hidden="1" x14ac:dyDescent="0.25">
      <c r="A164" s="156" t="s">
        <v>59</v>
      </c>
      <c r="B164" s="157"/>
      <c r="C164" s="157"/>
      <c r="D164" s="157"/>
      <c r="E164" s="157"/>
      <c r="F164" s="157"/>
      <c r="G164" s="157"/>
      <c r="H164" s="157"/>
      <c r="I164" s="157"/>
      <c r="J164" s="157"/>
      <c r="K164" s="157"/>
      <c r="L164" s="157"/>
      <c r="M164" s="158">
        <v>0.17299999999999999</v>
      </c>
      <c r="N164" s="158"/>
      <c r="O164" s="158"/>
      <c r="P164" s="91" t="s">
        <v>58</v>
      </c>
      <c r="Q164" s="91"/>
      <c r="R164" s="91"/>
      <c r="S164" s="91"/>
      <c r="T164" s="91"/>
      <c r="U164" s="91"/>
      <c r="V164" s="91"/>
      <c r="W164" s="91"/>
      <c r="X164" s="91"/>
      <c r="Y164" s="91"/>
      <c r="Z164" s="91"/>
      <c r="AA164" s="91"/>
      <c r="AB164" s="36"/>
      <c r="AC164" s="69"/>
      <c r="AD164" s="69"/>
      <c r="AE164" s="69"/>
      <c r="AF164" s="69"/>
      <c r="AG164" s="69"/>
      <c r="AH164" s="69"/>
      <c r="AI164" s="69"/>
      <c r="AJ164" s="69"/>
      <c r="AK164" s="69"/>
      <c r="AL164" s="69"/>
      <c r="AM164" s="69"/>
      <c r="AN164" s="69"/>
      <c r="AO164" s="69"/>
      <c r="AP164" s="69"/>
      <c r="AQ164" s="69"/>
      <c r="AR164" s="69"/>
      <c r="AS164" s="69"/>
    </row>
    <row r="165" spans="1:45" hidden="1"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row>
    <row r="166" spans="1:45" hidden="1" x14ac:dyDescent="0.25">
      <c r="A166" s="159" t="s">
        <v>60</v>
      </c>
      <c r="B166" s="160"/>
      <c r="C166" s="160"/>
      <c r="D166" s="160"/>
      <c r="E166" s="161"/>
      <c r="F166" s="69"/>
      <c r="G166" s="162" t="s">
        <v>61</v>
      </c>
      <c r="H166" s="163"/>
      <c r="I166" s="163"/>
      <c r="J166" s="163"/>
      <c r="K166" s="163"/>
      <c r="L166" s="164"/>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row>
    <row r="167" spans="1:45" hidden="1" x14ac:dyDescent="0.25">
      <c r="A167" s="139" t="s">
        <v>62</v>
      </c>
      <c r="B167" s="140"/>
      <c r="C167" s="140"/>
      <c r="D167" s="140"/>
      <c r="E167" s="141"/>
      <c r="F167" s="69"/>
      <c r="G167" s="37"/>
      <c r="H167" s="90"/>
      <c r="I167" s="90"/>
      <c r="J167" s="90"/>
      <c r="K167" s="90"/>
      <c r="L167" s="38"/>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row>
    <row r="168" spans="1:45" hidden="1" x14ac:dyDescent="0.25">
      <c r="A168" s="133" t="s">
        <v>20</v>
      </c>
      <c r="B168" s="134"/>
      <c r="C168" s="142">
        <f>0.09/1000</f>
        <v>8.9999999999999992E-5</v>
      </c>
      <c r="D168" s="142"/>
      <c r="E168" s="142"/>
      <c r="F168" s="69"/>
      <c r="G168" s="39" t="s">
        <v>63</v>
      </c>
      <c r="H168" s="40"/>
      <c r="I168" s="40"/>
      <c r="J168" s="40"/>
      <c r="K168" s="40"/>
      <c r="L168" s="41"/>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row>
    <row r="169" spans="1:45" hidden="1" x14ac:dyDescent="0.25">
      <c r="A169" s="128" t="s">
        <v>64</v>
      </c>
      <c r="B169" s="129"/>
      <c r="C169" s="143">
        <f>0.025/1000</f>
        <v>2.5000000000000001E-5</v>
      </c>
      <c r="D169" s="143"/>
      <c r="E169" s="144"/>
      <c r="F169" s="69"/>
      <c r="G169" s="90"/>
      <c r="H169" s="90"/>
      <c r="I169" s="90"/>
      <c r="J169" s="90"/>
      <c r="K169" s="90"/>
      <c r="L169" s="90"/>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row>
    <row r="170" spans="1:45" hidden="1"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row>
    <row r="171" spans="1:45" hidden="1" x14ac:dyDescent="0.25">
      <c r="A171" s="145" t="s">
        <v>65</v>
      </c>
      <c r="B171" s="146"/>
      <c r="C171" s="146"/>
      <c r="D171" s="146"/>
      <c r="E171" s="146"/>
      <c r="F171" s="146"/>
      <c r="G171" s="146"/>
      <c r="H171" s="146"/>
      <c r="I171" s="146"/>
      <c r="J171" s="146"/>
      <c r="K171" s="146"/>
      <c r="L171" s="146"/>
      <c r="M171" s="146"/>
      <c r="N171" s="146"/>
      <c r="O171" s="146"/>
      <c r="P171" s="146"/>
      <c r="Q171" s="146"/>
      <c r="R171" s="146"/>
      <c r="S171" s="146"/>
      <c r="T171" s="146"/>
      <c r="U171" s="147"/>
      <c r="V171" s="69"/>
      <c r="W171" s="69"/>
      <c r="X171" s="69"/>
      <c r="Y171" s="145" t="s">
        <v>66</v>
      </c>
      <c r="Z171" s="146"/>
      <c r="AA171" s="146"/>
      <c r="AB171" s="146"/>
      <c r="AC171" s="146"/>
      <c r="AD171" s="146"/>
      <c r="AE171" s="146"/>
      <c r="AF171" s="146"/>
      <c r="AG171" s="146"/>
      <c r="AH171" s="146"/>
      <c r="AI171" s="146"/>
      <c r="AJ171" s="146"/>
      <c r="AK171" s="146"/>
      <c r="AL171" s="146"/>
      <c r="AM171" s="146"/>
      <c r="AN171" s="146"/>
      <c r="AO171" s="146"/>
      <c r="AP171" s="147"/>
      <c r="AQ171" s="69"/>
      <c r="AR171" s="69"/>
      <c r="AS171" s="69"/>
    </row>
    <row r="172" spans="1:45" s="42" customFormat="1" hidden="1" x14ac:dyDescent="0.25">
      <c r="A172" s="148" t="s">
        <v>67</v>
      </c>
      <c r="B172" s="148"/>
      <c r="C172" s="148"/>
      <c r="D172" s="149">
        <v>10000</v>
      </c>
      <c r="E172" s="149"/>
      <c r="F172" s="149"/>
      <c r="G172" s="149">
        <v>20000</v>
      </c>
      <c r="H172" s="149"/>
      <c r="I172" s="149"/>
      <c r="J172" s="149">
        <v>40000</v>
      </c>
      <c r="K172" s="149"/>
      <c r="L172" s="149"/>
      <c r="M172" s="149">
        <v>60000</v>
      </c>
      <c r="N172" s="149"/>
      <c r="O172" s="149"/>
      <c r="P172" s="149">
        <v>80000</v>
      </c>
      <c r="Q172" s="149"/>
      <c r="R172" s="149"/>
      <c r="S172" s="149">
        <v>100000</v>
      </c>
      <c r="T172" s="149"/>
      <c r="U172" s="150"/>
      <c r="Y172" s="151">
        <v>5000</v>
      </c>
      <c r="Z172" s="138"/>
      <c r="AA172" s="138"/>
      <c r="AB172" s="138">
        <v>10000</v>
      </c>
      <c r="AC172" s="138"/>
      <c r="AD172" s="138"/>
      <c r="AE172" s="138">
        <v>20000</v>
      </c>
      <c r="AF172" s="138"/>
      <c r="AG172" s="138"/>
      <c r="AH172" s="138">
        <v>30000</v>
      </c>
      <c r="AI172" s="138"/>
      <c r="AJ172" s="138"/>
      <c r="AK172" s="138">
        <v>40000</v>
      </c>
      <c r="AL172" s="138"/>
      <c r="AM172" s="138"/>
      <c r="AN172" s="138">
        <v>50000</v>
      </c>
      <c r="AO172" s="138"/>
      <c r="AP172" s="152"/>
    </row>
    <row r="173" spans="1:45" s="42" customFormat="1" hidden="1" x14ac:dyDescent="0.25">
      <c r="A173" s="43"/>
      <c r="B173" s="44"/>
      <c r="C173" s="44"/>
      <c r="D173" s="97"/>
      <c r="E173" s="97"/>
      <c r="F173" s="97"/>
      <c r="G173" s="97"/>
      <c r="H173" s="97"/>
      <c r="I173" s="97"/>
      <c r="J173" s="97"/>
      <c r="K173" s="97"/>
      <c r="L173" s="97"/>
      <c r="M173" s="97"/>
      <c r="N173" s="97"/>
      <c r="O173" s="97"/>
      <c r="P173" s="97"/>
      <c r="Q173" s="97"/>
      <c r="R173" s="97"/>
      <c r="S173" s="97"/>
      <c r="T173" s="97"/>
      <c r="U173" s="98"/>
      <c r="Y173" s="99"/>
      <c r="Z173" s="95"/>
      <c r="AA173" s="95"/>
      <c r="AB173" s="95"/>
      <c r="AC173" s="95"/>
      <c r="AD173" s="95"/>
      <c r="AE173" s="95"/>
      <c r="AF173" s="95"/>
      <c r="AG173" s="95"/>
      <c r="AH173" s="95"/>
      <c r="AI173" s="95"/>
      <c r="AJ173" s="95"/>
      <c r="AK173" s="95"/>
      <c r="AL173" s="95"/>
      <c r="AM173" s="95"/>
      <c r="AN173" s="95"/>
      <c r="AO173" s="95"/>
      <c r="AP173" s="100"/>
    </row>
    <row r="174" spans="1:45" s="42" customFormat="1" hidden="1" x14ac:dyDescent="0.25">
      <c r="A174" s="45" t="s">
        <v>68</v>
      </c>
      <c r="B174" s="46"/>
      <c r="C174" s="46"/>
      <c r="D174" s="136">
        <v>0.41538461538461535</v>
      </c>
      <c r="E174" s="136"/>
      <c r="F174" s="136"/>
      <c r="G174" s="136">
        <v>0.8307692307692307</v>
      </c>
      <c r="H174" s="136"/>
      <c r="I174" s="136"/>
      <c r="J174" s="136">
        <v>1.6615384615384614</v>
      </c>
      <c r="K174" s="136"/>
      <c r="L174" s="136"/>
      <c r="M174" s="136">
        <v>2.4923076923076928</v>
      </c>
      <c r="N174" s="136"/>
      <c r="O174" s="136"/>
      <c r="P174" s="136">
        <v>3.3230769230769228</v>
      </c>
      <c r="Q174" s="136"/>
      <c r="R174" s="136"/>
      <c r="S174" s="136">
        <v>4.1538461538461542</v>
      </c>
      <c r="T174" s="136"/>
      <c r="U174" s="137"/>
      <c r="Y174" s="133">
        <v>0.20769230769230768</v>
      </c>
      <c r="Z174" s="134"/>
      <c r="AA174" s="134"/>
      <c r="AB174" s="134">
        <v>0.41538461538461535</v>
      </c>
      <c r="AC174" s="134"/>
      <c r="AD174" s="134"/>
      <c r="AE174" s="134">
        <v>0.8307692307692307</v>
      </c>
      <c r="AF174" s="134"/>
      <c r="AG174" s="134"/>
      <c r="AH174" s="134">
        <v>1.2461538461538464</v>
      </c>
      <c r="AI174" s="134"/>
      <c r="AJ174" s="134"/>
      <c r="AK174" s="134">
        <v>1.6615384615384614</v>
      </c>
      <c r="AL174" s="134"/>
      <c r="AM174" s="134"/>
      <c r="AN174" s="134">
        <v>2.0769230769230771</v>
      </c>
      <c r="AO174" s="134"/>
      <c r="AP174" s="135"/>
      <c r="AR174" s="47">
        <v>10000</v>
      </c>
      <c r="AS174" s="47">
        <v>5000</v>
      </c>
    </row>
    <row r="175" spans="1:45" s="42" customFormat="1" hidden="1" x14ac:dyDescent="0.25">
      <c r="A175" s="45" t="s">
        <v>23</v>
      </c>
      <c r="B175" s="46"/>
      <c r="C175" s="46"/>
      <c r="D175" s="136">
        <v>0.46153846153846156</v>
      </c>
      <c r="E175" s="136"/>
      <c r="F175" s="136"/>
      <c r="G175" s="136">
        <v>0.92307692307692313</v>
      </c>
      <c r="H175" s="136"/>
      <c r="I175" s="136"/>
      <c r="J175" s="136">
        <v>1.8461538461538463</v>
      </c>
      <c r="K175" s="136"/>
      <c r="L175" s="136"/>
      <c r="M175" s="136">
        <v>2.7692307692307692</v>
      </c>
      <c r="N175" s="136"/>
      <c r="O175" s="136"/>
      <c r="P175" s="136">
        <v>3.6923076923076925</v>
      </c>
      <c r="Q175" s="136"/>
      <c r="R175" s="136"/>
      <c r="S175" s="136">
        <v>4.615384615384615</v>
      </c>
      <c r="T175" s="136"/>
      <c r="U175" s="137"/>
      <c r="Y175" s="133">
        <v>0.23076923076923078</v>
      </c>
      <c r="Z175" s="134"/>
      <c r="AA175" s="134"/>
      <c r="AB175" s="134">
        <v>0.46153846153846156</v>
      </c>
      <c r="AC175" s="134"/>
      <c r="AD175" s="134"/>
      <c r="AE175" s="134">
        <v>0.92307692307692313</v>
      </c>
      <c r="AF175" s="134"/>
      <c r="AG175" s="134"/>
      <c r="AH175" s="134">
        <v>1.3846153846153846</v>
      </c>
      <c r="AI175" s="134"/>
      <c r="AJ175" s="134"/>
      <c r="AK175" s="134">
        <v>1.8461538461538463</v>
      </c>
      <c r="AL175" s="134"/>
      <c r="AM175" s="134"/>
      <c r="AN175" s="134">
        <v>2.3076923076923075</v>
      </c>
      <c r="AO175" s="134"/>
      <c r="AP175" s="135"/>
      <c r="AR175" s="47">
        <v>20000</v>
      </c>
      <c r="AS175" s="47">
        <v>10000</v>
      </c>
    </row>
    <row r="176" spans="1:45" s="42" customFormat="1" hidden="1" x14ac:dyDescent="0.25">
      <c r="A176" s="45" t="s">
        <v>69</v>
      </c>
      <c r="B176" s="46"/>
      <c r="C176" s="46"/>
      <c r="D176" s="136">
        <v>0.55384615384615377</v>
      </c>
      <c r="E176" s="136"/>
      <c r="F176" s="136"/>
      <c r="G176" s="136">
        <v>1.1076923076923075</v>
      </c>
      <c r="H176" s="136"/>
      <c r="I176" s="136"/>
      <c r="J176" s="136">
        <v>2.2153846153846151</v>
      </c>
      <c r="K176" s="136"/>
      <c r="L176" s="136"/>
      <c r="M176" s="136">
        <v>3.3230769230769233</v>
      </c>
      <c r="N176" s="136"/>
      <c r="O176" s="136"/>
      <c r="P176" s="136">
        <v>4.4307692307692301</v>
      </c>
      <c r="Q176" s="136"/>
      <c r="R176" s="136"/>
      <c r="S176" s="136">
        <v>5.5384615384615383</v>
      </c>
      <c r="T176" s="136"/>
      <c r="U176" s="137"/>
      <c r="Y176" s="133">
        <v>0.27692307692307688</v>
      </c>
      <c r="Z176" s="134"/>
      <c r="AA176" s="134"/>
      <c r="AB176" s="134">
        <v>0.55384615384615377</v>
      </c>
      <c r="AC176" s="134"/>
      <c r="AD176" s="134"/>
      <c r="AE176" s="134">
        <v>1.1076923076923075</v>
      </c>
      <c r="AF176" s="134"/>
      <c r="AG176" s="134"/>
      <c r="AH176" s="134">
        <v>1.6615384615384616</v>
      </c>
      <c r="AI176" s="134"/>
      <c r="AJ176" s="134"/>
      <c r="AK176" s="134">
        <v>2.2153846153846151</v>
      </c>
      <c r="AL176" s="134"/>
      <c r="AM176" s="134"/>
      <c r="AN176" s="134">
        <v>2.7692307692307692</v>
      </c>
      <c r="AO176" s="134"/>
      <c r="AP176" s="135"/>
      <c r="AR176" s="47">
        <v>40000</v>
      </c>
      <c r="AS176" s="47">
        <v>20000</v>
      </c>
    </row>
    <row r="177" spans="1:45" s="42" customFormat="1" hidden="1" x14ac:dyDescent="0.25">
      <c r="A177" s="45" t="s">
        <v>70</v>
      </c>
      <c r="B177" s="46"/>
      <c r="C177" s="46"/>
      <c r="D177" s="136">
        <v>0.83076923076923082</v>
      </c>
      <c r="E177" s="136"/>
      <c r="F177" s="136"/>
      <c r="G177" s="136">
        <v>1.6615384615384616</v>
      </c>
      <c r="H177" s="136"/>
      <c r="I177" s="136"/>
      <c r="J177" s="136">
        <v>3.3230769230769233</v>
      </c>
      <c r="K177" s="136"/>
      <c r="L177" s="136"/>
      <c r="M177" s="136">
        <v>4.9846153846153856</v>
      </c>
      <c r="N177" s="136"/>
      <c r="O177" s="136"/>
      <c r="P177" s="136">
        <v>6.6461538461538465</v>
      </c>
      <c r="Q177" s="136"/>
      <c r="R177" s="136"/>
      <c r="S177" s="136">
        <v>8.3076923076923084</v>
      </c>
      <c r="T177" s="136"/>
      <c r="U177" s="137"/>
      <c r="Y177" s="133">
        <v>0.41538461538461541</v>
      </c>
      <c r="Z177" s="134"/>
      <c r="AA177" s="134"/>
      <c r="AB177" s="134">
        <v>0.83076923076923082</v>
      </c>
      <c r="AC177" s="134"/>
      <c r="AD177" s="134"/>
      <c r="AE177" s="134">
        <v>1.6615384615384616</v>
      </c>
      <c r="AF177" s="134"/>
      <c r="AG177" s="134"/>
      <c r="AH177" s="134">
        <v>2.4923076923076928</v>
      </c>
      <c r="AI177" s="134"/>
      <c r="AJ177" s="134"/>
      <c r="AK177" s="134">
        <v>3.3230769230769233</v>
      </c>
      <c r="AL177" s="134"/>
      <c r="AM177" s="134"/>
      <c r="AN177" s="134">
        <v>4.1538461538461542</v>
      </c>
      <c r="AO177" s="134"/>
      <c r="AP177" s="135"/>
      <c r="AR177" s="47">
        <v>60000</v>
      </c>
      <c r="AS177" s="47">
        <v>30000</v>
      </c>
    </row>
    <row r="178" spans="1:45" s="42" customFormat="1" hidden="1" x14ac:dyDescent="0.25">
      <c r="A178" s="48" t="s">
        <v>71</v>
      </c>
      <c r="B178" s="49"/>
      <c r="C178" s="49"/>
      <c r="D178" s="136">
        <v>1.2923076923076922</v>
      </c>
      <c r="E178" s="136"/>
      <c r="F178" s="136"/>
      <c r="G178" s="136">
        <v>2.5846153846153843</v>
      </c>
      <c r="H178" s="136"/>
      <c r="I178" s="136"/>
      <c r="J178" s="136">
        <v>5.1692307692307686</v>
      </c>
      <c r="K178" s="136"/>
      <c r="L178" s="136"/>
      <c r="M178" s="136">
        <v>7.7538461538461547</v>
      </c>
      <c r="N178" s="136"/>
      <c r="O178" s="136"/>
      <c r="P178" s="136">
        <v>10.338461538461537</v>
      </c>
      <c r="Q178" s="136"/>
      <c r="R178" s="136"/>
      <c r="S178" s="136">
        <v>12.923076923076923</v>
      </c>
      <c r="T178" s="136"/>
      <c r="U178" s="137"/>
      <c r="Y178" s="133">
        <v>0.64615384615384608</v>
      </c>
      <c r="Z178" s="134"/>
      <c r="AA178" s="134"/>
      <c r="AB178" s="134">
        <v>1.2923076923076922</v>
      </c>
      <c r="AC178" s="134"/>
      <c r="AD178" s="134"/>
      <c r="AE178" s="134">
        <v>2.5846153846153843</v>
      </c>
      <c r="AF178" s="134"/>
      <c r="AG178" s="134"/>
      <c r="AH178" s="134">
        <v>3.8769230769230774</v>
      </c>
      <c r="AI178" s="134"/>
      <c r="AJ178" s="134"/>
      <c r="AK178" s="134">
        <v>5.1692307692307686</v>
      </c>
      <c r="AL178" s="134"/>
      <c r="AM178" s="134"/>
      <c r="AN178" s="134">
        <v>6.4615384615384617</v>
      </c>
      <c r="AO178" s="134"/>
      <c r="AP178" s="135"/>
      <c r="AR178" s="47">
        <v>80000</v>
      </c>
      <c r="AS178" s="47">
        <v>40000</v>
      </c>
    </row>
    <row r="179" spans="1:45" s="42" customFormat="1" hidden="1" x14ac:dyDescent="0.25">
      <c r="A179" s="48" t="s">
        <v>72</v>
      </c>
      <c r="B179" s="49"/>
      <c r="C179" s="49"/>
      <c r="D179" s="136">
        <v>1.8461538461538463</v>
      </c>
      <c r="E179" s="136"/>
      <c r="F179" s="136"/>
      <c r="G179" s="136">
        <v>3.6923076923076925</v>
      </c>
      <c r="H179" s="136"/>
      <c r="I179" s="136"/>
      <c r="J179" s="136">
        <v>7.384615384615385</v>
      </c>
      <c r="K179" s="136"/>
      <c r="L179" s="136"/>
      <c r="M179" s="136">
        <v>11.076923076923077</v>
      </c>
      <c r="N179" s="136"/>
      <c r="O179" s="136"/>
      <c r="P179" s="136">
        <v>14.76923076923077</v>
      </c>
      <c r="Q179" s="136"/>
      <c r="R179" s="136"/>
      <c r="S179" s="136">
        <v>18.46153846153846</v>
      </c>
      <c r="T179" s="136"/>
      <c r="U179" s="137"/>
      <c r="Y179" s="133">
        <v>0.92307692307692313</v>
      </c>
      <c r="Z179" s="134"/>
      <c r="AA179" s="134"/>
      <c r="AB179" s="134">
        <v>1.8461538461538463</v>
      </c>
      <c r="AC179" s="134"/>
      <c r="AD179" s="134"/>
      <c r="AE179" s="134">
        <v>3.6923076923076925</v>
      </c>
      <c r="AF179" s="134"/>
      <c r="AG179" s="134"/>
      <c r="AH179" s="134">
        <v>5.5384615384615383</v>
      </c>
      <c r="AI179" s="134"/>
      <c r="AJ179" s="134"/>
      <c r="AK179" s="134">
        <v>7.384615384615385</v>
      </c>
      <c r="AL179" s="134"/>
      <c r="AM179" s="134"/>
      <c r="AN179" s="134">
        <v>9.2307692307692299</v>
      </c>
      <c r="AO179" s="134"/>
      <c r="AP179" s="135"/>
      <c r="AR179" s="47">
        <v>100000</v>
      </c>
      <c r="AS179" s="47">
        <v>50000</v>
      </c>
    </row>
    <row r="180" spans="1:45" s="42" customFormat="1" hidden="1" x14ac:dyDescent="0.25">
      <c r="A180" s="48" t="s">
        <v>73</v>
      </c>
      <c r="B180" s="49"/>
      <c r="C180" s="49"/>
      <c r="D180" s="136">
        <v>2.7230769230769236</v>
      </c>
      <c r="E180" s="136"/>
      <c r="F180" s="136"/>
      <c r="G180" s="136">
        <v>5.4461538461538472</v>
      </c>
      <c r="H180" s="136"/>
      <c r="I180" s="136"/>
      <c r="J180" s="136">
        <v>10.892307692307694</v>
      </c>
      <c r="K180" s="136"/>
      <c r="L180" s="136"/>
      <c r="M180" s="136">
        <v>16.338461538461537</v>
      </c>
      <c r="N180" s="136"/>
      <c r="O180" s="136"/>
      <c r="P180" s="136">
        <v>21.784615384615389</v>
      </c>
      <c r="Q180" s="136"/>
      <c r="R180" s="136"/>
      <c r="S180" s="136">
        <v>27.230769230769234</v>
      </c>
      <c r="T180" s="136"/>
      <c r="U180" s="137"/>
      <c r="Y180" s="133">
        <v>1.3615384615384618</v>
      </c>
      <c r="Z180" s="134"/>
      <c r="AA180" s="134"/>
      <c r="AB180" s="134">
        <v>2.7230769230769236</v>
      </c>
      <c r="AC180" s="134"/>
      <c r="AD180" s="134"/>
      <c r="AE180" s="134">
        <v>5.4461538461538472</v>
      </c>
      <c r="AF180" s="134"/>
      <c r="AG180" s="134"/>
      <c r="AH180" s="134">
        <v>8.1692307692307686</v>
      </c>
      <c r="AI180" s="134"/>
      <c r="AJ180" s="134"/>
      <c r="AK180" s="134">
        <v>10.892307692307694</v>
      </c>
      <c r="AL180" s="134"/>
      <c r="AM180" s="134"/>
      <c r="AN180" s="134">
        <v>13.615384615384617</v>
      </c>
      <c r="AO180" s="134"/>
      <c r="AP180" s="135"/>
    </row>
    <row r="181" spans="1:45" s="42" customFormat="1" hidden="1" x14ac:dyDescent="0.25">
      <c r="A181" s="48" t="s">
        <v>74</v>
      </c>
      <c r="B181" s="49"/>
      <c r="C181" s="49"/>
      <c r="D181" s="136">
        <v>4.338461538461539</v>
      </c>
      <c r="E181" s="136"/>
      <c r="F181" s="136"/>
      <c r="G181" s="136">
        <v>8.6769230769230781</v>
      </c>
      <c r="H181" s="136"/>
      <c r="I181" s="136"/>
      <c r="J181" s="136">
        <v>17.353846153846156</v>
      </c>
      <c r="K181" s="136"/>
      <c r="L181" s="136"/>
      <c r="M181" s="136">
        <v>26.030769230769231</v>
      </c>
      <c r="N181" s="136"/>
      <c r="O181" s="136"/>
      <c r="P181" s="136">
        <v>34.707692307692312</v>
      </c>
      <c r="Q181" s="136"/>
      <c r="R181" s="136"/>
      <c r="S181" s="136">
        <v>43.384615384615387</v>
      </c>
      <c r="T181" s="136"/>
      <c r="U181" s="137"/>
      <c r="Y181" s="133">
        <v>2.1692307692307695</v>
      </c>
      <c r="Z181" s="134"/>
      <c r="AA181" s="134"/>
      <c r="AB181" s="134">
        <v>4.338461538461539</v>
      </c>
      <c r="AC181" s="134"/>
      <c r="AD181" s="134"/>
      <c r="AE181" s="134">
        <v>8.6769230769230781</v>
      </c>
      <c r="AF181" s="134"/>
      <c r="AG181" s="134"/>
      <c r="AH181" s="134">
        <v>13.015384615384615</v>
      </c>
      <c r="AI181" s="134"/>
      <c r="AJ181" s="134"/>
      <c r="AK181" s="134">
        <v>17.353846153846156</v>
      </c>
      <c r="AL181" s="134"/>
      <c r="AM181" s="134"/>
      <c r="AN181" s="134">
        <v>21.692307692307693</v>
      </c>
      <c r="AO181" s="134"/>
      <c r="AP181" s="135"/>
    </row>
    <row r="182" spans="1:45" s="42" customFormat="1" hidden="1" x14ac:dyDescent="0.25">
      <c r="A182" s="48" t="s">
        <v>75</v>
      </c>
      <c r="B182" s="49"/>
      <c r="C182" s="49"/>
      <c r="D182" s="136">
        <v>7.707692307692307</v>
      </c>
      <c r="E182" s="136"/>
      <c r="F182" s="136"/>
      <c r="G182" s="136">
        <v>15.415384615384614</v>
      </c>
      <c r="H182" s="136"/>
      <c r="I182" s="136"/>
      <c r="J182" s="136">
        <v>30.830769230769228</v>
      </c>
      <c r="K182" s="136"/>
      <c r="L182" s="136"/>
      <c r="M182" s="136">
        <v>46.246153846153852</v>
      </c>
      <c r="N182" s="136"/>
      <c r="O182" s="136"/>
      <c r="P182" s="136">
        <v>61.661538461538456</v>
      </c>
      <c r="Q182" s="136"/>
      <c r="R182" s="136"/>
      <c r="S182" s="136">
        <v>77.07692307692308</v>
      </c>
      <c r="T182" s="136"/>
      <c r="U182" s="137"/>
      <c r="Y182" s="133">
        <v>3.8538461538461535</v>
      </c>
      <c r="Z182" s="134"/>
      <c r="AA182" s="134"/>
      <c r="AB182" s="134">
        <v>7.707692307692307</v>
      </c>
      <c r="AC182" s="134"/>
      <c r="AD182" s="134"/>
      <c r="AE182" s="134">
        <v>15.415384615384614</v>
      </c>
      <c r="AF182" s="134"/>
      <c r="AG182" s="134"/>
      <c r="AH182" s="134">
        <v>23.123076923076926</v>
      </c>
      <c r="AI182" s="134"/>
      <c r="AJ182" s="134"/>
      <c r="AK182" s="134">
        <v>30.830769230769228</v>
      </c>
      <c r="AL182" s="134"/>
      <c r="AM182" s="134"/>
      <c r="AN182" s="134">
        <v>38.53846153846154</v>
      </c>
      <c r="AO182" s="134"/>
      <c r="AP182" s="135"/>
    </row>
    <row r="183" spans="1:45" s="42" customFormat="1" hidden="1" x14ac:dyDescent="0.25">
      <c r="A183" s="48" t="s">
        <v>76</v>
      </c>
      <c r="B183" s="49"/>
      <c r="C183" s="49"/>
      <c r="D183" s="136">
        <v>10.892307692307694</v>
      </c>
      <c r="E183" s="136"/>
      <c r="F183" s="136"/>
      <c r="G183" s="136">
        <v>21.784615384615389</v>
      </c>
      <c r="H183" s="136"/>
      <c r="I183" s="136"/>
      <c r="J183" s="136">
        <v>43.569230769230778</v>
      </c>
      <c r="K183" s="136"/>
      <c r="L183" s="136"/>
      <c r="M183" s="136">
        <v>65.353846153846163</v>
      </c>
      <c r="N183" s="136"/>
      <c r="O183" s="136"/>
      <c r="P183" s="136">
        <v>87.138461538461556</v>
      </c>
      <c r="Q183" s="136"/>
      <c r="R183" s="136"/>
      <c r="S183" s="136">
        <v>108.92307692307692</v>
      </c>
      <c r="T183" s="136"/>
      <c r="U183" s="137"/>
      <c r="Y183" s="133">
        <v>5.4461538461538472</v>
      </c>
      <c r="Z183" s="134"/>
      <c r="AA183" s="134"/>
      <c r="AB183" s="134">
        <v>10.892307692307694</v>
      </c>
      <c r="AC183" s="134"/>
      <c r="AD183" s="134"/>
      <c r="AE183" s="134">
        <v>21.784615384615389</v>
      </c>
      <c r="AF183" s="134"/>
      <c r="AG183" s="134"/>
      <c r="AH183" s="134">
        <v>32.676923076923082</v>
      </c>
      <c r="AI183" s="134"/>
      <c r="AJ183" s="134"/>
      <c r="AK183" s="134">
        <v>43.569230769230778</v>
      </c>
      <c r="AL183" s="134"/>
      <c r="AM183" s="134"/>
      <c r="AN183" s="134">
        <v>54.46153846153846</v>
      </c>
      <c r="AO183" s="134"/>
      <c r="AP183" s="135"/>
    </row>
    <row r="184" spans="1:45" s="42" customFormat="1" hidden="1" x14ac:dyDescent="0.25">
      <c r="A184" s="50" t="s">
        <v>77</v>
      </c>
      <c r="B184" s="51"/>
      <c r="C184" s="51"/>
      <c r="D184" s="131">
        <v>23.307692307692303</v>
      </c>
      <c r="E184" s="131"/>
      <c r="F184" s="131"/>
      <c r="G184" s="131">
        <v>46.615384615384606</v>
      </c>
      <c r="H184" s="131"/>
      <c r="I184" s="131"/>
      <c r="J184" s="131">
        <v>93.230769230769212</v>
      </c>
      <c r="K184" s="131"/>
      <c r="L184" s="131"/>
      <c r="M184" s="131">
        <v>139.84615384615384</v>
      </c>
      <c r="N184" s="131"/>
      <c r="O184" s="131"/>
      <c r="P184" s="131">
        <v>186.46153846153842</v>
      </c>
      <c r="Q184" s="131"/>
      <c r="R184" s="131"/>
      <c r="S184" s="131">
        <v>233.07692307692304</v>
      </c>
      <c r="T184" s="131"/>
      <c r="U184" s="132"/>
      <c r="Y184" s="128">
        <v>11.653846153846152</v>
      </c>
      <c r="Z184" s="129"/>
      <c r="AA184" s="129"/>
      <c r="AB184" s="129">
        <v>23.307692307692303</v>
      </c>
      <c r="AC184" s="129"/>
      <c r="AD184" s="129"/>
      <c r="AE184" s="129">
        <v>46.615384615384606</v>
      </c>
      <c r="AF184" s="129"/>
      <c r="AG184" s="129"/>
      <c r="AH184" s="129">
        <v>69.92307692307692</v>
      </c>
      <c r="AI184" s="129"/>
      <c r="AJ184" s="129"/>
      <c r="AK184" s="129">
        <v>93.230769230769212</v>
      </c>
      <c r="AL184" s="129"/>
      <c r="AM184" s="129"/>
      <c r="AN184" s="129">
        <v>116.53846153846152</v>
      </c>
      <c r="AO184" s="129"/>
      <c r="AP184" s="130"/>
      <c r="AR184" s="69"/>
    </row>
    <row r="185" spans="1:45" hidden="1"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row>
    <row r="186" spans="1:45" hidden="1" x14ac:dyDescent="0.25">
      <c r="A186" s="124" t="s">
        <v>78</v>
      </c>
      <c r="B186" s="124"/>
      <c r="C186" s="124"/>
      <c r="D186" s="124"/>
      <c r="E186" s="124"/>
      <c r="F186" s="124"/>
      <c r="G186" s="69"/>
      <c r="H186" s="124" t="s">
        <v>79</v>
      </c>
      <c r="I186" s="124"/>
      <c r="J186" s="124"/>
      <c r="K186" s="124"/>
      <c r="L186" s="124"/>
      <c r="M186" s="124"/>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row>
    <row r="187" spans="1:45" hidden="1" x14ac:dyDescent="0.25">
      <c r="A187" s="125"/>
      <c r="B187" s="126"/>
      <c r="C187" s="126"/>
      <c r="D187" s="126"/>
      <c r="E187" s="126"/>
      <c r="F187" s="127"/>
      <c r="G187" s="69"/>
      <c r="H187" s="125"/>
      <c r="I187" s="126"/>
      <c r="J187" s="126"/>
      <c r="K187" s="126"/>
      <c r="L187" s="126"/>
      <c r="M187" s="127"/>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row>
    <row r="188" spans="1:45" hidden="1" x14ac:dyDescent="0.25">
      <c r="A188" s="121">
        <v>10000</v>
      </c>
      <c r="B188" s="122"/>
      <c r="C188" s="123"/>
      <c r="D188" s="120" t="str">
        <f>IF(N94="","",
IF(N94=A174,D174,
IF(N94=A175,D175,
IF(N94=A176,D176,
IF(N94=A177,D177,
IF(N94=A178,D178,
IF(N94=A179,D179,
IF(N94=A180,D180,
IF(N94=A181,D181,
IF(N94=A182,D182,
IF(N94=A183,D183,
IF(N94=A184,D184))))))))))))</f>
        <v/>
      </c>
      <c r="E188" s="120"/>
      <c r="F188" s="120"/>
      <c r="G188" s="69"/>
      <c r="H188" s="120">
        <v>5000</v>
      </c>
      <c r="I188" s="120"/>
      <c r="J188" s="120"/>
      <c r="K188" s="120" t="str">
        <f>IF(N95="","",
IF(N95=A174,Y174,
IF(N95=A175,Y175,
IF(N95=A176,Y176,
IF(N95=A177,Y177,
IF(N95=A178,Y178,
IF(N95=A179,Y179,
IF(N95=A180,Y180,
IF(N95=A181,Y181,
IF(N95=A182,Y182,
IF(N95=A183,Y183,
IF(N95=A184,Y184
))))))))))))</f>
        <v/>
      </c>
      <c r="L188" s="120"/>
      <c r="M188" s="120"/>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row>
    <row r="189" spans="1:45" hidden="1" x14ac:dyDescent="0.25">
      <c r="A189" s="121">
        <v>20000</v>
      </c>
      <c r="B189" s="122"/>
      <c r="C189" s="123"/>
      <c r="D189" s="120" t="str">
        <f>IF(N94="","",
IF(N94=A174,G174,
IF(N94=A175,G175,
IF(N94=A176,G176,
IF(N94=A177,G177,
IF(N94=A178,G178,
IF(N94=A179,G179,
IF(N94=A180,G180,
IF(N94=A181,G181,
IF(N94=A182,G182,
IF(N94=A183,G183,
IF(N94=A184,G184
))))))))))))</f>
        <v/>
      </c>
      <c r="E189" s="120"/>
      <c r="F189" s="120"/>
      <c r="G189" s="69"/>
      <c r="H189" s="120">
        <v>10000</v>
      </c>
      <c r="I189" s="120"/>
      <c r="J189" s="120"/>
      <c r="K189" s="120" t="str">
        <f>IF(N95="","",
IF(N95=A174,AB174,
IF(N95=A175,AB175,
IF(N95=A176,AB176,
IF(N95=A177,AB177,
IF(N95=A178,AB178,
IF(N95=A179,AB179,
IF(N95=A180,AB180,
IF(N95=A181,AB181,
IF(N95=A182,AB182,
IF(N95=A183,AB183,
IF(N95=A184,AB184
))))))))))))</f>
        <v/>
      </c>
      <c r="L189" s="120"/>
      <c r="M189" s="120"/>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row>
    <row r="190" spans="1:45" hidden="1" x14ac:dyDescent="0.25">
      <c r="A190" s="121">
        <v>40000</v>
      </c>
      <c r="B190" s="122"/>
      <c r="C190" s="123"/>
      <c r="D190" s="120" t="str">
        <f>IF(N94="","",
IF(N94=A174,J174,
IF(N94=A175,J175,
IF(N94=A176,J176,
IF(N94=A177,J177,
IF(N94=A178,J178,
IF(N94=A179,J179,
IF(N94=A180,J180,
IF(N94=A181,J181,
IF(N94=A182,J182,
IF(N94=A183,J183,
IF(N94=A184,J184
))))))))))))</f>
        <v/>
      </c>
      <c r="E190" s="120"/>
      <c r="F190" s="120"/>
      <c r="G190" s="69"/>
      <c r="H190" s="120">
        <v>20000</v>
      </c>
      <c r="I190" s="120"/>
      <c r="J190" s="120"/>
      <c r="K190" s="120" t="str">
        <f>IF(N95="","",
IF(N95=A174,AE174,
IF(N95=A175,AE175,
IF(N95=A176,AE176,
IF(N95=A177,AE177,
IF(N95=A178,AE178,
IF(N95=A179,AE179,
IF(N95=A180,AE180,
IF(N95=A181,AE181,
IF(N95=A182,AE182,
IF(N95=A183,AE183,
IF(N95=A184,AE184
))))))))))))</f>
        <v/>
      </c>
      <c r="L190" s="120"/>
      <c r="M190" s="120"/>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row>
    <row r="191" spans="1:45" hidden="1" x14ac:dyDescent="0.25">
      <c r="A191" s="121">
        <v>60000</v>
      </c>
      <c r="B191" s="122"/>
      <c r="C191" s="123"/>
      <c r="D191" s="120" t="str">
        <f>IF(N94="","",
IF(N94=A174,M174,
IF(N94=A175,M175,
IF(N94=A176,M176,
IF(N94=A177,M177,
IF(N94=A178,M178,
IF(N94=A179,M179,
IF(N94=A180,M180,
IF(N94=A181,M181,
IF(N94=A182,M182,
IF(N94=A183,M183,
IF(N94=A184,M184
))))))))))))</f>
        <v/>
      </c>
      <c r="E191" s="120"/>
      <c r="F191" s="120"/>
      <c r="G191" s="69"/>
      <c r="H191" s="120">
        <v>30000</v>
      </c>
      <c r="I191" s="120"/>
      <c r="J191" s="120"/>
      <c r="K191" s="120" t="str">
        <f>IF(N95="","",
IF(N95=A174,AH174,
IF(N95=A175,AH175,
IF(N95=A176,AH176,
IF(N95=A177,AH177,
IF(N95=A178,AH178,
IF(N95=A179,AH179,
IF(N95=A180,AH180,
IF(N95=A181,AH181,
IF(N95=A182,AH182,
IF(N95=A183,AH183,
IF(N95=A184,AH184
))))))))))))</f>
        <v/>
      </c>
      <c r="L191" s="120"/>
      <c r="M191" s="120"/>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row>
    <row r="192" spans="1:45" hidden="1" x14ac:dyDescent="0.25">
      <c r="A192" s="121">
        <v>80000</v>
      </c>
      <c r="B192" s="122"/>
      <c r="C192" s="123"/>
      <c r="D192" s="120" t="str">
        <f>IF(N94="","",
IF(N94=A174,P174,
IF(N94=A175,P175,
IF(N94=A176,P176,
IF(N94=A177,P177,
IF(N94=A178,P178,
IF(N94=A179,P179,
IF(N94=A180,P180,
IF(N94=A181,P181,
IF(N94=A182,P182,
IF(N94=A183,P183,
IF(N94=A184,P184
))))))))))))</f>
        <v/>
      </c>
      <c r="E192" s="120"/>
      <c r="F192" s="120"/>
      <c r="G192" s="69"/>
      <c r="H192" s="120">
        <v>40000</v>
      </c>
      <c r="I192" s="120"/>
      <c r="J192" s="120"/>
      <c r="K192" s="120" t="str">
        <f>IF(N95="","",
IF(N95=A174,AK174,
IF(N95=A175,AK175,
IF(N95=A176,AK176,
IF(N95=A177,AK177,
IF(N95=A178,AK178,
IF(N95=A179,AK179,
IF(N95=A180,AK180,
IF(N95=A181,AK181,
IF(N95=A182,AK182,
IF(N95=A183,AK183,
IF(N95=A184,AK184
))))))))))))</f>
        <v/>
      </c>
      <c r="L192" s="120"/>
      <c r="M192" s="120"/>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row>
    <row r="193" spans="1:45" hidden="1" x14ac:dyDescent="0.25">
      <c r="A193" s="117">
        <v>100000</v>
      </c>
      <c r="B193" s="118"/>
      <c r="C193" s="119"/>
      <c r="D193" s="120" t="str">
        <f>IF(N94="","",
IF(N94=A174,S174,
IF(N94=A175,S175,
IF(N94=A176,S176,
IF(N94=A177,S177,
IF(N94=A178,S178,
IF(N94=A179,S179,
IF(N94=A180,S180,
IF(N94=A181,S181,
IF(N94=A182,S182,
IF(N94=A183,S183,
IF(N94=A184,S184
))))))))))))</f>
        <v/>
      </c>
      <c r="E193" s="120"/>
      <c r="F193" s="120"/>
      <c r="G193" s="69"/>
      <c r="H193" s="120">
        <v>50000</v>
      </c>
      <c r="I193" s="120"/>
      <c r="J193" s="120"/>
      <c r="K193" s="120" t="str">
        <f>IF(N95="","",
IF(N95=A174,AN174,
IF(N95=A175,AN175,
IF(N95=A176,AN176,
IF(N95=A177,AN177,
IF(N95=A178,AN178,
IF(N95=A179,AN179,
IF(N95=A180,AN180,
IF(N95=A181,AN181,
IF(N95=A182,AN182,
IF(N95=A183,AN183,
IF(N95=A184,AN184
))))))))))))</f>
        <v/>
      </c>
      <c r="L193" s="120"/>
      <c r="M193" s="120"/>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row>
    <row r="194" spans="1:45" hidden="1" x14ac:dyDescent="0.25">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row>
    <row r="195" spans="1:45" hidden="1" x14ac:dyDescent="0.25">
      <c r="A195" s="87"/>
      <c r="B195" s="88"/>
      <c r="C195" s="88"/>
      <c r="D195" s="52"/>
      <c r="E195" s="69"/>
      <c r="F195" s="69"/>
      <c r="G195" s="69"/>
      <c r="H195" s="87"/>
      <c r="I195" s="88"/>
      <c r="J195" s="88"/>
      <c r="K195" s="88"/>
      <c r="L195" s="88"/>
      <c r="M195" s="88"/>
      <c r="N195" s="88"/>
      <c r="O195" s="88"/>
      <c r="P195" s="88"/>
      <c r="Q195" s="88"/>
      <c r="R195" s="88"/>
      <c r="S195" s="88"/>
      <c r="T195" s="88"/>
      <c r="U195" s="88"/>
      <c r="V195" s="88"/>
      <c r="W195" s="88"/>
      <c r="X195" s="88"/>
      <c r="Y195" s="88"/>
      <c r="Z195" s="88"/>
      <c r="AA195" s="88"/>
      <c r="AB195" s="52"/>
    </row>
    <row r="196" spans="1:45" hidden="1" x14ac:dyDescent="0.25">
      <c r="A196" s="53" t="s">
        <v>80</v>
      </c>
      <c r="B196" s="9"/>
      <c r="C196" s="9"/>
      <c r="D196" s="54"/>
      <c r="H196" s="53" t="s">
        <v>81</v>
      </c>
      <c r="I196" s="9"/>
      <c r="J196" s="9"/>
      <c r="K196" s="9"/>
      <c r="L196" s="9"/>
      <c r="M196" s="9"/>
      <c r="N196" s="9"/>
      <c r="O196" s="9"/>
      <c r="P196" s="9"/>
      <c r="Q196" s="55" t="s">
        <v>82</v>
      </c>
      <c r="R196" s="9"/>
      <c r="S196" s="9"/>
      <c r="T196" s="9"/>
      <c r="U196" s="9"/>
      <c r="V196" s="9"/>
      <c r="W196" s="9"/>
      <c r="X196" s="9"/>
      <c r="Y196" s="55" t="s">
        <v>83</v>
      </c>
      <c r="Z196" s="9"/>
      <c r="AA196" s="9"/>
      <c r="AB196" s="54"/>
    </row>
    <row r="197" spans="1:45" hidden="1" x14ac:dyDescent="0.25">
      <c r="A197" s="53" t="s">
        <v>84</v>
      </c>
      <c r="B197" s="9"/>
      <c r="C197" s="9"/>
      <c r="D197" s="54"/>
      <c r="H197" s="56" t="s">
        <v>85</v>
      </c>
      <c r="I197" s="6"/>
      <c r="J197" s="6"/>
      <c r="K197" s="6"/>
      <c r="L197" s="6"/>
      <c r="M197" s="6"/>
      <c r="N197" s="6"/>
      <c r="O197" s="6"/>
      <c r="P197" s="6"/>
      <c r="Q197" s="57" t="s">
        <v>86</v>
      </c>
      <c r="R197" s="6"/>
      <c r="S197" s="6"/>
      <c r="T197" s="6"/>
      <c r="U197" s="6"/>
      <c r="V197" s="6"/>
      <c r="W197" s="6"/>
      <c r="X197" s="6"/>
      <c r="Y197" s="57" t="s">
        <v>87</v>
      </c>
      <c r="Z197" s="6"/>
      <c r="AA197" s="6"/>
      <c r="AB197" s="58"/>
    </row>
    <row r="198" spans="1:45" hidden="1" x14ac:dyDescent="0.25">
      <c r="A198" s="53" t="s">
        <v>88</v>
      </c>
      <c r="B198" s="9"/>
      <c r="C198" s="9"/>
      <c r="D198" s="54"/>
    </row>
    <row r="199" spans="1:45" hidden="1" x14ac:dyDescent="0.25">
      <c r="A199" s="53" t="s">
        <v>89</v>
      </c>
      <c r="B199" s="9"/>
      <c r="C199" s="9"/>
      <c r="D199" s="54"/>
    </row>
    <row r="200" spans="1:45" hidden="1" x14ac:dyDescent="0.25">
      <c r="A200" s="56" t="s">
        <v>90</v>
      </c>
      <c r="B200" s="6"/>
      <c r="C200" s="6"/>
      <c r="D200" s="58"/>
    </row>
    <row r="201" spans="1:45" hidden="1" x14ac:dyDescent="0.25"/>
    <row r="202" spans="1:45" hidden="1" x14ac:dyDescent="0.25"/>
    <row r="203" spans="1:45" hidden="1" x14ac:dyDescent="0.25">
      <c r="A203" s="7" t="s">
        <v>101</v>
      </c>
      <c r="D203" s="7" t="s">
        <v>102</v>
      </c>
      <c r="H203" s="7" t="s">
        <v>63</v>
      </c>
      <c r="J203" s="7" t="s">
        <v>133</v>
      </c>
    </row>
    <row r="204" spans="1:45" hidden="1" x14ac:dyDescent="0.25">
      <c r="A204" s="7" t="s">
        <v>96</v>
      </c>
      <c r="D204" s="7" t="s">
        <v>103</v>
      </c>
      <c r="H204" s="7" t="s">
        <v>118</v>
      </c>
      <c r="J204" s="7" t="s">
        <v>134</v>
      </c>
    </row>
    <row r="205" spans="1:45" hidden="1" x14ac:dyDescent="0.25">
      <c r="D205" s="7" t="s">
        <v>104</v>
      </c>
      <c r="J205" s="7" t="s">
        <v>135</v>
      </c>
    </row>
    <row r="206" spans="1:45" hidden="1" x14ac:dyDescent="0.25">
      <c r="D206" s="7" t="s">
        <v>105</v>
      </c>
      <c r="J206" s="7" t="s">
        <v>136</v>
      </c>
    </row>
    <row r="207" spans="1:45" hidden="1" x14ac:dyDescent="0.25">
      <c r="D207" s="7"/>
      <c r="J207" s="7" t="s">
        <v>137</v>
      </c>
    </row>
    <row r="208" spans="1:45" hidden="1" x14ac:dyDescent="0.25"/>
    <row r="209" spans="1:6" hidden="1" x14ac:dyDescent="0.25">
      <c r="A209" s="103" t="s">
        <v>155</v>
      </c>
    </row>
    <row r="210" spans="1:6" hidden="1" x14ac:dyDescent="0.25">
      <c r="A210" s="225" t="str">
        <f>A120</f>
        <v>AFSCME</v>
      </c>
      <c r="B210" s="225"/>
      <c r="C210" s="225"/>
      <c r="D210" s="103" t="s">
        <v>162</v>
      </c>
      <c r="E210" s="103" t="s">
        <v>163</v>
      </c>
      <c r="F210" s="103" t="s">
        <v>164</v>
      </c>
    </row>
    <row r="211" spans="1:6" hidden="1" x14ac:dyDescent="0.25">
      <c r="A211" s="225" t="str">
        <f t="shared" ref="A211:A216" si="2">A121</f>
        <v>MACE</v>
      </c>
      <c r="B211" s="225"/>
      <c r="C211" s="225"/>
      <c r="D211" s="103" t="s">
        <v>165</v>
      </c>
      <c r="E211" s="103" t="s">
        <v>166</v>
      </c>
      <c r="F211" s="103" t="s">
        <v>167</v>
      </c>
    </row>
    <row r="212" spans="1:6" hidden="1" x14ac:dyDescent="0.25">
      <c r="A212" s="225" t="str">
        <f t="shared" si="2"/>
        <v>FD</v>
      </c>
      <c r="B212" s="225"/>
      <c r="C212" s="225"/>
      <c r="D212" s="103" t="s">
        <v>174</v>
      </c>
      <c r="E212" s="103" t="s">
        <v>175</v>
      </c>
      <c r="F212" s="103" t="s">
        <v>176</v>
      </c>
    </row>
    <row r="213" spans="1:6" hidden="1" x14ac:dyDescent="0.25">
      <c r="A213" s="225" t="str">
        <f t="shared" si="2"/>
        <v>MPOA</v>
      </c>
      <c r="B213" s="225"/>
      <c r="C213" s="225"/>
      <c r="D213" s="103" t="s">
        <v>168</v>
      </c>
      <c r="E213" s="103" t="s">
        <v>169</v>
      </c>
      <c r="F213" s="103" t="s">
        <v>170</v>
      </c>
    </row>
    <row r="214" spans="1:6" hidden="1" x14ac:dyDescent="0.25">
      <c r="A214" s="225" t="str">
        <f t="shared" si="2"/>
        <v>SGTS</v>
      </c>
      <c r="B214" s="225"/>
      <c r="C214" s="225"/>
      <c r="D214" s="103" t="s">
        <v>171</v>
      </c>
      <c r="E214" s="103" t="s">
        <v>172</v>
      </c>
      <c r="F214" s="103" t="s">
        <v>173</v>
      </c>
    </row>
    <row r="215" spans="1:6" hidden="1" x14ac:dyDescent="0.25">
      <c r="A215" s="225" t="str">
        <f t="shared" si="2"/>
        <v>MC/MS</v>
      </c>
      <c r="B215" s="225"/>
      <c r="C215" s="225"/>
      <c r="D215" s="103" t="s">
        <v>156</v>
      </c>
      <c r="E215" s="103" t="s">
        <v>157</v>
      </c>
      <c r="F215" s="103" t="s">
        <v>158</v>
      </c>
    </row>
    <row r="216" spans="1:6" hidden="1" x14ac:dyDescent="0.25">
      <c r="A216" s="225" t="str">
        <f t="shared" si="2"/>
        <v>MM/MX</v>
      </c>
      <c r="B216" s="225"/>
      <c r="C216" s="225"/>
      <c r="D216" s="103" t="s">
        <v>159</v>
      </c>
      <c r="E216" s="103" t="s">
        <v>160</v>
      </c>
      <c r="F216" s="103" t="s">
        <v>161</v>
      </c>
    </row>
    <row r="217" spans="1:6" hidden="1" x14ac:dyDescent="0.25"/>
  </sheetData>
  <sheetProtection password="DC40" sheet="1" objects="1" scenarios="1" selectLockedCells="1"/>
  <dataConsolidate/>
  <mergeCells count="553">
    <mergeCell ref="A210:C210"/>
    <mergeCell ref="A211:C211"/>
    <mergeCell ref="A212:C212"/>
    <mergeCell ref="A213:C213"/>
    <mergeCell ref="A214:C214"/>
    <mergeCell ref="A215:C215"/>
    <mergeCell ref="A216:C216"/>
    <mergeCell ref="A60:B60"/>
    <mergeCell ref="C60:F60"/>
    <mergeCell ref="A135:Z135"/>
    <mergeCell ref="F136:H136"/>
    <mergeCell ref="I136:K136"/>
    <mergeCell ref="L136:N136"/>
    <mergeCell ref="O136:Q136"/>
    <mergeCell ref="R136:T136"/>
    <mergeCell ref="U136:W136"/>
    <mergeCell ref="X136:Z136"/>
    <mergeCell ref="C133:E133"/>
    <mergeCell ref="F133:H133"/>
    <mergeCell ref="I133:K133"/>
    <mergeCell ref="U137:W137"/>
    <mergeCell ref="X137:Z137"/>
    <mergeCell ref="A138:E138"/>
    <mergeCell ref="F138:H138"/>
    <mergeCell ref="A59:F59"/>
    <mergeCell ref="Q100:AH100"/>
    <mergeCell ref="Q103:AD103"/>
    <mergeCell ref="Q107:S107"/>
    <mergeCell ref="U107:V107"/>
    <mergeCell ref="W107:Z107"/>
    <mergeCell ref="AA107:AB107"/>
    <mergeCell ref="AC107:AF107"/>
    <mergeCell ref="AG107:AH107"/>
    <mergeCell ref="Q101:AD101"/>
    <mergeCell ref="Q102:AD102"/>
    <mergeCell ref="Q104:AD104"/>
    <mergeCell ref="Q105:AD105"/>
    <mergeCell ref="Q106:AD106"/>
    <mergeCell ref="AE101:AH101"/>
    <mergeCell ref="AE106:AH106"/>
    <mergeCell ref="A105:I105"/>
    <mergeCell ref="A106:I106"/>
    <mergeCell ref="L93:N93"/>
    <mergeCell ref="AE93:AH93"/>
    <mergeCell ref="A87:C87"/>
    <mergeCell ref="AE87:AH87"/>
    <mergeCell ref="A93:G93"/>
    <mergeCell ref="H93:K93"/>
    <mergeCell ref="A3:AB3"/>
    <mergeCell ref="A12:K12"/>
    <mergeCell ref="A13:K13"/>
    <mergeCell ref="A14:K14"/>
    <mergeCell ref="A15:K15"/>
    <mergeCell ref="A16:K16"/>
    <mergeCell ref="A17:K17"/>
    <mergeCell ref="A18:K18"/>
    <mergeCell ref="L13:O13"/>
    <mergeCell ref="L14:O14"/>
    <mergeCell ref="L15:O15"/>
    <mergeCell ref="L16:O16"/>
    <mergeCell ref="L17:O17"/>
    <mergeCell ref="L18:O18"/>
    <mergeCell ref="Y13:AD13"/>
    <mergeCell ref="A11:AH11"/>
    <mergeCell ref="AE12:AH12"/>
    <mergeCell ref="AE13:AH13"/>
    <mergeCell ref="AE14:AH14"/>
    <mergeCell ref="AE15:AH15"/>
    <mergeCell ref="AE16:AH16"/>
    <mergeCell ref="A9:N9"/>
    <mergeCell ref="A10:N10"/>
    <mergeCell ref="O9:Y9"/>
    <mergeCell ref="A20:AH41"/>
    <mergeCell ref="T48:V48"/>
    <mergeCell ref="W48:AH48"/>
    <mergeCell ref="A48:S48"/>
    <mergeCell ref="A51:AH51"/>
    <mergeCell ref="A55:AH55"/>
    <mergeCell ref="A57:AH57"/>
    <mergeCell ref="A101:M101"/>
    <mergeCell ref="J102:M102"/>
    <mergeCell ref="AE102:AH102"/>
    <mergeCell ref="K68:M68"/>
    <mergeCell ref="N68:P68"/>
    <mergeCell ref="A66:C68"/>
    <mergeCell ref="D66:J66"/>
    <mergeCell ref="K66:M66"/>
    <mergeCell ref="N66:P66"/>
    <mergeCell ref="A78:C80"/>
    <mergeCell ref="D78:J78"/>
    <mergeCell ref="K78:M78"/>
    <mergeCell ref="N78:P78"/>
    <mergeCell ref="Q78:AD80"/>
    <mergeCell ref="AE78:AH80"/>
    <mergeCell ref="A52:AH54"/>
    <mergeCell ref="AA56:AB56"/>
    <mergeCell ref="AC58:AH58"/>
    <mergeCell ref="AC59:AE59"/>
    <mergeCell ref="G58:Z58"/>
    <mergeCell ref="G59:Z59"/>
    <mergeCell ref="G60:Z60"/>
    <mergeCell ref="AC2:AE2"/>
    <mergeCell ref="AA45:AB45"/>
    <mergeCell ref="A47:AH47"/>
    <mergeCell ref="A49:S49"/>
    <mergeCell ref="A50:S50"/>
    <mergeCell ref="T49:V49"/>
    <mergeCell ref="T50:V50"/>
    <mergeCell ref="AE50:AF50"/>
    <mergeCell ref="AA50:AB50"/>
    <mergeCell ref="W50:X50"/>
    <mergeCell ref="W49:X49"/>
    <mergeCell ref="AA49:AB49"/>
    <mergeCell ref="AE49:AF49"/>
    <mergeCell ref="Y49:Z49"/>
    <mergeCell ref="Y50:Z50"/>
    <mergeCell ref="AC49:AD49"/>
    <mergeCell ref="AC50:AD50"/>
    <mergeCell ref="AG49:AH49"/>
    <mergeCell ref="AG50:AH50"/>
    <mergeCell ref="Y16:AD16"/>
    <mergeCell ref="Y17:AD17"/>
    <mergeCell ref="Y18:AD18"/>
    <mergeCell ref="P5:V5"/>
    <mergeCell ref="P6:V6"/>
    <mergeCell ref="W5:AC5"/>
    <mergeCell ref="W6:AC6"/>
    <mergeCell ref="A7:R7"/>
    <mergeCell ref="A8:R8"/>
    <mergeCell ref="S7:X7"/>
    <mergeCell ref="S8:X8"/>
    <mergeCell ref="Y7:AC7"/>
    <mergeCell ref="Y8:AC8"/>
    <mergeCell ref="L12:O12"/>
    <mergeCell ref="P12:X12"/>
    <mergeCell ref="P13:X13"/>
    <mergeCell ref="P14:X14"/>
    <mergeCell ref="P15:X15"/>
    <mergeCell ref="P16:X16"/>
    <mergeCell ref="P17:X17"/>
    <mergeCell ref="P18:X18"/>
    <mergeCell ref="Z9:AC9"/>
    <mergeCell ref="Z10:AC10"/>
    <mergeCell ref="O10:Y10"/>
    <mergeCell ref="A4:AH4"/>
    <mergeCell ref="AC1:AH1"/>
    <mergeCell ref="A1:AB1"/>
    <mergeCell ref="A2:AB2"/>
    <mergeCell ref="AE63:AH65"/>
    <mergeCell ref="Q64:X65"/>
    <mergeCell ref="Y64:AA65"/>
    <mergeCell ref="AB64:AD65"/>
    <mergeCell ref="H65:J65"/>
    <mergeCell ref="K65:M65"/>
    <mergeCell ref="N65:P65"/>
    <mergeCell ref="A62:AH62"/>
    <mergeCell ref="AD10:AH10"/>
    <mergeCell ref="AD7:AH7"/>
    <mergeCell ref="AD8:AH8"/>
    <mergeCell ref="AD9:AH9"/>
    <mergeCell ref="AD5:AH5"/>
    <mergeCell ref="AD6:AH6"/>
    <mergeCell ref="A5:O5"/>
    <mergeCell ref="A6:O6"/>
    <mergeCell ref="AE17:AH17"/>
    <mergeCell ref="AE18:AH18"/>
    <mergeCell ref="Y14:AD14"/>
    <mergeCell ref="Y15:AD15"/>
    <mergeCell ref="AL75:AN75"/>
    <mergeCell ref="Q76:AD77"/>
    <mergeCell ref="AE76:AH77"/>
    <mergeCell ref="AL76:AN76"/>
    <mergeCell ref="K77:M77"/>
    <mergeCell ref="N77:P77"/>
    <mergeCell ref="AL77:AN77"/>
    <mergeCell ref="AB66:AD68"/>
    <mergeCell ref="AE66:AH68"/>
    <mergeCell ref="Q66:X68"/>
    <mergeCell ref="Y66:AA68"/>
    <mergeCell ref="A72:AH72"/>
    <mergeCell ref="T74:AD74"/>
    <mergeCell ref="AE74:AH74"/>
    <mergeCell ref="D67:J67"/>
    <mergeCell ref="K67:M67"/>
    <mergeCell ref="N67:P67"/>
    <mergeCell ref="D68:J68"/>
    <mergeCell ref="AL78:AN78"/>
    <mergeCell ref="D79:J79"/>
    <mergeCell ref="K79:M79"/>
    <mergeCell ref="N79:P79"/>
    <mergeCell ref="AL79:AN79"/>
    <mergeCell ref="D80:J80"/>
    <mergeCell ref="K80:M80"/>
    <mergeCell ref="N80:P80"/>
    <mergeCell ref="AL80:AN80"/>
    <mergeCell ref="T89:AD89"/>
    <mergeCell ref="AE89:AH89"/>
    <mergeCell ref="AE90:AH90"/>
    <mergeCell ref="AL82:AN82"/>
    <mergeCell ref="D83:J83"/>
    <mergeCell ref="AL83:AN83"/>
    <mergeCell ref="D84:J84"/>
    <mergeCell ref="AL84:AN84"/>
    <mergeCell ref="A86:C86"/>
    <mergeCell ref="AE86:AH86"/>
    <mergeCell ref="AL86:AN86"/>
    <mergeCell ref="A82:C84"/>
    <mergeCell ref="D82:J82"/>
    <mergeCell ref="K82:M84"/>
    <mergeCell ref="N82:P84"/>
    <mergeCell ref="Q82:AD84"/>
    <mergeCell ref="AE82:AH84"/>
    <mergeCell ref="I99:L99"/>
    <mergeCell ref="T97:AD97"/>
    <mergeCell ref="AE97:AH97"/>
    <mergeCell ref="A96:J96"/>
    <mergeCell ref="K96:M96"/>
    <mergeCell ref="N96:AD96"/>
    <mergeCell ref="AE96:AH96"/>
    <mergeCell ref="AE88:AH88"/>
    <mergeCell ref="T90:AD90"/>
    <mergeCell ref="A92:AH92"/>
    <mergeCell ref="A97:S98"/>
    <mergeCell ref="T88:AD88"/>
    <mergeCell ref="A95:I95"/>
    <mergeCell ref="J95:M95"/>
    <mergeCell ref="N95:P95"/>
    <mergeCell ref="Q95:W95"/>
    <mergeCell ref="X95:AD95"/>
    <mergeCell ref="AE95:AH95"/>
    <mergeCell ref="A94:I94"/>
    <mergeCell ref="J94:M94"/>
    <mergeCell ref="N94:P94"/>
    <mergeCell ref="Q94:W94"/>
    <mergeCell ref="X94:AD94"/>
    <mergeCell ref="AE94:AH94"/>
    <mergeCell ref="I114:L114"/>
    <mergeCell ref="I115:L115"/>
    <mergeCell ref="I116:L116"/>
    <mergeCell ref="A128:Z128"/>
    <mergeCell ref="I129:L129"/>
    <mergeCell ref="M129:N129"/>
    <mergeCell ref="O129:S129"/>
    <mergeCell ref="U129:V129"/>
    <mergeCell ref="X129:Y129"/>
    <mergeCell ref="AE103:AH103"/>
    <mergeCell ref="AE104:AH104"/>
    <mergeCell ref="AE105:AH105"/>
    <mergeCell ref="J103:M103"/>
    <mergeCell ref="J104:M104"/>
    <mergeCell ref="J105:M105"/>
    <mergeCell ref="J106:M106"/>
    <mergeCell ref="A102:I102"/>
    <mergeCell ref="A103:I103"/>
    <mergeCell ref="A104:I104"/>
    <mergeCell ref="U130:W130"/>
    <mergeCell ref="X130:Z130"/>
    <mergeCell ref="A131:B131"/>
    <mergeCell ref="C131:E131"/>
    <mergeCell ref="F131:H131"/>
    <mergeCell ref="I131:K131"/>
    <mergeCell ref="L131:N131"/>
    <mergeCell ref="O131:Q133"/>
    <mergeCell ref="R131:T133"/>
    <mergeCell ref="U131:W133"/>
    <mergeCell ref="C130:E130"/>
    <mergeCell ref="F130:H130"/>
    <mergeCell ref="I130:K130"/>
    <mergeCell ref="L130:N130"/>
    <mergeCell ref="O130:Q130"/>
    <mergeCell ref="R130:T130"/>
    <mergeCell ref="L133:N133"/>
    <mergeCell ref="X131:Z133"/>
    <mergeCell ref="A132:B132"/>
    <mergeCell ref="C132:E132"/>
    <mergeCell ref="F132:H132"/>
    <mergeCell ref="I132:K132"/>
    <mergeCell ref="L132:N132"/>
    <mergeCell ref="A133:B133"/>
    <mergeCell ref="I138:K138"/>
    <mergeCell ref="L138:N138"/>
    <mergeCell ref="O138:Q138"/>
    <mergeCell ref="R138:T138"/>
    <mergeCell ref="U138:W138"/>
    <mergeCell ref="X138:Z138"/>
    <mergeCell ref="A137:E137"/>
    <mergeCell ref="F137:H137"/>
    <mergeCell ref="I137:K137"/>
    <mergeCell ref="L137:N137"/>
    <mergeCell ref="O137:Q137"/>
    <mergeCell ref="R137:T137"/>
    <mergeCell ref="U139:W139"/>
    <mergeCell ref="X139:Z139"/>
    <mergeCell ref="A141:Z141"/>
    <mergeCell ref="F142:H142"/>
    <mergeCell ref="I142:K142"/>
    <mergeCell ref="L142:N142"/>
    <mergeCell ref="O142:Q142"/>
    <mergeCell ref="R142:T142"/>
    <mergeCell ref="U142:W142"/>
    <mergeCell ref="X142:Z142"/>
    <mergeCell ref="A139:E139"/>
    <mergeCell ref="F139:H139"/>
    <mergeCell ref="I139:K139"/>
    <mergeCell ref="L139:N139"/>
    <mergeCell ref="O139:Q139"/>
    <mergeCell ref="R139:T139"/>
    <mergeCell ref="AE142:AI142"/>
    <mergeCell ref="A143:E143"/>
    <mergeCell ref="F143:H143"/>
    <mergeCell ref="I143:K143"/>
    <mergeCell ref="L143:N143"/>
    <mergeCell ref="O143:Q143"/>
    <mergeCell ref="R143:T143"/>
    <mergeCell ref="U143:W143"/>
    <mergeCell ref="X143:Z143"/>
    <mergeCell ref="U144:W144"/>
    <mergeCell ref="X144:Z144"/>
    <mergeCell ref="A145:E145"/>
    <mergeCell ref="F145:H145"/>
    <mergeCell ref="I145:K145"/>
    <mergeCell ref="L145:N145"/>
    <mergeCell ref="O145:Q145"/>
    <mergeCell ref="R145:T145"/>
    <mergeCell ref="U145:W145"/>
    <mergeCell ref="X145:Z145"/>
    <mergeCell ref="A144:E144"/>
    <mergeCell ref="F144:H144"/>
    <mergeCell ref="I144:K144"/>
    <mergeCell ref="L144:N144"/>
    <mergeCell ref="O144:Q144"/>
    <mergeCell ref="R144:T144"/>
    <mergeCell ref="A147:AB147"/>
    <mergeCell ref="A148:C148"/>
    <mergeCell ref="A149:C149"/>
    <mergeCell ref="B150:C150"/>
    <mergeCell ref="D150:F150"/>
    <mergeCell ref="G150:M150"/>
    <mergeCell ref="N150:V150"/>
    <mergeCell ref="W150:Y150"/>
    <mergeCell ref="Z150:AB150"/>
    <mergeCell ref="B154:C154"/>
    <mergeCell ref="D154:F154"/>
    <mergeCell ref="G154:M154"/>
    <mergeCell ref="N154:V154"/>
    <mergeCell ref="W154:Y154"/>
    <mergeCell ref="Z154:AB154"/>
    <mergeCell ref="B151:C151"/>
    <mergeCell ref="D151:F151"/>
    <mergeCell ref="G151:M151"/>
    <mergeCell ref="N151:V151"/>
    <mergeCell ref="W151:Y151"/>
    <mergeCell ref="A153:D153"/>
    <mergeCell ref="G153:M153"/>
    <mergeCell ref="P159:R159"/>
    <mergeCell ref="A160:L160"/>
    <mergeCell ref="M160:O160"/>
    <mergeCell ref="P160:R160"/>
    <mergeCell ref="B155:C155"/>
    <mergeCell ref="D155:F155"/>
    <mergeCell ref="G155:M155"/>
    <mergeCell ref="N155:V155"/>
    <mergeCell ref="W155:Y155"/>
    <mergeCell ref="A157:B157"/>
    <mergeCell ref="A163:L163"/>
    <mergeCell ref="M163:O163"/>
    <mergeCell ref="A164:L164"/>
    <mergeCell ref="M164:O164"/>
    <mergeCell ref="A166:E166"/>
    <mergeCell ref="G166:L166"/>
    <mergeCell ref="A158:C158"/>
    <mergeCell ref="A159:L159"/>
    <mergeCell ref="M159:O159"/>
    <mergeCell ref="AE172:AG172"/>
    <mergeCell ref="AH172:AJ172"/>
    <mergeCell ref="A167:E167"/>
    <mergeCell ref="A168:B168"/>
    <mergeCell ref="C168:E168"/>
    <mergeCell ref="A169:B169"/>
    <mergeCell ref="C169:E169"/>
    <mergeCell ref="A171:U171"/>
    <mergeCell ref="Y171:AP171"/>
    <mergeCell ref="A172:C172"/>
    <mergeCell ref="D172:F172"/>
    <mergeCell ref="G172:I172"/>
    <mergeCell ref="J172:L172"/>
    <mergeCell ref="M172:O172"/>
    <mergeCell ref="P172:R172"/>
    <mergeCell ref="S172:U172"/>
    <mergeCell ref="Y172:AA172"/>
    <mergeCell ref="AB172:AD172"/>
    <mergeCell ref="AK172:AM172"/>
    <mergeCell ref="AN172:AP172"/>
    <mergeCell ref="AK174:AM174"/>
    <mergeCell ref="AN174:AP174"/>
    <mergeCell ref="D174:F174"/>
    <mergeCell ref="G174:I174"/>
    <mergeCell ref="J174:L174"/>
    <mergeCell ref="M174:O174"/>
    <mergeCell ref="P174:R174"/>
    <mergeCell ref="S174:U174"/>
    <mergeCell ref="Y174:AA174"/>
    <mergeCell ref="AB174:AD174"/>
    <mergeCell ref="AE174:AG174"/>
    <mergeCell ref="AH174:AJ174"/>
    <mergeCell ref="Y175:AA175"/>
    <mergeCell ref="AB175:AD175"/>
    <mergeCell ref="AE175:AG175"/>
    <mergeCell ref="AH175:AJ175"/>
    <mergeCell ref="AK176:AM176"/>
    <mergeCell ref="AK175:AM175"/>
    <mergeCell ref="AN175:AP175"/>
    <mergeCell ref="D175:F175"/>
    <mergeCell ref="G175:I175"/>
    <mergeCell ref="J175:L175"/>
    <mergeCell ref="M175:O175"/>
    <mergeCell ref="P175:R175"/>
    <mergeCell ref="S175:U175"/>
    <mergeCell ref="AN176:AP176"/>
    <mergeCell ref="D176:F176"/>
    <mergeCell ref="G176:I176"/>
    <mergeCell ref="J176:L176"/>
    <mergeCell ref="M176:O176"/>
    <mergeCell ref="P176:R176"/>
    <mergeCell ref="S176:U176"/>
    <mergeCell ref="Y176:AA176"/>
    <mergeCell ref="AB176:AD176"/>
    <mergeCell ref="AE176:AG176"/>
    <mergeCell ref="AH176:AJ176"/>
    <mergeCell ref="Y177:AA177"/>
    <mergeCell ref="AB177:AD177"/>
    <mergeCell ref="AE177:AG177"/>
    <mergeCell ref="AH177:AJ177"/>
    <mergeCell ref="AK177:AM177"/>
    <mergeCell ref="AN177:AP177"/>
    <mergeCell ref="D177:F177"/>
    <mergeCell ref="G177:I177"/>
    <mergeCell ref="J177:L177"/>
    <mergeCell ref="M177:O177"/>
    <mergeCell ref="P177:R177"/>
    <mergeCell ref="S177:U177"/>
    <mergeCell ref="Y178:AA178"/>
    <mergeCell ref="AB178:AD178"/>
    <mergeCell ref="AE178:AG178"/>
    <mergeCell ref="AH178:AJ178"/>
    <mergeCell ref="AK178:AM178"/>
    <mergeCell ref="AN178:AP178"/>
    <mergeCell ref="D178:F178"/>
    <mergeCell ref="G178:I178"/>
    <mergeCell ref="J178:L178"/>
    <mergeCell ref="M178:O178"/>
    <mergeCell ref="P178:R178"/>
    <mergeCell ref="S178:U178"/>
    <mergeCell ref="Y179:AA179"/>
    <mergeCell ref="AB179:AD179"/>
    <mergeCell ref="AE179:AG179"/>
    <mergeCell ref="AH179:AJ179"/>
    <mergeCell ref="AK179:AM179"/>
    <mergeCell ref="AN179:AP179"/>
    <mergeCell ref="D179:F179"/>
    <mergeCell ref="G179:I179"/>
    <mergeCell ref="J179:L179"/>
    <mergeCell ref="M179:O179"/>
    <mergeCell ref="P179:R179"/>
    <mergeCell ref="S179:U179"/>
    <mergeCell ref="Y180:AA180"/>
    <mergeCell ref="AB180:AD180"/>
    <mergeCell ref="AE180:AG180"/>
    <mergeCell ref="AH180:AJ180"/>
    <mergeCell ref="AK180:AM180"/>
    <mergeCell ref="AN180:AP180"/>
    <mergeCell ref="D180:F180"/>
    <mergeCell ref="G180:I180"/>
    <mergeCell ref="J180:L180"/>
    <mergeCell ref="M180:O180"/>
    <mergeCell ref="P180:R180"/>
    <mergeCell ref="S180:U180"/>
    <mergeCell ref="Y181:AA181"/>
    <mergeCell ref="AB181:AD181"/>
    <mergeCell ref="AE181:AG181"/>
    <mergeCell ref="AH181:AJ181"/>
    <mergeCell ref="AK181:AM181"/>
    <mergeCell ref="AN181:AP181"/>
    <mergeCell ref="D181:F181"/>
    <mergeCell ref="G181:I181"/>
    <mergeCell ref="J181:L181"/>
    <mergeCell ref="M181:O181"/>
    <mergeCell ref="P181:R181"/>
    <mergeCell ref="S181:U181"/>
    <mergeCell ref="Y182:AA182"/>
    <mergeCell ref="AB182:AD182"/>
    <mergeCell ref="AE182:AG182"/>
    <mergeCell ref="AH182:AJ182"/>
    <mergeCell ref="AK182:AM182"/>
    <mergeCell ref="AN182:AP182"/>
    <mergeCell ref="D182:F182"/>
    <mergeCell ref="G182:I182"/>
    <mergeCell ref="J182:L182"/>
    <mergeCell ref="M182:O182"/>
    <mergeCell ref="P182:R182"/>
    <mergeCell ref="S182:U182"/>
    <mergeCell ref="Y183:AA183"/>
    <mergeCell ref="AB183:AD183"/>
    <mergeCell ref="AE183:AG183"/>
    <mergeCell ref="AH183:AJ183"/>
    <mergeCell ref="AK183:AM183"/>
    <mergeCell ref="AN183:AP183"/>
    <mergeCell ref="D183:F183"/>
    <mergeCell ref="G183:I183"/>
    <mergeCell ref="J183:L183"/>
    <mergeCell ref="M183:O183"/>
    <mergeCell ref="P183:R183"/>
    <mergeCell ref="S183:U183"/>
    <mergeCell ref="Y184:AA184"/>
    <mergeCell ref="AB184:AD184"/>
    <mergeCell ref="AE184:AG184"/>
    <mergeCell ref="AH184:AJ184"/>
    <mergeCell ref="AK184:AM184"/>
    <mergeCell ref="AN184:AP184"/>
    <mergeCell ref="D184:F184"/>
    <mergeCell ref="G184:I184"/>
    <mergeCell ref="J184:L184"/>
    <mergeCell ref="M184:O184"/>
    <mergeCell ref="P184:R184"/>
    <mergeCell ref="S184:U184"/>
    <mergeCell ref="A189:C189"/>
    <mergeCell ref="D189:F189"/>
    <mergeCell ref="H189:J189"/>
    <mergeCell ref="K189:M189"/>
    <mergeCell ref="A190:C190"/>
    <mergeCell ref="D190:F190"/>
    <mergeCell ref="H190:J190"/>
    <mergeCell ref="K190:M190"/>
    <mergeCell ref="A186:F186"/>
    <mergeCell ref="H186:M186"/>
    <mergeCell ref="A187:F187"/>
    <mergeCell ref="H187:M187"/>
    <mergeCell ref="A188:C188"/>
    <mergeCell ref="D188:F188"/>
    <mergeCell ref="H188:J188"/>
    <mergeCell ref="K188:M188"/>
    <mergeCell ref="A193:C193"/>
    <mergeCell ref="D193:F193"/>
    <mergeCell ref="H193:J193"/>
    <mergeCell ref="K193:M193"/>
    <mergeCell ref="A191:C191"/>
    <mergeCell ref="D191:F191"/>
    <mergeCell ref="H191:J191"/>
    <mergeCell ref="K191:M191"/>
    <mergeCell ref="A192:C192"/>
    <mergeCell ref="D192:F192"/>
    <mergeCell ref="H192:J192"/>
    <mergeCell ref="K192:M192"/>
  </mergeCells>
  <conditionalFormatting sqref="A97">
    <cfRule type="expression" dxfId="1" priority="3">
      <formula>$X$94/$X$95&lt;2</formula>
    </cfRule>
  </conditionalFormatting>
  <conditionalFormatting sqref="A59 C60:F60">
    <cfRule type="expression" dxfId="0" priority="2">
      <formula>$A$6=""</formula>
    </cfRule>
  </conditionalFormatting>
  <dataValidations count="12">
    <dataValidation type="list" allowBlank="1" showInputMessage="1" showErrorMessage="1" sqref="H93:K93 K96:M96">
      <formula1>$G$167:$G$168</formula1>
    </dataValidation>
    <dataValidation type="list" allowBlank="1" showInputMessage="1" showErrorMessage="1" sqref="Q82:AD85">
      <formula1>$X$119:$X$125</formula1>
    </dataValidation>
    <dataValidation type="list" allowBlank="1" showInputMessage="1" showErrorMessage="1" sqref="Q78">
      <formula1>$N$119:$N$125</formula1>
    </dataValidation>
    <dataValidation type="list" allowBlank="1" showInputMessage="1" showErrorMessage="1" sqref="Q66:X69">
      <formula1>$E$119:$E$125</formula1>
    </dataValidation>
    <dataValidation type="list" allowBlank="1" showInputMessage="1" showErrorMessage="1" sqref="N94:P95">
      <formula1>$A$173:$A$184</formula1>
    </dataValidation>
    <dataValidation type="list" allowBlank="1" showInputMessage="1" showErrorMessage="1" sqref="X94">
      <formula1>$AR$173:$AR$179</formula1>
    </dataValidation>
    <dataValidation type="list" allowBlank="1" showInputMessage="1" showErrorMessage="1" sqref="X95">
      <formula1>$AS$173:$AS$179</formula1>
    </dataValidation>
    <dataValidation type="list" allowBlank="1" showInputMessage="1" showErrorMessage="1" sqref="AC49:AC50 T49:V50 Y49:Y50 AG49:AH50">
      <formula1>$H$202:$H$204</formula1>
    </dataValidation>
    <dataValidation type="list" allowBlank="1" showInputMessage="1" showErrorMessage="1" sqref="Z19:AD19 V19:X19 Y13:Y19">
      <formula1>$J$202:$J$207</formula1>
    </dataValidation>
    <dataValidation type="list" allowBlank="1" showInputMessage="1" showErrorMessage="1" sqref="Z10:AC10">
      <formula1>$A$119:$A$126</formula1>
    </dataValidation>
    <dataValidation type="list" allowBlank="1" showInputMessage="1" showErrorMessage="1" sqref="AD6">
      <formula1>$A$202:$A$204</formula1>
    </dataValidation>
    <dataValidation type="list" allowBlank="1" showInputMessage="1" showErrorMessage="1" sqref="AD8">
      <formula1>$D$202:$D$206</formula1>
    </dataValidation>
  </dataValidations>
  <printOptions horizontalCentered="1"/>
  <pageMargins left="0.5" right="0.5" top="0.5" bottom="0.5" header="0.3" footer="0.3"/>
  <pageSetup scale="77" fitToHeight="0" orientation="portrait" r:id="rId1"/>
  <rowBreaks count="1" manualBreakCount="1">
    <brk id="57" max="33" man="1"/>
  </rowBreaks>
  <ignoredErrors>
    <ignoredError sqref="AE105" evalError="1"/>
  </ignoredErrors>
  <drawing r:id="rId2"/>
  <legacyDrawing r:id="rId3"/>
  <mc:AlternateContent xmlns:mc="http://schemas.openxmlformats.org/markup-compatibility/2006">
    <mc:Choice Requires="x14">
      <controls>
        <mc:AlternateContent xmlns:mc="http://schemas.openxmlformats.org/markup-compatibility/2006">
          <mc:Choice Requires="x14">
            <control shapeId="1032" r:id="rId4" name="Check Box 8">
              <controlPr defaultSize="0" autoFill="0" autoLine="0" autoPict="0">
                <anchor moveWithCells="1">
                  <from>
                    <xdr:col>15</xdr:col>
                    <xdr:colOff>28575</xdr:colOff>
                    <xdr:row>12</xdr:row>
                    <xdr:rowOff>9525</xdr:rowOff>
                  </from>
                  <to>
                    <xdr:col>17</xdr:col>
                    <xdr:colOff>95250</xdr:colOff>
                    <xdr:row>12</xdr:row>
                    <xdr:rowOff>228600</xdr:rowOff>
                  </to>
                </anchor>
              </controlPr>
            </control>
          </mc:Choice>
        </mc:AlternateContent>
        <mc:AlternateContent xmlns:mc="http://schemas.openxmlformats.org/markup-compatibility/2006">
          <mc:Choice Requires="x14">
            <control shapeId="1034" r:id="rId5" name="Check Box 10">
              <controlPr defaultSize="0" autoFill="0" autoLine="0" autoPict="0">
                <anchor moveWithCells="1">
                  <from>
                    <xdr:col>18</xdr:col>
                    <xdr:colOff>57150</xdr:colOff>
                    <xdr:row>12</xdr:row>
                    <xdr:rowOff>9525</xdr:rowOff>
                  </from>
                  <to>
                    <xdr:col>20</xdr:col>
                    <xdr:colOff>85725</xdr:colOff>
                    <xdr:row>12</xdr:row>
                    <xdr:rowOff>228600</xdr:rowOff>
                  </to>
                </anchor>
              </controlPr>
            </control>
          </mc:Choice>
        </mc:AlternateContent>
        <mc:AlternateContent xmlns:mc="http://schemas.openxmlformats.org/markup-compatibility/2006">
          <mc:Choice Requires="x14">
            <control shapeId="1035" r:id="rId6" name="Check Box 11">
              <controlPr defaultSize="0" autoFill="0" autoLine="0" autoPict="0">
                <anchor moveWithCells="1">
                  <from>
                    <xdr:col>21</xdr:col>
                    <xdr:colOff>19050</xdr:colOff>
                    <xdr:row>12</xdr:row>
                    <xdr:rowOff>9525</xdr:rowOff>
                  </from>
                  <to>
                    <xdr:col>23</xdr:col>
                    <xdr:colOff>123825</xdr:colOff>
                    <xdr:row>12</xdr:row>
                    <xdr:rowOff>228600</xdr:rowOff>
                  </to>
                </anchor>
              </controlPr>
            </control>
          </mc:Choice>
        </mc:AlternateContent>
        <mc:AlternateContent xmlns:mc="http://schemas.openxmlformats.org/markup-compatibility/2006">
          <mc:Choice Requires="x14">
            <control shapeId="1036" r:id="rId7" name="Check Box 12">
              <controlPr defaultSize="0" autoFill="0" autoLine="0" autoPict="0">
                <anchor moveWithCells="1">
                  <from>
                    <xdr:col>15</xdr:col>
                    <xdr:colOff>28575</xdr:colOff>
                    <xdr:row>13</xdr:row>
                    <xdr:rowOff>9525</xdr:rowOff>
                  </from>
                  <to>
                    <xdr:col>17</xdr:col>
                    <xdr:colOff>95250</xdr:colOff>
                    <xdr:row>13</xdr:row>
                    <xdr:rowOff>228600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18</xdr:col>
                    <xdr:colOff>57150</xdr:colOff>
                    <xdr:row>13</xdr:row>
                    <xdr:rowOff>9525</xdr:rowOff>
                  </from>
                  <to>
                    <xdr:col>20</xdr:col>
                    <xdr:colOff>85725</xdr:colOff>
                    <xdr:row>13</xdr:row>
                    <xdr:rowOff>228600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21</xdr:col>
                    <xdr:colOff>19050</xdr:colOff>
                    <xdr:row>13</xdr:row>
                    <xdr:rowOff>9525</xdr:rowOff>
                  </from>
                  <to>
                    <xdr:col>23</xdr:col>
                    <xdr:colOff>123825</xdr:colOff>
                    <xdr:row>13</xdr:row>
                    <xdr:rowOff>228600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15</xdr:col>
                    <xdr:colOff>28575</xdr:colOff>
                    <xdr:row>14</xdr:row>
                    <xdr:rowOff>9525</xdr:rowOff>
                  </from>
                  <to>
                    <xdr:col>17</xdr:col>
                    <xdr:colOff>95250</xdr:colOff>
                    <xdr:row>14</xdr:row>
                    <xdr:rowOff>228600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18</xdr:col>
                    <xdr:colOff>57150</xdr:colOff>
                    <xdr:row>14</xdr:row>
                    <xdr:rowOff>9525</xdr:rowOff>
                  </from>
                  <to>
                    <xdr:col>20</xdr:col>
                    <xdr:colOff>85725</xdr:colOff>
                    <xdr:row>14</xdr:row>
                    <xdr:rowOff>228600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21</xdr:col>
                    <xdr:colOff>19050</xdr:colOff>
                    <xdr:row>14</xdr:row>
                    <xdr:rowOff>9525</xdr:rowOff>
                  </from>
                  <to>
                    <xdr:col>23</xdr:col>
                    <xdr:colOff>123825</xdr:colOff>
                    <xdr:row>14</xdr:row>
                    <xdr:rowOff>228600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15</xdr:col>
                    <xdr:colOff>28575</xdr:colOff>
                    <xdr:row>15</xdr:row>
                    <xdr:rowOff>9525</xdr:rowOff>
                  </from>
                  <to>
                    <xdr:col>17</xdr:col>
                    <xdr:colOff>95250</xdr:colOff>
                    <xdr:row>15</xdr:row>
                    <xdr:rowOff>228600</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18</xdr:col>
                    <xdr:colOff>57150</xdr:colOff>
                    <xdr:row>15</xdr:row>
                    <xdr:rowOff>9525</xdr:rowOff>
                  </from>
                  <to>
                    <xdr:col>20</xdr:col>
                    <xdr:colOff>85725</xdr:colOff>
                    <xdr:row>15</xdr:row>
                    <xdr:rowOff>228600</xdr:rowOff>
                  </to>
                </anchor>
              </controlPr>
            </control>
          </mc:Choice>
        </mc:AlternateContent>
        <mc:AlternateContent xmlns:mc="http://schemas.openxmlformats.org/markup-compatibility/2006">
          <mc:Choice Requires="x14">
            <control shapeId="1044" r:id="rId15" name="Check Box 20">
              <controlPr defaultSize="0" autoFill="0" autoLine="0" autoPict="0">
                <anchor moveWithCells="1">
                  <from>
                    <xdr:col>21</xdr:col>
                    <xdr:colOff>19050</xdr:colOff>
                    <xdr:row>15</xdr:row>
                    <xdr:rowOff>9525</xdr:rowOff>
                  </from>
                  <to>
                    <xdr:col>23</xdr:col>
                    <xdr:colOff>123825</xdr:colOff>
                    <xdr:row>15</xdr:row>
                    <xdr:rowOff>228600</xdr:rowOff>
                  </to>
                </anchor>
              </controlPr>
            </control>
          </mc:Choice>
        </mc:AlternateContent>
        <mc:AlternateContent xmlns:mc="http://schemas.openxmlformats.org/markup-compatibility/2006">
          <mc:Choice Requires="x14">
            <control shapeId="1045" r:id="rId16" name="Check Box 21">
              <controlPr defaultSize="0" autoFill="0" autoLine="0" autoPict="0">
                <anchor moveWithCells="1">
                  <from>
                    <xdr:col>15</xdr:col>
                    <xdr:colOff>28575</xdr:colOff>
                    <xdr:row>16</xdr:row>
                    <xdr:rowOff>9525</xdr:rowOff>
                  </from>
                  <to>
                    <xdr:col>17</xdr:col>
                    <xdr:colOff>95250</xdr:colOff>
                    <xdr:row>16</xdr:row>
                    <xdr:rowOff>228600</xdr:rowOff>
                  </to>
                </anchor>
              </controlPr>
            </control>
          </mc:Choice>
        </mc:AlternateContent>
        <mc:AlternateContent xmlns:mc="http://schemas.openxmlformats.org/markup-compatibility/2006">
          <mc:Choice Requires="x14">
            <control shapeId="1046" r:id="rId17" name="Check Box 22">
              <controlPr defaultSize="0" autoFill="0" autoLine="0" autoPict="0">
                <anchor moveWithCells="1">
                  <from>
                    <xdr:col>18</xdr:col>
                    <xdr:colOff>57150</xdr:colOff>
                    <xdr:row>16</xdr:row>
                    <xdr:rowOff>9525</xdr:rowOff>
                  </from>
                  <to>
                    <xdr:col>20</xdr:col>
                    <xdr:colOff>85725</xdr:colOff>
                    <xdr:row>16</xdr:row>
                    <xdr:rowOff>228600</xdr:rowOff>
                  </to>
                </anchor>
              </controlPr>
            </control>
          </mc:Choice>
        </mc:AlternateContent>
        <mc:AlternateContent xmlns:mc="http://schemas.openxmlformats.org/markup-compatibility/2006">
          <mc:Choice Requires="x14">
            <control shapeId="1047" r:id="rId18" name="Check Box 23">
              <controlPr defaultSize="0" autoFill="0" autoLine="0" autoPict="0">
                <anchor moveWithCells="1">
                  <from>
                    <xdr:col>21</xdr:col>
                    <xdr:colOff>19050</xdr:colOff>
                    <xdr:row>16</xdr:row>
                    <xdr:rowOff>9525</xdr:rowOff>
                  </from>
                  <to>
                    <xdr:col>23</xdr:col>
                    <xdr:colOff>123825</xdr:colOff>
                    <xdr:row>16</xdr:row>
                    <xdr:rowOff>228600</xdr:rowOff>
                  </to>
                </anchor>
              </controlPr>
            </control>
          </mc:Choice>
        </mc:AlternateContent>
        <mc:AlternateContent xmlns:mc="http://schemas.openxmlformats.org/markup-compatibility/2006">
          <mc:Choice Requires="x14">
            <control shapeId="1048" r:id="rId19" name="Check Box 24">
              <controlPr defaultSize="0" autoFill="0" autoLine="0" autoPict="0">
                <anchor moveWithCells="1">
                  <from>
                    <xdr:col>15</xdr:col>
                    <xdr:colOff>28575</xdr:colOff>
                    <xdr:row>17</xdr:row>
                    <xdr:rowOff>9525</xdr:rowOff>
                  </from>
                  <to>
                    <xdr:col>17</xdr:col>
                    <xdr:colOff>95250</xdr:colOff>
                    <xdr:row>17</xdr:row>
                    <xdr:rowOff>228600</xdr:rowOff>
                  </to>
                </anchor>
              </controlPr>
            </control>
          </mc:Choice>
        </mc:AlternateContent>
        <mc:AlternateContent xmlns:mc="http://schemas.openxmlformats.org/markup-compatibility/2006">
          <mc:Choice Requires="x14">
            <control shapeId="1049" r:id="rId20" name="Check Box 25">
              <controlPr defaultSize="0" autoFill="0" autoLine="0" autoPict="0">
                <anchor moveWithCells="1">
                  <from>
                    <xdr:col>18</xdr:col>
                    <xdr:colOff>57150</xdr:colOff>
                    <xdr:row>17</xdr:row>
                    <xdr:rowOff>9525</xdr:rowOff>
                  </from>
                  <to>
                    <xdr:col>20</xdr:col>
                    <xdr:colOff>85725</xdr:colOff>
                    <xdr:row>17</xdr:row>
                    <xdr:rowOff>228600</xdr:rowOff>
                  </to>
                </anchor>
              </controlPr>
            </control>
          </mc:Choice>
        </mc:AlternateContent>
        <mc:AlternateContent xmlns:mc="http://schemas.openxmlformats.org/markup-compatibility/2006">
          <mc:Choice Requires="x14">
            <control shapeId="1050" r:id="rId21" name="Check Box 26">
              <controlPr defaultSize="0" autoFill="0" autoLine="0" autoPict="0">
                <anchor moveWithCells="1">
                  <from>
                    <xdr:col>21</xdr:col>
                    <xdr:colOff>19050</xdr:colOff>
                    <xdr:row>17</xdr:row>
                    <xdr:rowOff>9525</xdr:rowOff>
                  </from>
                  <to>
                    <xdr:col>23</xdr:col>
                    <xdr:colOff>123825</xdr:colOff>
                    <xdr:row>17</xdr:row>
                    <xdr:rowOff>228600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Enrollment Worksheet</vt:lpstr>
      <vt:lpstr>'Enrollment Worksheet'!Print_Area</vt:lpstr>
    </vt:vector>
  </TitlesOfParts>
  <Company>City of Merced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 Guzman</dc:creator>
  <cp:lastModifiedBy>Andrew Smith Guzman</cp:lastModifiedBy>
  <cp:lastPrinted>2013-10-10T00:00:20Z</cp:lastPrinted>
  <dcterms:created xsi:type="dcterms:W3CDTF">2012-10-05T16:27:20Z</dcterms:created>
  <dcterms:modified xsi:type="dcterms:W3CDTF">2013-10-14T17:11:05Z</dcterms:modified>
</cp:coreProperties>
</file>